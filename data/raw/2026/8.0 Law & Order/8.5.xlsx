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9759125C-1B1D-4315-9412-1D17599B3ADF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5" sheetId="5" r:id="rId1"/>
  </sheets>
  <definedNames>
    <definedName name="_xlnm.Print_Area" localSheetId="0">'8.5'!$A$1:$N$33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5" l="1"/>
  <c r="K5" i="5" l="1"/>
  <c r="J5" i="5" l="1"/>
  <c r="I5" i="5" l="1"/>
  <c r="H5" i="5" l="1"/>
  <c r="G5" i="5" l="1"/>
  <c r="F5" i="5" l="1"/>
  <c r="E5" i="5" l="1"/>
  <c r="D5" i="5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<sst xmlns="http://schemas.openxmlformats.org/spreadsheetml/2006/main" count="32" uniqueCount="32">
  <si>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</si>
  <si>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</si>
  <si>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</si>
  <si>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</si>
  <si>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</si>
  <si>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</si>
  <si>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</si>
  <si>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</si>
  <si>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</si>
  <si>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</si>
  <si>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</si>
  <si>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</si>
  <si>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</si>
  <si>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</si>
  <si>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</si>
  <si>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</si>
  <si>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</si>
  <si>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</si>
  <si>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</si>
  <si>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</si>
  <si>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</si>
  <si>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</si>
  <si>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</si>
  <si>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</si>
  <si>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</si>
  <si>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</si>
  <si>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</si>
  <si>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</si>
  <si>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</si>
  <si>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</si>
  <si>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Table 8.5: LOGGED CASES  2016 - 2025</t>
  </si>
  <si>
    <t>2025 - 2016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</si>
</sst>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  <family val="3"/>
    </font>
    <font>
      <b/>
      <sz val="12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6" fillId="0" borderId="1" applyNumberFormat="0" applyFill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2" fontId="22" fillId="0" borderId="0"/>
    <xf numFmtId="1" fontId="23" fillId="0" borderId="3" applyNumberFormat="0"/>
    <xf numFmtId="0" fontId="15" fillId="0" borderId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15" fillId="0" borderId="0"/>
    <xf numFmtId="1" fontId="23" fillId="0" borderId="3" applyNumberFormat="0"/>
    <xf numFmtId="0" fontId="1" fillId="0" borderId="0"/>
    <xf numFmtId="0" fontId="21" fillId="0" borderId="0"/>
    <xf numFmtId="0" fontId="10" fillId="0" borderId="0" applyFill="0" applyProtection="0"/>
    <xf numFmtId="1" fontId="23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21" fillId="0" borderId="0"/>
    <xf numFmtId="0" fontId="10" fillId="0" borderId="0" applyFill="0" applyProtection="0"/>
    <xf numFmtId="1" fontId="23" fillId="0" borderId="3" applyNumberFormat="0"/>
    <xf numFmtId="0" fontId="1" fillId="0" borderId="0"/>
    <xf numFmtId="0" fontId="15" fillId="0" borderId="0"/>
    <xf numFmtId="0" fontId="24" fillId="0" borderId="0"/>
    <xf numFmtId="0" fontId="25" fillId="0" borderId="0"/>
    <xf numFmtId="0" fontId="15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26" fillId="0" borderId="0" applyBorder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1" fillId="0" borderId="0"/>
    <xf numFmtId="0" fontId="1" fillId="0" borderId="0"/>
    <xf numFmtId="1" fontId="23" fillId="0" borderId="3" applyNumberFormat="0"/>
    <xf numFmtId="1" fontId="23" fillId="0" borderId="3" applyNumberFormat="0"/>
    <xf numFmtId="1" fontId="23" fillId="0" borderId="3" applyNumberFormat="0"/>
    <xf numFmtId="1" fontId="23" fillId="0" borderId="3" applyNumberFormat="0"/>
    <xf numFmtId="0" fontId="27" fillId="0" borderId="0"/>
    <xf numFmtId="0" fontId="27" fillId="0" borderId="0"/>
  </cellStyleXfs>
  <cellXfs count="23">
    <xf numFmtId="0" fontId="0" fillId="0" borderId="0" xfId="0"/>
    <xf numFmtId="166" fontId="5" fillId="2" borderId="0" xfId="1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Border="1"/>
    <xf numFmtId="164" fontId="12" fillId="2" borderId="0" xfId="0" applyNumberFormat="1" applyFont="1" applyFill="1" applyBorder="1" applyAlignment="1">
      <alignment horizontal="center"/>
    </xf>
    <xf numFmtId="164" fontId="13" fillId="2" borderId="0" xfId="0" applyNumberFormat="1" applyFont="1" applyFill="1" applyBorder="1" applyAlignment="1">
      <alignment horizontal="center"/>
    </xf>
    <xf numFmtId="164" fontId="2" fillId="2" borderId="0" xfId="2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/>
    <xf numFmtId="164" fontId="5" fillId="2" borderId="0" xfId="0" applyNumberFormat="1" applyFont="1" applyFill="1" applyBorder="1"/>
    <xf numFmtId="0" fontId="8" fillId="2" borderId="0" xfId="5" applyNumberFormat="1" applyFont="1" applyFill="1" applyBorder="1" applyAlignment="1">
      <alignment horizontal="left" vertical="center" indent="1"/>
    </xf>
    <xf numFmtId="166" fontId="7" fillId="2" borderId="0" xfId="1" applyNumberFormat="1" applyFont="1" applyFill="1" applyBorder="1" applyAlignment="1" applyProtection="1">
      <alignment horizontal="right" vertical="center"/>
      <protection locked="0"/>
    </xf>
    <xf numFmtId="0" fontId="19" fillId="2" borderId="0" xfId="5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 applyBorder="1" applyAlignment="1">
      <alignment vertical="top"/>
    </xf>
    <xf numFmtId="164" fontId="0" fillId="2" borderId="0" xfId="0" applyNumberFormat="1" applyFill="1" applyBorder="1" applyAlignment="1">
      <alignment vertical="top"/>
    </xf>
    <xf numFmtId="164" fontId="17" fillId="2" borderId="0" xfId="0" applyNumberFormat="1" applyFont="1" applyFill="1" applyBorder="1" applyAlignment="1">
      <alignment horizontal="right" vertical="top"/>
    </xf>
    <xf numFmtId="164" fontId="9" fillId="2" borderId="0" xfId="0" applyNumberFormat="1" applyFont="1" applyFill="1" applyBorder="1" applyAlignment="1">
      <alignment horizontal="right" vertical="top"/>
    </xf>
    <xf numFmtId="0" fontId="8" fillId="2" borderId="4" xfId="5" applyNumberFormat="1" applyFont="1" applyFill="1" applyBorder="1" applyAlignment="1">
      <alignment horizontal="left" vertical="center" indent="1"/>
    </xf>
    <xf numFmtId="166" fontId="7" fillId="2" borderId="4" xfId="1" applyNumberFormat="1" applyFont="1" applyFill="1" applyBorder="1" applyAlignment="1" applyProtection="1">
      <alignment horizontal="right" vertical="center"/>
      <protection locked="0"/>
    </xf>
    <xf numFmtId="0" fontId="19" fillId="2" borderId="4" xfId="5" applyNumberFormat="1" applyFont="1" applyFill="1" applyBorder="1" applyAlignment="1">
      <alignment horizontal="right" vertical="center" indent="1"/>
    </xf>
    <xf numFmtId="164" fontId="3" fillId="2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18" fillId="2" borderId="2" xfId="0" applyNumberFormat="1" applyFont="1" applyFill="1" applyBorder="1" applyAlignment="1">
      <alignment horizontal="right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592034691315761E-2"/>
          <c:y val="0.20326181930660464"/>
          <c:w val="0.90831872646353984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'8.5'!$J$4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'8.5'!$J$6:$J$17</c:f>
              <c:numCache>
                <c:formatCode>_-* #,##0_-;\-* #,##0_-;_-* "-"??_-;_-@_-</c:formatCode>
                <c:ptCount val="12"/>
                <c:pt idx="0">
                  <c:v>1153</c:v>
                </c:pt>
                <c:pt idx="1">
                  <c:v>1226</c:v>
                </c:pt>
                <c:pt idx="2">
                  <c:v>1129</c:v>
                </c:pt>
                <c:pt idx="3">
                  <c:v>1114</c:v>
                </c:pt>
                <c:pt idx="4">
                  <c:v>1158</c:v>
                </c:pt>
                <c:pt idx="5">
                  <c:v>1051</c:v>
                </c:pt>
                <c:pt idx="6">
                  <c:v>1163</c:v>
                </c:pt>
                <c:pt idx="7">
                  <c:v>1359</c:v>
                </c:pt>
                <c:pt idx="8">
                  <c:v>1335</c:v>
                </c:pt>
                <c:pt idx="9">
                  <c:v>1476</c:v>
                </c:pt>
                <c:pt idx="10">
                  <c:v>1480</c:v>
                </c:pt>
                <c:pt idx="11">
                  <c:v>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'8.5'!$K$4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'8.5'!$K$6:$K$17</c:f>
              <c:numCache>
                <c:formatCode>_-* #,##0_-;\-* #,##0_-;_-* "-"??_-;_-@_-</c:formatCode>
                <c:ptCount val="12"/>
                <c:pt idx="0">
                  <c:v>1468</c:v>
                </c:pt>
                <c:pt idx="1">
                  <c:v>1335</c:v>
                </c:pt>
                <c:pt idx="2">
                  <c:v>1457</c:v>
                </c:pt>
                <c:pt idx="3">
                  <c:v>1247</c:v>
                </c:pt>
                <c:pt idx="4">
                  <c:v>1386</c:v>
                </c:pt>
                <c:pt idx="5">
                  <c:v>1362</c:v>
                </c:pt>
                <c:pt idx="6">
                  <c:v>1370</c:v>
                </c:pt>
                <c:pt idx="7">
                  <c:v>1397</c:v>
                </c:pt>
                <c:pt idx="8">
                  <c:v>1231</c:v>
                </c:pt>
                <c:pt idx="9">
                  <c:v>1383</c:v>
                </c:pt>
                <c:pt idx="10">
                  <c:v>1277</c:v>
                </c:pt>
                <c:pt idx="11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'8.5'!$L$4</c:f>
              <c:strCache>
                <c:ptCount val="1"/>
                <c:pt idx="0">
                  <c:v>2025 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'8.5'!$L$6:$L$17</c:f>
              <c:numCache>
                <c:formatCode>_-* #,##0_-;\-* #,##0_-;_-* "-"??_-;_-@_-</c:formatCode>
                <c:ptCount val="12"/>
                <c:pt idx="0">
                  <c:v>1318</c:v>
                </c:pt>
                <c:pt idx="1">
                  <c:v>1224</c:v>
                </c:pt>
                <c:pt idx="2">
                  <c:v>1227</c:v>
                </c:pt>
                <c:pt idx="3">
                  <c:v>1287</c:v>
                </c:pt>
                <c:pt idx="4">
                  <c:v>1467</c:v>
                </c:pt>
                <c:pt idx="5">
                  <c:v>1420</c:v>
                </c:pt>
                <c:pt idx="6">
                  <c:v>1380</c:v>
                </c:pt>
                <c:pt idx="7">
                  <c:v>1463</c:v>
                </c:pt>
                <c:pt idx="8">
                  <c:v>1589</c:v>
                </c:pt>
                <c:pt idx="9">
                  <c:v>1483</c:v>
                </c:pt>
                <c:pt idx="10">
                  <c:v>1469</c:v>
                </c:pt>
                <c:pt idx="11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7686276647166653"/>
          <c:y val="0.20549589572654334"/>
          <c:w val="0.23195309845180126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18</xdr:row>
      <xdr:rowOff>78106</xdr:rowOff>
    </xdr:from>
    <xdr:to>
      <xdr:col>12</xdr:col>
      <xdr:colOff>133350</xdr:colOff>
      <xdr:row>32</xdr:row>
      <xdr:rowOff>68580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0.2838</cdr:x>
      <cdr:y>0.04946</cdr:y>
    </cdr:from>
    <cdr:to>
      <cdr:x>0.6973</cdr:x>
      <cdr:y>0.16057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86923" y="131450"/>
          <a:ext cx="3623544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2023- 2025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Q19"/>
  <sheetViews>
    <sheetView tabSelected="1" zoomScaleNormal="100" workbookViewId="0">
      <selection activeCell="U16" sqref="U16"/>
    </sheetView>
  </sheetViews>
  <sheetFormatPr defaultColWidth="9.140625" defaultRowHeight="15"/>
  <cols>
    <col min="1" max="1" width="21.7109375" style="3" customWidth="1"/>
    <col min="2" max="2" width="0.5703125" style="3" customWidth="1"/>
    <col min="3" max="12" width="12.7109375" style="3" customWidth="1"/>
    <col min="13" max="13" width="27.140625" style="3" customWidth="1"/>
    <col min="14" max="14" width="9.140625" style="3"/>
    <col min="15" max="15" width="22.140625" style="3" bestFit="1" customWidth="1"/>
    <col min="16" max="16" width="6.7109375" style="3" bestFit="1" customWidth="1"/>
    <col min="17" max="19" width="3.28515625" style="3" customWidth="1"/>
    <col min="20" max="20" width="7.5703125" style="3" customWidth="1"/>
    <col min="21" max="21" width="7.28515625" style="3" customWidth="1"/>
    <col min="22" max="27" width="3.28515625" style="3" customWidth="1"/>
    <col min="28" max="28" width="9.140625" style="3"/>
    <col min="29" max="33" width="9.85546875" style="3" customWidth="1"/>
    <col min="34" max="16384" width="9.140625" style="3"/>
  </cols>
  <sheetData>
    <row r="1" spans="1:17" ht="18.7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7" ht="15.75">
      <c r="A2" s="4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7" ht="5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6"/>
    </row>
    <row r="4" spans="1:17" s="8" customFormat="1" ht="15.75">
      <c r="A4" s="20" t="s">
        <v>4</v>
      </c>
      <c r="B4" s="21">
        <v>2015</v>
      </c>
      <c r="C4" s="21">
        <v>2016</v>
      </c>
      <c r="D4" s="21">
        <v>2017</v>
      </c>
      <c r="E4" s="21">
        <v>2018</v>
      </c>
      <c r="F4" s="21">
        <v>2019</v>
      </c>
      <c r="G4" s="21">
        <v>2020</v>
      </c>
      <c r="H4" s="21">
        <v>2021</v>
      </c>
      <c r="I4" s="21">
        <v>2022</v>
      </c>
      <c r="J4" s="21">
        <v>2023</v>
      </c>
      <c r="K4" s="21">
        <v>2024</v>
      </c>
      <c r="L4" s="21">
        <v>2025</v>
      </c>
      <c r="M4" s="22" t="s">
        <v>5</v>
      </c>
      <c r="N4" s="3"/>
      <c r="O4" s="3"/>
      <c r="P4" s="3"/>
      <c r="Q4" s="3"/>
    </row>
    <row r="5" spans="1:17" ht="15.75">
      <c r="A5" s="9" t="s">
        <v>0</v>
      </c>
      <c r="B5" s="1">
        <f t="shared" ref="B5:H5" si="0">SUM(B6:B17)</f>
        <v>16362</v>
      </c>
      <c r="C5" s="1">
        <f t="shared" si="0"/>
        <v>16287</v>
      </c>
      <c r="D5" s="1">
        <f t="shared" si="0"/>
        <v>15535</v>
      </c>
      <c r="E5" s="1">
        <f t="shared" si="0"/>
        <v>14811</v>
      </c>
      <c r="F5" s="1">
        <f t="shared" si="0"/>
        <v>16480</v>
      </c>
      <c r="G5" s="1">
        <f t="shared" si="0"/>
        <v>12787</v>
      </c>
      <c r="H5" s="1">
        <f t="shared" si="0"/>
        <v>14143</v>
      </c>
      <c r="I5" s="1">
        <f>SUM(I6:I17)</f>
        <v>13543</v>
      </c>
      <c r="J5" s="1">
        <f>SUM(J6:J17)</f>
        <v>15015</v>
      </c>
      <c r="K5" s="1">
        <f>SUM(K6:K17)</f>
        <v>16321</v>
      </c>
      <c r="L5" s="1">
        <f>SUM(L6:L17)</f>
        <v>16902</v>
      </c>
      <c r="M5" s="7" t="s">
        <v>1</v>
      </c>
      <c r="N5" s="8"/>
      <c r="O5" s="8"/>
      <c r="P5" s="8"/>
      <c r="Q5" s="8"/>
    </row>
    <row r="6" spans="1:17" ht="18.75">
      <c r="A6" s="10" t="s">
        <v>6</v>
      </c>
      <c r="B6" s="11">
        <v>1371</v>
      </c>
      <c r="C6" s="11">
        <v>1467</v>
      </c>
      <c r="D6" s="11">
        <v>1362</v>
      </c>
      <c r="E6" s="11">
        <v>1427</v>
      </c>
      <c r="F6" s="11">
        <v>1313</v>
      </c>
      <c r="G6" s="11">
        <v>1403</v>
      </c>
      <c r="H6" s="11">
        <v>1387</v>
      </c>
      <c r="I6" s="11">
        <v>1174</v>
      </c>
      <c r="J6" s="11">
        <v>1153</v>
      </c>
      <c r="K6" s="11">
        <v>1468</v>
      </c>
      <c r="L6" s="11">
        <v>1318</v>
      </c>
      <c r="M6" s="12" t="s">
        <v>7</v>
      </c>
      <c r="O6" s="8"/>
    </row>
    <row r="7" spans="1:17" ht="18.75">
      <c r="A7" s="10" t="s">
        <v>8</v>
      </c>
      <c r="B7" s="11">
        <v>1414</v>
      </c>
      <c r="C7" s="11">
        <v>1420</v>
      </c>
      <c r="D7" s="11">
        <v>1112</v>
      </c>
      <c r="E7" s="11">
        <v>1100</v>
      </c>
      <c r="F7" s="11">
        <v>1282</v>
      </c>
      <c r="G7" s="11">
        <v>1210</v>
      </c>
      <c r="H7" s="11">
        <v>1100</v>
      </c>
      <c r="I7" s="11">
        <v>1022</v>
      </c>
      <c r="J7" s="11">
        <v>1226</v>
      </c>
      <c r="K7" s="11">
        <v>1335</v>
      </c>
      <c r="L7" s="11">
        <v>1224</v>
      </c>
      <c r="M7" s="12" t="s">
        <v>9</v>
      </c>
      <c r="O7" s="8"/>
    </row>
    <row r="8" spans="1:17" ht="18.75">
      <c r="A8" s="10" t="s">
        <v>10</v>
      </c>
      <c r="B8" s="11">
        <v>1441</v>
      </c>
      <c r="C8" s="11">
        <v>1598</v>
      </c>
      <c r="D8" s="11">
        <v>1278</v>
      </c>
      <c r="E8" s="11">
        <v>1374</v>
      </c>
      <c r="F8" s="11">
        <v>1298</v>
      </c>
      <c r="G8" s="11">
        <v>1294</v>
      </c>
      <c r="H8" s="11">
        <v>1261</v>
      </c>
      <c r="I8" s="11">
        <v>1126</v>
      </c>
      <c r="J8" s="11">
        <v>1129</v>
      </c>
      <c r="K8" s="11">
        <v>1457</v>
      </c>
      <c r="L8" s="11">
        <v>1227</v>
      </c>
      <c r="M8" s="12" t="s">
        <v>11</v>
      </c>
      <c r="O8" s="8"/>
    </row>
    <row r="9" spans="1:17" ht="18.75">
      <c r="A9" s="10" t="s">
        <v>12</v>
      </c>
      <c r="B9" s="11">
        <v>1271</v>
      </c>
      <c r="C9" s="11">
        <v>1251</v>
      </c>
      <c r="D9" s="11">
        <v>1406</v>
      </c>
      <c r="E9" s="11">
        <v>1278</v>
      </c>
      <c r="F9" s="11">
        <v>1411</v>
      </c>
      <c r="G9" s="11">
        <v>748</v>
      </c>
      <c r="H9" s="11">
        <v>1173</v>
      </c>
      <c r="I9" s="11">
        <v>1088</v>
      </c>
      <c r="J9" s="11">
        <v>1114</v>
      </c>
      <c r="K9" s="11">
        <v>1247</v>
      </c>
      <c r="L9" s="11">
        <v>1287</v>
      </c>
      <c r="M9" s="12" t="s">
        <v>13</v>
      </c>
      <c r="O9" s="8"/>
    </row>
    <row r="10" spans="1:17" ht="18.75">
      <c r="A10" s="10" t="s">
        <v>14</v>
      </c>
      <c r="B10" s="11">
        <v>1332</v>
      </c>
      <c r="C10" s="11">
        <v>1539</v>
      </c>
      <c r="D10" s="11">
        <v>1270</v>
      </c>
      <c r="E10" s="11">
        <v>1156</v>
      </c>
      <c r="F10" s="11">
        <v>1393</v>
      </c>
      <c r="G10" s="11">
        <v>680</v>
      </c>
      <c r="H10" s="11">
        <v>1085</v>
      </c>
      <c r="I10" s="11">
        <v>1277</v>
      </c>
      <c r="J10" s="11">
        <v>1158</v>
      </c>
      <c r="K10" s="11">
        <v>1386</v>
      </c>
      <c r="L10" s="11">
        <v>1467</v>
      </c>
      <c r="M10" s="12" t="s">
        <v>15</v>
      </c>
      <c r="O10" s="8"/>
    </row>
    <row r="11" spans="1:17" ht="18.75">
      <c r="A11" s="10" t="s">
        <v>16</v>
      </c>
      <c r="B11" s="11">
        <v>1262</v>
      </c>
      <c r="C11" s="11">
        <v>1334</v>
      </c>
      <c r="D11" s="11">
        <v>1216</v>
      </c>
      <c r="E11" s="11">
        <v>1175</v>
      </c>
      <c r="F11" s="11">
        <v>1450</v>
      </c>
      <c r="G11" s="11">
        <v>780</v>
      </c>
      <c r="H11" s="11">
        <v>1077</v>
      </c>
      <c r="I11" s="11">
        <v>1206</v>
      </c>
      <c r="J11" s="11">
        <v>1051</v>
      </c>
      <c r="K11" s="11">
        <v>1362</v>
      </c>
      <c r="L11" s="11">
        <v>1420</v>
      </c>
      <c r="M11" s="12" t="s">
        <v>17</v>
      </c>
    </row>
    <row r="12" spans="1:17" ht="18.75">
      <c r="A12" s="10" t="s">
        <v>18</v>
      </c>
      <c r="B12" s="11">
        <v>1326</v>
      </c>
      <c r="C12" s="11">
        <v>1301</v>
      </c>
      <c r="D12" s="11">
        <v>1309</v>
      </c>
      <c r="E12" s="11">
        <v>1165</v>
      </c>
      <c r="F12" s="11">
        <v>1432</v>
      </c>
      <c r="G12" s="11">
        <v>990</v>
      </c>
      <c r="H12" s="11">
        <v>1044</v>
      </c>
      <c r="I12" s="11">
        <v>1077</v>
      </c>
      <c r="J12" s="11">
        <v>1163</v>
      </c>
      <c r="K12" s="11">
        <v>1370</v>
      </c>
      <c r="L12" s="11">
        <v>1380</v>
      </c>
      <c r="M12" s="12" t="s">
        <v>19</v>
      </c>
      <c r="O12" s="8"/>
    </row>
    <row r="13" spans="1:17" ht="18.75">
      <c r="A13" s="10" t="s">
        <v>20</v>
      </c>
      <c r="B13" s="11">
        <v>1609</v>
      </c>
      <c r="C13" s="11">
        <v>1267</v>
      </c>
      <c r="D13" s="11">
        <v>1308</v>
      </c>
      <c r="E13" s="11">
        <v>1296</v>
      </c>
      <c r="F13" s="11">
        <v>1300</v>
      </c>
      <c r="G13" s="11">
        <v>1109</v>
      </c>
      <c r="H13" s="11">
        <v>1205</v>
      </c>
      <c r="I13" s="11">
        <v>1351</v>
      </c>
      <c r="J13" s="11">
        <v>1359</v>
      </c>
      <c r="K13" s="11">
        <v>1397</v>
      </c>
      <c r="L13" s="11">
        <v>1463</v>
      </c>
      <c r="M13" s="12" t="s">
        <v>21</v>
      </c>
      <c r="O13" s="8"/>
    </row>
    <row r="14" spans="1:17" ht="18.75">
      <c r="A14" s="10" t="s">
        <v>22</v>
      </c>
      <c r="B14" s="11">
        <v>1428</v>
      </c>
      <c r="C14" s="11">
        <v>1189</v>
      </c>
      <c r="D14" s="11">
        <v>1223</v>
      </c>
      <c r="E14" s="11">
        <v>1278</v>
      </c>
      <c r="F14" s="11">
        <v>1409</v>
      </c>
      <c r="G14" s="11">
        <v>1174</v>
      </c>
      <c r="H14" s="11">
        <v>1206</v>
      </c>
      <c r="I14" s="11">
        <v>1060</v>
      </c>
      <c r="J14" s="11">
        <v>1335</v>
      </c>
      <c r="K14" s="11">
        <v>1231</v>
      </c>
      <c r="L14" s="11">
        <v>1589</v>
      </c>
      <c r="M14" s="12" t="s">
        <v>23</v>
      </c>
      <c r="O14" s="8"/>
    </row>
    <row r="15" spans="1:17" ht="18.75">
      <c r="A15" s="10" t="s">
        <v>24</v>
      </c>
      <c r="B15" s="11">
        <v>1369</v>
      </c>
      <c r="C15" s="11">
        <v>1252</v>
      </c>
      <c r="D15" s="11">
        <v>1482</v>
      </c>
      <c r="E15" s="11">
        <v>1300</v>
      </c>
      <c r="F15" s="11">
        <v>1505</v>
      </c>
      <c r="G15" s="11">
        <v>1107</v>
      </c>
      <c r="H15" s="11">
        <v>1189</v>
      </c>
      <c r="I15" s="11">
        <v>1050</v>
      </c>
      <c r="J15" s="11">
        <v>1476</v>
      </c>
      <c r="K15" s="11">
        <v>1383</v>
      </c>
      <c r="L15" s="11">
        <v>1483</v>
      </c>
      <c r="M15" s="12" t="s">
        <v>25</v>
      </c>
      <c r="O15" s="8"/>
    </row>
    <row r="16" spans="1:17" ht="18.75">
      <c r="A16" s="10" t="s">
        <v>26</v>
      </c>
      <c r="B16" s="11">
        <v>1285</v>
      </c>
      <c r="C16" s="11">
        <v>1300</v>
      </c>
      <c r="D16" s="11">
        <v>1296</v>
      </c>
      <c r="E16" s="11">
        <v>1096</v>
      </c>
      <c r="F16" s="11">
        <v>1244</v>
      </c>
      <c r="G16" s="11">
        <v>1116</v>
      </c>
      <c r="H16" s="11">
        <v>1161</v>
      </c>
      <c r="I16" s="11">
        <v>1076</v>
      </c>
      <c r="J16" s="11">
        <v>1480</v>
      </c>
      <c r="K16" s="11">
        <v>1277</v>
      </c>
      <c r="L16" s="11">
        <v>1469</v>
      </c>
      <c r="M16" s="12" t="s">
        <v>27</v>
      </c>
      <c r="O16" s="8"/>
    </row>
    <row r="17" spans="1:15" ht="18.75">
      <c r="A17" s="17" t="s">
        <v>28</v>
      </c>
      <c r="B17" s="18">
        <v>1254</v>
      </c>
      <c r="C17" s="18">
        <v>1369</v>
      </c>
      <c r="D17" s="18">
        <v>1273</v>
      </c>
      <c r="E17" s="18">
        <v>1166</v>
      </c>
      <c r="F17" s="18">
        <v>1443</v>
      </c>
      <c r="G17" s="18">
        <v>1176</v>
      </c>
      <c r="H17" s="18">
        <v>1255</v>
      </c>
      <c r="I17" s="18">
        <v>1036</v>
      </c>
      <c r="J17" s="18">
        <v>1371</v>
      </c>
      <c r="K17" s="18">
        <v>1408</v>
      </c>
      <c r="L17" s="18">
        <v>1575</v>
      </c>
      <c r="M17" s="19" t="s">
        <v>29</v>
      </c>
      <c r="O17" s="8"/>
    </row>
    <row r="18" spans="1:15">
      <c r="A18" s="13" t="s">
        <v>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 t="s">
        <v>3</v>
      </c>
    </row>
    <row r="19" spans="1:1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6"/>
    </row>
  </sheetData>
  <mergeCells count="2">
    <mergeCell ref="A1:M1"/>
    <mergeCell ref="A2:M2"/>
  </mergeCells>
  <pageMargins left="0.7" right="0.7" top="0.75" bottom="0.75" header="0.3" footer="0.3"/>
  <pageSetup scale="48" orientation="portrait" r:id="rId1"/>
  <colBreaks count="1" manualBreakCount="1">
    <brk id="14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2026-06-25T02:53:53Z</cp:lastPrinted>
  <dcterms:created xsi:type="dcterms:W3CDTF">2019-06-30T04:22:49Z</dcterms:created>
  <dcterms:modified xsi:type="dcterms:W3CDTF">2026-06-25T02:54:00Z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