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1DF687D4-09CB-4631-A4D7-3CB80D8D8F04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10" sheetId="10" r:id="rId1"/>
  </sheets>
  <definedNames>
    <definedName name="_xlnm.Print_Area" localSheetId="0">'8.10'!$A$1:$O$45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0" l="1"/>
  <c r="J6" i="10"/>
  <c r="M7" i="10"/>
  <c r="M8" i="10"/>
  <c r="M9" i="10"/>
  <c r="M5" i="10"/>
  <c r="L7" i="10"/>
  <c r="L8" i="10"/>
  <c r="L9" i="10"/>
  <c r="L5" i="10"/>
  <c r="M6" i="10" l="1"/>
  <c r="K10" i="10"/>
  <c r="L10" i="10" s="1"/>
  <c r="L6" i="10"/>
  <c r="J10" i="10" l="1"/>
  <c r="M10" i="10" s="1"/>
  <c r="I6" i="10" l="1"/>
  <c r="I10" i="10" l="1"/>
  <c r="H6" i="10" l="1"/>
  <c r="H5" i="10" s="1"/>
  <c r="G6" i="10" l="1"/>
  <c r="G5" i="10" l="1"/>
  <c r="F6" i="10" l="1"/>
  <c r="F5" i="10" l="1"/>
  <c r="E6" i="10" l="1"/>
  <c r="E5" i="10" l="1"/>
  <c r="D6" i="10" l="1"/>
  <c r="D5" i="10" s="1"/>
  <c r="C6" i="10"/>
  <c r="C5" i="10" s="1"/>
  <c r="B6" i="10"/>
  <c r="B5" i="10" s="1"/>
</calcChain>
</file>

<file path=xl/sharedStrings.xml><?xml version="1.0" encoding="utf-8"?>
<sst xmlns="http://schemas.openxmlformats.org/spreadsheetml/2006/main" count="23" uniqueCount="23">
  <si>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</si>
  <si>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</si>
  <si>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</si>
  <si>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</si>
  <si>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</si>
  <si>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</si>
  <si>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</si>
  <si>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</si>
  <si>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</si>
  <si>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</si>
  <si>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</si>
  <si>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</si>
  <si>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</si>
  <si>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</si>
  <si>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</si>
  <si>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</si>
  <si>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</si>
  <si>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</si>
  <si>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 xml:space="preserve">(*) - Indicates if the percentage change is greater than 100. </t>
  </si>
  <si>
    <t>%change over 2024</t>
  </si>
  <si>
    <t>Table 8.10:  ASSAULT CASES LOGGED BY TYPE, 2016 - 2025</t>
  </si>
  <si>
    <t>އިންސައްތަ 2025</t>
  </si>
  <si>
    <t>ތާވަލު 8.10: ހުށަހެޅިފައިވާ މާރާމާރީގެ މައްސަލަތައް، 2016- 2025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</si>
</sst>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i/>
      <sz val="9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22" fillId="0" borderId="0"/>
    <xf numFmtId="0" fontId="30" fillId="0" borderId="9" applyNumberFormat="0" applyFill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172" fontId="33" fillId="0" borderId="0"/>
    <xf numFmtId="1" fontId="34" fillId="0" borderId="12" applyNumberFormat="0"/>
    <xf numFmtId="0" fontId="29" fillId="0" borderId="0"/>
    <xf numFmtId="0" fontId="1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32" fillId="0" borderId="0"/>
    <xf numFmtId="40" fontId="32" fillId="0" borderId="0" applyFont="0" applyFill="0" applyBorder="0" applyAlignment="0" applyProtection="0"/>
    <xf numFmtId="0" fontId="32" fillId="0" borderId="0"/>
    <xf numFmtId="0" fontId="29" fillId="0" borderId="0"/>
    <xf numFmtId="1" fontId="34" fillId="0" borderId="12" applyNumberFormat="0"/>
    <xf numFmtId="0" fontId="1" fillId="0" borderId="0"/>
    <xf numFmtId="0" fontId="32" fillId="0" borderId="0"/>
    <xf numFmtId="0" fontId="21" fillId="0" borderId="0" applyFill="0" applyProtection="0"/>
    <xf numFmtId="1" fontId="34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5" fillId="0" borderId="0"/>
    <xf numFmtId="0" fontId="36" fillId="0" borderId="0"/>
    <xf numFmtId="0" fontId="35" fillId="0" borderId="0"/>
    <xf numFmtId="0" fontId="1" fillId="0" borderId="0"/>
    <xf numFmtId="0" fontId="32" fillId="0" borderId="0"/>
    <xf numFmtId="0" fontId="21" fillId="0" borderId="0" applyFill="0" applyProtection="0"/>
    <xf numFmtId="1" fontId="34" fillId="0" borderId="12" applyNumberFormat="0"/>
    <xf numFmtId="0" fontId="1" fillId="0" borderId="0"/>
    <xf numFmtId="0" fontId="29" fillId="0" borderId="0"/>
    <xf numFmtId="0" fontId="35" fillId="0" borderId="0"/>
    <xf numFmtId="0" fontId="36" fillId="0" borderId="0"/>
    <xf numFmtId="0" fontId="29" fillId="0" borderId="0"/>
    <xf numFmtId="0" fontId="35" fillId="0" borderId="0"/>
    <xf numFmtId="0" fontId="37" fillId="0" borderId="0"/>
    <xf numFmtId="0" fontId="35" fillId="0" borderId="0"/>
    <xf numFmtId="0" fontId="3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37" fillId="0" borderId="0" applyBorder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7" fillId="0" borderId="0" applyBorder="0"/>
    <xf numFmtId="0" fontId="1" fillId="0" borderId="0"/>
    <xf numFmtId="0" fontId="1" fillId="0" borderId="0"/>
    <xf numFmtId="1" fontId="34" fillId="0" borderId="12" applyNumberFormat="0"/>
    <xf numFmtId="1" fontId="34" fillId="0" borderId="12" applyNumberFormat="0"/>
    <xf numFmtId="1" fontId="34" fillId="0" borderId="12" applyNumberFormat="0"/>
    <xf numFmtId="1" fontId="34" fillId="0" borderId="12" applyNumberFormat="0"/>
    <xf numFmtId="0" fontId="38" fillId="0" borderId="0"/>
    <xf numFmtId="0" fontId="38" fillId="0" borderId="0"/>
  </cellStyleXfs>
  <cellXfs count="56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4" fontId="24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7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8" fillId="2" borderId="0" xfId="0" applyNumberFormat="1" applyFont="1" applyFill="1"/>
    <xf numFmtId="164" fontId="13" fillId="2" borderId="0" xfId="0" applyNumberFormat="1" applyFont="1" applyFill="1" applyAlignment="1">
      <alignment vertical="center"/>
    </xf>
    <xf numFmtId="3" fontId="13" fillId="2" borderId="0" xfId="1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164" fontId="31" fillId="2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3" fontId="13" fillId="2" borderId="8" xfId="0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horizontal="right" vertical="center" indent="4"/>
    </xf>
    <xf numFmtId="3" fontId="16" fillId="2" borderId="7" xfId="0" applyNumberFormat="1" applyFont="1" applyFill="1" applyBorder="1" applyAlignment="1">
      <alignment vertical="center"/>
    </xf>
    <xf numFmtId="3" fontId="20" fillId="2" borderId="4" xfId="0" applyNumberFormat="1" applyFont="1" applyFill="1" applyBorder="1" applyAlignment="1">
      <alignment horizontal="right" vertical="center"/>
    </xf>
    <xf numFmtId="3" fontId="16" fillId="2" borderId="13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 indent="4"/>
    </xf>
    <xf numFmtId="3" fontId="16" fillId="2" borderId="14" xfId="0" applyNumberFormat="1" applyFont="1" applyFill="1" applyBorder="1" applyAlignment="1">
      <alignment horizontal="right" vertical="center" indent="4"/>
    </xf>
    <xf numFmtId="3" fontId="20" fillId="2" borderId="16" xfId="0" applyNumberFormat="1" applyFont="1" applyFill="1" applyBorder="1" applyAlignment="1">
      <alignment horizontal="right" vertical="center"/>
    </xf>
    <xf numFmtId="0" fontId="39" fillId="2" borderId="0" xfId="0" applyFont="1" applyFill="1" applyAlignment="1">
      <alignment horizontal="left" vertical="center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10" xfId="0" applyNumberFormat="1" applyFont="1" applyFill="1" applyBorder="1" applyAlignment="1">
      <alignment horizontal="center" vertical="top"/>
    </xf>
    <xf numFmtId="164" fontId="4" fillId="2" borderId="11" xfId="0" applyNumberFormat="1" applyFont="1" applyFill="1" applyBorder="1" applyAlignment="1">
      <alignment horizontal="center" vertical="top"/>
    </xf>
    <xf numFmtId="164" fontId="25" fillId="2" borderId="3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top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3627195881834E-2"/>
          <c:y val="0.17551025230578871"/>
          <c:w val="0.904108215022647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'8.10'!$I$3:$I$4</c:f>
              <c:strCache>
                <c:ptCount val="2"/>
                <c:pt idx="0">
                  <c:v>2023 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'8.10'!$I$7:$I$9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'8.10'!$J$3:$J$4</c:f>
              <c:strCache>
                <c:ptCount val="2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'8.10'!$J$7:$J$9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'8.10'!$K$3:$K$4</c:f>
              <c:strCache>
                <c:ptCount val="2"/>
                <c:pt idx="0">
                  <c:v>2025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'8.10'!$K$7:$K$9</c:f>
              <c:numCache>
                <c:formatCode>General</c:formatCode>
                <c:ptCount val="3"/>
                <c:pt idx="0">
                  <c:v>9</c:v>
                </c:pt>
                <c:pt idx="1">
                  <c:v>16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rgbClr val="F9FFF3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21061298135684506"/>
          <c:h val="7.1682717604915125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2D050"/>
            </a:solidFill>
          </c:spPr>
          <c:explosion val="2"/>
          <c:dPt>
            <c:idx val="0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2492511254021146"/>
                  <c:y val="-0.280293592702256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('8.10'!$L$6,'8.10'!$L$10)</c:f>
              <c:numCache>
                <c:formatCode>#,##0</c:formatCode>
                <c:ptCount val="2"/>
                <c:pt idx="0">
                  <c:v>15.728476821192054</c:v>
                </c:pt>
                <c:pt idx="1">
                  <c:v>84.271523178807954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269574</xdr:colOff>
      <xdr:row>12</xdr:row>
      <xdr:rowOff>107829</xdr:rowOff>
    </xdr:from>
    <xdr:to>
      <xdr:col>12</xdr:col>
      <xdr:colOff>566570</xdr:colOff>
      <xdr:row>26</xdr:row>
      <xdr:rowOff>170025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278561</xdr:colOff>
      <xdr:row>27</xdr:row>
      <xdr:rowOff>162363</xdr:rowOff>
    </xdr:from>
    <xdr:to>
      <xdr:col>12</xdr:col>
      <xdr:colOff>539151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317920</xdr:colOff>
      <xdr:row>28</xdr:row>
      <xdr:rowOff>90189</xdr:rowOff>
    </xdr:from>
    <xdr:to>
      <xdr:col>11</xdr:col>
      <xdr:colOff>53914</xdr:colOff>
      <xdr:row>30</xdr:row>
      <xdr:rowOff>1316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3193392" y="6452170"/>
          <a:ext cx="4327763" cy="288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2025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0.27238</cdr:x>
      <cdr:y>0.03579</cdr:y>
    </cdr:from>
    <cdr:to>
      <cdr:x>0.71845</cdr:x>
      <cdr:y>0.1239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78131" y="97740"/>
          <a:ext cx="3403238" cy="240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2023 - 2025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T40"/>
  <sheetViews>
    <sheetView tabSelected="1" zoomScale="106" zoomScaleNormal="106" workbookViewId="0">
      <selection activeCell="M61" sqref="M61"/>
    </sheetView>
  </sheetViews>
  <sheetFormatPr defaultColWidth="15.42578125" defaultRowHeight="15"/>
  <cols>
    <col min="1" max="1" width="23.42578125" style="1" customWidth="1"/>
    <col min="2" max="11" width="9.85546875" style="1" customWidth="1"/>
    <col min="12" max="12" width="11.5703125" style="1" customWidth="1"/>
    <col min="13" max="13" width="17.42578125" style="1" customWidth="1"/>
    <col min="14" max="14" width="21.140625" style="1" customWidth="1"/>
    <col min="15" max="15" width="2.85546875" style="1" customWidth="1"/>
    <col min="16" max="16" width="22.140625" style="1" bestFit="1" customWidth="1"/>
    <col min="17" max="16384" width="15.42578125" style="1"/>
  </cols>
  <sheetData>
    <row r="1" spans="1:20" ht="18.75">
      <c r="A1" s="53" t="s">
        <v>22</v>
      </c>
      <c r="B1" s="53"/>
      <c r="C1" s="53"/>
      <c r="D1" s="53"/>
      <c r="E1" s="53"/>
      <c r="F1" s="53"/>
      <c r="G1" s="53"/>
      <c r="H1" s="53"/>
      <c r="I1" s="53"/>
      <c r="J1" s="53"/>
      <c r="K1" s="54"/>
      <c r="L1" s="53"/>
      <c r="M1" s="53"/>
      <c r="N1" s="53"/>
    </row>
    <row r="2" spans="1:20" ht="21.75" customHeight="1">
      <c r="A2" s="45" t="s">
        <v>20</v>
      </c>
      <c r="B2" s="45"/>
      <c r="C2" s="45"/>
      <c r="D2" s="45"/>
      <c r="E2" s="46"/>
      <c r="F2" s="46"/>
      <c r="G2" s="45"/>
      <c r="H2" s="47"/>
      <c r="I2" s="47"/>
      <c r="J2" s="47"/>
      <c r="K2" s="55"/>
      <c r="L2" s="45"/>
      <c r="M2" s="45"/>
      <c r="N2" s="45"/>
      <c r="P2" s="2"/>
    </row>
    <row r="3" spans="1:20" ht="51.75">
      <c r="A3" s="49" t="s">
        <v>4</v>
      </c>
      <c r="B3" s="51">
        <v>2016</v>
      </c>
      <c r="C3" s="51">
        <v>2017</v>
      </c>
      <c r="D3" s="51">
        <v>2018</v>
      </c>
      <c r="E3" s="51">
        <v>2019</v>
      </c>
      <c r="F3" s="51">
        <v>2020</v>
      </c>
      <c r="G3" s="51">
        <v>2021</v>
      </c>
      <c r="H3" s="51">
        <v>2022</v>
      </c>
      <c r="I3" s="51">
        <v>2023</v>
      </c>
      <c r="J3" s="51">
        <v>2024</v>
      </c>
      <c r="K3" s="51">
        <v>2025</v>
      </c>
      <c r="L3" s="32" t="s">
        <v>21</v>
      </c>
      <c r="M3" s="34" t="s">
        <v>6</v>
      </c>
      <c r="N3" s="48" t="s">
        <v>5</v>
      </c>
      <c r="Q3" s="3"/>
      <c r="R3" s="3"/>
      <c r="S3" s="3"/>
      <c r="T3" s="3"/>
    </row>
    <row r="4" spans="1:20" ht="24">
      <c r="A4" s="50"/>
      <c r="B4" s="52"/>
      <c r="C4" s="52"/>
      <c r="D4" s="52"/>
      <c r="E4" s="52"/>
      <c r="F4" s="52"/>
      <c r="G4" s="52"/>
      <c r="H4" s="52"/>
      <c r="I4" s="52"/>
      <c r="J4" s="52"/>
      <c r="K4" s="52"/>
      <c r="L4" s="31" t="s">
        <v>7</v>
      </c>
      <c r="M4" s="20" t="s">
        <v>19</v>
      </c>
      <c r="N4" s="44"/>
      <c r="Q4" s="3"/>
      <c r="R4" s="3"/>
      <c r="S4" s="3"/>
      <c r="T4" s="3"/>
    </row>
    <row r="5" spans="1:20" s="14" customFormat="1" ht="18.75">
      <c r="A5" s="5" t="s">
        <v>0</v>
      </c>
      <c r="B5" s="21">
        <f t="shared" ref="B5:D5" si="0">B6+B10</f>
        <v>781</v>
      </c>
      <c r="C5" s="21">
        <f t="shared" si="0"/>
        <v>770</v>
      </c>
      <c r="D5" s="21">
        <f t="shared" si="0"/>
        <v>753</v>
      </c>
      <c r="E5" s="21">
        <f>E6+E10</f>
        <v>631</v>
      </c>
      <c r="F5" s="21">
        <f>F6+F10</f>
        <v>661</v>
      </c>
      <c r="G5" s="21">
        <f>G6+G10</f>
        <v>610</v>
      </c>
      <c r="H5" s="21">
        <f>H6+H10</f>
        <v>521</v>
      </c>
      <c r="I5" s="21">
        <v>655</v>
      </c>
      <c r="J5" s="21">
        <v>710</v>
      </c>
      <c r="K5" s="21">
        <v>604</v>
      </c>
      <c r="L5" s="35">
        <f t="shared" ref="L5:L10" si="1">K5/K$5*100</f>
        <v>100</v>
      </c>
      <c r="M5" s="36">
        <f t="shared" ref="M5:M10" si="2">((K5-J5)/J5*100)</f>
        <v>-14.929577464788732</v>
      </c>
      <c r="N5" s="23" t="s">
        <v>3</v>
      </c>
      <c r="O5" s="21"/>
      <c r="P5" s="21"/>
      <c r="Q5" s="15"/>
      <c r="R5" s="15"/>
      <c r="S5" s="15"/>
      <c r="T5" s="15"/>
    </row>
    <row r="6" spans="1:20" s="14" customFormat="1" ht="18.75">
      <c r="A6" s="5" t="s">
        <v>8</v>
      </c>
      <c r="B6" s="6">
        <f t="shared" ref="B6" si="3">SUM(B7:B9)</f>
        <v>215</v>
      </c>
      <c r="C6" s="6">
        <f t="shared" ref="C6:H6" si="4">SUM(C7:C9)</f>
        <v>219</v>
      </c>
      <c r="D6" s="6">
        <f t="shared" si="4"/>
        <v>223</v>
      </c>
      <c r="E6" s="6">
        <f t="shared" si="4"/>
        <v>131</v>
      </c>
      <c r="F6" s="6">
        <f t="shared" si="4"/>
        <v>151</v>
      </c>
      <c r="G6" s="6">
        <f t="shared" si="4"/>
        <v>106</v>
      </c>
      <c r="H6" s="6">
        <f t="shared" si="4"/>
        <v>67</v>
      </c>
      <c r="I6" s="6">
        <f>SUM(I7:I9)</f>
        <v>59</v>
      </c>
      <c r="J6" s="6">
        <f>SUM(J7:J9)</f>
        <v>80</v>
      </c>
      <c r="K6" s="6">
        <f>SUM(K7:K9)</f>
        <v>95</v>
      </c>
      <c r="L6" s="39">
        <f t="shared" si="1"/>
        <v>15.728476821192054</v>
      </c>
      <c r="M6" s="40">
        <f t="shared" si="2"/>
        <v>18.75</v>
      </c>
      <c r="N6" s="23" t="s">
        <v>9</v>
      </c>
      <c r="O6" s="6"/>
      <c r="P6" s="6"/>
      <c r="Q6" s="15"/>
      <c r="R6" s="15"/>
      <c r="S6" s="15"/>
      <c r="T6" s="15"/>
    </row>
    <row r="7" spans="1:20" s="19" customFormat="1" ht="18.75">
      <c r="A7" s="16" t="s">
        <v>10</v>
      </c>
      <c r="B7" s="25">
        <v>22</v>
      </c>
      <c r="C7" s="25">
        <v>17</v>
      </c>
      <c r="D7" s="25">
        <v>26</v>
      </c>
      <c r="E7" s="25">
        <v>6</v>
      </c>
      <c r="F7" s="25">
        <v>12</v>
      </c>
      <c r="G7" s="25">
        <v>4</v>
      </c>
      <c r="H7" s="25">
        <v>5</v>
      </c>
      <c r="I7" s="25">
        <v>2</v>
      </c>
      <c r="J7" s="25">
        <v>6</v>
      </c>
      <c r="K7" s="25">
        <v>9</v>
      </c>
      <c r="L7" s="39">
        <f t="shared" si="1"/>
        <v>1.490066225165563</v>
      </c>
      <c r="M7" s="40">
        <f t="shared" si="2"/>
        <v>50</v>
      </c>
      <c r="N7" s="8" t="s">
        <v>11</v>
      </c>
      <c r="O7" s="22"/>
      <c r="P7" s="22"/>
      <c r="Q7" s="15"/>
      <c r="R7" s="17"/>
      <c r="S7" s="17"/>
      <c r="T7" s="17"/>
    </row>
    <row r="8" spans="1:20" s="19" customFormat="1" ht="18.75">
      <c r="A8" s="16" t="s">
        <v>12</v>
      </c>
      <c r="B8" s="25">
        <v>24</v>
      </c>
      <c r="C8" s="25">
        <v>34</v>
      </c>
      <c r="D8" s="25">
        <v>48</v>
      </c>
      <c r="E8" s="25">
        <v>16</v>
      </c>
      <c r="F8" s="25">
        <v>7</v>
      </c>
      <c r="G8" s="25">
        <v>10</v>
      </c>
      <c r="H8" s="25">
        <v>10</v>
      </c>
      <c r="I8" s="25">
        <v>12</v>
      </c>
      <c r="J8" s="25">
        <v>12</v>
      </c>
      <c r="K8" s="25">
        <v>16</v>
      </c>
      <c r="L8" s="39">
        <f t="shared" si="1"/>
        <v>2.6490066225165565</v>
      </c>
      <c r="M8" s="40">
        <f t="shared" si="2"/>
        <v>33.333333333333329</v>
      </c>
      <c r="N8" s="8" t="s">
        <v>13</v>
      </c>
      <c r="O8" s="22"/>
      <c r="P8" s="22"/>
      <c r="Q8" s="15"/>
      <c r="R8" s="17"/>
      <c r="S8" s="17"/>
      <c r="T8" s="17"/>
    </row>
    <row r="9" spans="1:20" s="19" customFormat="1" ht="18.75">
      <c r="A9" s="16" t="s">
        <v>14</v>
      </c>
      <c r="B9" s="25">
        <v>169</v>
      </c>
      <c r="C9" s="25">
        <v>168</v>
      </c>
      <c r="D9" s="25">
        <v>149</v>
      </c>
      <c r="E9" s="25">
        <v>109</v>
      </c>
      <c r="F9" s="25">
        <v>132</v>
      </c>
      <c r="G9" s="25">
        <v>92</v>
      </c>
      <c r="H9" s="25">
        <v>52</v>
      </c>
      <c r="I9" s="25">
        <v>45</v>
      </c>
      <c r="J9" s="25">
        <v>62</v>
      </c>
      <c r="K9" s="25">
        <v>70</v>
      </c>
      <c r="L9" s="39">
        <f t="shared" si="1"/>
        <v>11.589403973509933</v>
      </c>
      <c r="M9" s="40">
        <f t="shared" si="2"/>
        <v>12.903225806451612</v>
      </c>
      <c r="N9" s="8" t="s">
        <v>15</v>
      </c>
      <c r="O9" s="22"/>
      <c r="P9" s="22"/>
      <c r="Q9" s="15"/>
      <c r="R9" s="17"/>
      <c r="S9" s="17"/>
      <c r="T9" s="17"/>
    </row>
    <row r="10" spans="1:20" s="27" customFormat="1" ht="18.75">
      <c r="A10" s="4" t="s">
        <v>16</v>
      </c>
      <c r="B10" s="24">
        <v>566</v>
      </c>
      <c r="C10" s="24">
        <v>551</v>
      </c>
      <c r="D10" s="24">
        <v>530</v>
      </c>
      <c r="E10" s="24">
        <v>500</v>
      </c>
      <c r="F10" s="24">
        <v>510</v>
      </c>
      <c r="G10" s="24">
        <v>504</v>
      </c>
      <c r="H10" s="24">
        <v>454</v>
      </c>
      <c r="I10" s="38">
        <f>I5-I6</f>
        <v>596</v>
      </c>
      <c r="J10" s="38">
        <f>J5-J6</f>
        <v>630</v>
      </c>
      <c r="K10" s="42">
        <f>K5-K6</f>
        <v>509</v>
      </c>
      <c r="L10" s="37">
        <f t="shared" si="1"/>
        <v>84.271523178807954</v>
      </c>
      <c r="M10" s="41">
        <f t="shared" si="2"/>
        <v>-19.206349206349209</v>
      </c>
      <c r="N10" s="26" t="s">
        <v>17</v>
      </c>
      <c r="O10" s="6"/>
      <c r="P10" s="6"/>
      <c r="Q10" s="15"/>
      <c r="R10" s="15"/>
      <c r="S10" s="15"/>
      <c r="T10" s="15"/>
    </row>
    <row r="11" spans="1:20">
      <c r="A11" s="11" t="s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3" t="s">
        <v>2</v>
      </c>
      <c r="Q11" s="3"/>
      <c r="R11" s="3"/>
      <c r="S11" s="3"/>
      <c r="T11" s="3"/>
    </row>
    <row r="12" spans="1:20">
      <c r="A12" s="43" t="s">
        <v>18</v>
      </c>
      <c r="Q12" s="3"/>
      <c r="R12" s="3"/>
      <c r="S12" s="3"/>
      <c r="T12" s="3"/>
    </row>
    <row r="13" spans="1:20">
      <c r="A13" s="18"/>
      <c r="Q13" s="3"/>
      <c r="R13" s="3"/>
      <c r="S13" s="3"/>
      <c r="T13" s="3"/>
    </row>
    <row r="14" spans="1:20">
      <c r="Q14" s="3"/>
      <c r="R14" s="3"/>
      <c r="S14" s="3"/>
      <c r="T14" s="3"/>
    </row>
    <row r="15" spans="1:20">
      <c r="Q15" s="3"/>
      <c r="R15" s="3"/>
      <c r="S15" s="3"/>
      <c r="T15" s="3"/>
    </row>
    <row r="16" spans="1:20">
      <c r="Q16" s="3"/>
      <c r="R16" s="3"/>
      <c r="S16" s="3"/>
      <c r="T16" s="3"/>
    </row>
    <row r="17" spans="1:20">
      <c r="Q17" s="3"/>
      <c r="R17" s="3"/>
      <c r="S17" s="3"/>
      <c r="T17" s="3"/>
    </row>
    <row r="18" spans="1:20" ht="17.25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9"/>
      <c r="N18" s="13"/>
      <c r="Q18" s="3"/>
      <c r="R18" s="3"/>
      <c r="S18" s="3"/>
      <c r="T18" s="3"/>
    </row>
    <row r="19" spans="1:20">
      <c r="Q19" s="3"/>
      <c r="R19" s="3"/>
      <c r="S19" s="3"/>
      <c r="T19" s="3"/>
    </row>
    <row r="20" spans="1:20">
      <c r="Q20" s="3"/>
      <c r="R20" s="3"/>
      <c r="S20" s="3"/>
      <c r="T20" s="3"/>
    </row>
    <row r="27" spans="1:20">
      <c r="O27" s="28"/>
      <c r="P27" s="28"/>
      <c r="Q27" s="28"/>
    </row>
    <row r="28" spans="1:20">
      <c r="O28" s="14"/>
      <c r="P28" s="14"/>
      <c r="Q28" s="28"/>
    </row>
    <row r="29" spans="1:20">
      <c r="O29" s="14"/>
      <c r="P29" s="14"/>
      <c r="Q29" s="28"/>
    </row>
    <row r="30" spans="1:20">
      <c r="O30" s="14"/>
      <c r="P30" s="14"/>
      <c r="Q30" s="28"/>
    </row>
    <row r="31" spans="1:20">
      <c r="O31" s="14"/>
      <c r="P31" s="14"/>
      <c r="Q31" s="28"/>
    </row>
    <row r="32" spans="1:20">
      <c r="O32" s="14"/>
      <c r="P32" s="14"/>
      <c r="Q32" s="28"/>
    </row>
    <row r="33" spans="15:20">
      <c r="O33" s="14"/>
      <c r="P33" s="14"/>
      <c r="Q33" s="28"/>
    </row>
    <row r="34" spans="15:20">
      <c r="R34" s="29"/>
      <c r="S34" s="30"/>
      <c r="T34" s="28"/>
    </row>
    <row r="35" spans="15:20">
      <c r="R35" s="29"/>
      <c r="S35" s="30"/>
      <c r="T35" s="28"/>
    </row>
    <row r="36" spans="15:20">
      <c r="O36" s="28"/>
      <c r="P36" s="28"/>
      <c r="Q36" s="28"/>
      <c r="S36" s="5"/>
      <c r="T36" s="6"/>
    </row>
    <row r="37" spans="15:20">
      <c r="O37" s="28"/>
      <c r="P37" s="28"/>
      <c r="Q37" s="28"/>
    </row>
    <row r="38" spans="15:20">
      <c r="O38" s="28"/>
      <c r="P38" s="28"/>
      <c r="Q38" s="28"/>
    </row>
    <row r="39" spans="15:20">
      <c r="O39" s="28"/>
      <c r="P39" s="28"/>
      <c r="Q39" s="28"/>
    </row>
    <row r="40" spans="15:20">
      <c r="O40" s="28"/>
      <c r="P40" s="28"/>
      <c r="Q40" s="28"/>
    </row>
  </sheetData>
  <mergeCells count="14">
    <mergeCell ref="D3:D4"/>
    <mergeCell ref="N3:N4"/>
    <mergeCell ref="K3:K4"/>
    <mergeCell ref="A1:N1"/>
    <mergeCell ref="A2:N2"/>
    <mergeCell ref="A3:A4"/>
    <mergeCell ref="B3:B4"/>
    <mergeCell ref="C3:C4"/>
    <mergeCell ref="E3:E4"/>
    <mergeCell ref="F3:F4"/>
    <mergeCell ref="G3:G4"/>
    <mergeCell ref="J3:J4"/>
    <mergeCell ref="H3:H4"/>
    <mergeCell ref="I3:I4"/>
  </mergeCells>
  <pageMargins left="0.7" right="0.7" top="0.75" bottom="0.75" header="0.3" footer="0.3"/>
  <pageSetup paperSize="9" scale="49" orientation="portrait" r:id="rId1"/>
  <colBreaks count="1" manualBreakCount="1">
    <brk id="15" max="59" man="1"/>
  </colBreaks>
  <ignoredErrors>
    <ignoredError sqref="B6:G6" formulaRange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2026-06-25T03:30:31Z</cp:lastPrinted>
  <dcterms:created xsi:type="dcterms:W3CDTF">2019-06-30T04:22:49Z</dcterms:created>
  <dcterms:modified xsi:type="dcterms:W3CDTF">2026-06-25T03:30:39Z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