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64C91A9C-592B-424F-9472-0BE64350449D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5.3" sheetId="3" r:id="rId1"/>
  </sheets>
  <definedNames>
    <definedName name="_xlnm.Print_Area" localSheetId="0">'5.3'!$A$1:$F$64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6" i="3" l="1"/>
  <c r="AL46" i="3"/>
  <c r="AK47" i="3"/>
  <c r="AL47" i="3"/>
  <c r="AK48" i="3"/>
  <c r="AL48" i="3"/>
  <c r="AK49" i="3"/>
  <c r="AL49" i="3"/>
  <c r="AK50" i="3"/>
  <c r="AL50" i="3"/>
  <c r="AK51" i="3"/>
  <c r="AL51" i="3"/>
  <c r="AK52" i="3"/>
  <c r="AL52" i="3"/>
  <c r="AK53" i="3"/>
  <c r="AL53" i="3"/>
  <c r="AK54" i="3"/>
  <c r="AL54" i="3"/>
  <c r="AK55" i="3"/>
  <c r="AL55" i="3"/>
  <c r="AK56" i="3"/>
  <c r="AL56" i="3"/>
  <c r="AK57" i="3"/>
  <c r="AL57" i="3"/>
  <c r="AK58" i="3"/>
  <c r="AL58" i="3"/>
  <c r="AK59" i="3"/>
  <c r="AL59" i="3"/>
  <c r="AK60" i="3"/>
  <c r="AL60" i="3"/>
  <c r="AK61" i="3"/>
  <c r="AL61" i="3"/>
  <c r="AK62" i="3"/>
  <c r="AL62" i="3"/>
  <c r="AL45" i="3"/>
  <c r="AK45" i="3"/>
  <c r="B16" i="3" l="1"/>
  <c r="B17" i="3"/>
  <c r="D8" i="3" l="1"/>
  <c r="C8" i="3"/>
  <c r="B10" i="3" l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D6" i="3"/>
  <c r="B8" i="3"/>
  <c r="B7" i="3"/>
  <c r="C6" i="3" l="1"/>
  <c r="B6" i="3" s="1"/>
  <c r="AL64" i="3" l="1"/>
  <c r="AK64" i="3"/>
  <c r="AL63" i="3"/>
  <c r="AK63" i="3"/>
</calcChain>
</file>

<file path=xl/sharedStrings.xml><?xml version="1.0" encoding="utf-8"?>
<sst xmlns="http://schemas.openxmlformats.org/spreadsheetml/2006/main" count="80" uniqueCount="78">
  <si>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</si>
  <si>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</si>
  <si>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</si>
  <si>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</si>
  <si>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</si>
  <si>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</si>
  <si>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</si>
  <si>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</si>
  <si>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</si>
  <si>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</si>
  <si>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</si>
  <si>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</si>
  <si>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</si>
  <si>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</si>
  <si>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</si>
  <si>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</si>
  <si>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</si>
  <si>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</si>
  <si>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</si>
  <si>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</si>
  <si>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</si>
  <si>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</si>
  <si>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</si>
  <si>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</si>
  <si>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</si>
  <si>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</si>
  <si>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</si>
  <si>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</si>
  <si>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</si>
  <si>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</si>
  <si>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</si>
  <si>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</si>
  <si>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</si>
  <si>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</si>
  <si>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</si>
  <si>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</si>
  <si>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</si>
  <si>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</si>
  <si>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</si>
  <si>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</si>
  <si>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</si>
  <si>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</si>
  <si>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</si>
  <si>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</si>
  <si>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</si>
  <si>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</si>
  <si>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</si>
  <si>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</si>
  <si>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</si>
  <si>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</si>
  <si>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</si>
  <si>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</si>
  <si>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</si>
  <si>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</si>
  <si>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</si>
  <si>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</si>
  <si>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</si>
  <si>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</si>
  <si>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</si>
  <si>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</si>
  <si>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</si>
  <si>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</si>
  <si>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</si>
  <si>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</si>
  <si>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</si>
  <si>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</si>
  <si>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</si>
  <si>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</si>
  <si>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</si>
  <si>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</si>
  <si>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</si>
  <si>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</si>
  <si>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</si>
  <si>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</si>
  <si>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</si>
  <si>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</si>
  <si>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Table 5.3: CIVIL SERVANTS BY ATOLL AND SEX, 2024</t>
  </si>
  <si>
    <t>ތާވަލް 5.3: މާލެ އާއި އަތޮޅުތަކުގައި މަސައްކަތްކުރާ ސިވިލް ސަރވަންޓުންގެ އަދަދު އަދި ޖިންސް،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</si>
</sst>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0" fontId="2" fillId="0" borderId="0"/>
  </cellStyleXfs>
  <cellXfs count="31">
    <xf numFmtId="0" fontId="0" fillId="0" borderId="0" xfId="0"/>
    <xf numFmtId="0" fontId="3" fillId="2" borderId="0" xfId="2" applyFont="1" applyFill="1"/>
    <xf numFmtId="3" fontId="8" fillId="2" borderId="0" xfId="4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6" fillId="2" borderId="5" xfId="6" applyFont="1" applyFill="1" applyBorder="1" applyAlignment="1">
      <alignment horizontal="left" vertical="center" indent="2"/>
    </xf>
    <xf numFmtId="0" fontId="7" fillId="2" borderId="3" xfId="3" applyFont="1" applyFill="1" applyBorder="1"/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3" fontId="10" fillId="2" borderId="0" xfId="5" applyNumberFormat="1" applyFont="1" applyFill="1" applyAlignment="1">
      <alignment horizontal="right" vertical="center"/>
    </xf>
    <xf numFmtId="3" fontId="4" fillId="2" borderId="0" xfId="1" applyNumberFormat="1" applyFont="1" applyFill="1" applyBorder="1" applyAlignment="1">
      <alignment vertical="center"/>
    </xf>
    <xf numFmtId="0" fontId="4" fillId="2" borderId="0" xfId="0" applyFont="1" applyFill="1"/>
    <xf numFmtId="3" fontId="15" fillId="2" borderId="0" xfId="5" applyNumberFormat="1" applyFont="1" applyFill="1" applyAlignment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11" fillId="3" borderId="0" xfId="0" applyFont="1" applyFill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5" fillId="2" borderId="2" xfId="5" applyNumberFormat="1" applyFont="1" applyFill="1" applyBorder="1" applyAlignment="1">
      <alignment horizontal="right" vertical="center" indent="2"/>
    </xf>
    <xf numFmtId="3" fontId="16" fillId="4" borderId="7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0" fontId="3" fillId="2" borderId="0" xfId="2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indent="2"/>
    </xf>
    <xf numFmtId="0" fontId="4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13">
    <cellStyle name="1" xfId="12" xr:uid="{00000000-0005-0000-0000-000000000000}"/>
    <cellStyle name="Comma" xfId="1" builtinId="3"/>
    <cellStyle name="Comma 3" xfId="10" xr:uid="{00000000-0005-0000-0000-000002000000}"/>
    <cellStyle name="Normal" xfId="0" builtinId="0"/>
    <cellStyle name="Normal 11" xfId="11" xr:uid="{00000000-0005-0000-0000-000004000000}"/>
    <cellStyle name="Normal 2" xfId="7" xr:uid="{00000000-0005-0000-0000-000005000000}"/>
    <cellStyle name="Normal 4" xfId="8" xr:uid="{00000000-0005-0000-0000-000006000000}"/>
    <cellStyle name="Normal 5" xfId="9" xr:uid="{00000000-0005-0000-0000-000007000000}"/>
    <cellStyle name="Normal_5 Employment_done" xfId="2" xr:uid="{00000000-0005-0000-0000-000008000000}"/>
    <cellStyle name="Normal_II-15(Population) 2" xfId="5" xr:uid="{00000000-0005-0000-0000-000009000000}"/>
    <cellStyle name="Normal_II-16(Populaion)" xfId="4" xr:uid="{00000000-0005-0000-0000-00000A000000}"/>
    <cellStyle name="Normal_immunization" xfId="6" xr:uid="{00000000-0005-0000-0000-00000B000000}"/>
    <cellStyle name="Normal_po" xfId="3" xr:uid="{00000000-0005-0000-0000-00000C000000}"/>
  </cellStyles>
  <dxfs count="2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Column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</c:spPr>
          <c:invertIfNegative val="0"/>
          <c:cat>
            <c:numRef>
              <c:f>'5.3'!$AJ$9:$AJ$28</c:f>
              <c:numCache>
                <c:formatCode>General</c:formatCode>
                <c:ptCount val="20"/>
              </c:numCache>
            </c:numRef>
          </c:cat>
          <c:val>
            <c:numRef>
              <c:f>'5.3'!$B$9:$B$28</c:f>
              <c:numCache>
                <c:formatCode>#,##0</c:formatCode>
                <c:ptCount val="20"/>
                <c:pt idx="0">
                  <c:v>1263</c:v>
                </c:pt>
                <c:pt idx="1">
                  <c:v>1841</c:v>
                </c:pt>
                <c:pt idx="2">
                  <c:v>1322</c:v>
                </c:pt>
                <c:pt idx="3">
                  <c:v>1105</c:v>
                </c:pt>
                <c:pt idx="4">
                  <c:v>1513</c:v>
                </c:pt>
                <c:pt idx="5">
                  <c:v>1018</c:v>
                </c:pt>
                <c:pt idx="6">
                  <c:v>618</c:v>
                </c:pt>
                <c:pt idx="7">
                  <c:v>977</c:v>
                </c:pt>
                <c:pt idx="8">
                  <c:v>645</c:v>
                </c:pt>
                <c:pt idx="9">
                  <c:v>807</c:v>
                </c:pt>
                <c:pt idx="10">
                  <c:v>199</c:v>
                </c:pt>
                <c:pt idx="11">
                  <c:v>575</c:v>
                </c:pt>
                <c:pt idx="12">
                  <c:v>593</c:v>
                </c:pt>
                <c:pt idx="13">
                  <c:v>604</c:v>
                </c:pt>
                <c:pt idx="14">
                  <c:v>1086</c:v>
                </c:pt>
                <c:pt idx="15">
                  <c:v>1283</c:v>
                </c:pt>
                <c:pt idx="16">
                  <c:v>814</c:v>
                </c:pt>
                <c:pt idx="17">
                  <c:v>1074</c:v>
                </c:pt>
                <c:pt idx="18">
                  <c:v>626</c:v>
                </c:pt>
                <c:pt idx="19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20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'5.3'!$AK$44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'5.3'!$AJ$45:$AJ$64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'5.3'!$AK$45:$AK$64</c:f>
              <c:numCache>
                <c:formatCode>#,##0</c:formatCode>
                <c:ptCount val="20"/>
                <c:pt idx="0">
                  <c:v>448</c:v>
                </c:pt>
                <c:pt idx="1">
                  <c:v>637</c:v>
                </c:pt>
                <c:pt idx="2">
                  <c:v>567</c:v>
                </c:pt>
                <c:pt idx="3">
                  <c:v>402</c:v>
                </c:pt>
                <c:pt idx="4">
                  <c:v>553</c:v>
                </c:pt>
                <c:pt idx="5">
                  <c:v>303</c:v>
                </c:pt>
                <c:pt idx="6">
                  <c:v>201</c:v>
                </c:pt>
                <c:pt idx="7">
                  <c:v>309</c:v>
                </c:pt>
                <c:pt idx="8">
                  <c:v>215</c:v>
                </c:pt>
                <c:pt idx="9">
                  <c:v>222</c:v>
                </c:pt>
                <c:pt idx="10">
                  <c:v>62</c:v>
                </c:pt>
                <c:pt idx="11">
                  <c:v>213</c:v>
                </c:pt>
                <c:pt idx="12">
                  <c:v>209</c:v>
                </c:pt>
                <c:pt idx="13">
                  <c:v>181</c:v>
                </c:pt>
                <c:pt idx="14">
                  <c:v>440</c:v>
                </c:pt>
                <c:pt idx="15">
                  <c:v>447</c:v>
                </c:pt>
                <c:pt idx="16">
                  <c:v>236</c:v>
                </c:pt>
                <c:pt idx="17">
                  <c:v>307</c:v>
                </c:pt>
                <c:pt idx="18">
                  <c:v>167</c:v>
                </c:pt>
                <c:pt idx="1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'5.3'!$AL$44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'5.3'!$AJ$45:$AJ$64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'5.3'!$AL$45:$AL$64</c:f>
              <c:numCache>
                <c:formatCode>#,##0</c:formatCode>
                <c:ptCount val="20"/>
                <c:pt idx="0">
                  <c:v>815</c:v>
                </c:pt>
                <c:pt idx="1">
                  <c:v>1204</c:v>
                </c:pt>
                <c:pt idx="2">
                  <c:v>755</c:v>
                </c:pt>
                <c:pt idx="3">
                  <c:v>703</c:v>
                </c:pt>
                <c:pt idx="4">
                  <c:v>960</c:v>
                </c:pt>
                <c:pt idx="5">
                  <c:v>715</c:v>
                </c:pt>
                <c:pt idx="6">
                  <c:v>417</c:v>
                </c:pt>
                <c:pt idx="7">
                  <c:v>668</c:v>
                </c:pt>
                <c:pt idx="8">
                  <c:v>430</c:v>
                </c:pt>
                <c:pt idx="9">
                  <c:v>585</c:v>
                </c:pt>
                <c:pt idx="10">
                  <c:v>137</c:v>
                </c:pt>
                <c:pt idx="11">
                  <c:v>362</c:v>
                </c:pt>
                <c:pt idx="12">
                  <c:v>384</c:v>
                </c:pt>
                <c:pt idx="13">
                  <c:v>423</c:v>
                </c:pt>
                <c:pt idx="14">
                  <c:v>646</c:v>
                </c:pt>
                <c:pt idx="15">
                  <c:v>836</c:v>
                </c:pt>
                <c:pt idx="16">
                  <c:v>578</c:v>
                </c:pt>
                <c:pt idx="17">
                  <c:v>767</c:v>
                </c:pt>
                <c:pt idx="18">
                  <c:v>459</c:v>
                </c:pt>
                <c:pt idx="19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400"/>
          <c:min val="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2025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121878</xdr:rowOff>
    </xdr:from>
    <xdr:to>
      <xdr:col>4</xdr:col>
      <xdr:colOff>1495424</xdr:colOff>
      <xdr:row>47</xdr:row>
      <xdr:rowOff>165693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63929" y="9270065"/>
          <a:ext cx="4791577" cy="232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2025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293077</xdr:colOff>
      <xdr:row>59</xdr:row>
      <xdr:rowOff>9524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-657381" y="10656538"/>
          <a:ext cx="1731666" cy="169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L64"/>
  <sheetViews>
    <sheetView tabSelected="1" zoomScale="106" zoomScaleNormal="106" zoomScaleSheetLayoutView="91" workbookViewId="0">
      <selection activeCell="R26" sqref="R26"/>
    </sheetView>
  </sheetViews>
  <sheetFormatPr defaultRowHeight="15" x14ac:dyDescent="0.25"/>
  <cols>
    <col min="1" max="1" width="32.85546875" style="6" customWidth="1"/>
    <col min="2" max="4" width="10.28515625" style="6" customWidth="1"/>
    <col min="5" max="5" width="30.42578125" style="6" customWidth="1"/>
    <col min="6" max="6" width="6.5703125" style="6" customWidth="1"/>
    <col min="7" max="16384" width="9.140625" style="6"/>
  </cols>
  <sheetData>
    <row r="1" spans="1:38" ht="21" x14ac:dyDescent="0.55000000000000004">
      <c r="A1" s="25" t="s">
        <v>77</v>
      </c>
      <c r="B1" s="25"/>
      <c r="C1" s="25"/>
      <c r="D1" s="25"/>
      <c r="E1" s="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8" x14ac:dyDescent="0.25">
      <c r="A2" s="26" t="s">
        <v>76</v>
      </c>
      <c r="B2" s="26"/>
      <c r="C2" s="26"/>
      <c r="D2" s="26"/>
      <c r="E2" s="26"/>
    </row>
    <row r="3" spans="1:38" ht="11.45" customHeight="1" x14ac:dyDescent="0.25"/>
    <row r="4" spans="1:38" ht="18.75" customHeight="1" x14ac:dyDescent="0.25">
      <c r="A4" s="27" t="s">
        <v>10</v>
      </c>
      <c r="B4" s="7" t="s">
        <v>0</v>
      </c>
      <c r="C4" s="7" t="s">
        <v>1</v>
      </c>
      <c r="D4" s="7" t="s">
        <v>2</v>
      </c>
      <c r="E4" s="29" t="s">
        <v>11</v>
      </c>
    </row>
    <row r="5" spans="1:38" ht="15" customHeight="1" x14ac:dyDescent="0.25">
      <c r="A5" s="28"/>
      <c r="B5" s="8" t="s">
        <v>9</v>
      </c>
      <c r="C5" s="8" t="s">
        <v>3</v>
      </c>
      <c r="D5" s="8" t="s">
        <v>4</v>
      </c>
      <c r="E5" s="30"/>
    </row>
    <row r="6" spans="1:38" ht="18.75" x14ac:dyDescent="0.25">
      <c r="A6" s="9" t="s">
        <v>12</v>
      </c>
      <c r="B6" s="20">
        <f>SUM(C6:D6)</f>
        <v>31584</v>
      </c>
      <c r="C6" s="20">
        <f>C8+C7</f>
        <v>10157</v>
      </c>
      <c r="D6" s="20">
        <f>D8+D7</f>
        <v>21427</v>
      </c>
      <c r="E6" s="10" t="s">
        <v>13</v>
      </c>
    </row>
    <row r="7" spans="1:38" s="12" customFormat="1" ht="18.75" x14ac:dyDescent="0.25">
      <c r="A7" s="9" t="s">
        <v>14</v>
      </c>
      <c r="B7" s="21">
        <f>SUM(C7:D7)</f>
        <v>12205</v>
      </c>
      <c r="C7" s="3">
        <v>3759</v>
      </c>
      <c r="D7" s="3">
        <v>8446</v>
      </c>
      <c r="E7" s="10" t="s">
        <v>7</v>
      </c>
    </row>
    <row r="8" spans="1:38" s="12" customFormat="1" ht="18.75" x14ac:dyDescent="0.25">
      <c r="A8" s="9" t="s">
        <v>15</v>
      </c>
      <c r="B8" s="21">
        <f>SUM(C8:D8)</f>
        <v>19379</v>
      </c>
      <c r="C8" s="22">
        <f>SUM(C9:C28)</f>
        <v>6398</v>
      </c>
      <c r="D8" s="22">
        <f>SUM(D9:D28)</f>
        <v>12981</v>
      </c>
      <c r="E8" s="10" t="s">
        <v>8</v>
      </c>
    </row>
    <row r="9" spans="1:38" ht="15.75" customHeight="1" x14ac:dyDescent="0.25">
      <c r="A9" s="17" t="s">
        <v>16</v>
      </c>
      <c r="B9" s="22">
        <f>SUM(C9:D9)</f>
        <v>1263</v>
      </c>
      <c r="C9" s="3">
        <v>448</v>
      </c>
      <c r="D9" s="3">
        <v>815</v>
      </c>
      <c r="E9" s="13" t="s">
        <v>17</v>
      </c>
      <c r="AH9" s="12"/>
      <c r="AI9" s="12"/>
      <c r="AJ9" s="12"/>
      <c r="AK9" s="12"/>
      <c r="AL9" s="12"/>
    </row>
    <row r="10" spans="1:38" ht="15.75" customHeight="1" x14ac:dyDescent="0.25">
      <c r="A10" s="17" t="s">
        <v>19</v>
      </c>
      <c r="B10" s="22">
        <f t="shared" ref="B10:B28" si="0">SUM(C10:D10)</f>
        <v>1841</v>
      </c>
      <c r="C10" s="3">
        <v>637</v>
      </c>
      <c r="D10" s="3">
        <v>1204</v>
      </c>
      <c r="E10" s="13" t="s">
        <v>20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H10" s="12"/>
      <c r="AI10" s="12"/>
      <c r="AJ10" s="12"/>
      <c r="AK10" s="12"/>
      <c r="AL10" s="12"/>
    </row>
    <row r="11" spans="1:38" ht="15.75" customHeight="1" x14ac:dyDescent="0.25">
      <c r="A11" s="17" t="s">
        <v>22</v>
      </c>
      <c r="B11" s="22">
        <f t="shared" si="0"/>
        <v>1322</v>
      </c>
      <c r="C11" s="3">
        <v>567</v>
      </c>
      <c r="D11" s="3">
        <v>755</v>
      </c>
      <c r="E11" s="13" t="s">
        <v>23</v>
      </c>
      <c r="AH11" s="12"/>
      <c r="AI11" s="12"/>
      <c r="AJ11" s="12"/>
      <c r="AK11" s="12"/>
      <c r="AL11" s="12"/>
    </row>
    <row r="12" spans="1:38" ht="15.75" customHeight="1" x14ac:dyDescent="0.25">
      <c r="A12" s="17" t="s">
        <v>25</v>
      </c>
      <c r="B12" s="22">
        <f t="shared" si="0"/>
        <v>1105</v>
      </c>
      <c r="C12" s="3">
        <v>402</v>
      </c>
      <c r="D12" s="3">
        <v>703</v>
      </c>
      <c r="E12" s="13" t="s">
        <v>26</v>
      </c>
      <c r="AH12" s="12"/>
      <c r="AI12" s="12"/>
      <c r="AJ12" s="12"/>
      <c r="AK12" s="12"/>
      <c r="AL12" s="12"/>
    </row>
    <row r="13" spans="1:38" ht="15.75" customHeight="1" x14ac:dyDescent="0.25">
      <c r="A13" s="17" t="s">
        <v>28</v>
      </c>
      <c r="B13" s="22">
        <f t="shared" si="0"/>
        <v>1513</v>
      </c>
      <c r="C13" s="3">
        <v>553</v>
      </c>
      <c r="D13" s="3">
        <v>960</v>
      </c>
      <c r="E13" s="13" t="s">
        <v>29</v>
      </c>
      <c r="AH13" s="12"/>
      <c r="AI13" s="12"/>
      <c r="AJ13" s="12"/>
      <c r="AK13" s="12"/>
      <c r="AL13" s="12"/>
    </row>
    <row r="14" spans="1:38" ht="15.75" customHeight="1" x14ac:dyDescent="0.25">
      <c r="A14" s="17" t="s">
        <v>31</v>
      </c>
      <c r="B14" s="22">
        <f t="shared" si="0"/>
        <v>1018</v>
      </c>
      <c r="C14" s="3">
        <v>303</v>
      </c>
      <c r="D14" s="3">
        <v>715</v>
      </c>
      <c r="E14" s="13" t="s">
        <v>32</v>
      </c>
      <c r="AD14" s="16"/>
      <c r="AE14" s="16"/>
      <c r="AF14" s="16"/>
      <c r="AH14" s="12"/>
      <c r="AI14" s="12"/>
      <c r="AJ14" s="12"/>
      <c r="AK14" s="12"/>
      <c r="AL14" s="12"/>
    </row>
    <row r="15" spans="1:38" ht="15.75" customHeight="1" x14ac:dyDescent="0.25">
      <c r="A15" s="17" t="s">
        <v>34</v>
      </c>
      <c r="B15" s="22">
        <f t="shared" si="0"/>
        <v>618</v>
      </c>
      <c r="C15" s="3">
        <v>201</v>
      </c>
      <c r="D15" s="3">
        <v>417</v>
      </c>
      <c r="E15" s="13" t="s">
        <v>35</v>
      </c>
      <c r="AD15" s="16"/>
      <c r="AE15" s="16"/>
      <c r="AF15" s="16"/>
      <c r="AH15" s="12"/>
      <c r="AI15" s="12"/>
      <c r="AJ15" s="12"/>
      <c r="AK15" s="12"/>
      <c r="AL15" s="12"/>
    </row>
    <row r="16" spans="1:38" ht="15.75" customHeight="1" x14ac:dyDescent="0.25">
      <c r="A16" s="17" t="s">
        <v>37</v>
      </c>
      <c r="B16" s="22">
        <f>SUM(C16:D16)</f>
        <v>977</v>
      </c>
      <c r="C16" s="3">
        <v>309</v>
      </c>
      <c r="D16" s="3">
        <v>668</v>
      </c>
      <c r="E16" s="13" t="s">
        <v>38</v>
      </c>
      <c r="AD16" s="16"/>
      <c r="AE16" s="16"/>
      <c r="AF16" s="16"/>
      <c r="AH16" s="12"/>
      <c r="AI16" s="12"/>
      <c r="AJ16" s="12"/>
      <c r="AK16" s="12"/>
      <c r="AL16" s="12"/>
    </row>
    <row r="17" spans="1:38" ht="15.75" customHeight="1" x14ac:dyDescent="0.25">
      <c r="A17" s="17" t="s">
        <v>40</v>
      </c>
      <c r="B17" s="22">
        <f t="shared" si="0"/>
        <v>645</v>
      </c>
      <c r="C17" s="3">
        <v>215</v>
      </c>
      <c r="D17" s="3">
        <v>430</v>
      </c>
      <c r="E17" s="13" t="s">
        <v>41</v>
      </c>
      <c r="G17" s="16"/>
      <c r="AD17" s="16"/>
      <c r="AE17" s="16"/>
      <c r="AF17" s="16"/>
      <c r="AH17" s="12"/>
      <c r="AI17" s="12"/>
      <c r="AJ17" s="12"/>
      <c r="AK17" s="12"/>
      <c r="AL17" s="12"/>
    </row>
    <row r="18" spans="1:38" ht="15.75" customHeight="1" x14ac:dyDescent="0.25">
      <c r="A18" s="17" t="s">
        <v>43</v>
      </c>
      <c r="B18" s="22">
        <f t="shared" si="0"/>
        <v>807</v>
      </c>
      <c r="C18" s="3">
        <v>222</v>
      </c>
      <c r="D18" s="3">
        <v>585</v>
      </c>
      <c r="E18" s="13" t="s">
        <v>44</v>
      </c>
      <c r="AD18" s="16"/>
      <c r="AE18" s="16"/>
      <c r="AF18" s="16"/>
      <c r="AH18" s="12"/>
      <c r="AI18" s="12"/>
      <c r="AJ18" s="12"/>
      <c r="AK18" s="12"/>
      <c r="AL18" s="12"/>
    </row>
    <row r="19" spans="1:38" ht="15.75" customHeight="1" x14ac:dyDescent="0.25">
      <c r="A19" s="17" t="s">
        <v>46</v>
      </c>
      <c r="B19" s="22">
        <f t="shared" si="0"/>
        <v>199</v>
      </c>
      <c r="C19" s="3">
        <v>62</v>
      </c>
      <c r="D19" s="3">
        <v>137</v>
      </c>
      <c r="E19" s="13" t="s">
        <v>47</v>
      </c>
      <c r="AD19" s="16"/>
      <c r="AE19" s="16"/>
      <c r="AF19" s="16"/>
      <c r="AH19" s="12"/>
      <c r="AI19" s="12"/>
      <c r="AJ19" s="12"/>
      <c r="AK19" s="12"/>
      <c r="AL19" s="12"/>
    </row>
    <row r="20" spans="1:38" ht="15.75" customHeight="1" x14ac:dyDescent="0.25">
      <c r="A20" s="17" t="s">
        <v>49</v>
      </c>
      <c r="B20" s="22">
        <f t="shared" si="0"/>
        <v>575</v>
      </c>
      <c r="C20" s="3">
        <v>213</v>
      </c>
      <c r="D20" s="3">
        <v>362</v>
      </c>
      <c r="E20" s="13" t="s">
        <v>50</v>
      </c>
      <c r="G20" s="16"/>
      <c r="AD20" s="16"/>
      <c r="AE20" s="16"/>
      <c r="AF20" s="16"/>
      <c r="AH20" s="12"/>
      <c r="AI20" s="12"/>
      <c r="AJ20" s="12"/>
      <c r="AK20" s="12"/>
      <c r="AL20" s="12"/>
    </row>
    <row r="21" spans="1:38" ht="15.75" customHeight="1" x14ac:dyDescent="0.25">
      <c r="A21" s="17" t="s">
        <v>52</v>
      </c>
      <c r="B21" s="22">
        <f t="shared" si="0"/>
        <v>593</v>
      </c>
      <c r="C21" s="3">
        <v>209</v>
      </c>
      <c r="D21" s="3">
        <v>384</v>
      </c>
      <c r="E21" s="13" t="s">
        <v>53</v>
      </c>
      <c r="AD21" s="16"/>
      <c r="AE21" s="16"/>
      <c r="AF21" s="16"/>
      <c r="AH21" s="12"/>
      <c r="AI21" s="12"/>
      <c r="AJ21" s="12"/>
      <c r="AK21" s="12"/>
      <c r="AL21" s="12"/>
    </row>
    <row r="22" spans="1:38" ht="15.75" customHeight="1" x14ac:dyDescent="0.25">
      <c r="A22" s="17" t="s">
        <v>55</v>
      </c>
      <c r="B22" s="22">
        <f t="shared" si="0"/>
        <v>604</v>
      </c>
      <c r="C22" s="3">
        <v>181</v>
      </c>
      <c r="D22" s="3">
        <v>423</v>
      </c>
      <c r="E22" s="13" t="s">
        <v>56</v>
      </c>
      <c r="AD22" s="16"/>
      <c r="AE22" s="16"/>
      <c r="AF22" s="16"/>
      <c r="AH22" s="12"/>
      <c r="AI22" s="12"/>
      <c r="AJ22" s="12"/>
      <c r="AK22" s="12"/>
      <c r="AL22" s="12"/>
    </row>
    <row r="23" spans="1:38" ht="15.75" customHeight="1" x14ac:dyDescent="0.25">
      <c r="A23" s="17" t="s">
        <v>58</v>
      </c>
      <c r="B23" s="22">
        <f t="shared" si="0"/>
        <v>1086</v>
      </c>
      <c r="C23" s="3">
        <v>440</v>
      </c>
      <c r="D23" s="3">
        <v>646</v>
      </c>
      <c r="E23" s="13" t="s">
        <v>59</v>
      </c>
      <c r="AD23" s="16"/>
      <c r="AE23" s="16"/>
      <c r="AF23" s="16"/>
      <c r="AH23" s="12"/>
      <c r="AI23" s="12"/>
      <c r="AJ23" s="12"/>
      <c r="AK23" s="12"/>
      <c r="AL23" s="12"/>
    </row>
    <row r="24" spans="1:38" ht="15.75" customHeight="1" x14ac:dyDescent="0.25">
      <c r="A24" s="17" t="s">
        <v>61</v>
      </c>
      <c r="B24" s="22">
        <f t="shared" si="0"/>
        <v>1283</v>
      </c>
      <c r="C24" s="3">
        <v>447</v>
      </c>
      <c r="D24" s="3">
        <v>836</v>
      </c>
      <c r="E24" s="13" t="s">
        <v>62</v>
      </c>
      <c r="AD24" s="16"/>
      <c r="AE24" s="16"/>
      <c r="AF24" s="16"/>
      <c r="AH24" s="12"/>
      <c r="AI24" s="12"/>
      <c r="AJ24" s="12"/>
      <c r="AK24" s="12"/>
      <c r="AL24" s="12"/>
    </row>
    <row r="25" spans="1:38" ht="15.75" customHeight="1" x14ac:dyDescent="0.25">
      <c r="A25" s="17" t="s">
        <v>64</v>
      </c>
      <c r="B25" s="22">
        <f t="shared" si="0"/>
        <v>814</v>
      </c>
      <c r="C25" s="3">
        <v>236</v>
      </c>
      <c r="D25" s="3">
        <v>578</v>
      </c>
      <c r="E25" s="13" t="s">
        <v>65</v>
      </c>
      <c r="AD25" s="16"/>
      <c r="AE25" s="16"/>
      <c r="AF25" s="16"/>
      <c r="AH25" s="12"/>
      <c r="AI25" s="12"/>
      <c r="AJ25" s="12"/>
      <c r="AK25" s="12"/>
      <c r="AL25" s="12"/>
    </row>
    <row r="26" spans="1:38" ht="15.75" customHeight="1" x14ac:dyDescent="0.25">
      <c r="A26" s="17" t="s">
        <v>67</v>
      </c>
      <c r="B26" s="22">
        <f t="shared" si="0"/>
        <v>1074</v>
      </c>
      <c r="C26" s="3">
        <v>307</v>
      </c>
      <c r="D26" s="3">
        <v>767</v>
      </c>
      <c r="E26" s="13" t="s">
        <v>68</v>
      </c>
      <c r="AD26" s="16"/>
      <c r="AE26" s="16"/>
      <c r="AF26" s="16"/>
      <c r="AH26" s="12"/>
      <c r="AI26" s="12"/>
      <c r="AJ26" s="12"/>
      <c r="AK26" s="12"/>
      <c r="AL26" s="12"/>
    </row>
    <row r="27" spans="1:38" ht="15.75" customHeight="1" x14ac:dyDescent="0.25">
      <c r="A27" s="17" t="s">
        <v>70</v>
      </c>
      <c r="B27" s="22">
        <f t="shared" si="0"/>
        <v>626</v>
      </c>
      <c r="C27" s="3">
        <v>167</v>
      </c>
      <c r="D27" s="3">
        <v>459</v>
      </c>
      <c r="E27" s="13" t="s">
        <v>71</v>
      </c>
      <c r="AD27" s="16"/>
      <c r="AE27" s="16"/>
      <c r="AF27" s="16"/>
      <c r="AH27" s="12"/>
      <c r="AI27" s="12"/>
      <c r="AJ27" s="12"/>
      <c r="AK27" s="12"/>
      <c r="AL27" s="12"/>
    </row>
    <row r="28" spans="1:38" ht="15.75" customHeight="1" x14ac:dyDescent="0.25">
      <c r="A28" s="18" t="s">
        <v>73</v>
      </c>
      <c r="B28" s="23">
        <f t="shared" si="0"/>
        <v>1416</v>
      </c>
      <c r="C28" s="24">
        <v>279</v>
      </c>
      <c r="D28" s="24">
        <v>1137</v>
      </c>
      <c r="E28" s="19" t="s">
        <v>74</v>
      </c>
      <c r="AD28" s="16"/>
      <c r="AE28" s="16"/>
      <c r="AF28" s="16"/>
      <c r="AH28" s="12"/>
      <c r="AI28" s="12"/>
      <c r="AJ28" s="12"/>
      <c r="AK28" s="12"/>
      <c r="AL28" s="12"/>
    </row>
    <row r="29" spans="1:38" ht="17.25" x14ac:dyDescent="0.25">
      <c r="A29" s="5" t="s">
        <v>5</v>
      </c>
      <c r="B29" s="16"/>
      <c r="C29" s="16"/>
      <c r="E29" s="2" t="s">
        <v>6</v>
      </c>
      <c r="AD29" s="16"/>
      <c r="AE29" s="16"/>
      <c r="AF29" s="16"/>
      <c r="AH29" s="12"/>
      <c r="AI29" s="12"/>
      <c r="AJ29" s="12"/>
      <c r="AK29" s="12"/>
      <c r="AL29" s="12"/>
    </row>
    <row r="30" spans="1:38" x14ac:dyDescent="0.25">
      <c r="AD30" s="16"/>
      <c r="AE30" s="16"/>
      <c r="AF30" s="16"/>
      <c r="AL30" s="11"/>
    </row>
    <row r="31" spans="1:38" x14ac:dyDescent="0.25">
      <c r="AD31" s="16"/>
      <c r="AE31" s="16"/>
      <c r="AF31" s="16"/>
      <c r="AL31" s="11"/>
    </row>
    <row r="32" spans="1:38" x14ac:dyDescent="0.25">
      <c r="AD32" s="16"/>
      <c r="AE32" s="16"/>
      <c r="AF32" s="16"/>
      <c r="AL32" s="15"/>
    </row>
    <row r="33" spans="30:38" x14ac:dyDescent="0.25">
      <c r="AD33" s="16"/>
      <c r="AE33" s="16"/>
      <c r="AF33" s="16"/>
      <c r="AL33" s="11"/>
    </row>
    <row r="34" spans="30:38" x14ac:dyDescent="0.25">
      <c r="AD34" s="16"/>
      <c r="AE34" s="16"/>
      <c r="AF34" s="16"/>
      <c r="AL34" s="11"/>
    </row>
    <row r="35" spans="30:38" x14ac:dyDescent="0.25">
      <c r="AD35" s="16"/>
      <c r="AE35" s="16"/>
      <c r="AF35" s="16"/>
      <c r="AL35" s="15"/>
    </row>
    <row r="36" spans="30:38" x14ac:dyDescent="0.25">
      <c r="AD36" s="16"/>
      <c r="AE36" s="16"/>
      <c r="AF36" s="16"/>
      <c r="AL36" s="11"/>
    </row>
    <row r="37" spans="30:38" x14ac:dyDescent="0.25">
      <c r="AL37" s="11"/>
    </row>
    <row r="38" spans="30:38" x14ac:dyDescent="0.25">
      <c r="AL38" s="15"/>
    </row>
    <row r="39" spans="30:38" x14ac:dyDescent="0.25">
      <c r="AL39" s="11"/>
    </row>
    <row r="44" spans="30:38" x14ac:dyDescent="0.25">
      <c r="AK44" s="8" t="s">
        <v>3</v>
      </c>
      <c r="AL44" s="8" t="s">
        <v>4</v>
      </c>
    </row>
    <row r="45" spans="30:38" x14ac:dyDescent="0.25">
      <c r="AJ45" s="4" t="s">
        <v>18</v>
      </c>
      <c r="AK45" s="14">
        <f t="shared" ref="AK45:AK64" si="1">C9</f>
        <v>448</v>
      </c>
      <c r="AL45" s="14">
        <f t="shared" ref="AL45:AL64" si="2">D9</f>
        <v>815</v>
      </c>
    </row>
    <row r="46" spans="30:38" x14ac:dyDescent="0.25">
      <c r="AJ46" s="4" t="s">
        <v>21</v>
      </c>
      <c r="AK46" s="14">
        <f t="shared" si="1"/>
        <v>637</v>
      </c>
      <c r="AL46" s="14">
        <f t="shared" si="2"/>
        <v>1204</v>
      </c>
    </row>
    <row r="47" spans="30:38" x14ac:dyDescent="0.25">
      <c r="AJ47" s="4" t="s">
        <v>24</v>
      </c>
      <c r="AK47" s="14">
        <f t="shared" si="1"/>
        <v>567</v>
      </c>
      <c r="AL47" s="14">
        <f t="shared" si="2"/>
        <v>755</v>
      </c>
    </row>
    <row r="48" spans="30:38" x14ac:dyDescent="0.25">
      <c r="AJ48" s="4" t="s">
        <v>27</v>
      </c>
      <c r="AK48" s="14">
        <f t="shared" si="1"/>
        <v>402</v>
      </c>
      <c r="AL48" s="14">
        <f t="shared" si="2"/>
        <v>703</v>
      </c>
    </row>
    <row r="49" spans="1:38" x14ac:dyDescent="0.25">
      <c r="AJ49" s="4" t="s">
        <v>30</v>
      </c>
      <c r="AK49" s="14">
        <f t="shared" si="1"/>
        <v>553</v>
      </c>
      <c r="AL49" s="14">
        <f t="shared" si="2"/>
        <v>960</v>
      </c>
    </row>
    <row r="50" spans="1:38" x14ac:dyDescent="0.25">
      <c r="AJ50" s="4" t="s">
        <v>33</v>
      </c>
      <c r="AK50" s="14">
        <f t="shared" si="1"/>
        <v>303</v>
      </c>
      <c r="AL50" s="14">
        <f t="shared" si="2"/>
        <v>715</v>
      </c>
    </row>
    <row r="51" spans="1:38" x14ac:dyDescent="0.25">
      <c r="A51" s="16"/>
      <c r="B51" s="16"/>
      <c r="AJ51" s="4" t="s">
        <v>36</v>
      </c>
      <c r="AK51" s="14">
        <f t="shared" si="1"/>
        <v>201</v>
      </c>
      <c r="AL51" s="14">
        <f t="shared" si="2"/>
        <v>417</v>
      </c>
    </row>
    <row r="52" spans="1:38" x14ac:dyDescent="0.25">
      <c r="AJ52" s="4" t="s">
        <v>39</v>
      </c>
      <c r="AK52" s="14">
        <f t="shared" si="1"/>
        <v>309</v>
      </c>
      <c r="AL52" s="14">
        <f t="shared" si="2"/>
        <v>668</v>
      </c>
    </row>
    <row r="53" spans="1:38" x14ac:dyDescent="0.25">
      <c r="AJ53" s="4" t="s">
        <v>42</v>
      </c>
      <c r="AK53" s="14">
        <f t="shared" si="1"/>
        <v>215</v>
      </c>
      <c r="AL53" s="14">
        <f t="shared" si="2"/>
        <v>430</v>
      </c>
    </row>
    <row r="54" spans="1:38" x14ac:dyDescent="0.25">
      <c r="AJ54" s="4" t="s">
        <v>45</v>
      </c>
      <c r="AK54" s="14">
        <f t="shared" si="1"/>
        <v>222</v>
      </c>
      <c r="AL54" s="14">
        <f t="shared" si="2"/>
        <v>585</v>
      </c>
    </row>
    <row r="55" spans="1:38" x14ac:dyDescent="0.25">
      <c r="A55" s="16"/>
      <c r="B55" s="16"/>
      <c r="AJ55" s="4" t="s">
        <v>48</v>
      </c>
      <c r="AK55" s="14">
        <f t="shared" si="1"/>
        <v>62</v>
      </c>
      <c r="AL55" s="14">
        <f t="shared" si="2"/>
        <v>137</v>
      </c>
    </row>
    <row r="56" spans="1:38" x14ac:dyDescent="0.25">
      <c r="AJ56" s="4" t="s">
        <v>51</v>
      </c>
      <c r="AK56" s="14">
        <f t="shared" si="1"/>
        <v>213</v>
      </c>
      <c r="AL56" s="14">
        <f t="shared" si="2"/>
        <v>362</v>
      </c>
    </row>
    <row r="57" spans="1:38" x14ac:dyDescent="0.25">
      <c r="AJ57" s="4" t="s">
        <v>54</v>
      </c>
      <c r="AK57" s="14">
        <f t="shared" si="1"/>
        <v>209</v>
      </c>
      <c r="AL57" s="14">
        <f t="shared" si="2"/>
        <v>384</v>
      </c>
    </row>
    <row r="58" spans="1:38" x14ac:dyDescent="0.25">
      <c r="AJ58" s="4" t="s">
        <v>57</v>
      </c>
      <c r="AK58" s="14">
        <f t="shared" si="1"/>
        <v>181</v>
      </c>
      <c r="AL58" s="14">
        <f t="shared" si="2"/>
        <v>423</v>
      </c>
    </row>
    <row r="59" spans="1:38" x14ac:dyDescent="0.25">
      <c r="AJ59" s="4" t="s">
        <v>60</v>
      </c>
      <c r="AK59" s="14">
        <f t="shared" si="1"/>
        <v>440</v>
      </c>
      <c r="AL59" s="14">
        <f t="shared" si="2"/>
        <v>646</v>
      </c>
    </row>
    <row r="60" spans="1:38" x14ac:dyDescent="0.25">
      <c r="AJ60" s="4" t="s">
        <v>63</v>
      </c>
      <c r="AK60" s="14">
        <f t="shared" si="1"/>
        <v>447</v>
      </c>
      <c r="AL60" s="14">
        <f t="shared" si="2"/>
        <v>836</v>
      </c>
    </row>
    <row r="61" spans="1:38" x14ac:dyDescent="0.25">
      <c r="AJ61" s="4" t="s">
        <v>66</v>
      </c>
      <c r="AK61" s="14">
        <f t="shared" si="1"/>
        <v>236</v>
      </c>
      <c r="AL61" s="14">
        <f t="shared" si="2"/>
        <v>578</v>
      </c>
    </row>
    <row r="62" spans="1:38" x14ac:dyDescent="0.25">
      <c r="AJ62" s="4" t="s">
        <v>69</v>
      </c>
      <c r="AK62" s="14">
        <f t="shared" si="1"/>
        <v>307</v>
      </c>
      <c r="AL62" s="14">
        <f t="shared" si="2"/>
        <v>767</v>
      </c>
    </row>
    <row r="63" spans="1:38" x14ac:dyDescent="0.25">
      <c r="AJ63" s="4" t="s">
        <v>72</v>
      </c>
      <c r="AK63" s="14">
        <f t="shared" si="1"/>
        <v>167</v>
      </c>
      <c r="AL63" s="14">
        <f t="shared" si="2"/>
        <v>459</v>
      </c>
    </row>
    <row r="64" spans="1:38" x14ac:dyDescent="0.25">
      <c r="AJ64" s="4" t="s">
        <v>75</v>
      </c>
      <c r="AK64" s="14">
        <f t="shared" si="1"/>
        <v>279</v>
      </c>
      <c r="AL64" s="14">
        <f t="shared" si="2"/>
        <v>1137</v>
      </c>
    </row>
  </sheetData>
  <mergeCells count="4">
    <mergeCell ref="A1:E1"/>
    <mergeCell ref="A2:E2"/>
    <mergeCell ref="A4:A5"/>
    <mergeCell ref="E4:E5"/>
  </mergeCells>
  <conditionalFormatting sqref="B1 B29:B1048576">
    <cfRule type="duplicateValues" dxfId="9" priority="48"/>
  </conditionalFormatting>
  <conditionalFormatting sqref="B32">
    <cfRule type="duplicateValues" dxfId="8" priority="15"/>
  </conditionalFormatting>
  <conditionalFormatting sqref="B33 B35:B40 B42 B44 B49 B51:B66 B1 B29:B31 B68:B1048576">
    <cfRule type="duplicateValues" dxfId="7" priority="52"/>
  </conditionalFormatting>
  <conditionalFormatting sqref="B34">
    <cfRule type="duplicateValues" dxfId="6" priority="14"/>
  </conditionalFormatting>
  <conditionalFormatting sqref="B41">
    <cfRule type="duplicateValues" dxfId="5" priority="13"/>
  </conditionalFormatting>
  <conditionalFormatting sqref="B43">
    <cfRule type="duplicateValues" dxfId="4" priority="12"/>
  </conditionalFormatting>
  <conditionalFormatting sqref="B45:B48">
    <cfRule type="duplicateValues" dxfId="3" priority="11"/>
  </conditionalFormatting>
  <conditionalFormatting sqref="B50">
    <cfRule type="duplicateValues" dxfId="2" priority="10"/>
  </conditionalFormatting>
  <conditionalFormatting sqref="B67">
    <cfRule type="duplicateValues" dxfId="1" priority="9"/>
  </conditionalFormatting>
  <conditionalFormatting sqref="AL30:AL39">
    <cfRule type="duplicateValues" dxfId="0" priority="41"/>
  </conditionalFormatting>
  <pageMargins left="0.7" right="0.7" top="0.75" bottom="0.75" header="0.3" footer="0.3"/>
  <pageSetup paperSize="9" scale="75" orientation="portrait" r:id="rId1"/>
  <rowBreaks count="1" manualBreakCount="1">
    <brk id="64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2026-06-11T10:09:03Z</cp:lastPrinted>
  <dcterms:created xsi:type="dcterms:W3CDTF">2019-06-03T04:17:39Z</dcterms:created>
  <dcterms:modified xsi:type="dcterms:W3CDTF">2026-06-11T10:09:26Z</dcterms:modified>
</cp:coreProperties>
</file>