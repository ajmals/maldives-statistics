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4DC2B230-59F8-4A93-B8D7-746B0157C5E7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5.2" sheetId="2" r:id="rId1"/>
  </sheets>
  <definedNames>
    <definedName name="_xlnm.Print_Area" localSheetId="0">'5.2'!$A$1:$N$57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D11" i="2" l="1"/>
  <c r="M10" i="2" l="1"/>
  <c r="AT35" i="2" s="1"/>
  <c r="L10" i="2"/>
  <c r="AS35" i="2" s="1"/>
  <c r="I10" i="2"/>
  <c r="H10" i="2"/>
  <c r="K11" i="2"/>
  <c r="K12" i="2"/>
  <c r="K13" i="2"/>
  <c r="K14" i="2"/>
  <c r="K15" i="2"/>
  <c r="K16" i="2"/>
  <c r="K17" i="2"/>
  <c r="K18" i="2"/>
  <c r="K19" i="2"/>
  <c r="K20" i="2"/>
  <c r="K21" i="2"/>
  <c r="G12" i="2"/>
  <c r="G13" i="2"/>
  <c r="G14" i="2"/>
  <c r="G15" i="2"/>
  <c r="G16" i="2"/>
  <c r="G17" i="2"/>
  <c r="G18" i="2"/>
  <c r="G19" i="2"/>
  <c r="G20" i="2"/>
  <c r="G2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AQ35" i="2" l="1"/>
  <c r="E10" i="2"/>
  <c r="AN35" i="2" s="1"/>
  <c r="AP35" i="2"/>
  <c r="D10" i="2"/>
  <c r="AM35" i="2" s="1"/>
  <c r="C15" i="2"/>
  <c r="C16" i="2"/>
  <c r="C14" i="2"/>
  <c r="C21" i="2"/>
  <c r="C20" i="2"/>
  <c r="C12" i="2"/>
  <c r="C19" i="2"/>
  <c r="C11" i="2"/>
  <c r="C13" i="2"/>
  <c r="K10" i="2"/>
  <c r="AR35" i="2" s="1"/>
  <c r="G10" i="2"/>
  <c r="C18" i="2"/>
  <c r="C17" i="2"/>
  <c r="AO35" i="2" l="1"/>
  <c r="C10" i="2"/>
  <c r="AL35" i="2" s="1"/>
</calcChain>
</file>

<file path=xl/sharedStrings.xml><?xml version="1.0" encoding="utf-8"?>
<sst xmlns="http://schemas.openxmlformats.org/spreadsheetml/2006/main" count="69" uniqueCount="31">
  <si>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</si>
  <si>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</si>
  <si>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</si>
  <si>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</si>
  <si>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</si>
  <si>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</si>
  <si>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</si>
  <si>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</si>
  <si>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</si>
  <si>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</si>
  <si>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</si>
  <si>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</si>
  <si>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</si>
  <si>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</si>
  <si>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</si>
  <si>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</si>
  <si>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</si>
  <si>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</si>
  <si>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</si>
  <si>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</si>
  <si>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</si>
  <si>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</si>
  <si>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</si>
  <si>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</si>
  <si>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</si>
  <si>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</si>
  <si>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</si>
  <si>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</si>
  <si>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 xml:space="preserve"> </t>
  </si>
  <si>
    <t>Table 5.2 :  CIVIL SERVANTS CLASSIFIED BY AGE AND SEX, 2025</t>
  </si>
  <si>
    <t>ތާވަލް 5.2: ސިވިލް ސަރވަންޓުން ބެހިފައިވާ ގޮތް، ޖިންސް އަދި އުމުރުފުރާއިން،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</si>
</sst>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56">
    <xf numFmtId="0" fontId="0" fillId="0" borderId="0" xfId="0"/>
    <xf numFmtId="0" fontId="0" fillId="2" borderId="0" xfId="0" applyFill="1"/>
    <xf numFmtId="0" fontId="8" fillId="2" borderId="0" xfId="0" applyFont="1" applyFill="1"/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9" fillId="2" borderId="4" xfId="4" applyFont="1" applyFill="1" applyBorder="1" applyAlignment="1">
      <alignment vertical="center"/>
    </xf>
    <xf numFmtId="3" fontId="0" fillId="2" borderId="0" xfId="0" applyNumberFormat="1" applyFill="1"/>
    <xf numFmtId="3" fontId="10" fillId="2" borderId="0" xfId="5" applyNumberFormat="1" applyFont="1" applyFill="1" applyAlignment="1">
      <alignment horizontal="right" vertical="center"/>
    </xf>
    <xf numFmtId="164" fontId="11" fillId="2" borderId="1" xfId="3" applyNumberFormat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readingOrder="2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8" fillId="2" borderId="0" xfId="0" applyNumberFormat="1" applyFont="1" applyFill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5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15" fillId="2" borderId="0" xfId="2" applyFont="1" applyFill="1" applyAlignment="1">
      <alignment vertical="center"/>
    </xf>
    <xf numFmtId="164" fontId="11" fillId="2" borderId="0" xfId="3" applyNumberFormat="1" applyFont="1" applyFill="1" applyAlignment="1">
      <alignment vertical="center"/>
    </xf>
    <xf numFmtId="164" fontId="12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vertical="top"/>
    </xf>
    <xf numFmtId="3" fontId="8" fillId="2" borderId="6" xfId="0" applyNumberFormat="1" applyFont="1" applyFill="1" applyBorder="1" applyAlignment="1">
      <alignment horizontal="right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12" fillId="2" borderId="1" xfId="3" applyNumberFormat="1" applyFont="1" applyFill="1" applyBorder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</cellXfs>
  <cellStyles count="12">
    <cellStyle name="1" xfId="11" xr:uid="{00000000-0005-0000-0000-000000000000}"/>
    <cellStyle name="Comma" xfId="1" builtinId="3"/>
    <cellStyle name="Comma 3" xfId="9" xr:uid="{00000000-0005-0000-0000-000002000000}"/>
    <cellStyle name="Normal" xfId="0" builtinId="0"/>
    <cellStyle name="Normal 11" xfId="10" xr:uid="{00000000-0005-0000-0000-000004000000}"/>
    <cellStyle name="Normal 2" xfId="6" xr:uid="{00000000-0005-0000-0000-000005000000}"/>
    <cellStyle name="Normal 4" xfId="7" xr:uid="{00000000-0005-0000-0000-000006000000}"/>
    <cellStyle name="Normal 5" xfId="8" xr:uid="{00000000-0005-0000-0000-000007000000}"/>
    <cellStyle name="Normal_5 Employment_done" xfId="2" xr:uid="{00000000-0005-0000-0000-000008000000}"/>
    <cellStyle name="Normal_II-16(Populaion)" xfId="5" xr:uid="{00000000-0005-0000-0000-00000A000000}"/>
    <cellStyle name="Normal_po" xfId="4" xr:uid="{00000000-0005-0000-0000-00000C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2023 - 2025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385432473444612"/>
          <c:y val="4.97054567326502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01828508158784"/>
          <c:y val="0.14420086562027432"/>
          <c:w val="0.86477578770028551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'5.2'!$AK$33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multiLvlStrRef>
              <c:f>'5.2'!$AL$20:$AT$21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'5.2'!$AL$33:$AT$33</c:f>
              <c:numCache>
                <c:formatCode>General</c:formatCode>
                <c:ptCount val="9"/>
                <c:pt idx="0" formatCode="#,##0">
                  <c:v>30127</c:v>
                </c:pt>
                <c:pt idx="1">
                  <c:v>10307</c:v>
                </c:pt>
                <c:pt idx="2">
                  <c:v>19820</c:v>
                </c:pt>
                <c:pt idx="3">
                  <c:v>10818</c:v>
                </c:pt>
                <c:pt idx="4">
                  <c:v>3602</c:v>
                </c:pt>
                <c:pt idx="5">
                  <c:v>7216</c:v>
                </c:pt>
                <c:pt idx="6">
                  <c:v>19309</c:v>
                </c:pt>
                <c:pt idx="7">
                  <c:v>6705</c:v>
                </c:pt>
                <c:pt idx="8">
                  <c:v>12604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'5.2'!$AK$34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multiLvlStrRef>
              <c:f>'5.2'!$AL$20:$AT$21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'5.2'!$AL$34:$AT$34</c:f>
              <c:numCache>
                <c:formatCode>General</c:formatCode>
                <c:ptCount val="9"/>
                <c:pt idx="0" formatCode="#,##0">
                  <c:v>33250</c:v>
                </c:pt>
                <c:pt idx="1">
                  <c:v>11438</c:v>
                </c:pt>
                <c:pt idx="2">
                  <c:v>21812</c:v>
                </c:pt>
                <c:pt idx="3">
                  <c:v>12114</c:v>
                </c:pt>
                <c:pt idx="4">
                  <c:v>3989</c:v>
                </c:pt>
                <c:pt idx="5">
                  <c:v>8125</c:v>
                </c:pt>
                <c:pt idx="6">
                  <c:v>21136</c:v>
                </c:pt>
                <c:pt idx="7">
                  <c:v>7449</c:v>
                </c:pt>
                <c:pt idx="8">
                  <c:v>13687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'5.2'!$AK$35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multiLvlStrRef>
              <c:f>'5.2'!$AL$20:$AT$21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'5.2'!$AL$35:$AT$35</c:f>
              <c:numCache>
                <c:formatCode>General</c:formatCode>
                <c:ptCount val="9"/>
                <c:pt idx="0" formatCode="#,##0">
                  <c:v>31584</c:v>
                </c:pt>
                <c:pt idx="1">
                  <c:v>10157</c:v>
                </c:pt>
                <c:pt idx="2">
                  <c:v>21427</c:v>
                </c:pt>
                <c:pt idx="3">
                  <c:v>12205</c:v>
                </c:pt>
                <c:pt idx="4">
                  <c:v>3759</c:v>
                </c:pt>
                <c:pt idx="5">
                  <c:v>8446</c:v>
                </c:pt>
                <c:pt idx="6">
                  <c:v>19379</c:v>
                </c:pt>
                <c:pt idx="7">
                  <c:v>6398</c:v>
                </c:pt>
                <c:pt idx="8">
                  <c:v>12981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35000"/>
          <c:min val="0"/>
        </c:scaling>
        <c:delete val="0"/>
        <c:axPos val="l"/>
        <c:majorGridlines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rgbClr val="F1F7ED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337999001540601"/>
          <c:y val="0.16346658130540942"/>
          <c:w val="0.27708353147212561"/>
          <c:h val="6.1427178214141565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7812389563257"/>
          <c:y val="0.15587257475168545"/>
          <c:w val="0.85138416699425412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330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62</c:v>
                </c:pt>
                <c:pt idx="1">
                  <c:v>455</c:v>
                </c:pt>
                <c:pt idx="2">
                  <c:v>847</c:v>
                </c:pt>
                <c:pt idx="3">
                  <c:v>1279</c:v>
                </c:pt>
                <c:pt idx="4">
                  <c:v>1661</c:v>
                </c:pt>
                <c:pt idx="5">
                  <c:v>1657</c:v>
                </c:pt>
                <c:pt idx="6">
                  <c:v>1299</c:v>
                </c:pt>
                <c:pt idx="7">
                  <c:v>1220</c:v>
                </c:pt>
                <c:pt idx="8">
                  <c:v>1027</c:v>
                </c:pt>
                <c:pt idx="9">
                  <c:v>647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33660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84</c:v>
                </c:pt>
                <c:pt idx="1">
                  <c:v>1233</c:v>
                </c:pt>
                <c:pt idx="2">
                  <c:v>3192</c:v>
                </c:pt>
                <c:pt idx="3">
                  <c:v>4059</c:v>
                </c:pt>
                <c:pt idx="4">
                  <c:v>4099</c:v>
                </c:pt>
                <c:pt idx="5">
                  <c:v>3299</c:v>
                </c:pt>
                <c:pt idx="6">
                  <c:v>2316</c:v>
                </c:pt>
                <c:pt idx="7">
                  <c:v>1665</c:v>
                </c:pt>
                <c:pt idx="8">
                  <c:v>1016</c:v>
                </c:pt>
                <c:pt idx="9">
                  <c:v>462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rgbClr val="F1F7ED"/>
        </a:solidFill>
        <a:ln>
          <a:solidFill>
            <a:schemeClr val="accent5">
              <a:lumMod val="20000"/>
              <a:lumOff val="8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4217659067126412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244913</xdr:colOff>
      <xdr:row>44</xdr:row>
      <xdr:rowOff>147616</xdr:rowOff>
    </xdr:from>
    <xdr:to>
      <xdr:col>0</xdr:col>
      <xdr:colOff>453134</xdr:colOff>
      <xdr:row>48</xdr:row>
      <xdr:rowOff>76450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3607" y="8608997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182301</xdr:colOff>
      <xdr:row>54</xdr:row>
      <xdr:rowOff>777</xdr:rowOff>
    </xdr:from>
    <xdr:to>
      <xdr:col>7</xdr:col>
      <xdr:colOff>391919</xdr:colOff>
      <xdr:row>55</xdr:row>
      <xdr:rowOff>26872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5026" y="1012585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246686</xdr:colOff>
      <xdr:row>40</xdr:row>
      <xdr:rowOff>65286</xdr:rowOff>
    </xdr:from>
    <xdr:to>
      <xdr:col>12</xdr:col>
      <xdr:colOff>86152</xdr:colOff>
      <xdr:row>41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56311" y="752336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2025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AU66"/>
  <sheetViews>
    <sheetView tabSelected="1" zoomScaleNormal="100" zoomScaleSheetLayoutView="96" workbookViewId="0">
      <selection activeCell="AA29" sqref="AA29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27" width="7.28515625" style="1" customWidth="1"/>
    <col min="28" max="16384" width="9.140625" style="1"/>
  </cols>
  <sheetData>
    <row r="2" spans="1:36" ht="21" x14ac:dyDescent="0.25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36" x14ac:dyDescent="0.25">
      <c r="A3" s="49" t="s">
        <v>29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36" ht="1.1499999999999999" customHeight="1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36" ht="13.5" customHeight="1" x14ac:dyDescent="0.25">
      <c r="A5" s="54" t="s">
        <v>9</v>
      </c>
      <c r="B5" s="10"/>
      <c r="C5" s="45" t="s">
        <v>10</v>
      </c>
      <c r="D5" s="45"/>
      <c r="E5" s="45"/>
      <c r="F5" s="11"/>
      <c r="G5" s="45" t="s">
        <v>11</v>
      </c>
      <c r="H5" s="45"/>
      <c r="I5" s="45"/>
      <c r="J5" s="11"/>
      <c r="K5" s="45" t="s">
        <v>12</v>
      </c>
      <c r="L5" s="45"/>
      <c r="M5" s="45"/>
    </row>
    <row r="6" spans="1:36" ht="12" customHeight="1" x14ac:dyDescent="0.25">
      <c r="A6" s="55"/>
      <c r="B6" s="12"/>
      <c r="C6" s="46" t="s">
        <v>0</v>
      </c>
      <c r="D6" s="46"/>
      <c r="E6" s="46"/>
      <c r="F6" s="12"/>
      <c r="G6" s="47" t="s">
        <v>1</v>
      </c>
      <c r="H6" s="47"/>
      <c r="I6" s="47"/>
      <c r="J6" s="12"/>
      <c r="K6" s="47" t="s">
        <v>13</v>
      </c>
      <c r="L6" s="47"/>
      <c r="M6" s="47"/>
    </row>
    <row r="7" spans="1:36" x14ac:dyDescent="0.25">
      <c r="A7" s="48" t="s">
        <v>14</v>
      </c>
      <c r="B7" s="12"/>
      <c r="C7" s="3" t="s">
        <v>15</v>
      </c>
      <c r="D7" s="3" t="s">
        <v>5</v>
      </c>
      <c r="E7" s="3" t="s">
        <v>6</v>
      </c>
      <c r="F7" s="36"/>
      <c r="G7" s="3" t="s">
        <v>15</v>
      </c>
      <c r="H7" s="3" t="s">
        <v>5</v>
      </c>
      <c r="I7" s="3" t="s">
        <v>6</v>
      </c>
      <c r="J7" s="36"/>
      <c r="K7" s="3" t="s">
        <v>15</v>
      </c>
      <c r="L7" s="3" t="s">
        <v>5</v>
      </c>
      <c r="M7" s="3" t="s">
        <v>6</v>
      </c>
    </row>
    <row r="8" spans="1:36" ht="18.75" x14ac:dyDescent="0.25">
      <c r="A8" s="51"/>
      <c r="B8" s="13"/>
      <c r="C8" s="35" t="s">
        <v>2</v>
      </c>
      <c r="D8" s="35" t="s">
        <v>3</v>
      </c>
      <c r="E8" s="35" t="s">
        <v>4</v>
      </c>
      <c r="F8" s="4"/>
      <c r="G8" s="35" t="s">
        <v>2</v>
      </c>
      <c r="H8" s="35" t="s">
        <v>3</v>
      </c>
      <c r="I8" s="35" t="s">
        <v>4</v>
      </c>
      <c r="J8" s="4"/>
      <c r="K8" s="35" t="s">
        <v>2</v>
      </c>
      <c r="L8" s="35" t="s">
        <v>3</v>
      </c>
      <c r="M8" s="35" t="s">
        <v>4</v>
      </c>
    </row>
    <row r="9" spans="1:36" ht="9.6" customHeight="1" x14ac:dyDescent="0.55000000000000004">
      <c r="A9" s="36"/>
      <c r="B9" s="12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</row>
    <row r="10" spans="1:36" x14ac:dyDescent="0.25">
      <c r="A10" s="16" t="s">
        <v>16</v>
      </c>
      <c r="B10" s="17"/>
      <c r="C10" s="18">
        <f>G10+K10</f>
        <v>31584</v>
      </c>
      <c r="D10" s="18">
        <f>H10+L10</f>
        <v>10157</v>
      </c>
      <c r="E10" s="18">
        <f>I10+M10</f>
        <v>21427</v>
      </c>
      <c r="F10" s="18"/>
      <c r="G10" s="18">
        <f>SUM(H10:I10)</f>
        <v>12205</v>
      </c>
      <c r="H10" s="18">
        <f>SUM(H11:H21)</f>
        <v>3759</v>
      </c>
      <c r="I10" s="18">
        <f>SUM(I11:I21)</f>
        <v>8446</v>
      </c>
      <c r="J10" s="18"/>
      <c r="K10" s="18">
        <f>SUM(L10:M10)</f>
        <v>19379</v>
      </c>
      <c r="L10" s="18">
        <f>SUM(L11:L21)</f>
        <v>6398</v>
      </c>
      <c r="M10" s="18">
        <f>SUM(M11:M21)</f>
        <v>12981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6" x14ac:dyDescent="0.25">
      <c r="A11" s="20" t="s">
        <v>17</v>
      </c>
      <c r="B11" s="21"/>
      <c r="C11" s="18">
        <f t="shared" ref="C11:C21" si="0">G11+K11</f>
        <v>146</v>
      </c>
      <c r="D11" s="22">
        <f>H11+L11</f>
        <v>62</v>
      </c>
      <c r="E11" s="22">
        <f t="shared" ref="E11:E21" si="1">I11+M11</f>
        <v>84</v>
      </c>
      <c r="F11" s="23"/>
      <c r="G11" s="18">
        <f t="shared" ref="G11:G21" si="2">SUM(H11:I11)</f>
        <v>85</v>
      </c>
      <c r="H11" s="22">
        <v>37</v>
      </c>
      <c r="I11" s="22">
        <v>48</v>
      </c>
      <c r="J11" s="23"/>
      <c r="K11" s="18">
        <f t="shared" ref="K11:K21" si="3">SUM(L11:M11)</f>
        <v>61</v>
      </c>
      <c r="L11" s="22">
        <v>25</v>
      </c>
      <c r="M11" s="22">
        <v>36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6" x14ac:dyDescent="0.25">
      <c r="A12" s="20" t="s">
        <v>18</v>
      </c>
      <c r="B12" s="21"/>
      <c r="C12" s="18">
        <f t="shared" si="0"/>
        <v>1688</v>
      </c>
      <c r="D12" s="22">
        <f t="shared" ref="D12:D21" si="4">H12+L12</f>
        <v>455</v>
      </c>
      <c r="E12" s="22">
        <f t="shared" si="1"/>
        <v>1233</v>
      </c>
      <c r="F12" s="23"/>
      <c r="G12" s="18">
        <f t="shared" si="2"/>
        <v>906</v>
      </c>
      <c r="H12" s="22">
        <v>265</v>
      </c>
      <c r="I12" s="22">
        <v>641</v>
      </c>
      <c r="J12" s="23"/>
      <c r="K12" s="18">
        <f t="shared" si="3"/>
        <v>782</v>
      </c>
      <c r="L12" s="22">
        <v>190</v>
      </c>
      <c r="M12" s="22">
        <v>592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6" x14ac:dyDescent="0.25">
      <c r="A13" s="20" t="s">
        <v>19</v>
      </c>
      <c r="B13" s="21"/>
      <c r="C13" s="18">
        <f t="shared" si="0"/>
        <v>4039</v>
      </c>
      <c r="D13" s="22">
        <f t="shared" si="4"/>
        <v>847</v>
      </c>
      <c r="E13" s="22">
        <f t="shared" si="1"/>
        <v>3192</v>
      </c>
      <c r="F13" s="23"/>
      <c r="G13" s="18">
        <f t="shared" si="2"/>
        <v>1780</v>
      </c>
      <c r="H13" s="22">
        <v>406</v>
      </c>
      <c r="I13" s="22">
        <v>1374</v>
      </c>
      <c r="J13" s="23"/>
      <c r="K13" s="18">
        <f t="shared" si="3"/>
        <v>2259</v>
      </c>
      <c r="L13" s="22">
        <v>441</v>
      </c>
      <c r="M13" s="22">
        <v>1818</v>
      </c>
      <c r="N13" s="19"/>
      <c r="O13" s="19"/>
      <c r="P13" s="19"/>
      <c r="Q13" s="19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5"/>
      <c r="AH13" s="6"/>
      <c r="AI13" s="6"/>
      <c r="AJ13" s="6"/>
    </row>
    <row r="14" spans="1:36" x14ac:dyDescent="0.25">
      <c r="A14" s="20" t="s">
        <v>20</v>
      </c>
      <c r="B14" s="21"/>
      <c r="C14" s="18">
        <f t="shared" si="0"/>
        <v>5338</v>
      </c>
      <c r="D14" s="22">
        <f t="shared" si="4"/>
        <v>1279</v>
      </c>
      <c r="E14" s="22">
        <f t="shared" si="1"/>
        <v>4059</v>
      </c>
      <c r="F14" s="23"/>
      <c r="G14" s="18">
        <f t="shared" si="2"/>
        <v>1865</v>
      </c>
      <c r="H14" s="22">
        <v>451</v>
      </c>
      <c r="I14" s="22">
        <v>1414</v>
      </c>
      <c r="J14" s="23"/>
      <c r="K14" s="18">
        <f t="shared" si="3"/>
        <v>3473</v>
      </c>
      <c r="L14" s="22">
        <v>828</v>
      </c>
      <c r="M14" s="22">
        <v>2645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 t="s">
        <v>28</v>
      </c>
      <c r="AB14" s="19"/>
      <c r="AC14" s="19"/>
      <c r="AD14" s="19"/>
      <c r="AE14" s="19"/>
      <c r="AF14" s="19"/>
    </row>
    <row r="15" spans="1:36" x14ac:dyDescent="0.25">
      <c r="A15" s="20" t="s">
        <v>21</v>
      </c>
      <c r="B15" s="21"/>
      <c r="C15" s="18">
        <f t="shared" si="0"/>
        <v>5760</v>
      </c>
      <c r="D15" s="22">
        <f t="shared" si="4"/>
        <v>1661</v>
      </c>
      <c r="E15" s="22">
        <f t="shared" si="1"/>
        <v>4099</v>
      </c>
      <c r="F15" s="23"/>
      <c r="G15" s="18">
        <f t="shared" si="2"/>
        <v>1881</v>
      </c>
      <c r="H15" s="22">
        <v>492</v>
      </c>
      <c r="I15" s="22">
        <v>1389</v>
      </c>
      <c r="J15" s="23"/>
      <c r="K15" s="18">
        <f t="shared" si="3"/>
        <v>3879</v>
      </c>
      <c r="L15" s="22">
        <v>1169</v>
      </c>
      <c r="M15" s="22">
        <v>2710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6" x14ac:dyDescent="0.25">
      <c r="A16" s="20" t="s">
        <v>22</v>
      </c>
      <c r="B16" s="21"/>
      <c r="C16" s="18">
        <f t="shared" si="0"/>
        <v>4956</v>
      </c>
      <c r="D16" s="22">
        <f t="shared" si="4"/>
        <v>1657</v>
      </c>
      <c r="E16" s="22">
        <f t="shared" si="1"/>
        <v>3299</v>
      </c>
      <c r="F16" s="23"/>
      <c r="G16" s="18">
        <f t="shared" si="2"/>
        <v>1858</v>
      </c>
      <c r="H16" s="22">
        <v>566</v>
      </c>
      <c r="I16" s="22">
        <v>1292</v>
      </c>
      <c r="J16" s="23"/>
      <c r="K16" s="18">
        <f t="shared" si="3"/>
        <v>3098</v>
      </c>
      <c r="L16" s="22">
        <v>1091</v>
      </c>
      <c r="M16" s="22">
        <v>2007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47" x14ac:dyDescent="0.25">
      <c r="A17" s="20" t="s">
        <v>23</v>
      </c>
      <c r="B17" s="21"/>
      <c r="C17" s="18">
        <f t="shared" si="0"/>
        <v>3615</v>
      </c>
      <c r="D17" s="22">
        <f t="shared" si="4"/>
        <v>1299</v>
      </c>
      <c r="E17" s="22">
        <f t="shared" si="1"/>
        <v>2316</v>
      </c>
      <c r="F17" s="23"/>
      <c r="G17" s="18">
        <f t="shared" si="2"/>
        <v>1500</v>
      </c>
      <c r="H17" s="22">
        <v>468</v>
      </c>
      <c r="I17" s="22">
        <v>1032</v>
      </c>
      <c r="J17" s="23"/>
      <c r="K17" s="18">
        <f t="shared" si="3"/>
        <v>2115</v>
      </c>
      <c r="L17" s="22">
        <v>831</v>
      </c>
      <c r="M17" s="22">
        <v>1284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47" x14ac:dyDescent="0.25">
      <c r="A18" s="20" t="s">
        <v>24</v>
      </c>
      <c r="B18" s="21"/>
      <c r="C18" s="18">
        <f t="shared" si="0"/>
        <v>2885</v>
      </c>
      <c r="D18" s="22">
        <f t="shared" si="4"/>
        <v>1220</v>
      </c>
      <c r="E18" s="22">
        <f t="shared" si="1"/>
        <v>1665</v>
      </c>
      <c r="F18" s="23"/>
      <c r="G18" s="18">
        <f t="shared" si="2"/>
        <v>1168</v>
      </c>
      <c r="H18" s="22">
        <v>463</v>
      </c>
      <c r="I18" s="22">
        <v>705</v>
      </c>
      <c r="J18" s="23"/>
      <c r="K18" s="18">
        <f t="shared" si="3"/>
        <v>1717</v>
      </c>
      <c r="L18" s="22">
        <v>757</v>
      </c>
      <c r="M18" s="22">
        <v>960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47" x14ac:dyDescent="0.25">
      <c r="A19" s="20" t="s">
        <v>25</v>
      </c>
      <c r="B19" s="21"/>
      <c r="C19" s="18">
        <f t="shared" si="0"/>
        <v>2043</v>
      </c>
      <c r="D19" s="22">
        <f t="shared" si="4"/>
        <v>1027</v>
      </c>
      <c r="E19" s="22">
        <f t="shared" si="1"/>
        <v>1016</v>
      </c>
      <c r="F19" s="23"/>
      <c r="G19" s="18">
        <f t="shared" si="2"/>
        <v>755</v>
      </c>
      <c r="H19" s="22">
        <v>381</v>
      </c>
      <c r="I19" s="22">
        <v>374</v>
      </c>
      <c r="J19" s="23"/>
      <c r="K19" s="18">
        <f t="shared" si="3"/>
        <v>1288</v>
      </c>
      <c r="L19" s="22">
        <v>646</v>
      </c>
      <c r="M19" s="22">
        <v>642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47" x14ac:dyDescent="0.25">
      <c r="A20" s="20" t="s">
        <v>26</v>
      </c>
      <c r="B20" s="21"/>
      <c r="C20" s="18">
        <f t="shared" si="0"/>
        <v>1109</v>
      </c>
      <c r="D20" s="22">
        <f t="shared" si="4"/>
        <v>647</v>
      </c>
      <c r="E20" s="22">
        <f t="shared" si="1"/>
        <v>462</v>
      </c>
      <c r="F20" s="23"/>
      <c r="G20" s="18">
        <f t="shared" si="2"/>
        <v>404</v>
      </c>
      <c r="H20" s="22">
        <v>228</v>
      </c>
      <c r="I20" s="22">
        <v>176</v>
      </c>
      <c r="J20" s="23"/>
      <c r="K20" s="18">
        <f t="shared" si="3"/>
        <v>705</v>
      </c>
      <c r="L20" s="22">
        <v>419</v>
      </c>
      <c r="M20" s="22">
        <v>286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L20" s="50" t="s">
        <v>0</v>
      </c>
      <c r="AM20" s="50"/>
      <c r="AN20" s="50"/>
      <c r="AO20" s="50" t="s">
        <v>1</v>
      </c>
      <c r="AP20" s="50"/>
      <c r="AQ20" s="50"/>
      <c r="AR20" s="50" t="s">
        <v>13</v>
      </c>
      <c r="AS20" s="50"/>
      <c r="AT20" s="50"/>
    </row>
    <row r="21" spans="1:47" x14ac:dyDescent="0.25">
      <c r="A21" s="24" t="s">
        <v>27</v>
      </c>
      <c r="B21" s="25"/>
      <c r="C21" s="26">
        <f t="shared" si="0"/>
        <v>5</v>
      </c>
      <c r="D21" s="27">
        <f t="shared" si="4"/>
        <v>3</v>
      </c>
      <c r="E21" s="27">
        <f t="shared" si="1"/>
        <v>2</v>
      </c>
      <c r="F21" s="28"/>
      <c r="G21" s="26">
        <f t="shared" si="2"/>
        <v>3</v>
      </c>
      <c r="H21" s="44">
        <v>2</v>
      </c>
      <c r="I21" s="44">
        <v>1</v>
      </c>
      <c r="J21" s="28"/>
      <c r="K21" s="26">
        <f t="shared" si="3"/>
        <v>2</v>
      </c>
      <c r="L21" s="44">
        <v>1</v>
      </c>
      <c r="M21" s="44">
        <v>1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K21" s="12"/>
      <c r="AL21" s="3" t="s">
        <v>15</v>
      </c>
      <c r="AM21" s="3" t="s">
        <v>5</v>
      </c>
      <c r="AN21" s="3" t="s">
        <v>6</v>
      </c>
      <c r="AO21" s="3" t="s">
        <v>15</v>
      </c>
      <c r="AP21" s="3" t="s">
        <v>5</v>
      </c>
      <c r="AQ21" s="3" t="s">
        <v>6</v>
      </c>
      <c r="AR21" s="3" t="s">
        <v>15</v>
      </c>
      <c r="AS21" s="3" t="s">
        <v>5</v>
      </c>
      <c r="AT21" s="3" t="s">
        <v>6</v>
      </c>
    </row>
    <row r="22" spans="1:47" s="2" customFormat="1" ht="17.25" x14ac:dyDescent="0.25">
      <c r="A22" s="7" t="s">
        <v>7</v>
      </c>
      <c r="B22" s="29"/>
      <c r="C22" s="30"/>
      <c r="D22" s="30"/>
      <c r="E22" s="30"/>
      <c r="F22" s="30"/>
      <c r="G22" s="30"/>
      <c r="H22" s="30"/>
      <c r="I22" s="30"/>
      <c r="M22" s="9" t="s">
        <v>8</v>
      </c>
      <c r="AK22" s="1">
        <v>2012</v>
      </c>
      <c r="AL22" s="32">
        <v>17657</v>
      </c>
      <c r="AM22" s="32">
        <v>8603</v>
      </c>
      <c r="AN22" s="32">
        <v>9054</v>
      </c>
      <c r="AO22" s="32">
        <v>7540</v>
      </c>
      <c r="AP22" s="32">
        <v>3549</v>
      </c>
      <c r="AQ22" s="32">
        <v>3991</v>
      </c>
      <c r="AR22" s="32">
        <v>10117</v>
      </c>
      <c r="AS22" s="32">
        <v>5054</v>
      </c>
      <c r="AT22" s="32">
        <v>5063</v>
      </c>
      <c r="AU22" s="1"/>
    </row>
    <row r="23" spans="1:47" x14ac:dyDescent="0.25">
      <c r="AK23" s="1">
        <v>2013</v>
      </c>
      <c r="AL23" s="1">
        <v>24207</v>
      </c>
      <c r="AM23" s="1">
        <v>11219</v>
      </c>
      <c r="AN23" s="1">
        <v>12988</v>
      </c>
      <c r="AO23" s="1">
        <v>8522</v>
      </c>
      <c r="AP23" s="1">
        <v>3837</v>
      </c>
      <c r="AQ23" s="1">
        <v>4685</v>
      </c>
      <c r="AR23" s="1">
        <v>15685</v>
      </c>
      <c r="AS23" s="1">
        <v>7382</v>
      </c>
      <c r="AT23" s="1">
        <v>8303</v>
      </c>
    </row>
    <row r="24" spans="1:47" x14ac:dyDescent="0.25">
      <c r="AK24" s="31">
        <v>2014</v>
      </c>
      <c r="AL24" s="8">
        <v>24883</v>
      </c>
      <c r="AM24" s="8">
        <v>11547</v>
      </c>
      <c r="AN24" s="8">
        <v>13336</v>
      </c>
      <c r="AO24" s="8">
        <v>8749</v>
      </c>
      <c r="AP24" s="8">
        <v>3839</v>
      </c>
      <c r="AQ24" s="8">
        <v>4910</v>
      </c>
      <c r="AR24" s="8">
        <v>16134</v>
      </c>
      <c r="AS24" s="8">
        <v>7708</v>
      </c>
      <c r="AT24" s="8">
        <v>8426</v>
      </c>
    </row>
    <row r="25" spans="1:47" x14ac:dyDescent="0.25">
      <c r="AK25" s="1">
        <v>2015</v>
      </c>
      <c r="AL25" s="8">
        <v>24696</v>
      </c>
      <c r="AM25" s="8">
        <v>11191</v>
      </c>
      <c r="AN25" s="8">
        <v>13505</v>
      </c>
      <c r="AO25" s="8">
        <v>8549</v>
      </c>
      <c r="AP25" s="8">
        <v>3692</v>
      </c>
      <c r="AQ25" s="8">
        <v>4857</v>
      </c>
      <c r="AR25" s="8">
        <v>16147</v>
      </c>
      <c r="AS25" s="8">
        <v>7499</v>
      </c>
      <c r="AT25" s="8">
        <v>8648</v>
      </c>
    </row>
    <row r="26" spans="1:47" x14ac:dyDescent="0.25">
      <c r="AK26" s="1">
        <v>2016</v>
      </c>
      <c r="AL26" s="1">
        <v>24501</v>
      </c>
      <c r="AM26" s="1">
        <v>10881</v>
      </c>
      <c r="AN26" s="1">
        <v>13620</v>
      </c>
      <c r="AO26" s="1">
        <v>9500</v>
      </c>
      <c r="AP26" s="1">
        <v>4500</v>
      </c>
      <c r="AQ26" s="1">
        <v>5000</v>
      </c>
      <c r="AR26" s="1">
        <v>15001</v>
      </c>
      <c r="AS26" s="1">
        <v>6381</v>
      </c>
      <c r="AT26" s="1">
        <v>8620</v>
      </c>
    </row>
    <row r="27" spans="1:47" x14ac:dyDescent="0.25">
      <c r="C27" s="12" t="s">
        <v>14</v>
      </c>
      <c r="D27" s="1" t="s">
        <v>5</v>
      </c>
      <c r="E27" s="1" t="s">
        <v>6</v>
      </c>
      <c r="AK27" s="1">
        <v>2017</v>
      </c>
      <c r="AL27" s="1">
        <v>22082</v>
      </c>
      <c r="AM27" s="1">
        <v>8907</v>
      </c>
      <c r="AN27" s="1">
        <v>13175</v>
      </c>
      <c r="AO27" s="1">
        <v>8977</v>
      </c>
      <c r="AP27" s="1">
        <v>4008</v>
      </c>
      <c r="AQ27" s="1">
        <v>4969</v>
      </c>
      <c r="AR27" s="1">
        <v>13105</v>
      </c>
      <c r="AS27" s="1">
        <v>4899</v>
      </c>
      <c r="AT27" s="1">
        <v>8206</v>
      </c>
    </row>
    <row r="28" spans="1:47" x14ac:dyDescent="0.25">
      <c r="C28" s="21" t="s">
        <v>17</v>
      </c>
      <c r="D28" s="33">
        <v>8</v>
      </c>
      <c r="E28" s="33">
        <v>12</v>
      </c>
      <c r="AK28" s="1">
        <v>2018</v>
      </c>
      <c r="AL28" s="1">
        <v>23647</v>
      </c>
      <c r="AM28" s="1">
        <v>9122</v>
      </c>
      <c r="AN28" s="1">
        <v>14525</v>
      </c>
      <c r="AO28" s="1">
        <v>8833</v>
      </c>
      <c r="AP28" s="1">
        <v>3791</v>
      </c>
      <c r="AQ28" s="1">
        <v>5042</v>
      </c>
      <c r="AR28" s="1">
        <v>14814</v>
      </c>
      <c r="AS28" s="1">
        <v>5331</v>
      </c>
      <c r="AT28" s="1">
        <v>9483</v>
      </c>
    </row>
    <row r="29" spans="1:47" x14ac:dyDescent="0.25">
      <c r="C29" s="21" t="s">
        <v>18</v>
      </c>
      <c r="D29" s="33">
        <v>554</v>
      </c>
      <c r="E29" s="33">
        <v>736</v>
      </c>
      <c r="AK29" s="1">
        <v>2019</v>
      </c>
      <c r="AL29" s="1">
        <v>25652</v>
      </c>
      <c r="AM29" s="1">
        <v>9573</v>
      </c>
      <c r="AN29" s="1">
        <v>16079</v>
      </c>
      <c r="AO29" s="1">
        <v>9280</v>
      </c>
      <c r="AP29" s="1">
        <v>3678</v>
      </c>
      <c r="AQ29" s="1">
        <v>5602</v>
      </c>
      <c r="AR29" s="1">
        <v>16372</v>
      </c>
      <c r="AS29" s="1">
        <v>5895</v>
      </c>
      <c r="AT29" s="1">
        <v>10477</v>
      </c>
    </row>
    <row r="30" spans="1:47" x14ac:dyDescent="0.25">
      <c r="C30" s="21" t="s">
        <v>19</v>
      </c>
      <c r="D30" s="33">
        <v>1534</v>
      </c>
      <c r="E30" s="33">
        <v>2232</v>
      </c>
      <c r="AK30" s="1">
        <v>2020</v>
      </c>
      <c r="AL30" s="1">
        <v>26668</v>
      </c>
      <c r="AM30" s="1">
        <v>10075</v>
      </c>
      <c r="AN30" s="1">
        <v>16593</v>
      </c>
      <c r="AO30" s="1">
        <v>10067</v>
      </c>
      <c r="AP30" s="1">
        <v>3932</v>
      </c>
      <c r="AQ30" s="1">
        <v>6135</v>
      </c>
      <c r="AR30" s="1">
        <v>16601</v>
      </c>
      <c r="AS30" s="1">
        <v>6143</v>
      </c>
      <c r="AT30" s="1">
        <v>10458</v>
      </c>
    </row>
    <row r="31" spans="1:47" x14ac:dyDescent="0.25">
      <c r="C31" s="21" t="s">
        <v>20</v>
      </c>
      <c r="D31" s="33">
        <v>1451</v>
      </c>
      <c r="E31" s="33">
        <v>1873</v>
      </c>
      <c r="AK31" s="1">
        <v>2021</v>
      </c>
      <c r="AL31" s="1">
        <v>26834</v>
      </c>
      <c r="AM31" s="1">
        <v>9695</v>
      </c>
      <c r="AN31" s="1">
        <v>17139</v>
      </c>
      <c r="AO31" s="1">
        <v>9683</v>
      </c>
      <c r="AP31" s="1">
        <v>3547</v>
      </c>
      <c r="AQ31" s="1">
        <v>6136</v>
      </c>
      <c r="AR31" s="1">
        <v>17151</v>
      </c>
      <c r="AS31" s="1">
        <v>6148</v>
      </c>
      <c r="AT31" s="1">
        <v>11003</v>
      </c>
    </row>
    <row r="32" spans="1:47" x14ac:dyDescent="0.25">
      <c r="C32" s="21" t="s">
        <v>21</v>
      </c>
      <c r="D32" s="33">
        <v>1208</v>
      </c>
      <c r="E32" s="33">
        <v>1440</v>
      </c>
      <c r="AK32" s="1">
        <v>2022</v>
      </c>
      <c r="AL32" s="6">
        <v>28294</v>
      </c>
      <c r="AM32" s="1">
        <v>9975</v>
      </c>
      <c r="AN32" s="1">
        <v>18319</v>
      </c>
      <c r="AO32" s="1">
        <v>10231</v>
      </c>
      <c r="AP32" s="1">
        <v>3583</v>
      </c>
      <c r="AQ32" s="1">
        <v>6648</v>
      </c>
      <c r="AR32" s="1">
        <v>18063</v>
      </c>
      <c r="AS32" s="1">
        <v>6392</v>
      </c>
      <c r="AT32" s="1">
        <v>11671</v>
      </c>
    </row>
    <row r="33" spans="3:46" x14ac:dyDescent="0.25">
      <c r="C33" s="21" t="s">
        <v>22</v>
      </c>
      <c r="D33" s="33">
        <v>1108</v>
      </c>
      <c r="E33" s="33">
        <v>1123</v>
      </c>
      <c r="AK33" s="1">
        <v>2023</v>
      </c>
      <c r="AL33" s="6">
        <v>30127</v>
      </c>
      <c r="AM33" s="1">
        <v>10307</v>
      </c>
      <c r="AN33" s="1">
        <v>19820</v>
      </c>
      <c r="AO33" s="1">
        <v>10818</v>
      </c>
      <c r="AP33" s="1">
        <v>3602</v>
      </c>
      <c r="AQ33" s="1">
        <v>7216</v>
      </c>
      <c r="AR33" s="1">
        <v>19309</v>
      </c>
      <c r="AS33" s="1">
        <v>6705</v>
      </c>
      <c r="AT33" s="1">
        <v>12604</v>
      </c>
    </row>
    <row r="34" spans="3:46" x14ac:dyDescent="0.25">
      <c r="C34" s="21" t="s">
        <v>23</v>
      </c>
      <c r="D34" s="33">
        <v>954</v>
      </c>
      <c r="E34" s="33">
        <v>776</v>
      </c>
      <c r="AK34" s="1">
        <v>2024</v>
      </c>
      <c r="AL34" s="6">
        <v>33250</v>
      </c>
      <c r="AM34" s="1">
        <v>11438</v>
      </c>
      <c r="AN34" s="1">
        <v>21812</v>
      </c>
      <c r="AO34" s="1">
        <v>12114</v>
      </c>
      <c r="AP34" s="1">
        <v>3989</v>
      </c>
      <c r="AQ34" s="1">
        <v>8125</v>
      </c>
      <c r="AR34" s="1">
        <v>21136</v>
      </c>
      <c r="AS34" s="1">
        <v>7449</v>
      </c>
      <c r="AT34" s="1">
        <v>13687</v>
      </c>
    </row>
    <row r="35" spans="3:46" x14ac:dyDescent="0.25">
      <c r="C35" s="21" t="s">
        <v>24</v>
      </c>
      <c r="D35" s="33">
        <v>781</v>
      </c>
      <c r="E35" s="33">
        <v>448</v>
      </c>
      <c r="AK35" s="1">
        <v>2025</v>
      </c>
      <c r="AL35" s="6">
        <f>C10</f>
        <v>31584</v>
      </c>
      <c r="AM35" s="1">
        <f>D10</f>
        <v>10157</v>
      </c>
      <c r="AN35" s="1">
        <f>E10</f>
        <v>21427</v>
      </c>
      <c r="AO35" s="1">
        <f>G10</f>
        <v>12205</v>
      </c>
      <c r="AP35" s="1">
        <f>H10</f>
        <v>3759</v>
      </c>
      <c r="AQ35" s="1">
        <f>I10</f>
        <v>8446</v>
      </c>
      <c r="AR35" s="1">
        <f>K10</f>
        <v>19379</v>
      </c>
      <c r="AS35" s="1">
        <f>L10</f>
        <v>6398</v>
      </c>
      <c r="AT35" s="1">
        <f>M10</f>
        <v>12981</v>
      </c>
    </row>
    <row r="36" spans="3:46" x14ac:dyDescent="0.25">
      <c r="C36" s="21" t="s">
        <v>25</v>
      </c>
      <c r="D36" s="33">
        <v>611</v>
      </c>
      <c r="E36" s="33">
        <v>282</v>
      </c>
    </row>
    <row r="37" spans="3:46" x14ac:dyDescent="0.25">
      <c r="C37" s="21" t="s">
        <v>26</v>
      </c>
      <c r="D37" s="33">
        <v>327</v>
      </c>
      <c r="E37" s="33">
        <v>114</v>
      </c>
    </row>
    <row r="38" spans="3:46" x14ac:dyDescent="0.25">
      <c r="C38" s="25" t="s">
        <v>27</v>
      </c>
      <c r="D38" s="34">
        <v>67</v>
      </c>
      <c r="E38" s="34">
        <v>18</v>
      </c>
    </row>
    <row r="40" spans="3:46" x14ac:dyDescent="0.25">
      <c r="AB40" s="18"/>
      <c r="AC40" s="18"/>
      <c r="AD40" s="18"/>
      <c r="AE40" s="18"/>
      <c r="AF40" s="18"/>
      <c r="AJ40" s="18"/>
    </row>
    <row r="49" spans="1:37" x14ac:dyDescent="0.25"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1:37" x14ac:dyDescent="0.25"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1:37" x14ac:dyDescent="0.25"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1:37" x14ac:dyDescent="0.25"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1:37" x14ac:dyDescent="0.25"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1:37" x14ac:dyDescent="0.25"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1:37" x14ac:dyDescent="0.25"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1:37" x14ac:dyDescent="0.25"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1:37" x14ac:dyDescent="0.25"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1:37" x14ac:dyDescent="0.25"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1:37" x14ac:dyDescent="0.25"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1:37" x14ac:dyDescent="0.25"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3" spans="1:37" ht="2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</row>
    <row r="64" spans="1:37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spans="1:14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</row>
    <row r="66" spans="1:14" ht="18.75" x14ac:dyDescent="0.25">
      <c r="A66" s="42"/>
      <c r="B66" s="37"/>
      <c r="C66" s="43"/>
      <c r="D66" s="43"/>
      <c r="E66" s="43"/>
      <c r="F66" s="39"/>
      <c r="G66" s="43"/>
      <c r="H66" s="43"/>
      <c r="I66" s="43"/>
      <c r="J66" s="39"/>
      <c r="K66" s="43"/>
      <c r="L66" s="43"/>
      <c r="M66" s="43"/>
    </row>
  </sheetData>
  <mergeCells count="14">
    <mergeCell ref="A7:A8"/>
    <mergeCell ref="AL20:AN20"/>
    <mergeCell ref="AO20:AQ20"/>
    <mergeCell ref="AR20:AT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2026-06-11T10:08:08Z</cp:lastPrinted>
  <dcterms:created xsi:type="dcterms:W3CDTF">2019-06-03T04:17:39Z</dcterms:created>
  <dcterms:modified xsi:type="dcterms:W3CDTF">2026-06-11T10:08:38Z</dcterms:modified>
</cp:coreProperties>
</file>