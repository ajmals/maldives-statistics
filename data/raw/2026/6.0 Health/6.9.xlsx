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6.Health\"/>
    </mc:Choice>
  </mc:AlternateContent>
  <xr:revisionPtr revIDLastSave="0" documentId="13_ncr:1_{AB5C1A5D-B82F-4D66-9703-BC8A54187188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9" sheetId="30" r:id="rId1"/>
  </sheets>
  <externalReferences>
    <externalReference r:id="rId2"/>
  </externalReferences>
  <definedNames>
    <definedName name="_xlnm.Print_Area" localSheetId="0">'6.9'!$A$1:$E$152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6" i="30" l="1"/>
  <c r="B115" i="30"/>
  <c r="B114" i="30"/>
  <c r="B113" i="30"/>
  <c r="B112" i="30"/>
  <c r="B111" i="30"/>
  <c r="B110" i="30"/>
  <c r="B109" i="30"/>
  <c r="B108" i="30"/>
  <c r="B107" i="30"/>
  <c r="B106" i="30"/>
  <c r="B105" i="30"/>
  <c r="B104" i="30"/>
  <c r="B103" i="30"/>
  <c r="B102" i="30"/>
  <c r="B101" i="30"/>
  <c r="B100" i="30"/>
  <c r="B99" i="30"/>
  <c r="B98" i="30"/>
  <c r="B97" i="30"/>
  <c r="B96" i="30"/>
  <c r="B95" i="30"/>
  <c r="B94" i="30"/>
  <c r="B93" i="30"/>
  <c r="B92" i="30"/>
  <c r="D91" i="30"/>
  <c r="C91" i="30"/>
  <c r="B84" i="30"/>
  <c r="B83" i="30"/>
  <c r="B82" i="30"/>
  <c r="B81" i="30"/>
  <c r="B80" i="30"/>
  <c r="B79" i="30"/>
  <c r="B78" i="30"/>
  <c r="B77" i="30"/>
  <c r="B76" i="30"/>
  <c r="B75" i="30"/>
  <c r="B74" i="30"/>
  <c r="B73" i="30"/>
  <c r="B72" i="30"/>
  <c r="B71" i="30"/>
  <c r="B70" i="30"/>
  <c r="B69" i="30"/>
  <c r="B68" i="30"/>
  <c r="B67" i="30"/>
  <c r="B66" i="30"/>
  <c r="B65" i="30"/>
  <c r="B64" i="30"/>
  <c r="B63" i="30"/>
  <c r="B62" i="30"/>
  <c r="B61" i="30"/>
  <c r="B60" i="30"/>
  <c r="B59" i="30"/>
  <c r="B58" i="30"/>
  <c r="B57" i="30"/>
  <c r="B56" i="30"/>
  <c r="B55" i="30"/>
  <c r="B54" i="30"/>
  <c r="B53" i="30"/>
  <c r="B52" i="30"/>
  <c r="D51" i="30"/>
  <c r="C51" i="30"/>
  <c r="B51" i="30" s="1"/>
  <c r="B43" i="30"/>
  <c r="B42" i="30"/>
  <c r="B41" i="30"/>
  <c r="B40" i="30"/>
  <c r="B39" i="30"/>
  <c r="B38" i="30"/>
  <c r="B37" i="30"/>
  <c r="B36" i="30"/>
  <c r="B35" i="30"/>
  <c r="B34" i="30"/>
  <c r="B33" i="30"/>
  <c r="B32" i="30"/>
  <c r="B31" i="30"/>
  <c r="B30" i="30"/>
  <c r="B29" i="30"/>
  <c r="B28" i="30"/>
  <c r="B27" i="30"/>
  <c r="B26" i="30"/>
  <c r="B25" i="30"/>
  <c r="B24" i="30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B10" i="30"/>
  <c r="B9" i="30"/>
  <c r="B8" i="30"/>
  <c r="B7" i="30"/>
  <c r="B6" i="30"/>
  <c r="D5" i="30"/>
  <c r="C5" i="30"/>
  <c r="B5" i="30" s="1"/>
  <c r="B91" i="30" l="1"/>
</calcChain>
</file>

<file path=xl/sharedStrings.xml><?xml version="1.0" encoding="utf-8"?>
<sst xmlns="http://schemas.openxmlformats.org/spreadsheetml/2006/main" count="153" uniqueCount="51">
  <si>
    <t>Both sexes</t>
  </si>
  <si>
    <t>Male</t>
  </si>
  <si>
    <t>Female</t>
  </si>
  <si>
    <t>Total</t>
  </si>
  <si>
    <t>Source: Indira Gandhi Memorial Hospital</t>
  </si>
  <si>
    <t>Dental</t>
  </si>
  <si>
    <t>Ophthalmology</t>
  </si>
  <si>
    <t>Gastroenterology</t>
  </si>
  <si>
    <t>Urology</t>
  </si>
  <si>
    <t>Neurology</t>
  </si>
  <si>
    <t>Optometry</t>
  </si>
  <si>
    <t>Oncology</t>
  </si>
  <si>
    <t>Table 6.9: Number of outpatients by speciality and sex, 2025</t>
  </si>
  <si>
    <t xml:space="preserve">Outpatients </t>
  </si>
  <si>
    <t>Internal medicine</t>
  </si>
  <si>
    <t>RHC</t>
  </si>
  <si>
    <t>Center for mental health</t>
  </si>
  <si>
    <t>Orthopaedics</t>
  </si>
  <si>
    <t>Dermatology</t>
  </si>
  <si>
    <t>Obstetrics and gynaecology</t>
  </si>
  <si>
    <t>Surgery</t>
  </si>
  <si>
    <t>Cardiology (National Cardiac Centre)</t>
  </si>
  <si>
    <t>Paediatrics</t>
  </si>
  <si>
    <t>ENT</t>
  </si>
  <si>
    <t>National Uro Renal Fertility Centre</t>
  </si>
  <si>
    <t>Anaesthesiology</t>
  </si>
  <si>
    <t>Onco surgery</t>
  </si>
  <si>
    <t>Dietetics and nutrition therapy</t>
  </si>
  <si>
    <t xml:space="preserve"> Endocrinology</t>
  </si>
  <si>
    <t>Respiratory medicine</t>
  </si>
  <si>
    <t>National diabetes center</t>
  </si>
  <si>
    <t>Neuro surgery</t>
  </si>
  <si>
    <t>Covid Clinic</t>
  </si>
  <si>
    <t>National Fertility Centre</t>
  </si>
  <si>
    <t>Physiotherapy Department</t>
  </si>
  <si>
    <t>Plastic Surgery</t>
  </si>
  <si>
    <t>Rheumatology</t>
  </si>
  <si>
    <t>Speech Pathology and Audiology</t>
  </si>
  <si>
    <t>Surgical Gastroenterology</t>
  </si>
  <si>
    <t>Hematology</t>
  </si>
  <si>
    <t>Urban Primary Health Care Center</t>
  </si>
  <si>
    <t>Radiology Department</t>
  </si>
  <si>
    <t>Maldives Blood Services</t>
  </si>
  <si>
    <t>Laboratory Medicine</t>
  </si>
  <si>
    <t>Other ( casualty)</t>
  </si>
  <si>
    <r>
      <t xml:space="preserve">Note: </t>
    </r>
    <r>
      <rPr>
        <i/>
        <sz val="10"/>
        <color theme="1"/>
        <rFont val="Calibri"/>
        <family val="2"/>
        <scheme val="minor"/>
      </rPr>
      <t>Previously Pulmonology Counts is now Under Respiratory  medicine, Direct prescription (COVID-19 situation) Counts is Under Casualty, Post interventional clinic Counts is Under Cardiology, Paediatric cardiology Counts Under  National Cardiac Centre, Neuro surgery- From April this count goes under National Uro Renal Fertility Centre, Fertility &amp; Reproduction Count goes under National Uro Renal Fertility Centre</t>
    </r>
  </si>
  <si>
    <t>Table 6.9: Number of outpatients by speciality and sex, 2024</t>
  </si>
  <si>
    <t>Table 6.9: Number of outpatients by speciality and sex, 2023</t>
  </si>
  <si>
    <t>Urology (NATIONAL URO RENAL FERTILITY CENTRE)</t>
  </si>
  <si>
    <t>Table 6.9: Number of outpatients by speciality and sex, 2022</t>
  </si>
  <si>
    <t>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</si>
</sst>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General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_Randhoo"/>
    </font>
    <font>
      <sz val="10"/>
      <name val="Arial"/>
      <family val="2"/>
    </font>
    <font>
      <sz val="9"/>
      <name val="A_Faseyha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MS Sans Serif"/>
      <charset val="134"/>
    </font>
    <font>
      <sz val="10"/>
      <name val="Courier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6">
    <xf numFmtId="0" fontId="0" fillId="0" borderId="0"/>
    <xf numFmtId="0" fontId="1" fillId="0" borderId="0"/>
    <xf numFmtId="165" fontId="12" fillId="0" borderId="0"/>
    <xf numFmtId="165" fontId="12" fillId="0" borderId="0"/>
    <xf numFmtId="165" fontId="12" fillId="0" borderId="0"/>
    <xf numFmtId="40" fontId="13" fillId="0" borderId="0" applyFont="0" applyFill="0" applyBorder="0" applyAlignment="0" applyProtection="0"/>
    <xf numFmtId="165" fontId="12" fillId="0" borderId="0"/>
    <xf numFmtId="0" fontId="1" fillId="0" borderId="0"/>
    <xf numFmtId="0" fontId="9" fillId="0" borderId="0"/>
    <xf numFmtId="43" fontId="1" fillId="0" borderId="0" applyFont="0" applyFill="0" applyBorder="0" applyAlignment="0" applyProtection="0"/>
    <xf numFmtId="0" fontId="1" fillId="0" borderId="0"/>
    <xf numFmtId="165" fontId="17" fillId="0" borderId="0"/>
    <xf numFmtId="165" fontId="17" fillId="0" borderId="0"/>
    <xf numFmtId="40" fontId="16" fillId="0" borderId="0" applyFont="0" applyFill="0" applyBorder="0" applyAlignment="0" applyProtection="0"/>
    <xf numFmtId="165" fontId="17" fillId="0" borderId="0"/>
    <xf numFmtId="165" fontId="17" fillId="0" borderId="0"/>
  </cellStyleXfs>
  <cellXfs count="32">
    <xf numFmtId="0" fontId="0" fillId="0" borderId="0" xfId="0"/>
    <xf numFmtId="0" fontId="0" fillId="2" borderId="0" xfId="0" applyFill="1"/>
    <xf numFmtId="3" fontId="2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right"/>
    </xf>
    <xf numFmtId="3" fontId="0" fillId="2" borderId="0" xfId="0" applyNumberFormat="1" applyFill="1"/>
    <xf numFmtId="0" fontId="0" fillId="2" borderId="0" xfId="0" applyFill="1" applyAlignment="1">
      <alignment horizontal="left" vertical="center" indent="1"/>
    </xf>
    <xf numFmtId="165" fontId="5" fillId="2" borderId="0" xfId="0" applyNumberFormat="1" applyFont="1" applyFill="1" applyAlignment="1">
      <alignment horizontal="left" vertical="center"/>
    </xf>
    <xf numFmtId="3" fontId="4" fillId="2" borderId="0" xfId="0" applyNumberFormat="1" applyFont="1" applyFill="1" applyAlignment="1">
      <alignment horizontal="left" vertical="center"/>
    </xf>
    <xf numFmtId="165" fontId="8" fillId="2" borderId="3" xfId="0" applyNumberFormat="1" applyFont="1" applyFill="1" applyBorder="1" applyAlignment="1">
      <alignment horizontal="left" vertical="center"/>
    </xf>
    <xf numFmtId="3" fontId="2" fillId="2" borderId="0" xfId="0" applyNumberFormat="1" applyFont="1" applyFill="1"/>
    <xf numFmtId="3" fontId="11" fillId="2" borderId="0" xfId="0" applyNumberFormat="1" applyFont="1" applyFill="1"/>
    <xf numFmtId="0" fontId="11" fillId="2" borderId="0" xfId="0" applyFont="1" applyFill="1" applyAlignment="1">
      <alignment horizontal="left" vertical="center" indent="1"/>
    </xf>
    <xf numFmtId="3" fontId="4" fillId="2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165" fontId="10" fillId="2" borderId="3" xfId="0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left" vertical="center" indent="1"/>
    </xf>
    <xf numFmtId="3" fontId="7" fillId="2" borderId="0" xfId="0" applyNumberFormat="1" applyFont="1" applyFill="1"/>
    <xf numFmtId="0" fontId="14" fillId="2" borderId="0" xfId="0" applyFont="1" applyFill="1"/>
    <xf numFmtId="3" fontId="14" fillId="2" borderId="0" xfId="0" applyNumberFormat="1" applyFont="1" applyFill="1"/>
    <xf numFmtId="3" fontId="3" fillId="2" borderId="0" xfId="0" applyNumberFormat="1" applyFont="1" applyFill="1"/>
    <xf numFmtId="0" fontId="11" fillId="2" borderId="0" xfId="0" applyFont="1" applyFill="1"/>
    <xf numFmtId="0" fontId="2" fillId="2" borderId="5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vertical="center"/>
    </xf>
    <xf numFmtId="3" fontId="2" fillId="2" borderId="5" xfId="0" applyNumberFormat="1" applyFont="1" applyFill="1" applyBorder="1" applyAlignment="1">
      <alignment horizontal="right" vertical="center"/>
    </xf>
    <xf numFmtId="0" fontId="0" fillId="2" borderId="4" xfId="0" applyFill="1" applyBorder="1" applyAlignment="1">
      <alignment horizontal="left" vertical="center" indent="1"/>
    </xf>
    <xf numFmtId="3" fontId="2" fillId="2" borderId="4" xfId="0" applyNumberFormat="1" applyFont="1" applyFill="1" applyBorder="1" applyAlignment="1">
      <alignment horizontal="right" vertical="center"/>
    </xf>
    <xf numFmtId="3" fontId="0" fillId="2" borderId="4" xfId="0" applyNumberFormat="1" applyFill="1" applyBorder="1"/>
    <xf numFmtId="3" fontId="2" fillId="2" borderId="4" xfId="0" applyNumberFormat="1" applyFont="1" applyFill="1" applyBorder="1"/>
    <xf numFmtId="0" fontId="2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 vertical="center" wrapText="1"/>
    </xf>
  </cellXfs>
  <cellStyles count="16">
    <cellStyle name="1" xfId="8" xr:uid="{00000000-0005-0000-0000-000000000000}"/>
    <cellStyle name="Comma 3" xfId="5" xr:uid="{00000000-0005-0000-0000-000002000000}"/>
    <cellStyle name="Comma 3 2" xfId="13" xr:uid="{044B0490-7F01-4968-B2E2-23A0F3C74FBF}"/>
    <cellStyle name="Comma 8" xfId="9" xr:uid="{8B82D3A5-B946-4FE9-B45D-7C6ED627CB8E}"/>
    <cellStyle name="Normal" xfId="0" builtinId="0"/>
    <cellStyle name="Normal 10" xfId="10" xr:uid="{6B8FCD95-7F28-4B40-945F-E584BDD3EF06}"/>
    <cellStyle name="Normal 14" xfId="2" xr:uid="{00000000-0005-0000-0000-000004000000}"/>
    <cellStyle name="Normal 14 2" xfId="12" xr:uid="{AC48AFEB-22E5-4F8D-81DB-8FE218E38520}"/>
    <cellStyle name="Normal 15" xfId="4" xr:uid="{00000000-0005-0000-0000-000005000000}"/>
    <cellStyle name="Normal 15 2" xfId="11" xr:uid="{3F966413-A11F-4BE6-BFC5-2EE77E45E101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3 2" xfId="14" xr:uid="{9A58D293-6C17-47D9-AA84-C8B21CEFEF70}"/>
    <cellStyle name="Normal 9" xfId="6" xr:uid="{00000000-0005-0000-0000-000009000000}"/>
    <cellStyle name="Normal 9 2" xfId="15" xr:uid="{98F78168-6D9C-420D-8042-7CD68E273D11}"/>
  </cellStyles>
  <dxfs count="0"/>
  <tableStyles count="0" defaultTableStyle="TableStyleMedium2" defaultPivotStyle="PivotStyleLight16"/>
  <colors>
    <mruColors>
      <color rgb="FF336600"/>
      <color rgb="FFF1F7ED"/>
      <color rgb="FFEAF4E4"/>
      <color rgb="FF003300"/>
      <color rgb="FF2F75B5"/>
      <color rgb="FFFF3399"/>
      <color rgb="FFC4F2F1"/>
      <color rgb="FF249390"/>
      <color rgb="FF33CCCC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ceived/6.%20HEALTH%20-%20IGMH%20(1).xlsx" TargetMode="External"/><Relationship Id="rId2" Type="http://schemas.openxmlformats.org/officeDocument/2006/relationships/externalLinkPath" Target="file:///\\fileserver\ST4\Dissemination\Publications\Statistical%20Year%20Book\YEARBOOK%202026\Received\6.%20HEALTH%20-%20IGMH%20(1).xlsx" TargetMode="External"/><Relationship Id="rId1" Type="http://schemas.openxmlformats.org/officeDocument/2006/relationships/externalLinkPath" Target="/Dissemination/Publications/Statistical%20Year%20Book/YEARBOOK%202026/Received/6.%20HEALTH%20-%20IGMH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165">
          <cell r="C165">
            <v>1325</v>
          </cell>
          <cell r="D165">
            <v>1179</v>
          </cell>
        </row>
        <row r="167">
          <cell r="A167" t="str">
            <v>Obstetrics and gynaecology</v>
          </cell>
          <cell r="C167">
            <v>6</v>
          </cell>
          <cell r="D167">
            <v>2007</v>
          </cell>
        </row>
        <row r="168">
          <cell r="A168" t="str">
            <v>Surgery</v>
          </cell>
          <cell r="C168">
            <v>668</v>
          </cell>
          <cell r="D168">
            <v>357</v>
          </cell>
        </row>
        <row r="169">
          <cell r="A169" t="str">
            <v>Cardiology</v>
          </cell>
          <cell r="C169">
            <v>598</v>
          </cell>
          <cell r="D169">
            <v>267</v>
          </cell>
        </row>
        <row r="170">
          <cell r="A170" t="str">
            <v>Orthopaedics</v>
          </cell>
          <cell r="C170">
            <v>459</v>
          </cell>
          <cell r="D170">
            <v>256</v>
          </cell>
        </row>
        <row r="171">
          <cell r="A171" t="str">
            <v>Pulmonology</v>
          </cell>
          <cell r="C171">
            <v>254</v>
          </cell>
          <cell r="D171">
            <v>343</v>
          </cell>
        </row>
        <row r="172">
          <cell r="A172" t="str">
            <v>Neurology</v>
          </cell>
          <cell r="C172">
            <v>316</v>
          </cell>
          <cell r="D172">
            <v>178</v>
          </cell>
        </row>
        <row r="173">
          <cell r="A173" t="str">
            <v>Urology</v>
          </cell>
          <cell r="C173">
            <v>236</v>
          </cell>
          <cell r="D173">
            <v>82</v>
          </cell>
        </row>
        <row r="174">
          <cell r="A174" t="str">
            <v>Onco surgery</v>
          </cell>
          <cell r="C174">
            <v>111</v>
          </cell>
          <cell r="D174">
            <v>193</v>
          </cell>
        </row>
        <row r="175">
          <cell r="A175" t="str">
            <v>Psychiatry</v>
          </cell>
          <cell r="C175">
            <v>100</v>
          </cell>
          <cell r="D175">
            <v>111</v>
          </cell>
        </row>
        <row r="176">
          <cell r="A176" t="str">
            <v>Nephrology</v>
          </cell>
          <cell r="C176">
            <v>62</v>
          </cell>
          <cell r="D176">
            <v>78</v>
          </cell>
        </row>
        <row r="177">
          <cell r="A177" t="str">
            <v>ENT</v>
          </cell>
          <cell r="C177">
            <v>57</v>
          </cell>
          <cell r="D177">
            <v>42</v>
          </cell>
        </row>
        <row r="178">
          <cell r="A178" t="str">
            <v>Gastroenterology</v>
          </cell>
          <cell r="C178">
            <v>37</v>
          </cell>
          <cell r="D178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3A20-9FA7-4380-8D50-D4BB266EDAAD}">
  <dimension ref="A2:F152"/>
  <sheetViews>
    <sheetView tabSelected="1" zoomScaleNormal="100" zoomScaleSheetLayoutView="100" workbookViewId="0">
      <selection activeCell="A45" sqref="A45:D45"/>
    </sheetView>
  </sheetViews>
  <sheetFormatPr defaultColWidth="9.140625" defaultRowHeight="15"/>
  <cols>
    <col min="1" max="1" width="47.7109375" style="1" bestFit="1" customWidth="1"/>
    <col min="2" max="4" width="13.7109375" style="1" customWidth="1"/>
    <col min="5" max="16384" width="9.140625" style="1"/>
  </cols>
  <sheetData>
    <row r="2" spans="1:6">
      <c r="A2" s="30" t="s">
        <v>12</v>
      </c>
      <c r="B2" s="30"/>
      <c r="C2" s="30"/>
      <c r="D2" s="30"/>
      <c r="E2" s="3"/>
    </row>
    <row r="3" spans="1:6">
      <c r="E3" s="12"/>
    </row>
    <row r="4" spans="1:6">
      <c r="A4" s="13" t="s">
        <v>13</v>
      </c>
      <c r="B4" s="23" t="s">
        <v>0</v>
      </c>
      <c r="C4" s="23" t="s">
        <v>1</v>
      </c>
      <c r="D4" s="23" t="s">
        <v>2</v>
      </c>
    </row>
    <row r="5" spans="1:6">
      <c r="A5" s="24" t="s">
        <v>3</v>
      </c>
      <c r="B5" s="25">
        <f>SUM(C5:D5)</f>
        <v>464783</v>
      </c>
      <c r="C5" s="25">
        <f>SUM(C6:C43)</f>
        <v>216822</v>
      </c>
      <c r="D5" s="25">
        <f>SUM(D6:D43)</f>
        <v>247961</v>
      </c>
    </row>
    <row r="6" spans="1:6">
      <c r="A6" s="5" t="s">
        <v>14</v>
      </c>
      <c r="B6" s="2">
        <f t="shared" ref="B6:B7" si="0">SUM(C6:D6)</f>
        <v>18358</v>
      </c>
      <c r="C6" s="10">
        <v>7192</v>
      </c>
      <c r="D6" s="10">
        <v>11166</v>
      </c>
    </row>
    <row r="7" spans="1:6">
      <c r="A7" s="5" t="s">
        <v>15</v>
      </c>
      <c r="B7" s="2">
        <f t="shared" si="0"/>
        <v>8937</v>
      </c>
      <c r="C7" s="4">
        <v>656</v>
      </c>
      <c r="D7" s="4">
        <v>8281</v>
      </c>
    </row>
    <row r="8" spans="1:6">
      <c r="A8" s="5" t="s">
        <v>5</v>
      </c>
      <c r="B8" s="2">
        <f>SUM(C8:D8)</f>
        <v>14229</v>
      </c>
      <c r="C8" s="10">
        <v>5819</v>
      </c>
      <c r="D8" s="10">
        <v>8410</v>
      </c>
    </row>
    <row r="9" spans="1:6">
      <c r="A9" s="5" t="s">
        <v>16</v>
      </c>
      <c r="B9" s="2">
        <f>SUM(C9:D9)</f>
        <v>22186</v>
      </c>
      <c r="C9" s="10">
        <v>8322</v>
      </c>
      <c r="D9" s="10">
        <v>13864</v>
      </c>
    </row>
    <row r="10" spans="1:6" s="19" customFormat="1">
      <c r="A10" s="5" t="s">
        <v>17</v>
      </c>
      <c r="B10" s="2">
        <f t="shared" ref="B10:B20" si="1">SUM(C10:D10)</f>
        <v>16934</v>
      </c>
      <c r="C10" s="10">
        <v>8243</v>
      </c>
      <c r="D10" s="10">
        <v>8691</v>
      </c>
      <c r="E10" s="1"/>
      <c r="F10" s="4"/>
    </row>
    <row r="11" spans="1:6">
      <c r="A11" s="5" t="s">
        <v>18</v>
      </c>
      <c r="B11" s="2">
        <f t="shared" si="1"/>
        <v>10217</v>
      </c>
      <c r="C11" s="10">
        <v>4172</v>
      </c>
      <c r="D11" s="10">
        <v>6045</v>
      </c>
    </row>
    <row r="12" spans="1:6">
      <c r="A12" s="5" t="s">
        <v>6</v>
      </c>
      <c r="B12" s="2">
        <f t="shared" si="1"/>
        <v>9616</v>
      </c>
      <c r="C12" s="10">
        <v>4323</v>
      </c>
      <c r="D12" s="10">
        <v>5293</v>
      </c>
    </row>
    <row r="13" spans="1:6">
      <c r="A13" s="5" t="s">
        <v>19</v>
      </c>
      <c r="B13" s="2">
        <f t="shared" si="1"/>
        <v>18180</v>
      </c>
      <c r="C13" s="10">
        <v>643</v>
      </c>
      <c r="D13" s="10">
        <v>17537</v>
      </c>
    </row>
    <row r="14" spans="1:6">
      <c r="A14" s="5" t="s">
        <v>20</v>
      </c>
      <c r="B14" s="2">
        <f t="shared" si="1"/>
        <v>13768</v>
      </c>
      <c r="C14" s="4">
        <v>7461</v>
      </c>
      <c r="D14" s="4">
        <v>6307</v>
      </c>
    </row>
    <row r="15" spans="1:6">
      <c r="A15" s="5" t="s">
        <v>21</v>
      </c>
      <c r="B15" s="2">
        <f t="shared" si="1"/>
        <v>11335</v>
      </c>
      <c r="C15" s="10">
        <v>7465</v>
      </c>
      <c r="D15" s="10">
        <v>3870</v>
      </c>
    </row>
    <row r="16" spans="1:6">
      <c r="A16" s="5" t="s">
        <v>22</v>
      </c>
      <c r="B16" s="2">
        <f t="shared" si="1"/>
        <v>46169</v>
      </c>
      <c r="C16" s="10">
        <v>24785</v>
      </c>
      <c r="D16" s="10">
        <v>21384</v>
      </c>
    </row>
    <row r="17" spans="1:5">
      <c r="A17" s="5" t="s">
        <v>9</v>
      </c>
      <c r="B17" s="2">
        <f t="shared" si="1"/>
        <v>7092</v>
      </c>
      <c r="C17" s="10">
        <v>3015</v>
      </c>
      <c r="D17" s="10">
        <v>4077</v>
      </c>
    </row>
    <row r="18" spans="1:5">
      <c r="A18" s="5" t="s">
        <v>23</v>
      </c>
      <c r="B18" s="2">
        <f t="shared" si="1"/>
        <v>10089</v>
      </c>
      <c r="C18" s="10">
        <v>4444</v>
      </c>
      <c r="D18" s="10">
        <v>5645</v>
      </c>
    </row>
    <row r="19" spans="1:5">
      <c r="A19" s="5" t="s">
        <v>10</v>
      </c>
      <c r="B19" s="2">
        <f t="shared" si="1"/>
        <v>6578</v>
      </c>
      <c r="C19" s="10">
        <v>2822</v>
      </c>
      <c r="D19" s="10">
        <v>3756</v>
      </c>
    </row>
    <row r="20" spans="1:5">
      <c r="A20" s="5" t="s">
        <v>24</v>
      </c>
      <c r="B20" s="2">
        <f t="shared" si="1"/>
        <v>5423</v>
      </c>
      <c r="C20" s="4">
        <v>2747</v>
      </c>
      <c r="D20" s="4">
        <v>2676</v>
      </c>
    </row>
    <row r="21" spans="1:5">
      <c r="A21" s="5" t="s">
        <v>8</v>
      </c>
      <c r="B21" s="2">
        <f>SUM(C21:D21)</f>
        <v>3576</v>
      </c>
      <c r="C21" s="4">
        <v>2569</v>
      </c>
      <c r="D21" s="4">
        <v>1007</v>
      </c>
    </row>
    <row r="22" spans="1:5">
      <c r="A22" s="5" t="s">
        <v>25</v>
      </c>
      <c r="B22" s="2">
        <f t="shared" ref="B22:B43" si="2">SUM(C22:D22)</f>
        <v>7018</v>
      </c>
      <c r="C22" s="10">
        <v>3073</v>
      </c>
      <c r="D22" s="10">
        <v>3945</v>
      </c>
    </row>
    <row r="23" spans="1:5">
      <c r="A23" s="5" t="s">
        <v>26</v>
      </c>
      <c r="B23" s="2">
        <f t="shared" si="2"/>
        <v>1584</v>
      </c>
      <c r="C23" s="10">
        <v>365</v>
      </c>
      <c r="D23" s="10">
        <v>1219</v>
      </c>
    </row>
    <row r="24" spans="1:5">
      <c r="A24" s="5" t="s">
        <v>27</v>
      </c>
      <c r="B24" s="2">
        <f t="shared" si="2"/>
        <v>1290</v>
      </c>
      <c r="C24" s="10">
        <v>390</v>
      </c>
      <c r="D24" s="10">
        <v>900</v>
      </c>
    </row>
    <row r="25" spans="1:5">
      <c r="A25" s="5" t="s">
        <v>11</v>
      </c>
      <c r="B25" s="2">
        <f t="shared" si="2"/>
        <v>4051</v>
      </c>
      <c r="C25" s="10">
        <v>1378</v>
      </c>
      <c r="D25" s="10">
        <v>2673</v>
      </c>
    </row>
    <row r="26" spans="1:5">
      <c r="A26" s="5" t="s">
        <v>28</v>
      </c>
      <c r="B26" s="2">
        <f t="shared" si="2"/>
        <v>3825</v>
      </c>
      <c r="C26" s="10">
        <v>874</v>
      </c>
      <c r="D26" s="10">
        <v>2951</v>
      </c>
    </row>
    <row r="27" spans="1:5">
      <c r="A27" s="5" t="s">
        <v>29</v>
      </c>
      <c r="B27" s="2">
        <f t="shared" si="2"/>
        <v>9557</v>
      </c>
      <c r="C27" s="4">
        <v>4456</v>
      </c>
      <c r="D27" s="4">
        <v>5101</v>
      </c>
    </row>
    <row r="28" spans="1:5">
      <c r="A28" s="5" t="s">
        <v>30</v>
      </c>
      <c r="B28" s="2">
        <f t="shared" si="2"/>
        <v>7002</v>
      </c>
      <c r="C28" s="10">
        <v>2621</v>
      </c>
      <c r="D28" s="10">
        <v>4381</v>
      </c>
    </row>
    <row r="29" spans="1:5" s="19" customFormat="1">
      <c r="A29" s="5" t="s">
        <v>7</v>
      </c>
      <c r="B29" s="2">
        <f t="shared" si="2"/>
        <v>1671</v>
      </c>
      <c r="C29" s="10">
        <v>753</v>
      </c>
      <c r="D29" s="10">
        <v>918</v>
      </c>
      <c r="E29" s="1"/>
    </row>
    <row r="30" spans="1:5" s="19" customFormat="1">
      <c r="A30" s="11" t="s">
        <v>31</v>
      </c>
      <c r="B30" s="2">
        <f t="shared" si="2"/>
        <v>4187</v>
      </c>
      <c r="C30" s="10">
        <v>1715</v>
      </c>
      <c r="D30" s="10">
        <v>2472</v>
      </c>
      <c r="E30" s="22"/>
    </row>
    <row r="31" spans="1:5" s="19" customFormat="1">
      <c r="A31" s="11" t="s">
        <v>32</v>
      </c>
      <c r="B31" s="2">
        <f t="shared" si="2"/>
        <v>15</v>
      </c>
      <c r="C31" s="10">
        <v>7</v>
      </c>
      <c r="D31" s="10">
        <v>8</v>
      </c>
      <c r="E31" s="22"/>
    </row>
    <row r="32" spans="1:5" s="19" customFormat="1">
      <c r="A32" s="11" t="s">
        <v>33</v>
      </c>
      <c r="B32" s="2">
        <f t="shared" si="2"/>
        <v>3562</v>
      </c>
      <c r="C32" s="10">
        <v>666</v>
      </c>
      <c r="D32" s="10">
        <v>2896</v>
      </c>
      <c r="E32" s="22"/>
    </row>
    <row r="33" spans="1:5" s="19" customFormat="1">
      <c r="A33" s="11" t="s">
        <v>34</v>
      </c>
      <c r="B33" s="2">
        <f t="shared" si="2"/>
        <v>41433</v>
      </c>
      <c r="C33" s="10">
        <v>14990</v>
      </c>
      <c r="D33" s="10">
        <v>26443</v>
      </c>
      <c r="E33" s="22"/>
    </row>
    <row r="34" spans="1:5" s="19" customFormat="1">
      <c r="A34" s="11" t="s">
        <v>35</v>
      </c>
      <c r="B34" s="2">
        <f t="shared" si="2"/>
        <v>765</v>
      </c>
      <c r="C34" s="10">
        <v>307</v>
      </c>
      <c r="D34" s="10">
        <v>458</v>
      </c>
      <c r="E34" s="22"/>
    </row>
    <row r="35" spans="1:5" s="19" customFormat="1">
      <c r="A35" s="11" t="s">
        <v>36</v>
      </c>
      <c r="B35" s="2">
        <f t="shared" si="2"/>
        <v>1844</v>
      </c>
      <c r="C35" s="10">
        <v>336</v>
      </c>
      <c r="D35" s="10">
        <v>1508</v>
      </c>
      <c r="E35" s="22"/>
    </row>
    <row r="36" spans="1:5" s="19" customFormat="1">
      <c r="A36" s="11" t="s">
        <v>37</v>
      </c>
      <c r="B36" s="2">
        <f t="shared" si="2"/>
        <v>4915</v>
      </c>
      <c r="C36" s="10">
        <v>3002</v>
      </c>
      <c r="D36" s="10">
        <v>1913</v>
      </c>
      <c r="E36" s="22"/>
    </row>
    <row r="37" spans="1:5" s="19" customFormat="1">
      <c r="A37" s="11" t="s">
        <v>38</v>
      </c>
      <c r="B37" s="2">
        <f t="shared" si="2"/>
        <v>356</v>
      </c>
      <c r="C37" s="10">
        <v>80</v>
      </c>
      <c r="D37" s="10">
        <v>276</v>
      </c>
      <c r="E37" s="22"/>
    </row>
    <row r="38" spans="1:5">
      <c r="A38" s="11" t="s">
        <v>39</v>
      </c>
      <c r="B38" s="2">
        <f>SUM(C38:D38)</f>
        <v>82</v>
      </c>
      <c r="C38" s="10">
        <v>16</v>
      </c>
      <c r="D38" s="10">
        <v>66</v>
      </c>
    </row>
    <row r="39" spans="1:5" s="19" customFormat="1">
      <c r="A39" s="11" t="s">
        <v>40</v>
      </c>
      <c r="B39" s="2">
        <f t="shared" si="2"/>
        <v>2249</v>
      </c>
      <c r="C39" s="10">
        <v>1276</v>
      </c>
      <c r="D39" s="10">
        <v>973</v>
      </c>
    </row>
    <row r="40" spans="1:5">
      <c r="A40" s="11" t="s">
        <v>41</v>
      </c>
      <c r="B40" s="2">
        <f t="shared" si="2"/>
        <v>445</v>
      </c>
      <c r="C40" s="10">
        <v>203</v>
      </c>
      <c r="D40" s="10">
        <v>242</v>
      </c>
    </row>
    <row r="41" spans="1:5">
      <c r="A41" s="11" t="s">
        <v>42</v>
      </c>
      <c r="B41" s="2">
        <f t="shared" si="2"/>
        <v>111</v>
      </c>
      <c r="C41" s="10">
        <v>60</v>
      </c>
      <c r="D41" s="10">
        <v>51</v>
      </c>
    </row>
    <row r="42" spans="1:5">
      <c r="A42" s="11" t="s">
        <v>43</v>
      </c>
      <c r="B42" s="2">
        <f t="shared" si="2"/>
        <v>478</v>
      </c>
      <c r="C42" s="10">
        <v>162</v>
      </c>
      <c r="D42" s="10">
        <v>316</v>
      </c>
      <c r="E42" s="3"/>
    </row>
    <row r="43" spans="1:5">
      <c r="A43" s="26" t="s">
        <v>44</v>
      </c>
      <c r="B43" s="27">
        <f t="shared" si="2"/>
        <v>145656</v>
      </c>
      <c r="C43" s="28">
        <v>85414</v>
      </c>
      <c r="D43" s="28">
        <v>60242</v>
      </c>
      <c r="E43" s="12"/>
    </row>
    <row r="44" spans="1:5">
      <c r="A44" s="6" t="s">
        <v>4</v>
      </c>
      <c r="B44" s="7"/>
      <c r="C44" s="8"/>
      <c r="D44" s="16"/>
    </row>
    <row r="45" spans="1:5" ht="65.25" customHeight="1">
      <c r="A45" s="31" t="s">
        <v>45</v>
      </c>
      <c r="B45" s="31"/>
      <c r="C45" s="31"/>
      <c r="D45" s="31"/>
    </row>
    <row r="48" spans="1:5">
      <c r="A48" s="30" t="s">
        <v>46</v>
      </c>
      <c r="B48" s="30"/>
      <c r="C48" s="30"/>
      <c r="D48" s="30"/>
    </row>
    <row r="50" spans="1:6">
      <c r="A50" s="13" t="s">
        <v>13</v>
      </c>
      <c r="B50" s="23" t="s">
        <v>0</v>
      </c>
      <c r="C50" s="23" t="s">
        <v>1</v>
      </c>
      <c r="D50" s="23" t="s">
        <v>2</v>
      </c>
    </row>
    <row r="51" spans="1:6" s="19" customFormat="1">
      <c r="A51" s="24" t="s">
        <v>3</v>
      </c>
      <c r="B51" s="25">
        <f>SUM(C51:D51)</f>
        <v>398130</v>
      </c>
      <c r="C51" s="25">
        <f>SUM(C52:C84)</f>
        <v>186379</v>
      </c>
      <c r="D51" s="25">
        <f>SUM(D52:D84)</f>
        <v>211751</v>
      </c>
      <c r="E51" s="1"/>
      <c r="F51" s="4"/>
    </row>
    <row r="52" spans="1:6">
      <c r="A52" s="5" t="s">
        <v>14</v>
      </c>
      <c r="B52" s="2">
        <f t="shared" ref="B52:B53" si="3">SUM(C52:D52)</f>
        <v>15130</v>
      </c>
      <c r="C52" s="10">
        <v>6000</v>
      </c>
      <c r="D52" s="10">
        <v>9130</v>
      </c>
    </row>
    <row r="53" spans="1:6">
      <c r="A53" s="5" t="s">
        <v>15</v>
      </c>
      <c r="B53" s="2">
        <f t="shared" si="3"/>
        <v>10772</v>
      </c>
      <c r="C53" s="4">
        <v>740</v>
      </c>
      <c r="D53" s="4">
        <v>10032</v>
      </c>
    </row>
    <row r="54" spans="1:6">
      <c r="A54" s="5" t="s">
        <v>5</v>
      </c>
      <c r="B54" s="2">
        <f>SUM(C54:D54)</f>
        <v>14752</v>
      </c>
      <c r="C54" s="10">
        <v>5927</v>
      </c>
      <c r="D54" s="10">
        <v>8825</v>
      </c>
    </row>
    <row r="55" spans="1:6">
      <c r="A55" s="5" t="s">
        <v>16</v>
      </c>
      <c r="B55" s="2">
        <f>SUM(C55:D55)</f>
        <v>19521</v>
      </c>
      <c r="C55" s="10">
        <v>7518</v>
      </c>
      <c r="D55" s="10">
        <v>12003</v>
      </c>
    </row>
    <row r="56" spans="1:6">
      <c r="A56" s="5" t="s">
        <v>17</v>
      </c>
      <c r="B56" s="2">
        <f t="shared" ref="B56:B84" si="4">SUM(C56:D56)</f>
        <v>15862</v>
      </c>
      <c r="C56" s="10">
        <v>7846</v>
      </c>
      <c r="D56" s="10">
        <v>8016</v>
      </c>
    </row>
    <row r="57" spans="1:6">
      <c r="A57" s="5" t="s">
        <v>18</v>
      </c>
      <c r="B57" s="2">
        <f t="shared" si="4"/>
        <v>9901</v>
      </c>
      <c r="C57" s="10">
        <v>3990</v>
      </c>
      <c r="D57" s="10">
        <v>5911</v>
      </c>
    </row>
    <row r="58" spans="1:6">
      <c r="A58" s="5" t="s">
        <v>6</v>
      </c>
      <c r="B58" s="2">
        <f t="shared" si="4"/>
        <v>9149</v>
      </c>
      <c r="C58" s="10">
        <v>4178</v>
      </c>
      <c r="D58" s="10">
        <v>4971</v>
      </c>
    </row>
    <row r="59" spans="1:6">
      <c r="A59" s="5" t="s">
        <v>19</v>
      </c>
      <c r="B59" s="2">
        <f t="shared" si="4"/>
        <v>18111</v>
      </c>
      <c r="C59" s="10">
        <v>644</v>
      </c>
      <c r="D59" s="10">
        <v>17467</v>
      </c>
    </row>
    <row r="60" spans="1:6">
      <c r="A60" s="5" t="s">
        <v>20</v>
      </c>
      <c r="B60" s="2">
        <f t="shared" si="4"/>
        <v>13075</v>
      </c>
      <c r="C60" s="4">
        <v>6918</v>
      </c>
      <c r="D60" s="4">
        <v>6157</v>
      </c>
    </row>
    <row r="61" spans="1:6">
      <c r="A61" s="5" t="s">
        <v>21</v>
      </c>
      <c r="B61" s="2">
        <f t="shared" si="4"/>
        <v>9909</v>
      </c>
      <c r="C61" s="10">
        <v>6577</v>
      </c>
      <c r="D61" s="10">
        <v>3332</v>
      </c>
    </row>
    <row r="62" spans="1:6">
      <c r="A62" s="5" t="s">
        <v>22</v>
      </c>
      <c r="B62" s="2">
        <f t="shared" si="4"/>
        <v>13019</v>
      </c>
      <c r="C62" s="10">
        <v>6893</v>
      </c>
      <c r="D62" s="10">
        <v>6126</v>
      </c>
    </row>
    <row r="63" spans="1:6">
      <c r="A63" s="5" t="s">
        <v>9</v>
      </c>
      <c r="B63" s="2">
        <f t="shared" si="4"/>
        <v>5675</v>
      </c>
      <c r="C63" s="10">
        <v>2327</v>
      </c>
      <c r="D63" s="10">
        <v>3348</v>
      </c>
    </row>
    <row r="64" spans="1:6">
      <c r="A64" s="5" t="s">
        <v>23</v>
      </c>
      <c r="B64" s="2">
        <f t="shared" si="4"/>
        <v>8488</v>
      </c>
      <c r="C64" s="10">
        <v>3752</v>
      </c>
      <c r="D64" s="10">
        <v>4736</v>
      </c>
    </row>
    <row r="65" spans="1:5">
      <c r="A65" s="5" t="s">
        <v>10</v>
      </c>
      <c r="B65" s="2">
        <f t="shared" si="4"/>
        <v>5844</v>
      </c>
      <c r="C65" s="10">
        <v>2649</v>
      </c>
      <c r="D65" s="10">
        <v>3195</v>
      </c>
    </row>
    <row r="66" spans="1:5">
      <c r="A66" s="5" t="s">
        <v>24</v>
      </c>
      <c r="B66" s="2">
        <f t="shared" si="4"/>
        <v>4842</v>
      </c>
      <c r="C66" s="4">
        <v>2496</v>
      </c>
      <c r="D66" s="4">
        <v>2346</v>
      </c>
    </row>
    <row r="67" spans="1:5">
      <c r="A67" s="5" t="s">
        <v>8</v>
      </c>
      <c r="B67" s="2">
        <f>SUM(C67:D67)</f>
        <v>4581</v>
      </c>
      <c r="C67" s="4">
        <v>3145</v>
      </c>
      <c r="D67" s="4">
        <v>1436</v>
      </c>
    </row>
    <row r="68" spans="1:5">
      <c r="A68" s="5" t="s">
        <v>25</v>
      </c>
      <c r="B68" s="2">
        <f t="shared" si="4"/>
        <v>4861</v>
      </c>
      <c r="C68" s="10">
        <v>2221</v>
      </c>
      <c r="D68" s="10">
        <v>2640</v>
      </c>
    </row>
    <row r="69" spans="1:5">
      <c r="A69" s="5" t="s">
        <v>26</v>
      </c>
      <c r="B69" s="2">
        <f t="shared" si="4"/>
        <v>1573</v>
      </c>
      <c r="C69" s="10">
        <v>345</v>
      </c>
      <c r="D69" s="10">
        <v>1228</v>
      </c>
    </row>
    <row r="70" spans="1:5" s="19" customFormat="1">
      <c r="A70" s="5" t="s">
        <v>27</v>
      </c>
      <c r="B70" s="2">
        <f t="shared" si="4"/>
        <v>1235</v>
      </c>
      <c r="C70" s="10">
        <v>421</v>
      </c>
      <c r="D70" s="10">
        <v>814</v>
      </c>
      <c r="E70" s="1"/>
    </row>
    <row r="71" spans="1:5" s="19" customFormat="1">
      <c r="A71" s="5" t="s">
        <v>11</v>
      </c>
      <c r="B71" s="2">
        <f t="shared" si="4"/>
        <v>3463</v>
      </c>
      <c r="C71" s="10">
        <v>1234</v>
      </c>
      <c r="D71" s="10">
        <v>2229</v>
      </c>
      <c r="E71" s="22"/>
    </row>
    <row r="72" spans="1:5" s="19" customFormat="1">
      <c r="A72" s="5" t="s">
        <v>28</v>
      </c>
      <c r="B72" s="2">
        <f t="shared" si="4"/>
        <v>3544</v>
      </c>
      <c r="C72" s="10">
        <v>919</v>
      </c>
      <c r="D72" s="10">
        <v>2625</v>
      </c>
      <c r="E72" s="22"/>
    </row>
    <row r="73" spans="1:5" s="19" customFormat="1">
      <c r="A73" s="5" t="s">
        <v>29</v>
      </c>
      <c r="B73" s="2">
        <f t="shared" si="4"/>
        <v>8982</v>
      </c>
      <c r="C73" s="4">
        <v>4012</v>
      </c>
      <c r="D73" s="4">
        <v>4970</v>
      </c>
      <c r="E73" s="22"/>
    </row>
    <row r="74" spans="1:5" s="19" customFormat="1">
      <c r="A74" s="5" t="s">
        <v>30</v>
      </c>
      <c r="B74" s="2">
        <f t="shared" si="4"/>
        <v>6805</v>
      </c>
      <c r="C74" s="10">
        <v>2574</v>
      </c>
      <c r="D74" s="10">
        <v>4231</v>
      </c>
      <c r="E74" s="22"/>
    </row>
    <row r="75" spans="1:5" s="19" customFormat="1">
      <c r="A75" s="5" t="s">
        <v>7</v>
      </c>
      <c r="B75" s="2">
        <f t="shared" si="4"/>
        <v>1183</v>
      </c>
      <c r="C75" s="10">
        <v>580</v>
      </c>
      <c r="D75" s="10">
        <v>603</v>
      </c>
      <c r="E75" s="22"/>
    </row>
    <row r="76" spans="1:5" s="19" customFormat="1">
      <c r="A76" s="11" t="s">
        <v>31</v>
      </c>
      <c r="B76" s="2">
        <f t="shared" si="4"/>
        <v>2201</v>
      </c>
      <c r="C76" s="10">
        <v>982</v>
      </c>
      <c r="D76" s="10">
        <v>1219</v>
      </c>
      <c r="E76" s="22"/>
    </row>
    <row r="77" spans="1:5" s="19" customFormat="1">
      <c r="A77" s="11" t="s">
        <v>32</v>
      </c>
      <c r="B77" s="2">
        <f t="shared" si="4"/>
        <v>42</v>
      </c>
      <c r="C77" s="10">
        <v>23</v>
      </c>
      <c r="D77" s="10">
        <v>19</v>
      </c>
      <c r="E77" s="22"/>
    </row>
    <row r="78" spans="1:5" s="19" customFormat="1">
      <c r="A78" s="11" t="s">
        <v>33</v>
      </c>
      <c r="B78" s="2">
        <f t="shared" si="4"/>
        <v>281</v>
      </c>
      <c r="C78" s="10">
        <v>118</v>
      </c>
      <c r="D78" s="10">
        <v>163</v>
      </c>
      <c r="E78" s="22"/>
    </row>
    <row r="79" spans="1:5">
      <c r="A79" s="11" t="s">
        <v>34</v>
      </c>
      <c r="B79" s="2">
        <f t="shared" si="4"/>
        <v>28869</v>
      </c>
      <c r="C79" s="10">
        <v>12165</v>
      </c>
      <c r="D79" s="10">
        <v>16704</v>
      </c>
    </row>
    <row r="80" spans="1:5" s="19" customFormat="1">
      <c r="A80" s="11" t="s">
        <v>35</v>
      </c>
      <c r="B80" s="2">
        <f t="shared" si="4"/>
        <v>609</v>
      </c>
      <c r="C80" s="10">
        <v>241</v>
      </c>
      <c r="D80" s="10">
        <v>368</v>
      </c>
    </row>
    <row r="81" spans="1:6">
      <c r="A81" s="11" t="s">
        <v>36</v>
      </c>
      <c r="B81" s="2">
        <f t="shared" si="4"/>
        <v>2044</v>
      </c>
      <c r="C81" s="10">
        <v>304</v>
      </c>
      <c r="D81" s="10">
        <v>1740</v>
      </c>
    </row>
    <row r="82" spans="1:6">
      <c r="A82" s="11" t="s">
        <v>37</v>
      </c>
      <c r="B82" s="2">
        <f t="shared" si="4"/>
        <v>3311</v>
      </c>
      <c r="C82" s="10">
        <v>2078</v>
      </c>
      <c r="D82" s="10">
        <v>1233</v>
      </c>
    </row>
    <row r="83" spans="1:6">
      <c r="A83" s="11" t="s">
        <v>38</v>
      </c>
      <c r="B83" s="2">
        <f t="shared" si="4"/>
        <v>40</v>
      </c>
      <c r="C83" s="10">
        <v>8</v>
      </c>
      <c r="D83" s="10">
        <v>32</v>
      </c>
      <c r="E83" s="3"/>
    </row>
    <row r="84" spans="1:6">
      <c r="A84" s="26" t="s">
        <v>44</v>
      </c>
      <c r="B84" s="27">
        <f t="shared" si="4"/>
        <v>150456</v>
      </c>
      <c r="C84" s="28">
        <v>86554</v>
      </c>
      <c r="D84" s="28">
        <v>63902</v>
      </c>
      <c r="E84" s="12"/>
    </row>
    <row r="85" spans="1:6">
      <c r="A85" s="6" t="s">
        <v>4</v>
      </c>
      <c r="B85" s="7"/>
      <c r="C85" s="8"/>
      <c r="D85" s="16"/>
    </row>
    <row r="86" spans="1:6">
      <c r="A86" s="31" t="s">
        <v>45</v>
      </c>
      <c r="B86" s="31"/>
      <c r="C86" s="31"/>
      <c r="D86" s="31"/>
    </row>
    <row r="88" spans="1:6">
      <c r="A88" s="30" t="s">
        <v>47</v>
      </c>
      <c r="B88" s="30"/>
      <c r="C88" s="30"/>
      <c r="D88" s="30"/>
    </row>
    <row r="90" spans="1:6">
      <c r="A90" s="13" t="s">
        <v>13</v>
      </c>
      <c r="B90" s="23" t="s">
        <v>0</v>
      </c>
      <c r="C90" s="23" t="s">
        <v>1</v>
      </c>
      <c r="D90" s="23" t="s">
        <v>2</v>
      </c>
    </row>
    <row r="91" spans="1:6" s="19" customFormat="1">
      <c r="A91" s="24" t="s">
        <v>3</v>
      </c>
      <c r="B91" s="25">
        <f>SUM(B92:B116)</f>
        <v>378448</v>
      </c>
      <c r="C91" s="25">
        <f>SUM(C92:C116)</f>
        <v>176022</v>
      </c>
      <c r="D91" s="25">
        <f>SUM(D92:D116)</f>
        <v>202426</v>
      </c>
      <c r="E91" s="1"/>
      <c r="F91" s="4"/>
    </row>
    <row r="92" spans="1:6">
      <c r="A92" s="5" t="s">
        <v>14</v>
      </c>
      <c r="B92" s="2">
        <f t="shared" ref="B92:B116" si="5">SUM(C92:D92)</f>
        <v>16686</v>
      </c>
      <c r="C92" s="10">
        <v>6214</v>
      </c>
      <c r="D92" s="10">
        <v>10472</v>
      </c>
    </row>
    <row r="93" spans="1:6">
      <c r="A93" s="5" t="s">
        <v>15</v>
      </c>
      <c r="B93" s="2">
        <f t="shared" si="5"/>
        <v>10095</v>
      </c>
      <c r="C93" s="4">
        <v>690</v>
      </c>
      <c r="D93" s="4">
        <v>9405</v>
      </c>
    </row>
    <row r="94" spans="1:6">
      <c r="A94" s="5" t="s">
        <v>5</v>
      </c>
      <c r="B94" s="2">
        <f>SUM(C94:D94)</f>
        <v>14233</v>
      </c>
      <c r="C94" s="10">
        <v>5701</v>
      </c>
      <c r="D94" s="10">
        <v>8532</v>
      </c>
    </row>
    <row r="95" spans="1:6">
      <c r="A95" s="5" t="s">
        <v>16</v>
      </c>
      <c r="B95" s="2">
        <f>SUM(C95:D95)</f>
        <v>16416</v>
      </c>
      <c r="C95" s="10">
        <v>6172</v>
      </c>
      <c r="D95" s="10">
        <v>10244</v>
      </c>
    </row>
    <row r="96" spans="1:6">
      <c r="A96" s="5" t="s">
        <v>17</v>
      </c>
      <c r="B96" s="2">
        <f t="shared" si="5"/>
        <v>15071</v>
      </c>
      <c r="C96" s="10">
        <v>7678</v>
      </c>
      <c r="D96" s="10">
        <v>7393</v>
      </c>
    </row>
    <row r="97" spans="1:5">
      <c r="A97" s="5" t="s">
        <v>18</v>
      </c>
      <c r="B97" s="2">
        <f t="shared" si="5"/>
        <v>14233</v>
      </c>
      <c r="C97" s="10">
        <v>5701</v>
      </c>
      <c r="D97" s="10">
        <v>8532</v>
      </c>
    </row>
    <row r="98" spans="1:5">
      <c r="A98" s="5" t="s">
        <v>6</v>
      </c>
      <c r="B98" s="2">
        <f t="shared" si="5"/>
        <v>10472</v>
      </c>
      <c r="C98" s="10">
        <v>4732</v>
      </c>
      <c r="D98" s="10">
        <v>5740</v>
      </c>
    </row>
    <row r="99" spans="1:5">
      <c r="A99" s="5" t="s">
        <v>19</v>
      </c>
      <c r="B99" s="2">
        <f t="shared" si="5"/>
        <v>17097</v>
      </c>
      <c r="C99" s="10">
        <v>628</v>
      </c>
      <c r="D99" s="10">
        <v>16469</v>
      </c>
    </row>
    <row r="100" spans="1:5">
      <c r="A100" s="5" t="s">
        <v>20</v>
      </c>
      <c r="B100" s="2">
        <f t="shared" si="5"/>
        <v>14431</v>
      </c>
      <c r="C100" s="4">
        <v>7585</v>
      </c>
      <c r="D100" s="4">
        <v>6846</v>
      </c>
    </row>
    <row r="101" spans="1:5">
      <c r="A101" s="5" t="s">
        <v>21</v>
      </c>
      <c r="B101" s="2">
        <f t="shared" si="5"/>
        <v>8710</v>
      </c>
      <c r="C101" s="10">
        <v>5767</v>
      </c>
      <c r="D101" s="10">
        <v>2943</v>
      </c>
    </row>
    <row r="102" spans="1:5">
      <c r="A102" s="5" t="s">
        <v>22</v>
      </c>
      <c r="B102" s="2">
        <f t="shared" si="5"/>
        <v>7393</v>
      </c>
      <c r="C102" s="10">
        <v>4048</v>
      </c>
      <c r="D102" s="10">
        <v>3345</v>
      </c>
    </row>
    <row r="103" spans="1:5">
      <c r="A103" s="5" t="s">
        <v>9</v>
      </c>
      <c r="B103" s="2">
        <f t="shared" si="5"/>
        <v>5109</v>
      </c>
      <c r="C103" s="10">
        <v>2162</v>
      </c>
      <c r="D103" s="10">
        <v>2947</v>
      </c>
    </row>
    <row r="104" spans="1:5">
      <c r="A104" s="5" t="s">
        <v>23</v>
      </c>
      <c r="B104" s="2">
        <f t="shared" si="5"/>
        <v>8459</v>
      </c>
      <c r="C104" s="10">
        <v>3685</v>
      </c>
      <c r="D104" s="10">
        <v>4774</v>
      </c>
    </row>
    <row r="105" spans="1:5">
      <c r="A105" s="5" t="s">
        <v>10</v>
      </c>
      <c r="B105" s="2">
        <f t="shared" si="5"/>
        <v>4893</v>
      </c>
      <c r="C105" s="10">
        <v>2254</v>
      </c>
      <c r="D105" s="10">
        <v>2639</v>
      </c>
    </row>
    <row r="106" spans="1:5">
      <c r="A106" s="5" t="s">
        <v>48</v>
      </c>
      <c r="B106" s="2">
        <f t="shared" si="5"/>
        <v>11418</v>
      </c>
      <c r="C106" s="4">
        <v>6758</v>
      </c>
      <c r="D106" s="4">
        <v>4660</v>
      </c>
    </row>
    <row r="107" spans="1:5">
      <c r="A107" s="5" t="s">
        <v>25</v>
      </c>
      <c r="B107" s="2">
        <f t="shared" si="5"/>
        <v>4231</v>
      </c>
      <c r="C107" s="10">
        <v>2124</v>
      </c>
      <c r="D107" s="10">
        <v>2107</v>
      </c>
    </row>
    <row r="108" spans="1:5">
      <c r="A108" s="5" t="s">
        <v>26</v>
      </c>
      <c r="B108" s="2">
        <f t="shared" si="5"/>
        <v>1509</v>
      </c>
      <c r="C108" s="10">
        <v>353</v>
      </c>
      <c r="D108" s="10">
        <v>1156</v>
      </c>
    </row>
    <row r="109" spans="1:5" s="19" customFormat="1">
      <c r="A109" s="5" t="s">
        <v>27</v>
      </c>
      <c r="B109" s="2">
        <f t="shared" si="5"/>
        <v>5125</v>
      </c>
      <c r="C109" s="10">
        <v>1927</v>
      </c>
      <c r="D109" s="10">
        <v>3198</v>
      </c>
      <c r="E109" s="1"/>
    </row>
    <row r="110" spans="1:5" s="19" customFormat="1">
      <c r="A110" s="5" t="s">
        <v>11</v>
      </c>
      <c r="B110" s="2">
        <f t="shared" si="5"/>
        <v>3042</v>
      </c>
      <c r="C110" s="10">
        <v>905</v>
      </c>
      <c r="D110" s="10">
        <v>2137</v>
      </c>
      <c r="E110" s="22"/>
    </row>
    <row r="111" spans="1:5">
      <c r="A111" s="5" t="s">
        <v>28</v>
      </c>
      <c r="B111" s="2">
        <f t="shared" si="5"/>
        <v>3600</v>
      </c>
      <c r="C111" s="10">
        <v>1075</v>
      </c>
      <c r="D111" s="10">
        <v>2525</v>
      </c>
    </row>
    <row r="112" spans="1:5" s="19" customFormat="1">
      <c r="A112" s="5" t="s">
        <v>29</v>
      </c>
      <c r="B112" s="2">
        <f t="shared" si="5"/>
        <v>8852</v>
      </c>
      <c r="C112" s="4">
        <v>3698</v>
      </c>
      <c r="D112" s="4">
        <v>5154</v>
      </c>
    </row>
    <row r="113" spans="1:6" ht="15.75" customHeight="1">
      <c r="A113" s="5" t="s">
        <v>30</v>
      </c>
      <c r="B113" s="2">
        <f t="shared" si="5"/>
        <v>5125</v>
      </c>
      <c r="C113" s="10">
        <v>1927</v>
      </c>
      <c r="D113" s="10">
        <v>3198</v>
      </c>
    </row>
    <row r="114" spans="1:6" s="19" customFormat="1">
      <c r="A114" s="5" t="s">
        <v>7</v>
      </c>
      <c r="B114" s="2">
        <f t="shared" si="5"/>
        <v>1769</v>
      </c>
      <c r="C114" s="10">
        <v>838</v>
      </c>
      <c r="D114" s="10">
        <v>931</v>
      </c>
    </row>
    <row r="115" spans="1:6" s="19" customFormat="1">
      <c r="A115" s="11" t="s">
        <v>31</v>
      </c>
      <c r="B115" s="2">
        <f t="shared" si="5"/>
        <v>6341</v>
      </c>
      <c r="C115" s="10">
        <v>2755</v>
      </c>
      <c r="D115" s="10">
        <v>3586</v>
      </c>
    </row>
    <row r="116" spans="1:6">
      <c r="A116" s="26" t="s">
        <v>44</v>
      </c>
      <c r="B116" s="27">
        <f t="shared" si="5"/>
        <v>164138</v>
      </c>
      <c r="C116" s="28">
        <v>90645</v>
      </c>
      <c r="D116" s="28">
        <v>73493</v>
      </c>
      <c r="E116" s="3"/>
    </row>
    <row r="117" spans="1:6">
      <c r="A117" s="6" t="s">
        <v>4</v>
      </c>
      <c r="B117" s="7"/>
      <c r="C117" s="8"/>
      <c r="D117" s="16"/>
      <c r="E117" s="12"/>
    </row>
    <row r="118" spans="1:6">
      <c r="A118" s="31" t="s">
        <v>45</v>
      </c>
      <c r="B118" s="31"/>
      <c r="C118" s="31"/>
      <c r="D118" s="31"/>
    </row>
    <row r="119" spans="1:6">
      <c r="A119" s="17"/>
      <c r="B119" s="18"/>
      <c r="C119" s="20"/>
      <c r="D119" s="20"/>
    </row>
    <row r="120" spans="1:6">
      <c r="A120" s="17"/>
      <c r="B120" s="18"/>
      <c r="C120" s="20"/>
      <c r="D120" s="20"/>
    </row>
    <row r="121" spans="1:6">
      <c r="A121" s="30" t="s">
        <v>49</v>
      </c>
      <c r="B121" s="30"/>
      <c r="C121" s="30"/>
      <c r="D121" s="30"/>
    </row>
    <row r="123" spans="1:6">
      <c r="A123" s="13" t="s">
        <v>13</v>
      </c>
      <c r="B123" s="14" t="s">
        <v>0</v>
      </c>
      <c r="C123" s="14" t="s">
        <v>1</v>
      </c>
      <c r="D123" s="14" t="s">
        <v>2</v>
      </c>
    </row>
    <row r="124" spans="1:6" s="19" customFormat="1">
      <c r="A124" s="15" t="s">
        <v>3</v>
      </c>
      <c r="B124" s="2">
        <v>299198</v>
      </c>
      <c r="C124" s="2">
        <v>132561</v>
      </c>
      <c r="D124" s="2">
        <v>166637</v>
      </c>
      <c r="E124" s="1"/>
      <c r="F124" s="4"/>
    </row>
    <row r="125" spans="1:6">
      <c r="A125" s="5" t="s">
        <v>14</v>
      </c>
      <c r="B125" s="9">
        <v>15871</v>
      </c>
      <c r="C125" s="10">
        <v>5772</v>
      </c>
      <c r="D125" s="10">
        <v>10099</v>
      </c>
    </row>
    <row r="126" spans="1:6">
      <c r="A126" s="5" t="s">
        <v>15</v>
      </c>
      <c r="B126" s="9">
        <v>10726</v>
      </c>
      <c r="C126" s="4">
        <v>743</v>
      </c>
      <c r="D126" s="4">
        <v>9983</v>
      </c>
    </row>
    <row r="127" spans="1:6">
      <c r="A127" s="5" t="s">
        <v>5</v>
      </c>
      <c r="B127" s="9">
        <v>13180</v>
      </c>
      <c r="C127" s="10">
        <v>5093</v>
      </c>
      <c r="D127" s="10">
        <v>8087</v>
      </c>
    </row>
    <row r="128" spans="1:6">
      <c r="A128" s="5" t="s">
        <v>16</v>
      </c>
      <c r="B128" s="9">
        <v>20869</v>
      </c>
      <c r="C128" s="4">
        <v>8249</v>
      </c>
      <c r="D128" s="4">
        <v>12620</v>
      </c>
    </row>
    <row r="129" spans="1:5">
      <c r="A129" s="5" t="s">
        <v>17</v>
      </c>
      <c r="B129" s="9">
        <v>17423</v>
      </c>
      <c r="C129" s="10">
        <v>8650</v>
      </c>
      <c r="D129" s="10">
        <v>8773</v>
      </c>
    </row>
    <row r="130" spans="1:5">
      <c r="A130" s="5" t="s">
        <v>18</v>
      </c>
      <c r="B130" s="9">
        <v>9060</v>
      </c>
      <c r="C130" s="10">
        <v>3635</v>
      </c>
      <c r="D130" s="10">
        <v>5425</v>
      </c>
    </row>
    <row r="131" spans="1:5">
      <c r="A131" s="5" t="s">
        <v>6</v>
      </c>
      <c r="B131" s="9">
        <v>10565</v>
      </c>
      <c r="C131" s="10">
        <v>4592</v>
      </c>
      <c r="D131" s="10">
        <v>5973</v>
      </c>
    </row>
    <row r="132" spans="1:5">
      <c r="A132" s="5" t="s">
        <v>19</v>
      </c>
      <c r="B132" s="9">
        <v>13656</v>
      </c>
      <c r="C132" s="10">
        <v>347</v>
      </c>
      <c r="D132" s="10">
        <v>13309</v>
      </c>
    </row>
    <row r="133" spans="1:5">
      <c r="A133" s="5" t="s">
        <v>20</v>
      </c>
      <c r="B133" s="9">
        <v>12683</v>
      </c>
      <c r="C133" s="4">
        <v>6699</v>
      </c>
      <c r="D133" s="4">
        <v>5984</v>
      </c>
    </row>
    <row r="134" spans="1:5">
      <c r="A134" s="5" t="s">
        <v>21</v>
      </c>
      <c r="B134" s="9">
        <v>10414</v>
      </c>
      <c r="C134" s="10">
        <v>6720</v>
      </c>
      <c r="D134" s="10">
        <v>3694</v>
      </c>
    </row>
    <row r="135" spans="1:5">
      <c r="A135" s="5" t="s">
        <v>22</v>
      </c>
      <c r="B135" s="9">
        <v>7486</v>
      </c>
      <c r="C135" s="10">
        <v>3973</v>
      </c>
      <c r="D135" s="10">
        <v>3513</v>
      </c>
    </row>
    <row r="136" spans="1:5">
      <c r="A136" s="5" t="s">
        <v>9</v>
      </c>
      <c r="B136" s="9">
        <v>5278</v>
      </c>
      <c r="C136" s="10">
        <v>2335</v>
      </c>
      <c r="D136" s="10">
        <v>2943</v>
      </c>
    </row>
    <row r="137" spans="1:5">
      <c r="A137" s="5" t="s">
        <v>50</v>
      </c>
      <c r="B137" s="9">
        <v>10050</v>
      </c>
      <c r="C137" s="10">
        <v>4079</v>
      </c>
      <c r="D137" s="10">
        <v>5971</v>
      </c>
    </row>
    <row r="138" spans="1:5">
      <c r="A138" s="5" t="s">
        <v>10</v>
      </c>
      <c r="B138" s="9">
        <v>3201</v>
      </c>
      <c r="C138" s="10">
        <v>1401</v>
      </c>
      <c r="D138" s="10">
        <v>1800</v>
      </c>
    </row>
    <row r="139" spans="1:5">
      <c r="A139" s="5" t="s">
        <v>48</v>
      </c>
      <c r="B139" s="9">
        <v>14571</v>
      </c>
      <c r="C139" s="4">
        <v>8507</v>
      </c>
      <c r="D139" s="4">
        <v>6064</v>
      </c>
    </row>
    <row r="140" spans="1:5">
      <c r="A140" s="5" t="s">
        <v>25</v>
      </c>
      <c r="B140" s="9">
        <v>4304</v>
      </c>
      <c r="C140" s="10">
        <v>2171</v>
      </c>
      <c r="D140" s="10">
        <v>2133</v>
      </c>
    </row>
    <row r="141" spans="1:5">
      <c r="A141" s="5" t="s">
        <v>26</v>
      </c>
      <c r="B141" s="9">
        <v>1943</v>
      </c>
      <c r="C141" s="10">
        <v>362</v>
      </c>
      <c r="D141" s="10">
        <v>1581</v>
      </c>
    </row>
    <row r="142" spans="1:5" s="19" customFormat="1">
      <c r="A142" s="5" t="s">
        <v>27</v>
      </c>
      <c r="B142" s="9">
        <v>1315</v>
      </c>
      <c r="C142" s="10">
        <v>502</v>
      </c>
      <c r="D142" s="10">
        <v>813</v>
      </c>
      <c r="E142" s="1"/>
    </row>
    <row r="143" spans="1:5" s="19" customFormat="1">
      <c r="A143" s="5" t="s">
        <v>11</v>
      </c>
      <c r="B143" s="9">
        <v>2647</v>
      </c>
      <c r="C143" s="10">
        <v>745</v>
      </c>
      <c r="D143" s="10">
        <v>1902</v>
      </c>
      <c r="E143" s="22"/>
    </row>
    <row r="144" spans="1:5">
      <c r="A144" s="5" t="s">
        <v>28</v>
      </c>
      <c r="B144" s="9">
        <v>3657</v>
      </c>
      <c r="C144" s="10">
        <v>1070</v>
      </c>
      <c r="D144" s="10">
        <v>2587</v>
      </c>
    </row>
    <row r="145" spans="1:4" s="19" customFormat="1">
      <c r="A145" s="5" t="s">
        <v>29</v>
      </c>
      <c r="B145" s="9">
        <v>9349</v>
      </c>
      <c r="C145" s="4">
        <v>3839</v>
      </c>
      <c r="D145" s="4">
        <v>5510</v>
      </c>
    </row>
    <row r="146" spans="1:4" ht="18" customHeight="1">
      <c r="A146" s="5" t="s">
        <v>30</v>
      </c>
      <c r="B146" s="9">
        <v>5491</v>
      </c>
      <c r="C146" s="10">
        <v>2094</v>
      </c>
      <c r="D146" s="10">
        <v>3397</v>
      </c>
    </row>
    <row r="147" spans="1:4" s="19" customFormat="1">
      <c r="A147" s="5" t="s">
        <v>7</v>
      </c>
      <c r="B147" s="9">
        <v>1704</v>
      </c>
      <c r="C147" s="10">
        <v>756</v>
      </c>
      <c r="D147" s="10">
        <v>948</v>
      </c>
    </row>
    <row r="148" spans="1:4">
      <c r="A148" s="11" t="s">
        <v>31</v>
      </c>
      <c r="B148" s="21">
        <v>687</v>
      </c>
      <c r="C148" s="10">
        <v>301</v>
      </c>
      <c r="D148" s="10">
        <v>386</v>
      </c>
    </row>
    <row r="149" spans="1:4">
      <c r="A149" s="26" t="s">
        <v>44</v>
      </c>
      <c r="B149" s="29">
        <v>93068</v>
      </c>
      <c r="C149" s="28">
        <v>49926</v>
      </c>
      <c r="D149" s="28">
        <v>43142</v>
      </c>
    </row>
    <row r="150" spans="1:4">
      <c r="A150" s="6" t="s">
        <v>4</v>
      </c>
      <c r="B150" s="7"/>
      <c r="C150" s="8"/>
      <c r="D150" s="16"/>
    </row>
    <row r="151" spans="1:4">
      <c r="A151" s="31" t="s">
        <v>45</v>
      </c>
      <c r="B151" s="31"/>
      <c r="C151" s="31"/>
      <c r="D151" s="31"/>
    </row>
    <row r="152" spans="1:4">
      <c r="A152" s="17"/>
      <c r="B152" s="18"/>
      <c r="C152" s="20"/>
      <c r="D152" s="20"/>
    </row>
  </sheetData>
  <mergeCells count="8">
    <mergeCell ref="A121:D121"/>
    <mergeCell ref="A151:D151"/>
    <mergeCell ref="A2:D2"/>
    <mergeCell ref="A45:D45"/>
    <mergeCell ref="A48:D48"/>
    <mergeCell ref="A86:D86"/>
    <mergeCell ref="A88:D88"/>
    <mergeCell ref="A118:D118"/>
  </mergeCells>
  <pageMargins left="0.7" right="0.7" top="0.75" bottom="0.75" header="0.3" footer="0.3"/>
  <pageSetup scale="92" orientation="portrait" r:id="rId1"/>
  <rowBreaks count="3" manualBreakCount="3">
    <brk id="47" max="4" man="1"/>
    <brk id="87" max="4" man="1"/>
    <brk id="119" max="4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6.9</vt:lpstr>
      <vt:lpstr>'6.9'!Print_Area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2026-05-05T05:35:18Z</cp:lastPrinted>
  <dcterms:created xsi:type="dcterms:W3CDTF">2019-08-06T05:35:20Z</dcterms:created>
  <dcterms:modified xsi:type="dcterms:W3CDTF">2026-05-05T05:35:24Z</dcterms:modified>
</cp:coreProperties>
</file>