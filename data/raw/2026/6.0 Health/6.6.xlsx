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3522EFF0-6203-44B5-B487-D13915F21CFC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6" sheetId="24" r:id="rId1"/>
  </sheets>
  <externalReferences>
    <externalReference r:id="rId2"/>
  </externalReferences>
  <definedNames>
    <definedName name="_xlnm.Print_Area" localSheetId="0">'6.6'!$A$1:$X$31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24" l="1"/>
</calcChain>
</file>

<file path=xl/sharedStrings.xml><?xml version="1.0" encoding="utf-8"?>
<sst xmlns="http://schemas.openxmlformats.org/spreadsheetml/2006/main" count="22" uniqueCount="21">
  <si>
    <t>ctwvWb  clIBcfwt</t>
  </si>
  <si>
    <t>2025 - 2010 ,cnuhIm unuvedWvurwf cnegiawbcaitiawb iawgulwTipcsoh clwairOmem IdcnWgWridcnia : 6.6 ulwvWt</t>
  </si>
  <si>
    <t>Table 6.6 : IN - PATIENT HEALTH CARE IN INDIRA GANDHI MEMORIAL HOSPITAL,  2010 - 2025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</si>
  <si>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</si>
  <si>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</si>
  <si>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</si>
  <si>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</si>
  <si>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</si>
  <si>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</si>
  <si>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</si>
  <si>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</si>
  <si>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</si>
  <si>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</si>
  <si>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</si>
  <si>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</si>
  <si>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</si>
  <si>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</si>
  <si>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Note:  *number of hospital beds are given according to the number on end of the year.</t>
  </si>
  <si>
    <t>clwTipcsoh clwairOmem IdcnWg Wridcnia :ctWrwf ivcaedutWmUluAwm</t>
  </si>
  <si>
    <t>Source: Indira Gandhi Memorial Hospital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</si>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</sst>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General_)"/>
    <numFmt numFmtId="166" formatCode="#,##0.0"/>
    <numFmt numFmtId="167" formatCode="0.0"/>
    <numFmt numFmtId="170" formatCode="#,##0.0_);[Red]\(#,##0.0\)"/>
    <numFmt numFmtId="171" formatCode="_(* #,##0.0_);_(* \(#,##0.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A_Randhoo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A_Randhoo"/>
    </font>
    <font>
      <sz val="10.5"/>
      <color theme="1"/>
      <name val="Faruma"/>
    </font>
    <font>
      <b/>
      <sz val="10.5"/>
      <color theme="1"/>
      <name val="Consolas"/>
      <family val="3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1" fillId="0" borderId="0"/>
    <xf numFmtId="165" fontId="21" fillId="0" borderId="0"/>
    <xf numFmtId="165" fontId="21" fillId="0" borderId="0"/>
    <xf numFmtId="40" fontId="22" fillId="0" borderId="0" applyFont="0" applyFill="0" applyBorder="0" applyAlignment="0" applyProtection="0"/>
    <xf numFmtId="165" fontId="21" fillId="0" borderId="0"/>
    <xf numFmtId="0" fontId="1" fillId="0" borderId="0"/>
    <xf numFmtId="0" fontId="19" fillId="0" borderId="0"/>
    <xf numFmtId="43" fontId="1" fillId="0" borderId="0" applyFont="0" applyFill="0" applyBorder="0" applyAlignment="0" applyProtection="0"/>
    <xf numFmtId="0" fontId="1" fillId="0" borderId="0"/>
    <xf numFmtId="165" fontId="27" fillId="0" borderId="0"/>
    <xf numFmtId="165" fontId="27" fillId="0" borderId="0"/>
    <xf numFmtId="40" fontId="26" fillId="0" borderId="0" applyFont="0" applyFill="0" applyBorder="0" applyAlignment="0" applyProtection="0"/>
    <xf numFmtId="165" fontId="27" fillId="0" borderId="0"/>
    <xf numFmtId="165" fontId="27" fillId="0" borderId="0"/>
  </cellStyleXfs>
  <cellXfs count="43">
    <xf numFmtId="0" fontId="0" fillId="0" borderId="0" xfId="0"/>
    <xf numFmtId="38" fontId="7" fillId="2" borderId="0" xfId="1" applyNumberFormat="1" applyFont="1" applyFill="1" applyBorder="1" applyAlignment="1">
      <alignment horizontal="right" vertical="center"/>
    </xf>
    <xf numFmtId="171" fontId="20" fillId="2" borderId="0" xfId="1" applyNumberFormat="1" applyFont="1" applyFill="1" applyBorder="1" applyAlignment="1" applyProtection="1">
      <alignment vertical="center"/>
      <protection locked="0"/>
    </xf>
    <xf numFmtId="165" fontId="11" fillId="2" borderId="0" xfId="0" applyNumberFormat="1" applyFont="1" applyFill="1" applyBorder="1" applyAlignment="1">
      <alignment horizontal="center"/>
    </xf>
    <xf numFmtId="0" fontId="0" fillId="2" borderId="0" xfId="0" applyFill="1" applyBorder="1"/>
    <xf numFmtId="165" fontId="19" fillId="2" borderId="0" xfId="0" applyNumberFormat="1" applyFont="1" applyFill="1" applyBorder="1"/>
    <xf numFmtId="165" fontId="4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center"/>
    </xf>
    <xf numFmtId="165" fontId="5" fillId="2" borderId="0" xfId="0" applyNumberFormat="1" applyFont="1" applyFill="1" applyBorder="1" applyAlignment="1">
      <alignment vertical="center"/>
    </xf>
    <xf numFmtId="165" fontId="7" fillId="2" borderId="0" xfId="0" applyNumberFormat="1" applyFont="1" applyFill="1" applyBorder="1" applyAlignment="1">
      <alignment horizontal="left" vertical="center"/>
    </xf>
    <xf numFmtId="3" fontId="7" fillId="2" borderId="0" xfId="0" applyNumberFormat="1" applyFont="1" applyFill="1" applyBorder="1" applyAlignment="1">
      <alignment horizontal="right"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Border="1" applyAlignment="1">
      <alignment horizontal="right" vertical="center"/>
    </xf>
    <xf numFmtId="0" fontId="24" fillId="2" borderId="0" xfId="0" applyFont="1" applyFill="1" applyBorder="1"/>
    <xf numFmtId="165" fontId="10" fillId="2" borderId="0" xfId="0" applyNumberFormat="1" applyFont="1" applyFill="1" applyBorder="1" applyAlignment="1">
      <alignment horizontal="left" vertical="center"/>
    </xf>
    <xf numFmtId="167" fontId="19" fillId="2" borderId="0" xfId="0" applyNumberFormat="1" applyFont="1" applyFill="1" applyBorder="1"/>
    <xf numFmtId="165" fontId="13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Border="1"/>
    <xf numFmtId="165" fontId="8" fillId="2" borderId="0" xfId="0" applyNumberFormat="1" applyFont="1" applyFill="1" applyBorder="1" applyAlignment="1">
      <alignment horizontal="left" vertical="center"/>
    </xf>
    <xf numFmtId="38" fontId="9" fillId="2" borderId="0" xfId="1" applyNumberFormat="1" applyFont="1" applyFill="1" applyBorder="1" applyAlignment="1" applyProtection="1">
      <alignment horizontal="right" vertical="center"/>
    </xf>
    <xf numFmtId="165" fontId="23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>
      <alignment vertical="center"/>
    </xf>
    <xf numFmtId="165" fontId="14" fillId="2" borderId="0" xfId="0" applyNumberFormat="1" applyFont="1" applyFill="1" applyBorder="1" applyAlignment="1">
      <alignment horizontal="left" vertical="center"/>
    </xf>
    <xf numFmtId="165" fontId="7" fillId="2" borderId="0" xfId="0" applyNumberFormat="1" applyFont="1" applyFill="1" applyBorder="1"/>
    <xf numFmtId="38" fontId="7" fillId="2" borderId="0" xfId="1" applyNumberFormat="1" applyFont="1" applyFill="1" applyBorder="1" applyAlignment="1">
      <alignment horizontal="right"/>
    </xf>
    <xf numFmtId="170" fontId="7" fillId="2" borderId="0" xfId="1" applyNumberFormat="1" applyFont="1" applyFill="1" applyBorder="1" applyAlignment="1">
      <alignment horizontal="right"/>
    </xf>
    <xf numFmtId="0" fontId="25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6" fillId="2" borderId="2" xfId="0" applyNumberFormat="1" applyFont="1" applyFill="1" applyBorder="1" applyAlignment="1">
      <alignment horizontal="left" vertical="center"/>
    </xf>
    <xf numFmtId="165" fontId="5" fillId="2" borderId="2" xfId="0" applyNumberFormat="1" applyFont="1" applyFill="1" applyBorder="1" applyAlignment="1">
      <alignment vertical="center"/>
    </xf>
    <xf numFmtId="165" fontId="12" fillId="2" borderId="2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vertical="center"/>
    </xf>
    <xf numFmtId="165" fontId="12" fillId="2" borderId="1" xfId="0" applyNumberFormat="1" applyFont="1" applyFill="1" applyBorder="1" applyAlignment="1">
      <alignment horizontal="right" vertical="center"/>
    </xf>
    <xf numFmtId="165" fontId="7" fillId="2" borderId="2" xfId="0" applyNumberFormat="1" applyFont="1" applyFill="1" applyBorder="1" applyAlignment="1">
      <alignment horizontal="left" vertical="center"/>
    </xf>
    <xf numFmtId="166" fontId="7" fillId="2" borderId="2" xfId="0" applyNumberFormat="1" applyFont="1" applyFill="1" applyBorder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165" fontId="18" fillId="2" borderId="2" xfId="0" applyNumberFormat="1" applyFont="1" applyFill="1" applyBorder="1" applyAlignment="1">
      <alignment horizontal="right" vertical="center"/>
    </xf>
  </cellXfs>
  <cellStyles count="17">
    <cellStyle name="1" xfId="9" xr:uid="{00000000-0005-0000-0000-000000000000}"/>
    <cellStyle name="Comma" xfId="1" builtinId="3"/>
    <cellStyle name="Comma 3" xfId="6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3" xr:uid="{00000000-0005-0000-0000-000004000000}"/>
    <cellStyle name="Normal 14 2" xfId="13" xr:uid="{AC48AFEB-22E5-4F8D-81DB-8FE218E38520}"/>
    <cellStyle name="Normal 15" xfId="5" xr:uid="{00000000-0005-0000-0000-000005000000}"/>
    <cellStyle name="Normal 15 2" xfId="12" xr:uid="{3F966413-A11F-4BE6-BFC5-2EE77E45E101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00"/>
            </a:solidFill>
          </c:spPr>
          <c:invertIfNegative val="0"/>
          <c:cat>
            <c:numRef>
              <c:f>'6.6'!$G$4:$V$4</c:f>
              <c:numCache>
                <c:formatCode>General_)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'6.6'!$G$8:$V$8</c:f>
              <c:numCache>
                <c:formatCode>#,##0</c:formatCode>
                <c:ptCount val="16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  <c:pt idx="10">
                  <c:v>11626</c:v>
                </c:pt>
                <c:pt idx="11">
                  <c:v>11039</c:v>
                </c:pt>
                <c:pt idx="12">
                  <c:v>12300</c:v>
                </c:pt>
                <c:pt idx="13">
                  <c:v>13143</c:v>
                </c:pt>
                <c:pt idx="14">
                  <c:v>13637</c:v>
                </c:pt>
                <c:pt idx="15">
                  <c:v>15509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D-4D33-8917-C66804359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90368"/>
        <c:axId val="133886056"/>
      </c:barChart>
      <c:catAx>
        <c:axId val="13389036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33886056"/>
        <c:crosses val="autoZero"/>
        <c:auto val="1"/>
        <c:lblAlgn val="ctr"/>
        <c:lblOffset val="100"/>
        <c:noMultiLvlLbl val="0"/>
      </c:catAx>
      <c:valAx>
        <c:axId val="133886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338903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rgbClr val="F1F7ED"/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00"/>
            </a:solidFill>
          </c:spPr>
          <c:invertIfNegative val="0"/>
          <c:cat>
            <c:numRef>
              <c:f>'6.6'!$G$4:$V$4</c:f>
              <c:numCache>
                <c:formatCode>General_)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'6.6'!$G$7:$V$7</c:f>
              <c:numCache>
                <c:formatCode>#,##0</c:formatCode>
                <c:ptCount val="16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  <c:pt idx="9">
                  <c:v>381376</c:v>
                </c:pt>
                <c:pt idx="10">
                  <c:v>197919</c:v>
                </c:pt>
                <c:pt idx="11">
                  <c:v>203323</c:v>
                </c:pt>
                <c:pt idx="12">
                  <c:v>340158</c:v>
                </c:pt>
                <c:pt idx="13">
                  <c:v>404377</c:v>
                </c:pt>
                <c:pt idx="14">
                  <c:v>398130</c:v>
                </c:pt>
                <c:pt idx="15">
                  <c:v>464783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A-4850-A975-1016C684E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016"/>
        <c:axId val="133892328"/>
      </c:barChart>
      <c:catAx>
        <c:axId val="1338880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33892328"/>
        <c:crosses val="autoZero"/>
        <c:auto val="1"/>
        <c:lblAlgn val="ctr"/>
        <c:lblOffset val="100"/>
        <c:noMultiLvlLbl val="0"/>
      </c:catAx>
      <c:valAx>
        <c:axId val="133892328"/>
        <c:scaling>
          <c:orientation val="minMax"/>
          <c:max val="5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0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rgbClr val="F1F7ED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933450</xdr:colOff>
      <xdr:row>13</xdr:row>
      <xdr:rowOff>86992</xdr:rowOff>
    </xdr:from>
    <xdr:to>
      <xdr:col>14</xdr:col>
      <xdr:colOff>352425</xdr:colOff>
      <xdr:row>26</xdr:row>
      <xdr:rowOff>175498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A103CFF-C3E3-4F18-AB14-EE95E4682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151981</xdr:colOff>
      <xdr:row>13</xdr:row>
      <xdr:rowOff>72607</xdr:rowOff>
    </xdr:from>
    <xdr:to>
      <xdr:col>22</xdr:col>
      <xdr:colOff>2802095</xdr:colOff>
      <xdr:row>26</xdr:row>
      <xdr:rowOff>195350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00642D-DFC8-435E-B68F-01A40D9C4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0.17515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655" y="60608"/>
          <a:ext cx="4369888" cy="402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2010 - 2025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</cdr:x>
      <cdr:y>0.09114</cdr:y>
    </cdr:from>
    <cdr:to>
      <cdr:x>0.1628</cdr:x>
      <cdr:y>0.14975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41863"/>
          <a:ext cx="835259" cy="155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2010 - 2025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BC44-BA30-41FE-80ED-B98FE14B5118}">
  <dimension ref="A1:AC61"/>
  <sheetViews>
    <sheetView tabSelected="1" zoomScaleNormal="100" workbookViewId="0">
      <selection activeCell="AO46" sqref="AO46"/>
    </sheetView>
  </sheetViews>
  <sheetFormatPr defaultColWidth="9.140625" defaultRowHeight="12.75"/>
  <cols>
    <col min="1" max="1" width="30.28515625" style="5" customWidth="1"/>
    <col min="2" max="6" width="9.85546875" style="5" hidden="1" customWidth="1"/>
    <col min="7" max="21" width="8.7109375" style="5" customWidth="1"/>
    <col min="22" max="22" width="11.28515625" style="5" customWidth="1"/>
    <col min="23" max="23" width="45.42578125" style="5" customWidth="1"/>
    <col min="24" max="24" width="3.7109375" style="5" customWidth="1"/>
    <col min="25" max="16384" width="9.140625" style="5"/>
  </cols>
  <sheetData>
    <row r="1" spans="1:27" ht="19.5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</row>
    <row r="2" spans="1:27" s="7" customFormat="1" ht="1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7" s="7" customForma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7" s="9" customFormat="1" ht="15">
      <c r="A4" s="35"/>
      <c r="B4" s="36">
        <v>2005</v>
      </c>
      <c r="C4" s="36">
        <v>2006</v>
      </c>
      <c r="D4" s="36">
        <v>2007</v>
      </c>
      <c r="E4" s="36">
        <v>2008</v>
      </c>
      <c r="F4" s="36">
        <v>2009</v>
      </c>
      <c r="G4" s="36">
        <v>2010</v>
      </c>
      <c r="H4" s="36">
        <v>2011</v>
      </c>
      <c r="I4" s="36">
        <v>2012</v>
      </c>
      <c r="J4" s="36">
        <v>2013</v>
      </c>
      <c r="K4" s="36">
        <v>2014</v>
      </c>
      <c r="L4" s="36">
        <v>2015</v>
      </c>
      <c r="M4" s="36">
        <v>2016</v>
      </c>
      <c r="N4" s="36">
        <v>2017</v>
      </c>
      <c r="O4" s="36">
        <v>2018</v>
      </c>
      <c r="P4" s="36">
        <v>2019</v>
      </c>
      <c r="Q4" s="36">
        <v>2020</v>
      </c>
      <c r="R4" s="36">
        <v>2021</v>
      </c>
      <c r="S4" s="36">
        <v>2022</v>
      </c>
      <c r="T4" s="36">
        <v>2023</v>
      </c>
      <c r="U4" s="36">
        <v>2024</v>
      </c>
      <c r="V4" s="36">
        <v>2025</v>
      </c>
      <c r="W4" s="37" t="s">
        <v>0</v>
      </c>
    </row>
    <row r="5" spans="1:27" s="9" customFormat="1" ht="15">
      <c r="A5" s="32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4" t="s">
        <v>4</v>
      </c>
    </row>
    <row r="6" spans="1:27" s="7" customFormat="1" ht="20.25" customHeight="1">
      <c r="A6" s="10" t="s">
        <v>5</v>
      </c>
      <c r="B6" s="9"/>
      <c r="C6" s="9"/>
      <c r="D6" s="9"/>
      <c r="E6" s="9"/>
      <c r="F6" s="9"/>
      <c r="G6" s="11">
        <v>271</v>
      </c>
      <c r="H6" s="11">
        <v>282</v>
      </c>
      <c r="I6" s="11">
        <v>284</v>
      </c>
      <c r="J6" s="11">
        <v>279</v>
      </c>
      <c r="K6" s="11">
        <v>261</v>
      </c>
      <c r="L6" s="11">
        <v>274</v>
      </c>
      <c r="M6" s="11">
        <v>309</v>
      </c>
      <c r="N6" s="11">
        <v>316</v>
      </c>
      <c r="O6" s="11">
        <v>341</v>
      </c>
      <c r="P6" s="11">
        <v>353</v>
      </c>
      <c r="Q6" s="11">
        <v>423</v>
      </c>
      <c r="R6" s="11">
        <v>397</v>
      </c>
      <c r="S6" s="11">
        <v>388</v>
      </c>
      <c r="T6" s="11">
        <v>395</v>
      </c>
      <c r="U6" s="11">
        <v>421</v>
      </c>
      <c r="V6" s="11">
        <v>537</v>
      </c>
      <c r="W6" s="12" t="s">
        <v>6</v>
      </c>
    </row>
    <row r="7" spans="1:27" s="7" customFormat="1" ht="20.25" customHeight="1">
      <c r="A7" s="10" t="s">
        <v>7</v>
      </c>
      <c r="B7" s="9"/>
      <c r="C7" s="9"/>
      <c r="D7" s="9"/>
      <c r="E7" s="9"/>
      <c r="F7" s="9"/>
      <c r="G7" s="11">
        <v>263369</v>
      </c>
      <c r="H7" s="11">
        <v>284462</v>
      </c>
      <c r="I7" s="11">
        <v>268237</v>
      </c>
      <c r="J7" s="11">
        <v>285331</v>
      </c>
      <c r="K7" s="11">
        <v>311830</v>
      </c>
      <c r="L7" s="11">
        <v>333585</v>
      </c>
      <c r="M7" s="11">
        <v>312089</v>
      </c>
      <c r="N7" s="11">
        <v>351659</v>
      </c>
      <c r="O7" s="11">
        <v>345524</v>
      </c>
      <c r="P7" s="11">
        <v>381376</v>
      </c>
      <c r="Q7" s="11">
        <v>197919</v>
      </c>
      <c r="R7" s="11">
        <v>203323</v>
      </c>
      <c r="S7" s="11">
        <v>340158</v>
      </c>
      <c r="T7" s="11">
        <v>404377</v>
      </c>
      <c r="U7" s="11">
        <v>398130</v>
      </c>
      <c r="V7" s="11">
        <v>464783</v>
      </c>
      <c r="W7" s="12" t="s">
        <v>8</v>
      </c>
    </row>
    <row r="8" spans="1:27" s="7" customFormat="1" ht="20.25" customHeight="1">
      <c r="A8" s="10" t="s">
        <v>9</v>
      </c>
      <c r="B8" s="11">
        <v>11876</v>
      </c>
      <c r="C8" s="11">
        <v>13455</v>
      </c>
      <c r="D8" s="11">
        <v>12488</v>
      </c>
      <c r="E8" s="11">
        <v>14041</v>
      </c>
      <c r="F8" s="11">
        <v>13752</v>
      </c>
      <c r="G8" s="11">
        <v>13568</v>
      </c>
      <c r="H8" s="11">
        <v>13996</v>
      </c>
      <c r="I8" s="11">
        <v>13935</v>
      </c>
      <c r="J8" s="11">
        <v>13058</v>
      </c>
      <c r="K8" s="11">
        <v>12590</v>
      </c>
      <c r="L8" s="11">
        <v>12720</v>
      </c>
      <c r="M8" s="11">
        <v>12199</v>
      </c>
      <c r="N8" s="11">
        <v>13247</v>
      </c>
      <c r="O8" s="11">
        <v>15184</v>
      </c>
      <c r="P8" s="11">
        <v>15771</v>
      </c>
      <c r="Q8" s="11">
        <v>11626</v>
      </c>
      <c r="R8" s="11">
        <v>11039</v>
      </c>
      <c r="S8" s="11">
        <v>12300</v>
      </c>
      <c r="T8" s="11">
        <v>13143</v>
      </c>
      <c r="U8" s="11">
        <v>13637</v>
      </c>
      <c r="V8" s="11">
        <v>15509</v>
      </c>
      <c r="W8" s="13" t="s">
        <v>10</v>
      </c>
    </row>
    <row r="9" spans="1:27" s="7" customFormat="1" ht="20.25" customHeight="1">
      <c r="A9" s="10" t="s">
        <v>11</v>
      </c>
      <c r="B9" s="11">
        <v>64943</v>
      </c>
      <c r="C9" s="11">
        <v>72231</v>
      </c>
      <c r="D9" s="11">
        <v>69645</v>
      </c>
      <c r="E9" s="11">
        <v>80768</v>
      </c>
      <c r="F9" s="11">
        <v>80377</v>
      </c>
      <c r="G9" s="11">
        <v>79813</v>
      </c>
      <c r="H9" s="11">
        <v>81674</v>
      </c>
      <c r="I9" s="11">
        <v>79657</v>
      </c>
      <c r="J9" s="11">
        <v>72737</v>
      </c>
      <c r="K9" s="11">
        <v>76681</v>
      </c>
      <c r="L9" s="11">
        <v>70819</v>
      </c>
      <c r="M9" s="11">
        <v>74701</v>
      </c>
      <c r="N9" s="11">
        <v>84851</v>
      </c>
      <c r="O9" s="11">
        <v>90477</v>
      </c>
      <c r="P9" s="11">
        <v>90978</v>
      </c>
      <c r="Q9" s="11">
        <v>66244.63</v>
      </c>
      <c r="R9" s="11">
        <v>77908</v>
      </c>
      <c r="S9" s="11">
        <v>72725</v>
      </c>
      <c r="T9" s="11">
        <v>78784</v>
      </c>
      <c r="U9" s="11">
        <v>73091</v>
      </c>
      <c r="V9" s="11">
        <v>86547</v>
      </c>
      <c r="W9" s="13" t="s">
        <v>12</v>
      </c>
    </row>
    <row r="10" spans="1:27" ht="20.25" customHeight="1">
      <c r="A10" s="10" t="s">
        <v>13</v>
      </c>
      <c r="B10" s="14">
        <v>5.4684237116874366</v>
      </c>
      <c r="C10" s="14">
        <v>5.3683389074693419</v>
      </c>
      <c r="D10" s="14">
        <v>5.576953875720692</v>
      </c>
      <c r="E10" s="14">
        <v>5.7522968449540635</v>
      </c>
      <c r="F10" s="14">
        <v>5.8447498545666088</v>
      </c>
      <c r="G10" s="14">
        <v>5.8824439858490569</v>
      </c>
      <c r="H10" s="14">
        <v>5.8355244355530154</v>
      </c>
      <c r="I10" s="14">
        <v>5.7163257983494793</v>
      </c>
      <c r="J10" s="14">
        <v>5.53</v>
      </c>
      <c r="K10" s="14">
        <v>6.1</v>
      </c>
      <c r="L10" s="14">
        <v>5.6</v>
      </c>
      <c r="M10" s="14">
        <v>5.9</v>
      </c>
      <c r="N10" s="14">
        <v>6.3773769259676811</v>
      </c>
      <c r="O10" s="14">
        <v>5.9</v>
      </c>
      <c r="P10" s="14">
        <v>5.9924911078909231</v>
      </c>
      <c r="Q10" s="14">
        <v>6.6</v>
      </c>
      <c r="R10" s="14">
        <v>6.897565294378043</v>
      </c>
      <c r="S10" s="14">
        <v>5.91</v>
      </c>
      <c r="T10" s="14">
        <v>4.7</v>
      </c>
      <c r="U10" s="14">
        <f>U9/12687</f>
        <v>5.7610940332623946</v>
      </c>
      <c r="V10" s="14">
        <v>5.6</v>
      </c>
      <c r="W10" s="13" t="s">
        <v>14</v>
      </c>
      <c r="X10" s="4"/>
      <c r="Y10" s="2"/>
      <c r="Z10" s="4"/>
      <c r="AA10" s="4"/>
    </row>
    <row r="11" spans="1:27" s="15" customFormat="1" ht="20.25" customHeight="1">
      <c r="A11" s="38" t="s">
        <v>15</v>
      </c>
      <c r="B11" s="39">
        <v>77.7</v>
      </c>
      <c r="C11" s="39">
        <v>83.5</v>
      </c>
      <c r="D11" s="39">
        <v>74.83</v>
      </c>
      <c r="E11" s="39">
        <v>84.5</v>
      </c>
      <c r="F11" s="39">
        <v>84.4</v>
      </c>
      <c r="G11" s="39">
        <v>80.69</v>
      </c>
      <c r="H11" s="39">
        <v>82.57</v>
      </c>
      <c r="I11" s="39">
        <v>76.84</v>
      </c>
      <c r="J11" s="39">
        <v>71.430000000000007</v>
      </c>
      <c r="K11" s="39">
        <v>78.39</v>
      </c>
      <c r="L11" s="39">
        <v>72.540000000000006</v>
      </c>
      <c r="M11" s="39">
        <v>71</v>
      </c>
      <c r="N11" s="39">
        <v>70.760000000000005</v>
      </c>
      <c r="O11" s="39">
        <v>74.2</v>
      </c>
      <c r="P11" s="40">
        <v>66.900000000000006</v>
      </c>
      <c r="Q11" s="40">
        <v>41.8</v>
      </c>
      <c r="R11" s="40">
        <v>44.36</v>
      </c>
      <c r="S11" s="41">
        <v>51</v>
      </c>
      <c r="T11" s="41" t="s">
        <v>20</v>
      </c>
      <c r="U11" s="41" t="s">
        <v>20</v>
      </c>
      <c r="V11" s="41">
        <v>45.9</v>
      </c>
      <c r="W11" s="42" t="s">
        <v>16</v>
      </c>
      <c r="Y11" s="2"/>
    </row>
    <row r="12" spans="1:27" s="19" customFormat="1" ht="15">
      <c r="A12" s="16" t="s">
        <v>17</v>
      </c>
      <c r="B12" s="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 t="s">
        <v>18</v>
      </c>
      <c r="Y12" s="2"/>
    </row>
    <row r="13" spans="1:27" s="19" customFormat="1" ht="15.75">
      <c r="A13" s="20" t="s">
        <v>19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2"/>
      <c r="Y13" s="2"/>
    </row>
    <row r="14" spans="1:27" s="23" customFormat="1" ht="1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Y14" s="2"/>
      <c r="Z14" s="19"/>
      <c r="AA14" s="19"/>
    </row>
    <row r="15" spans="1:27" s="23" customFormat="1" ht="15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Y15" s="2"/>
      <c r="Z15" s="19"/>
      <c r="AA15" s="19"/>
    </row>
    <row r="16" spans="1:27" ht="15.7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13"/>
      <c r="X16" s="4"/>
      <c r="Y16" s="2"/>
      <c r="Z16" s="19"/>
      <c r="AA16" s="19"/>
    </row>
    <row r="17" spans="1:27" ht="15.7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3"/>
      <c r="X17" s="4"/>
      <c r="Y17" s="2"/>
      <c r="Z17" s="19"/>
      <c r="AA17" s="4"/>
    </row>
    <row r="18" spans="1:27" ht="15.75">
      <c r="A18" s="25"/>
      <c r="B18" s="26"/>
      <c r="C18" s="26"/>
      <c r="D18" s="1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13"/>
      <c r="X18" s="4"/>
      <c r="Y18" s="2"/>
      <c r="Z18" s="19"/>
    </row>
    <row r="19" spans="1:27" ht="15.7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13"/>
      <c r="X19" s="4"/>
      <c r="Y19" s="2"/>
      <c r="Z19" s="19"/>
    </row>
    <row r="20" spans="1:27" ht="15.7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13"/>
      <c r="X20" s="4"/>
      <c r="Y20" s="2"/>
      <c r="Z20" s="19"/>
    </row>
    <row r="21" spans="1:27" ht="15.7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13"/>
      <c r="X21" s="4"/>
      <c r="Y21" s="19"/>
      <c r="Z21" s="19"/>
    </row>
    <row r="22" spans="1:27" ht="15.7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13"/>
      <c r="X22" s="4"/>
      <c r="Y22" s="19"/>
      <c r="Z22" s="19"/>
    </row>
    <row r="23" spans="1:27" ht="15.7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3"/>
      <c r="X23" s="4"/>
      <c r="Y23" s="19"/>
      <c r="Z23" s="19"/>
    </row>
    <row r="24" spans="1:27" ht="15.75">
      <c r="A24" s="2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13"/>
      <c r="X24" s="4"/>
      <c r="Y24" s="19"/>
      <c r="Z24" s="19"/>
    </row>
    <row r="25" spans="1:27" ht="15.75">
      <c r="A25" s="25"/>
      <c r="B25" s="26"/>
      <c r="C25" s="26"/>
      <c r="D25" s="26"/>
      <c r="E25" s="26"/>
      <c r="F25" s="2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3"/>
      <c r="X25" s="4"/>
      <c r="Y25" s="19"/>
      <c r="Z25" s="19"/>
    </row>
    <row r="26" spans="1:27" ht="15.75">
      <c r="A26" s="25"/>
      <c r="B26" s="26"/>
      <c r="C26" s="26"/>
      <c r="D26" s="26"/>
      <c r="E26" s="26"/>
      <c r="F26" s="26"/>
      <c r="G26" s="1"/>
      <c r="H26" s="2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3"/>
      <c r="Y26" s="4"/>
      <c r="Z26" s="19"/>
    </row>
    <row r="27" spans="1:27" ht="15.75">
      <c r="A27" s="25"/>
      <c r="B27" s="26"/>
      <c r="C27" s="26"/>
      <c r="D27" s="26"/>
      <c r="E27" s="26"/>
      <c r="F27" s="2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3"/>
      <c r="X27" s="4"/>
      <c r="Y27" s="4"/>
      <c r="Z27" s="4"/>
    </row>
    <row r="55" spans="9:29" ht="15">
      <c r="I55" s="4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9:29" ht="15">
      <c r="I56" s="4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spans="9:29" ht="15">
      <c r="I57" s="4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9:29" ht="15">
      <c r="I58" s="4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9:29" ht="15">
      <c r="I59" s="4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9:29" ht="15">
      <c r="I60" s="4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9:29" ht="15">
      <c r="I61" s="4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</sheetData>
  <mergeCells count="7">
    <mergeCell ref="A1:W1"/>
    <mergeCell ref="A2:W2"/>
    <mergeCell ref="J55:AC55"/>
    <mergeCell ref="J56:L56"/>
    <mergeCell ref="M56:W56"/>
    <mergeCell ref="X56:Z56"/>
    <mergeCell ref="AA56:AC5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Y10:Y20" xr:uid="{5595F10B-7508-44F0-9F88-FE1E9CA09B90}">
      <formula1>0</formula1>
      <formula2>1000</formula2>
    </dataValidation>
  </dataValidations>
  <pageMargins left="0.7" right="0.7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2026-05-04T04:14:57Z</cp:lastPrinted>
  <dcterms:created xsi:type="dcterms:W3CDTF">2019-08-06T05:35:20Z</dcterms:created>
  <dcterms:modified xsi:type="dcterms:W3CDTF">2026-05-04T04:15:26Z</dcterms:modified>
</cp:coreProperties>
</file>