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6.Health\"/>
    </mc:Choice>
  </mc:AlternateContent>
  <xr:revisionPtr revIDLastSave="0" documentId="13_ncr:1_{19FB3D24-A4AC-4AB1-AB0E-F3DBE1FEA643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3" sheetId="13" r:id="rId1"/>
  </sheets>
  <externalReferences>
    <externalReference r:id="rId2"/>
  </externalReferences>
  <definedNames>
    <definedName name="_xlnm.Print_Area" localSheetId="0">'6.13'!$A$1:$L$68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3" l="1"/>
  <c r="B18" i="13"/>
  <c r="J17" i="13"/>
  <c r="I17" i="13"/>
  <c r="H17" i="13"/>
  <c r="G17" i="13"/>
  <c r="F17" i="13"/>
  <c r="E17" i="13"/>
  <c r="D17" i="13"/>
  <c r="C17" i="13"/>
  <c r="B17" i="13"/>
  <c r="B8" i="13"/>
  <c r="B6" i="13" s="1"/>
  <c r="B7" i="13"/>
  <c r="B32" i="13" l="1"/>
  <c r="G42" i="13"/>
  <c r="G30" i="13"/>
  <c r="D30" i="13"/>
  <c r="E30" i="13"/>
  <c r="F30" i="13"/>
  <c r="H30" i="13"/>
  <c r="I30" i="13"/>
  <c r="J30" i="13"/>
  <c r="C30" i="13"/>
  <c r="B31" i="13"/>
  <c r="B30" i="13" l="1"/>
  <c r="B66" i="13" l="1"/>
  <c r="B65" i="13"/>
  <c r="J64" i="13"/>
  <c r="I64" i="13"/>
  <c r="H64" i="13"/>
  <c r="G64" i="13"/>
  <c r="F64" i="13"/>
  <c r="E64" i="13"/>
  <c r="D64" i="13"/>
  <c r="C64" i="13"/>
  <c r="B55" i="13"/>
  <c r="B54" i="13"/>
  <c r="J53" i="13"/>
  <c r="I53" i="13"/>
  <c r="H53" i="13"/>
  <c r="G53" i="13"/>
  <c r="F53" i="13"/>
  <c r="E53" i="13"/>
  <c r="D53" i="13"/>
  <c r="C53" i="13"/>
  <c r="B43" i="13"/>
  <c r="B42" i="13" s="1"/>
  <c r="J42" i="13"/>
  <c r="I42" i="13"/>
  <c r="H42" i="13"/>
  <c r="F42" i="13"/>
  <c r="E42" i="13"/>
  <c r="D42" i="13"/>
  <c r="C42" i="13"/>
  <c r="B64" i="13" l="1"/>
  <c r="B53" i="13"/>
</calcChain>
</file>

<file path=xl/sharedStrings.xml><?xml version="1.0" encoding="utf-8"?>
<sst xmlns="http://schemas.openxmlformats.org/spreadsheetml/2006/main" count="148" uniqueCount="34">
  <si>
    <t>Male</t>
  </si>
  <si>
    <t>Female</t>
  </si>
  <si>
    <t xml:space="preserve">Total </t>
  </si>
  <si>
    <t>ޖުމްލަ</t>
  </si>
  <si>
    <t>އަންހެން</t>
  </si>
  <si>
    <t>ފިރިހެން</t>
  </si>
  <si>
    <t>Source:  Maldivian Blood Services</t>
  </si>
  <si>
    <t>Sex</t>
  </si>
  <si>
    <r>
      <t xml:space="preserve">Age group     </t>
    </r>
    <r>
      <rPr>
        <b/>
        <sz val="10"/>
        <rFont val="Faruma"/>
      </rPr>
      <t>ޢުމުރުފުރާ</t>
    </r>
    <r>
      <rPr>
        <b/>
        <sz val="11"/>
        <rFont val="Calibri"/>
        <family val="2"/>
        <scheme val="minor"/>
      </rPr>
      <t xml:space="preserve"> </t>
    </r>
  </si>
  <si>
    <t>ޖިންސް</t>
  </si>
  <si>
    <t>less than 1 yrs</t>
  </si>
  <si>
    <t>1 - 5</t>
  </si>
  <si>
    <t>6 - 9</t>
  </si>
  <si>
    <t>10 - 14</t>
  </si>
  <si>
    <t>15 - 19</t>
  </si>
  <si>
    <t>20 - 24</t>
  </si>
  <si>
    <t>25 - 29</t>
  </si>
  <si>
    <t>30+</t>
  </si>
  <si>
    <t>މަޢުލޫމާތު ދެއްވީ: މޯލްޑިވިއަން ބްލަޑް ސާރވިސަސް</t>
  </si>
  <si>
    <t>0</t>
  </si>
  <si>
    <t>Table 6.13:  Number of registered  thalassaemia cases by Age group and sex, 2020</t>
  </si>
  <si>
    <t>ތާވަލު 6.13: ޖިންސުގެ ގޮތުން އަލަށް ރަޖިސްޓްރީކުރެވިފައިވާ ތެލެސީމިއާ ކުދިންގެ އަދަދު، 2020</t>
  </si>
  <si>
    <t>ތާވަލު 6.13: ޖިންސުގެ ގޮތުން އަލަށް ރަޖިސްޓްރީކުރެވިފައިވާ ތެލެސީމިއާ ކުދިންގެ އަދަދު، 2021</t>
  </si>
  <si>
    <t>Table 6.13:  Number of registered  thalassaemia cases by Age group and sex, 2021</t>
  </si>
  <si>
    <t>Table 6.13:  Number of registered  thalassaemia cases by Age group and sex, 2022</t>
  </si>
  <si>
    <t>ތާވަލު 6.13: ޖިންސުގެ ގޮތުން އަލަށް ރަޖިސްޓްރީކުރެވިފައިވާ ތެލެސީމިއާ ކުދިންގެ އަދަދު، 2022</t>
  </si>
  <si>
    <t>1</t>
  </si>
  <si>
    <t>Table 6.13:  Number of registered  thalassaemia cases by Age group and sex, 2023</t>
  </si>
  <si>
    <r>
      <t xml:space="preserve">Age group     </t>
    </r>
    <r>
      <rPr>
        <b/>
        <sz val="10"/>
        <rFont val="Faruma"/>
        <family val="2"/>
      </rPr>
      <t>ޢުމުރުފުރާ</t>
    </r>
    <r>
      <rPr>
        <b/>
        <sz val="11"/>
        <rFont val="Calibri"/>
        <family val="2"/>
      </rPr>
      <t xml:space="preserve"> </t>
    </r>
  </si>
  <si>
    <t>ތާވަލު 6.13: ޖިންސުގެ ގޮތުން އަލަށް ރަޖިސްޓްރީކުރެވިފައިވާ ތެލެސީމިއާ ކުދިންގެ އަދަދު، 2023</t>
  </si>
  <si>
    <t>ތާވަލު 6.13: ޖިންސުގެ ގޮތުން އަލަށް ރަޖިސްޓްރީކުރެވިފައިވާ ތެލެސީމިއާ ކުދިންގެ އަދަދު، 2025</t>
  </si>
  <si>
    <t>Table 6.13:  Number of registered  thalassaemia cases by Age group and sex, 2025</t>
  </si>
  <si>
    <t>ތާވަލު 6.13: ޖިންސުގެ ގޮތުން އަލަށް ރަޖިސްޓްރީކުރެވިފައިވާ ތެލެސީމިއާ ކުދިންގެ އަދަދު، 2024</t>
  </si>
  <si>
    <t>Table 6.13:  Number of registered  thalassaemia cases by Age group and sex,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</si>
</sst>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General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1"/>
      <name val="Calibri"/>
      <family val="2"/>
      <scheme val="minor"/>
    </font>
    <font>
      <b/>
      <sz val="10"/>
      <name val="Faruma"/>
    </font>
    <font>
      <sz val="9"/>
      <name val="A_Randhoo"/>
    </font>
    <font>
      <b/>
      <sz val="11"/>
      <color theme="1"/>
      <name val="Faruma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2"/>
      <color theme="1"/>
      <name val="Calibri"/>
      <family val="2"/>
      <scheme val="minor"/>
    </font>
    <font>
      <sz val="10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1"/>
      <name val="Calibri"/>
      <family val="2"/>
    </font>
    <font>
      <i/>
      <sz val="1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i/>
      <sz val="10"/>
      <name val="Calibri"/>
      <family val="2"/>
    </font>
    <font>
      <sz val="10"/>
      <color indexed="8"/>
      <name val="Faruma"/>
    </font>
    <font>
      <b/>
      <sz val="12"/>
      <color indexed="8"/>
      <name val="Calibri"/>
      <family val="2"/>
    </font>
    <font>
      <b/>
      <sz val="12"/>
      <color indexed="8"/>
      <name val="Faruma"/>
    </font>
    <font>
      <i/>
      <sz val="11"/>
      <name val="Calibri"/>
      <family val="2"/>
    </font>
    <font>
      <sz val="12"/>
      <color indexed="8"/>
      <name val="Calibri"/>
      <family val="2"/>
    </font>
    <font>
      <b/>
      <sz val="11"/>
      <color indexed="8"/>
      <name val="Faruma"/>
    </font>
    <font>
      <b/>
      <sz val="10"/>
      <name val="Faruma"/>
      <family val="2"/>
    </font>
    <font>
      <sz val="10"/>
      <name val="MS Sans Serif"/>
      <charset val="134"/>
    </font>
    <font>
      <sz val="10"/>
      <name val="Courier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tted">
        <color auto="1"/>
      </bottom>
      <diagonal/>
    </border>
  </borders>
  <cellStyleXfs count="17">
    <xf numFmtId="0" fontId="0" fillId="0" borderId="0"/>
    <xf numFmtId="0" fontId="1" fillId="0" borderId="0"/>
    <xf numFmtId="165" fontId="13" fillId="0" borderId="0"/>
    <xf numFmtId="165" fontId="13" fillId="0" borderId="0"/>
    <xf numFmtId="165" fontId="13" fillId="0" borderId="0"/>
    <xf numFmtId="40" fontId="14" fillId="0" borderId="0" applyFont="0" applyFill="0" applyBorder="0" applyAlignment="0" applyProtection="0"/>
    <xf numFmtId="0" fontId="12" fillId="0" borderId="0"/>
    <xf numFmtId="165" fontId="13" fillId="0" borderId="0"/>
    <xf numFmtId="0" fontId="1" fillId="0" borderId="0"/>
    <xf numFmtId="0" fontId="12" fillId="0" borderId="0"/>
    <xf numFmtId="43" fontId="1" fillId="0" borderId="0" applyFont="0" applyFill="0" applyBorder="0" applyAlignment="0" applyProtection="0"/>
    <xf numFmtId="0" fontId="1" fillId="0" borderId="0"/>
    <xf numFmtId="165" fontId="31" fillId="0" borderId="0"/>
    <xf numFmtId="165" fontId="31" fillId="0" borderId="0"/>
    <xf numFmtId="40" fontId="30" fillId="0" borderId="0" applyFont="0" applyFill="0" applyBorder="0" applyAlignment="0" applyProtection="0"/>
    <xf numFmtId="165" fontId="31" fillId="0" borderId="0"/>
    <xf numFmtId="165" fontId="31" fillId="0" borderId="0"/>
  </cellStyleXfs>
  <cellXfs count="82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165" fontId="4" fillId="2" borderId="2" xfId="2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15" fillId="2" borderId="2" xfId="6" applyNumberFormat="1" applyFont="1" applyFill="1" applyBorder="1" applyAlignment="1">
      <alignment horizontal="right" vertical="center" wrapText="1"/>
    </xf>
    <xf numFmtId="49" fontId="15" fillId="2" borderId="2" xfId="6" applyNumberFormat="1" applyFont="1" applyFill="1" applyBorder="1" applyAlignment="1">
      <alignment horizontal="right" vertical="center"/>
    </xf>
    <xf numFmtId="165" fontId="16" fillId="2" borderId="2" xfId="2" applyFont="1" applyFill="1" applyBorder="1" applyAlignment="1">
      <alignment horizontal="left" vertical="center" indent="3"/>
    </xf>
    <xf numFmtId="49" fontId="17" fillId="2" borderId="2" xfId="6" applyNumberFormat="1" applyFont="1" applyFill="1" applyBorder="1" applyAlignment="1">
      <alignment horizontal="right" vertical="center"/>
    </xf>
    <xf numFmtId="165" fontId="11" fillId="2" borderId="2" xfId="2" applyFont="1" applyFill="1" applyBorder="1" applyAlignment="1">
      <alignment horizontal="right" vertical="center" indent="2"/>
    </xf>
    <xf numFmtId="165" fontId="6" fillId="2" borderId="1" xfId="2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right" vertical="center"/>
    </xf>
    <xf numFmtId="165" fontId="15" fillId="2" borderId="4" xfId="0" applyNumberFormat="1" applyFont="1" applyFill="1" applyBorder="1" applyAlignment="1">
      <alignment horizontal="center" vertical="center"/>
    </xf>
    <xf numFmtId="165" fontId="4" fillId="2" borderId="0" xfId="2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0" fontId="1" fillId="2" borderId="0" xfId="11" applyFill="1" applyAlignment="1">
      <alignment horizontal="right" vertical="center"/>
    </xf>
    <xf numFmtId="0" fontId="1" fillId="2" borderId="5" xfId="11" applyFill="1" applyBorder="1" applyAlignment="1">
      <alignment vertical="center"/>
    </xf>
    <xf numFmtId="0" fontId="1" fillId="2" borderId="5" xfId="11" applyFill="1" applyBorder="1" applyAlignment="1">
      <alignment horizontal="right" vertical="center"/>
    </xf>
    <xf numFmtId="0" fontId="1" fillId="2" borderId="0" xfId="11" applyFill="1" applyAlignment="1">
      <alignment vertical="center"/>
    </xf>
    <xf numFmtId="0" fontId="0" fillId="2" borderId="0" xfId="0" applyFill="1" applyAlignment="1">
      <alignment horizontal="right" vertical="center"/>
    </xf>
    <xf numFmtId="165" fontId="11" fillId="2" borderId="0" xfId="2" applyFont="1" applyFill="1" applyAlignment="1">
      <alignment horizontal="right" vertical="center" indent="2"/>
    </xf>
    <xf numFmtId="0" fontId="10" fillId="2" borderId="0" xfId="0" applyFont="1" applyFill="1" applyAlignment="1">
      <alignment horizontal="left" vertical="center" indent="3"/>
    </xf>
    <xf numFmtId="165" fontId="10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165" fontId="5" fillId="2" borderId="0" xfId="2" applyFont="1" applyFill="1" applyAlignment="1">
      <alignment horizontal="right" vertical="center" indent="1"/>
    </xf>
    <xf numFmtId="165" fontId="16" fillId="2" borderId="0" xfId="2" applyFont="1" applyFill="1" applyAlignment="1">
      <alignment horizontal="left" vertical="center" indent="3"/>
    </xf>
    <xf numFmtId="49" fontId="17" fillId="2" borderId="5" xfId="6" applyNumberFormat="1" applyFont="1" applyFill="1" applyBorder="1" applyAlignment="1">
      <alignment horizontal="right" vertical="center"/>
    </xf>
    <xf numFmtId="165" fontId="8" fillId="2" borderId="0" xfId="2" applyFont="1" applyFill="1" applyAlignment="1">
      <alignment horizontal="left" vertical="center"/>
    </xf>
    <xf numFmtId="0" fontId="18" fillId="2" borderId="0" xfId="0" applyFont="1" applyFill="1" applyAlignment="1">
      <alignment horizontal="right" vertical="center"/>
    </xf>
    <xf numFmtId="0" fontId="18" fillId="2" borderId="0" xfId="0" applyFont="1" applyFill="1"/>
    <xf numFmtId="49" fontId="19" fillId="2" borderId="0" xfId="6" applyNumberFormat="1" applyFont="1" applyFill="1" applyAlignment="1">
      <alignment horizontal="center"/>
    </xf>
    <xf numFmtId="0" fontId="9" fillId="2" borderId="0" xfId="0" applyFont="1" applyFill="1" applyAlignment="1">
      <alignment vertical="center"/>
    </xf>
    <xf numFmtId="165" fontId="6" fillId="2" borderId="0" xfId="2" applyFont="1" applyFill="1" applyAlignment="1">
      <alignment vertical="center"/>
    </xf>
    <xf numFmtId="0" fontId="0" fillId="2" borderId="5" xfId="0" applyFill="1" applyBorder="1" applyAlignment="1">
      <alignment vertical="center"/>
    </xf>
    <xf numFmtId="49" fontId="17" fillId="2" borderId="0" xfId="6" applyNumberFormat="1" applyFont="1" applyFill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49" fontId="2" fillId="2" borderId="0" xfId="0" applyNumberFormat="1" applyFont="1" applyFill="1" applyAlignment="1">
      <alignment horizontal="right" vertical="center"/>
    </xf>
    <xf numFmtId="165" fontId="15" fillId="2" borderId="5" xfId="0" applyNumberFormat="1" applyFont="1" applyFill="1" applyBorder="1" applyAlignment="1">
      <alignment horizontal="center" vertical="center"/>
    </xf>
    <xf numFmtId="0" fontId="21" fillId="2" borderId="0" xfId="0" applyFont="1" applyFill="1"/>
    <xf numFmtId="0" fontId="24" fillId="2" borderId="6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49" fontId="15" fillId="2" borderId="5" xfId="0" applyNumberFormat="1" applyFont="1" applyFill="1" applyBorder="1" applyAlignment="1">
      <alignment horizontal="right" vertical="center" wrapText="1"/>
    </xf>
    <xf numFmtId="49" fontId="15" fillId="2" borderId="5" xfId="0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left" vertical="center" indent="3"/>
    </xf>
    <xf numFmtId="165" fontId="24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right" vertical="center"/>
    </xf>
    <xf numFmtId="1" fontId="20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 indent="1"/>
    </xf>
    <xf numFmtId="165" fontId="26" fillId="2" borderId="0" xfId="0" applyNumberFormat="1" applyFont="1" applyFill="1" applyAlignment="1">
      <alignment horizontal="left" vertical="center" indent="3"/>
    </xf>
    <xf numFmtId="1" fontId="21" fillId="2" borderId="0" xfId="0" applyNumberFormat="1" applyFont="1" applyFill="1" applyAlignment="1">
      <alignment horizontal="right" vertical="center"/>
    </xf>
    <xf numFmtId="1" fontId="21" fillId="2" borderId="0" xfId="0" applyNumberFormat="1" applyFont="1" applyFill="1" applyAlignment="1">
      <alignment vertical="center"/>
    </xf>
    <xf numFmtId="1" fontId="17" fillId="2" borderId="0" xfId="0" applyNumberFormat="1" applyFont="1" applyFill="1" applyAlignment="1">
      <alignment horizontal="right" vertical="center"/>
    </xf>
    <xf numFmtId="165" fontId="11" fillId="2" borderId="0" xfId="0" applyNumberFormat="1" applyFont="1" applyFill="1" applyAlignment="1">
      <alignment horizontal="right" vertical="center" indent="2"/>
    </xf>
    <xf numFmtId="165" fontId="26" fillId="2" borderId="5" xfId="0" applyNumberFormat="1" applyFont="1" applyFill="1" applyBorder="1" applyAlignment="1">
      <alignment horizontal="left" vertical="center" indent="3"/>
    </xf>
    <xf numFmtId="1" fontId="21" fillId="2" borderId="5" xfId="0" applyNumberFormat="1" applyFont="1" applyFill="1" applyBorder="1" applyAlignment="1">
      <alignment horizontal="right" vertical="center"/>
    </xf>
    <xf numFmtId="1" fontId="21" fillId="2" borderId="5" xfId="0" applyNumberFormat="1" applyFont="1" applyFill="1" applyBorder="1" applyAlignment="1">
      <alignment vertical="center"/>
    </xf>
    <xf numFmtId="1" fontId="17" fillId="2" borderId="5" xfId="0" applyNumberFormat="1" applyFont="1" applyFill="1" applyBorder="1" applyAlignment="1">
      <alignment horizontal="right" vertical="center"/>
    </xf>
    <xf numFmtId="165" fontId="11" fillId="2" borderId="5" xfId="0" applyNumberFormat="1" applyFont="1" applyFill="1" applyBorder="1" applyAlignment="1">
      <alignment horizontal="right" vertical="center" indent="2"/>
    </xf>
    <xf numFmtId="165" fontId="22" fillId="2" borderId="0" xfId="0" applyNumberFormat="1" applyFont="1" applyFill="1" applyAlignment="1">
      <alignment horizontal="left" vertical="center"/>
    </xf>
    <xf numFmtId="0" fontId="27" fillId="2" borderId="0" xfId="0" applyFont="1" applyFill="1" applyAlignment="1">
      <alignment horizontal="right" vertical="center"/>
    </xf>
    <xf numFmtId="0" fontId="27" fillId="2" borderId="0" xfId="0" applyFont="1" applyFill="1"/>
    <xf numFmtId="49" fontId="19" fillId="2" borderId="0" xfId="0" applyNumberFormat="1" applyFont="1" applyFill="1" applyAlignment="1">
      <alignment horizontal="center"/>
    </xf>
    <xf numFmtId="165" fontId="6" fillId="2" borderId="6" xfId="0" applyNumberFormat="1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0" fillId="2" borderId="0" xfId="11" applyFont="1" applyFill="1" applyAlignment="1">
      <alignment horizontal="right" vertical="center"/>
    </xf>
    <xf numFmtId="1" fontId="20" fillId="2" borderId="0" xfId="11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center"/>
    </xf>
    <xf numFmtId="165" fontId="15" fillId="2" borderId="0" xfId="0" applyNumberFormat="1" applyFont="1" applyFill="1" applyAlignment="1">
      <alignment horizontal="center" vertical="center"/>
    </xf>
    <xf numFmtId="0" fontId="24" fillId="2" borderId="6" xfId="0" applyFont="1" applyFill="1" applyBorder="1" applyAlignment="1">
      <alignment horizontal="left" vertical="center" indent="1"/>
    </xf>
    <xf numFmtId="0" fontId="24" fillId="2" borderId="5" xfId="0" applyFont="1" applyFill="1" applyBorder="1" applyAlignment="1">
      <alignment horizontal="left" vertical="center" indent="1"/>
    </xf>
    <xf numFmtId="165" fontId="15" fillId="2" borderId="7" xfId="0" applyNumberFormat="1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right" vertical="center" wrapText="1"/>
    </xf>
    <xf numFmtId="0" fontId="28" fillId="2" borderId="5" xfId="0" applyFont="1" applyFill="1" applyBorder="1" applyAlignment="1">
      <alignment horizontal="right" vertical="center" wrapText="1"/>
    </xf>
    <xf numFmtId="165" fontId="4" fillId="2" borderId="0" xfId="2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 indent="1"/>
    </xf>
    <xf numFmtId="0" fontId="10" fillId="2" borderId="2" xfId="0" applyFont="1" applyFill="1" applyBorder="1" applyAlignment="1">
      <alignment horizontal="left" vertical="center" indent="1"/>
    </xf>
    <xf numFmtId="165" fontId="4" fillId="2" borderId="3" xfId="2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 wrapText="1"/>
    </xf>
  </cellXfs>
  <cellStyles count="17">
    <cellStyle name="1" xfId="9" xr:uid="{00000000-0005-0000-0000-000000000000}"/>
    <cellStyle name="Comma 3" xfId="5" xr:uid="{00000000-0005-0000-0000-000002000000}"/>
    <cellStyle name="Comma 3 2" xfId="14" xr:uid="{044B0490-7F01-4968-B2E2-23A0F3C74FBF}"/>
    <cellStyle name="Comma 8" xfId="10" xr:uid="{8B82D3A5-B946-4FE9-B45D-7C6ED627CB8E}"/>
    <cellStyle name="Normal" xfId="0" builtinId="0"/>
    <cellStyle name="Normal 10" xfId="11" xr:uid="{6B8FCD95-7F28-4B40-945F-E584BDD3EF06}"/>
    <cellStyle name="Normal 14" xfId="2" xr:uid="{00000000-0005-0000-0000-000004000000}"/>
    <cellStyle name="Normal 14 2" xfId="13" xr:uid="{AC48AFEB-22E5-4F8D-81DB-8FE218E38520}"/>
    <cellStyle name="Normal 15" xfId="4" xr:uid="{00000000-0005-0000-0000-000005000000}"/>
    <cellStyle name="Normal 15 2" xfId="12" xr:uid="{3F966413-A11F-4BE6-BFC5-2EE77E45E101}"/>
    <cellStyle name="Normal 17" xfId="8" xr:uid="{00000000-0005-0000-0000-000006000000}"/>
    <cellStyle name="Normal 2" xfId="1" xr:uid="{00000000-0005-0000-0000-000007000000}"/>
    <cellStyle name="Normal 3" xfId="3" xr:uid="{00000000-0005-0000-0000-000008000000}"/>
    <cellStyle name="Normal 3 2" xfId="15" xr:uid="{9A58D293-6C17-47D9-AA84-C8B21CEFEF70}"/>
    <cellStyle name="Normal 9" xfId="7" xr:uid="{00000000-0005-0000-0000-000009000000}"/>
    <cellStyle name="Normal 9 2" xfId="16" xr:uid="{98F78168-6D9C-420D-8042-7CD68E273D11}"/>
    <cellStyle name="Normal_II-14(Population)" xfId="6" xr:uid="{00000000-0005-0000-0000-00000B000000}"/>
  </cellStyles>
  <dxfs count="0"/>
  <tableStyles count="0" defaultTableStyle="TableStyleMedium2" defaultPivotStyle="PivotStyleLight16"/>
  <colors>
    <mruColors>
      <color rgb="FF336600"/>
      <color rgb="FFF1F7ED"/>
      <color rgb="FFEAF4E4"/>
      <color rgb="FF003300"/>
      <color rgb="FF2F75B5"/>
      <color rgb="FFFF3399"/>
      <color rgb="FFC4F2F1"/>
      <color rgb="FF249390"/>
      <color rgb="FF33CCCC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ceived/6.%20HEALTH%20-%20IGMH%20(1).xlsx" TargetMode="External"/><Relationship Id="rId2" Type="http://schemas.openxmlformats.org/officeDocument/2006/relationships/externalLinkPath" Target="file:///\\fileserver\ST4\Dissemination\Publications\Statistical%20Year%20Book\YEARBOOK%202026\Received\6.%20HEALTH%20-%20IGMH%20(1).xlsx" TargetMode="External"/><Relationship Id="rId1" Type="http://schemas.openxmlformats.org/officeDocument/2006/relationships/externalLinkPath" Target="/Dissemination/Publications/Statistical%20Year%20Book/YEARBOOK%202026/Received/6.%20HEALTH%20-%20IGMH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165">
          <cell r="C165">
            <v>1325</v>
          </cell>
          <cell r="D165">
            <v>1179</v>
          </cell>
        </row>
        <row r="167">
          <cell r="A167" t="str">
            <v>Obstetrics and gynaecology</v>
          </cell>
          <cell r="C167">
            <v>6</v>
          </cell>
          <cell r="D167">
            <v>2007</v>
          </cell>
        </row>
        <row r="168">
          <cell r="A168" t="str">
            <v>Surgery</v>
          </cell>
          <cell r="C168">
            <v>668</v>
          </cell>
          <cell r="D168">
            <v>357</v>
          </cell>
        </row>
        <row r="169">
          <cell r="A169" t="str">
            <v>Cardiology</v>
          </cell>
          <cell r="C169">
            <v>598</v>
          </cell>
          <cell r="D169">
            <v>267</v>
          </cell>
        </row>
        <row r="170">
          <cell r="A170" t="str">
            <v>Orthopaedics</v>
          </cell>
          <cell r="C170">
            <v>459</v>
          </cell>
          <cell r="D170">
            <v>256</v>
          </cell>
        </row>
        <row r="171">
          <cell r="A171" t="str">
            <v>Pulmonology</v>
          </cell>
          <cell r="C171">
            <v>254</v>
          </cell>
          <cell r="D171">
            <v>343</v>
          </cell>
        </row>
        <row r="172">
          <cell r="A172" t="str">
            <v>Neurology</v>
          </cell>
          <cell r="C172">
            <v>316</v>
          </cell>
          <cell r="D172">
            <v>178</v>
          </cell>
        </row>
        <row r="173">
          <cell r="A173" t="str">
            <v>Urology</v>
          </cell>
          <cell r="C173">
            <v>236</v>
          </cell>
          <cell r="D173">
            <v>82</v>
          </cell>
        </row>
        <row r="174">
          <cell r="A174" t="str">
            <v>Onco surgery</v>
          </cell>
          <cell r="C174">
            <v>111</v>
          </cell>
          <cell r="D174">
            <v>193</v>
          </cell>
        </row>
        <row r="175">
          <cell r="A175" t="str">
            <v>Psychiatry</v>
          </cell>
          <cell r="C175">
            <v>100</v>
          </cell>
          <cell r="D175">
            <v>111</v>
          </cell>
        </row>
        <row r="176">
          <cell r="A176" t="str">
            <v>Nephrology</v>
          </cell>
          <cell r="C176">
            <v>62</v>
          </cell>
          <cell r="D176">
            <v>78</v>
          </cell>
        </row>
        <row r="177">
          <cell r="A177" t="str">
            <v>ENT</v>
          </cell>
          <cell r="C177">
            <v>57</v>
          </cell>
          <cell r="D177">
            <v>42</v>
          </cell>
        </row>
        <row r="178">
          <cell r="A178" t="str">
            <v>Gastroenterology</v>
          </cell>
          <cell r="C178">
            <v>37</v>
          </cell>
          <cell r="D178">
            <v>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U68"/>
  <sheetViews>
    <sheetView tabSelected="1" zoomScaleNormal="100" workbookViewId="0">
      <selection activeCell="C28" sqref="C28:J28"/>
    </sheetView>
  </sheetViews>
  <sheetFormatPr defaultColWidth="9.140625" defaultRowHeight="15"/>
  <cols>
    <col min="1" max="1" width="17" style="2" customWidth="1"/>
    <col min="2" max="2" width="11.42578125" style="2" customWidth="1"/>
    <col min="3" max="3" width="10.140625" style="22" customWidth="1"/>
    <col min="4" max="10" width="8.42578125" style="2" customWidth="1"/>
    <col min="11" max="11" width="14.140625" style="2" customWidth="1"/>
    <col min="12" max="16384" width="9.140625" style="2"/>
  </cols>
  <sheetData>
    <row r="1" spans="1:11" ht="21">
      <c r="A1" s="69" t="s">
        <v>30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>
      <c r="A2" s="70" t="s">
        <v>31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>
      <c r="A3" s="40"/>
      <c r="B3" s="40"/>
      <c r="C3" s="40"/>
      <c r="D3" s="40"/>
      <c r="E3" s="40"/>
      <c r="F3" s="40"/>
      <c r="G3" s="40"/>
      <c r="H3" s="40"/>
      <c r="I3" s="40"/>
      <c r="J3" s="40"/>
      <c r="K3" s="41"/>
    </row>
    <row r="4" spans="1:11" ht="18.75">
      <c r="A4" s="71" t="s">
        <v>7</v>
      </c>
      <c r="B4" s="42" t="s">
        <v>2</v>
      </c>
      <c r="C4" s="73" t="s">
        <v>28</v>
      </c>
      <c r="D4" s="73"/>
      <c r="E4" s="73"/>
      <c r="F4" s="73"/>
      <c r="G4" s="73"/>
      <c r="H4" s="73"/>
      <c r="I4" s="73"/>
      <c r="J4" s="73"/>
      <c r="K4" s="74" t="s">
        <v>9</v>
      </c>
    </row>
    <row r="5" spans="1:11" ht="30">
      <c r="A5" s="72"/>
      <c r="B5" s="43" t="s">
        <v>3</v>
      </c>
      <c r="C5" s="44" t="s">
        <v>10</v>
      </c>
      <c r="D5" s="45" t="s">
        <v>11</v>
      </c>
      <c r="E5" s="45" t="s">
        <v>12</v>
      </c>
      <c r="F5" s="45" t="s">
        <v>13</v>
      </c>
      <c r="G5" s="45" t="s">
        <v>14</v>
      </c>
      <c r="H5" s="45" t="s">
        <v>15</v>
      </c>
      <c r="I5" s="45" t="s">
        <v>16</v>
      </c>
      <c r="J5" s="45" t="s">
        <v>17</v>
      </c>
      <c r="K5" s="75"/>
    </row>
    <row r="6" spans="1:11" ht="18.75">
      <c r="A6" s="46" t="s">
        <v>2</v>
      </c>
      <c r="B6" s="47">
        <f>SUM(B7:B8)</f>
        <v>11</v>
      </c>
      <c r="C6" s="67">
        <v>4</v>
      </c>
      <c r="D6" s="67">
        <v>3</v>
      </c>
      <c r="E6" s="67">
        <v>1</v>
      </c>
      <c r="F6" s="67">
        <v>2</v>
      </c>
      <c r="G6" s="68">
        <v>0</v>
      </c>
      <c r="H6" s="67">
        <v>0</v>
      </c>
      <c r="I6" s="67">
        <v>0</v>
      </c>
      <c r="J6" s="67">
        <v>1</v>
      </c>
      <c r="K6" s="50" t="s">
        <v>3</v>
      </c>
    </row>
    <row r="7" spans="1:11" ht="18.75">
      <c r="A7" s="51" t="s">
        <v>1</v>
      </c>
      <c r="B7" s="16">
        <f>SUM(C7:J7)</f>
        <v>6</v>
      </c>
      <c r="C7" s="18">
        <v>3</v>
      </c>
      <c r="D7" s="21">
        <v>0</v>
      </c>
      <c r="E7" s="21">
        <v>1</v>
      </c>
      <c r="F7" s="21">
        <v>1</v>
      </c>
      <c r="G7" s="37" t="s">
        <v>19</v>
      </c>
      <c r="H7" s="21">
        <v>0</v>
      </c>
      <c r="I7" s="21">
        <v>0</v>
      </c>
      <c r="J7" s="21">
        <v>1</v>
      </c>
      <c r="K7" s="55" t="s">
        <v>4</v>
      </c>
    </row>
    <row r="8" spans="1:11" ht="18.75">
      <c r="A8" s="56" t="s">
        <v>0</v>
      </c>
      <c r="B8" s="40">
        <f>SUM(C8:J8)</f>
        <v>5</v>
      </c>
      <c r="C8" s="20">
        <v>1</v>
      </c>
      <c r="D8" s="19">
        <v>3</v>
      </c>
      <c r="E8" s="19">
        <v>0</v>
      </c>
      <c r="F8" s="19">
        <v>1</v>
      </c>
      <c r="G8" s="29" t="s">
        <v>19</v>
      </c>
      <c r="H8" s="19">
        <v>0</v>
      </c>
      <c r="I8" s="19">
        <v>0</v>
      </c>
      <c r="J8" s="19">
        <v>0</v>
      </c>
      <c r="K8" s="60" t="s">
        <v>5</v>
      </c>
    </row>
    <row r="9" spans="1:11" ht="18.75">
      <c r="A9" s="61" t="s">
        <v>6</v>
      </c>
      <c r="B9" s="61"/>
      <c r="C9" s="62"/>
      <c r="D9" s="63"/>
      <c r="E9" s="63"/>
      <c r="F9" s="63"/>
      <c r="G9" s="64"/>
      <c r="H9" s="65"/>
      <c r="I9" s="41"/>
      <c r="J9" s="63"/>
      <c r="K9" s="66" t="s">
        <v>18</v>
      </c>
    </row>
    <row r="10" spans="1:11">
      <c r="C10" s="2"/>
    </row>
    <row r="12" spans="1:11" ht="21">
      <c r="A12" s="69" t="s">
        <v>32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</row>
    <row r="13" spans="1:11">
      <c r="A13" s="70" t="s">
        <v>33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 spans="1:1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1"/>
    </row>
    <row r="15" spans="1:11" ht="18.75">
      <c r="A15" s="71" t="s">
        <v>7</v>
      </c>
      <c r="B15" s="42" t="s">
        <v>2</v>
      </c>
      <c r="C15" s="73" t="s">
        <v>28</v>
      </c>
      <c r="D15" s="73"/>
      <c r="E15" s="73"/>
      <c r="F15" s="73"/>
      <c r="G15" s="73"/>
      <c r="H15" s="73"/>
      <c r="I15" s="73"/>
      <c r="J15" s="73"/>
      <c r="K15" s="74" t="s">
        <v>9</v>
      </c>
    </row>
    <row r="16" spans="1:11" ht="30">
      <c r="A16" s="72"/>
      <c r="B16" s="43" t="s">
        <v>3</v>
      </c>
      <c r="C16" s="44" t="s">
        <v>10</v>
      </c>
      <c r="D16" s="45" t="s">
        <v>11</v>
      </c>
      <c r="E16" s="45" t="s">
        <v>12</v>
      </c>
      <c r="F16" s="45" t="s">
        <v>13</v>
      </c>
      <c r="G16" s="45" t="s">
        <v>14</v>
      </c>
      <c r="H16" s="45" t="s">
        <v>15</v>
      </c>
      <c r="I16" s="45" t="s">
        <v>16</v>
      </c>
      <c r="J16" s="45" t="s">
        <v>17</v>
      </c>
      <c r="K16" s="75"/>
    </row>
    <row r="17" spans="1:11" ht="18.75">
      <c r="A17" s="46" t="s">
        <v>2</v>
      </c>
      <c r="B17" s="47">
        <f>SUM(B18:B19)</f>
        <v>18</v>
      </c>
      <c r="C17" s="48">
        <f>SUM(C18:C19)</f>
        <v>7</v>
      </c>
      <c r="D17" s="48">
        <f t="shared" ref="D17:F17" si="0">SUM(D18:D19)</f>
        <v>8</v>
      </c>
      <c r="E17" s="48">
        <f t="shared" si="0"/>
        <v>3</v>
      </c>
      <c r="F17" s="48">
        <f t="shared" si="0"/>
        <v>0</v>
      </c>
      <c r="G17" s="49">
        <f>SUM(G18:G19)</f>
        <v>0</v>
      </c>
      <c r="H17" s="48">
        <f t="shared" ref="H17:J17" si="1">SUM(H18:H19)</f>
        <v>0</v>
      </c>
      <c r="I17" s="48">
        <f t="shared" si="1"/>
        <v>0</v>
      </c>
      <c r="J17" s="48">
        <f t="shared" si="1"/>
        <v>0</v>
      </c>
      <c r="K17" s="50" t="s">
        <v>3</v>
      </c>
    </row>
    <row r="18" spans="1:11" ht="18.75">
      <c r="A18" s="51" t="s">
        <v>1</v>
      </c>
      <c r="B18" s="16">
        <f>SUM(C18:J18)</f>
        <v>11</v>
      </c>
      <c r="C18" s="22">
        <v>5</v>
      </c>
      <c r="D18" s="1">
        <v>5</v>
      </c>
      <c r="E18" s="1">
        <v>1</v>
      </c>
      <c r="F18" s="1">
        <v>0</v>
      </c>
      <c r="G18" s="37" t="s">
        <v>26</v>
      </c>
      <c r="H18" s="1">
        <v>0</v>
      </c>
      <c r="I18" s="1">
        <v>0</v>
      </c>
      <c r="J18" s="1">
        <v>0</v>
      </c>
      <c r="K18" s="55" t="s">
        <v>4</v>
      </c>
    </row>
    <row r="19" spans="1:11" ht="18.75">
      <c r="A19" s="56" t="s">
        <v>0</v>
      </c>
      <c r="B19" s="40">
        <f>SUM(C19:J19)</f>
        <v>7</v>
      </c>
      <c r="C19" s="38">
        <v>2</v>
      </c>
      <c r="D19" s="36">
        <v>3</v>
      </c>
      <c r="E19" s="36">
        <v>2</v>
      </c>
      <c r="F19" s="36">
        <v>0</v>
      </c>
      <c r="G19" s="29" t="s">
        <v>19</v>
      </c>
      <c r="H19" s="36">
        <v>0</v>
      </c>
      <c r="I19" s="36">
        <v>0</v>
      </c>
      <c r="J19" s="36">
        <v>0</v>
      </c>
      <c r="K19" s="60" t="s">
        <v>5</v>
      </c>
    </row>
    <row r="20" spans="1:11" ht="18.75">
      <c r="A20" s="61" t="s">
        <v>6</v>
      </c>
      <c r="B20" s="61"/>
      <c r="C20" s="62"/>
      <c r="D20" s="63"/>
      <c r="E20" s="63"/>
      <c r="F20" s="63"/>
      <c r="G20" s="64"/>
      <c r="H20" s="65"/>
      <c r="I20" s="41"/>
      <c r="J20" s="63"/>
      <c r="K20" s="66" t="s">
        <v>18</v>
      </c>
    </row>
    <row r="21" spans="1:11">
      <c r="C21" s="2"/>
    </row>
    <row r="25" spans="1:11" ht="21">
      <c r="A25" s="69" t="s">
        <v>29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</row>
    <row r="26" spans="1:11">
      <c r="A26" s="70" t="s">
        <v>27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</row>
    <row r="27" spans="1:1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1"/>
    </row>
    <row r="28" spans="1:11" ht="18.75">
      <c r="A28" s="71" t="s">
        <v>7</v>
      </c>
      <c r="B28" s="42" t="s">
        <v>2</v>
      </c>
      <c r="C28" s="73" t="s">
        <v>28</v>
      </c>
      <c r="D28" s="73"/>
      <c r="E28" s="73"/>
      <c r="F28" s="73"/>
      <c r="G28" s="73"/>
      <c r="H28" s="73"/>
      <c r="I28" s="73"/>
      <c r="J28" s="73"/>
      <c r="K28" s="74" t="s">
        <v>9</v>
      </c>
    </row>
    <row r="29" spans="1:11" ht="30">
      <c r="A29" s="72"/>
      <c r="B29" s="43" t="s">
        <v>3</v>
      </c>
      <c r="C29" s="44" t="s">
        <v>10</v>
      </c>
      <c r="D29" s="45" t="s">
        <v>11</v>
      </c>
      <c r="E29" s="45" t="s">
        <v>12</v>
      </c>
      <c r="F29" s="45" t="s">
        <v>13</v>
      </c>
      <c r="G29" s="45" t="s">
        <v>14</v>
      </c>
      <c r="H29" s="45" t="s">
        <v>15</v>
      </c>
      <c r="I29" s="45" t="s">
        <v>16</v>
      </c>
      <c r="J29" s="45" t="s">
        <v>17</v>
      </c>
      <c r="K29" s="75"/>
    </row>
    <row r="30" spans="1:11" ht="18.75">
      <c r="A30" s="46" t="s">
        <v>2</v>
      </c>
      <c r="B30" s="47">
        <f>SUM(B31:B32)</f>
        <v>11</v>
      </c>
      <c r="C30" s="48">
        <f>SUM(C31:C32)</f>
        <v>2</v>
      </c>
      <c r="D30" s="48">
        <f t="shared" ref="D30:J30" si="2">SUM(D31:D32)</f>
        <v>7</v>
      </c>
      <c r="E30" s="48">
        <f t="shared" si="2"/>
        <v>1</v>
      </c>
      <c r="F30" s="48">
        <f t="shared" si="2"/>
        <v>0</v>
      </c>
      <c r="G30" s="49">
        <f>SUM(G31:G32)</f>
        <v>1</v>
      </c>
      <c r="H30" s="48">
        <f t="shared" si="2"/>
        <v>0</v>
      </c>
      <c r="I30" s="48">
        <f t="shared" si="2"/>
        <v>0</v>
      </c>
      <c r="J30" s="48">
        <f t="shared" si="2"/>
        <v>0</v>
      </c>
      <c r="K30" s="50" t="s">
        <v>3</v>
      </c>
    </row>
    <row r="31" spans="1:11" ht="18.75">
      <c r="A31" s="51" t="s">
        <v>1</v>
      </c>
      <c r="B31" s="16">
        <f>SUM(C31:J31)</f>
        <v>5</v>
      </c>
      <c r="C31" s="52">
        <v>1</v>
      </c>
      <c r="D31" s="53">
        <v>4</v>
      </c>
      <c r="E31" s="53">
        <v>0</v>
      </c>
      <c r="F31" s="53">
        <v>0</v>
      </c>
      <c r="G31" s="54">
        <v>0</v>
      </c>
      <c r="H31" s="53">
        <v>0</v>
      </c>
      <c r="I31" s="53">
        <v>0</v>
      </c>
      <c r="J31" s="53">
        <v>0</v>
      </c>
      <c r="K31" s="55" t="s">
        <v>4</v>
      </c>
    </row>
    <row r="32" spans="1:11" ht="18.75">
      <c r="A32" s="56" t="s">
        <v>0</v>
      </c>
      <c r="B32" s="14">
        <f>SUM(C32:J32)</f>
        <v>6</v>
      </c>
      <c r="C32" s="57">
        <v>1</v>
      </c>
      <c r="D32" s="58">
        <v>3</v>
      </c>
      <c r="E32" s="58">
        <v>1</v>
      </c>
      <c r="F32" s="58">
        <v>0</v>
      </c>
      <c r="G32" s="59">
        <v>1</v>
      </c>
      <c r="H32" s="58">
        <v>0</v>
      </c>
      <c r="I32" s="58">
        <v>0</v>
      </c>
      <c r="J32" s="58">
        <v>0</v>
      </c>
      <c r="K32" s="60" t="s">
        <v>5</v>
      </c>
    </row>
    <row r="33" spans="1:14" ht="18.75">
      <c r="A33" s="61" t="s">
        <v>6</v>
      </c>
      <c r="B33" s="61"/>
      <c r="C33" s="62"/>
      <c r="D33" s="63"/>
      <c r="E33" s="63"/>
      <c r="F33" s="63"/>
      <c r="G33" s="64"/>
      <c r="H33" s="65"/>
      <c r="I33" s="41"/>
      <c r="J33" s="63"/>
      <c r="K33" s="66" t="s">
        <v>18</v>
      </c>
    </row>
    <row r="34" spans="1:14">
      <c r="C34" s="2"/>
    </row>
    <row r="37" spans="1:14" ht="21">
      <c r="A37" s="69" t="s">
        <v>25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</row>
    <row r="38" spans="1:14" ht="18.75" customHeight="1">
      <c r="A38" s="76" t="s">
        <v>24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</row>
    <row r="39" spans="1:14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4" ht="18.75">
      <c r="A40" s="77" t="s">
        <v>7</v>
      </c>
      <c r="B40" s="4" t="s">
        <v>2</v>
      </c>
      <c r="C40" s="79" t="s">
        <v>8</v>
      </c>
      <c r="D40" s="79"/>
      <c r="E40" s="79"/>
      <c r="F40" s="79"/>
      <c r="G40" s="79"/>
      <c r="H40" s="79"/>
      <c r="I40" s="79"/>
      <c r="J40" s="79"/>
      <c r="K40" s="80" t="s">
        <v>9</v>
      </c>
    </row>
    <row r="41" spans="1:14" ht="30">
      <c r="A41" s="78"/>
      <c r="B41" s="5" t="s">
        <v>3</v>
      </c>
      <c r="C41" s="6" t="s">
        <v>10</v>
      </c>
      <c r="D41" s="7" t="s">
        <v>11</v>
      </c>
      <c r="E41" s="7" t="s">
        <v>12</v>
      </c>
      <c r="F41" s="7" t="s">
        <v>13</v>
      </c>
      <c r="G41" s="7" t="s">
        <v>14</v>
      </c>
      <c r="H41" s="7" t="s">
        <v>15</v>
      </c>
      <c r="I41" s="7" t="s">
        <v>16</v>
      </c>
      <c r="J41" s="7" t="s">
        <v>17</v>
      </c>
      <c r="K41" s="81"/>
    </row>
    <row r="42" spans="1:14" s="17" customFormat="1" ht="18.75">
      <c r="A42" s="24" t="s">
        <v>2</v>
      </c>
      <c r="B42" s="25">
        <f>SUM(B43:B44)</f>
        <v>16</v>
      </c>
      <c r="C42" s="26">
        <f>SUM(C43:C44)</f>
        <v>2</v>
      </c>
      <c r="D42" s="26">
        <f t="shared" ref="D42:J42" si="3">SUM(D43:D44)</f>
        <v>11</v>
      </c>
      <c r="E42" s="26">
        <f t="shared" si="3"/>
        <v>1</v>
      </c>
      <c r="F42" s="26">
        <f t="shared" si="3"/>
        <v>0</v>
      </c>
      <c r="G42" s="39">
        <f>SUM(G43:G44)</f>
        <v>0</v>
      </c>
      <c r="H42" s="26">
        <f t="shared" si="3"/>
        <v>0</v>
      </c>
      <c r="I42" s="26">
        <f t="shared" si="3"/>
        <v>0</v>
      </c>
      <c r="J42" s="26">
        <f t="shared" si="3"/>
        <v>1</v>
      </c>
      <c r="K42" s="27" t="s">
        <v>3</v>
      </c>
    </row>
    <row r="43" spans="1:14" ht="18.75">
      <c r="A43" s="28" t="s">
        <v>1</v>
      </c>
      <c r="B43" s="15">
        <f>SUM(C43:J43)</f>
        <v>6</v>
      </c>
      <c r="C43" s="22">
        <v>1</v>
      </c>
      <c r="D43" s="1">
        <v>4</v>
      </c>
      <c r="E43" s="1">
        <v>1</v>
      </c>
      <c r="F43" s="1">
        <v>0</v>
      </c>
      <c r="G43" s="37" t="s">
        <v>19</v>
      </c>
      <c r="H43" s="1">
        <v>0</v>
      </c>
      <c r="I43" s="1">
        <v>0</v>
      </c>
      <c r="J43" s="1">
        <v>0</v>
      </c>
      <c r="K43" s="23" t="s">
        <v>4</v>
      </c>
    </row>
    <row r="44" spans="1:14" ht="18.75">
      <c r="A44" s="8" t="s">
        <v>0</v>
      </c>
      <c r="B44" s="3">
        <v>10</v>
      </c>
      <c r="C44" s="13">
        <v>1</v>
      </c>
      <c r="D44" s="12">
        <v>7</v>
      </c>
      <c r="E44" s="12">
        <v>0</v>
      </c>
      <c r="F44" s="12">
        <v>0</v>
      </c>
      <c r="G44" s="9" t="s">
        <v>26</v>
      </c>
      <c r="H44" s="12">
        <v>0</v>
      </c>
      <c r="I44" s="12">
        <v>0</v>
      </c>
      <c r="J44" s="12">
        <v>1</v>
      </c>
      <c r="K44" s="10" t="s">
        <v>5</v>
      </c>
    </row>
    <row r="45" spans="1:14" ht="18.75">
      <c r="A45" s="30" t="s">
        <v>6</v>
      </c>
      <c r="B45" s="30"/>
      <c r="C45" s="31"/>
      <c r="D45" s="32"/>
      <c r="E45" s="32"/>
      <c r="F45" s="32"/>
      <c r="G45" s="33"/>
      <c r="H45" s="11"/>
      <c r="J45" s="32"/>
      <c r="K45" s="34" t="s">
        <v>18</v>
      </c>
      <c r="L45" s="35"/>
      <c r="M45" s="35"/>
      <c r="N45" s="35"/>
    </row>
    <row r="46" spans="1:14" ht="18.75">
      <c r="A46" s="30"/>
      <c r="B46" s="30"/>
      <c r="C46" s="31"/>
      <c r="D46" s="32"/>
      <c r="E46" s="32"/>
      <c r="F46" s="32"/>
      <c r="G46" s="33"/>
      <c r="H46" s="35"/>
      <c r="J46" s="32"/>
      <c r="K46" s="34"/>
      <c r="L46" s="35"/>
      <c r="M46" s="35"/>
      <c r="N46" s="35"/>
    </row>
    <row r="47" spans="1:14" ht="18.75">
      <c r="A47" s="30"/>
      <c r="B47" s="30"/>
      <c r="C47" s="31"/>
      <c r="D47" s="32"/>
      <c r="E47" s="32"/>
      <c r="F47" s="32"/>
      <c r="G47" s="33"/>
      <c r="H47" s="35"/>
      <c r="J47" s="32"/>
      <c r="K47" s="34"/>
      <c r="L47" s="35"/>
      <c r="M47" s="35"/>
      <c r="N47" s="35"/>
    </row>
    <row r="48" spans="1:14" ht="21">
      <c r="A48" s="69" t="s">
        <v>22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</row>
    <row r="49" spans="1:21" ht="18.75" customHeight="1">
      <c r="A49" s="76" t="s">
        <v>23</v>
      </c>
      <c r="B49" s="76"/>
      <c r="C49" s="76"/>
      <c r="D49" s="76"/>
      <c r="E49" s="76"/>
      <c r="F49" s="76"/>
      <c r="G49" s="76"/>
      <c r="H49" s="76"/>
      <c r="I49" s="76"/>
      <c r="J49" s="76"/>
      <c r="K49" s="76"/>
    </row>
    <row r="50" spans="1:21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21" ht="18.75">
      <c r="A51" s="77" t="s">
        <v>7</v>
      </c>
      <c r="B51" s="4" t="s">
        <v>2</v>
      </c>
      <c r="C51" s="79" t="s">
        <v>8</v>
      </c>
      <c r="D51" s="79"/>
      <c r="E51" s="79"/>
      <c r="F51" s="79"/>
      <c r="G51" s="79"/>
      <c r="H51" s="79"/>
      <c r="I51" s="79"/>
      <c r="J51" s="79"/>
      <c r="K51" s="80" t="s">
        <v>9</v>
      </c>
    </row>
    <row r="52" spans="1:21" ht="30">
      <c r="A52" s="78"/>
      <c r="B52" s="5" t="s">
        <v>3</v>
      </c>
      <c r="C52" s="6" t="s">
        <v>10</v>
      </c>
      <c r="D52" s="7" t="s">
        <v>11</v>
      </c>
      <c r="E52" s="7" t="s">
        <v>12</v>
      </c>
      <c r="F52" s="7" t="s">
        <v>13</v>
      </c>
      <c r="G52" s="7" t="s">
        <v>14</v>
      </c>
      <c r="H52" s="7" t="s">
        <v>15</v>
      </c>
      <c r="I52" s="7" t="s">
        <v>16</v>
      </c>
      <c r="J52" s="7" t="s">
        <v>17</v>
      </c>
      <c r="K52" s="81"/>
    </row>
    <row r="53" spans="1:21" s="17" customFormat="1" ht="18.75">
      <c r="A53" s="24" t="s">
        <v>2</v>
      </c>
      <c r="B53" s="25">
        <f>SUM(B54:B55)</f>
        <v>22</v>
      </c>
      <c r="C53" s="26">
        <f>SUM(C54:C55)</f>
        <v>3</v>
      </c>
      <c r="D53" s="26">
        <f t="shared" ref="D53:J53" si="4">SUM(D54:D55)</f>
        <v>16</v>
      </c>
      <c r="E53" s="26">
        <f t="shared" si="4"/>
        <v>1</v>
      </c>
      <c r="F53" s="26">
        <f t="shared" si="4"/>
        <v>0</v>
      </c>
      <c r="G53" s="26">
        <f t="shared" si="4"/>
        <v>0</v>
      </c>
      <c r="H53" s="26">
        <f t="shared" si="4"/>
        <v>1</v>
      </c>
      <c r="I53" s="26">
        <f t="shared" si="4"/>
        <v>0</v>
      </c>
      <c r="J53" s="26">
        <f t="shared" si="4"/>
        <v>1</v>
      </c>
      <c r="K53" s="27" t="s">
        <v>3</v>
      </c>
    </row>
    <row r="54" spans="1:21" ht="18.75">
      <c r="A54" s="28" t="s">
        <v>1</v>
      </c>
      <c r="B54" s="15">
        <f>SUM(C54:J54)</f>
        <v>13</v>
      </c>
      <c r="C54" s="22">
        <v>3</v>
      </c>
      <c r="D54" s="1">
        <v>9</v>
      </c>
      <c r="E54" s="1">
        <v>1</v>
      </c>
      <c r="F54" s="1">
        <v>0</v>
      </c>
      <c r="G54" s="37" t="s">
        <v>19</v>
      </c>
      <c r="H54" s="1">
        <v>0</v>
      </c>
      <c r="I54" s="1">
        <v>0</v>
      </c>
      <c r="J54" s="1">
        <v>0</v>
      </c>
      <c r="K54" s="23" t="s">
        <v>4</v>
      </c>
    </row>
    <row r="55" spans="1:21" ht="18.75">
      <c r="A55" s="8" t="s">
        <v>0</v>
      </c>
      <c r="B55" s="3">
        <f>SUM(C55:J55)</f>
        <v>9</v>
      </c>
      <c r="C55" s="13">
        <v>0</v>
      </c>
      <c r="D55" s="12">
        <v>7</v>
      </c>
      <c r="E55" s="12">
        <v>0</v>
      </c>
      <c r="F55" s="12">
        <v>0</v>
      </c>
      <c r="G55" s="9" t="s">
        <v>19</v>
      </c>
      <c r="H55" s="12">
        <v>1</v>
      </c>
      <c r="I55" s="12">
        <v>0</v>
      </c>
      <c r="J55" s="12">
        <v>1</v>
      </c>
      <c r="K55" s="10" t="s">
        <v>5</v>
      </c>
    </row>
    <row r="56" spans="1:21" ht="18.75">
      <c r="A56" s="30" t="s">
        <v>6</v>
      </c>
      <c r="B56" s="30"/>
      <c r="C56" s="31"/>
      <c r="D56" s="32"/>
      <c r="E56" s="32"/>
      <c r="F56" s="32"/>
      <c r="G56" s="33"/>
      <c r="H56" s="11"/>
      <c r="J56" s="32"/>
      <c r="K56" s="34" t="s">
        <v>18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1" ht="18.75">
      <c r="A57" s="30"/>
      <c r="B57" s="30"/>
      <c r="C57" s="31"/>
      <c r="D57" s="32"/>
      <c r="E57" s="32"/>
      <c r="F57" s="32"/>
      <c r="G57" s="33"/>
      <c r="H57" s="35"/>
      <c r="J57" s="32"/>
      <c r="K57" s="34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9" spans="1:21" ht="21">
      <c r="A59" s="69" t="s">
        <v>21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</row>
    <row r="60" spans="1:21">
      <c r="A60" s="76" t="s">
        <v>20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</row>
    <row r="61" spans="1:2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21" ht="18.75">
      <c r="A62" s="77" t="s">
        <v>7</v>
      </c>
      <c r="B62" s="4" t="s">
        <v>2</v>
      </c>
      <c r="C62" s="79" t="s">
        <v>8</v>
      </c>
      <c r="D62" s="79"/>
      <c r="E62" s="79"/>
      <c r="F62" s="79"/>
      <c r="G62" s="79"/>
      <c r="H62" s="79"/>
      <c r="I62" s="79"/>
      <c r="J62" s="79"/>
      <c r="K62" s="80" t="s">
        <v>9</v>
      </c>
    </row>
    <row r="63" spans="1:21" ht="30">
      <c r="A63" s="78"/>
      <c r="B63" s="5" t="s">
        <v>3</v>
      </c>
      <c r="C63" s="6" t="s">
        <v>10</v>
      </c>
      <c r="D63" s="7" t="s">
        <v>11</v>
      </c>
      <c r="E63" s="7" t="s">
        <v>12</v>
      </c>
      <c r="F63" s="7" t="s">
        <v>13</v>
      </c>
      <c r="G63" s="7" t="s">
        <v>14</v>
      </c>
      <c r="H63" s="7" t="s">
        <v>15</v>
      </c>
      <c r="I63" s="7" t="s">
        <v>16</v>
      </c>
      <c r="J63" s="7" t="s">
        <v>17</v>
      </c>
      <c r="K63" s="81"/>
    </row>
    <row r="64" spans="1:21" ht="18.75">
      <c r="A64" s="24" t="s">
        <v>2</v>
      </c>
      <c r="B64" s="25">
        <f>SUM(B65:B66)</f>
        <v>6</v>
      </c>
      <c r="C64" s="26">
        <f>SUM(C65:C66)</f>
        <v>2</v>
      </c>
      <c r="D64" s="26">
        <f t="shared" ref="D64:J64" si="5">SUM(D65:D66)</f>
        <v>3</v>
      </c>
      <c r="E64" s="26">
        <f t="shared" si="5"/>
        <v>0</v>
      </c>
      <c r="F64" s="26">
        <f t="shared" si="5"/>
        <v>0</v>
      </c>
      <c r="G64" s="26">
        <f t="shared" si="5"/>
        <v>0</v>
      </c>
      <c r="H64" s="26">
        <f t="shared" si="5"/>
        <v>0</v>
      </c>
      <c r="I64" s="26">
        <f t="shared" si="5"/>
        <v>0</v>
      </c>
      <c r="J64" s="26">
        <f t="shared" si="5"/>
        <v>1</v>
      </c>
      <c r="K64" s="27" t="s">
        <v>3</v>
      </c>
    </row>
    <row r="65" spans="1:11" ht="18.75">
      <c r="A65" s="28" t="s">
        <v>0</v>
      </c>
      <c r="B65" s="15">
        <f>SUM(C65:J65)</f>
        <v>1</v>
      </c>
      <c r="C65" s="22">
        <v>0</v>
      </c>
      <c r="D65" s="1">
        <v>1</v>
      </c>
      <c r="E65" s="1">
        <v>0</v>
      </c>
      <c r="F65" s="1">
        <v>0</v>
      </c>
      <c r="G65" s="37" t="s">
        <v>19</v>
      </c>
      <c r="H65" s="1">
        <v>0</v>
      </c>
      <c r="I65" s="1">
        <v>0</v>
      </c>
      <c r="J65" s="1">
        <v>0</v>
      </c>
      <c r="K65" s="23" t="s">
        <v>4</v>
      </c>
    </row>
    <row r="66" spans="1:11" ht="18.75">
      <c r="A66" s="8" t="s">
        <v>1</v>
      </c>
      <c r="B66" s="3">
        <f>SUM(C66:J66)</f>
        <v>5</v>
      </c>
      <c r="C66" s="13">
        <v>2</v>
      </c>
      <c r="D66" s="12">
        <v>2</v>
      </c>
      <c r="E66" s="12">
        <v>0</v>
      </c>
      <c r="F66" s="12">
        <v>0</v>
      </c>
      <c r="G66" s="9" t="s">
        <v>19</v>
      </c>
      <c r="H66" s="12">
        <v>0</v>
      </c>
      <c r="I66" s="12">
        <v>0</v>
      </c>
      <c r="J66" s="12">
        <v>1</v>
      </c>
      <c r="K66" s="10" t="s">
        <v>5</v>
      </c>
    </row>
    <row r="67" spans="1:11" ht="18.75">
      <c r="A67" s="30" t="s">
        <v>6</v>
      </c>
      <c r="B67" s="30"/>
      <c r="C67" s="31"/>
      <c r="D67" s="32"/>
      <c r="E67" s="32"/>
      <c r="F67" s="32"/>
      <c r="G67" s="33"/>
      <c r="H67" s="11"/>
      <c r="J67" s="32"/>
      <c r="K67" s="34" t="s">
        <v>18</v>
      </c>
    </row>
    <row r="68" spans="1:11" ht="18.75">
      <c r="A68" s="30"/>
      <c r="B68" s="30"/>
      <c r="C68" s="31"/>
      <c r="D68" s="32"/>
      <c r="E68" s="32"/>
      <c r="F68" s="32"/>
      <c r="G68" s="33"/>
      <c r="H68" s="35"/>
      <c r="J68" s="32"/>
      <c r="K68" s="34"/>
    </row>
  </sheetData>
  <mergeCells count="30">
    <mergeCell ref="A37:K37"/>
    <mergeCell ref="A38:K38"/>
    <mergeCell ref="A40:A41"/>
    <mergeCell ref="C40:J40"/>
    <mergeCell ref="K40:K41"/>
    <mergeCell ref="A48:K48"/>
    <mergeCell ref="A49:K49"/>
    <mergeCell ref="A51:A52"/>
    <mergeCell ref="C51:J51"/>
    <mergeCell ref="K51:K52"/>
    <mergeCell ref="A59:K59"/>
    <mergeCell ref="A60:K60"/>
    <mergeCell ref="A62:A63"/>
    <mergeCell ref="C62:J62"/>
    <mergeCell ref="K62:K63"/>
    <mergeCell ref="A26:K26"/>
    <mergeCell ref="A28:A29"/>
    <mergeCell ref="C28:J28"/>
    <mergeCell ref="K28:K29"/>
    <mergeCell ref="A25:K25"/>
    <mergeCell ref="A1:K1"/>
    <mergeCell ref="A2:K2"/>
    <mergeCell ref="A4:A5"/>
    <mergeCell ref="C4:J4"/>
    <mergeCell ref="K4:K5"/>
    <mergeCell ref="A12:K12"/>
    <mergeCell ref="A13:K13"/>
    <mergeCell ref="A15:A16"/>
    <mergeCell ref="C15:J15"/>
    <mergeCell ref="K15:K16"/>
  </mergeCells>
  <pageMargins left="0.7" right="0.7" top="0.75" bottom="0.75" header="0.3" footer="0.3"/>
  <pageSetup scale="74" orientation="portrait" r:id="rId1"/>
  <rowBreaks count="1" manualBreakCount="1">
    <brk id="46" max="11" man="1"/>
  </rowBreaks>
  <colBreaks count="1" manualBreakCount="1">
    <brk id="12" max="1048575" man="1"/>
  </colBreaks>
  <ignoredErrors>
    <ignoredError sqref="G43:G44 G54:G55 G65:G66 G7:G8 G18:G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6.13</vt:lpstr>
      <vt:lpstr>'6.13'!Print_Area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2026-05-05T05:47:13Z</cp:lastPrinted>
  <dcterms:created xsi:type="dcterms:W3CDTF">2019-08-06T05:35:20Z</dcterms:created>
  <dcterms:modified xsi:type="dcterms:W3CDTF">2026-05-05T05:55:08Z</dcterms:modified>
</cp:coreProperties>
</file>