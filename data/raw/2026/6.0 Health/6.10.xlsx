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FD7678E5-D013-46CB-828D-B7084253D2DA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0" sheetId="31" r:id="rId1"/>
  </sheets>
  <externalReferences>
    <externalReference r:id="rId2"/>
  </externalReferences>
  <definedNames>
    <definedName name="_xlnm.Print_Area" localSheetId="0">'6.10'!$A$1:$E$214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1" l="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6" i="31"/>
  <c r="D5" i="31"/>
  <c r="C5" i="31"/>
  <c r="B213" i="31"/>
  <c r="B212" i="31"/>
  <c r="B211" i="31"/>
  <c r="B210" i="31"/>
  <c r="B209" i="31"/>
  <c r="B208" i="31"/>
  <c r="B207" i="31"/>
  <c r="B206" i="31"/>
  <c r="B205" i="31"/>
  <c r="B204" i="31"/>
  <c r="B203" i="31"/>
  <c r="B202" i="31"/>
  <c r="B201" i="31"/>
  <c r="B200" i="31"/>
  <c r="B199" i="31"/>
  <c r="B198" i="31"/>
  <c r="B197" i="31"/>
  <c r="B196" i="31"/>
  <c r="B195" i="31"/>
  <c r="B194" i="31"/>
  <c r="B193" i="31"/>
  <c r="B192" i="31"/>
  <c r="D191" i="31"/>
  <c r="C191" i="31"/>
  <c r="B184" i="31"/>
  <c r="B183" i="31"/>
  <c r="B182" i="31"/>
  <c r="B181" i="31"/>
  <c r="B180" i="31"/>
  <c r="B179" i="31"/>
  <c r="B178" i="31"/>
  <c r="B177" i="31"/>
  <c r="B176" i="31"/>
  <c r="B175" i="31"/>
  <c r="B174" i="31"/>
  <c r="B173" i="31"/>
  <c r="B172" i="31"/>
  <c r="B171" i="31"/>
  <c r="B170" i="31"/>
  <c r="B169" i="31"/>
  <c r="B168" i="31"/>
  <c r="B167" i="31"/>
  <c r="B166" i="31"/>
  <c r="B165" i="31"/>
  <c r="B164" i="31"/>
  <c r="B163" i="31"/>
  <c r="D162" i="31"/>
  <c r="C162" i="31"/>
  <c r="B154" i="31"/>
  <c r="B153" i="31"/>
  <c r="B152" i="31"/>
  <c r="B151" i="31"/>
  <c r="B150" i="31"/>
  <c r="B149" i="31"/>
  <c r="B148" i="31"/>
  <c r="B147" i="31"/>
  <c r="B146" i="31"/>
  <c r="B145" i="31"/>
  <c r="B144" i="31"/>
  <c r="B143" i="31"/>
  <c r="B142" i="31"/>
  <c r="B141" i="31"/>
  <c r="B140" i="31"/>
  <c r="B139" i="31"/>
  <c r="B138" i="31"/>
  <c r="B137" i="31"/>
  <c r="B136" i="31"/>
  <c r="B135" i="31"/>
  <c r="B134" i="31"/>
  <c r="D133" i="31"/>
  <c r="C133" i="31"/>
  <c r="B125" i="31"/>
  <c r="B124" i="31"/>
  <c r="B123" i="31"/>
  <c r="B122" i="31"/>
  <c r="B121" i="31"/>
  <c r="B120" i="31"/>
  <c r="B119" i="31"/>
  <c r="B118" i="31"/>
  <c r="B117" i="31"/>
  <c r="B116" i="31"/>
  <c r="B115" i="31"/>
  <c r="B114" i="31"/>
  <c r="B113" i="31"/>
  <c r="B112" i="31"/>
  <c r="B111" i="31"/>
  <c r="B110" i="31"/>
  <c r="B109" i="31"/>
  <c r="B108" i="31"/>
  <c r="B107" i="31"/>
  <c r="B106" i="31"/>
  <c r="D105" i="31"/>
  <c r="C105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D75" i="31"/>
  <c r="C75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D40" i="31"/>
  <c r="C40" i="31"/>
  <c r="B5" i="31" l="1"/>
  <c r="B75" i="31"/>
  <c r="B191" i="31"/>
  <c r="B105" i="31"/>
  <c r="B40" i="31"/>
  <c r="B133" i="31"/>
  <c r="B162" i="31"/>
</calcChain>
</file>

<file path=xl/sharedStrings.xml><?xml version="1.0" encoding="utf-8"?>
<sst xmlns="http://schemas.openxmlformats.org/spreadsheetml/2006/main" count="220" uniqueCount="49">
  <si>
    <t>Both sexes</t>
  </si>
  <si>
    <t>Male</t>
  </si>
  <si>
    <t>Female</t>
  </si>
  <si>
    <t>Total</t>
  </si>
  <si>
    <t>clwTipcsoh clwairOmem IdcnWg Wridcnia :ctWrwf ivcaedutWmUluAwm</t>
  </si>
  <si>
    <t>Source: Indira Gandhi Memorial Hospital</t>
  </si>
  <si>
    <t>Cardiology</t>
  </si>
  <si>
    <t>Dental</t>
  </si>
  <si>
    <t>Ophthalmology</t>
  </si>
  <si>
    <t>Gastroenterology</t>
  </si>
  <si>
    <t>Urology</t>
  </si>
  <si>
    <t>Pulmonology</t>
  </si>
  <si>
    <t>Neurology</t>
  </si>
  <si>
    <t>Nephrology</t>
  </si>
  <si>
    <t>Neuro Surgery</t>
  </si>
  <si>
    <t>Casualty and Emergency Services</t>
  </si>
  <si>
    <t>Oncology</t>
  </si>
  <si>
    <t xml:space="preserve">Outpatients </t>
  </si>
  <si>
    <t>Internal medicine</t>
  </si>
  <si>
    <t>Orthopaedics</t>
  </si>
  <si>
    <t>Dermatology</t>
  </si>
  <si>
    <t>Obstetrics and gynaecology</t>
  </si>
  <si>
    <t>Surgery</t>
  </si>
  <si>
    <t>Paediatrics</t>
  </si>
  <si>
    <t>ENT</t>
  </si>
  <si>
    <t>Onco surgery</t>
  </si>
  <si>
    <t>Respiratory medicine</t>
  </si>
  <si>
    <t>Plastic Surgery</t>
  </si>
  <si>
    <t>Surgical Gastroenterology</t>
  </si>
  <si>
    <t>Table 6.10: Number of Inpatients by speciality and sex, 2025</t>
  </si>
  <si>
    <t>Psychiatry</t>
  </si>
  <si>
    <t>National URO Renal Fertility Centre</t>
  </si>
  <si>
    <t>National Diabetes Centre</t>
  </si>
  <si>
    <t>Centre for Mental Health</t>
  </si>
  <si>
    <t>Endocrinology</t>
  </si>
  <si>
    <t>Reumatology</t>
  </si>
  <si>
    <t>Reproductive Health Centre</t>
  </si>
  <si>
    <t>National Fertlilty Centre</t>
  </si>
  <si>
    <t>Table 6.10: Number of Inpatients by speciality and sex, 2024</t>
  </si>
  <si>
    <t>Table 6.10: Number of Inpatients by speciality and sex, 2023</t>
  </si>
  <si>
    <t>Paediatrics  Cardiology</t>
  </si>
  <si>
    <t>Table 6.10: Number of Inpatients by speciality and sex, 2022</t>
  </si>
  <si>
    <t>Table 6.10: Number of Inpatients by speciality and sex, 2021</t>
  </si>
  <si>
    <t>Pulmonology Counts is Under Respiratory  medicine</t>
  </si>
  <si>
    <t>Post interventional clinic</t>
  </si>
  <si>
    <t>Table 6.10: Number of Inpatients by speciality and sex, 2020</t>
  </si>
  <si>
    <t>Table 6.10: Number of Inpatients by speciality and sex, 2019</t>
  </si>
  <si>
    <t>Prosthetics and Orthotics</t>
  </si>
  <si>
    <t>Note: Post interventional clinic Counts is now Under Cardiology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</si>
</sst>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9"/>
      <name val="A_Faseyha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sz val="10"/>
      <name val="MS Sans Serif"/>
      <charset val="134"/>
    </font>
    <font>
      <sz val="10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0" fillId="0" borderId="0"/>
    <xf numFmtId="165" fontId="10" fillId="0" borderId="0"/>
    <xf numFmtId="165" fontId="10" fillId="0" borderId="0"/>
    <xf numFmtId="40" fontId="11" fillId="0" borderId="0" applyFont="0" applyFill="0" applyBorder="0" applyAlignment="0" applyProtection="0"/>
    <xf numFmtId="165" fontId="10" fillId="0" borderId="0"/>
    <xf numFmtId="0" fontId="1" fillId="0" borderId="0"/>
    <xf numFmtId="0" fontId="7" fillId="0" borderId="0"/>
    <xf numFmtId="43" fontId="1" fillId="0" borderId="0" applyFont="0" applyFill="0" applyBorder="0" applyAlignment="0" applyProtection="0"/>
    <xf numFmtId="0" fontId="1" fillId="0" borderId="0"/>
    <xf numFmtId="165" fontId="14" fillId="0" borderId="0"/>
    <xf numFmtId="165" fontId="14" fillId="0" borderId="0"/>
    <xf numFmtId="40" fontId="13" fillId="0" borderId="0" applyFont="0" applyFill="0" applyBorder="0" applyAlignment="0" applyProtection="0"/>
    <xf numFmtId="165" fontId="14" fillId="0" borderId="0"/>
    <xf numFmtId="165" fontId="14" fillId="0" borderId="0"/>
  </cellStyleXfs>
  <cellXfs count="25">
    <xf numFmtId="0" fontId="0" fillId="0" borderId="0" xfId="0"/>
    <xf numFmtId="0" fontId="0" fillId="2" borderId="0" xfId="0" applyFill="1"/>
    <xf numFmtId="37" fontId="2" fillId="2" borderId="0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165" fontId="6" fillId="2" borderId="0" xfId="0" applyNumberFormat="1" applyFont="1" applyFill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2"/>
    </xf>
    <xf numFmtId="0" fontId="3" fillId="2" borderId="0" xfId="0" applyFont="1" applyFill="1" applyAlignment="1">
      <alignment vertical="center"/>
    </xf>
    <xf numFmtId="37" fontId="2" fillId="2" borderId="0" xfId="0" applyNumberFormat="1" applyFont="1" applyFill="1" applyAlignment="1">
      <alignment horizontal="right" vertical="center"/>
    </xf>
    <xf numFmtId="165" fontId="8" fillId="2" borderId="3" xfId="0" applyNumberFormat="1" applyFont="1" applyFill="1" applyBorder="1" applyAlignment="1">
      <alignment horizontal="right" vertical="center"/>
    </xf>
    <xf numFmtId="0" fontId="12" fillId="2" borderId="0" xfId="0" applyFont="1" applyFill="1"/>
    <xf numFmtId="0" fontId="9" fillId="2" borderId="0" xfId="0" applyFont="1" applyFill="1" applyAlignment="1">
      <alignment horizontal="left" vertical="center" indent="2"/>
    </xf>
    <xf numFmtId="37" fontId="3" fillId="2" borderId="0" xfId="1" applyNumberFormat="1" applyFont="1" applyFill="1" applyBorder="1" applyAlignment="1">
      <alignment horizontal="right" vertical="center"/>
    </xf>
    <xf numFmtId="37" fontId="9" fillId="2" borderId="0" xfId="1" applyNumberFormat="1" applyFont="1" applyFill="1" applyBorder="1" applyAlignment="1">
      <alignment horizontal="right" vertical="center"/>
    </xf>
    <xf numFmtId="0" fontId="0" fillId="2" borderId="4" xfId="0" applyFill="1" applyBorder="1" applyAlignment="1">
      <alignment horizontal="left" vertical="center" indent="2"/>
    </xf>
    <xf numFmtId="37" fontId="2" fillId="2" borderId="4" xfId="1" applyNumberFormat="1" applyFont="1" applyFill="1" applyBorder="1" applyAlignment="1">
      <alignment horizontal="right" vertical="center"/>
    </xf>
    <xf numFmtId="37" fontId="0" fillId="2" borderId="4" xfId="1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left" vertical="center" indent="2"/>
    </xf>
    <xf numFmtId="37" fontId="3" fillId="2" borderId="4" xfId="1" applyNumberFormat="1" applyFont="1" applyFill="1" applyBorder="1" applyAlignment="1">
      <alignment horizontal="right" vertical="center"/>
    </xf>
    <xf numFmtId="37" fontId="9" fillId="2" borderId="4" xfId="1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5" fillId="2" borderId="0" xfId="0" applyFont="1" applyFill="1"/>
  </cellXfs>
  <cellStyles count="17">
    <cellStyle name="1" xfId="9" xr:uid="{00000000-0005-0000-0000-000000000000}"/>
    <cellStyle name="Comma" xfId="1" builtinId="3"/>
    <cellStyle name="Comma 3" xfId="6" xr:uid="{00000000-0005-0000-0000-000002000000}"/>
    <cellStyle name="Comma 3 2" xfId="14" xr:uid="{044B0490-7F01-4968-B2E2-23A0F3C74FBF}"/>
    <cellStyle name="Comma 8" xfId="10" xr:uid="{8B82D3A5-B946-4FE9-B45D-7C6ED627CB8E}"/>
    <cellStyle name="Normal" xfId="0" builtinId="0"/>
    <cellStyle name="Normal 10" xfId="11" xr:uid="{6B8FCD95-7F28-4B40-945F-E584BDD3EF06}"/>
    <cellStyle name="Normal 14" xfId="3" xr:uid="{00000000-0005-0000-0000-000004000000}"/>
    <cellStyle name="Normal 14 2" xfId="13" xr:uid="{AC48AFEB-22E5-4F8D-81DB-8FE218E38520}"/>
    <cellStyle name="Normal 15" xfId="5" xr:uid="{00000000-0005-0000-0000-000005000000}"/>
    <cellStyle name="Normal 15 2" xfId="12" xr:uid="{3F966413-A11F-4BE6-BFC5-2EE77E45E101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3 2" xfId="15" xr:uid="{9A58D293-6C17-47D9-AA84-C8B21CEFEF70}"/>
    <cellStyle name="Normal 9" xfId="7" xr:uid="{00000000-0005-0000-0000-000009000000}"/>
    <cellStyle name="Normal 9 2" xfId="16" xr:uid="{98F78168-6D9C-420D-8042-7CD68E273D11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ceived/6.%20HEALTH%20-%20IGMH%20(1).xlsx" TargetMode="External"/><Relationship Id="rId2" Type="http://schemas.openxmlformats.org/officeDocument/2006/relationships/externalLinkPath" Target="file:///\\fileserver\ST4\Dissemination\Publications\Statistical%20Year%20Book\YEARBOOK%202026\Received\6.%20HEALTH%20-%20IGMH%20(1).xlsx" TargetMode="External"/><Relationship Id="rId1" Type="http://schemas.openxmlformats.org/officeDocument/2006/relationships/externalLinkPath" Target="/Dissemination/Publications/Statistical%20Year%20Book/YEARBOOK%202026/Received/6.%20HEALTH%20-%20IGM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165">
          <cell r="C165">
            <v>1325</v>
          </cell>
          <cell r="D165">
            <v>1179</v>
          </cell>
        </row>
        <row r="167">
          <cell r="A167" t="str">
            <v>Obstetrics and gynaecology</v>
          </cell>
          <cell r="C167">
            <v>6</v>
          </cell>
          <cell r="D167">
            <v>2007</v>
          </cell>
        </row>
        <row r="168">
          <cell r="A168" t="str">
            <v>Surgery</v>
          </cell>
          <cell r="C168">
            <v>668</v>
          </cell>
          <cell r="D168">
            <v>357</v>
          </cell>
        </row>
        <row r="169">
          <cell r="A169" t="str">
            <v>Cardiology</v>
          </cell>
          <cell r="C169">
            <v>598</v>
          </cell>
          <cell r="D169">
            <v>267</v>
          </cell>
        </row>
        <row r="170">
          <cell r="A170" t="str">
            <v>Orthopaedics</v>
          </cell>
          <cell r="C170">
            <v>459</v>
          </cell>
          <cell r="D170">
            <v>256</v>
          </cell>
        </row>
        <row r="171">
          <cell r="A171" t="str">
            <v>Pulmonology</v>
          </cell>
          <cell r="C171">
            <v>254</v>
          </cell>
          <cell r="D171">
            <v>343</v>
          </cell>
        </row>
        <row r="172">
          <cell r="A172" t="str">
            <v>Neurology</v>
          </cell>
          <cell r="C172">
            <v>316</v>
          </cell>
          <cell r="D172">
            <v>178</v>
          </cell>
        </row>
        <row r="173">
          <cell r="A173" t="str">
            <v>Urology</v>
          </cell>
          <cell r="C173">
            <v>236</v>
          </cell>
          <cell r="D173">
            <v>82</v>
          </cell>
        </row>
        <row r="174">
          <cell r="A174" t="str">
            <v>Onco surgery</v>
          </cell>
          <cell r="C174">
            <v>111</v>
          </cell>
          <cell r="D174">
            <v>193</v>
          </cell>
        </row>
        <row r="175">
          <cell r="A175" t="str">
            <v>Psychiatry</v>
          </cell>
          <cell r="C175">
            <v>100</v>
          </cell>
          <cell r="D175">
            <v>111</v>
          </cell>
        </row>
        <row r="176">
          <cell r="A176" t="str">
            <v>Nephrology</v>
          </cell>
          <cell r="C176">
            <v>62</v>
          </cell>
          <cell r="D176">
            <v>78</v>
          </cell>
        </row>
        <row r="177">
          <cell r="A177" t="str">
            <v>ENT</v>
          </cell>
          <cell r="C177">
            <v>57</v>
          </cell>
          <cell r="D177">
            <v>42</v>
          </cell>
        </row>
        <row r="178">
          <cell r="A178" t="str">
            <v>Gastroenterology</v>
          </cell>
          <cell r="C178">
            <v>37</v>
          </cell>
          <cell r="D17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CD25-81AD-459B-B772-2DBE1F6D19D7}">
  <dimension ref="A2:I214"/>
  <sheetViews>
    <sheetView tabSelected="1" zoomScaleNormal="100" zoomScaleSheetLayoutView="118" workbookViewId="0">
      <selection activeCell="A52" sqref="A52:XFD52"/>
    </sheetView>
  </sheetViews>
  <sheetFormatPr defaultColWidth="9.140625" defaultRowHeight="15"/>
  <cols>
    <col min="1" max="1" width="34.140625" style="1" bestFit="1" customWidth="1"/>
    <col min="2" max="2" width="14.28515625" style="1" customWidth="1"/>
    <col min="3" max="4" width="15.85546875" style="1" customWidth="1"/>
    <col min="5" max="5" width="4" style="1" customWidth="1"/>
    <col min="6" max="16384" width="9.140625" style="1"/>
  </cols>
  <sheetData>
    <row r="2" spans="1:9">
      <c r="A2" s="23" t="s">
        <v>29</v>
      </c>
      <c r="B2" s="23"/>
      <c r="C2" s="23"/>
      <c r="D2" s="23"/>
    </row>
    <row r="4" spans="1:9">
      <c r="A4" s="6" t="s">
        <v>17</v>
      </c>
      <c r="B4" s="7" t="s">
        <v>0</v>
      </c>
      <c r="C4" s="7" t="s">
        <v>1</v>
      </c>
      <c r="D4" s="7" t="s">
        <v>2</v>
      </c>
    </row>
    <row r="5" spans="1:9">
      <c r="A5" s="9" t="s">
        <v>3</v>
      </c>
      <c r="B5" s="10">
        <f>SUM(B6:B33)</f>
        <v>15509</v>
      </c>
      <c r="C5" s="10">
        <f>SUM(C6:C33)</f>
        <v>7516</v>
      </c>
      <c r="D5" s="10">
        <f>SUM(D6:D33)</f>
        <v>7993</v>
      </c>
      <c r="E5" s="5"/>
    </row>
    <row r="6" spans="1:9">
      <c r="A6" s="8" t="s">
        <v>18</v>
      </c>
      <c r="B6" s="2">
        <f>SUM(C6:D6)</f>
        <v>1496</v>
      </c>
      <c r="C6" s="1">
        <v>886</v>
      </c>
      <c r="D6" s="3">
        <v>610</v>
      </c>
      <c r="I6" s="12"/>
    </row>
    <row r="7" spans="1:9">
      <c r="A7" s="8" t="s">
        <v>23</v>
      </c>
      <c r="B7" s="2">
        <f t="shared" ref="B7:B33" si="0">SUM(C7:D7)</f>
        <v>3100</v>
      </c>
      <c r="C7" s="3">
        <v>1620</v>
      </c>
      <c r="D7" s="3">
        <v>1480</v>
      </c>
      <c r="I7" s="12"/>
    </row>
    <row r="8" spans="1:9">
      <c r="A8" s="8" t="s">
        <v>21</v>
      </c>
      <c r="B8" s="2">
        <f t="shared" si="0"/>
        <v>1893</v>
      </c>
      <c r="C8" s="3">
        <v>3</v>
      </c>
      <c r="D8" s="3">
        <v>1890</v>
      </c>
      <c r="I8" s="12"/>
    </row>
    <row r="9" spans="1:9">
      <c r="A9" s="8" t="s">
        <v>22</v>
      </c>
      <c r="B9" s="2">
        <f t="shared" si="0"/>
        <v>1391</v>
      </c>
      <c r="C9" s="3">
        <v>894</v>
      </c>
      <c r="D9" s="3">
        <v>497</v>
      </c>
      <c r="I9" s="12"/>
    </row>
    <row r="10" spans="1:9">
      <c r="A10" s="8" t="s">
        <v>6</v>
      </c>
      <c r="B10" s="2">
        <f t="shared" si="0"/>
        <v>1382</v>
      </c>
      <c r="C10" s="3">
        <v>970</v>
      </c>
      <c r="D10" s="3">
        <v>412</v>
      </c>
      <c r="I10" s="12"/>
    </row>
    <row r="11" spans="1:9">
      <c r="A11" s="8" t="s">
        <v>19</v>
      </c>
      <c r="B11" s="2">
        <f t="shared" si="0"/>
        <v>901</v>
      </c>
      <c r="C11" s="3">
        <v>515</v>
      </c>
      <c r="D11" s="3">
        <v>386</v>
      </c>
      <c r="I11" s="12"/>
    </row>
    <row r="12" spans="1:9">
      <c r="A12" s="8" t="s">
        <v>12</v>
      </c>
      <c r="B12" s="2">
        <f t="shared" si="0"/>
        <v>850</v>
      </c>
      <c r="C12" s="3">
        <v>552</v>
      </c>
      <c r="D12" s="3">
        <v>298</v>
      </c>
      <c r="I12" s="12"/>
    </row>
    <row r="13" spans="1:9">
      <c r="A13" s="8" t="s">
        <v>10</v>
      </c>
      <c r="B13" s="2">
        <f t="shared" si="0"/>
        <v>397</v>
      </c>
      <c r="C13" s="3">
        <v>308</v>
      </c>
      <c r="D13" s="3">
        <v>89</v>
      </c>
      <c r="I13" s="12"/>
    </row>
    <row r="14" spans="1:9">
      <c r="A14" s="8" t="s">
        <v>25</v>
      </c>
      <c r="B14" s="2">
        <f t="shared" si="0"/>
        <v>156</v>
      </c>
      <c r="C14" s="3">
        <v>34</v>
      </c>
      <c r="D14" s="3">
        <v>122</v>
      </c>
      <c r="I14" s="12"/>
    </row>
    <row r="15" spans="1:9">
      <c r="A15" s="8" t="s">
        <v>30</v>
      </c>
      <c r="B15" s="2">
        <f t="shared" si="0"/>
        <v>69</v>
      </c>
      <c r="C15" s="3">
        <v>31</v>
      </c>
      <c r="D15" s="3">
        <v>38</v>
      </c>
      <c r="I15" s="12"/>
    </row>
    <row r="16" spans="1:9">
      <c r="A16" s="8" t="s">
        <v>31</v>
      </c>
      <c r="B16" s="2">
        <f t="shared" si="0"/>
        <v>216</v>
      </c>
      <c r="C16" s="3">
        <v>120</v>
      </c>
      <c r="D16" s="3">
        <v>96</v>
      </c>
      <c r="I16" s="12"/>
    </row>
    <row r="17" spans="1:9">
      <c r="A17" s="8" t="s">
        <v>32</v>
      </c>
      <c r="B17" s="2">
        <f t="shared" si="0"/>
        <v>2</v>
      </c>
      <c r="C17" s="3">
        <v>1</v>
      </c>
      <c r="D17" s="3">
        <v>1</v>
      </c>
    </row>
    <row r="18" spans="1:9">
      <c r="A18" s="8" t="s">
        <v>24</v>
      </c>
      <c r="B18" s="2">
        <f t="shared" si="0"/>
        <v>335</v>
      </c>
      <c r="C18" s="3">
        <v>175</v>
      </c>
      <c r="D18" s="3">
        <v>160</v>
      </c>
    </row>
    <row r="19" spans="1:9">
      <c r="A19" s="8" t="s">
        <v>9</v>
      </c>
      <c r="B19" s="2">
        <f t="shared" si="0"/>
        <v>145</v>
      </c>
      <c r="C19" s="3">
        <v>78</v>
      </c>
      <c r="D19" s="3">
        <v>67</v>
      </c>
      <c r="I19" s="12"/>
    </row>
    <row r="20" spans="1:9">
      <c r="A20" s="8" t="s">
        <v>14</v>
      </c>
      <c r="B20" s="2">
        <f t="shared" si="0"/>
        <v>754</v>
      </c>
      <c r="C20" s="3">
        <v>438</v>
      </c>
      <c r="D20" s="3">
        <v>316</v>
      </c>
      <c r="I20" s="12"/>
    </row>
    <row r="21" spans="1:9">
      <c r="A21" s="8" t="s">
        <v>7</v>
      </c>
      <c r="B21" s="2">
        <f t="shared" si="0"/>
        <v>142</v>
      </c>
      <c r="C21" s="3">
        <v>86</v>
      </c>
      <c r="D21" s="3">
        <v>56</v>
      </c>
      <c r="I21" s="12"/>
    </row>
    <row r="22" spans="1:9">
      <c r="A22" s="8" t="s">
        <v>8</v>
      </c>
      <c r="B22" s="2">
        <f t="shared" si="0"/>
        <v>37</v>
      </c>
      <c r="C22" s="3">
        <v>23</v>
      </c>
      <c r="D22" s="3">
        <v>14</v>
      </c>
      <c r="I22" s="12"/>
    </row>
    <row r="23" spans="1:9">
      <c r="A23" s="8" t="s">
        <v>20</v>
      </c>
      <c r="B23" s="2">
        <f t="shared" si="0"/>
        <v>12</v>
      </c>
      <c r="C23" s="3">
        <v>6</v>
      </c>
      <c r="D23" s="3">
        <v>6</v>
      </c>
      <c r="I23" s="12"/>
    </row>
    <row r="24" spans="1:9">
      <c r="A24" s="8" t="s">
        <v>26</v>
      </c>
      <c r="B24" s="2">
        <f t="shared" si="0"/>
        <v>1070</v>
      </c>
      <c r="C24" s="3">
        <v>418</v>
      </c>
      <c r="D24" s="3">
        <v>652</v>
      </c>
      <c r="I24" s="12"/>
    </row>
    <row r="25" spans="1:9">
      <c r="A25" s="8" t="s">
        <v>33</v>
      </c>
      <c r="B25" s="2">
        <f t="shared" si="0"/>
        <v>344</v>
      </c>
      <c r="C25" s="3">
        <v>173</v>
      </c>
      <c r="D25" s="3">
        <v>171</v>
      </c>
      <c r="I25" s="12"/>
    </row>
    <row r="26" spans="1:9">
      <c r="A26" s="8" t="s">
        <v>34</v>
      </c>
      <c r="B26" s="2">
        <f t="shared" si="0"/>
        <v>68</v>
      </c>
      <c r="C26" s="3">
        <v>31</v>
      </c>
      <c r="D26" s="3">
        <v>37</v>
      </c>
      <c r="I26" s="12"/>
    </row>
    <row r="27" spans="1:9">
      <c r="A27" s="8" t="s">
        <v>35</v>
      </c>
      <c r="B27" s="2">
        <f t="shared" si="0"/>
        <v>14</v>
      </c>
      <c r="C27" s="3">
        <v>4</v>
      </c>
      <c r="D27" s="3">
        <v>10</v>
      </c>
      <c r="I27" s="12"/>
    </row>
    <row r="28" spans="1:9">
      <c r="A28" s="8" t="s">
        <v>36</v>
      </c>
      <c r="B28" s="2">
        <f t="shared" si="0"/>
        <v>352</v>
      </c>
      <c r="C28" s="3">
        <v>1</v>
      </c>
      <c r="D28" s="3">
        <v>351</v>
      </c>
    </row>
    <row r="29" spans="1:9">
      <c r="A29" s="8" t="s">
        <v>27</v>
      </c>
      <c r="B29" s="2">
        <f t="shared" si="0"/>
        <v>112</v>
      </c>
      <c r="C29" s="3">
        <v>66</v>
      </c>
      <c r="D29" s="3">
        <v>46</v>
      </c>
    </row>
    <row r="30" spans="1:9">
      <c r="A30" s="8" t="s">
        <v>28</v>
      </c>
      <c r="B30" s="2">
        <f t="shared" si="0"/>
        <v>50</v>
      </c>
      <c r="C30" s="3">
        <v>15</v>
      </c>
      <c r="D30" s="3">
        <v>35</v>
      </c>
    </row>
    <row r="31" spans="1:9">
      <c r="A31" s="8" t="s">
        <v>15</v>
      </c>
      <c r="B31" s="2">
        <f t="shared" si="0"/>
        <v>1</v>
      </c>
      <c r="C31" s="3">
        <v>0</v>
      </c>
      <c r="D31" s="3">
        <v>1</v>
      </c>
    </row>
    <row r="32" spans="1:9">
      <c r="A32" s="8" t="s">
        <v>37</v>
      </c>
      <c r="B32" s="2">
        <f t="shared" si="0"/>
        <v>88</v>
      </c>
      <c r="C32" s="3">
        <v>0</v>
      </c>
      <c r="D32" s="3">
        <v>88</v>
      </c>
    </row>
    <row r="33" spans="1:9">
      <c r="A33" s="16" t="s">
        <v>16</v>
      </c>
      <c r="B33" s="17">
        <f t="shared" si="0"/>
        <v>132</v>
      </c>
      <c r="C33" s="18">
        <v>68</v>
      </c>
      <c r="D33" s="18">
        <v>64</v>
      </c>
    </row>
    <row r="34" spans="1:9">
      <c r="A34" s="4" t="s">
        <v>5</v>
      </c>
      <c r="D34" s="11" t="s">
        <v>4</v>
      </c>
      <c r="I34" s="12"/>
    </row>
    <row r="35" spans="1:9">
      <c r="A35" s="4"/>
      <c r="D35" s="22"/>
      <c r="I35" s="12"/>
    </row>
    <row r="36" spans="1:9">
      <c r="A36" s="4"/>
      <c r="D36" s="22"/>
      <c r="I36" s="12"/>
    </row>
    <row r="37" spans="1:9">
      <c r="A37" s="23" t="s">
        <v>38</v>
      </c>
      <c r="B37" s="23"/>
      <c r="C37" s="23"/>
      <c r="D37" s="23"/>
    </row>
    <row r="39" spans="1:9">
      <c r="A39" s="6" t="s">
        <v>17</v>
      </c>
      <c r="B39" s="7" t="s">
        <v>0</v>
      </c>
      <c r="C39" s="7" t="s">
        <v>1</v>
      </c>
      <c r="D39" s="7" t="s">
        <v>2</v>
      </c>
    </row>
    <row r="40" spans="1:9">
      <c r="A40" s="9" t="s">
        <v>3</v>
      </c>
      <c r="B40" s="10">
        <f>SUM(B41:B67)</f>
        <v>13637</v>
      </c>
      <c r="C40" s="10">
        <f>SUM(C41:C67)</f>
        <v>6561</v>
      </c>
      <c r="D40" s="10">
        <f>SUM(D41:D67)</f>
        <v>7076</v>
      </c>
      <c r="E40" s="5"/>
    </row>
    <row r="41" spans="1:9">
      <c r="A41" s="8" t="s">
        <v>18</v>
      </c>
      <c r="B41" s="2">
        <f>SUM(C41:D41)</f>
        <v>1315</v>
      </c>
      <c r="C41" s="1">
        <v>753</v>
      </c>
      <c r="D41" s="3">
        <v>562</v>
      </c>
      <c r="I41" s="12"/>
    </row>
    <row r="42" spans="1:9">
      <c r="A42" s="8" t="s">
        <v>23</v>
      </c>
      <c r="B42" s="2">
        <f>SUM(C42:D42)</f>
        <v>3124</v>
      </c>
      <c r="C42" s="3">
        <v>1682</v>
      </c>
      <c r="D42" s="3">
        <v>1442</v>
      </c>
      <c r="I42" s="12"/>
    </row>
    <row r="43" spans="1:9">
      <c r="A43" s="8" t="s">
        <v>21</v>
      </c>
      <c r="B43" s="2">
        <f>SUM(C43:D43)</f>
        <v>1808</v>
      </c>
      <c r="C43" s="3">
        <v>0</v>
      </c>
      <c r="D43" s="3">
        <v>1808</v>
      </c>
      <c r="I43" s="12"/>
    </row>
    <row r="44" spans="1:9">
      <c r="A44" s="8" t="s">
        <v>22</v>
      </c>
      <c r="B44" s="2">
        <f>SUM(C44:D44)</f>
        <v>1248</v>
      </c>
      <c r="C44" s="3">
        <v>779</v>
      </c>
      <c r="D44" s="3">
        <v>469</v>
      </c>
      <c r="I44" s="12"/>
    </row>
    <row r="45" spans="1:9">
      <c r="A45" s="8" t="s">
        <v>6</v>
      </c>
      <c r="B45" s="2">
        <f>SUM(C45:D45)</f>
        <v>1218</v>
      </c>
      <c r="C45" s="3">
        <v>902</v>
      </c>
      <c r="D45" s="3">
        <v>316</v>
      </c>
      <c r="I45" s="12"/>
    </row>
    <row r="46" spans="1:9">
      <c r="A46" s="8" t="s">
        <v>19</v>
      </c>
      <c r="B46" s="2">
        <f t="shared" ref="B46:B50" si="1">SUM(C46:D46)</f>
        <v>844</v>
      </c>
      <c r="C46" s="3">
        <v>513</v>
      </c>
      <c r="D46" s="3">
        <v>331</v>
      </c>
      <c r="I46" s="12"/>
    </row>
    <row r="47" spans="1:9">
      <c r="A47" s="8" t="s">
        <v>12</v>
      </c>
      <c r="B47" s="2">
        <f>SUM(C47:D47)</f>
        <v>609</v>
      </c>
      <c r="C47" s="3">
        <v>409</v>
      </c>
      <c r="D47" s="3">
        <v>200</v>
      </c>
      <c r="I47" s="12"/>
    </row>
    <row r="48" spans="1:9">
      <c r="A48" s="8" t="s">
        <v>10</v>
      </c>
      <c r="B48" s="2">
        <f t="shared" si="1"/>
        <v>374</v>
      </c>
      <c r="C48" s="3">
        <v>299</v>
      </c>
      <c r="D48" s="3">
        <v>75</v>
      </c>
      <c r="I48" s="12"/>
    </row>
    <row r="49" spans="1:9">
      <c r="A49" s="8" t="s">
        <v>25</v>
      </c>
      <c r="B49" s="2">
        <f>SUM(C49:D49)</f>
        <v>155</v>
      </c>
      <c r="C49" s="3">
        <v>37</v>
      </c>
      <c r="D49" s="3">
        <v>118</v>
      </c>
      <c r="I49" s="12"/>
    </row>
    <row r="50" spans="1:9">
      <c r="A50" s="8" t="s">
        <v>30</v>
      </c>
      <c r="B50" s="2">
        <f t="shared" si="1"/>
        <v>64</v>
      </c>
      <c r="C50" s="3">
        <v>32</v>
      </c>
      <c r="D50" s="3">
        <v>32</v>
      </c>
      <c r="I50" s="12"/>
    </row>
    <row r="51" spans="1:9">
      <c r="A51" s="8" t="s">
        <v>31</v>
      </c>
      <c r="B51" s="2">
        <f>SUM(C51:D51)</f>
        <v>169</v>
      </c>
      <c r="C51" s="3">
        <v>85</v>
      </c>
      <c r="D51" s="3">
        <v>84</v>
      </c>
      <c r="I51" s="12"/>
    </row>
    <row r="52" spans="1:9">
      <c r="A52" s="8" t="s">
        <v>32</v>
      </c>
      <c r="B52" s="2">
        <f>SUM(C52:D52)</f>
        <v>0</v>
      </c>
      <c r="C52" s="3">
        <v>0</v>
      </c>
      <c r="D52" s="3">
        <v>0</v>
      </c>
    </row>
    <row r="53" spans="1:9">
      <c r="A53" s="8" t="s">
        <v>24</v>
      </c>
      <c r="B53" s="2">
        <f>SUM(C53:D53)</f>
        <v>202</v>
      </c>
      <c r="C53" s="3">
        <v>103</v>
      </c>
      <c r="D53" s="3">
        <v>99</v>
      </c>
    </row>
    <row r="54" spans="1:9">
      <c r="A54" s="8" t="s">
        <v>9</v>
      </c>
      <c r="B54" s="2">
        <f t="shared" ref="B54:B67" si="2">SUM(C54:D54)</f>
        <v>48</v>
      </c>
      <c r="C54" s="3">
        <v>28</v>
      </c>
      <c r="D54" s="3">
        <v>20</v>
      </c>
      <c r="I54" s="12"/>
    </row>
    <row r="55" spans="1:9">
      <c r="A55" s="8" t="s">
        <v>14</v>
      </c>
      <c r="B55" s="2">
        <f t="shared" si="2"/>
        <v>347</v>
      </c>
      <c r="C55" s="3">
        <v>225</v>
      </c>
      <c r="D55" s="3">
        <v>122</v>
      </c>
      <c r="I55" s="12"/>
    </row>
    <row r="56" spans="1:9">
      <c r="A56" s="8" t="s">
        <v>7</v>
      </c>
      <c r="B56" s="2">
        <f t="shared" si="2"/>
        <v>163</v>
      </c>
      <c r="C56" s="3">
        <v>84</v>
      </c>
      <c r="D56" s="3">
        <v>79</v>
      </c>
      <c r="I56" s="12"/>
    </row>
    <row r="57" spans="1:9">
      <c r="A57" s="8" t="s">
        <v>8</v>
      </c>
      <c r="B57" s="2">
        <f t="shared" si="2"/>
        <v>35</v>
      </c>
      <c r="C57" s="3">
        <v>20</v>
      </c>
      <c r="D57" s="3">
        <v>15</v>
      </c>
      <c r="I57" s="12"/>
    </row>
    <row r="58" spans="1:9">
      <c r="A58" s="8" t="s">
        <v>20</v>
      </c>
      <c r="B58" s="2">
        <f t="shared" si="2"/>
        <v>15</v>
      </c>
      <c r="C58" s="3">
        <v>10</v>
      </c>
      <c r="D58" s="3">
        <v>5</v>
      </c>
      <c r="I58" s="12"/>
    </row>
    <row r="59" spans="1:9">
      <c r="A59" s="8" t="s">
        <v>26</v>
      </c>
      <c r="B59" s="2">
        <f t="shared" si="2"/>
        <v>937</v>
      </c>
      <c r="C59" s="3">
        <v>357</v>
      </c>
      <c r="D59" s="3">
        <v>580</v>
      </c>
      <c r="I59" s="12"/>
    </row>
    <row r="60" spans="1:9">
      <c r="A60" s="8" t="s">
        <v>33</v>
      </c>
      <c r="B60" s="2">
        <f t="shared" si="2"/>
        <v>263</v>
      </c>
      <c r="C60" s="3">
        <v>135</v>
      </c>
      <c r="D60" s="3">
        <v>128</v>
      </c>
      <c r="I60" s="12"/>
    </row>
    <row r="61" spans="1:9">
      <c r="A61" s="8" t="s">
        <v>34</v>
      </c>
      <c r="B61" s="2">
        <f t="shared" si="2"/>
        <v>38</v>
      </c>
      <c r="C61" s="3">
        <v>17</v>
      </c>
      <c r="D61" s="3">
        <v>21</v>
      </c>
      <c r="I61" s="12"/>
    </row>
    <row r="62" spans="1:9">
      <c r="A62" s="8" t="s">
        <v>35</v>
      </c>
      <c r="B62" s="2">
        <f t="shared" si="2"/>
        <v>25</v>
      </c>
      <c r="C62" s="3">
        <v>2</v>
      </c>
      <c r="D62" s="3">
        <v>23</v>
      </c>
      <c r="I62" s="12"/>
    </row>
    <row r="63" spans="1:9">
      <c r="A63" s="8" t="s">
        <v>36</v>
      </c>
      <c r="B63" s="2">
        <f>SUM(C63:D63)</f>
        <v>459</v>
      </c>
      <c r="C63" s="3">
        <v>0</v>
      </c>
      <c r="D63" s="3">
        <v>459</v>
      </c>
    </row>
    <row r="64" spans="1:9">
      <c r="A64" s="8" t="s">
        <v>27</v>
      </c>
      <c r="B64" s="2">
        <f>SUM(C64:D64)</f>
        <v>79</v>
      </c>
      <c r="C64" s="3">
        <v>46</v>
      </c>
      <c r="D64" s="3">
        <v>33</v>
      </c>
    </row>
    <row r="65" spans="1:9">
      <c r="A65" s="8" t="s">
        <v>28</v>
      </c>
      <c r="B65" s="2">
        <f>SUM(C65:D65)</f>
        <v>5</v>
      </c>
      <c r="C65" s="3">
        <v>3</v>
      </c>
      <c r="D65" s="3">
        <v>2</v>
      </c>
    </row>
    <row r="66" spans="1:9">
      <c r="A66" s="8" t="s">
        <v>15</v>
      </c>
      <c r="B66" s="2">
        <f>SUM(C66:D66)</f>
        <v>1</v>
      </c>
      <c r="C66" s="3">
        <v>0</v>
      </c>
      <c r="D66" s="3">
        <v>1</v>
      </c>
    </row>
    <row r="67" spans="1:9">
      <c r="A67" s="16" t="s">
        <v>16</v>
      </c>
      <c r="B67" s="17">
        <f t="shared" si="2"/>
        <v>92</v>
      </c>
      <c r="C67" s="18">
        <v>40</v>
      </c>
      <c r="D67" s="18">
        <v>52</v>
      </c>
    </row>
    <row r="68" spans="1:9">
      <c r="A68" s="4" t="s">
        <v>5</v>
      </c>
      <c r="D68" s="11" t="s">
        <v>4</v>
      </c>
      <c r="I68" s="12"/>
    </row>
    <row r="69" spans="1:9">
      <c r="I69" s="12"/>
    </row>
    <row r="70" spans="1:9">
      <c r="I70" s="12"/>
    </row>
    <row r="71" spans="1:9">
      <c r="I71" s="12"/>
    </row>
    <row r="72" spans="1:9">
      <c r="A72" s="23" t="s">
        <v>39</v>
      </c>
      <c r="B72" s="23"/>
      <c r="C72" s="23"/>
      <c r="D72" s="23"/>
    </row>
    <row r="74" spans="1:9">
      <c r="A74" s="6" t="s">
        <v>17</v>
      </c>
      <c r="B74" s="7" t="s">
        <v>0</v>
      </c>
      <c r="C74" s="7" t="s">
        <v>1</v>
      </c>
      <c r="D74" s="7" t="s">
        <v>2</v>
      </c>
    </row>
    <row r="75" spans="1:9">
      <c r="A75" s="9" t="s">
        <v>3</v>
      </c>
      <c r="B75" s="10">
        <f>SUM(B76:B97)</f>
        <v>13143</v>
      </c>
      <c r="C75" s="10">
        <f>SUM(C77:C97)</f>
        <v>5540</v>
      </c>
      <c r="D75" s="10">
        <f>SUM(D76:D97)</f>
        <v>6996</v>
      </c>
    </row>
    <row r="76" spans="1:9">
      <c r="A76" s="8" t="s">
        <v>18</v>
      </c>
      <c r="B76" s="2">
        <f t="shared" ref="B76" si="3">SUM(C76:D76)</f>
        <v>1191</v>
      </c>
      <c r="C76" s="1">
        <v>607</v>
      </c>
      <c r="D76" s="3">
        <v>584</v>
      </c>
      <c r="E76" s="5"/>
    </row>
    <row r="77" spans="1:9">
      <c r="A77" s="8" t="s">
        <v>23</v>
      </c>
      <c r="B77" s="2">
        <f>SUM(C77:D77)</f>
        <v>3095</v>
      </c>
      <c r="C77" s="3">
        <v>1707</v>
      </c>
      <c r="D77" s="3">
        <v>1388</v>
      </c>
      <c r="I77" s="12"/>
    </row>
    <row r="78" spans="1:9">
      <c r="A78" s="8" t="s">
        <v>21</v>
      </c>
      <c r="B78" s="2">
        <f t="shared" ref="B78:B97" si="4">SUM(C78:D78)</f>
        <v>2251</v>
      </c>
      <c r="C78" s="3">
        <v>0</v>
      </c>
      <c r="D78" s="3">
        <v>2251</v>
      </c>
      <c r="I78" s="12"/>
    </row>
    <row r="79" spans="1:9">
      <c r="A79" s="8" t="s">
        <v>22</v>
      </c>
      <c r="B79" s="2">
        <f t="shared" si="4"/>
        <v>1460</v>
      </c>
      <c r="C79" s="3">
        <v>859</v>
      </c>
      <c r="D79" s="3">
        <v>601</v>
      </c>
      <c r="I79" s="12"/>
    </row>
    <row r="80" spans="1:9">
      <c r="A80" s="8" t="s">
        <v>6</v>
      </c>
      <c r="B80" s="2">
        <f t="shared" si="4"/>
        <v>1046</v>
      </c>
      <c r="C80" s="3">
        <v>778</v>
      </c>
      <c r="D80" s="3">
        <v>268</v>
      </c>
      <c r="I80" s="12"/>
    </row>
    <row r="81" spans="1:9">
      <c r="A81" s="8" t="s">
        <v>19</v>
      </c>
      <c r="B81" s="2">
        <f t="shared" si="4"/>
        <v>716</v>
      </c>
      <c r="C81" s="3">
        <v>437</v>
      </c>
      <c r="D81" s="3">
        <v>279</v>
      </c>
      <c r="I81" s="12"/>
    </row>
    <row r="82" spans="1:9">
      <c r="A82" s="8" t="s">
        <v>12</v>
      </c>
      <c r="B82" s="2">
        <f t="shared" si="4"/>
        <v>511</v>
      </c>
      <c r="C82" s="3">
        <v>317</v>
      </c>
      <c r="D82" s="3">
        <v>194</v>
      </c>
      <c r="I82" s="12"/>
    </row>
    <row r="83" spans="1:9">
      <c r="A83" s="8" t="s">
        <v>10</v>
      </c>
      <c r="B83" s="2">
        <f t="shared" si="4"/>
        <v>277</v>
      </c>
      <c r="C83" s="3">
        <v>210</v>
      </c>
      <c r="D83" s="3">
        <v>67</v>
      </c>
      <c r="I83" s="12"/>
    </row>
    <row r="84" spans="1:9">
      <c r="A84" s="8" t="s">
        <v>25</v>
      </c>
      <c r="B84" s="2">
        <f t="shared" si="4"/>
        <v>131</v>
      </c>
      <c r="C84" s="3">
        <v>34</v>
      </c>
      <c r="D84" s="3">
        <v>97</v>
      </c>
      <c r="I84" s="12"/>
    </row>
    <row r="85" spans="1:9">
      <c r="A85" s="8" t="s">
        <v>30</v>
      </c>
      <c r="B85" s="2">
        <f t="shared" si="4"/>
        <v>317</v>
      </c>
      <c r="C85" s="3">
        <v>152</v>
      </c>
      <c r="D85" s="3">
        <v>165</v>
      </c>
      <c r="I85" s="12"/>
    </row>
    <row r="86" spans="1:9">
      <c r="A86" s="8" t="s">
        <v>31</v>
      </c>
      <c r="B86" s="2">
        <f>SUM(C86:D86)</f>
        <v>283</v>
      </c>
      <c r="C86" s="3">
        <v>179</v>
      </c>
      <c r="D86" s="3">
        <v>104</v>
      </c>
      <c r="I86" s="12"/>
    </row>
    <row r="87" spans="1:9">
      <c r="A87" s="8" t="s">
        <v>32</v>
      </c>
      <c r="B87" s="2">
        <f>SUM(C87:D87)</f>
        <v>1</v>
      </c>
      <c r="C87" s="3">
        <v>1</v>
      </c>
      <c r="D87" s="3">
        <v>0</v>
      </c>
    </row>
    <row r="88" spans="1:9">
      <c r="A88" s="8" t="s">
        <v>24</v>
      </c>
      <c r="B88" s="2">
        <f>SUM(C88:D88)</f>
        <v>231</v>
      </c>
      <c r="C88" s="3">
        <v>99</v>
      </c>
      <c r="D88" s="3">
        <v>132</v>
      </c>
    </row>
    <row r="89" spans="1:9">
      <c r="A89" s="8" t="s">
        <v>9</v>
      </c>
      <c r="B89" s="2">
        <f t="shared" si="4"/>
        <v>131</v>
      </c>
      <c r="C89" s="3">
        <v>68</v>
      </c>
      <c r="D89" s="3">
        <v>63</v>
      </c>
      <c r="I89" s="12"/>
    </row>
    <row r="90" spans="1:9">
      <c r="A90" s="8" t="s">
        <v>14</v>
      </c>
      <c r="B90" s="2">
        <f t="shared" si="4"/>
        <v>158</v>
      </c>
      <c r="C90" s="3">
        <v>116</v>
      </c>
      <c r="D90" s="3">
        <v>42</v>
      </c>
      <c r="I90" s="12"/>
    </row>
    <row r="91" spans="1:9">
      <c r="A91" s="8" t="s">
        <v>7</v>
      </c>
      <c r="B91" s="2">
        <f t="shared" si="4"/>
        <v>102</v>
      </c>
      <c r="C91" s="3">
        <v>51</v>
      </c>
      <c r="D91" s="3">
        <v>51</v>
      </c>
      <c r="I91" s="12"/>
    </row>
    <row r="92" spans="1:9">
      <c r="A92" s="8" t="s">
        <v>8</v>
      </c>
      <c r="B92" s="2">
        <f t="shared" si="4"/>
        <v>41</v>
      </c>
      <c r="C92" s="3">
        <v>29</v>
      </c>
      <c r="D92" s="3">
        <v>12</v>
      </c>
      <c r="I92" s="12"/>
    </row>
    <row r="93" spans="1:9">
      <c r="A93" s="8" t="s">
        <v>20</v>
      </c>
      <c r="B93" s="2">
        <f t="shared" si="4"/>
        <v>10</v>
      </c>
      <c r="C93" s="3">
        <v>7</v>
      </c>
      <c r="D93" s="3">
        <v>3</v>
      </c>
      <c r="I93" s="12"/>
    </row>
    <row r="94" spans="1:9">
      <c r="A94" s="8" t="s">
        <v>26</v>
      </c>
      <c r="B94" s="2">
        <f t="shared" si="4"/>
        <v>1059</v>
      </c>
      <c r="C94" s="3">
        <v>436</v>
      </c>
      <c r="D94" s="3">
        <v>623</v>
      </c>
      <c r="I94" s="12"/>
    </row>
    <row r="95" spans="1:9">
      <c r="A95" s="8" t="s">
        <v>34</v>
      </c>
      <c r="B95" s="2">
        <f t="shared" si="4"/>
        <v>22</v>
      </c>
      <c r="C95" s="3">
        <v>5</v>
      </c>
      <c r="D95" s="3">
        <v>17</v>
      </c>
      <c r="I95" s="12"/>
    </row>
    <row r="96" spans="1:9">
      <c r="A96" s="8" t="s">
        <v>35</v>
      </c>
      <c r="B96" s="2">
        <f t="shared" si="4"/>
        <v>10</v>
      </c>
      <c r="C96" s="3">
        <v>0</v>
      </c>
      <c r="D96" s="3">
        <v>10</v>
      </c>
      <c r="I96" s="12"/>
    </row>
    <row r="97" spans="1:9">
      <c r="A97" s="16" t="s">
        <v>16</v>
      </c>
      <c r="B97" s="17">
        <f t="shared" si="4"/>
        <v>100</v>
      </c>
      <c r="C97" s="18">
        <v>55</v>
      </c>
      <c r="D97" s="18">
        <v>45</v>
      </c>
    </row>
    <row r="98" spans="1:9">
      <c r="A98" s="4" t="s">
        <v>5</v>
      </c>
      <c r="D98" s="11" t="s">
        <v>4</v>
      </c>
      <c r="I98" s="12"/>
    </row>
    <row r="99" spans="1:9">
      <c r="I99" s="12"/>
    </row>
    <row r="100" spans="1:9">
      <c r="I100" s="12"/>
    </row>
    <row r="101" spans="1:9">
      <c r="I101" s="12"/>
    </row>
    <row r="102" spans="1:9">
      <c r="A102" s="23" t="s">
        <v>41</v>
      </c>
      <c r="B102" s="23"/>
      <c r="C102" s="23"/>
      <c r="D102" s="23"/>
      <c r="I102" s="12"/>
    </row>
    <row r="104" spans="1:9">
      <c r="A104" s="6" t="s">
        <v>17</v>
      </c>
      <c r="B104" s="7" t="s">
        <v>0</v>
      </c>
      <c r="C104" s="7" t="s">
        <v>1</v>
      </c>
      <c r="D104" s="7" t="s">
        <v>2</v>
      </c>
    </row>
    <row r="105" spans="1:9">
      <c r="A105" s="9" t="s">
        <v>3</v>
      </c>
      <c r="B105" s="10">
        <f>SUM(B106:B125)</f>
        <v>11582</v>
      </c>
      <c r="C105" s="10">
        <f>SUM(C107:C125)</f>
        <v>4768</v>
      </c>
      <c r="D105" s="10">
        <f>SUM(D106:D125)</f>
        <v>6199</v>
      </c>
    </row>
    <row r="106" spans="1:9">
      <c r="A106" s="8" t="s">
        <v>18</v>
      </c>
      <c r="B106" s="2">
        <f t="shared" ref="B106:B125" si="5">SUM(C106:D106)</f>
        <v>1150</v>
      </c>
      <c r="C106" s="1">
        <v>615</v>
      </c>
      <c r="D106" s="3">
        <v>535</v>
      </c>
      <c r="E106" s="5"/>
    </row>
    <row r="107" spans="1:9">
      <c r="A107" s="8" t="s">
        <v>23</v>
      </c>
      <c r="B107" s="2">
        <f>SUM(C107:D107)</f>
        <v>2783</v>
      </c>
      <c r="C107" s="3">
        <v>1512</v>
      </c>
      <c r="D107" s="3">
        <v>1271</v>
      </c>
    </row>
    <row r="108" spans="1:9">
      <c r="A108" s="8" t="s">
        <v>21</v>
      </c>
      <c r="B108" s="2">
        <f t="shared" si="5"/>
        <v>1946</v>
      </c>
      <c r="C108" s="3">
        <v>0</v>
      </c>
      <c r="D108" s="3">
        <v>1946</v>
      </c>
    </row>
    <row r="109" spans="1:9">
      <c r="A109" s="8" t="s">
        <v>22</v>
      </c>
      <c r="B109" s="2">
        <f t="shared" si="5"/>
        <v>1219</v>
      </c>
      <c r="C109" s="3">
        <v>756</v>
      </c>
      <c r="D109" s="3">
        <v>463</v>
      </c>
    </row>
    <row r="110" spans="1:9">
      <c r="A110" s="8" t="s">
        <v>6</v>
      </c>
      <c r="B110" s="2">
        <f t="shared" si="5"/>
        <v>1187</v>
      </c>
      <c r="C110" s="3">
        <v>827</v>
      </c>
      <c r="D110" s="3">
        <v>360</v>
      </c>
    </row>
    <row r="111" spans="1:9">
      <c r="A111" s="8" t="s">
        <v>19</v>
      </c>
      <c r="B111" s="2">
        <f t="shared" si="5"/>
        <v>729</v>
      </c>
      <c r="C111" s="3">
        <v>445</v>
      </c>
      <c r="D111" s="3">
        <v>284</v>
      </c>
    </row>
    <row r="112" spans="1:9">
      <c r="A112" s="8" t="s">
        <v>12</v>
      </c>
      <c r="B112" s="2">
        <f t="shared" si="5"/>
        <v>496</v>
      </c>
      <c r="C112" s="3">
        <v>290</v>
      </c>
      <c r="D112" s="3">
        <v>206</v>
      </c>
    </row>
    <row r="113" spans="1:4">
      <c r="A113" s="8" t="s">
        <v>10</v>
      </c>
      <c r="B113" s="2">
        <f t="shared" si="5"/>
        <v>162</v>
      </c>
      <c r="C113" s="3">
        <v>116</v>
      </c>
      <c r="D113" s="3">
        <v>46</v>
      </c>
    </row>
    <row r="114" spans="1:4">
      <c r="A114" s="8" t="s">
        <v>25</v>
      </c>
      <c r="B114" s="2">
        <f t="shared" si="5"/>
        <v>152</v>
      </c>
      <c r="C114" s="3">
        <v>22</v>
      </c>
      <c r="D114" s="3">
        <v>130</v>
      </c>
    </row>
    <row r="115" spans="1:4">
      <c r="A115" s="8" t="s">
        <v>30</v>
      </c>
      <c r="B115" s="2">
        <f t="shared" si="5"/>
        <v>105</v>
      </c>
      <c r="C115" s="3">
        <v>44</v>
      </c>
      <c r="D115" s="3">
        <v>61</v>
      </c>
    </row>
    <row r="116" spans="1:4">
      <c r="A116" s="8" t="s">
        <v>13</v>
      </c>
      <c r="B116" s="2">
        <f t="shared" si="5"/>
        <v>19</v>
      </c>
      <c r="C116" s="3">
        <v>11</v>
      </c>
      <c r="D116" s="3">
        <v>8</v>
      </c>
    </row>
    <row r="117" spans="1:4">
      <c r="A117" s="8" t="s">
        <v>24</v>
      </c>
      <c r="B117" s="2">
        <f t="shared" si="5"/>
        <v>256</v>
      </c>
      <c r="C117" s="3">
        <v>135</v>
      </c>
      <c r="D117" s="3">
        <v>121</v>
      </c>
    </row>
    <row r="118" spans="1:4">
      <c r="A118" s="8" t="s">
        <v>9</v>
      </c>
      <c r="B118" s="2">
        <f t="shared" si="5"/>
        <v>119</v>
      </c>
      <c r="C118" s="3">
        <v>51</v>
      </c>
      <c r="D118" s="3">
        <v>68</v>
      </c>
    </row>
    <row r="119" spans="1:4">
      <c r="A119" s="8" t="s">
        <v>14</v>
      </c>
      <c r="B119" s="2">
        <f t="shared" si="5"/>
        <v>94</v>
      </c>
      <c r="C119" s="3">
        <v>74</v>
      </c>
      <c r="D119" s="3">
        <v>20</v>
      </c>
    </row>
    <row r="120" spans="1:4">
      <c r="A120" s="8" t="s">
        <v>7</v>
      </c>
      <c r="B120" s="2">
        <f t="shared" si="5"/>
        <v>68</v>
      </c>
      <c r="C120" s="3">
        <v>34</v>
      </c>
      <c r="D120" s="3">
        <v>34</v>
      </c>
    </row>
    <row r="121" spans="1:4">
      <c r="A121" s="8" t="s">
        <v>8</v>
      </c>
      <c r="B121" s="2">
        <f t="shared" si="5"/>
        <v>39</v>
      </c>
      <c r="C121" s="3">
        <v>24</v>
      </c>
      <c r="D121" s="3">
        <v>15</v>
      </c>
    </row>
    <row r="122" spans="1:4">
      <c r="A122" s="8" t="s">
        <v>20</v>
      </c>
      <c r="B122" s="2">
        <f t="shared" si="5"/>
        <v>3</v>
      </c>
      <c r="C122" s="3">
        <v>2</v>
      </c>
      <c r="D122" s="3">
        <v>1</v>
      </c>
    </row>
    <row r="123" spans="1:4">
      <c r="A123" s="8" t="s">
        <v>26</v>
      </c>
      <c r="B123" s="2">
        <f t="shared" si="5"/>
        <v>939</v>
      </c>
      <c r="C123" s="3">
        <v>381</v>
      </c>
      <c r="D123" s="3">
        <v>558</v>
      </c>
    </row>
    <row r="124" spans="1:4">
      <c r="A124" s="8" t="s">
        <v>34</v>
      </c>
      <c r="B124" s="2">
        <f t="shared" si="5"/>
        <v>28</v>
      </c>
      <c r="C124" s="3">
        <v>11</v>
      </c>
      <c r="D124" s="3">
        <v>17</v>
      </c>
    </row>
    <row r="125" spans="1:4">
      <c r="A125" s="16" t="s">
        <v>16</v>
      </c>
      <c r="B125" s="17">
        <f t="shared" si="5"/>
        <v>88</v>
      </c>
      <c r="C125" s="18">
        <v>33</v>
      </c>
      <c r="D125" s="18">
        <v>55</v>
      </c>
    </row>
    <row r="126" spans="1:4">
      <c r="A126" s="4" t="s">
        <v>5</v>
      </c>
      <c r="D126" s="11" t="s">
        <v>4</v>
      </c>
    </row>
    <row r="130" spans="1:5">
      <c r="A130" s="23" t="s">
        <v>42</v>
      </c>
      <c r="B130" s="23"/>
      <c r="C130" s="23"/>
      <c r="D130" s="23"/>
    </row>
    <row r="132" spans="1:5">
      <c r="A132" s="6" t="s">
        <v>17</v>
      </c>
      <c r="B132" s="7" t="s">
        <v>0</v>
      </c>
      <c r="C132" s="7" t="s">
        <v>1</v>
      </c>
      <c r="D132" s="7" t="s">
        <v>2</v>
      </c>
    </row>
    <row r="133" spans="1:5">
      <c r="A133" s="9" t="s">
        <v>3</v>
      </c>
      <c r="B133" s="10">
        <f>SUM(B134:B154)</f>
        <v>13678</v>
      </c>
      <c r="C133" s="10">
        <f>SUM(C134:C154)</f>
        <v>6162</v>
      </c>
      <c r="D133" s="10">
        <f>SUM(D134:D154)</f>
        <v>7516</v>
      </c>
    </row>
    <row r="134" spans="1:5">
      <c r="A134" s="8" t="s">
        <v>18</v>
      </c>
      <c r="B134" s="2">
        <f t="shared" ref="B134:B154" si="6">SUM(C134:D134)</f>
        <v>3296</v>
      </c>
      <c r="C134" s="3">
        <v>1555</v>
      </c>
      <c r="D134" s="3">
        <v>1741</v>
      </c>
      <c r="E134" s="5"/>
    </row>
    <row r="135" spans="1:5">
      <c r="A135" s="8" t="s">
        <v>23</v>
      </c>
      <c r="B135" s="2">
        <f t="shared" si="6"/>
        <v>2492</v>
      </c>
      <c r="C135" s="3">
        <v>1314</v>
      </c>
      <c r="D135" s="3">
        <v>1178</v>
      </c>
    </row>
    <row r="136" spans="1:5">
      <c r="A136" s="8" t="s">
        <v>21</v>
      </c>
      <c r="B136" s="2">
        <f t="shared" si="6"/>
        <v>2151</v>
      </c>
      <c r="C136" s="3">
        <v>0</v>
      </c>
      <c r="D136" s="3">
        <v>2151</v>
      </c>
    </row>
    <row r="137" spans="1:5">
      <c r="A137" s="8" t="s">
        <v>22</v>
      </c>
      <c r="B137" s="2">
        <f t="shared" si="6"/>
        <v>1078</v>
      </c>
      <c r="C137" s="3">
        <v>628</v>
      </c>
      <c r="D137" s="3">
        <v>450</v>
      </c>
    </row>
    <row r="138" spans="1:5">
      <c r="A138" s="8" t="s">
        <v>6</v>
      </c>
      <c r="B138" s="2">
        <f t="shared" si="6"/>
        <v>1038</v>
      </c>
      <c r="C138" s="3">
        <v>735</v>
      </c>
      <c r="D138" s="3">
        <v>303</v>
      </c>
    </row>
    <row r="139" spans="1:5">
      <c r="A139" s="8" t="s">
        <v>19</v>
      </c>
      <c r="B139" s="2">
        <f t="shared" si="6"/>
        <v>874</v>
      </c>
      <c r="C139" s="3">
        <v>545</v>
      </c>
      <c r="D139" s="3">
        <v>329</v>
      </c>
    </row>
    <row r="140" spans="1:5">
      <c r="A140" s="13" t="s">
        <v>11</v>
      </c>
      <c r="B140" s="14">
        <f t="shared" si="6"/>
        <v>0</v>
      </c>
      <c r="C140" s="15">
        <v>0</v>
      </c>
      <c r="D140" s="15">
        <v>0</v>
      </c>
    </row>
    <row r="141" spans="1:5" hidden="1">
      <c r="A141" s="13" t="s">
        <v>12</v>
      </c>
      <c r="B141" s="14">
        <f t="shared" si="6"/>
        <v>495</v>
      </c>
      <c r="C141" s="15">
        <v>308</v>
      </c>
      <c r="D141" s="15">
        <v>187</v>
      </c>
      <c r="E141" s="12" t="s">
        <v>43</v>
      </c>
    </row>
    <row r="142" spans="1:5">
      <c r="A142" s="13" t="s">
        <v>10</v>
      </c>
      <c r="B142" s="14">
        <f t="shared" si="6"/>
        <v>248</v>
      </c>
      <c r="C142" s="15">
        <v>190</v>
      </c>
      <c r="D142" s="15">
        <v>58</v>
      </c>
    </row>
    <row r="143" spans="1:5">
      <c r="A143" s="13" t="s">
        <v>25</v>
      </c>
      <c r="B143" s="14">
        <f t="shared" si="6"/>
        <v>228</v>
      </c>
      <c r="C143" s="15">
        <v>46</v>
      </c>
      <c r="D143" s="15">
        <v>182</v>
      </c>
    </row>
    <row r="144" spans="1:5">
      <c r="A144" s="13" t="s">
        <v>30</v>
      </c>
      <c r="B144" s="14">
        <f t="shared" si="6"/>
        <v>213</v>
      </c>
      <c r="C144" s="15">
        <v>116</v>
      </c>
      <c r="D144" s="15">
        <v>97</v>
      </c>
    </row>
    <row r="145" spans="1:5">
      <c r="A145" s="13" t="s">
        <v>13</v>
      </c>
      <c r="B145" s="14">
        <f t="shared" si="6"/>
        <v>143</v>
      </c>
      <c r="C145" s="15">
        <v>67</v>
      </c>
      <c r="D145" s="15">
        <v>76</v>
      </c>
    </row>
    <row r="146" spans="1:5">
      <c r="A146" s="13" t="s">
        <v>24</v>
      </c>
      <c r="B146" s="14">
        <f t="shared" si="6"/>
        <v>197</v>
      </c>
      <c r="C146" s="15">
        <v>103</v>
      </c>
      <c r="D146" s="15">
        <v>94</v>
      </c>
    </row>
    <row r="147" spans="1:5">
      <c r="A147" s="13" t="s">
        <v>9</v>
      </c>
      <c r="B147" s="14">
        <f t="shared" si="6"/>
        <v>65</v>
      </c>
      <c r="C147" s="15">
        <v>36</v>
      </c>
      <c r="D147" s="15">
        <v>29</v>
      </c>
    </row>
    <row r="148" spans="1:5">
      <c r="A148" s="13" t="s">
        <v>14</v>
      </c>
      <c r="B148" s="14">
        <f t="shared" si="6"/>
        <v>30</v>
      </c>
      <c r="C148" s="15">
        <v>24</v>
      </c>
      <c r="D148" s="15">
        <v>6</v>
      </c>
    </row>
    <row r="149" spans="1:5">
      <c r="A149" s="13" t="s">
        <v>7</v>
      </c>
      <c r="B149" s="14">
        <f t="shared" si="6"/>
        <v>63</v>
      </c>
      <c r="C149" s="15">
        <v>31</v>
      </c>
      <c r="D149" s="15">
        <v>32</v>
      </c>
    </row>
    <row r="150" spans="1:5">
      <c r="A150" s="13" t="s">
        <v>8</v>
      </c>
      <c r="B150" s="14">
        <f t="shared" si="6"/>
        <v>43</v>
      </c>
      <c r="C150" s="15">
        <v>33</v>
      </c>
      <c r="D150" s="15">
        <v>10</v>
      </c>
      <c r="E150" s="12"/>
    </row>
    <row r="151" spans="1:5">
      <c r="A151" s="13" t="s">
        <v>20</v>
      </c>
      <c r="B151" s="14">
        <f t="shared" si="6"/>
        <v>4</v>
      </c>
      <c r="C151" s="15">
        <v>3</v>
      </c>
      <c r="D151" s="15">
        <v>1</v>
      </c>
    </row>
    <row r="152" spans="1:5">
      <c r="A152" s="13" t="s">
        <v>26</v>
      </c>
      <c r="B152" s="14">
        <f t="shared" si="6"/>
        <v>922</v>
      </c>
      <c r="C152" s="15">
        <v>385</v>
      </c>
      <c r="D152" s="15">
        <v>537</v>
      </c>
    </row>
    <row r="153" spans="1:5">
      <c r="A153" s="13" t="s">
        <v>34</v>
      </c>
      <c r="B153" s="14">
        <f t="shared" si="6"/>
        <v>10</v>
      </c>
      <c r="C153" s="15">
        <v>8</v>
      </c>
      <c r="D153" s="15">
        <v>2</v>
      </c>
    </row>
    <row r="154" spans="1:5">
      <c r="A154" s="19" t="s">
        <v>16</v>
      </c>
      <c r="B154" s="20">
        <f t="shared" si="6"/>
        <v>88</v>
      </c>
      <c r="C154" s="21">
        <v>35</v>
      </c>
      <c r="D154" s="21">
        <v>53</v>
      </c>
    </row>
    <row r="155" spans="1:5">
      <c r="A155" s="4" t="s">
        <v>5</v>
      </c>
      <c r="D155" s="11" t="s">
        <v>4</v>
      </c>
    </row>
    <row r="156" spans="1:5">
      <c r="A156" s="24" t="s">
        <v>48</v>
      </c>
    </row>
    <row r="159" spans="1:5">
      <c r="A159" s="23" t="s">
        <v>45</v>
      </c>
      <c r="B159" s="23"/>
      <c r="C159" s="23"/>
      <c r="D159" s="23"/>
    </row>
    <row r="161" spans="1:5">
      <c r="A161" s="6" t="s">
        <v>17</v>
      </c>
      <c r="B161" s="7" t="s">
        <v>0</v>
      </c>
      <c r="C161" s="7" t="s">
        <v>1</v>
      </c>
      <c r="D161" s="7" t="s">
        <v>2</v>
      </c>
    </row>
    <row r="162" spans="1:5">
      <c r="A162" s="9" t="s">
        <v>3</v>
      </c>
      <c r="B162" s="10">
        <f>SUM(B163:B184)</f>
        <v>11626</v>
      </c>
      <c r="C162" s="10">
        <f>SUM(C163:C184)</f>
        <v>5472</v>
      </c>
      <c r="D162" s="10">
        <f>SUM(D163:D184)</f>
        <v>6154</v>
      </c>
    </row>
    <row r="163" spans="1:5">
      <c r="A163" s="8" t="s">
        <v>18</v>
      </c>
      <c r="B163" s="2">
        <f t="shared" ref="B163:B184" si="7">SUM(C163:D163)</f>
        <v>2504</v>
      </c>
      <c r="C163" s="3">
        <v>1325</v>
      </c>
      <c r="D163" s="3">
        <v>1179</v>
      </c>
      <c r="E163" s="5"/>
    </row>
    <row r="164" spans="1:5">
      <c r="A164" s="8" t="s">
        <v>23</v>
      </c>
      <c r="B164" s="2">
        <f t="shared" si="7"/>
        <v>2051</v>
      </c>
      <c r="C164" s="3">
        <v>1094</v>
      </c>
      <c r="D164" s="3">
        <v>957</v>
      </c>
    </row>
    <row r="165" spans="1:5">
      <c r="A165" s="8" t="s">
        <v>21</v>
      </c>
      <c r="B165" s="2">
        <f t="shared" si="7"/>
        <v>2013</v>
      </c>
      <c r="C165" s="3">
        <v>6</v>
      </c>
      <c r="D165" s="3">
        <v>2007</v>
      </c>
    </row>
    <row r="166" spans="1:5">
      <c r="A166" s="8" t="s">
        <v>22</v>
      </c>
      <c r="B166" s="2">
        <f t="shared" si="7"/>
        <v>1025</v>
      </c>
      <c r="C166" s="3">
        <v>668</v>
      </c>
      <c r="D166" s="3">
        <v>357</v>
      </c>
    </row>
    <row r="167" spans="1:5">
      <c r="A167" s="8" t="s">
        <v>6</v>
      </c>
      <c r="B167" s="2">
        <f t="shared" si="7"/>
        <v>865</v>
      </c>
      <c r="C167" s="3">
        <v>598</v>
      </c>
      <c r="D167" s="3">
        <v>267</v>
      </c>
    </row>
    <row r="168" spans="1:5">
      <c r="A168" s="8" t="s">
        <v>19</v>
      </c>
      <c r="B168" s="2">
        <f t="shared" si="7"/>
        <v>715</v>
      </c>
      <c r="C168" s="3">
        <v>459</v>
      </c>
      <c r="D168" s="3">
        <v>256</v>
      </c>
    </row>
    <row r="169" spans="1:5">
      <c r="A169" s="8" t="s">
        <v>11</v>
      </c>
      <c r="B169" s="2">
        <f t="shared" si="7"/>
        <v>597</v>
      </c>
      <c r="C169" s="3">
        <v>254</v>
      </c>
      <c r="D169" s="3">
        <v>343</v>
      </c>
    </row>
    <row r="170" spans="1:5">
      <c r="A170" s="8" t="s">
        <v>12</v>
      </c>
      <c r="B170" s="2">
        <f t="shared" si="7"/>
        <v>494</v>
      </c>
      <c r="C170" s="3">
        <v>316</v>
      </c>
      <c r="D170" s="3">
        <v>178</v>
      </c>
    </row>
    <row r="171" spans="1:5">
      <c r="A171" s="8" t="s">
        <v>10</v>
      </c>
      <c r="B171" s="2">
        <f t="shared" si="7"/>
        <v>318</v>
      </c>
      <c r="C171" s="3">
        <v>236</v>
      </c>
      <c r="D171" s="3">
        <v>82</v>
      </c>
    </row>
    <row r="172" spans="1:5">
      <c r="A172" s="8" t="s">
        <v>25</v>
      </c>
      <c r="B172" s="2">
        <f t="shared" si="7"/>
        <v>304</v>
      </c>
      <c r="C172" s="3">
        <v>111</v>
      </c>
      <c r="D172" s="3">
        <v>193</v>
      </c>
    </row>
    <row r="173" spans="1:5">
      <c r="A173" s="8" t="s">
        <v>30</v>
      </c>
      <c r="B173" s="2">
        <f t="shared" si="7"/>
        <v>211</v>
      </c>
      <c r="C173" s="3">
        <v>100</v>
      </c>
      <c r="D173" s="3">
        <v>111</v>
      </c>
    </row>
    <row r="174" spans="1:5">
      <c r="A174" s="8" t="s">
        <v>13</v>
      </c>
      <c r="B174" s="2">
        <f t="shared" si="7"/>
        <v>140</v>
      </c>
      <c r="C174" s="3">
        <v>62</v>
      </c>
      <c r="D174" s="3">
        <v>78</v>
      </c>
    </row>
    <row r="175" spans="1:5">
      <c r="A175" s="8" t="s">
        <v>24</v>
      </c>
      <c r="B175" s="2">
        <f t="shared" si="7"/>
        <v>99</v>
      </c>
      <c r="C175" s="3">
        <v>57</v>
      </c>
      <c r="D175" s="3">
        <v>42</v>
      </c>
    </row>
    <row r="176" spans="1:5">
      <c r="A176" s="8" t="s">
        <v>9</v>
      </c>
      <c r="B176" s="2">
        <f t="shared" si="7"/>
        <v>77</v>
      </c>
      <c r="C176" s="3">
        <v>37</v>
      </c>
      <c r="D176" s="3">
        <v>40</v>
      </c>
    </row>
    <row r="177" spans="1:4">
      <c r="A177" s="8" t="s">
        <v>14</v>
      </c>
      <c r="B177" s="2">
        <f t="shared" si="7"/>
        <v>67</v>
      </c>
      <c r="C177" s="3">
        <v>51</v>
      </c>
      <c r="D177" s="3">
        <v>16</v>
      </c>
    </row>
    <row r="178" spans="1:4">
      <c r="A178" s="8" t="s">
        <v>7</v>
      </c>
      <c r="B178" s="2">
        <f t="shared" si="7"/>
        <v>56</v>
      </c>
      <c r="C178" s="3">
        <v>34</v>
      </c>
      <c r="D178" s="3">
        <v>22</v>
      </c>
    </row>
    <row r="179" spans="1:4">
      <c r="A179" s="8" t="s">
        <v>44</v>
      </c>
      <c r="B179" s="2">
        <f t="shared" si="7"/>
        <v>42</v>
      </c>
      <c r="C179" s="3">
        <v>31</v>
      </c>
      <c r="D179" s="3">
        <v>11</v>
      </c>
    </row>
    <row r="180" spans="1:4">
      <c r="A180" s="8" t="s">
        <v>8</v>
      </c>
      <c r="B180" s="2">
        <f t="shared" si="7"/>
        <v>33</v>
      </c>
      <c r="C180" s="3">
        <v>26</v>
      </c>
      <c r="D180" s="3">
        <v>7</v>
      </c>
    </row>
    <row r="181" spans="1:4">
      <c r="A181" s="8" t="s">
        <v>20</v>
      </c>
      <c r="B181" s="2">
        <f t="shared" si="7"/>
        <v>6</v>
      </c>
      <c r="C181" s="3">
        <v>2</v>
      </c>
      <c r="D181" s="3">
        <v>4</v>
      </c>
    </row>
    <row r="182" spans="1:4">
      <c r="A182" s="8" t="s">
        <v>26</v>
      </c>
      <c r="B182" s="2">
        <f t="shared" si="7"/>
        <v>6</v>
      </c>
      <c r="C182" s="3">
        <v>3</v>
      </c>
      <c r="D182" s="3">
        <v>3</v>
      </c>
    </row>
    <row r="183" spans="1:4">
      <c r="A183" s="8" t="s">
        <v>40</v>
      </c>
      <c r="B183" s="2">
        <f t="shared" si="7"/>
        <v>2</v>
      </c>
      <c r="C183" s="3">
        <v>2</v>
      </c>
      <c r="D183" s="3">
        <v>0</v>
      </c>
    </row>
    <row r="184" spans="1:4">
      <c r="A184" s="16" t="s">
        <v>34</v>
      </c>
      <c r="B184" s="17">
        <f t="shared" si="7"/>
        <v>1</v>
      </c>
      <c r="C184" s="18">
        <v>0</v>
      </c>
      <c r="D184" s="18">
        <v>1</v>
      </c>
    </row>
    <row r="185" spans="1:4">
      <c r="A185" s="4" t="s">
        <v>5</v>
      </c>
      <c r="D185" s="11" t="s">
        <v>4</v>
      </c>
    </row>
    <row r="188" spans="1:4">
      <c r="A188" s="23" t="s">
        <v>46</v>
      </c>
      <c r="B188" s="23"/>
      <c r="C188" s="23"/>
      <c r="D188" s="23"/>
    </row>
    <row r="190" spans="1:4">
      <c r="A190" s="6" t="s">
        <v>17</v>
      </c>
      <c r="B190" s="7" t="s">
        <v>0</v>
      </c>
      <c r="C190" s="7" t="s">
        <v>1</v>
      </c>
      <c r="D190" s="7" t="s">
        <v>2</v>
      </c>
    </row>
    <row r="191" spans="1:4">
      <c r="A191" s="9" t="s">
        <v>3</v>
      </c>
      <c r="B191" s="10">
        <f>SUM(B192:B213)</f>
        <v>15771</v>
      </c>
      <c r="C191" s="10">
        <f>SUM(C192:C213)</f>
        <v>7150</v>
      </c>
      <c r="D191" s="10">
        <f>SUM(D192:D213)</f>
        <v>8621</v>
      </c>
    </row>
    <row r="192" spans="1:4">
      <c r="A192" s="8" t="s">
        <v>23</v>
      </c>
      <c r="B192" s="2">
        <f t="shared" ref="B192:B213" si="8">SUM(C192:D192)</f>
        <v>4119</v>
      </c>
      <c r="C192" s="3">
        <v>2173</v>
      </c>
      <c r="D192" s="3">
        <v>1946</v>
      </c>
    </row>
    <row r="193" spans="1:4">
      <c r="A193" s="8" t="s">
        <v>21</v>
      </c>
      <c r="B193" s="2">
        <f t="shared" si="8"/>
        <v>3330</v>
      </c>
      <c r="C193" s="3">
        <v>2</v>
      </c>
      <c r="D193" s="3">
        <v>3328</v>
      </c>
    </row>
    <row r="194" spans="1:4">
      <c r="A194" s="8" t="s">
        <v>22</v>
      </c>
      <c r="B194" s="2">
        <f t="shared" si="8"/>
        <v>1879</v>
      </c>
      <c r="C194" s="3">
        <v>1312</v>
      </c>
      <c r="D194" s="3">
        <v>567</v>
      </c>
    </row>
    <row r="195" spans="1:4">
      <c r="A195" s="8" t="s">
        <v>18</v>
      </c>
      <c r="B195" s="2">
        <f t="shared" si="8"/>
        <v>1805</v>
      </c>
      <c r="C195" s="3">
        <v>991</v>
      </c>
      <c r="D195" s="3">
        <v>814</v>
      </c>
    </row>
    <row r="196" spans="1:4">
      <c r="A196" s="8" t="s">
        <v>19</v>
      </c>
      <c r="B196" s="2">
        <f t="shared" si="8"/>
        <v>1073</v>
      </c>
      <c r="C196" s="3">
        <v>658</v>
      </c>
      <c r="D196" s="3">
        <v>415</v>
      </c>
    </row>
    <row r="197" spans="1:4">
      <c r="A197" s="8" t="s">
        <v>11</v>
      </c>
      <c r="B197" s="2">
        <f t="shared" si="8"/>
        <v>906</v>
      </c>
      <c r="C197" s="3">
        <v>394</v>
      </c>
      <c r="D197" s="3">
        <v>512</v>
      </c>
    </row>
    <row r="198" spans="1:4">
      <c r="A198" s="8" t="s">
        <v>6</v>
      </c>
      <c r="B198" s="2">
        <f t="shared" si="8"/>
        <v>718</v>
      </c>
      <c r="C198" s="3">
        <v>538</v>
      </c>
      <c r="D198" s="3">
        <v>180</v>
      </c>
    </row>
    <row r="199" spans="1:4">
      <c r="A199" s="8" t="s">
        <v>12</v>
      </c>
      <c r="B199" s="2">
        <f t="shared" si="8"/>
        <v>406</v>
      </c>
      <c r="C199" s="3">
        <v>254</v>
      </c>
      <c r="D199" s="3">
        <v>152</v>
      </c>
    </row>
    <row r="200" spans="1:4">
      <c r="A200" s="8" t="s">
        <v>24</v>
      </c>
      <c r="B200" s="2">
        <f t="shared" si="8"/>
        <v>281</v>
      </c>
      <c r="C200" s="3">
        <v>133</v>
      </c>
      <c r="D200" s="3">
        <v>148</v>
      </c>
    </row>
    <row r="201" spans="1:4">
      <c r="A201" s="8" t="s">
        <v>10</v>
      </c>
      <c r="B201" s="2">
        <f t="shared" si="8"/>
        <v>280</v>
      </c>
      <c r="C201" s="3">
        <v>194</v>
      </c>
      <c r="D201" s="3">
        <v>86</v>
      </c>
    </row>
    <row r="202" spans="1:4">
      <c r="A202" s="8" t="s">
        <v>25</v>
      </c>
      <c r="B202" s="2">
        <f t="shared" si="8"/>
        <v>265</v>
      </c>
      <c r="C202" s="3">
        <v>94</v>
      </c>
      <c r="D202" s="3">
        <v>171</v>
      </c>
    </row>
    <row r="203" spans="1:4">
      <c r="A203" s="8" t="s">
        <v>30</v>
      </c>
      <c r="B203" s="2">
        <f t="shared" si="8"/>
        <v>252</v>
      </c>
      <c r="C203" s="3">
        <v>136</v>
      </c>
      <c r="D203" s="3">
        <v>116</v>
      </c>
    </row>
    <row r="204" spans="1:4">
      <c r="A204" s="8" t="s">
        <v>13</v>
      </c>
      <c r="B204" s="2">
        <f t="shared" si="8"/>
        <v>181</v>
      </c>
      <c r="C204" s="3">
        <v>90</v>
      </c>
      <c r="D204" s="3">
        <v>91</v>
      </c>
    </row>
    <row r="205" spans="1:4">
      <c r="A205" s="8" t="s">
        <v>8</v>
      </c>
      <c r="B205" s="2">
        <f t="shared" si="8"/>
        <v>64</v>
      </c>
      <c r="C205" s="3">
        <v>36</v>
      </c>
      <c r="D205" s="3">
        <v>28</v>
      </c>
    </row>
    <row r="206" spans="1:4">
      <c r="A206" s="8" t="s">
        <v>44</v>
      </c>
      <c r="B206" s="2">
        <f t="shared" si="8"/>
        <v>60</v>
      </c>
      <c r="C206" s="3">
        <v>49</v>
      </c>
      <c r="D206" s="3">
        <v>11</v>
      </c>
    </row>
    <row r="207" spans="1:4">
      <c r="A207" s="8" t="s">
        <v>14</v>
      </c>
      <c r="B207" s="2">
        <f t="shared" si="8"/>
        <v>57</v>
      </c>
      <c r="C207" s="3">
        <v>37</v>
      </c>
      <c r="D207" s="3">
        <v>20</v>
      </c>
    </row>
    <row r="208" spans="1:4">
      <c r="A208" s="8" t="s">
        <v>7</v>
      </c>
      <c r="B208" s="2">
        <f t="shared" si="8"/>
        <v>52</v>
      </c>
      <c r="C208" s="3">
        <v>37</v>
      </c>
      <c r="D208" s="3">
        <v>15</v>
      </c>
    </row>
    <row r="209" spans="1:4">
      <c r="A209" s="8" t="s">
        <v>20</v>
      </c>
      <c r="B209" s="2">
        <f t="shared" si="8"/>
        <v>20</v>
      </c>
      <c r="C209" s="3">
        <v>11</v>
      </c>
      <c r="D209" s="3">
        <v>9</v>
      </c>
    </row>
    <row r="210" spans="1:4">
      <c r="A210" s="8" t="s">
        <v>16</v>
      </c>
      <c r="B210" s="2">
        <f t="shared" si="8"/>
        <v>10</v>
      </c>
      <c r="C210" s="3">
        <v>3</v>
      </c>
      <c r="D210" s="3">
        <v>7</v>
      </c>
    </row>
    <row r="211" spans="1:4">
      <c r="A211" s="8" t="s">
        <v>9</v>
      </c>
      <c r="B211" s="2">
        <f t="shared" si="8"/>
        <v>9</v>
      </c>
      <c r="C211" s="3">
        <v>5</v>
      </c>
      <c r="D211" s="3">
        <v>4</v>
      </c>
    </row>
    <row r="212" spans="1:4">
      <c r="A212" s="8" t="s">
        <v>26</v>
      </c>
      <c r="B212" s="2">
        <f t="shared" si="8"/>
        <v>3</v>
      </c>
      <c r="C212" s="3">
        <v>2</v>
      </c>
      <c r="D212" s="3">
        <v>1</v>
      </c>
    </row>
    <row r="213" spans="1:4">
      <c r="A213" s="16" t="s">
        <v>47</v>
      </c>
      <c r="B213" s="17">
        <f t="shared" si="8"/>
        <v>1</v>
      </c>
      <c r="C213" s="18">
        <v>1</v>
      </c>
      <c r="D213" s="18">
        <v>0</v>
      </c>
    </row>
    <row r="214" spans="1:4">
      <c r="A214" s="4" t="s">
        <v>5</v>
      </c>
      <c r="D214" s="11" t="s">
        <v>4</v>
      </c>
    </row>
  </sheetData>
  <mergeCells count="7">
    <mergeCell ref="A188:D188"/>
    <mergeCell ref="A2:D2"/>
    <mergeCell ref="A37:D37"/>
    <mergeCell ref="A72:D72"/>
    <mergeCell ref="A102:D102"/>
    <mergeCell ref="A130:D130"/>
    <mergeCell ref="A159:D159"/>
  </mergeCells>
  <pageMargins left="0.7" right="0.7" top="0.75" bottom="0.75" header="0.3" footer="0.3"/>
  <pageSetup scale="82" orientation="portrait" r:id="rId1"/>
  <rowBreaks count="4" manualBreakCount="4">
    <brk id="35" max="4" man="1"/>
    <brk id="70" max="4" man="1"/>
    <brk id="101" max="4" man="1"/>
    <brk id="157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6.10</vt:lpstr>
      <vt:lpstr>'6.10'!Print_Area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2026-05-05T05:38:54Z</cp:lastPrinted>
  <dcterms:created xsi:type="dcterms:W3CDTF">2019-08-06T05:35:20Z</dcterms:created>
  <dcterms:modified xsi:type="dcterms:W3CDTF">2026-05-05T05:39:07Z</dcterms:modified>
</cp:coreProperties>
</file>