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ileserver\ST4\Dissemination\Publications\Statistical Year Book\YEARBOOK 2026\Final\6.Health\"/>
    </mc:Choice>
  </mc:AlternateContent>
  <xr:revisionPtr revIDLastSave="0" documentId="13_ncr:1_{F6BB9E45-2AAC-45F8-A543-D695206735F4}" xr6:coauthVersionLast="47" xr6:coauthVersionMax="47" xr10:uidLastSave="{00000000-0000-0000-0000-000000000000}"/>
  <bookViews>
    <workbookView xWindow="-120" yWindow="-120" windowWidth="29040" windowHeight="15720" tabRatio="885" xr2:uid="{00000000-000D-0000-FFFF-FFFF00000000}"/>
  </bookViews>
  <sheets>
    <sheet name="6.1" sheetId="28" r:id="rId1"/>
  </sheets>
  <externalReferences>
    <externalReference r:id="rId2"/>
  </externalReferences>
  <definedNames>
    <definedName name="_xlnm.Print_Area" localSheetId="0">'6.1'!$A$1:$O$38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 i="28" l="1"/>
  <c r="E31" i="28"/>
  <c r="D31" i="28"/>
  <c r="C31" i="28"/>
  <c r="H30" i="28"/>
  <c r="E30" i="28"/>
  <c r="D30" i="28"/>
  <c r="C30" i="28"/>
  <c r="H29" i="28"/>
  <c r="E29" i="28"/>
  <c r="D29" i="28"/>
  <c r="C29" i="28"/>
  <c r="H28" i="28"/>
  <c r="E28" i="28"/>
  <c r="B28" i="28" s="1"/>
  <c r="D28" i="28"/>
  <c r="C28" i="28"/>
  <c r="J27" i="28"/>
  <c r="I27" i="28"/>
  <c r="H27" i="28" s="1"/>
  <c r="G27" i="28"/>
  <c r="F27" i="28"/>
  <c r="C27" i="28" s="1"/>
  <c r="D27" i="28"/>
  <c r="J7" i="28"/>
  <c r="I7" i="28"/>
  <c r="G7" i="28"/>
  <c r="F7" i="28"/>
  <c r="B31" i="28" l="1"/>
  <c r="E27" i="28"/>
  <c r="B27" i="28" s="1"/>
  <c r="B29" i="28"/>
  <c r="B30" i="28"/>
  <c r="H9" i="28" l="1"/>
  <c r="D9" i="28"/>
  <c r="C9" i="28"/>
  <c r="H8" i="28"/>
  <c r="C8" i="28"/>
  <c r="D8" i="28"/>
  <c r="E8" i="28"/>
  <c r="D11" i="28"/>
  <c r="E10" i="28"/>
  <c r="D10" i="28"/>
  <c r="E11" i="28"/>
  <c r="E9" i="28"/>
  <c r="B9" i="28" l="1"/>
  <c r="B8" i="28"/>
  <c r="D7" i="28"/>
  <c r="C10" i="28"/>
  <c r="H10" i="28"/>
  <c r="B10" i="28" s="1"/>
  <c r="E7" i="28"/>
  <c r="C7" i="28" l="1"/>
  <c r="H7" i="28"/>
  <c r="B7" i="28" s="1"/>
  <c r="H11" i="28"/>
  <c r="B11" i="28" s="1"/>
  <c r="C11" i="28"/>
</calcChain>
</file>

<file path=xl/sharedStrings.xml><?xml version="1.0" encoding="utf-8"?>
<sst xmlns="http://schemas.openxmlformats.org/spreadsheetml/2006/main" count="58" uniqueCount="25">
  <si>
    <t>elWm</t>
  </si>
  <si>
    <t>cawtuLotwa</t>
  </si>
  <si>
    <t>Republic</t>
  </si>
  <si>
    <t>Male'</t>
  </si>
  <si>
    <t>Both sexes</t>
  </si>
  <si>
    <t>Male</t>
  </si>
  <si>
    <t>Female</t>
  </si>
  <si>
    <t>Total</t>
  </si>
  <si>
    <t>Categories of Health Personnel</t>
  </si>
  <si>
    <t xml:space="preserve"> ejcaWr</t>
  </si>
  <si>
    <t xml:space="preserve">Atolls </t>
  </si>
  <si>
    <t>Allied Health Professionals</t>
  </si>
  <si>
    <t>Note:</t>
  </si>
  <si>
    <t>Source: Ministry of Health</t>
  </si>
  <si>
    <t>Nurse</t>
  </si>
  <si>
    <t>Managerial, admin and support staff</t>
  </si>
  <si>
    <t>*The data in this tabulation are tentative and are subjected to changes. Final data will be published within six months of this provisional release.</t>
  </si>
  <si>
    <t>ތާވަލު 6.1: ޞިއްޙީ ދާއިރާގައި މަސައްކަތްކުރާ މީހުންގެ އަދަދު، 2023</t>
  </si>
  <si>
    <t>“Allied health professionals” refers to, health professions defined under the Section 45 of this Act with the exception of medical and dental practitioners, nurses and midwives.
"To practice in the Maldives as a an allied health professional, the practitioner shall, in accordance with this Act and Regulations made hereunder, register at Maldives Allied Health Council and shall practice under the license issued by the Council and in accordance with the conditions set forth in the license"</t>
  </si>
  <si>
    <t>“Medical practitioners” refers to those educated in the field of Medicine, and are registered as medical practitioners at the Maldives Medical and Dental Council established under the Section 29 of this Act.</t>
  </si>
  <si>
    <t>“Dental practitioners” refers to those educated in the field of Dentistry and are registered as dental practitioners at the Maldives Medical and Dental Council established under the Section 29 of this Act</t>
  </si>
  <si>
    <r>
      <t xml:space="preserve">Medical and dental professionals </t>
    </r>
    <r>
      <rPr>
        <i/>
        <sz val="10"/>
        <color rgb="FF000000"/>
        <rFont val="Calibri"/>
        <family val="2"/>
      </rPr>
      <t>(Dentists, General Doctors, Medical specialists)</t>
    </r>
  </si>
  <si>
    <t>Table 6.1 :  DISTRIBUTION OF MEDICAL STAFF IN MALE' AND ATOLLS - 2022</t>
  </si>
  <si>
    <t>ތާވަލު 6.1: ޞިއްޙީ ދާއިރާގައި މަސައްކަތްކުރާ މީހުންގެ އަދަދު، 2022</t>
  </si>
  <si>
    <t>Table 6.1:  DISTRIBUTION OF MEDICAL STAFF IN MALE' AND ATOLLS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</si>
</sst>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General_)"/>
  </numFmts>
  <fonts count="26">
    <font>
      <sz val="11"/>
      <color theme="1"/>
      <name val="Calibri"/>
      <family val="2"/>
      <scheme val="minor"/>
    </font>
    <font>
      <sz val="11"/>
      <color theme="1"/>
      <name val="Calibri"/>
      <family val="2"/>
      <scheme val="minor"/>
    </font>
    <font>
      <b/>
      <sz val="10"/>
      <name val="Arial"/>
      <family val="2"/>
    </font>
    <font>
      <sz val="10"/>
      <name val="Arial"/>
      <family val="2"/>
    </font>
    <font>
      <sz val="10"/>
      <name val="Courier"/>
      <family val="3"/>
    </font>
    <font>
      <sz val="10"/>
      <name val="MS Sans Serif"/>
      <family val="2"/>
    </font>
    <font>
      <sz val="11"/>
      <color indexed="8"/>
      <name val="Calibri"/>
      <family val="2"/>
    </font>
    <font>
      <i/>
      <sz val="10"/>
      <name val="Calibri"/>
      <family val="2"/>
    </font>
    <font>
      <b/>
      <sz val="12"/>
      <color indexed="8"/>
      <name val="Faruma"/>
    </font>
    <font>
      <sz val="11"/>
      <color indexed="8"/>
      <name val="Calibri"/>
      <charset val="134"/>
    </font>
    <font>
      <b/>
      <sz val="11"/>
      <color indexed="8"/>
      <name val="Calibri"/>
      <charset val="134"/>
    </font>
    <font>
      <sz val="10"/>
      <color indexed="8"/>
      <name val="Calibri"/>
      <charset val="134"/>
    </font>
    <font>
      <b/>
      <sz val="12"/>
      <color indexed="8"/>
      <name val="Faruma"/>
      <charset val="134"/>
    </font>
    <font>
      <b/>
      <sz val="10"/>
      <name val="Arial"/>
      <charset val="134"/>
    </font>
    <font>
      <b/>
      <sz val="11"/>
      <name val="Calibri"/>
      <charset val="134"/>
    </font>
    <font>
      <b/>
      <sz val="10"/>
      <name val="A_Faseyha"/>
      <charset val="134"/>
    </font>
    <font>
      <b/>
      <sz val="10"/>
      <name val="A_Randhoo"/>
      <charset val="134"/>
    </font>
    <font>
      <b/>
      <sz val="9"/>
      <name val="Arial"/>
      <charset val="134"/>
    </font>
    <font>
      <b/>
      <sz val="10"/>
      <name val="Calibri"/>
      <charset val="134"/>
    </font>
    <font>
      <sz val="10"/>
      <name val="Calibri"/>
      <charset val="134"/>
    </font>
    <font>
      <b/>
      <i/>
      <sz val="10"/>
      <color indexed="8"/>
      <name val="Calibri"/>
      <charset val="134"/>
    </font>
    <font>
      <i/>
      <sz val="10"/>
      <name val="Calibri"/>
      <charset val="134"/>
    </font>
    <font>
      <i/>
      <sz val="10"/>
      <color indexed="8"/>
      <name val="Calibri"/>
      <family val="2"/>
    </font>
    <font>
      <i/>
      <sz val="10"/>
      <color rgb="FF000000"/>
      <name val="Calibri"/>
      <family val="2"/>
    </font>
    <font>
      <sz val="10"/>
      <name val="MS Sans Serif"/>
      <charset val="134"/>
    </font>
    <font>
      <sz val="10"/>
      <name val="Courier"/>
      <charset val="134"/>
    </font>
  </fonts>
  <fills count="3">
    <fill>
      <patternFill patternType="none"/>
    </fill>
    <fill>
      <patternFill patternType="gray125"/>
    </fill>
    <fill>
      <patternFill patternType="solid">
        <fgColor theme="0"/>
        <bgColor indexed="64"/>
      </patternFill>
    </fill>
  </fills>
  <borders count="25">
    <border>
      <left/>
      <right/>
      <top/>
      <bottom/>
      <diagonal/>
    </border>
    <border>
      <left style="hair">
        <color indexed="64"/>
      </left>
      <right/>
      <top/>
      <bottom style="thin">
        <color indexed="64"/>
      </bottom>
      <diagonal/>
    </border>
    <border>
      <left style="hair">
        <color indexed="64"/>
      </left>
      <right/>
      <top/>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top style="thin">
        <color rgb="FFFFFFFF"/>
      </top>
      <bottom/>
      <diagonal/>
    </border>
    <border>
      <left/>
      <right/>
      <top/>
      <bottom style="thin">
        <color rgb="FFFFFFFF"/>
      </bottom>
      <diagonal/>
    </border>
    <border>
      <left style="thin">
        <color rgb="FFFFFFFF"/>
      </left>
      <right/>
      <top style="thin">
        <color rgb="FFFFFFFF"/>
      </top>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diagonal/>
    </border>
    <border>
      <left style="hair">
        <color auto="1"/>
      </left>
      <right/>
      <top style="thin">
        <color auto="1"/>
      </top>
      <bottom/>
      <diagonal/>
    </border>
    <border>
      <left/>
      <right/>
      <top style="hair">
        <color auto="1"/>
      </top>
      <bottom style="thin">
        <color auto="1"/>
      </bottom>
      <diagonal/>
    </border>
    <border>
      <left style="hair">
        <color auto="1"/>
      </left>
      <right/>
      <top style="hair">
        <color auto="1"/>
      </top>
      <bottom style="thin">
        <color auto="1"/>
      </bottom>
      <diagonal/>
    </border>
    <border>
      <left style="hair">
        <color auto="1"/>
      </left>
      <right/>
      <top/>
      <bottom/>
      <diagonal/>
    </border>
    <border>
      <left/>
      <right/>
      <top/>
      <bottom style="thin">
        <color auto="1"/>
      </bottom>
      <diagonal/>
    </border>
    <border>
      <left/>
      <right/>
      <top style="thin">
        <color auto="1"/>
      </top>
      <bottom style="thin">
        <color auto="1"/>
      </bottom>
      <diagonal/>
    </border>
    <border>
      <left style="hair">
        <color auto="1"/>
      </left>
      <right/>
      <top style="thin">
        <color auto="1"/>
      </top>
      <bottom style="thin">
        <color auto="1"/>
      </bottom>
      <diagonal/>
    </border>
    <border>
      <left style="thin">
        <color rgb="FFFFFFFF"/>
      </left>
      <right style="thin">
        <color rgb="FFFFFFFF"/>
      </right>
      <top/>
      <bottom style="thin">
        <color rgb="FFFFFFFF"/>
      </bottom>
      <diagonal/>
    </border>
    <border>
      <left style="hair">
        <color auto="1"/>
      </left>
      <right/>
      <top style="thin">
        <color auto="1"/>
      </top>
      <bottom style="thin">
        <color auto="1"/>
      </bottom>
      <diagonal/>
    </border>
    <border>
      <left style="hair">
        <color auto="1"/>
      </left>
      <right/>
      <top style="thin">
        <color auto="1"/>
      </top>
      <bottom/>
      <diagonal/>
    </border>
    <border>
      <left style="hair">
        <color auto="1"/>
      </left>
      <right/>
      <top style="hair">
        <color auto="1"/>
      </top>
      <bottom style="thin">
        <color auto="1"/>
      </bottom>
      <diagonal/>
    </border>
    <border>
      <left style="hair">
        <color auto="1"/>
      </left>
      <right/>
      <top/>
      <bottom style="thin">
        <color indexed="64"/>
      </bottom>
      <diagonal/>
    </border>
  </borders>
  <cellStyleXfs count="16">
    <xf numFmtId="0" fontId="0" fillId="0" borderId="0"/>
    <xf numFmtId="0" fontId="1" fillId="0" borderId="0"/>
    <xf numFmtId="165" fontId="4" fillId="0" borderId="0"/>
    <xf numFmtId="165" fontId="4" fillId="0" borderId="0"/>
    <xf numFmtId="165" fontId="4" fillId="0" borderId="0"/>
    <xf numFmtId="40" fontId="5" fillId="0" borderId="0" applyFont="0" applyFill="0" applyBorder="0" applyAlignment="0" applyProtection="0"/>
    <xf numFmtId="165" fontId="4" fillId="0" borderId="0"/>
    <xf numFmtId="0" fontId="1" fillId="0" borderId="0"/>
    <xf numFmtId="0" fontId="3" fillId="0" borderId="0"/>
    <xf numFmtId="43" fontId="1" fillId="0" borderId="0" applyFont="0" applyFill="0" applyBorder="0" applyAlignment="0" applyProtection="0"/>
    <xf numFmtId="0" fontId="1" fillId="0" borderId="0"/>
    <xf numFmtId="165" fontId="25" fillId="0" borderId="0"/>
    <xf numFmtId="165" fontId="25" fillId="0" borderId="0"/>
    <xf numFmtId="40" fontId="24" fillId="0" borderId="0" applyFont="0" applyFill="0" applyBorder="0" applyAlignment="0" applyProtection="0"/>
    <xf numFmtId="165" fontId="25" fillId="0" borderId="0"/>
    <xf numFmtId="165" fontId="25" fillId="0" borderId="0"/>
  </cellStyleXfs>
  <cellXfs count="57">
    <xf numFmtId="0" fontId="0" fillId="0" borderId="0" xfId="0"/>
    <xf numFmtId="0" fontId="0" fillId="2" borderId="0" xfId="0" applyFill="1" applyAlignment="1">
      <alignment vertical="center"/>
    </xf>
    <xf numFmtId="0" fontId="0" fillId="2" borderId="0" xfId="0" applyFill="1"/>
    <xf numFmtId="0" fontId="12" fillId="2" borderId="0" xfId="0" applyFont="1" applyFill="1" applyAlignment="1">
      <alignment vertical="center" wrapText="1"/>
    </xf>
    <xf numFmtId="0" fontId="13" fillId="2" borderId="0" xfId="0" applyFont="1" applyFill="1" applyAlignment="1">
      <alignment vertical="center"/>
    </xf>
    <xf numFmtId="0" fontId="16" fillId="2" borderId="0" xfId="0" applyFont="1" applyFill="1" applyAlignment="1">
      <alignment vertical="center"/>
    </xf>
    <xf numFmtId="0" fontId="9" fillId="2" borderId="0" xfId="0" applyFont="1" applyFill="1" applyAlignment="1">
      <alignment vertical="center"/>
    </xf>
    <xf numFmtId="0" fontId="17" fillId="2" borderId="0" xfId="0" applyFont="1" applyFill="1" applyAlignment="1">
      <alignment vertical="center"/>
    </xf>
    <xf numFmtId="0" fontId="18" fillId="2" borderId="0" xfId="0" applyFont="1" applyFill="1" applyAlignment="1">
      <alignment horizontal="center" vertical="center"/>
    </xf>
    <xf numFmtId="0" fontId="14" fillId="2" borderId="11" xfId="0" applyFont="1" applyFill="1" applyBorder="1" applyAlignment="1">
      <alignment horizontal="left" vertical="center" wrapText="1"/>
    </xf>
    <xf numFmtId="3" fontId="18" fillId="2" borderId="0" xfId="0" applyNumberFormat="1" applyFont="1" applyFill="1" applyAlignment="1">
      <alignment horizontal="right" vertical="center"/>
    </xf>
    <xf numFmtId="3" fontId="18" fillId="2" borderId="16" xfId="0" applyNumberFormat="1" applyFont="1" applyFill="1" applyBorder="1" applyAlignment="1">
      <alignment horizontal="right" vertical="center"/>
    </xf>
    <xf numFmtId="3" fontId="18" fillId="2" borderId="2" xfId="0" applyNumberFormat="1" applyFont="1" applyFill="1" applyBorder="1" applyAlignment="1">
      <alignment horizontal="right" vertical="center"/>
    </xf>
    <xf numFmtId="3" fontId="19" fillId="2" borderId="0" xfId="0" applyNumberFormat="1" applyFont="1" applyFill="1" applyAlignment="1">
      <alignment horizontal="right" vertical="center"/>
    </xf>
    <xf numFmtId="0" fontId="10" fillId="2" borderId="0" xfId="0" applyFont="1" applyFill="1" applyAlignment="1">
      <alignment vertical="center"/>
    </xf>
    <xf numFmtId="0" fontId="20" fillId="2" borderId="0" xfId="0" applyFont="1" applyFill="1" applyAlignment="1">
      <alignment horizontal="left" vertical="center"/>
    </xf>
    <xf numFmtId="0" fontId="11" fillId="2" borderId="0" xfId="0" applyFont="1" applyFill="1"/>
    <xf numFmtId="0" fontId="11" fillId="2" borderId="0" xfId="0" applyFont="1" applyFill="1" applyAlignment="1">
      <alignment horizontal="right"/>
    </xf>
    <xf numFmtId="0" fontId="11" fillId="2" borderId="20" xfId="0" applyFont="1" applyFill="1" applyBorder="1" applyAlignment="1">
      <alignment vertical="center"/>
    </xf>
    <xf numFmtId="0" fontId="11" fillId="2" borderId="6" xfId="0" applyFont="1" applyFill="1" applyBorder="1" applyAlignment="1">
      <alignment vertical="center"/>
    </xf>
    <xf numFmtId="0" fontId="11" fillId="2" borderId="0" xfId="0" applyFont="1" applyFill="1" applyAlignment="1">
      <alignment vertical="center"/>
    </xf>
    <xf numFmtId="0" fontId="11" fillId="2" borderId="0" xfId="0" applyFont="1" applyFill="1" applyAlignment="1">
      <alignment horizontal="right" vertical="center"/>
    </xf>
    <xf numFmtId="3" fontId="11" fillId="2" borderId="0" xfId="0" applyNumberFormat="1" applyFont="1" applyFill="1" applyAlignment="1">
      <alignment vertical="center"/>
    </xf>
    <xf numFmtId="0" fontId="11" fillId="2" borderId="4" xfId="0" applyFont="1" applyFill="1" applyBorder="1" applyAlignment="1">
      <alignment vertical="center"/>
    </xf>
    <xf numFmtId="0" fontId="21" fillId="2" borderId="0" xfId="0" applyFont="1" applyFill="1" applyAlignment="1">
      <alignment vertical="center"/>
    </xf>
    <xf numFmtId="164" fontId="11" fillId="2" borderId="0" xfId="0" applyNumberFormat="1" applyFont="1" applyFill="1" applyAlignment="1">
      <alignment vertical="center"/>
    </xf>
    <xf numFmtId="0" fontId="11" fillId="2" borderId="3" xfId="0" applyFont="1" applyFill="1" applyBorder="1" applyAlignment="1">
      <alignment vertical="center"/>
    </xf>
    <xf numFmtId="3" fontId="18" fillId="2" borderId="8" xfId="0" applyNumberFormat="1" applyFont="1" applyFill="1" applyBorder="1" applyAlignment="1">
      <alignment horizontal="right" vertical="center"/>
    </xf>
    <xf numFmtId="3" fontId="19" fillId="2" borderId="8" xfId="0" applyNumberFormat="1" applyFont="1" applyFill="1" applyBorder="1" applyAlignment="1">
      <alignment horizontal="right" vertical="center"/>
    </xf>
    <xf numFmtId="3" fontId="18" fillId="2" borderId="24" xfId="0" applyNumberFormat="1" applyFont="1" applyFill="1" applyBorder="1" applyAlignment="1">
      <alignment horizontal="right" vertical="center"/>
    </xf>
    <xf numFmtId="3" fontId="18" fillId="2" borderId="1" xfId="0" applyNumberFormat="1" applyFont="1" applyFill="1" applyBorder="1" applyAlignment="1">
      <alignment horizontal="right" vertical="center"/>
    </xf>
    <xf numFmtId="0" fontId="9" fillId="2" borderId="0" xfId="0" applyFont="1" applyFill="1" applyAlignment="1">
      <alignment horizontal="left" vertical="center"/>
    </xf>
    <xf numFmtId="0" fontId="9" fillId="2" borderId="8" xfId="0" applyFont="1" applyFill="1" applyBorder="1" applyAlignment="1">
      <alignment horizontal="left" vertical="center"/>
    </xf>
    <xf numFmtId="3" fontId="9" fillId="2" borderId="0" xfId="0" applyNumberFormat="1" applyFont="1" applyFill="1" applyAlignment="1">
      <alignment horizontal="right" vertical="center"/>
    </xf>
    <xf numFmtId="3" fontId="9" fillId="2" borderId="8" xfId="0" applyNumberFormat="1" applyFont="1" applyFill="1" applyBorder="1" applyAlignment="1">
      <alignment horizontal="right" vertical="center"/>
    </xf>
    <xf numFmtId="0" fontId="18" fillId="2" borderId="17" xfId="0" applyFont="1" applyFill="1" applyBorder="1" applyAlignment="1">
      <alignment horizontal="right" vertical="center"/>
    </xf>
    <xf numFmtId="0" fontId="18" fillId="2" borderId="19" xfId="0" applyFont="1" applyFill="1" applyBorder="1" applyAlignment="1">
      <alignment horizontal="right" vertical="center"/>
    </xf>
    <xf numFmtId="0" fontId="18" fillId="2" borderId="18" xfId="0" applyFont="1" applyFill="1" applyBorder="1" applyAlignment="1">
      <alignment horizontal="right" vertical="center"/>
    </xf>
    <xf numFmtId="0" fontId="18" fillId="2" borderId="21" xfId="0" applyFont="1" applyFill="1" applyBorder="1" applyAlignment="1">
      <alignment horizontal="right" vertical="center"/>
    </xf>
    <xf numFmtId="0" fontId="13" fillId="2" borderId="0" xfId="0" applyFont="1" applyFill="1" applyAlignment="1">
      <alignment horizontal="center" vertical="center"/>
    </xf>
    <xf numFmtId="0" fontId="22" fillId="2" borderId="0" xfId="0" applyFont="1" applyFill="1" applyAlignment="1">
      <alignment vertical="center"/>
    </xf>
    <xf numFmtId="0" fontId="6" fillId="2" borderId="0" xfId="0" applyFont="1" applyFill="1" applyAlignment="1">
      <alignment horizontal="left" vertical="center" wrapText="1"/>
    </xf>
    <xf numFmtId="0" fontId="7" fillId="2" borderId="0" xfId="0" applyFont="1" applyFill="1" applyAlignment="1">
      <alignment horizontal="left" vertical="center" wrapText="1"/>
    </xf>
    <xf numFmtId="0" fontId="21" fillId="2" borderId="0" xfId="0" applyFont="1" applyFill="1" applyAlignment="1">
      <alignment horizontal="left" vertical="center" wrapText="1"/>
    </xf>
    <xf numFmtId="0" fontId="8" fillId="2" borderId="7"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2" fillId="2" borderId="0" xfId="0" applyFont="1" applyFill="1" applyAlignment="1">
      <alignment horizontal="center" vertical="center"/>
    </xf>
    <xf numFmtId="0" fontId="13" fillId="2" borderId="0" xfId="0" applyFont="1" applyFill="1" applyAlignment="1">
      <alignment horizontal="center" vertical="center"/>
    </xf>
    <xf numFmtId="0" fontId="14" fillId="2" borderId="9"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22" xfId="0" applyFont="1" applyFill="1" applyBorder="1" applyAlignment="1">
      <alignment horizontal="center" vertical="center"/>
    </xf>
    <xf numFmtId="0" fontId="17" fillId="2" borderId="14" xfId="0" applyFont="1" applyFill="1" applyBorder="1" applyAlignment="1">
      <alignment horizontal="center" vertical="center"/>
    </xf>
    <xf numFmtId="0" fontId="17" fillId="2" borderId="15" xfId="0" applyFont="1" applyFill="1" applyBorder="1" applyAlignment="1">
      <alignment horizontal="center" vertical="center"/>
    </xf>
    <xf numFmtId="0" fontId="17" fillId="2" borderId="23" xfId="0" applyFont="1" applyFill="1" applyBorder="1" applyAlignment="1">
      <alignment horizontal="center" vertical="center"/>
    </xf>
  </cellXfs>
  <cellStyles count="16">
    <cellStyle name="1" xfId="8" xr:uid="{00000000-0005-0000-0000-000000000000}"/>
    <cellStyle name="Comma 3" xfId="5" xr:uid="{00000000-0005-0000-0000-000002000000}"/>
    <cellStyle name="Comma 3 2" xfId="13" xr:uid="{044B0490-7F01-4968-B2E2-23A0F3C74FBF}"/>
    <cellStyle name="Comma 8" xfId="9" xr:uid="{8B82D3A5-B946-4FE9-B45D-7C6ED627CB8E}"/>
    <cellStyle name="Normal" xfId="0" builtinId="0"/>
    <cellStyle name="Normal 10" xfId="10" xr:uid="{6B8FCD95-7F28-4B40-945F-E584BDD3EF06}"/>
    <cellStyle name="Normal 14" xfId="2" xr:uid="{00000000-0005-0000-0000-000004000000}"/>
    <cellStyle name="Normal 14 2" xfId="12" xr:uid="{AC48AFEB-22E5-4F8D-81DB-8FE218E38520}"/>
    <cellStyle name="Normal 15" xfId="4" xr:uid="{00000000-0005-0000-0000-000005000000}"/>
    <cellStyle name="Normal 15 2" xfId="11" xr:uid="{3F966413-A11F-4BE6-BFC5-2EE77E45E101}"/>
    <cellStyle name="Normal 17" xfId="7" xr:uid="{00000000-0005-0000-0000-000006000000}"/>
    <cellStyle name="Normal 2" xfId="1" xr:uid="{00000000-0005-0000-0000-000007000000}"/>
    <cellStyle name="Normal 3" xfId="3" xr:uid="{00000000-0005-0000-0000-000008000000}"/>
    <cellStyle name="Normal 3 2" xfId="14" xr:uid="{9A58D293-6C17-47D9-AA84-C8B21CEFEF70}"/>
    <cellStyle name="Normal 9" xfId="6" xr:uid="{00000000-0005-0000-0000-000009000000}"/>
    <cellStyle name="Normal 9 2" xfId="15" xr:uid="{98F78168-6D9C-420D-8042-7CD68E273D11}"/>
  </cellStyles>
  <dxfs count="0"/>
  <tableStyles count="0" defaultTableStyle="TableStyleMedium2" defaultPivotStyle="PivotStyleLight16"/>
  <colors>
    <mruColors>
      <color rgb="FF336600"/>
      <color rgb="FFF1F7ED"/>
      <color rgb="FFEAF4E4"/>
      <color rgb="FF003300"/>
      <color rgb="FF2F75B5"/>
      <color rgb="FFFF3399"/>
      <color rgb="FFC4F2F1"/>
      <color rgb="FF249390"/>
      <color rgb="FF33CCCC"/>
      <color rgb="FF1965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eceived/6.%20HEALTH%20-%20IGMH%20(1).xlsx" TargetMode="External"/><Relationship Id="rId2" Type="http://schemas.openxmlformats.org/officeDocument/2006/relationships/externalLinkPath" Target="file:///\\fileserver\ST4\Dissemination\Publications\Statistical%20Year%20Book\YEARBOOK%202026\Received\6.%20HEALTH%20-%20IGMH%20(1).xlsx" TargetMode="External"/><Relationship Id="rId1" Type="http://schemas.openxmlformats.org/officeDocument/2006/relationships/externalLinkPath" Target="/Dissemination/Publications/Statistical%20Year%20Book/YEARBOOK%202026/Received/6.%20HEALTH%20-%20IGMH%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6.6"/>
      <sheetName val="6.7"/>
      <sheetName val="6.8"/>
      <sheetName val="6.9"/>
      <sheetName val="6.10"/>
    </sheetNames>
    <sheetDataSet>
      <sheetData sheetId="0"/>
      <sheetData sheetId="1"/>
      <sheetData sheetId="2"/>
      <sheetData sheetId="3"/>
      <sheetData sheetId="4">
        <row r="165">
          <cell r="C165">
            <v>1325</v>
          </cell>
          <cell r="D165">
            <v>1179</v>
          </cell>
        </row>
        <row r="167">
          <cell r="A167" t="str">
            <v>Obstetrics and gynaecology</v>
          </cell>
          <cell r="C167">
            <v>6</v>
          </cell>
          <cell r="D167">
            <v>2007</v>
          </cell>
        </row>
        <row r="168">
          <cell r="A168" t="str">
            <v>Surgery</v>
          </cell>
          <cell r="C168">
            <v>668</v>
          </cell>
          <cell r="D168">
            <v>357</v>
          </cell>
        </row>
        <row r="169">
          <cell r="A169" t="str">
            <v>Cardiology</v>
          </cell>
          <cell r="C169">
            <v>598</v>
          </cell>
          <cell r="D169">
            <v>267</v>
          </cell>
        </row>
        <row r="170">
          <cell r="A170" t="str">
            <v>Orthopaedics</v>
          </cell>
          <cell r="C170">
            <v>459</v>
          </cell>
          <cell r="D170">
            <v>256</v>
          </cell>
        </row>
        <row r="171">
          <cell r="A171" t="str">
            <v>Pulmonology</v>
          </cell>
          <cell r="C171">
            <v>254</v>
          </cell>
          <cell r="D171">
            <v>343</v>
          </cell>
        </row>
        <row r="172">
          <cell r="A172" t="str">
            <v>Neurology</v>
          </cell>
          <cell r="C172">
            <v>316</v>
          </cell>
          <cell r="D172">
            <v>178</v>
          </cell>
        </row>
        <row r="173">
          <cell r="A173" t="str">
            <v>Urology</v>
          </cell>
          <cell r="C173">
            <v>236</v>
          </cell>
          <cell r="D173">
            <v>82</v>
          </cell>
        </row>
        <row r="174">
          <cell r="A174" t="str">
            <v>Onco surgery</v>
          </cell>
          <cell r="C174">
            <v>111</v>
          </cell>
          <cell r="D174">
            <v>193</v>
          </cell>
        </row>
        <row r="175">
          <cell r="A175" t="str">
            <v>Psychiatry</v>
          </cell>
          <cell r="C175">
            <v>100</v>
          </cell>
          <cell r="D175">
            <v>111</v>
          </cell>
        </row>
        <row r="176">
          <cell r="A176" t="str">
            <v>Nephrology</v>
          </cell>
          <cell r="C176">
            <v>62</v>
          </cell>
          <cell r="D176">
            <v>78</v>
          </cell>
        </row>
        <row r="177">
          <cell r="A177" t="str">
            <v>ENT</v>
          </cell>
          <cell r="C177">
            <v>57</v>
          </cell>
          <cell r="D177">
            <v>42</v>
          </cell>
        </row>
        <row r="178">
          <cell r="A178" t="str">
            <v>Gastroenterology</v>
          </cell>
          <cell r="C178">
            <v>37</v>
          </cell>
          <cell r="D178">
            <v>40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28E5D-E202-4FBC-B1DF-F19419697122}">
  <dimension ref="A1:P47"/>
  <sheetViews>
    <sheetView tabSelected="1" zoomScaleNormal="100" workbookViewId="0">
      <selection activeCell="F18" sqref="F18"/>
    </sheetView>
  </sheetViews>
  <sheetFormatPr defaultRowHeight="15"/>
  <cols>
    <col min="1" max="1" width="37.140625" style="2" customWidth="1"/>
    <col min="2" max="16384" width="9.140625" style="2"/>
  </cols>
  <sheetData>
    <row r="1" spans="1:16" ht="21.75">
      <c r="A1" s="44" t="s">
        <v>17</v>
      </c>
      <c r="B1" s="45"/>
      <c r="C1" s="45"/>
      <c r="D1" s="45"/>
      <c r="E1" s="45"/>
      <c r="F1" s="45"/>
      <c r="G1" s="45"/>
      <c r="H1" s="45"/>
      <c r="I1" s="45"/>
      <c r="J1" s="45"/>
      <c r="K1" s="45"/>
      <c r="L1" s="3"/>
      <c r="M1" s="3"/>
      <c r="N1" s="3"/>
      <c r="O1" s="3"/>
      <c r="P1" s="3"/>
    </row>
    <row r="2" spans="1:16">
      <c r="A2" s="46" t="s">
        <v>24</v>
      </c>
      <c r="B2" s="47"/>
      <c r="C2" s="47"/>
      <c r="D2" s="47"/>
      <c r="E2" s="47"/>
      <c r="F2" s="47"/>
      <c r="G2" s="47"/>
      <c r="H2" s="47"/>
      <c r="I2" s="47"/>
      <c r="J2" s="47"/>
      <c r="K2" s="47"/>
      <c r="L2" s="4"/>
      <c r="M2" s="4"/>
      <c r="N2" s="4"/>
      <c r="O2" s="4"/>
      <c r="P2" s="4"/>
    </row>
    <row r="3" spans="1:16">
      <c r="A3" s="39"/>
      <c r="B3" s="39"/>
      <c r="C3" s="39"/>
      <c r="D3" s="39"/>
      <c r="E3" s="39"/>
      <c r="F3" s="39"/>
      <c r="G3" s="39"/>
      <c r="H3" s="39"/>
      <c r="I3" s="39"/>
      <c r="J3" s="39"/>
      <c r="K3" s="39"/>
      <c r="L3" s="4"/>
      <c r="M3" s="4"/>
      <c r="N3" s="4"/>
      <c r="O3" s="4"/>
      <c r="P3" s="4"/>
    </row>
    <row r="4" spans="1:16" ht="15.75">
      <c r="A4" s="48" t="s">
        <v>8</v>
      </c>
      <c r="B4" s="51" t="s">
        <v>9</v>
      </c>
      <c r="C4" s="51"/>
      <c r="D4" s="51"/>
      <c r="E4" s="52" t="s">
        <v>0</v>
      </c>
      <c r="F4" s="51"/>
      <c r="G4" s="51"/>
      <c r="H4" s="53" t="s">
        <v>1</v>
      </c>
      <c r="I4" s="51"/>
      <c r="J4" s="51"/>
      <c r="K4" s="5"/>
      <c r="L4" s="5"/>
      <c r="M4" s="4"/>
      <c r="N4" s="4"/>
      <c r="O4" s="4"/>
      <c r="P4" s="6"/>
    </row>
    <row r="5" spans="1:16">
      <c r="A5" s="49"/>
      <c r="B5" s="54" t="s">
        <v>2</v>
      </c>
      <c r="C5" s="54"/>
      <c r="D5" s="54"/>
      <c r="E5" s="55" t="s">
        <v>3</v>
      </c>
      <c r="F5" s="54"/>
      <c r="G5" s="54"/>
      <c r="H5" s="56" t="s">
        <v>10</v>
      </c>
      <c r="I5" s="54"/>
      <c r="J5" s="54"/>
      <c r="K5" s="7"/>
      <c r="L5" s="7"/>
      <c r="M5" s="4"/>
      <c r="N5" s="4"/>
      <c r="O5" s="4"/>
      <c r="P5" s="4"/>
    </row>
    <row r="6" spans="1:16">
      <c r="A6" s="50"/>
      <c r="B6" s="35" t="s">
        <v>4</v>
      </c>
      <c r="C6" s="35" t="s">
        <v>5</v>
      </c>
      <c r="D6" s="35" t="s">
        <v>6</v>
      </c>
      <c r="E6" s="36" t="s">
        <v>4</v>
      </c>
      <c r="F6" s="37" t="s">
        <v>5</v>
      </c>
      <c r="G6" s="37" t="s">
        <v>6</v>
      </c>
      <c r="H6" s="38" t="s">
        <v>4</v>
      </c>
      <c r="I6" s="37" t="s">
        <v>5</v>
      </c>
      <c r="J6" s="37" t="s">
        <v>6</v>
      </c>
      <c r="K6" s="8"/>
      <c r="L6" s="6"/>
      <c r="M6" s="4"/>
      <c r="N6" s="4"/>
      <c r="O6" s="4"/>
      <c r="P6" s="6"/>
    </row>
    <row r="7" spans="1:16" s="1" customFormat="1" ht="24" customHeight="1">
      <c r="A7" s="9" t="s">
        <v>7</v>
      </c>
      <c r="B7" s="10">
        <f t="shared" ref="B7:D11" si="0">E7+H7</f>
        <v>11955</v>
      </c>
      <c r="C7" s="10">
        <f t="shared" si="0"/>
        <v>4049</v>
      </c>
      <c r="D7" s="10">
        <f t="shared" si="0"/>
        <v>7906</v>
      </c>
      <c r="E7" s="11">
        <f>SUM(F7:G7)</f>
        <v>5042</v>
      </c>
      <c r="F7" s="10">
        <f>SUM(F8:F11)</f>
        <v>1623</v>
      </c>
      <c r="G7" s="10">
        <f>SUM(G8:G11)</f>
        <v>3419</v>
      </c>
      <c r="H7" s="12">
        <f>SUM(I7:J7)</f>
        <v>6913</v>
      </c>
      <c r="I7" s="10">
        <f>SUM(I8:I11)</f>
        <v>2426</v>
      </c>
      <c r="J7" s="10">
        <f>SUM(J8:J11)</f>
        <v>4487</v>
      </c>
      <c r="K7" s="6"/>
      <c r="L7" s="6"/>
      <c r="M7" s="4"/>
      <c r="N7" s="4"/>
      <c r="O7" s="4"/>
      <c r="P7" s="4"/>
    </row>
    <row r="8" spans="1:16" s="1" customFormat="1" ht="24" customHeight="1">
      <c r="A8" s="31" t="s">
        <v>11</v>
      </c>
      <c r="B8" s="10">
        <f t="shared" si="0"/>
        <v>1369</v>
      </c>
      <c r="C8" s="13">
        <f t="shared" si="0"/>
        <v>520</v>
      </c>
      <c r="D8" s="13">
        <f t="shared" si="0"/>
        <v>849</v>
      </c>
      <c r="E8" s="11">
        <f>SUM(F8:G8)</f>
        <v>546</v>
      </c>
      <c r="F8" s="33">
        <v>202</v>
      </c>
      <c r="G8" s="33">
        <v>344</v>
      </c>
      <c r="H8" s="12">
        <f>SUM(I8:J8)</f>
        <v>823</v>
      </c>
      <c r="I8" s="33">
        <v>318</v>
      </c>
      <c r="J8" s="33">
        <v>505</v>
      </c>
      <c r="K8" s="6"/>
      <c r="L8" s="6"/>
      <c r="M8" s="4"/>
      <c r="N8" s="4"/>
      <c r="O8" s="4"/>
      <c r="P8" s="6"/>
    </row>
    <row r="9" spans="1:16" s="1" customFormat="1" ht="24" customHeight="1">
      <c r="A9" s="6" t="s">
        <v>15</v>
      </c>
      <c r="B9" s="10">
        <f t="shared" si="0"/>
        <v>5354</v>
      </c>
      <c r="C9" s="13">
        <f t="shared" si="0"/>
        <v>2305</v>
      </c>
      <c r="D9" s="13">
        <f t="shared" si="0"/>
        <v>3049</v>
      </c>
      <c r="E9" s="11">
        <f>SUM(F9:G9)</f>
        <v>1991</v>
      </c>
      <c r="F9" s="33">
        <v>894</v>
      </c>
      <c r="G9" s="33">
        <v>1097</v>
      </c>
      <c r="H9" s="12">
        <f>SUM(I9:J9)</f>
        <v>3363</v>
      </c>
      <c r="I9" s="33">
        <v>1411</v>
      </c>
      <c r="J9" s="33">
        <v>1952</v>
      </c>
      <c r="K9" s="6"/>
      <c r="L9" s="6"/>
      <c r="M9" s="4"/>
      <c r="N9" s="4"/>
      <c r="O9" s="4"/>
      <c r="P9" s="4"/>
    </row>
    <row r="10" spans="1:16" s="1" customFormat="1" ht="24" customHeight="1">
      <c r="A10" s="41" t="s">
        <v>21</v>
      </c>
      <c r="B10" s="10">
        <f t="shared" si="0"/>
        <v>1516</v>
      </c>
      <c r="C10" s="13">
        <f t="shared" si="0"/>
        <v>921</v>
      </c>
      <c r="D10" s="13">
        <f t="shared" si="0"/>
        <v>595</v>
      </c>
      <c r="E10" s="11">
        <f>SUM(F10:G10)</f>
        <v>795</v>
      </c>
      <c r="F10" s="33">
        <v>389</v>
      </c>
      <c r="G10" s="33">
        <v>406</v>
      </c>
      <c r="H10" s="12">
        <f>SUM(I10:J10)</f>
        <v>721</v>
      </c>
      <c r="I10" s="33">
        <v>532</v>
      </c>
      <c r="J10" s="33">
        <v>189</v>
      </c>
      <c r="K10" s="6"/>
      <c r="L10" s="6"/>
      <c r="M10" s="4"/>
      <c r="N10" s="4"/>
      <c r="O10" s="4"/>
      <c r="P10" s="6"/>
    </row>
    <row r="11" spans="1:16" s="1" customFormat="1" ht="24" customHeight="1">
      <c r="A11" s="32" t="s">
        <v>14</v>
      </c>
      <c r="B11" s="27">
        <f t="shared" si="0"/>
        <v>3716</v>
      </c>
      <c r="C11" s="28">
        <f t="shared" si="0"/>
        <v>303</v>
      </c>
      <c r="D11" s="28">
        <f t="shared" si="0"/>
        <v>3413</v>
      </c>
      <c r="E11" s="29">
        <f>SUM(F11:G11)</f>
        <v>1710</v>
      </c>
      <c r="F11" s="34">
        <v>138</v>
      </c>
      <c r="G11" s="34">
        <v>1572</v>
      </c>
      <c r="H11" s="30">
        <f>SUM(I11:J11)</f>
        <v>2006</v>
      </c>
      <c r="I11" s="34">
        <v>165</v>
      </c>
      <c r="J11" s="34">
        <v>1841</v>
      </c>
      <c r="K11" s="6"/>
      <c r="L11" s="14"/>
      <c r="M11" s="4"/>
      <c r="N11" s="4"/>
      <c r="O11" s="4"/>
      <c r="P11" s="6"/>
    </row>
    <row r="12" spans="1:16">
      <c r="A12" s="15" t="s">
        <v>12</v>
      </c>
      <c r="B12" s="16"/>
      <c r="C12" s="16"/>
      <c r="D12" s="17"/>
      <c r="E12" s="16"/>
      <c r="F12" s="18"/>
      <c r="G12" s="18"/>
      <c r="H12" s="16"/>
      <c r="I12" s="16"/>
      <c r="J12" s="16"/>
      <c r="K12" s="19"/>
      <c r="L12" s="20"/>
      <c r="M12" s="6"/>
      <c r="N12" s="4"/>
      <c r="O12" s="4"/>
      <c r="P12" s="4"/>
    </row>
    <row r="13" spans="1:16" ht="18.75" customHeight="1">
      <c r="A13" s="40" t="s">
        <v>16</v>
      </c>
      <c r="B13" s="20"/>
      <c r="C13" s="20"/>
      <c r="D13" s="21"/>
      <c r="E13" s="22"/>
      <c r="F13" s="22"/>
      <c r="G13" s="20"/>
      <c r="H13" s="20"/>
      <c r="I13" s="20"/>
      <c r="J13" s="20"/>
      <c r="K13" s="23"/>
      <c r="L13" s="20"/>
      <c r="M13" s="6"/>
      <c r="N13" s="5"/>
      <c r="O13" s="5"/>
      <c r="P13" s="20"/>
    </row>
    <row r="14" spans="1:16" ht="56.25" customHeight="1">
      <c r="A14" s="42" t="s">
        <v>18</v>
      </c>
      <c r="B14" s="43"/>
      <c r="C14" s="43"/>
      <c r="D14" s="43"/>
      <c r="E14" s="43"/>
      <c r="F14" s="43"/>
      <c r="G14" s="43"/>
      <c r="H14" s="43"/>
      <c r="I14" s="43"/>
      <c r="J14" s="43"/>
      <c r="K14" s="23"/>
      <c r="L14" s="20"/>
      <c r="M14" s="6"/>
      <c r="N14" s="4"/>
      <c r="O14" s="4"/>
      <c r="P14" s="4"/>
    </row>
    <row r="15" spans="1:16" ht="20.25" customHeight="1">
      <c r="A15" s="24" t="s">
        <v>19</v>
      </c>
      <c r="B15" s="20"/>
      <c r="C15" s="20"/>
      <c r="D15" s="21"/>
      <c r="E15" s="25"/>
      <c r="F15" s="20"/>
      <c r="G15" s="20"/>
      <c r="H15" s="20"/>
      <c r="I15" s="20"/>
      <c r="J15" s="20"/>
      <c r="K15" s="23"/>
      <c r="L15" s="20"/>
      <c r="M15" s="6"/>
      <c r="N15" s="5"/>
      <c r="O15" s="5"/>
      <c r="P15" s="20"/>
    </row>
    <row r="16" spans="1:16" ht="20.25" customHeight="1">
      <c r="A16" s="24" t="s">
        <v>20</v>
      </c>
      <c r="K16" s="23"/>
      <c r="L16" s="20"/>
      <c r="M16" s="6"/>
      <c r="N16" s="4"/>
      <c r="O16" s="4"/>
      <c r="P16" s="4"/>
    </row>
    <row r="17" spans="1:16" ht="18" customHeight="1">
      <c r="A17" s="24" t="s">
        <v>13</v>
      </c>
      <c r="B17" s="20"/>
      <c r="C17" s="20"/>
      <c r="D17" s="21"/>
      <c r="E17" s="25"/>
      <c r="F17" s="20"/>
      <c r="G17" s="20"/>
      <c r="H17" s="20"/>
      <c r="I17" s="20"/>
      <c r="J17" s="20"/>
      <c r="K17" s="23"/>
      <c r="L17" s="20"/>
      <c r="M17" s="6"/>
      <c r="N17" s="4"/>
      <c r="O17" s="4"/>
      <c r="P17" s="4"/>
    </row>
    <row r="18" spans="1:16" ht="31.5" customHeight="1">
      <c r="B18" s="26"/>
      <c r="C18" s="26"/>
      <c r="D18" s="26"/>
      <c r="E18" s="26"/>
      <c r="F18" s="26"/>
      <c r="G18" s="26"/>
      <c r="H18" s="26"/>
      <c r="I18" s="26"/>
      <c r="J18" s="26"/>
      <c r="K18" s="23"/>
      <c r="L18" s="20"/>
      <c r="M18" s="6"/>
      <c r="N18" s="4"/>
      <c r="O18" s="4"/>
      <c r="P18" s="4"/>
    </row>
    <row r="19" spans="1:16" ht="31.5" customHeight="1">
      <c r="A19" s="24"/>
      <c r="B19" s="20"/>
      <c r="C19" s="20"/>
      <c r="D19" s="21"/>
      <c r="E19" s="25"/>
      <c r="F19" s="20"/>
      <c r="G19" s="20"/>
      <c r="H19" s="20"/>
      <c r="I19" s="20"/>
      <c r="J19" s="20"/>
      <c r="K19" s="23"/>
      <c r="L19" s="20"/>
      <c r="M19" s="20"/>
      <c r="N19" s="4"/>
      <c r="O19" s="4"/>
      <c r="P19" s="4"/>
    </row>
    <row r="20" spans="1:16" ht="23.25" customHeight="1">
      <c r="B20" s="20"/>
      <c r="C20" s="20"/>
      <c r="D20" s="21"/>
      <c r="E20" s="25"/>
      <c r="F20" s="20"/>
      <c r="G20" s="20"/>
      <c r="H20" s="20"/>
      <c r="I20" s="20"/>
      <c r="J20" s="20"/>
      <c r="K20" s="23"/>
      <c r="L20" s="20"/>
      <c r="M20" s="20"/>
      <c r="N20" s="5"/>
      <c r="O20" s="5"/>
      <c r="P20" s="20"/>
    </row>
    <row r="21" spans="1:16" ht="24" customHeight="1">
      <c r="A21" s="44" t="s">
        <v>23</v>
      </c>
      <c r="B21" s="45"/>
      <c r="C21" s="45"/>
      <c r="D21" s="45"/>
      <c r="E21" s="45"/>
      <c r="F21" s="45"/>
      <c r="G21" s="45"/>
      <c r="H21" s="45"/>
      <c r="I21" s="45"/>
      <c r="J21" s="45"/>
      <c r="K21" s="45"/>
      <c r="L21" s="20"/>
      <c r="M21" s="20"/>
      <c r="N21" s="20"/>
      <c r="O21" s="20"/>
      <c r="P21" s="20"/>
    </row>
    <row r="22" spans="1:16" ht="15" customHeight="1">
      <c r="A22" s="46" t="s">
        <v>22</v>
      </c>
      <c r="B22" s="47"/>
      <c r="C22" s="47"/>
      <c r="D22" s="47"/>
      <c r="E22" s="47"/>
      <c r="F22" s="47"/>
      <c r="G22" s="47"/>
      <c r="H22" s="47"/>
      <c r="I22" s="47"/>
      <c r="J22" s="47"/>
      <c r="K22" s="47"/>
      <c r="L22" s="6"/>
      <c r="M22" s="6"/>
      <c r="N22" s="6"/>
      <c r="O22" s="6"/>
      <c r="P22" s="6"/>
    </row>
    <row r="23" spans="1:16" ht="21" customHeight="1">
      <c r="A23" s="39"/>
      <c r="B23" s="39"/>
      <c r="C23" s="39"/>
      <c r="D23" s="39"/>
      <c r="E23" s="39"/>
      <c r="F23" s="39"/>
      <c r="G23" s="39"/>
      <c r="H23" s="39"/>
      <c r="I23" s="39"/>
      <c r="J23" s="39"/>
      <c r="K23" s="39"/>
      <c r="L23" s="6"/>
      <c r="M23" s="6"/>
      <c r="N23" s="6"/>
      <c r="O23" s="6"/>
      <c r="P23" s="6"/>
    </row>
    <row r="24" spans="1:16" ht="15.75">
      <c r="A24" s="48" t="s">
        <v>8</v>
      </c>
      <c r="B24" s="51" t="s">
        <v>9</v>
      </c>
      <c r="C24" s="51"/>
      <c r="D24" s="51"/>
      <c r="E24" s="52" t="s">
        <v>0</v>
      </c>
      <c r="F24" s="51"/>
      <c r="G24" s="51"/>
      <c r="H24" s="53" t="s">
        <v>1</v>
      </c>
      <c r="I24" s="51"/>
      <c r="J24" s="51"/>
      <c r="K24" s="5"/>
      <c r="L24" s="6"/>
      <c r="M24" s="6"/>
      <c r="N24" s="6"/>
      <c r="O24" s="6"/>
      <c r="P24" s="6"/>
    </row>
    <row r="25" spans="1:16">
      <c r="A25" s="49"/>
      <c r="B25" s="54" t="s">
        <v>2</v>
      </c>
      <c r="C25" s="54"/>
      <c r="D25" s="54"/>
      <c r="E25" s="55" t="s">
        <v>3</v>
      </c>
      <c r="F25" s="54"/>
      <c r="G25" s="54"/>
      <c r="H25" s="56" t="s">
        <v>10</v>
      </c>
      <c r="I25" s="54"/>
      <c r="J25" s="54"/>
      <c r="K25" s="7"/>
      <c r="L25" s="6"/>
      <c r="M25" s="6"/>
      <c r="N25" s="6"/>
      <c r="O25" s="6"/>
      <c r="P25" s="6"/>
    </row>
    <row r="26" spans="1:16" ht="15" customHeight="1">
      <c r="A26" s="50"/>
      <c r="B26" s="35" t="s">
        <v>4</v>
      </c>
      <c r="C26" s="35" t="s">
        <v>5</v>
      </c>
      <c r="D26" s="35" t="s">
        <v>6</v>
      </c>
      <c r="E26" s="36" t="s">
        <v>4</v>
      </c>
      <c r="F26" s="37" t="s">
        <v>5</v>
      </c>
      <c r="G26" s="37" t="s">
        <v>6</v>
      </c>
      <c r="H26" s="38" t="s">
        <v>4</v>
      </c>
      <c r="I26" s="37" t="s">
        <v>5</v>
      </c>
      <c r="J26" s="37" t="s">
        <v>6</v>
      </c>
      <c r="K26" s="8"/>
    </row>
    <row r="27" spans="1:16">
      <c r="A27" s="9" t="s">
        <v>7</v>
      </c>
      <c r="B27" s="10">
        <f t="shared" ref="B27:D31" si="1">E27+H27</f>
        <v>11325</v>
      </c>
      <c r="C27" s="10">
        <f t="shared" si="1"/>
        <v>3963</v>
      </c>
      <c r="D27" s="10">
        <f t="shared" si="1"/>
        <v>7362</v>
      </c>
      <c r="E27" s="11">
        <f>SUM(F27:G27)</f>
        <v>4681</v>
      </c>
      <c r="F27" s="10">
        <f>SUM(F28:F31)</f>
        <v>1545</v>
      </c>
      <c r="G27" s="10">
        <f>SUM(G28:G31)</f>
        <v>3136</v>
      </c>
      <c r="H27" s="12">
        <f>SUM(I27:J27)</f>
        <v>6644</v>
      </c>
      <c r="I27" s="10">
        <f>SUM(I28:I31)</f>
        <v>2418</v>
      </c>
      <c r="J27" s="10">
        <f>SUM(J28:J31)</f>
        <v>4226</v>
      </c>
      <c r="K27" s="6"/>
    </row>
    <row r="28" spans="1:16">
      <c r="A28" s="31" t="s">
        <v>11</v>
      </c>
      <c r="B28" s="10">
        <f t="shared" si="1"/>
        <v>1341</v>
      </c>
      <c r="C28" s="13">
        <f t="shared" si="1"/>
        <v>513</v>
      </c>
      <c r="D28" s="13">
        <f t="shared" si="1"/>
        <v>828</v>
      </c>
      <c r="E28" s="11">
        <f>SUM(F28:G28)</f>
        <v>521</v>
      </c>
      <c r="F28" s="33">
        <v>202</v>
      </c>
      <c r="G28" s="33">
        <v>319</v>
      </c>
      <c r="H28" s="12">
        <f>SUM(I28:J28)</f>
        <v>820</v>
      </c>
      <c r="I28" s="33">
        <v>311</v>
      </c>
      <c r="J28" s="33">
        <v>509</v>
      </c>
      <c r="K28" s="6"/>
    </row>
    <row r="29" spans="1:16">
      <c r="A29" s="6" t="s">
        <v>15</v>
      </c>
      <c r="B29" s="10">
        <f t="shared" si="1"/>
        <v>5196</v>
      </c>
      <c r="C29" s="13">
        <f t="shared" si="1"/>
        <v>2313</v>
      </c>
      <c r="D29" s="13">
        <f t="shared" si="1"/>
        <v>2883</v>
      </c>
      <c r="E29" s="11">
        <f>SUM(F29:G29)</f>
        <v>1891</v>
      </c>
      <c r="F29" s="33">
        <v>863</v>
      </c>
      <c r="G29" s="33">
        <v>1028</v>
      </c>
      <c r="H29" s="12">
        <f>SUM(I29:J29)</f>
        <v>3305</v>
      </c>
      <c r="I29" s="33">
        <v>1450</v>
      </c>
      <c r="J29" s="33">
        <v>1855</v>
      </c>
      <c r="K29" s="6"/>
    </row>
    <row r="30" spans="1:16" ht="27.75">
      <c r="A30" s="41" t="s">
        <v>21</v>
      </c>
      <c r="B30" s="10">
        <f t="shared" si="1"/>
        <v>1343</v>
      </c>
      <c r="C30" s="13">
        <f t="shared" si="1"/>
        <v>853</v>
      </c>
      <c r="D30" s="13">
        <f t="shared" si="1"/>
        <v>490</v>
      </c>
      <c r="E30" s="11">
        <f>SUM(F30:G30)</f>
        <v>673</v>
      </c>
      <c r="F30" s="33">
        <v>344</v>
      </c>
      <c r="G30" s="33">
        <v>329</v>
      </c>
      <c r="H30" s="12">
        <f>SUM(I30:J30)</f>
        <v>670</v>
      </c>
      <c r="I30" s="33">
        <v>509</v>
      </c>
      <c r="J30" s="33">
        <v>161</v>
      </c>
      <c r="K30" s="6"/>
    </row>
    <row r="31" spans="1:16">
      <c r="A31" s="32" t="s">
        <v>14</v>
      </c>
      <c r="B31" s="27">
        <f t="shared" si="1"/>
        <v>3445</v>
      </c>
      <c r="C31" s="28">
        <f t="shared" si="1"/>
        <v>284</v>
      </c>
      <c r="D31" s="28">
        <f t="shared" si="1"/>
        <v>3161</v>
      </c>
      <c r="E31" s="29">
        <f>SUM(F31:G31)</f>
        <v>1596</v>
      </c>
      <c r="F31" s="34">
        <v>136</v>
      </c>
      <c r="G31" s="34">
        <v>1460</v>
      </c>
      <c r="H31" s="30">
        <f>SUM(I31:J31)</f>
        <v>1849</v>
      </c>
      <c r="I31" s="34">
        <v>148</v>
      </c>
      <c r="J31" s="34">
        <v>1701</v>
      </c>
      <c r="K31" s="6"/>
    </row>
    <row r="32" spans="1:16" ht="15" customHeight="1">
      <c r="A32" s="15" t="s">
        <v>12</v>
      </c>
      <c r="B32" s="16"/>
      <c r="C32" s="16"/>
      <c r="D32" s="17"/>
      <c r="E32" s="16"/>
      <c r="F32" s="18"/>
      <c r="G32" s="18"/>
      <c r="H32" s="16"/>
      <c r="I32" s="16"/>
      <c r="J32" s="16"/>
      <c r="K32" s="19"/>
    </row>
    <row r="33" spans="1:11" ht="26.25" customHeight="1">
      <c r="A33" s="40" t="s">
        <v>16</v>
      </c>
      <c r="B33" s="20"/>
      <c r="C33" s="20"/>
      <c r="D33" s="21"/>
      <c r="E33" s="22"/>
      <c r="F33" s="22"/>
      <c r="G33" s="20"/>
      <c r="H33" s="20"/>
      <c r="I33" s="20"/>
      <c r="J33" s="20"/>
      <c r="K33" s="23"/>
    </row>
    <row r="34" spans="1:11" ht="26.25" customHeight="1">
      <c r="A34" s="42" t="s">
        <v>18</v>
      </c>
      <c r="B34" s="43"/>
      <c r="C34" s="43"/>
      <c r="D34" s="43"/>
      <c r="E34" s="43"/>
      <c r="F34" s="43"/>
      <c r="G34" s="43"/>
      <c r="H34" s="43"/>
      <c r="I34" s="43"/>
      <c r="J34" s="43"/>
      <c r="K34" s="23"/>
    </row>
    <row r="35" spans="1:11" ht="22.5" customHeight="1">
      <c r="A35" s="24" t="s">
        <v>19</v>
      </c>
      <c r="B35" s="20"/>
      <c r="C35" s="20"/>
      <c r="D35" s="21"/>
      <c r="E35" s="25"/>
      <c r="F35" s="20"/>
      <c r="G35" s="20"/>
      <c r="H35" s="20"/>
      <c r="I35" s="20"/>
      <c r="J35" s="20"/>
      <c r="K35" s="23"/>
    </row>
    <row r="36" spans="1:11" ht="22.5" customHeight="1">
      <c r="A36" s="24" t="s">
        <v>20</v>
      </c>
      <c r="K36" s="23"/>
    </row>
    <row r="37" spans="1:11" ht="22.5" customHeight="1">
      <c r="A37" s="24" t="s">
        <v>13</v>
      </c>
      <c r="B37" s="20"/>
      <c r="C37" s="20"/>
      <c r="D37" s="21"/>
      <c r="E37" s="25"/>
      <c r="F37" s="20"/>
      <c r="G37" s="20"/>
      <c r="H37" s="20"/>
      <c r="I37" s="20"/>
      <c r="J37" s="20"/>
      <c r="K37" s="23"/>
    </row>
    <row r="38" spans="1:11">
      <c r="B38" s="26"/>
      <c r="C38" s="26"/>
      <c r="D38" s="26"/>
      <c r="E38" s="26"/>
      <c r="F38" s="26"/>
      <c r="G38" s="26"/>
      <c r="H38" s="26"/>
      <c r="I38" s="26"/>
      <c r="J38" s="26"/>
      <c r="K38" s="23"/>
    </row>
    <row r="47" spans="1:11" ht="15" customHeight="1"/>
  </sheetData>
  <mergeCells count="20">
    <mergeCell ref="H24:J24"/>
    <mergeCell ref="B25:D25"/>
    <mergeCell ref="E25:G25"/>
    <mergeCell ref="H25:J25"/>
    <mergeCell ref="A34:J34"/>
    <mergeCell ref="A14:J14"/>
    <mergeCell ref="A1:K1"/>
    <mergeCell ref="A2:K2"/>
    <mergeCell ref="A4:A6"/>
    <mergeCell ref="B4:D4"/>
    <mergeCell ref="E4:G4"/>
    <mergeCell ref="H4:J4"/>
    <mergeCell ref="B5:D5"/>
    <mergeCell ref="E5:G5"/>
    <mergeCell ref="H5:J5"/>
    <mergeCell ref="A21:K21"/>
    <mergeCell ref="A22:K22"/>
    <mergeCell ref="A24:A26"/>
    <mergeCell ref="B24:D24"/>
    <mergeCell ref="E24:G24"/>
  </mergeCells>
  <pageMargins left="0.7" right="0.7" top="0.75" bottom="0.75" header="0.3" footer="0.3"/>
  <pageSetup scale="54" orientation="portrait" r:id="rId1"/>
  <colBreaks count="1" manualBreakCount="1">
    <brk id="15" max="46"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6.1</vt:lpstr>
      <vt:lpstr>'6.1'!Print_Area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2026-05-04T04:03:19Z</cp:lastPrinted>
  <dcterms:created xsi:type="dcterms:W3CDTF">2019-08-06T05:35:20Z</dcterms:created>
  <dcterms:modified xsi:type="dcterms:W3CDTF">2026-05-04T04:03:28Z</dcterms:modified>
</cp:coreProperties>
</file>