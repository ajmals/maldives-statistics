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DED55D3D-CCBE-48AB-846E-C4D2E7AA4184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1" sheetId="11" r:id="rId1"/>
  </sheets>
  <externalReferences>
    <externalReference r:id="rId2"/>
  </externalReferences>
  <definedNames>
    <definedName name="_xlnm.Print_Area" localSheetId="0">'6.11'!$A$1:$V$55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1" l="1"/>
  <c r="O12" i="11"/>
  <c r="P12" i="11"/>
  <c r="N9" i="11"/>
  <c r="O9" i="11"/>
  <c r="P9" i="11"/>
  <c r="O6" i="11" l="1"/>
  <c r="P6" i="11"/>
  <c r="M15" i="11" l="1"/>
  <c r="M12" i="11"/>
  <c r="M9" i="11"/>
  <c r="N6" i="11" l="1"/>
  <c r="M6" i="11" l="1"/>
  <c r="L15" i="11" l="1"/>
  <c r="L12" i="11"/>
  <c r="L9" i="11"/>
  <c r="L6" i="11"/>
</calcChain>
</file>

<file path=xl/sharedStrings.xml><?xml version="1.0" encoding="utf-8"?>
<sst xmlns="http://schemas.openxmlformats.org/spreadsheetml/2006/main" count="34" uniqueCount="29">
  <si>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</si>
  <si>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</si>
  <si>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</si>
  <si>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</si>
  <si>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</si>
  <si>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</si>
  <si>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</si>
  <si>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</si>
  <si>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</si>
  <si>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</si>
  <si>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</si>
  <si>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</si>
  <si>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</si>
  <si>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</si>
  <si>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</si>
  <si>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</si>
  <si>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</si>
  <si>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</si>
  <si>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</si>
  <si>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</si>
  <si>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</si>
  <si>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</si>
  <si>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</si>
  <si>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</si>
  <si>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</si>
  <si>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</si>
  <si>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</si>
  <si>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2010- 2025</t>
  </si>
  <si>
    <t>2025 - 2010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</si>
</sst>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8" formatCode="0_);[Red]\(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A_Faseyha"/>
    </font>
    <font>
      <sz val="10"/>
      <color theme="1"/>
      <name val="Courier"/>
      <family val="3"/>
    </font>
    <font>
      <sz val="10"/>
      <color theme="1"/>
      <name val="A_Faseyha"/>
    </font>
    <font>
      <sz val="9"/>
      <color theme="1"/>
      <name val="A_Faseyha"/>
    </font>
    <font>
      <b/>
      <i/>
      <u/>
      <sz val="9"/>
      <color theme="1"/>
      <name val="Calibri"/>
      <family val="2"/>
      <scheme val="minor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1" fillId="0" borderId="0"/>
    <xf numFmtId="165" fontId="11" fillId="0" borderId="0"/>
    <xf numFmtId="165" fontId="11" fillId="0" borderId="0"/>
    <xf numFmtId="40" fontId="13" fillId="0" borderId="0" applyFont="0" applyFill="0" applyBorder="0" applyAlignment="0" applyProtection="0"/>
    <xf numFmtId="165" fontId="11" fillId="0" borderId="0"/>
    <xf numFmtId="0" fontId="1" fillId="0" borderId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165" fontId="20" fillId="0" borderId="0"/>
    <xf numFmtId="165" fontId="20" fillId="0" borderId="0"/>
    <xf numFmtId="40" fontId="19" fillId="0" borderId="0" applyFont="0" applyFill="0" applyBorder="0" applyAlignment="0" applyProtection="0"/>
    <xf numFmtId="165" fontId="20" fillId="0" borderId="0"/>
    <xf numFmtId="165" fontId="20" fillId="0" borderId="0"/>
  </cellStyleXfs>
  <cellXfs count="41">
    <xf numFmtId="0" fontId="0" fillId="0" borderId="0" xfId="0"/>
    <xf numFmtId="0" fontId="0" fillId="2" borderId="0" xfId="0" applyFill="1"/>
    <xf numFmtId="0" fontId="12" fillId="2" borderId="0" xfId="0" applyFont="1" applyFill="1"/>
    <xf numFmtId="165" fontId="0" fillId="2" borderId="0" xfId="0" applyNumberFormat="1" applyFill="1"/>
    <xf numFmtId="165" fontId="9" fillId="2" borderId="0" xfId="3" applyFont="1" applyFill="1"/>
    <xf numFmtId="165" fontId="15" fillId="2" borderId="0" xfId="3" applyFont="1" applyFill="1"/>
    <xf numFmtId="165" fontId="4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horizontal="right" vertical="center"/>
    </xf>
    <xf numFmtId="165" fontId="15" fillId="2" borderId="3" xfId="3" applyFont="1" applyFill="1" applyBorder="1"/>
    <xf numFmtId="165" fontId="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2" fillId="2" borderId="0" xfId="3" applyFont="1" applyFill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14" fillId="2" borderId="0" xfId="3" applyFont="1" applyFill="1" applyAlignment="1">
      <alignment horizontal="right" vertical="center"/>
    </xf>
    <xf numFmtId="165" fontId="0" fillId="2" borderId="0" xfId="3" applyFont="1" applyFill="1" applyAlignment="1">
      <alignment vertical="center"/>
    </xf>
    <xf numFmtId="165" fontId="0" fillId="2" borderId="0" xfId="4" applyFont="1" applyFill="1" applyAlignment="1">
      <alignment horizontal="right" vertical="center"/>
    </xf>
    <xf numFmtId="165" fontId="6" fillId="2" borderId="0" xfId="3" applyFont="1" applyFill="1" applyAlignment="1">
      <alignment horizontal="right" vertical="center" indent="2"/>
    </xf>
    <xf numFmtId="165" fontId="4" fillId="2" borderId="0" xfId="3" applyFont="1" applyFill="1" applyAlignment="1">
      <alignment vertical="center"/>
    </xf>
    <xf numFmtId="168" fontId="4" fillId="2" borderId="0" xfId="1" applyNumberFormat="1" applyFont="1" applyFill="1" applyBorder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165" fontId="0" fillId="2" borderId="0" xfId="3" applyFont="1" applyFill="1"/>
    <xf numFmtId="165" fontId="0" fillId="2" borderId="2" xfId="3" applyFont="1" applyFill="1" applyBorder="1"/>
    <xf numFmtId="165" fontId="0" fillId="2" borderId="2" xfId="3" applyFont="1" applyFill="1" applyBorder="1" applyAlignment="1">
      <alignment vertical="center"/>
    </xf>
    <xf numFmtId="165" fontId="4" fillId="2" borderId="2" xfId="3" applyFont="1" applyFill="1" applyBorder="1" applyAlignment="1">
      <alignment vertical="center"/>
    </xf>
    <xf numFmtId="165" fontId="0" fillId="2" borderId="2" xfId="4" applyFont="1" applyFill="1" applyBorder="1" applyAlignment="1">
      <alignment horizontal="right" vertical="center"/>
    </xf>
    <xf numFmtId="165" fontId="16" fillId="2" borderId="2" xfId="3" applyFont="1" applyFill="1" applyBorder="1" applyAlignment="1">
      <alignment horizontal="right" vertical="center"/>
    </xf>
    <xf numFmtId="165" fontId="3" fillId="2" borderId="0" xfId="3" applyFont="1" applyFill="1" applyAlignment="1">
      <alignment horizontal="left" vertical="center"/>
    </xf>
    <xf numFmtId="165" fontId="12" fillId="2" borderId="0" xfId="3" applyFont="1" applyFill="1"/>
    <xf numFmtId="165" fontId="8" fillId="2" borderId="0" xfId="3" applyFont="1" applyFill="1"/>
    <xf numFmtId="165" fontId="18" fillId="2" borderId="0" xfId="3" applyFont="1" applyFill="1" applyAlignment="1">
      <alignment horizontal="left" vertical="center"/>
    </xf>
    <xf numFmtId="165" fontId="3" fillId="2" borderId="0" xfId="3" applyFont="1" applyFill="1"/>
    <xf numFmtId="165" fontId="0" fillId="2" borderId="5" xfId="4" applyFont="1" applyFill="1" applyBorder="1" applyAlignment="1">
      <alignment horizontal="right" vertical="center"/>
    </xf>
    <xf numFmtId="165" fontId="1" fillId="2" borderId="0" xfId="4" applyFont="1" applyFill="1" applyAlignment="1">
      <alignment horizontal="right" vertical="center"/>
    </xf>
    <xf numFmtId="165" fontId="1" fillId="2" borderId="5" xfId="4" applyFont="1" applyFill="1" applyBorder="1" applyAlignment="1">
      <alignment horizontal="right" vertical="center"/>
    </xf>
    <xf numFmtId="168" fontId="4" fillId="2" borderId="0" xfId="10" applyNumberFormat="1" applyFont="1" applyFill="1" applyBorder="1" applyAlignment="1">
      <alignment horizontal="right" vertical="center"/>
    </xf>
    <xf numFmtId="165" fontId="7" fillId="2" borderId="0" xfId="3" applyFont="1" applyFill="1" applyAlignment="1">
      <alignment horizontal="center" vertical="center"/>
    </xf>
    <xf numFmtId="165" fontId="2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indent="2"/>
    </xf>
    <xf numFmtId="165" fontId="17" fillId="2" borderId="6" xfId="3" applyFont="1" applyFill="1" applyBorder="1" applyAlignment="1">
      <alignment horizontal="right" vertical="center" indent="2"/>
    </xf>
  </cellXfs>
  <cellStyles count="17">
    <cellStyle name="1" xfId="9" xr:uid="{00000000-0005-0000-0000-000000000000}"/>
    <cellStyle name="Comma" xfId="1" builtinId="3"/>
    <cellStyle name="Comma 3" xfId="6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3" xr:uid="{00000000-0005-0000-0000-000004000000}"/>
    <cellStyle name="Normal 14 2" xfId="13" xr:uid="{AC48AFEB-22E5-4F8D-81DB-8FE218E38520}"/>
    <cellStyle name="Normal 15" xfId="5" xr:uid="{00000000-0005-0000-0000-000005000000}"/>
    <cellStyle name="Normal 15 2" xfId="12" xr:uid="{3F966413-A11F-4BE6-BFC5-2EE77E45E101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6.11: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2010 - 2025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99505796977358"/>
          <c:y val="6.89945442793961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numRef>
              <c:f>'6.11'!$D$5:$S$5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'6.11'!$D$7:$S$7</c:f>
              <c:numCache>
                <c:formatCode>General_)</c:formatCode>
                <c:ptCount val="16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  <c:pt idx="9">
                  <c:v>440</c:v>
                </c:pt>
                <c:pt idx="10">
                  <c:v>445</c:v>
                </c:pt>
                <c:pt idx="11">
                  <c:v>453</c:v>
                </c:pt>
                <c:pt idx="12">
                  <c:v>461</c:v>
                </c:pt>
                <c:pt idx="13">
                  <c:v>465</c:v>
                </c:pt>
                <c:pt idx="14">
                  <c:v>486</c:v>
                </c:pt>
                <c:pt idx="15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'6.11'!$D$5:$S$5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'6.11'!$D$8:$S$8</c:f>
              <c:numCache>
                <c:formatCode>General_)</c:formatCode>
                <c:ptCount val="16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  <c:pt idx="9">
                  <c:v>451</c:v>
                </c:pt>
                <c:pt idx="10">
                  <c:v>452</c:v>
                </c:pt>
                <c:pt idx="11">
                  <c:v>465</c:v>
                </c:pt>
                <c:pt idx="12">
                  <c:v>475</c:v>
                </c:pt>
                <c:pt idx="13">
                  <c:v>479</c:v>
                </c:pt>
                <c:pt idx="14">
                  <c:v>477</c:v>
                </c:pt>
                <c:pt idx="15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800"/>
        <c:axId val="133892720"/>
      </c:barChart>
      <c:catAx>
        <c:axId val="13388880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3892720"/>
        <c:crosses val="autoZero"/>
        <c:auto val="1"/>
        <c:lblAlgn val="ctr"/>
        <c:lblOffset val="100"/>
        <c:noMultiLvlLbl val="0"/>
      </c:catAx>
      <c:valAx>
        <c:axId val="133892720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800"/>
        <c:crosses val="autoZero"/>
        <c:crossBetween val="between"/>
      </c:valAx>
      <c:spPr>
        <a:solidFill>
          <a:srgbClr val="F1F7ED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9424312808416553E-2"/>
          <c:y val="0.26113229487421924"/>
          <c:w val="0.10645947236330683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'6.11'!$A$12</c:f>
              <c:strCache>
                <c:ptCount val="1"/>
                <c:pt idx="0">
                  <c:v>Total New cases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'6.11'!$D$5:$S$5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'6.11'!$D$12:$S$12</c:f>
              <c:numCache>
                <c:formatCode>General_)</c:formatCode>
                <c:ptCount val="16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  <c:pt idx="10">
                  <c:v>6</c:v>
                </c:pt>
                <c:pt idx="11">
                  <c:v>22</c:v>
                </c:pt>
                <c:pt idx="12">
                  <c:v>16</c:v>
                </c:pt>
                <c:pt idx="13">
                  <c:v>11</c:v>
                </c:pt>
                <c:pt idx="14">
                  <c:v>18</c:v>
                </c:pt>
                <c:pt idx="1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strRef>
              <c:f>'6.11'!$A$9</c:f>
              <c:strCache>
                <c:ptCount val="1"/>
                <c:pt idx="0">
                  <c:v>Total deaths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5.8541287712138885E-17"/>
                  <c:y val="7.0702464275298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19-40B7-BB1D-FA40F06C9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'6.11'!$D$5:$S$5</c:f>
              <c:numCache>
                <c:formatCode>General_)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'6.11'!$D$9:$S$9</c:f>
              <c:numCache>
                <c:formatCode>General_)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133889192"/>
        <c:axId val="133889584"/>
      </c:barChart>
      <c:catAx>
        <c:axId val="13388919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584"/>
        <c:crosses val="autoZero"/>
        <c:auto val="1"/>
        <c:lblAlgn val="ctr"/>
        <c:lblOffset val="100"/>
        <c:noMultiLvlLbl val="0"/>
      </c:catAx>
      <c:valAx>
        <c:axId val="133889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192"/>
        <c:crosses val="autoZero"/>
        <c:crossBetween val="between"/>
      </c:valAx>
      <c:spPr>
        <a:solidFill>
          <a:srgbClr val="F1F7ED"/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1284182718441125"/>
          <c:y val="0.24613954505686789"/>
          <c:w val="0.21957795757632961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954034</xdr:colOff>
      <xdr:row>23</xdr:row>
      <xdr:rowOff>168685</xdr:rowOff>
    </xdr:from>
    <xdr:to>
      <xdr:col>20</xdr:col>
      <xdr:colOff>704849</xdr:colOff>
      <xdr:row>38</xdr:row>
      <xdr:rowOff>145641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4</xdr:col>
      <xdr:colOff>53770</xdr:colOff>
      <xdr:row>26</xdr:row>
      <xdr:rowOff>86789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20</xdr:col>
      <xdr:colOff>734458</xdr:colOff>
      <xdr:row>53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167549</xdr:colOff>
      <xdr:row>40</xdr:row>
      <xdr:rowOff>5166</xdr:rowOff>
    </xdr:from>
    <xdr:to>
      <xdr:col>14</xdr:col>
      <xdr:colOff>533400</xdr:colOff>
      <xdr:row>41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948974" y="7710891"/>
          <a:ext cx="5852251" cy="2710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6.12: Number of dealth and newly registered  cases  of thalassaemic patients,  2010 - 2025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W23"/>
  <sheetViews>
    <sheetView tabSelected="1" topLeftCell="B1" zoomScaleNormal="100" workbookViewId="0">
      <selection activeCell="Z15" sqref="Z15"/>
    </sheetView>
  </sheetViews>
  <sheetFormatPr defaultColWidth="9.140625" defaultRowHeight="15"/>
  <cols>
    <col min="1" max="1" width="4.140625" style="1" customWidth="1"/>
    <col min="2" max="2" width="12.28515625" style="1" customWidth="1"/>
    <col min="3" max="3" width="22" style="1" customWidth="1"/>
    <col min="4" max="20" width="9.140625" style="1"/>
    <col min="21" max="21" width="35.85546875" style="1" customWidth="1"/>
    <col min="22" max="22" width="3.85546875" style="1" customWidth="1"/>
    <col min="23" max="16384" width="9.140625" style="1"/>
  </cols>
  <sheetData>
    <row r="2" spans="1:22" ht="18.75">
      <c r="A2" s="37" t="s">
        <v>28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2">
      <c r="A3" s="38" t="s">
        <v>27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2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2">
      <c r="A5" s="6"/>
      <c r="B5" s="6"/>
      <c r="C5" s="7"/>
      <c r="D5" s="8">
        <v>2010</v>
      </c>
      <c r="E5" s="8">
        <v>2011</v>
      </c>
      <c r="F5" s="8">
        <v>2012</v>
      </c>
      <c r="G5" s="8">
        <v>2013</v>
      </c>
      <c r="H5" s="8">
        <v>2014</v>
      </c>
      <c r="I5" s="8">
        <v>2015</v>
      </c>
      <c r="J5" s="8">
        <v>2016</v>
      </c>
      <c r="K5" s="8">
        <v>2017</v>
      </c>
      <c r="L5" s="8">
        <v>2018</v>
      </c>
      <c r="M5" s="8">
        <v>2019</v>
      </c>
      <c r="N5" s="8">
        <v>2020</v>
      </c>
      <c r="O5" s="8">
        <v>2021</v>
      </c>
      <c r="P5" s="8">
        <v>2022</v>
      </c>
      <c r="Q5" s="8">
        <v>2023</v>
      </c>
      <c r="R5" s="8">
        <v>2024</v>
      </c>
      <c r="S5" s="8">
        <v>2025</v>
      </c>
      <c r="T5" s="8"/>
      <c r="U5" s="9"/>
    </row>
    <row r="6" spans="1:22" ht="15.75">
      <c r="A6" s="10" t="s">
        <v>4</v>
      </c>
      <c r="B6" s="10"/>
      <c r="C6" s="11"/>
      <c r="D6" s="13">
        <v>712</v>
      </c>
      <c r="E6" s="14">
        <v>743</v>
      </c>
      <c r="F6" s="14">
        <v>769</v>
      </c>
      <c r="G6" s="14">
        <v>787</v>
      </c>
      <c r="H6" s="14">
        <v>814</v>
      </c>
      <c r="I6" s="14">
        <v>836</v>
      </c>
      <c r="J6" s="14">
        <v>850</v>
      </c>
      <c r="K6" s="14">
        <v>861</v>
      </c>
      <c r="L6" s="14">
        <f>SUM(L7:L8)</f>
        <v>880</v>
      </c>
      <c r="M6" s="14">
        <f>SUM(M7:M8)</f>
        <v>891</v>
      </c>
      <c r="N6" s="14">
        <f>SUM(N7:N8)</f>
        <v>897</v>
      </c>
      <c r="O6" s="14">
        <f t="shared" ref="O6:P6" si="0">SUM(O7:O8)</f>
        <v>918</v>
      </c>
      <c r="P6" s="14">
        <f t="shared" si="0"/>
        <v>936</v>
      </c>
      <c r="Q6" s="14">
        <v>944</v>
      </c>
      <c r="R6" s="14">
        <v>963</v>
      </c>
      <c r="S6" s="14">
        <v>974</v>
      </c>
      <c r="T6" s="14"/>
      <c r="U6" s="15" t="s">
        <v>5</v>
      </c>
    </row>
    <row r="7" spans="1:22" ht="18.75">
      <c r="A7" s="10"/>
      <c r="B7" s="16" t="s">
        <v>1</v>
      </c>
      <c r="C7" s="11"/>
      <c r="D7" s="17">
        <v>363</v>
      </c>
      <c r="E7" s="17">
        <v>378</v>
      </c>
      <c r="F7" s="17">
        <v>392</v>
      </c>
      <c r="G7" s="17">
        <v>399</v>
      </c>
      <c r="H7" s="17">
        <v>417</v>
      </c>
      <c r="I7" s="17">
        <v>425</v>
      </c>
      <c r="J7" s="17">
        <v>431</v>
      </c>
      <c r="K7" s="17">
        <v>436</v>
      </c>
      <c r="L7" s="17">
        <v>448</v>
      </c>
      <c r="M7" s="17">
        <v>440</v>
      </c>
      <c r="N7" s="17">
        <v>445</v>
      </c>
      <c r="O7" s="17">
        <v>453</v>
      </c>
      <c r="P7" s="17">
        <v>461</v>
      </c>
      <c r="Q7" s="17">
        <v>465</v>
      </c>
      <c r="R7" s="17">
        <v>486</v>
      </c>
      <c r="S7" s="34">
        <v>483</v>
      </c>
      <c r="T7" s="17"/>
      <c r="U7" s="18" t="s">
        <v>6</v>
      </c>
      <c r="V7" s="3"/>
    </row>
    <row r="8" spans="1:22" ht="18.75">
      <c r="A8" s="10"/>
      <c r="B8" s="16" t="s">
        <v>2</v>
      </c>
      <c r="C8" s="11"/>
      <c r="D8" s="17">
        <v>349</v>
      </c>
      <c r="E8" s="17">
        <v>365</v>
      </c>
      <c r="F8" s="17">
        <v>377</v>
      </c>
      <c r="G8" s="17">
        <v>388</v>
      </c>
      <c r="H8" s="17">
        <v>397</v>
      </c>
      <c r="I8" s="17">
        <v>411</v>
      </c>
      <c r="J8" s="17">
        <v>419</v>
      </c>
      <c r="K8" s="17">
        <v>425</v>
      </c>
      <c r="L8" s="17">
        <v>432</v>
      </c>
      <c r="M8" s="17">
        <v>451</v>
      </c>
      <c r="N8" s="17">
        <v>452</v>
      </c>
      <c r="O8" s="17">
        <v>465</v>
      </c>
      <c r="P8" s="17">
        <v>475</v>
      </c>
      <c r="Q8" s="17">
        <v>479</v>
      </c>
      <c r="R8" s="17">
        <v>477</v>
      </c>
      <c r="S8" s="34">
        <v>491</v>
      </c>
      <c r="T8" s="17"/>
      <c r="U8" s="18" t="s">
        <v>7</v>
      </c>
    </row>
    <row r="9" spans="1:22" ht="15.75">
      <c r="A9" s="10" t="s">
        <v>8</v>
      </c>
      <c r="B9" s="10"/>
      <c r="C9" s="11"/>
      <c r="D9" s="14">
        <v>4</v>
      </c>
      <c r="E9" s="14">
        <v>4</v>
      </c>
      <c r="F9" s="14">
        <v>4</v>
      </c>
      <c r="G9" s="14">
        <v>3</v>
      </c>
      <c r="H9" s="14">
        <v>11</v>
      </c>
      <c r="I9" s="14">
        <v>3</v>
      </c>
      <c r="J9" s="14">
        <v>6</v>
      </c>
      <c r="K9" s="14">
        <v>10</v>
      </c>
      <c r="L9" s="14">
        <f>SUM(L10:L11)</f>
        <v>8</v>
      </c>
      <c r="M9" s="14">
        <f>SUM(M10:M11)</f>
        <v>11</v>
      </c>
      <c r="N9" s="14">
        <f t="shared" ref="N9:P9" si="1">SUM(N10:N11)</f>
        <v>5</v>
      </c>
      <c r="O9" s="14">
        <f t="shared" si="1"/>
        <v>8</v>
      </c>
      <c r="P9" s="14">
        <f t="shared" si="1"/>
        <v>7</v>
      </c>
      <c r="Q9" s="14">
        <v>3</v>
      </c>
      <c r="R9" s="14">
        <v>2</v>
      </c>
      <c r="S9" s="14">
        <v>5</v>
      </c>
      <c r="T9" s="14"/>
      <c r="U9" s="15" t="s">
        <v>9</v>
      </c>
    </row>
    <row r="10" spans="1:22" ht="15.75">
      <c r="A10" s="16"/>
      <c r="B10" s="16" t="s">
        <v>0</v>
      </c>
      <c r="C10" s="19"/>
      <c r="D10" s="17">
        <v>2</v>
      </c>
      <c r="E10" s="17">
        <v>1</v>
      </c>
      <c r="F10" s="17">
        <v>3</v>
      </c>
      <c r="G10" s="20" t="s">
        <v>3</v>
      </c>
      <c r="H10" s="17">
        <v>5</v>
      </c>
      <c r="I10" s="20">
        <v>1</v>
      </c>
      <c r="J10" s="20">
        <v>3</v>
      </c>
      <c r="K10" s="20">
        <v>5</v>
      </c>
      <c r="L10" s="20" t="s">
        <v>3</v>
      </c>
      <c r="M10" s="20">
        <v>5</v>
      </c>
      <c r="N10" s="20">
        <v>2</v>
      </c>
      <c r="O10" s="20">
        <v>4</v>
      </c>
      <c r="P10" s="20">
        <v>6</v>
      </c>
      <c r="Q10" s="20">
        <v>2</v>
      </c>
      <c r="R10" s="20">
        <v>2</v>
      </c>
      <c r="S10" s="36">
        <v>2</v>
      </c>
      <c r="T10" s="20"/>
      <c r="U10" s="21" t="s">
        <v>10</v>
      </c>
    </row>
    <row r="11" spans="1:22" ht="15.75">
      <c r="A11" s="16"/>
      <c r="B11" s="16" t="s">
        <v>11</v>
      </c>
      <c r="C11" s="19"/>
      <c r="D11" s="17">
        <v>2</v>
      </c>
      <c r="E11" s="17">
        <v>3</v>
      </c>
      <c r="F11" s="17">
        <v>1</v>
      </c>
      <c r="G11" s="17">
        <v>3</v>
      </c>
      <c r="H11" s="17">
        <v>6</v>
      </c>
      <c r="I11" s="17">
        <v>2</v>
      </c>
      <c r="J11" s="17">
        <v>3</v>
      </c>
      <c r="K11" s="17">
        <v>5</v>
      </c>
      <c r="L11" s="17">
        <v>8</v>
      </c>
      <c r="M11" s="17">
        <v>6</v>
      </c>
      <c r="N11" s="17">
        <v>3</v>
      </c>
      <c r="O11" s="17">
        <v>4</v>
      </c>
      <c r="P11" s="17">
        <v>1</v>
      </c>
      <c r="Q11" s="17">
        <v>1</v>
      </c>
      <c r="R11" s="17">
        <v>0</v>
      </c>
      <c r="S11" s="34">
        <v>3</v>
      </c>
      <c r="T11" s="17"/>
      <c r="U11" s="21" t="s">
        <v>12</v>
      </c>
    </row>
    <row r="12" spans="1:22" ht="15.75">
      <c r="A12" s="10" t="s">
        <v>13</v>
      </c>
      <c r="B12" s="10"/>
      <c r="C12" s="11"/>
      <c r="D12" s="12">
        <v>22</v>
      </c>
      <c r="E12" s="12">
        <v>31</v>
      </c>
      <c r="F12" s="12">
        <v>22</v>
      </c>
      <c r="G12" s="12">
        <v>18</v>
      </c>
      <c r="H12" s="12">
        <v>27</v>
      </c>
      <c r="I12" s="12">
        <v>22</v>
      </c>
      <c r="J12" s="12">
        <v>14</v>
      </c>
      <c r="K12" s="12">
        <v>11</v>
      </c>
      <c r="L12" s="12">
        <f>SUM(L13:L14)</f>
        <v>19</v>
      </c>
      <c r="M12" s="12">
        <f>SUM(M13:M14)</f>
        <v>11</v>
      </c>
      <c r="N12" s="12">
        <f t="shared" ref="N12:P12" si="2">SUM(N13:N14)</f>
        <v>6</v>
      </c>
      <c r="O12" s="12">
        <f t="shared" si="2"/>
        <v>22</v>
      </c>
      <c r="P12" s="12">
        <f t="shared" si="2"/>
        <v>16</v>
      </c>
      <c r="Q12" s="12">
        <v>11</v>
      </c>
      <c r="R12" s="12">
        <v>18</v>
      </c>
      <c r="S12" s="12">
        <v>11</v>
      </c>
      <c r="T12" s="12"/>
      <c r="U12" s="15" t="s">
        <v>14</v>
      </c>
    </row>
    <row r="13" spans="1:22" ht="15.75">
      <c r="A13" s="16"/>
      <c r="B13" s="16" t="s">
        <v>0</v>
      </c>
      <c r="C13" s="19"/>
      <c r="D13" s="17">
        <v>3</v>
      </c>
      <c r="E13" s="17">
        <v>4</v>
      </c>
      <c r="F13" s="17">
        <v>6</v>
      </c>
      <c r="G13" s="17">
        <v>3</v>
      </c>
      <c r="H13" s="17">
        <v>17</v>
      </c>
      <c r="I13" s="17">
        <v>6</v>
      </c>
      <c r="J13" s="17">
        <v>1</v>
      </c>
      <c r="K13" s="17">
        <v>5</v>
      </c>
      <c r="L13" s="17">
        <v>1</v>
      </c>
      <c r="M13" s="17">
        <v>8</v>
      </c>
      <c r="N13" s="17">
        <v>4</v>
      </c>
      <c r="O13" s="17">
        <v>13</v>
      </c>
      <c r="P13" s="17">
        <v>6</v>
      </c>
      <c r="Q13" s="17">
        <v>7</v>
      </c>
      <c r="R13" s="17">
        <v>8</v>
      </c>
      <c r="S13" s="34">
        <v>4</v>
      </c>
      <c r="T13" s="17"/>
      <c r="U13" s="21" t="s">
        <v>10</v>
      </c>
    </row>
    <row r="14" spans="1:22" ht="15.75">
      <c r="A14" s="16"/>
      <c r="B14" s="16" t="s">
        <v>11</v>
      </c>
      <c r="C14" s="19"/>
      <c r="D14" s="17">
        <v>19</v>
      </c>
      <c r="E14" s="17">
        <v>27</v>
      </c>
      <c r="F14" s="17">
        <v>16</v>
      </c>
      <c r="G14" s="17">
        <v>15</v>
      </c>
      <c r="H14" s="17">
        <v>10</v>
      </c>
      <c r="I14" s="17">
        <v>16</v>
      </c>
      <c r="J14" s="17">
        <v>13</v>
      </c>
      <c r="K14" s="17">
        <v>6</v>
      </c>
      <c r="L14" s="17">
        <v>18</v>
      </c>
      <c r="M14" s="17">
        <v>3</v>
      </c>
      <c r="N14" s="17">
        <v>2</v>
      </c>
      <c r="O14" s="17">
        <v>9</v>
      </c>
      <c r="P14" s="17">
        <v>10</v>
      </c>
      <c r="Q14" s="17">
        <v>4</v>
      </c>
      <c r="R14" s="17">
        <v>10</v>
      </c>
      <c r="S14" s="34">
        <v>7</v>
      </c>
      <c r="T14" s="17"/>
      <c r="U14" s="21" t="s">
        <v>12</v>
      </c>
    </row>
    <row r="15" spans="1:22" ht="15.75">
      <c r="A15" s="10" t="s">
        <v>15</v>
      </c>
      <c r="B15" s="16"/>
      <c r="C15" s="19"/>
      <c r="D15" s="12">
        <v>530</v>
      </c>
      <c r="E15" s="12">
        <v>562</v>
      </c>
      <c r="F15" s="12">
        <v>574</v>
      </c>
      <c r="G15" s="12">
        <v>572</v>
      </c>
      <c r="H15" s="12">
        <v>599</v>
      </c>
      <c r="I15" s="12">
        <v>620</v>
      </c>
      <c r="J15" s="12">
        <v>623</v>
      </c>
      <c r="K15" s="12">
        <v>623</v>
      </c>
      <c r="L15" s="12">
        <f>SUM(L16:L17)</f>
        <v>635</v>
      </c>
      <c r="M15" s="12">
        <f>SUM(M16:M17)</f>
        <v>631</v>
      </c>
      <c r="N15" s="12">
        <v>629</v>
      </c>
      <c r="O15" s="12">
        <v>641</v>
      </c>
      <c r="P15" s="12">
        <v>653</v>
      </c>
      <c r="Q15" s="12">
        <v>654</v>
      </c>
      <c r="R15" s="12">
        <v>669</v>
      </c>
      <c r="S15" s="12">
        <v>665</v>
      </c>
      <c r="T15" s="12"/>
      <c r="U15" s="15" t="s">
        <v>16</v>
      </c>
    </row>
    <row r="16" spans="1:22" ht="15.75">
      <c r="A16" s="22"/>
      <c r="B16" s="16" t="s">
        <v>17</v>
      </c>
      <c r="C16" s="19"/>
      <c r="D16" s="17">
        <v>288</v>
      </c>
      <c r="E16" s="17">
        <v>291</v>
      </c>
      <c r="F16" s="17">
        <v>345</v>
      </c>
      <c r="G16" s="17">
        <v>250</v>
      </c>
      <c r="H16" s="17">
        <v>267</v>
      </c>
      <c r="I16" s="17">
        <v>290</v>
      </c>
      <c r="J16" s="17">
        <v>290</v>
      </c>
      <c r="K16" s="17">
        <v>290</v>
      </c>
      <c r="L16" s="17">
        <v>304</v>
      </c>
      <c r="M16" s="17">
        <v>304</v>
      </c>
      <c r="N16" s="17">
        <v>309</v>
      </c>
      <c r="O16" s="17">
        <v>318</v>
      </c>
      <c r="P16" s="17">
        <v>320</v>
      </c>
      <c r="Q16" s="17">
        <v>361</v>
      </c>
      <c r="R16" s="17">
        <v>327</v>
      </c>
      <c r="S16" s="34">
        <v>328</v>
      </c>
      <c r="T16" s="17"/>
      <c r="U16" s="21" t="s">
        <v>18</v>
      </c>
    </row>
    <row r="17" spans="1:21" ht="15.75">
      <c r="A17" s="23"/>
      <c r="B17" s="24" t="s">
        <v>19</v>
      </c>
      <c r="C17" s="25"/>
      <c r="D17" s="26">
        <v>242</v>
      </c>
      <c r="E17" s="26">
        <v>271</v>
      </c>
      <c r="F17" s="26">
        <v>229</v>
      </c>
      <c r="G17" s="26">
        <v>322</v>
      </c>
      <c r="H17" s="26">
        <v>332</v>
      </c>
      <c r="I17" s="26">
        <v>330</v>
      </c>
      <c r="J17" s="26">
        <v>333</v>
      </c>
      <c r="K17" s="26">
        <v>333</v>
      </c>
      <c r="L17" s="26">
        <v>331</v>
      </c>
      <c r="M17" s="26">
        <v>327</v>
      </c>
      <c r="N17" s="26">
        <v>320</v>
      </c>
      <c r="O17" s="26">
        <v>323</v>
      </c>
      <c r="P17" s="26">
        <v>333</v>
      </c>
      <c r="Q17" s="26">
        <v>293</v>
      </c>
      <c r="R17" s="33">
        <v>342</v>
      </c>
      <c r="S17" s="35">
        <v>337</v>
      </c>
      <c r="T17" s="33"/>
      <c r="U17" s="27" t="s">
        <v>20</v>
      </c>
    </row>
    <row r="18" spans="1:21">
      <c r="A18" s="28" t="s">
        <v>21</v>
      </c>
      <c r="B18" s="29"/>
      <c r="C18" s="30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  <c r="S18" s="40"/>
      <c r="T18" s="40"/>
      <c r="U18" s="39"/>
    </row>
    <row r="19" spans="1:21">
      <c r="A19" s="31" t="s">
        <v>22</v>
      </c>
      <c r="B19" s="29"/>
    </row>
    <row r="20" spans="1:21" s="2" customFormat="1" ht="14.25" customHeight="1">
      <c r="A20" s="32" t="s">
        <v>23</v>
      </c>
      <c r="B20" s="29"/>
    </row>
    <row r="21" spans="1:21" s="2" customFormat="1" ht="14.25" customHeight="1">
      <c r="A21" s="32" t="s">
        <v>24</v>
      </c>
      <c r="B21" s="29"/>
    </row>
    <row r="22" spans="1:21" s="2" customFormat="1" ht="14.25" customHeight="1">
      <c r="A22" s="32" t="s">
        <v>25</v>
      </c>
      <c r="B22" s="29"/>
    </row>
    <row r="23" spans="1:21" s="2" customFormat="1" ht="14.25" customHeight="1">
      <c r="A23" s="32" t="s">
        <v>26</v>
      </c>
      <c r="B23" s="29"/>
    </row>
  </sheetData>
  <mergeCells count="3">
    <mergeCell ref="A2:U2"/>
    <mergeCell ref="A3:U3"/>
    <mergeCell ref="D18:U18"/>
  </mergeCells>
  <pageMargins left="0.7" right="0.7" top="0.75" bottom="0.75" header="0.3" footer="0.3"/>
  <pageSetup paperSize="9" scale="50" orientation="landscape" r:id="rId1"/>
  <ignoredErrors>
    <ignoredError sqref="N6:P6 N12:P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2026-05-05T05:43:31Z</cp:lastPrinted>
  <dcterms:created xsi:type="dcterms:W3CDTF">2019-08-06T05:35:20Z</dcterms:created>
  <dcterms:modified xsi:type="dcterms:W3CDTF">2026-05-05T05:43:37Z</dcterms:modified>
</cp:coreProperties>
</file>