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7FC0354F-D96C-43EC-B1CB-0890DAE4FF9B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4" sheetId="27" r:id="rId1"/>
  </sheets>
  <definedNames>
    <definedName name="_xlnm.Print_Area" localSheetId="0">'3.4'!$A$1:$E$44</definedName>
    <definedName name="_xlnm.Print_Titles" localSheetId="0">'3.4'!$3:$4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5" i="27" l="1"/>
  <c r="AX36" i="27"/>
  <c r="AX37" i="27"/>
  <c r="AX38" i="27"/>
  <c r="AX39" i="27"/>
  <c r="AX40" i="27"/>
  <c r="AX41" i="27"/>
  <c r="AX42" i="27"/>
  <c r="AX43" i="27"/>
  <c r="AX44" i="27"/>
  <c r="AX45" i="27"/>
  <c r="AX46" i="27"/>
  <c r="AX47" i="27"/>
  <c r="AX48" i="27"/>
  <c r="AX49" i="27"/>
  <c r="AX50" i="27"/>
  <c r="AX51" i="27"/>
  <c r="AX34" i="27"/>
  <c r="AX33" i="27"/>
  <c r="AX32" i="27"/>
  <c r="B28" i="27" l="1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D6" i="27"/>
  <c r="C6" i="27"/>
  <c r="B6" i="27" l="1"/>
</calcChain>
</file>

<file path=xl/sharedStrings.xml><?xml version="1.0" encoding="utf-8"?>
<sst xmlns="http://schemas.openxmlformats.org/spreadsheetml/2006/main" count="55" uniqueCount="35">
  <si>
    <t>cscnijed</t>
  </si>
  <si>
    <t>cnehirif</t>
  </si>
  <si>
    <t>cnehcnwa</t>
  </si>
  <si>
    <t>Both Sexes</t>
  </si>
  <si>
    <t>Male</t>
  </si>
  <si>
    <t>Female</t>
  </si>
  <si>
    <t>Wrufurumua</t>
  </si>
  <si>
    <t>Age group</t>
  </si>
  <si>
    <t>Total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</si>
  <si>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</si>
  <si>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</si>
  <si>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</si>
  <si>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</si>
  <si>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</si>
  <si>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</si>
  <si>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</si>
  <si>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</si>
  <si>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</si>
  <si>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</si>
  <si>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</si>
  <si>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</si>
  <si>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</si>
  <si>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</si>
  <si>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</si>
  <si>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</si>
  <si>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</si>
  <si>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</si>
  <si>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</si>
  <si>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</si>
  <si>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</si>
  <si>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</si>
  <si>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years and over</t>
  </si>
  <si>
    <t xml:space="preserve">    Department of National Registration</t>
  </si>
  <si>
    <t>0 - 4</t>
  </si>
  <si>
    <t>Table 3.4: Registered population by age group and sex,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</si>
</sst>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color rgb="FF000000"/>
      <name val="Calibri"/>
      <family val="2"/>
      <scheme val="minor"/>
    </font>
    <font>
      <i/>
      <sz val="8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</borders>
  <cellStyleXfs count="28">
    <xf numFmtId="0" fontId="0" fillId="0" borderId="0"/>
    <xf numFmtId="167" fontId="2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3" fillId="0" borderId="0"/>
  </cellStyleXfs>
  <cellXfs count="21">
    <xf numFmtId="0" fontId="0" fillId="0" borderId="0" xfId="0"/>
    <xf numFmtId="0" fontId="0" fillId="2" borderId="0" xfId="0" applyFill="1"/>
    <xf numFmtId="3" fontId="4" fillId="2" borderId="0" xfId="0" applyNumberFormat="1" applyFont="1" applyFill="1"/>
    <xf numFmtId="3" fontId="6" fillId="2" borderId="0" xfId="0" applyNumberFormat="1" applyFont="1" applyFill="1" applyAlignment="1">
      <alignment horizontal="right" vertical="center"/>
    </xf>
    <xf numFmtId="3" fontId="0" fillId="2" borderId="0" xfId="0" applyNumberFormat="1" applyFill="1"/>
    <xf numFmtId="0" fontId="10" fillId="2" borderId="0" xfId="0" applyFont="1" applyFill="1"/>
    <xf numFmtId="0" fontId="5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top"/>
    </xf>
    <xf numFmtId="49" fontId="9" fillId="2" borderId="0" xfId="0" applyNumberFormat="1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/>
    <xf numFmtId="0" fontId="6" fillId="2" borderId="2" xfId="0" applyFont="1" applyFill="1" applyBorder="1" applyAlignment="1">
      <alignment horizontal="right" vertical="center"/>
    </xf>
    <xf numFmtId="49" fontId="9" fillId="2" borderId="2" xfId="0" applyNumberFormat="1" applyFont="1" applyFill="1" applyBorder="1" applyAlignment="1">
      <alignment horizontal="center" wrapText="1"/>
    </xf>
    <xf numFmtId="167" fontId="14" fillId="2" borderId="0" xfId="1" applyFont="1" applyFill="1" applyAlignment="1" applyProtection="1">
      <alignment horizontal="left" vertical="center"/>
      <protection locked="0"/>
    </xf>
    <xf numFmtId="0" fontId="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3.7: Registered Population pyramid  of Maldives,  2025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'3.4'!$AW$31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'3.4'!$AV$32:$AV$51</c:f>
              <c:strCache>
                <c:ptCount val="20"/>
                <c:pt idx="0">
                  <c:v>0 - 4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75 - 79</c:v>
                </c:pt>
                <c:pt idx="16">
                  <c:v>80 - 84</c:v>
                </c:pt>
                <c:pt idx="17">
                  <c:v>85 - 89</c:v>
                </c:pt>
                <c:pt idx="18">
                  <c:v>90 - 94</c:v>
                </c:pt>
                <c:pt idx="19">
                  <c:v>95 years and over</c:v>
                </c:pt>
              </c:strCache>
            </c:strRef>
          </c:cat>
          <c:val>
            <c:numRef>
              <c:f>'3.4'!$AW$32:$AW$51</c:f>
              <c:numCache>
                <c:formatCode>#,##0</c:formatCode>
                <c:ptCount val="20"/>
                <c:pt idx="0">
                  <c:v>-14910</c:v>
                </c:pt>
                <c:pt idx="1">
                  <c:v>-16858</c:v>
                </c:pt>
                <c:pt idx="2">
                  <c:v>-19115</c:v>
                </c:pt>
                <c:pt idx="3">
                  <c:v>-18075</c:v>
                </c:pt>
                <c:pt idx="4">
                  <c:v>-13588</c:v>
                </c:pt>
                <c:pt idx="5">
                  <c:v>-15707</c:v>
                </c:pt>
                <c:pt idx="6">
                  <c:v>-19377</c:v>
                </c:pt>
                <c:pt idx="7">
                  <c:v>-20646</c:v>
                </c:pt>
                <c:pt idx="8">
                  <c:v>-18001</c:v>
                </c:pt>
                <c:pt idx="9">
                  <c:v>-13057</c:v>
                </c:pt>
                <c:pt idx="10">
                  <c:v>-10800</c:v>
                </c:pt>
                <c:pt idx="11">
                  <c:v>-9558</c:v>
                </c:pt>
                <c:pt idx="12">
                  <c:v>-8100</c:v>
                </c:pt>
                <c:pt idx="13">
                  <c:v>-6461</c:v>
                </c:pt>
                <c:pt idx="14">
                  <c:v>-3326</c:v>
                </c:pt>
                <c:pt idx="15">
                  <c:v>-2020</c:v>
                </c:pt>
                <c:pt idx="16">
                  <c:v>-1327</c:v>
                </c:pt>
                <c:pt idx="17">
                  <c:v>-793</c:v>
                </c:pt>
                <c:pt idx="18">
                  <c:v>-314</c:v>
                </c:pt>
                <c:pt idx="19">
                  <c:v>-120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4-4D96-8C93-2D81978DA825}"/>
            </c:ext>
          </c:extLst>
        </c:ser>
        <c:ser>
          <c:idx val="2"/>
          <c:order val="1"/>
          <c:tx>
            <c:strRef>
              <c:f>'3.4'!$AX$31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'3.4'!$AV$32:$AV$51</c:f>
              <c:strCache>
                <c:ptCount val="20"/>
                <c:pt idx="0">
                  <c:v>0 - 4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75 - 79</c:v>
                </c:pt>
                <c:pt idx="16">
                  <c:v>80 - 84</c:v>
                </c:pt>
                <c:pt idx="17">
                  <c:v>85 - 89</c:v>
                </c:pt>
                <c:pt idx="18">
                  <c:v>90 - 94</c:v>
                </c:pt>
                <c:pt idx="19">
                  <c:v>95 years and over</c:v>
                </c:pt>
              </c:strCache>
            </c:strRef>
          </c:cat>
          <c:val>
            <c:numRef>
              <c:f>'3.4'!$AX$32:$AX$51</c:f>
              <c:numCache>
                <c:formatCode>#,##0</c:formatCode>
                <c:ptCount val="20"/>
                <c:pt idx="0">
                  <c:v>14530</c:v>
                </c:pt>
                <c:pt idx="1">
                  <c:v>16147</c:v>
                </c:pt>
                <c:pt idx="2">
                  <c:v>17650</c:v>
                </c:pt>
                <c:pt idx="3">
                  <c:v>17138</c:v>
                </c:pt>
                <c:pt idx="4">
                  <c:v>13055</c:v>
                </c:pt>
                <c:pt idx="5">
                  <c:v>14908</c:v>
                </c:pt>
                <c:pt idx="6">
                  <c:v>18128</c:v>
                </c:pt>
                <c:pt idx="7">
                  <c:v>19923</c:v>
                </c:pt>
                <c:pt idx="8">
                  <c:v>17777</c:v>
                </c:pt>
                <c:pt idx="9">
                  <c:v>12654</c:v>
                </c:pt>
                <c:pt idx="10">
                  <c:v>10599</c:v>
                </c:pt>
                <c:pt idx="11">
                  <c:v>9296</c:v>
                </c:pt>
                <c:pt idx="12">
                  <c:v>7822</c:v>
                </c:pt>
                <c:pt idx="13">
                  <c:v>6084</c:v>
                </c:pt>
                <c:pt idx="14">
                  <c:v>3038</c:v>
                </c:pt>
                <c:pt idx="15">
                  <c:v>2015</c:v>
                </c:pt>
                <c:pt idx="16">
                  <c:v>1351</c:v>
                </c:pt>
                <c:pt idx="17">
                  <c:v>739</c:v>
                </c:pt>
                <c:pt idx="18">
                  <c:v>226</c:v>
                </c:pt>
                <c:pt idx="1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4-4D96-8C93-2D81978D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451184</xdr:colOff>
      <xdr:row>29</xdr:row>
      <xdr:rowOff>105275</xdr:rowOff>
    </xdr:from>
    <xdr:to>
      <xdr:col>3</xdr:col>
      <xdr:colOff>863243</xdr:colOff>
      <xdr:row>42</xdr:row>
      <xdr:rowOff>10025</xdr:rowOff>
    </xdr:to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D7440337-0C83-457B-9B98-4F11BFB34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6D2E-A326-4A1C-8751-924FD0F76B6A}">
  <dimension ref="A1:AX51"/>
  <sheetViews>
    <sheetView tabSelected="1" zoomScaleNormal="100" zoomScaleSheetLayoutView="98" workbookViewId="0">
      <selection activeCell="I14" sqref="I14"/>
    </sheetView>
  </sheetViews>
  <sheetFormatPr defaultRowHeight="15" x14ac:dyDescent="0.25"/>
  <cols>
    <col min="1" max="1" width="18.140625" style="1" customWidth="1"/>
    <col min="2" max="4" width="17.85546875" style="1" customWidth="1"/>
    <col min="5" max="16384" width="9.140625" style="1"/>
  </cols>
  <sheetData>
    <row r="1" spans="1:36" ht="15.75" x14ac:dyDescent="0.25">
      <c r="A1" s="20" t="s">
        <v>34</v>
      </c>
      <c r="B1" s="20"/>
      <c r="C1" s="20"/>
      <c r="D1" s="20"/>
    </row>
    <row r="3" spans="1:36" x14ac:dyDescent="0.25">
      <c r="A3" s="6"/>
      <c r="B3" s="19">
        <v>2025</v>
      </c>
      <c r="C3" s="19"/>
      <c r="D3" s="19"/>
    </row>
    <row r="4" spans="1:36" ht="15.75" x14ac:dyDescent="0.25">
      <c r="A4" s="7" t="s">
        <v>6</v>
      </c>
      <c r="B4" s="8" t="s">
        <v>0</v>
      </c>
      <c r="C4" s="8" t="s">
        <v>1</v>
      </c>
      <c r="D4" s="8" t="s">
        <v>2</v>
      </c>
    </row>
    <row r="5" spans="1:36" x14ac:dyDescent="0.25">
      <c r="A5" s="9" t="s">
        <v>7</v>
      </c>
      <c r="B5" s="10" t="s">
        <v>3</v>
      </c>
      <c r="C5" s="10" t="s">
        <v>4</v>
      </c>
      <c r="D5" s="10" t="s">
        <v>5</v>
      </c>
    </row>
    <row r="6" spans="1:36" x14ac:dyDescent="0.25">
      <c r="A6" s="11" t="s">
        <v>8</v>
      </c>
      <c r="B6" s="2">
        <f>SUM(C6:D6)</f>
        <v>415294</v>
      </c>
      <c r="C6" s="2">
        <f>SUM(C7:C28)</f>
        <v>212153</v>
      </c>
      <c r="D6" s="2">
        <f>SUM(D7:D28)</f>
        <v>203141</v>
      </c>
    </row>
    <row r="7" spans="1:36" x14ac:dyDescent="0.25">
      <c r="A7" s="12" t="s">
        <v>10</v>
      </c>
      <c r="B7" s="2">
        <f>SUM(C7:D7)</f>
        <v>5725</v>
      </c>
      <c r="C7" s="3">
        <v>2861</v>
      </c>
      <c r="D7" s="3">
        <v>2864</v>
      </c>
    </row>
    <row r="8" spans="1:36" x14ac:dyDescent="0.25">
      <c r="A8" s="13" t="s">
        <v>12</v>
      </c>
      <c r="B8" s="2">
        <f t="shared" ref="B8:B28" si="0">SUM(C8:D8)</f>
        <v>23715</v>
      </c>
      <c r="C8" s="3">
        <v>12049</v>
      </c>
      <c r="D8" s="3">
        <v>11666</v>
      </c>
    </row>
    <row r="9" spans="1:36" x14ac:dyDescent="0.25">
      <c r="A9" s="13" t="s">
        <v>14</v>
      </c>
      <c r="B9" s="2">
        <f t="shared" si="0"/>
        <v>6291</v>
      </c>
      <c r="C9" s="3">
        <v>3188</v>
      </c>
      <c r="D9" s="3">
        <v>3103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25">
      <c r="A10" s="13" t="s">
        <v>16</v>
      </c>
      <c r="B10" s="2">
        <f t="shared" si="0"/>
        <v>26714</v>
      </c>
      <c r="C10" s="3">
        <v>13670</v>
      </c>
      <c r="D10" s="3">
        <v>13044</v>
      </c>
    </row>
    <row r="11" spans="1:36" x14ac:dyDescent="0.25">
      <c r="A11" s="13" t="s">
        <v>11</v>
      </c>
      <c r="B11" s="2">
        <f t="shared" si="0"/>
        <v>36765</v>
      </c>
      <c r="C11" s="3">
        <v>19115</v>
      </c>
      <c r="D11" s="3">
        <v>17650</v>
      </c>
    </row>
    <row r="12" spans="1:36" x14ac:dyDescent="0.25">
      <c r="A12" s="13" t="s">
        <v>13</v>
      </c>
      <c r="B12" s="2">
        <f t="shared" si="0"/>
        <v>35213</v>
      </c>
      <c r="C12" s="3">
        <v>18075</v>
      </c>
      <c r="D12" s="3">
        <v>17138</v>
      </c>
    </row>
    <row r="13" spans="1:36" x14ac:dyDescent="0.25">
      <c r="A13" s="13" t="s">
        <v>15</v>
      </c>
      <c r="B13" s="2">
        <f t="shared" si="0"/>
        <v>26643</v>
      </c>
      <c r="C13" s="3">
        <v>13588</v>
      </c>
      <c r="D13" s="3">
        <v>13055</v>
      </c>
    </row>
    <row r="14" spans="1:36" x14ac:dyDescent="0.25">
      <c r="A14" s="13" t="s">
        <v>17</v>
      </c>
      <c r="B14" s="2">
        <f t="shared" si="0"/>
        <v>30615</v>
      </c>
      <c r="C14" s="3">
        <v>15707</v>
      </c>
      <c r="D14" s="3">
        <v>14908</v>
      </c>
    </row>
    <row r="15" spans="1:36" x14ac:dyDescent="0.25">
      <c r="A15" s="13" t="s">
        <v>18</v>
      </c>
      <c r="B15" s="2">
        <f t="shared" si="0"/>
        <v>37505</v>
      </c>
      <c r="C15" s="3">
        <v>19377</v>
      </c>
      <c r="D15" s="3">
        <v>18128</v>
      </c>
    </row>
    <row r="16" spans="1:36" x14ac:dyDescent="0.25">
      <c r="A16" s="13" t="s">
        <v>19</v>
      </c>
      <c r="B16" s="2">
        <f t="shared" si="0"/>
        <v>40569</v>
      </c>
      <c r="C16" s="3">
        <v>20646</v>
      </c>
      <c r="D16" s="3">
        <v>19923</v>
      </c>
    </row>
    <row r="17" spans="1:50" x14ac:dyDescent="0.25">
      <c r="A17" s="13" t="s">
        <v>20</v>
      </c>
      <c r="B17" s="2">
        <f t="shared" si="0"/>
        <v>35778</v>
      </c>
      <c r="C17" s="3">
        <v>18001</v>
      </c>
      <c r="D17" s="3">
        <v>17777</v>
      </c>
    </row>
    <row r="18" spans="1:50" x14ac:dyDescent="0.25">
      <c r="A18" s="13" t="s">
        <v>21</v>
      </c>
      <c r="B18" s="2">
        <f t="shared" si="0"/>
        <v>25711</v>
      </c>
      <c r="C18" s="3">
        <v>13057</v>
      </c>
      <c r="D18" s="3">
        <v>12654</v>
      </c>
    </row>
    <row r="19" spans="1:50" x14ac:dyDescent="0.25">
      <c r="A19" s="13" t="s">
        <v>22</v>
      </c>
      <c r="B19" s="2">
        <f t="shared" si="0"/>
        <v>21399</v>
      </c>
      <c r="C19" s="3">
        <v>10800</v>
      </c>
      <c r="D19" s="3">
        <v>10599</v>
      </c>
    </row>
    <row r="20" spans="1:50" x14ac:dyDescent="0.25">
      <c r="A20" s="13" t="s">
        <v>23</v>
      </c>
      <c r="B20" s="2">
        <f t="shared" si="0"/>
        <v>18854</v>
      </c>
      <c r="C20" s="3">
        <v>9558</v>
      </c>
      <c r="D20" s="3">
        <v>9296</v>
      </c>
    </row>
    <row r="21" spans="1:50" x14ac:dyDescent="0.25">
      <c r="A21" s="13" t="s">
        <v>24</v>
      </c>
      <c r="B21" s="2">
        <f t="shared" si="0"/>
        <v>15922</v>
      </c>
      <c r="C21" s="3">
        <v>8100</v>
      </c>
      <c r="D21" s="3">
        <v>7822</v>
      </c>
    </row>
    <row r="22" spans="1:50" x14ac:dyDescent="0.25">
      <c r="A22" s="13" t="s">
        <v>25</v>
      </c>
      <c r="B22" s="2">
        <f t="shared" si="0"/>
        <v>12545</v>
      </c>
      <c r="C22" s="3">
        <v>6461</v>
      </c>
      <c r="D22" s="3">
        <v>6084</v>
      </c>
    </row>
    <row r="23" spans="1:50" x14ac:dyDescent="0.25">
      <c r="A23" s="13" t="s">
        <v>26</v>
      </c>
      <c r="B23" s="2">
        <f t="shared" si="0"/>
        <v>6364</v>
      </c>
      <c r="C23" s="3">
        <v>3326</v>
      </c>
      <c r="D23" s="3">
        <v>3038</v>
      </c>
    </row>
    <row r="24" spans="1:50" x14ac:dyDescent="0.25">
      <c r="A24" s="13" t="s">
        <v>27</v>
      </c>
      <c r="B24" s="2">
        <f t="shared" si="0"/>
        <v>4035</v>
      </c>
      <c r="C24" s="3">
        <v>2020</v>
      </c>
      <c r="D24" s="3">
        <v>2015</v>
      </c>
    </row>
    <row r="25" spans="1:50" x14ac:dyDescent="0.25">
      <c r="A25" s="13" t="s">
        <v>28</v>
      </c>
      <c r="B25" s="2">
        <f t="shared" si="0"/>
        <v>2678</v>
      </c>
      <c r="C25" s="3">
        <v>1327</v>
      </c>
      <c r="D25" s="3">
        <v>1351</v>
      </c>
    </row>
    <row r="26" spans="1:50" x14ac:dyDescent="0.25">
      <c r="A26" s="13" t="s">
        <v>29</v>
      </c>
      <c r="B26" s="2">
        <f t="shared" si="0"/>
        <v>1532</v>
      </c>
      <c r="C26" s="3">
        <v>793</v>
      </c>
      <c r="D26" s="3">
        <v>739</v>
      </c>
    </row>
    <row r="27" spans="1:50" x14ac:dyDescent="0.25">
      <c r="A27" s="13" t="s">
        <v>30</v>
      </c>
      <c r="B27" s="2">
        <f t="shared" si="0"/>
        <v>540</v>
      </c>
      <c r="C27" s="3">
        <v>314</v>
      </c>
      <c r="D27" s="3">
        <v>226</v>
      </c>
    </row>
    <row r="28" spans="1:50" x14ac:dyDescent="0.25">
      <c r="A28" s="14" t="s">
        <v>31</v>
      </c>
      <c r="B28" s="15">
        <f t="shared" si="0"/>
        <v>181</v>
      </c>
      <c r="C28" s="16">
        <v>120</v>
      </c>
      <c r="D28" s="16">
        <v>61</v>
      </c>
    </row>
    <row r="29" spans="1:50" x14ac:dyDescent="0.25">
      <c r="A29" s="18" t="s">
        <v>32</v>
      </c>
      <c r="B29" s="5"/>
    </row>
    <row r="31" spans="1:50" x14ac:dyDescent="0.25">
      <c r="AW31" s="10" t="s">
        <v>4</v>
      </c>
      <c r="AX31" s="10" t="s">
        <v>5</v>
      </c>
    </row>
    <row r="32" spans="1:50" x14ac:dyDescent="0.25">
      <c r="AV32" s="13" t="s">
        <v>33</v>
      </c>
      <c r="AW32" s="3">
        <v>-14910</v>
      </c>
      <c r="AX32" s="3">
        <f>SUM(D7:D8)</f>
        <v>14530</v>
      </c>
    </row>
    <row r="33" spans="48:50" x14ac:dyDescent="0.25">
      <c r="AV33" s="13" t="s">
        <v>9</v>
      </c>
      <c r="AW33" s="3">
        <v>-16858</v>
      </c>
      <c r="AX33" s="3">
        <f>SUM(D9:D10)</f>
        <v>16147</v>
      </c>
    </row>
    <row r="34" spans="48:50" x14ac:dyDescent="0.25">
      <c r="AV34" s="13" t="s">
        <v>11</v>
      </c>
      <c r="AW34" s="3">
        <v>-19115</v>
      </c>
      <c r="AX34" s="3">
        <f>D11</f>
        <v>17650</v>
      </c>
    </row>
    <row r="35" spans="48:50" x14ac:dyDescent="0.25">
      <c r="AV35" s="13" t="s">
        <v>13</v>
      </c>
      <c r="AW35" s="3">
        <v>-18075</v>
      </c>
      <c r="AX35" s="3">
        <f t="shared" ref="AX35:AX51" si="1">D12</f>
        <v>17138</v>
      </c>
    </row>
    <row r="36" spans="48:50" x14ac:dyDescent="0.25">
      <c r="AV36" s="13" t="s">
        <v>15</v>
      </c>
      <c r="AW36" s="3">
        <v>-13588</v>
      </c>
      <c r="AX36" s="3">
        <f t="shared" si="1"/>
        <v>13055</v>
      </c>
    </row>
    <row r="37" spans="48:50" x14ac:dyDescent="0.25">
      <c r="AV37" s="13" t="s">
        <v>17</v>
      </c>
      <c r="AW37" s="3">
        <v>-15707</v>
      </c>
      <c r="AX37" s="3">
        <f t="shared" si="1"/>
        <v>14908</v>
      </c>
    </row>
    <row r="38" spans="48:50" x14ac:dyDescent="0.25">
      <c r="AV38" s="13" t="s">
        <v>18</v>
      </c>
      <c r="AW38" s="3">
        <v>-19377</v>
      </c>
      <c r="AX38" s="3">
        <f t="shared" si="1"/>
        <v>18128</v>
      </c>
    </row>
    <row r="39" spans="48:50" x14ac:dyDescent="0.25">
      <c r="AV39" s="13" t="s">
        <v>19</v>
      </c>
      <c r="AW39" s="3">
        <v>-20646</v>
      </c>
      <c r="AX39" s="3">
        <f t="shared" si="1"/>
        <v>19923</v>
      </c>
    </row>
    <row r="40" spans="48:50" x14ac:dyDescent="0.25">
      <c r="AV40" s="13" t="s">
        <v>20</v>
      </c>
      <c r="AW40" s="3">
        <v>-18001</v>
      </c>
      <c r="AX40" s="3">
        <f t="shared" si="1"/>
        <v>17777</v>
      </c>
    </row>
    <row r="41" spans="48:50" x14ac:dyDescent="0.25">
      <c r="AV41" s="13" t="s">
        <v>21</v>
      </c>
      <c r="AW41" s="3">
        <v>-13057</v>
      </c>
      <c r="AX41" s="3">
        <f t="shared" si="1"/>
        <v>12654</v>
      </c>
    </row>
    <row r="42" spans="48:50" x14ac:dyDescent="0.25">
      <c r="AV42" s="13" t="s">
        <v>22</v>
      </c>
      <c r="AW42" s="3">
        <v>-10800</v>
      </c>
      <c r="AX42" s="3">
        <f t="shared" si="1"/>
        <v>10599</v>
      </c>
    </row>
    <row r="43" spans="48:50" x14ac:dyDescent="0.25">
      <c r="AV43" s="13" t="s">
        <v>23</v>
      </c>
      <c r="AW43" s="3">
        <v>-9558</v>
      </c>
      <c r="AX43" s="3">
        <f t="shared" si="1"/>
        <v>9296</v>
      </c>
    </row>
    <row r="44" spans="48:50" x14ac:dyDescent="0.25">
      <c r="AV44" s="13" t="s">
        <v>24</v>
      </c>
      <c r="AW44" s="3">
        <v>-8100</v>
      </c>
      <c r="AX44" s="3">
        <f t="shared" si="1"/>
        <v>7822</v>
      </c>
    </row>
    <row r="45" spans="48:50" x14ac:dyDescent="0.25">
      <c r="AV45" s="13" t="s">
        <v>25</v>
      </c>
      <c r="AW45" s="3">
        <v>-6461</v>
      </c>
      <c r="AX45" s="3">
        <f t="shared" si="1"/>
        <v>6084</v>
      </c>
    </row>
    <row r="46" spans="48:50" x14ac:dyDescent="0.25">
      <c r="AV46" s="13" t="s">
        <v>26</v>
      </c>
      <c r="AW46" s="3">
        <v>-3326</v>
      </c>
      <c r="AX46" s="3">
        <f t="shared" si="1"/>
        <v>3038</v>
      </c>
    </row>
    <row r="47" spans="48:50" x14ac:dyDescent="0.25">
      <c r="AV47" s="13" t="s">
        <v>27</v>
      </c>
      <c r="AW47" s="3">
        <v>-2020</v>
      </c>
      <c r="AX47" s="3">
        <f t="shared" si="1"/>
        <v>2015</v>
      </c>
    </row>
    <row r="48" spans="48:50" x14ac:dyDescent="0.25">
      <c r="AV48" s="13" t="s">
        <v>28</v>
      </c>
      <c r="AW48" s="3">
        <v>-1327</v>
      </c>
      <c r="AX48" s="3">
        <f t="shared" si="1"/>
        <v>1351</v>
      </c>
    </row>
    <row r="49" spans="48:50" x14ac:dyDescent="0.25">
      <c r="AV49" s="13" t="s">
        <v>29</v>
      </c>
      <c r="AW49" s="3">
        <v>-793</v>
      </c>
      <c r="AX49" s="3">
        <f t="shared" si="1"/>
        <v>739</v>
      </c>
    </row>
    <row r="50" spans="48:50" x14ac:dyDescent="0.25">
      <c r="AV50" s="13" t="s">
        <v>30</v>
      </c>
      <c r="AW50" s="3">
        <v>-314</v>
      </c>
      <c r="AX50" s="3">
        <f t="shared" si="1"/>
        <v>226</v>
      </c>
    </row>
    <row r="51" spans="48:50" ht="26.25" x14ac:dyDescent="0.25">
      <c r="AV51" s="17" t="s">
        <v>31</v>
      </c>
      <c r="AW51" s="3">
        <v>-120</v>
      </c>
      <c r="AX51" s="3">
        <f t="shared" si="1"/>
        <v>61</v>
      </c>
    </row>
  </sheetData>
  <sortState xmlns:xlrd2="http://schemas.microsoft.com/office/spreadsheetml/2017/richdata2" ref="A30:WXD32">
    <sortCondition ref="A30:A32"/>
  </sortState>
  <mergeCells count="2">
    <mergeCell ref="A1:D1"/>
    <mergeCell ref="B3:D3"/>
  </mergeCells>
  <pageMargins left="0.7" right="0.7" top="0.75" bottom="0.75" header="0.3" footer="0.3"/>
  <pageSetup paperSize="9" scale="90" orientation="portrait" r:id="rId1"/>
  <rowBreaks count="1" manualBreakCount="1">
    <brk id="48" max="16" man="1"/>
  </rowBreaks>
  <colBreaks count="1" manualBreakCount="1">
    <brk id="5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3.4</vt:lpstr>
      <vt:lpstr>'3.4'!Print_Area</vt:lpstr>
      <vt:lpstr>'3.4'!Print_Titles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2026-04-22T08:31:11Z</cp:lastPrinted>
  <dcterms:created xsi:type="dcterms:W3CDTF">2019-07-22T06:02:33Z</dcterms:created>
  <dcterms:modified xsi:type="dcterms:W3CDTF">2026-04-23T08:21:06Z</dcterms:modified>
</cp:coreProperties>
</file>