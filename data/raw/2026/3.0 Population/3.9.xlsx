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.Population\"/>
    </mc:Choice>
  </mc:AlternateContent>
  <xr:revisionPtr revIDLastSave="0" documentId="13_ncr:1_{874EB155-3FA1-4C73-9DC0-9992AA46978C}" xr6:coauthVersionLast="47" xr6:coauthVersionMax="47" xr10:uidLastSave="{00000000-0000-0000-0000-000000000000}"/>
  <bookViews>
    <workbookView xWindow="-120" yWindow="-120" windowWidth="29040" windowHeight="15720" tabRatio="829" xr2:uid="{00000000-000D-0000-FFFF-FFFF00000000}"/>
  </bookViews>
  <sheets>
    <sheet name="3.9" sheetId="7" r:id="rId1"/>
  </sheets>
  <definedNames>
    <definedName name="_xlnm.Print_Area" localSheetId="0">'3.9'!$A$1:$O$52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4" i="7" l="1"/>
  <c r="BS34" i="7"/>
  <c r="BE35" i="7"/>
  <c r="BS35" i="7"/>
  <c r="BE36" i="7"/>
  <c r="BS36" i="7"/>
  <c r="BE37" i="7"/>
  <c r="BS37" i="7"/>
  <c r="BE38" i="7"/>
  <c r="BS38" i="7"/>
  <c r="BE39" i="7"/>
  <c r="BS39" i="7"/>
  <c r="BE40" i="7"/>
  <c r="BS40" i="7"/>
  <c r="BE41" i="7"/>
  <c r="BS41" i="7"/>
  <c r="BE42" i="7"/>
  <c r="BS42" i="7"/>
  <c r="BE43" i="7"/>
  <c r="BS43" i="7"/>
  <c r="BE44" i="7"/>
  <c r="BS44" i="7"/>
  <c r="BE45" i="7"/>
  <c r="BS45" i="7"/>
  <c r="M18" i="7"/>
  <c r="J18" i="7"/>
  <c r="G18" i="7"/>
  <c r="D18" i="7"/>
  <c r="M17" i="7"/>
  <c r="J17" i="7"/>
  <c r="G17" i="7"/>
  <c r="D17" i="7"/>
  <c r="M16" i="7"/>
  <c r="J16" i="7"/>
  <c r="G16" i="7"/>
  <c r="D16" i="7"/>
  <c r="M15" i="7"/>
  <c r="J15" i="7"/>
  <c r="G15" i="7"/>
  <c r="D15" i="7"/>
  <c r="M14" i="7"/>
  <c r="J14" i="7"/>
  <c r="G14" i="7"/>
  <c r="D14" i="7"/>
  <c r="M13" i="7"/>
  <c r="J13" i="7"/>
  <c r="G13" i="7"/>
  <c r="D13" i="7"/>
  <c r="M12" i="7"/>
  <c r="J12" i="7"/>
  <c r="G12" i="7"/>
  <c r="D12" i="7"/>
  <c r="M11" i="7"/>
  <c r="J11" i="7"/>
  <c r="G11" i="7"/>
  <c r="D11" i="7"/>
  <c r="M10" i="7"/>
  <c r="J10" i="7"/>
  <c r="G10" i="7"/>
  <c r="D10" i="7"/>
  <c r="M9" i="7"/>
  <c r="J9" i="7"/>
  <c r="G9" i="7"/>
  <c r="D9" i="7"/>
  <c r="M8" i="7"/>
  <c r="J8" i="7"/>
  <c r="G8" i="7"/>
  <c r="D8" i="7"/>
  <c r="M7" i="7"/>
  <c r="J7" i="7"/>
  <c r="G7" i="7"/>
  <c r="D7" i="7"/>
  <c r="M6" i="7"/>
  <c r="L6" i="7"/>
  <c r="K6" i="7"/>
  <c r="J6" i="7"/>
  <c r="I6" i="7"/>
  <c r="H6" i="7"/>
  <c r="G6" i="7"/>
  <c r="F6" i="7"/>
  <c r="E6" i="7"/>
  <c r="D6" i="7"/>
  <c r="C6" i="7"/>
  <c r="B6" i="7"/>
</calcChain>
</file>

<file path=xl/sharedStrings.xml><?xml version="1.0" encoding="utf-8"?>
<sst xmlns="http://schemas.openxmlformats.org/spreadsheetml/2006/main" count="89" uniqueCount="56">
  <si>
    <t>October</t>
  </si>
  <si>
    <t>Total</t>
  </si>
  <si>
    <t>މަސް</t>
  </si>
  <si>
    <t>ivcnwfua</t>
  </si>
  <si>
    <t>ivurwm</t>
  </si>
  <si>
    <t>ivurutia</t>
  </si>
  <si>
    <t>Month</t>
  </si>
  <si>
    <t>Births</t>
  </si>
  <si>
    <t>Deaths</t>
  </si>
  <si>
    <t>Natural Increase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</si>
  <si>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</si>
  <si>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</si>
  <si>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</si>
  <si>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</si>
  <si>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</si>
  <si>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</si>
  <si>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</si>
  <si>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</si>
  <si>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</si>
  <si>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Jan</t>
  </si>
  <si>
    <t>May</t>
  </si>
  <si>
    <t>މެއި</t>
  </si>
  <si>
    <t>Feb</t>
  </si>
  <si>
    <t>June</t>
  </si>
  <si>
    <t>ޖޫން</t>
  </si>
  <si>
    <t>Mar</t>
  </si>
  <si>
    <t>July</t>
  </si>
  <si>
    <t>ޖުލައި</t>
  </si>
  <si>
    <t>Apr</t>
  </si>
  <si>
    <t>August</t>
  </si>
  <si>
    <t>އޮގަސްޓް</t>
  </si>
  <si>
    <t>September</t>
  </si>
  <si>
    <t>ސެޕްޓެމްބަރ</t>
  </si>
  <si>
    <t>Jun</t>
  </si>
  <si>
    <t>އޮކްޓޯބަރ</t>
  </si>
  <si>
    <t>Jul</t>
  </si>
  <si>
    <t>November</t>
  </si>
  <si>
    <t>ނޮވެމްބަރ</t>
  </si>
  <si>
    <t>Aug</t>
  </si>
  <si>
    <t>December</t>
  </si>
  <si>
    <t>ޑިސެމްބަރ</t>
  </si>
  <si>
    <t>Sep</t>
  </si>
  <si>
    <t>Oct</t>
  </si>
  <si>
    <t>Nov</t>
  </si>
  <si>
    <t>Dec</t>
  </si>
  <si>
    <t xml:space="preserve">Note: </t>
  </si>
  <si>
    <t>ނޯޓް:</t>
  </si>
  <si>
    <t xml:space="preserve">އުފަންވި ކުދިންނާއި މަރުވި މީހުން / ކުދިންގެ ތެރޭގައި ރާއްޖޭގައި އުފަންވި އަދި މަރުވި ބިދޭސީން ހިމެނޭނެއެވެ. ނަމަވެސް ރާއްޖޭން ބޭރުގައި އުފަންވި / މަރުވި ދިވެހީން ނުހިމެނޭނެއެވެ. </t>
  </si>
  <si>
    <t>Table 3.9 :  MONTHLY RECORDS OF BIRTHS AND DEATHS, 2022 - 2025</t>
  </si>
  <si>
    <t>2025 - 2022 ,cniduk iaWncnuhImivurwm ,iaWncniduk ivcnwfua uhwmcswmikea : 3.9 ulwvWt</t>
  </si>
  <si>
    <t>Data is tentative and is subject to change</t>
  </si>
  <si>
    <r>
      <t xml:space="preserve">Data includes Maldivians and foreigners, </t>
    </r>
    <r>
      <rPr>
        <b/>
        <i/>
        <sz val="9"/>
        <color rgb="FF000000"/>
        <rFont val="Calibri"/>
        <family val="2"/>
      </rPr>
      <t>excluded births &amp; deaths occurred abroad</t>
    </r>
    <r>
      <rPr>
        <i/>
        <sz val="9"/>
        <color indexed="8"/>
        <rFont val="Calibri"/>
        <family val="2"/>
      </rPr>
      <t xml:space="preserve"> </t>
    </r>
  </si>
  <si>
    <t>Source: Ministry of Health, Family &amp; Welfare</t>
  </si>
  <si>
    <t xml:space="preserve">މަޢުލޫމާތު ދެއްވީ: މިނިސްޓްރީ އޮފް ހެލްތު، ފެމިލީ އެންޑް ވެލްފެއަރ </t>
  </si>
  <si>
    <t>Health Information Management &amp; Research Division / Health Statistics &amp; Publication Section</t>
  </si>
  <si>
    <t xml:space="preserve"> މައުލޫމާތު ރިވައިޒުކުރަމުންދާތީވެ މިއަދަދުތަކަށް ބަދަލުއައުން އެކަށީގެންވެއެވެ.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</si>
</sst>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Faruma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sz val="11"/>
      <name val="Faruma"/>
    </font>
    <font>
      <sz val="10"/>
      <color indexed="10"/>
      <name val="Courier"/>
      <family val="3"/>
    </font>
    <font>
      <b/>
      <sz val="10"/>
      <name val="Courier"/>
      <family val="3"/>
    </font>
    <font>
      <sz val="10"/>
      <name val="Faruma"/>
    </font>
    <font>
      <sz val="10"/>
      <name val="Calibri"/>
      <family val="2"/>
      <scheme val="minor"/>
    </font>
    <font>
      <sz val="8"/>
      <name val="Faruma"/>
    </font>
    <font>
      <i/>
      <sz val="10"/>
      <color indexed="8"/>
      <name val="Calibri"/>
      <family val="2"/>
    </font>
    <font>
      <sz val="10"/>
      <name val="A_Faseyha"/>
    </font>
    <font>
      <b/>
      <sz val="11"/>
      <name val="A_Faseyha"/>
    </font>
    <font>
      <b/>
      <sz val="12"/>
      <name val="A_Faseyha"/>
    </font>
    <font>
      <i/>
      <sz val="11"/>
      <name val="Calibri"/>
      <family val="2"/>
    </font>
    <font>
      <sz val="10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rgb="FF000000"/>
      <name val="Calibri"/>
      <family val="2"/>
    </font>
    <font>
      <i/>
      <sz val="9"/>
      <color indexed="8"/>
      <name val="Calibri"/>
      <family val="2"/>
    </font>
    <font>
      <sz val="9"/>
      <name val="Faru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11" fillId="0" borderId="0"/>
    <xf numFmtId="0" fontId="11" fillId="0" borderId="0"/>
    <xf numFmtId="0" fontId="1" fillId="0" borderId="0"/>
    <xf numFmtId="166" fontId="2" fillId="0" borderId="0"/>
    <xf numFmtId="166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28" fillId="0" borderId="0"/>
  </cellStyleXfs>
  <cellXfs count="69">
    <xf numFmtId="0" fontId="0" fillId="0" borderId="0" xfId="0"/>
    <xf numFmtId="166" fontId="2" fillId="2" borderId="0" xfId="11" applyFill="1"/>
    <xf numFmtId="166" fontId="2" fillId="3" borderId="0" xfId="11" applyFill="1"/>
    <xf numFmtId="166" fontId="2" fillId="3" borderId="0" xfId="11" applyFill="1" applyAlignment="1">
      <alignment horizontal="right"/>
    </xf>
    <xf numFmtId="166" fontId="5" fillId="2" borderId="0" xfId="11" applyFont="1" applyFill="1" applyAlignment="1" applyProtection="1">
      <alignment horizontal="left" vertical="center"/>
      <protection hidden="1"/>
    </xf>
    <xf numFmtId="166" fontId="13" fillId="2" borderId="0" xfId="11" applyFont="1" applyFill="1"/>
    <xf numFmtId="166" fontId="13" fillId="3" borderId="0" xfId="11" applyFont="1" applyFill="1"/>
    <xf numFmtId="166" fontId="13" fillId="3" borderId="0" xfId="11" applyFont="1" applyFill="1" applyAlignment="1">
      <alignment horizontal="right"/>
    </xf>
    <xf numFmtId="166" fontId="5" fillId="2" borderId="1" xfId="11" applyFont="1" applyFill="1" applyBorder="1" applyAlignment="1" applyProtection="1">
      <alignment horizontal="left" vertical="center"/>
      <protection hidden="1"/>
    </xf>
    <xf numFmtId="166" fontId="5" fillId="2" borderId="4" xfId="11" applyFont="1" applyFill="1" applyBorder="1" applyAlignment="1" applyProtection="1">
      <alignment horizontal="right"/>
      <protection hidden="1"/>
    </xf>
    <xf numFmtId="166" fontId="5" fillId="2" borderId="1" xfId="11" applyFont="1" applyFill="1" applyBorder="1" applyAlignment="1" applyProtection="1">
      <alignment horizontal="right"/>
      <protection hidden="1"/>
    </xf>
    <xf numFmtId="166" fontId="5" fillId="2" borderId="1" xfId="11" applyFont="1" applyFill="1" applyBorder="1" applyAlignment="1" applyProtection="1">
      <alignment horizontal="right" wrapText="1"/>
      <protection hidden="1"/>
    </xf>
    <xf numFmtId="3" fontId="5" fillId="2" borderId="3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Alignment="1" applyProtection="1">
      <alignment vertical="center"/>
      <protection hidden="1"/>
    </xf>
    <xf numFmtId="166" fontId="6" fillId="2" borderId="0" xfId="11" applyFont="1" applyFill="1"/>
    <xf numFmtId="166" fontId="9" fillId="2" borderId="0" xfId="11" applyFont="1" applyFill="1" applyAlignment="1" applyProtection="1">
      <alignment horizontal="left" vertical="center" indent="1"/>
      <protection hidden="1"/>
    </xf>
    <xf numFmtId="3" fontId="9" fillId="2" borderId="3" xfId="0" applyNumberFormat="1" applyFont="1" applyFill="1" applyBorder="1" applyAlignment="1" applyProtection="1">
      <alignment vertical="center"/>
      <protection hidden="1"/>
    </xf>
    <xf numFmtId="3" fontId="9" fillId="2" borderId="0" xfId="0" applyNumberFormat="1" applyFont="1" applyFill="1" applyAlignment="1" applyProtection="1">
      <alignment vertical="center"/>
      <protection hidden="1"/>
    </xf>
    <xf numFmtId="166" fontId="17" fillId="2" borderId="0" xfId="10" applyFont="1" applyFill="1" applyAlignment="1" applyProtection="1">
      <alignment horizontal="right" vertical="center" indent="1"/>
      <protection hidden="1"/>
    </xf>
    <xf numFmtId="166" fontId="18" fillId="3" borderId="0" xfId="11" applyFont="1" applyFill="1" applyAlignment="1">
      <alignment horizontal="right"/>
    </xf>
    <xf numFmtId="166" fontId="2" fillId="3" borderId="7" xfId="11" applyFill="1" applyBorder="1" applyAlignment="1">
      <alignment horizontal="center" vertical="center"/>
    </xf>
    <xf numFmtId="166" fontId="13" fillId="3" borderId="7" xfId="11" applyFont="1" applyFill="1" applyBorder="1" applyAlignment="1" applyProtection="1">
      <alignment horizontal="center" vertical="center"/>
      <protection hidden="1"/>
    </xf>
    <xf numFmtId="3" fontId="13" fillId="3" borderId="7" xfId="0" applyNumberFormat="1" applyFont="1" applyFill="1" applyBorder="1" applyAlignment="1" applyProtection="1">
      <alignment horizontal="center" vertical="center"/>
      <protection hidden="1"/>
    </xf>
    <xf numFmtId="166" fontId="9" fillId="2" borderId="1" xfId="11" applyFont="1" applyFill="1" applyBorder="1" applyAlignment="1" applyProtection="1">
      <alignment horizontal="left" vertical="center" indent="1"/>
      <protection hidden="1"/>
    </xf>
    <xf numFmtId="3" fontId="9" fillId="2" borderId="4" xfId="0" applyNumberFormat="1" applyFont="1" applyFill="1" applyBorder="1" applyAlignment="1" applyProtection="1">
      <alignment vertical="center"/>
      <protection hidden="1"/>
    </xf>
    <xf numFmtId="3" fontId="9" fillId="2" borderId="1" xfId="0" applyNumberFormat="1" applyFont="1" applyFill="1" applyBorder="1" applyAlignment="1" applyProtection="1">
      <alignment vertical="center"/>
      <protection hidden="1"/>
    </xf>
    <xf numFmtId="166" fontId="17" fillId="2" borderId="1" xfId="10" applyFont="1" applyFill="1" applyBorder="1" applyAlignment="1" applyProtection="1">
      <alignment horizontal="right" vertical="center" indent="1"/>
      <protection hidden="1"/>
    </xf>
    <xf numFmtId="166" fontId="2" fillId="2" borderId="0" xfId="11" applyFill="1" applyAlignment="1">
      <alignment horizontal="center" vertical="center"/>
    </xf>
    <xf numFmtId="166" fontId="20" fillId="2" borderId="0" xfId="11" applyFont="1" applyFill="1"/>
    <xf numFmtId="3" fontId="8" fillId="2" borderId="0" xfId="10" applyNumberFormat="1" applyFont="1" applyFill="1" applyAlignment="1" applyProtection="1">
      <alignment vertical="center"/>
      <protection hidden="1"/>
    </xf>
    <xf numFmtId="3" fontId="8" fillId="2" borderId="0" xfId="0" applyNumberFormat="1" applyFont="1" applyFill="1" applyAlignment="1" applyProtection="1">
      <alignment vertical="center"/>
      <protection hidden="1"/>
    </xf>
    <xf numFmtId="166" fontId="15" fillId="2" borderId="0" xfId="11" applyFont="1" applyFill="1" applyAlignment="1" applyProtection="1">
      <alignment horizontal="left" vertical="center"/>
      <protection hidden="1"/>
    </xf>
    <xf numFmtId="3" fontId="15" fillId="2" borderId="0" xfId="0" applyNumberFormat="1" applyFont="1" applyFill="1" applyAlignment="1" applyProtection="1">
      <alignment vertical="center"/>
      <protection hidden="1"/>
    </xf>
    <xf numFmtId="3" fontId="15" fillId="3" borderId="0" xfId="0" applyNumberFormat="1" applyFont="1" applyFill="1" applyAlignment="1" applyProtection="1">
      <alignment vertical="center"/>
      <protection hidden="1"/>
    </xf>
    <xf numFmtId="166" fontId="19" fillId="2" borderId="0" xfId="11" applyFont="1" applyFill="1" applyAlignment="1">
      <alignment horizontal="center" vertical="center"/>
    </xf>
    <xf numFmtId="166" fontId="16" fillId="2" borderId="0" xfId="11" applyFont="1" applyFill="1" applyAlignment="1" applyProtection="1">
      <alignment horizontal="left" vertical="center"/>
      <protection hidden="1"/>
    </xf>
    <xf numFmtId="166" fontId="19" fillId="3" borderId="0" xfId="11" applyFont="1" applyFill="1" applyAlignment="1">
      <alignment horizontal="center" vertical="center"/>
    </xf>
    <xf numFmtId="166" fontId="7" fillId="2" borderId="0" xfId="10" applyFont="1" applyFill="1" applyAlignment="1" applyProtection="1">
      <alignment horizontal="right" vertical="center"/>
      <protection hidden="1"/>
    </xf>
    <xf numFmtId="166" fontId="15" fillId="2" borderId="0" xfId="11" applyFont="1" applyFill="1" applyAlignment="1" applyProtection="1">
      <alignment horizontal="right"/>
      <protection hidden="1"/>
    </xf>
    <xf numFmtId="166" fontId="15" fillId="2" borderId="0" xfId="11" applyFont="1" applyFill="1" applyAlignment="1" applyProtection="1">
      <alignment horizontal="right" wrapText="1"/>
      <protection hidden="1"/>
    </xf>
    <xf numFmtId="3" fontId="16" fillId="2" borderId="0" xfId="0" applyNumberFormat="1" applyFont="1" applyFill="1" applyAlignment="1" applyProtection="1">
      <alignment vertical="center"/>
      <protection hidden="1"/>
    </xf>
    <xf numFmtId="166" fontId="15" fillId="3" borderId="0" xfId="11" applyFont="1" applyFill="1" applyAlignment="1" applyProtection="1">
      <alignment horizontal="right" vertical="center"/>
      <protection hidden="1"/>
    </xf>
    <xf numFmtId="166" fontId="16" fillId="3" borderId="0" xfId="11" applyFont="1" applyFill="1" applyAlignment="1" applyProtection="1">
      <alignment horizontal="right" vertical="center"/>
      <protection hidden="1"/>
    </xf>
    <xf numFmtId="166" fontId="25" fillId="2" borderId="0" xfId="11" applyFont="1" applyFill="1" applyAlignment="1" applyProtection="1">
      <alignment horizontal="left" vertical="center"/>
      <protection hidden="1"/>
    </xf>
    <xf numFmtId="166" fontId="25" fillId="2" borderId="3" xfId="10" applyFont="1" applyFill="1" applyBorder="1" applyAlignment="1" applyProtection="1">
      <alignment horizontal="right" vertical="center"/>
      <protection hidden="1"/>
    </xf>
    <xf numFmtId="166" fontId="25" fillId="2" borderId="0" xfId="10" applyFont="1" applyFill="1" applyAlignment="1" applyProtection="1">
      <alignment horizontal="right" vertical="center"/>
      <protection hidden="1"/>
    </xf>
    <xf numFmtId="166" fontId="24" fillId="2" borderId="0" xfId="11" applyFont="1" applyFill="1"/>
    <xf numFmtId="166" fontId="24" fillId="3" borderId="0" xfId="11" applyFont="1" applyFill="1"/>
    <xf numFmtId="166" fontId="24" fillId="3" borderId="0" xfId="11" applyFont="1" applyFill="1" applyAlignment="1">
      <alignment horizontal="right"/>
    </xf>
    <xf numFmtId="166" fontId="27" fillId="2" borderId="0" xfId="11" applyFont="1" applyFill="1" applyAlignment="1" applyProtection="1">
      <alignment vertical="center"/>
      <protection hidden="1"/>
    </xf>
    <xf numFmtId="3" fontId="9" fillId="3" borderId="0" xfId="0" applyNumberFormat="1" applyFont="1" applyFill="1" applyAlignment="1" applyProtection="1">
      <alignment vertical="center"/>
      <protection hidden="1"/>
    </xf>
    <xf numFmtId="166" fontId="21" fillId="2" borderId="0" xfId="11" applyFont="1" applyFill="1" applyAlignment="1">
      <alignment vertical="center"/>
    </xf>
    <xf numFmtId="166" fontId="22" fillId="2" borderId="0" xfId="10" applyFont="1" applyFill="1" applyAlignment="1" applyProtection="1">
      <alignment horizontal="right" vertical="center" indent="1"/>
      <protection hidden="1"/>
    </xf>
    <xf numFmtId="166" fontId="22" fillId="2" borderId="0" xfId="10" applyFont="1" applyFill="1" applyAlignment="1" applyProtection="1">
      <alignment horizontal="right" vertical="center"/>
      <protection hidden="1"/>
    </xf>
    <xf numFmtId="166" fontId="5" fillId="2" borderId="6" xfId="11" applyFont="1" applyFill="1" applyBorder="1" applyAlignment="1" applyProtection="1">
      <alignment horizontal="center" vertical="center"/>
      <protection hidden="1"/>
    </xf>
    <xf numFmtId="166" fontId="5" fillId="2" borderId="5" xfId="11" applyFont="1" applyFill="1" applyBorder="1" applyAlignment="1" applyProtection="1">
      <alignment horizontal="center" vertical="center"/>
      <protection hidden="1"/>
    </xf>
    <xf numFmtId="166" fontId="6" fillId="2" borderId="2" xfId="11" applyFont="1" applyFill="1" applyBorder="1" applyAlignment="1">
      <alignment horizontal="center" vertical="center"/>
    </xf>
    <xf numFmtId="166" fontId="6" fillId="2" borderId="0" xfId="11" applyFont="1" applyFill="1" applyAlignment="1">
      <alignment horizontal="center" vertical="center"/>
    </xf>
    <xf numFmtId="166" fontId="6" fillId="2" borderId="1" xfId="11" applyFont="1" applyFill="1" applyBorder="1" applyAlignment="1">
      <alignment horizontal="center" vertical="center"/>
    </xf>
    <xf numFmtId="166" fontId="12" fillId="2" borderId="0" xfId="11" applyFont="1" applyFill="1" applyAlignment="1" applyProtection="1">
      <alignment horizontal="center" vertical="center"/>
      <protection hidden="1"/>
    </xf>
    <xf numFmtId="166" fontId="26" fillId="2" borderId="0" xfId="10" applyFont="1" applyFill="1" applyAlignment="1" applyProtection="1">
      <alignment horizontal="center"/>
      <protection hidden="1"/>
    </xf>
    <xf numFmtId="166" fontId="4" fillId="2" borderId="1" xfId="11" applyFont="1" applyFill="1" applyBorder="1" applyAlignment="1" applyProtection="1">
      <alignment horizontal="center" vertical="center"/>
      <protection hidden="1"/>
    </xf>
    <xf numFmtId="0" fontId="29" fillId="0" borderId="0" xfId="0" applyFont="1" applyAlignment="1">
      <alignment vertical="center"/>
    </xf>
    <xf numFmtId="166" fontId="10" fillId="2" borderId="0" xfId="0" applyNumberFormat="1" applyFont="1" applyFill="1" applyAlignment="1">
      <alignment horizontal="center" vertical="center"/>
    </xf>
    <xf numFmtId="166" fontId="23" fillId="3" borderId="0" xfId="0" applyNumberFormat="1" applyFont="1" applyFill="1" applyAlignment="1">
      <alignment vertical="center" wrapText="1"/>
    </xf>
    <xf numFmtId="166" fontId="22" fillId="2" borderId="0" xfId="10" applyFont="1" applyFill="1" applyAlignment="1" applyProtection="1">
      <alignment vertical="center"/>
      <protection hidden="1"/>
    </xf>
    <xf numFmtId="166" fontId="10" fillId="2" borderId="0" xfId="0" applyNumberFormat="1" applyFont="1" applyFill="1" applyAlignment="1">
      <alignment horizontal="left" vertical="center"/>
    </xf>
    <xf numFmtId="166" fontId="10" fillId="3" borderId="0" xfId="0" applyNumberFormat="1" applyFont="1" applyFill="1" applyAlignment="1">
      <alignment vertical="center"/>
    </xf>
    <xf numFmtId="166" fontId="32" fillId="2" borderId="0" xfId="10" applyFont="1" applyFill="1" applyAlignment="1" applyProtection="1">
      <alignment horizontal="right" vertical="center" indent="1"/>
      <protection hidden="1"/>
    </xf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 2" xfId="25" xr:uid="{C876A118-C7AA-4052-92BB-F37EED3B4522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 5 3" xfId="27" xr:uid="{322195DD-DDD2-4FE1-89C3-0612B80BE6DB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3.11: Monthly records of Births, 2022 - 2025</a:t>
            </a:r>
          </a:p>
        </c:rich>
      </c:tx>
      <c:layout>
        <c:manualLayout>
          <c:xMode val="edge"/>
          <c:yMode val="edge"/>
          <c:x val="0.27405981286521908"/>
          <c:y val="4.9987289302373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522054928033847E-2"/>
          <c:y val="0.16301834440955423"/>
          <c:w val="0.89385276763362975"/>
          <c:h val="0.728638070146976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'3.9'!$BT$33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</c:spPr>
          <c:invertIfNegative val="0"/>
          <c:cat>
            <c:strRef>
              <c:f>'3.9'!$BL$34:$BL$45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'3.9'!$BT$34:$BT$45</c:f>
              <c:numCache>
                <c:formatCode>#,##0</c:formatCode>
                <c:ptCount val="12"/>
                <c:pt idx="0">
                  <c:v>439</c:v>
                </c:pt>
                <c:pt idx="1">
                  <c:v>383</c:v>
                </c:pt>
                <c:pt idx="2">
                  <c:v>471</c:v>
                </c:pt>
                <c:pt idx="3">
                  <c:v>526</c:v>
                </c:pt>
                <c:pt idx="4">
                  <c:v>471</c:v>
                </c:pt>
                <c:pt idx="5">
                  <c:v>493</c:v>
                </c:pt>
                <c:pt idx="6">
                  <c:v>467</c:v>
                </c:pt>
                <c:pt idx="7">
                  <c:v>484</c:v>
                </c:pt>
                <c:pt idx="8">
                  <c:v>463</c:v>
                </c:pt>
                <c:pt idx="9">
                  <c:v>517</c:v>
                </c:pt>
                <c:pt idx="10">
                  <c:v>486</c:v>
                </c:pt>
                <c:pt idx="11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AD9-A03A-8EB1BCB781E9}"/>
            </c:ext>
          </c:extLst>
        </c:ser>
        <c:ser>
          <c:idx val="2"/>
          <c:order val="1"/>
          <c:tx>
            <c:strRef>
              <c:f>'3.9'!$BU$33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'3.9'!$BL$34:$BL$45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'3.9'!$BU$34:$BU$45</c:f>
              <c:numCache>
                <c:formatCode>#,##0</c:formatCode>
                <c:ptCount val="12"/>
                <c:pt idx="0">
                  <c:v>541</c:v>
                </c:pt>
                <c:pt idx="1">
                  <c:v>440</c:v>
                </c:pt>
                <c:pt idx="2">
                  <c:v>560</c:v>
                </c:pt>
                <c:pt idx="3">
                  <c:v>547</c:v>
                </c:pt>
                <c:pt idx="4">
                  <c:v>460</c:v>
                </c:pt>
                <c:pt idx="5">
                  <c:v>473</c:v>
                </c:pt>
                <c:pt idx="6">
                  <c:v>516</c:v>
                </c:pt>
                <c:pt idx="7">
                  <c:v>495</c:v>
                </c:pt>
                <c:pt idx="8">
                  <c:v>471</c:v>
                </c:pt>
                <c:pt idx="9">
                  <c:v>509</c:v>
                </c:pt>
                <c:pt idx="10">
                  <c:v>492</c:v>
                </c:pt>
                <c:pt idx="11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9-4AD9-A03A-8EB1BCB781E9}"/>
            </c:ext>
          </c:extLst>
        </c:ser>
        <c:ser>
          <c:idx val="0"/>
          <c:order val="2"/>
          <c:tx>
            <c:strRef>
              <c:f>'3.9'!$BV$33</c:f>
              <c:strCache>
                <c:ptCount val="1"/>
                <c:pt idx="0">
                  <c:v>2024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'3.9'!$BL$34:$BL$45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'3.9'!$BV$34:$BV$45</c:f>
              <c:numCache>
                <c:formatCode>#,##0</c:formatCode>
                <c:ptCount val="12"/>
                <c:pt idx="0">
                  <c:v>467</c:v>
                </c:pt>
                <c:pt idx="1">
                  <c:v>480</c:v>
                </c:pt>
                <c:pt idx="2">
                  <c:v>526</c:v>
                </c:pt>
                <c:pt idx="3">
                  <c:v>495</c:v>
                </c:pt>
                <c:pt idx="4">
                  <c:v>474</c:v>
                </c:pt>
                <c:pt idx="5">
                  <c:v>453</c:v>
                </c:pt>
                <c:pt idx="6">
                  <c:v>520</c:v>
                </c:pt>
                <c:pt idx="7">
                  <c:v>497</c:v>
                </c:pt>
                <c:pt idx="8">
                  <c:v>509</c:v>
                </c:pt>
                <c:pt idx="9">
                  <c:v>457</c:v>
                </c:pt>
                <c:pt idx="10">
                  <c:v>426</c:v>
                </c:pt>
                <c:pt idx="11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F-47A9-88F1-372C9EC845FC}"/>
            </c:ext>
          </c:extLst>
        </c:ser>
        <c:ser>
          <c:idx val="3"/>
          <c:order val="3"/>
          <c:tx>
            <c:strRef>
              <c:f>'3.9'!$BW$33</c:f>
              <c:strCache>
                <c:ptCount val="1"/>
                <c:pt idx="0">
                  <c:v>2025 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'3.9'!$BL$34:$BL$45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'3.9'!$BW$34:$BW$45</c:f>
              <c:numCache>
                <c:formatCode>#,##0</c:formatCode>
                <c:ptCount val="12"/>
                <c:pt idx="0">
                  <c:v>466</c:v>
                </c:pt>
                <c:pt idx="1">
                  <c:v>457</c:v>
                </c:pt>
                <c:pt idx="2">
                  <c:v>503</c:v>
                </c:pt>
                <c:pt idx="3">
                  <c:v>468</c:v>
                </c:pt>
                <c:pt idx="4">
                  <c:v>450</c:v>
                </c:pt>
                <c:pt idx="5">
                  <c:v>462</c:v>
                </c:pt>
                <c:pt idx="6">
                  <c:v>506</c:v>
                </c:pt>
                <c:pt idx="7">
                  <c:v>447</c:v>
                </c:pt>
                <c:pt idx="8">
                  <c:v>421</c:v>
                </c:pt>
                <c:pt idx="9">
                  <c:v>452</c:v>
                </c:pt>
                <c:pt idx="10">
                  <c:v>448</c:v>
                </c:pt>
                <c:pt idx="11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5-4450-92E9-267D3ADCB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496720048"/>
        <c:axId val="496718480"/>
      </c:barChart>
      <c:catAx>
        <c:axId val="4967200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8480"/>
        <c:crosses val="autoZero"/>
        <c:auto val="1"/>
        <c:lblAlgn val="ctr"/>
        <c:lblOffset val="100"/>
        <c:noMultiLvlLbl val="0"/>
      </c:catAx>
      <c:valAx>
        <c:axId val="496718480"/>
        <c:scaling>
          <c:orientation val="minMax"/>
          <c:max val="6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numbers</a:t>
                </a:r>
              </a:p>
            </c:rich>
          </c:tx>
          <c:layout>
            <c:manualLayout>
              <c:xMode val="edge"/>
              <c:yMode val="edge"/>
              <c:x val="3.909911877348151E-3"/>
              <c:y val="0.3162886218170097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048"/>
        <c:crosses val="autoZero"/>
        <c:crossBetween val="between"/>
        <c:majorUnit val="15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236538248624091"/>
          <c:y val="0.177811186929691"/>
          <c:w val="0.28019794935418213"/>
          <c:h val="6.8127500479236963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3.12: Monthly records of Deaths, 2022 - 2025</a:t>
            </a:r>
          </a:p>
        </c:rich>
      </c:tx>
      <c:layout>
        <c:manualLayout>
          <c:xMode val="edge"/>
          <c:yMode val="edge"/>
          <c:x val="0.24096422584536278"/>
          <c:y val="5.92644661336448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9871987059981E-2"/>
          <c:y val="0.17302976344478774"/>
          <c:w val="0.87732294567058045"/>
          <c:h val="0.691619294197106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'3.9'!$BF$33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</c:spPr>
          <c:invertIfNegative val="0"/>
          <c:cat>
            <c:strRef>
              <c:f>'3.9'!$AX$34:$AX$45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'3.9'!$BF$34:$BF$45</c:f>
              <c:numCache>
                <c:formatCode>#,##0</c:formatCode>
                <c:ptCount val="12"/>
                <c:pt idx="0">
                  <c:v>142</c:v>
                </c:pt>
                <c:pt idx="1">
                  <c:v>139</c:v>
                </c:pt>
                <c:pt idx="2">
                  <c:v>105</c:v>
                </c:pt>
                <c:pt idx="3">
                  <c:v>110</c:v>
                </c:pt>
                <c:pt idx="4">
                  <c:v>108</c:v>
                </c:pt>
                <c:pt idx="5">
                  <c:v>118</c:v>
                </c:pt>
                <c:pt idx="6">
                  <c:v>130</c:v>
                </c:pt>
                <c:pt idx="7">
                  <c:v>141</c:v>
                </c:pt>
                <c:pt idx="8">
                  <c:v>117</c:v>
                </c:pt>
                <c:pt idx="9">
                  <c:v>114</c:v>
                </c:pt>
                <c:pt idx="10">
                  <c:v>130</c:v>
                </c:pt>
                <c:pt idx="11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F-41DA-8E2D-3D3D3C463BCE}"/>
            </c:ext>
          </c:extLst>
        </c:ser>
        <c:ser>
          <c:idx val="2"/>
          <c:order val="1"/>
          <c:tx>
            <c:strRef>
              <c:f>'3.9'!$BG$33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strRef>
              <c:f>'3.9'!$AX$34:$AX$45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'3.9'!$BG$34:$BG$45</c:f>
              <c:numCache>
                <c:formatCode>#,##0</c:formatCode>
                <c:ptCount val="12"/>
                <c:pt idx="0">
                  <c:v>121</c:v>
                </c:pt>
                <c:pt idx="1">
                  <c:v>120</c:v>
                </c:pt>
                <c:pt idx="2">
                  <c:v>135</c:v>
                </c:pt>
                <c:pt idx="3">
                  <c:v>138</c:v>
                </c:pt>
                <c:pt idx="4">
                  <c:v>130</c:v>
                </c:pt>
                <c:pt idx="5">
                  <c:v>114</c:v>
                </c:pt>
                <c:pt idx="6">
                  <c:v>103</c:v>
                </c:pt>
                <c:pt idx="7">
                  <c:v>125</c:v>
                </c:pt>
                <c:pt idx="8">
                  <c:v>153</c:v>
                </c:pt>
                <c:pt idx="9">
                  <c:v>128</c:v>
                </c:pt>
                <c:pt idx="10">
                  <c:v>115</c:v>
                </c:pt>
                <c:pt idx="1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F-41DA-8E2D-3D3D3C463BCE}"/>
            </c:ext>
          </c:extLst>
        </c:ser>
        <c:ser>
          <c:idx val="0"/>
          <c:order val="2"/>
          <c:tx>
            <c:strRef>
              <c:f>'3.9'!$BH$33</c:f>
              <c:strCache>
                <c:ptCount val="1"/>
                <c:pt idx="0">
                  <c:v>2024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'3.9'!$AX$34:$AX$45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'3.9'!$BH$34:$BH$45</c:f>
              <c:numCache>
                <c:formatCode>#,##0</c:formatCode>
                <c:ptCount val="12"/>
                <c:pt idx="0">
                  <c:v>160</c:v>
                </c:pt>
                <c:pt idx="1">
                  <c:v>118</c:v>
                </c:pt>
                <c:pt idx="2">
                  <c:v>135</c:v>
                </c:pt>
                <c:pt idx="3">
                  <c:v>133</c:v>
                </c:pt>
                <c:pt idx="4">
                  <c:v>111</c:v>
                </c:pt>
                <c:pt idx="5">
                  <c:v>119</c:v>
                </c:pt>
                <c:pt idx="6">
                  <c:v>98</c:v>
                </c:pt>
                <c:pt idx="7">
                  <c:v>101</c:v>
                </c:pt>
                <c:pt idx="8">
                  <c:v>121</c:v>
                </c:pt>
                <c:pt idx="9">
                  <c:v>128</c:v>
                </c:pt>
                <c:pt idx="10">
                  <c:v>131</c:v>
                </c:pt>
                <c:pt idx="1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C-4120-AF80-56536D1C9BFD}"/>
            </c:ext>
          </c:extLst>
        </c:ser>
        <c:ser>
          <c:idx val="3"/>
          <c:order val="3"/>
          <c:tx>
            <c:strRef>
              <c:f>'3.9'!$BI$33</c:f>
              <c:strCache>
                <c:ptCount val="1"/>
                <c:pt idx="0">
                  <c:v>2025 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'3.9'!$AX$34:$AX$45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'3.9'!$BI$34:$BI$45</c:f>
              <c:numCache>
                <c:formatCode>#,##0</c:formatCode>
                <c:ptCount val="12"/>
                <c:pt idx="0">
                  <c:v>128</c:v>
                </c:pt>
                <c:pt idx="1">
                  <c:v>115</c:v>
                </c:pt>
                <c:pt idx="2">
                  <c:v>127</c:v>
                </c:pt>
                <c:pt idx="3">
                  <c:v>111</c:v>
                </c:pt>
                <c:pt idx="4">
                  <c:v>90</c:v>
                </c:pt>
                <c:pt idx="5">
                  <c:v>126</c:v>
                </c:pt>
                <c:pt idx="6">
                  <c:v>132</c:v>
                </c:pt>
                <c:pt idx="7">
                  <c:v>123</c:v>
                </c:pt>
                <c:pt idx="8">
                  <c:v>113</c:v>
                </c:pt>
                <c:pt idx="9">
                  <c:v>118</c:v>
                </c:pt>
                <c:pt idx="10">
                  <c:v>117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7-4D30-BE48-432F70F4D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"/>
        <c:axId val="496719264"/>
        <c:axId val="496721224"/>
      </c:barChart>
      <c:catAx>
        <c:axId val="496719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1224"/>
        <c:crosses val="autoZero"/>
        <c:auto val="1"/>
        <c:lblAlgn val="ctr"/>
        <c:lblOffset val="100"/>
        <c:noMultiLvlLbl val="0"/>
      </c:catAx>
      <c:valAx>
        <c:axId val="496721224"/>
        <c:scaling>
          <c:orientation val="minMax"/>
          <c:max val="18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4.1990220440386748E-3"/>
              <c:y val="0.3784112296508236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92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2414439219696713"/>
          <c:y val="0.20671807045206453"/>
          <c:w val="0.32199655654150805"/>
          <c:h val="8.9700197989682484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904076</xdr:colOff>
      <xdr:row>23</xdr:row>
      <xdr:rowOff>71621</xdr:rowOff>
    </xdr:from>
    <xdr:to>
      <xdr:col>11</xdr:col>
      <xdr:colOff>192895</xdr:colOff>
      <xdr:row>36</xdr:row>
      <xdr:rowOff>104670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912660</xdr:colOff>
      <xdr:row>36</xdr:row>
      <xdr:rowOff>194693</xdr:rowOff>
    </xdr:from>
    <xdr:to>
      <xdr:col>11</xdr:col>
      <xdr:colOff>176904</xdr:colOff>
      <xdr:row>48</xdr:row>
      <xdr:rowOff>191442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59"/>
  <sheetViews>
    <sheetView tabSelected="1" zoomScaleNormal="100" zoomScaleSheetLayoutView="91" workbookViewId="0">
      <selection activeCell="N40" sqref="N40"/>
    </sheetView>
  </sheetViews>
  <sheetFormatPr defaultColWidth="10.28515625" defaultRowHeight="18.75" x14ac:dyDescent="0.5"/>
  <cols>
    <col min="1" max="1" width="14" style="1" customWidth="1"/>
    <col min="2" max="11" width="10.140625" style="1" customWidth="1"/>
    <col min="12" max="12" width="10.140625" style="28" customWidth="1"/>
    <col min="13" max="13" width="10.140625" style="1" customWidth="1"/>
    <col min="14" max="14" width="14.5703125" style="1" customWidth="1"/>
    <col min="15" max="16" width="10.42578125" style="1" customWidth="1"/>
    <col min="17" max="23" width="2.85546875" style="1" customWidth="1"/>
    <col min="24" max="24" width="9.28515625" style="1" customWidth="1"/>
    <col min="25" max="45" width="2.85546875" style="1" customWidth="1"/>
    <col min="46" max="48" width="10.28515625" style="1"/>
    <col min="49" max="49" width="10.28515625" style="2"/>
    <col min="50" max="50" width="10.28515625" style="3"/>
    <col min="51" max="53" width="10.28515625" style="2"/>
    <col min="54" max="244" width="10.28515625" style="1"/>
    <col min="245" max="245" width="14" style="1" customWidth="1"/>
    <col min="246" max="257" width="0" style="1" hidden="1" customWidth="1"/>
    <col min="258" max="266" width="11.5703125" style="1" customWidth="1"/>
    <col min="267" max="269" width="0" style="1" hidden="1" customWidth="1"/>
    <col min="270" max="270" width="10.140625" style="1" customWidth="1"/>
    <col min="271" max="271" width="8.85546875" style="1" customWidth="1"/>
    <col min="272" max="272" width="2.140625" style="1" customWidth="1"/>
    <col min="273" max="273" width="14.5703125" style="1" customWidth="1"/>
    <col min="274" max="276" width="10.42578125" style="1" customWidth="1"/>
    <col min="277" max="305" width="2.85546875" style="1" customWidth="1"/>
    <col min="306" max="500" width="10.28515625" style="1"/>
    <col min="501" max="501" width="14" style="1" customWidth="1"/>
    <col min="502" max="513" width="0" style="1" hidden="1" customWidth="1"/>
    <col min="514" max="522" width="11.5703125" style="1" customWidth="1"/>
    <col min="523" max="525" width="0" style="1" hidden="1" customWidth="1"/>
    <col min="526" max="526" width="10.140625" style="1" customWidth="1"/>
    <col min="527" max="527" width="8.85546875" style="1" customWidth="1"/>
    <col min="528" max="528" width="2.140625" style="1" customWidth="1"/>
    <col min="529" max="529" width="14.5703125" style="1" customWidth="1"/>
    <col min="530" max="532" width="10.42578125" style="1" customWidth="1"/>
    <col min="533" max="561" width="2.85546875" style="1" customWidth="1"/>
    <col min="562" max="756" width="10.28515625" style="1"/>
    <col min="757" max="757" width="14" style="1" customWidth="1"/>
    <col min="758" max="769" width="0" style="1" hidden="1" customWidth="1"/>
    <col min="770" max="778" width="11.5703125" style="1" customWidth="1"/>
    <col min="779" max="781" width="0" style="1" hidden="1" customWidth="1"/>
    <col min="782" max="782" width="10.140625" style="1" customWidth="1"/>
    <col min="783" max="783" width="8.85546875" style="1" customWidth="1"/>
    <col min="784" max="784" width="2.140625" style="1" customWidth="1"/>
    <col min="785" max="785" width="14.5703125" style="1" customWidth="1"/>
    <col min="786" max="788" width="10.42578125" style="1" customWidth="1"/>
    <col min="789" max="817" width="2.85546875" style="1" customWidth="1"/>
    <col min="818" max="1012" width="10.28515625" style="1"/>
    <col min="1013" max="1013" width="14" style="1" customWidth="1"/>
    <col min="1014" max="1025" width="0" style="1" hidden="1" customWidth="1"/>
    <col min="1026" max="1034" width="11.5703125" style="1" customWidth="1"/>
    <col min="1035" max="1037" width="0" style="1" hidden="1" customWidth="1"/>
    <col min="1038" max="1038" width="10.140625" style="1" customWidth="1"/>
    <col min="1039" max="1039" width="8.85546875" style="1" customWidth="1"/>
    <col min="1040" max="1040" width="2.140625" style="1" customWidth="1"/>
    <col min="1041" max="1041" width="14.5703125" style="1" customWidth="1"/>
    <col min="1042" max="1044" width="10.42578125" style="1" customWidth="1"/>
    <col min="1045" max="1073" width="2.85546875" style="1" customWidth="1"/>
    <col min="1074" max="1268" width="10.28515625" style="1"/>
    <col min="1269" max="1269" width="14" style="1" customWidth="1"/>
    <col min="1270" max="1281" width="0" style="1" hidden="1" customWidth="1"/>
    <col min="1282" max="1290" width="11.5703125" style="1" customWidth="1"/>
    <col min="1291" max="1293" width="0" style="1" hidden="1" customWidth="1"/>
    <col min="1294" max="1294" width="10.140625" style="1" customWidth="1"/>
    <col min="1295" max="1295" width="8.85546875" style="1" customWidth="1"/>
    <col min="1296" max="1296" width="2.140625" style="1" customWidth="1"/>
    <col min="1297" max="1297" width="14.5703125" style="1" customWidth="1"/>
    <col min="1298" max="1300" width="10.42578125" style="1" customWidth="1"/>
    <col min="1301" max="1329" width="2.85546875" style="1" customWidth="1"/>
    <col min="1330" max="1524" width="10.28515625" style="1"/>
    <col min="1525" max="1525" width="14" style="1" customWidth="1"/>
    <col min="1526" max="1537" width="0" style="1" hidden="1" customWidth="1"/>
    <col min="1538" max="1546" width="11.5703125" style="1" customWidth="1"/>
    <col min="1547" max="1549" width="0" style="1" hidden="1" customWidth="1"/>
    <col min="1550" max="1550" width="10.140625" style="1" customWidth="1"/>
    <col min="1551" max="1551" width="8.85546875" style="1" customWidth="1"/>
    <col min="1552" max="1552" width="2.140625" style="1" customWidth="1"/>
    <col min="1553" max="1553" width="14.5703125" style="1" customWidth="1"/>
    <col min="1554" max="1556" width="10.42578125" style="1" customWidth="1"/>
    <col min="1557" max="1585" width="2.85546875" style="1" customWidth="1"/>
    <col min="1586" max="1780" width="10.28515625" style="1"/>
    <col min="1781" max="1781" width="14" style="1" customWidth="1"/>
    <col min="1782" max="1793" width="0" style="1" hidden="1" customWidth="1"/>
    <col min="1794" max="1802" width="11.5703125" style="1" customWidth="1"/>
    <col min="1803" max="1805" width="0" style="1" hidden="1" customWidth="1"/>
    <col min="1806" max="1806" width="10.140625" style="1" customWidth="1"/>
    <col min="1807" max="1807" width="8.85546875" style="1" customWidth="1"/>
    <col min="1808" max="1808" width="2.140625" style="1" customWidth="1"/>
    <col min="1809" max="1809" width="14.5703125" style="1" customWidth="1"/>
    <col min="1810" max="1812" width="10.42578125" style="1" customWidth="1"/>
    <col min="1813" max="1841" width="2.85546875" style="1" customWidth="1"/>
    <col min="1842" max="2036" width="10.28515625" style="1"/>
    <col min="2037" max="2037" width="14" style="1" customWidth="1"/>
    <col min="2038" max="2049" width="0" style="1" hidden="1" customWidth="1"/>
    <col min="2050" max="2058" width="11.5703125" style="1" customWidth="1"/>
    <col min="2059" max="2061" width="0" style="1" hidden="1" customWidth="1"/>
    <col min="2062" max="2062" width="10.140625" style="1" customWidth="1"/>
    <col min="2063" max="2063" width="8.85546875" style="1" customWidth="1"/>
    <col min="2064" max="2064" width="2.140625" style="1" customWidth="1"/>
    <col min="2065" max="2065" width="14.5703125" style="1" customWidth="1"/>
    <col min="2066" max="2068" width="10.42578125" style="1" customWidth="1"/>
    <col min="2069" max="2097" width="2.85546875" style="1" customWidth="1"/>
    <col min="2098" max="2292" width="10.28515625" style="1"/>
    <col min="2293" max="2293" width="14" style="1" customWidth="1"/>
    <col min="2294" max="2305" width="0" style="1" hidden="1" customWidth="1"/>
    <col min="2306" max="2314" width="11.5703125" style="1" customWidth="1"/>
    <col min="2315" max="2317" width="0" style="1" hidden="1" customWidth="1"/>
    <col min="2318" max="2318" width="10.140625" style="1" customWidth="1"/>
    <col min="2319" max="2319" width="8.85546875" style="1" customWidth="1"/>
    <col min="2320" max="2320" width="2.140625" style="1" customWidth="1"/>
    <col min="2321" max="2321" width="14.5703125" style="1" customWidth="1"/>
    <col min="2322" max="2324" width="10.42578125" style="1" customWidth="1"/>
    <col min="2325" max="2353" width="2.85546875" style="1" customWidth="1"/>
    <col min="2354" max="2548" width="10.28515625" style="1"/>
    <col min="2549" max="2549" width="14" style="1" customWidth="1"/>
    <col min="2550" max="2561" width="0" style="1" hidden="1" customWidth="1"/>
    <col min="2562" max="2570" width="11.5703125" style="1" customWidth="1"/>
    <col min="2571" max="2573" width="0" style="1" hidden="1" customWidth="1"/>
    <col min="2574" max="2574" width="10.140625" style="1" customWidth="1"/>
    <col min="2575" max="2575" width="8.85546875" style="1" customWidth="1"/>
    <col min="2576" max="2576" width="2.140625" style="1" customWidth="1"/>
    <col min="2577" max="2577" width="14.5703125" style="1" customWidth="1"/>
    <col min="2578" max="2580" width="10.42578125" style="1" customWidth="1"/>
    <col min="2581" max="2609" width="2.85546875" style="1" customWidth="1"/>
    <col min="2610" max="2804" width="10.28515625" style="1"/>
    <col min="2805" max="2805" width="14" style="1" customWidth="1"/>
    <col min="2806" max="2817" width="0" style="1" hidden="1" customWidth="1"/>
    <col min="2818" max="2826" width="11.5703125" style="1" customWidth="1"/>
    <col min="2827" max="2829" width="0" style="1" hidden="1" customWidth="1"/>
    <col min="2830" max="2830" width="10.140625" style="1" customWidth="1"/>
    <col min="2831" max="2831" width="8.85546875" style="1" customWidth="1"/>
    <col min="2832" max="2832" width="2.140625" style="1" customWidth="1"/>
    <col min="2833" max="2833" width="14.5703125" style="1" customWidth="1"/>
    <col min="2834" max="2836" width="10.42578125" style="1" customWidth="1"/>
    <col min="2837" max="2865" width="2.85546875" style="1" customWidth="1"/>
    <col min="2866" max="3060" width="10.28515625" style="1"/>
    <col min="3061" max="3061" width="14" style="1" customWidth="1"/>
    <col min="3062" max="3073" width="0" style="1" hidden="1" customWidth="1"/>
    <col min="3074" max="3082" width="11.5703125" style="1" customWidth="1"/>
    <col min="3083" max="3085" width="0" style="1" hidden="1" customWidth="1"/>
    <col min="3086" max="3086" width="10.140625" style="1" customWidth="1"/>
    <col min="3087" max="3087" width="8.85546875" style="1" customWidth="1"/>
    <col min="3088" max="3088" width="2.140625" style="1" customWidth="1"/>
    <col min="3089" max="3089" width="14.5703125" style="1" customWidth="1"/>
    <col min="3090" max="3092" width="10.42578125" style="1" customWidth="1"/>
    <col min="3093" max="3121" width="2.85546875" style="1" customWidth="1"/>
    <col min="3122" max="3316" width="10.28515625" style="1"/>
    <col min="3317" max="3317" width="14" style="1" customWidth="1"/>
    <col min="3318" max="3329" width="0" style="1" hidden="1" customWidth="1"/>
    <col min="3330" max="3338" width="11.5703125" style="1" customWidth="1"/>
    <col min="3339" max="3341" width="0" style="1" hidden="1" customWidth="1"/>
    <col min="3342" max="3342" width="10.140625" style="1" customWidth="1"/>
    <col min="3343" max="3343" width="8.85546875" style="1" customWidth="1"/>
    <col min="3344" max="3344" width="2.140625" style="1" customWidth="1"/>
    <col min="3345" max="3345" width="14.5703125" style="1" customWidth="1"/>
    <col min="3346" max="3348" width="10.42578125" style="1" customWidth="1"/>
    <col min="3349" max="3377" width="2.85546875" style="1" customWidth="1"/>
    <col min="3378" max="3572" width="10.28515625" style="1"/>
    <col min="3573" max="3573" width="14" style="1" customWidth="1"/>
    <col min="3574" max="3585" width="0" style="1" hidden="1" customWidth="1"/>
    <col min="3586" max="3594" width="11.5703125" style="1" customWidth="1"/>
    <col min="3595" max="3597" width="0" style="1" hidden="1" customWidth="1"/>
    <col min="3598" max="3598" width="10.140625" style="1" customWidth="1"/>
    <col min="3599" max="3599" width="8.85546875" style="1" customWidth="1"/>
    <col min="3600" max="3600" width="2.140625" style="1" customWidth="1"/>
    <col min="3601" max="3601" width="14.5703125" style="1" customWidth="1"/>
    <col min="3602" max="3604" width="10.42578125" style="1" customWidth="1"/>
    <col min="3605" max="3633" width="2.85546875" style="1" customWidth="1"/>
    <col min="3634" max="3828" width="10.28515625" style="1"/>
    <col min="3829" max="3829" width="14" style="1" customWidth="1"/>
    <col min="3830" max="3841" width="0" style="1" hidden="1" customWidth="1"/>
    <col min="3842" max="3850" width="11.5703125" style="1" customWidth="1"/>
    <col min="3851" max="3853" width="0" style="1" hidden="1" customWidth="1"/>
    <col min="3854" max="3854" width="10.140625" style="1" customWidth="1"/>
    <col min="3855" max="3855" width="8.85546875" style="1" customWidth="1"/>
    <col min="3856" max="3856" width="2.140625" style="1" customWidth="1"/>
    <col min="3857" max="3857" width="14.5703125" style="1" customWidth="1"/>
    <col min="3858" max="3860" width="10.42578125" style="1" customWidth="1"/>
    <col min="3861" max="3889" width="2.85546875" style="1" customWidth="1"/>
    <col min="3890" max="4084" width="10.28515625" style="1"/>
    <col min="4085" max="4085" width="14" style="1" customWidth="1"/>
    <col min="4086" max="4097" width="0" style="1" hidden="1" customWidth="1"/>
    <col min="4098" max="4106" width="11.5703125" style="1" customWidth="1"/>
    <col min="4107" max="4109" width="0" style="1" hidden="1" customWidth="1"/>
    <col min="4110" max="4110" width="10.140625" style="1" customWidth="1"/>
    <col min="4111" max="4111" width="8.85546875" style="1" customWidth="1"/>
    <col min="4112" max="4112" width="2.140625" style="1" customWidth="1"/>
    <col min="4113" max="4113" width="14.5703125" style="1" customWidth="1"/>
    <col min="4114" max="4116" width="10.42578125" style="1" customWidth="1"/>
    <col min="4117" max="4145" width="2.85546875" style="1" customWidth="1"/>
    <col min="4146" max="4340" width="10.28515625" style="1"/>
    <col min="4341" max="4341" width="14" style="1" customWidth="1"/>
    <col min="4342" max="4353" width="0" style="1" hidden="1" customWidth="1"/>
    <col min="4354" max="4362" width="11.5703125" style="1" customWidth="1"/>
    <col min="4363" max="4365" width="0" style="1" hidden="1" customWidth="1"/>
    <col min="4366" max="4366" width="10.140625" style="1" customWidth="1"/>
    <col min="4367" max="4367" width="8.85546875" style="1" customWidth="1"/>
    <col min="4368" max="4368" width="2.140625" style="1" customWidth="1"/>
    <col min="4369" max="4369" width="14.5703125" style="1" customWidth="1"/>
    <col min="4370" max="4372" width="10.42578125" style="1" customWidth="1"/>
    <col min="4373" max="4401" width="2.85546875" style="1" customWidth="1"/>
    <col min="4402" max="4596" width="10.28515625" style="1"/>
    <col min="4597" max="4597" width="14" style="1" customWidth="1"/>
    <col min="4598" max="4609" width="0" style="1" hidden="1" customWidth="1"/>
    <col min="4610" max="4618" width="11.5703125" style="1" customWidth="1"/>
    <col min="4619" max="4621" width="0" style="1" hidden="1" customWidth="1"/>
    <col min="4622" max="4622" width="10.140625" style="1" customWidth="1"/>
    <col min="4623" max="4623" width="8.85546875" style="1" customWidth="1"/>
    <col min="4624" max="4624" width="2.140625" style="1" customWidth="1"/>
    <col min="4625" max="4625" width="14.5703125" style="1" customWidth="1"/>
    <col min="4626" max="4628" width="10.42578125" style="1" customWidth="1"/>
    <col min="4629" max="4657" width="2.85546875" style="1" customWidth="1"/>
    <col min="4658" max="4852" width="10.28515625" style="1"/>
    <col min="4853" max="4853" width="14" style="1" customWidth="1"/>
    <col min="4854" max="4865" width="0" style="1" hidden="1" customWidth="1"/>
    <col min="4866" max="4874" width="11.5703125" style="1" customWidth="1"/>
    <col min="4875" max="4877" width="0" style="1" hidden="1" customWidth="1"/>
    <col min="4878" max="4878" width="10.140625" style="1" customWidth="1"/>
    <col min="4879" max="4879" width="8.85546875" style="1" customWidth="1"/>
    <col min="4880" max="4880" width="2.140625" style="1" customWidth="1"/>
    <col min="4881" max="4881" width="14.5703125" style="1" customWidth="1"/>
    <col min="4882" max="4884" width="10.42578125" style="1" customWidth="1"/>
    <col min="4885" max="4913" width="2.85546875" style="1" customWidth="1"/>
    <col min="4914" max="5108" width="10.28515625" style="1"/>
    <col min="5109" max="5109" width="14" style="1" customWidth="1"/>
    <col min="5110" max="5121" width="0" style="1" hidden="1" customWidth="1"/>
    <col min="5122" max="5130" width="11.5703125" style="1" customWidth="1"/>
    <col min="5131" max="5133" width="0" style="1" hidden="1" customWidth="1"/>
    <col min="5134" max="5134" width="10.140625" style="1" customWidth="1"/>
    <col min="5135" max="5135" width="8.85546875" style="1" customWidth="1"/>
    <col min="5136" max="5136" width="2.140625" style="1" customWidth="1"/>
    <col min="5137" max="5137" width="14.5703125" style="1" customWidth="1"/>
    <col min="5138" max="5140" width="10.42578125" style="1" customWidth="1"/>
    <col min="5141" max="5169" width="2.85546875" style="1" customWidth="1"/>
    <col min="5170" max="5364" width="10.28515625" style="1"/>
    <col min="5365" max="5365" width="14" style="1" customWidth="1"/>
    <col min="5366" max="5377" width="0" style="1" hidden="1" customWidth="1"/>
    <col min="5378" max="5386" width="11.5703125" style="1" customWidth="1"/>
    <col min="5387" max="5389" width="0" style="1" hidden="1" customWidth="1"/>
    <col min="5390" max="5390" width="10.140625" style="1" customWidth="1"/>
    <col min="5391" max="5391" width="8.85546875" style="1" customWidth="1"/>
    <col min="5392" max="5392" width="2.140625" style="1" customWidth="1"/>
    <col min="5393" max="5393" width="14.5703125" style="1" customWidth="1"/>
    <col min="5394" max="5396" width="10.42578125" style="1" customWidth="1"/>
    <col min="5397" max="5425" width="2.85546875" style="1" customWidth="1"/>
    <col min="5426" max="5620" width="10.28515625" style="1"/>
    <col min="5621" max="5621" width="14" style="1" customWidth="1"/>
    <col min="5622" max="5633" width="0" style="1" hidden="1" customWidth="1"/>
    <col min="5634" max="5642" width="11.5703125" style="1" customWidth="1"/>
    <col min="5643" max="5645" width="0" style="1" hidden="1" customWidth="1"/>
    <col min="5646" max="5646" width="10.140625" style="1" customWidth="1"/>
    <col min="5647" max="5647" width="8.85546875" style="1" customWidth="1"/>
    <col min="5648" max="5648" width="2.140625" style="1" customWidth="1"/>
    <col min="5649" max="5649" width="14.5703125" style="1" customWidth="1"/>
    <col min="5650" max="5652" width="10.42578125" style="1" customWidth="1"/>
    <col min="5653" max="5681" width="2.85546875" style="1" customWidth="1"/>
    <col min="5682" max="5876" width="10.28515625" style="1"/>
    <col min="5877" max="5877" width="14" style="1" customWidth="1"/>
    <col min="5878" max="5889" width="0" style="1" hidden="1" customWidth="1"/>
    <col min="5890" max="5898" width="11.5703125" style="1" customWidth="1"/>
    <col min="5899" max="5901" width="0" style="1" hidden="1" customWidth="1"/>
    <col min="5902" max="5902" width="10.140625" style="1" customWidth="1"/>
    <col min="5903" max="5903" width="8.85546875" style="1" customWidth="1"/>
    <col min="5904" max="5904" width="2.140625" style="1" customWidth="1"/>
    <col min="5905" max="5905" width="14.5703125" style="1" customWidth="1"/>
    <col min="5906" max="5908" width="10.42578125" style="1" customWidth="1"/>
    <col min="5909" max="5937" width="2.85546875" style="1" customWidth="1"/>
    <col min="5938" max="6132" width="10.28515625" style="1"/>
    <col min="6133" max="6133" width="14" style="1" customWidth="1"/>
    <col min="6134" max="6145" width="0" style="1" hidden="1" customWidth="1"/>
    <col min="6146" max="6154" width="11.5703125" style="1" customWidth="1"/>
    <col min="6155" max="6157" width="0" style="1" hidden="1" customWidth="1"/>
    <col min="6158" max="6158" width="10.140625" style="1" customWidth="1"/>
    <col min="6159" max="6159" width="8.85546875" style="1" customWidth="1"/>
    <col min="6160" max="6160" width="2.140625" style="1" customWidth="1"/>
    <col min="6161" max="6161" width="14.5703125" style="1" customWidth="1"/>
    <col min="6162" max="6164" width="10.42578125" style="1" customWidth="1"/>
    <col min="6165" max="6193" width="2.85546875" style="1" customWidth="1"/>
    <col min="6194" max="6388" width="10.28515625" style="1"/>
    <col min="6389" max="6389" width="14" style="1" customWidth="1"/>
    <col min="6390" max="6401" width="0" style="1" hidden="1" customWidth="1"/>
    <col min="6402" max="6410" width="11.5703125" style="1" customWidth="1"/>
    <col min="6411" max="6413" width="0" style="1" hidden="1" customWidth="1"/>
    <col min="6414" max="6414" width="10.140625" style="1" customWidth="1"/>
    <col min="6415" max="6415" width="8.85546875" style="1" customWidth="1"/>
    <col min="6416" max="6416" width="2.140625" style="1" customWidth="1"/>
    <col min="6417" max="6417" width="14.5703125" style="1" customWidth="1"/>
    <col min="6418" max="6420" width="10.42578125" style="1" customWidth="1"/>
    <col min="6421" max="6449" width="2.85546875" style="1" customWidth="1"/>
    <col min="6450" max="6644" width="10.28515625" style="1"/>
    <col min="6645" max="6645" width="14" style="1" customWidth="1"/>
    <col min="6646" max="6657" width="0" style="1" hidden="1" customWidth="1"/>
    <col min="6658" max="6666" width="11.5703125" style="1" customWidth="1"/>
    <col min="6667" max="6669" width="0" style="1" hidden="1" customWidth="1"/>
    <col min="6670" max="6670" width="10.140625" style="1" customWidth="1"/>
    <col min="6671" max="6671" width="8.85546875" style="1" customWidth="1"/>
    <col min="6672" max="6672" width="2.140625" style="1" customWidth="1"/>
    <col min="6673" max="6673" width="14.5703125" style="1" customWidth="1"/>
    <col min="6674" max="6676" width="10.42578125" style="1" customWidth="1"/>
    <col min="6677" max="6705" width="2.85546875" style="1" customWidth="1"/>
    <col min="6706" max="6900" width="10.28515625" style="1"/>
    <col min="6901" max="6901" width="14" style="1" customWidth="1"/>
    <col min="6902" max="6913" width="0" style="1" hidden="1" customWidth="1"/>
    <col min="6914" max="6922" width="11.5703125" style="1" customWidth="1"/>
    <col min="6923" max="6925" width="0" style="1" hidden="1" customWidth="1"/>
    <col min="6926" max="6926" width="10.140625" style="1" customWidth="1"/>
    <col min="6927" max="6927" width="8.85546875" style="1" customWidth="1"/>
    <col min="6928" max="6928" width="2.140625" style="1" customWidth="1"/>
    <col min="6929" max="6929" width="14.5703125" style="1" customWidth="1"/>
    <col min="6930" max="6932" width="10.42578125" style="1" customWidth="1"/>
    <col min="6933" max="6961" width="2.85546875" style="1" customWidth="1"/>
    <col min="6962" max="7156" width="10.28515625" style="1"/>
    <col min="7157" max="7157" width="14" style="1" customWidth="1"/>
    <col min="7158" max="7169" width="0" style="1" hidden="1" customWidth="1"/>
    <col min="7170" max="7178" width="11.5703125" style="1" customWidth="1"/>
    <col min="7179" max="7181" width="0" style="1" hidden="1" customWidth="1"/>
    <col min="7182" max="7182" width="10.140625" style="1" customWidth="1"/>
    <col min="7183" max="7183" width="8.85546875" style="1" customWidth="1"/>
    <col min="7184" max="7184" width="2.140625" style="1" customWidth="1"/>
    <col min="7185" max="7185" width="14.5703125" style="1" customWidth="1"/>
    <col min="7186" max="7188" width="10.42578125" style="1" customWidth="1"/>
    <col min="7189" max="7217" width="2.85546875" style="1" customWidth="1"/>
    <col min="7218" max="7412" width="10.28515625" style="1"/>
    <col min="7413" max="7413" width="14" style="1" customWidth="1"/>
    <col min="7414" max="7425" width="0" style="1" hidden="1" customWidth="1"/>
    <col min="7426" max="7434" width="11.5703125" style="1" customWidth="1"/>
    <col min="7435" max="7437" width="0" style="1" hidden="1" customWidth="1"/>
    <col min="7438" max="7438" width="10.140625" style="1" customWidth="1"/>
    <col min="7439" max="7439" width="8.85546875" style="1" customWidth="1"/>
    <col min="7440" max="7440" width="2.140625" style="1" customWidth="1"/>
    <col min="7441" max="7441" width="14.5703125" style="1" customWidth="1"/>
    <col min="7442" max="7444" width="10.42578125" style="1" customWidth="1"/>
    <col min="7445" max="7473" width="2.85546875" style="1" customWidth="1"/>
    <col min="7474" max="7668" width="10.28515625" style="1"/>
    <col min="7669" max="7669" width="14" style="1" customWidth="1"/>
    <col min="7670" max="7681" width="0" style="1" hidden="1" customWidth="1"/>
    <col min="7682" max="7690" width="11.5703125" style="1" customWidth="1"/>
    <col min="7691" max="7693" width="0" style="1" hidden="1" customWidth="1"/>
    <col min="7694" max="7694" width="10.140625" style="1" customWidth="1"/>
    <col min="7695" max="7695" width="8.85546875" style="1" customWidth="1"/>
    <col min="7696" max="7696" width="2.140625" style="1" customWidth="1"/>
    <col min="7697" max="7697" width="14.5703125" style="1" customWidth="1"/>
    <col min="7698" max="7700" width="10.42578125" style="1" customWidth="1"/>
    <col min="7701" max="7729" width="2.85546875" style="1" customWidth="1"/>
    <col min="7730" max="7924" width="10.28515625" style="1"/>
    <col min="7925" max="7925" width="14" style="1" customWidth="1"/>
    <col min="7926" max="7937" width="0" style="1" hidden="1" customWidth="1"/>
    <col min="7938" max="7946" width="11.5703125" style="1" customWidth="1"/>
    <col min="7947" max="7949" width="0" style="1" hidden="1" customWidth="1"/>
    <col min="7950" max="7950" width="10.140625" style="1" customWidth="1"/>
    <col min="7951" max="7951" width="8.85546875" style="1" customWidth="1"/>
    <col min="7952" max="7952" width="2.140625" style="1" customWidth="1"/>
    <col min="7953" max="7953" width="14.5703125" style="1" customWidth="1"/>
    <col min="7954" max="7956" width="10.42578125" style="1" customWidth="1"/>
    <col min="7957" max="7985" width="2.85546875" style="1" customWidth="1"/>
    <col min="7986" max="8180" width="10.28515625" style="1"/>
    <col min="8181" max="8181" width="14" style="1" customWidth="1"/>
    <col min="8182" max="8193" width="0" style="1" hidden="1" customWidth="1"/>
    <col min="8194" max="8202" width="11.5703125" style="1" customWidth="1"/>
    <col min="8203" max="8205" width="0" style="1" hidden="1" customWidth="1"/>
    <col min="8206" max="8206" width="10.140625" style="1" customWidth="1"/>
    <col min="8207" max="8207" width="8.85546875" style="1" customWidth="1"/>
    <col min="8208" max="8208" width="2.140625" style="1" customWidth="1"/>
    <col min="8209" max="8209" width="14.5703125" style="1" customWidth="1"/>
    <col min="8210" max="8212" width="10.42578125" style="1" customWidth="1"/>
    <col min="8213" max="8241" width="2.85546875" style="1" customWidth="1"/>
    <col min="8242" max="8436" width="10.28515625" style="1"/>
    <col min="8437" max="8437" width="14" style="1" customWidth="1"/>
    <col min="8438" max="8449" width="0" style="1" hidden="1" customWidth="1"/>
    <col min="8450" max="8458" width="11.5703125" style="1" customWidth="1"/>
    <col min="8459" max="8461" width="0" style="1" hidden="1" customWidth="1"/>
    <col min="8462" max="8462" width="10.140625" style="1" customWidth="1"/>
    <col min="8463" max="8463" width="8.85546875" style="1" customWidth="1"/>
    <col min="8464" max="8464" width="2.140625" style="1" customWidth="1"/>
    <col min="8465" max="8465" width="14.5703125" style="1" customWidth="1"/>
    <col min="8466" max="8468" width="10.42578125" style="1" customWidth="1"/>
    <col min="8469" max="8497" width="2.85546875" style="1" customWidth="1"/>
    <col min="8498" max="8692" width="10.28515625" style="1"/>
    <col min="8693" max="8693" width="14" style="1" customWidth="1"/>
    <col min="8694" max="8705" width="0" style="1" hidden="1" customWidth="1"/>
    <col min="8706" max="8714" width="11.5703125" style="1" customWidth="1"/>
    <col min="8715" max="8717" width="0" style="1" hidden="1" customWidth="1"/>
    <col min="8718" max="8718" width="10.140625" style="1" customWidth="1"/>
    <col min="8719" max="8719" width="8.85546875" style="1" customWidth="1"/>
    <col min="8720" max="8720" width="2.140625" style="1" customWidth="1"/>
    <col min="8721" max="8721" width="14.5703125" style="1" customWidth="1"/>
    <col min="8722" max="8724" width="10.42578125" style="1" customWidth="1"/>
    <col min="8725" max="8753" width="2.85546875" style="1" customWidth="1"/>
    <col min="8754" max="8948" width="10.28515625" style="1"/>
    <col min="8949" max="8949" width="14" style="1" customWidth="1"/>
    <col min="8950" max="8961" width="0" style="1" hidden="1" customWidth="1"/>
    <col min="8962" max="8970" width="11.5703125" style="1" customWidth="1"/>
    <col min="8971" max="8973" width="0" style="1" hidden="1" customWidth="1"/>
    <col min="8974" max="8974" width="10.140625" style="1" customWidth="1"/>
    <col min="8975" max="8975" width="8.85546875" style="1" customWidth="1"/>
    <col min="8976" max="8976" width="2.140625" style="1" customWidth="1"/>
    <col min="8977" max="8977" width="14.5703125" style="1" customWidth="1"/>
    <col min="8978" max="8980" width="10.42578125" style="1" customWidth="1"/>
    <col min="8981" max="9009" width="2.85546875" style="1" customWidth="1"/>
    <col min="9010" max="9204" width="10.28515625" style="1"/>
    <col min="9205" max="9205" width="14" style="1" customWidth="1"/>
    <col min="9206" max="9217" width="0" style="1" hidden="1" customWidth="1"/>
    <col min="9218" max="9226" width="11.5703125" style="1" customWidth="1"/>
    <col min="9227" max="9229" width="0" style="1" hidden="1" customWidth="1"/>
    <col min="9230" max="9230" width="10.140625" style="1" customWidth="1"/>
    <col min="9231" max="9231" width="8.85546875" style="1" customWidth="1"/>
    <col min="9232" max="9232" width="2.140625" style="1" customWidth="1"/>
    <col min="9233" max="9233" width="14.5703125" style="1" customWidth="1"/>
    <col min="9234" max="9236" width="10.42578125" style="1" customWidth="1"/>
    <col min="9237" max="9265" width="2.85546875" style="1" customWidth="1"/>
    <col min="9266" max="9460" width="10.28515625" style="1"/>
    <col min="9461" max="9461" width="14" style="1" customWidth="1"/>
    <col min="9462" max="9473" width="0" style="1" hidden="1" customWidth="1"/>
    <col min="9474" max="9482" width="11.5703125" style="1" customWidth="1"/>
    <col min="9483" max="9485" width="0" style="1" hidden="1" customWidth="1"/>
    <col min="9486" max="9486" width="10.140625" style="1" customWidth="1"/>
    <col min="9487" max="9487" width="8.85546875" style="1" customWidth="1"/>
    <col min="9488" max="9488" width="2.140625" style="1" customWidth="1"/>
    <col min="9489" max="9489" width="14.5703125" style="1" customWidth="1"/>
    <col min="9490" max="9492" width="10.42578125" style="1" customWidth="1"/>
    <col min="9493" max="9521" width="2.85546875" style="1" customWidth="1"/>
    <col min="9522" max="9716" width="10.28515625" style="1"/>
    <col min="9717" max="9717" width="14" style="1" customWidth="1"/>
    <col min="9718" max="9729" width="0" style="1" hidden="1" customWidth="1"/>
    <col min="9730" max="9738" width="11.5703125" style="1" customWidth="1"/>
    <col min="9739" max="9741" width="0" style="1" hidden="1" customWidth="1"/>
    <col min="9742" max="9742" width="10.140625" style="1" customWidth="1"/>
    <col min="9743" max="9743" width="8.85546875" style="1" customWidth="1"/>
    <col min="9744" max="9744" width="2.140625" style="1" customWidth="1"/>
    <col min="9745" max="9745" width="14.5703125" style="1" customWidth="1"/>
    <col min="9746" max="9748" width="10.42578125" style="1" customWidth="1"/>
    <col min="9749" max="9777" width="2.85546875" style="1" customWidth="1"/>
    <col min="9778" max="9972" width="10.28515625" style="1"/>
    <col min="9973" max="9973" width="14" style="1" customWidth="1"/>
    <col min="9974" max="9985" width="0" style="1" hidden="1" customWidth="1"/>
    <col min="9986" max="9994" width="11.5703125" style="1" customWidth="1"/>
    <col min="9995" max="9997" width="0" style="1" hidden="1" customWidth="1"/>
    <col min="9998" max="9998" width="10.140625" style="1" customWidth="1"/>
    <col min="9999" max="9999" width="8.85546875" style="1" customWidth="1"/>
    <col min="10000" max="10000" width="2.140625" style="1" customWidth="1"/>
    <col min="10001" max="10001" width="14.5703125" style="1" customWidth="1"/>
    <col min="10002" max="10004" width="10.42578125" style="1" customWidth="1"/>
    <col min="10005" max="10033" width="2.85546875" style="1" customWidth="1"/>
    <col min="10034" max="10228" width="10.28515625" style="1"/>
    <col min="10229" max="10229" width="14" style="1" customWidth="1"/>
    <col min="10230" max="10241" width="0" style="1" hidden="1" customWidth="1"/>
    <col min="10242" max="10250" width="11.5703125" style="1" customWidth="1"/>
    <col min="10251" max="10253" width="0" style="1" hidden="1" customWidth="1"/>
    <col min="10254" max="10254" width="10.140625" style="1" customWidth="1"/>
    <col min="10255" max="10255" width="8.85546875" style="1" customWidth="1"/>
    <col min="10256" max="10256" width="2.140625" style="1" customWidth="1"/>
    <col min="10257" max="10257" width="14.5703125" style="1" customWidth="1"/>
    <col min="10258" max="10260" width="10.42578125" style="1" customWidth="1"/>
    <col min="10261" max="10289" width="2.85546875" style="1" customWidth="1"/>
    <col min="10290" max="10484" width="10.28515625" style="1"/>
    <col min="10485" max="10485" width="14" style="1" customWidth="1"/>
    <col min="10486" max="10497" width="0" style="1" hidden="1" customWidth="1"/>
    <col min="10498" max="10506" width="11.5703125" style="1" customWidth="1"/>
    <col min="10507" max="10509" width="0" style="1" hidden="1" customWidth="1"/>
    <col min="10510" max="10510" width="10.140625" style="1" customWidth="1"/>
    <col min="10511" max="10511" width="8.85546875" style="1" customWidth="1"/>
    <col min="10512" max="10512" width="2.140625" style="1" customWidth="1"/>
    <col min="10513" max="10513" width="14.5703125" style="1" customWidth="1"/>
    <col min="10514" max="10516" width="10.42578125" style="1" customWidth="1"/>
    <col min="10517" max="10545" width="2.85546875" style="1" customWidth="1"/>
    <col min="10546" max="10740" width="10.28515625" style="1"/>
    <col min="10741" max="10741" width="14" style="1" customWidth="1"/>
    <col min="10742" max="10753" width="0" style="1" hidden="1" customWidth="1"/>
    <col min="10754" max="10762" width="11.5703125" style="1" customWidth="1"/>
    <col min="10763" max="10765" width="0" style="1" hidden="1" customWidth="1"/>
    <col min="10766" max="10766" width="10.140625" style="1" customWidth="1"/>
    <col min="10767" max="10767" width="8.85546875" style="1" customWidth="1"/>
    <col min="10768" max="10768" width="2.140625" style="1" customWidth="1"/>
    <col min="10769" max="10769" width="14.5703125" style="1" customWidth="1"/>
    <col min="10770" max="10772" width="10.42578125" style="1" customWidth="1"/>
    <col min="10773" max="10801" width="2.85546875" style="1" customWidth="1"/>
    <col min="10802" max="10996" width="10.28515625" style="1"/>
    <col min="10997" max="10997" width="14" style="1" customWidth="1"/>
    <col min="10998" max="11009" width="0" style="1" hidden="1" customWidth="1"/>
    <col min="11010" max="11018" width="11.5703125" style="1" customWidth="1"/>
    <col min="11019" max="11021" width="0" style="1" hidden="1" customWidth="1"/>
    <col min="11022" max="11022" width="10.140625" style="1" customWidth="1"/>
    <col min="11023" max="11023" width="8.85546875" style="1" customWidth="1"/>
    <col min="11024" max="11024" width="2.140625" style="1" customWidth="1"/>
    <col min="11025" max="11025" width="14.5703125" style="1" customWidth="1"/>
    <col min="11026" max="11028" width="10.42578125" style="1" customWidth="1"/>
    <col min="11029" max="11057" width="2.85546875" style="1" customWidth="1"/>
    <col min="11058" max="11252" width="10.28515625" style="1"/>
    <col min="11253" max="11253" width="14" style="1" customWidth="1"/>
    <col min="11254" max="11265" width="0" style="1" hidden="1" customWidth="1"/>
    <col min="11266" max="11274" width="11.5703125" style="1" customWidth="1"/>
    <col min="11275" max="11277" width="0" style="1" hidden="1" customWidth="1"/>
    <col min="11278" max="11278" width="10.140625" style="1" customWidth="1"/>
    <col min="11279" max="11279" width="8.85546875" style="1" customWidth="1"/>
    <col min="11280" max="11280" width="2.140625" style="1" customWidth="1"/>
    <col min="11281" max="11281" width="14.5703125" style="1" customWidth="1"/>
    <col min="11282" max="11284" width="10.42578125" style="1" customWidth="1"/>
    <col min="11285" max="11313" width="2.85546875" style="1" customWidth="1"/>
    <col min="11314" max="11508" width="10.28515625" style="1"/>
    <col min="11509" max="11509" width="14" style="1" customWidth="1"/>
    <col min="11510" max="11521" width="0" style="1" hidden="1" customWidth="1"/>
    <col min="11522" max="11530" width="11.5703125" style="1" customWidth="1"/>
    <col min="11531" max="11533" width="0" style="1" hidden="1" customWidth="1"/>
    <col min="11534" max="11534" width="10.140625" style="1" customWidth="1"/>
    <col min="11535" max="11535" width="8.85546875" style="1" customWidth="1"/>
    <col min="11536" max="11536" width="2.140625" style="1" customWidth="1"/>
    <col min="11537" max="11537" width="14.5703125" style="1" customWidth="1"/>
    <col min="11538" max="11540" width="10.42578125" style="1" customWidth="1"/>
    <col min="11541" max="11569" width="2.85546875" style="1" customWidth="1"/>
    <col min="11570" max="11764" width="10.28515625" style="1"/>
    <col min="11765" max="11765" width="14" style="1" customWidth="1"/>
    <col min="11766" max="11777" width="0" style="1" hidden="1" customWidth="1"/>
    <col min="11778" max="11786" width="11.5703125" style="1" customWidth="1"/>
    <col min="11787" max="11789" width="0" style="1" hidden="1" customWidth="1"/>
    <col min="11790" max="11790" width="10.140625" style="1" customWidth="1"/>
    <col min="11791" max="11791" width="8.85546875" style="1" customWidth="1"/>
    <col min="11792" max="11792" width="2.140625" style="1" customWidth="1"/>
    <col min="11793" max="11793" width="14.5703125" style="1" customWidth="1"/>
    <col min="11794" max="11796" width="10.42578125" style="1" customWidth="1"/>
    <col min="11797" max="11825" width="2.85546875" style="1" customWidth="1"/>
    <col min="11826" max="12020" width="10.28515625" style="1"/>
    <col min="12021" max="12021" width="14" style="1" customWidth="1"/>
    <col min="12022" max="12033" width="0" style="1" hidden="1" customWidth="1"/>
    <col min="12034" max="12042" width="11.5703125" style="1" customWidth="1"/>
    <col min="12043" max="12045" width="0" style="1" hidden="1" customWidth="1"/>
    <col min="12046" max="12046" width="10.140625" style="1" customWidth="1"/>
    <col min="12047" max="12047" width="8.85546875" style="1" customWidth="1"/>
    <col min="12048" max="12048" width="2.140625" style="1" customWidth="1"/>
    <col min="12049" max="12049" width="14.5703125" style="1" customWidth="1"/>
    <col min="12050" max="12052" width="10.42578125" style="1" customWidth="1"/>
    <col min="12053" max="12081" width="2.85546875" style="1" customWidth="1"/>
    <col min="12082" max="12276" width="10.28515625" style="1"/>
    <col min="12277" max="12277" width="14" style="1" customWidth="1"/>
    <col min="12278" max="12289" width="0" style="1" hidden="1" customWidth="1"/>
    <col min="12290" max="12298" width="11.5703125" style="1" customWidth="1"/>
    <col min="12299" max="12301" width="0" style="1" hidden="1" customWidth="1"/>
    <col min="12302" max="12302" width="10.140625" style="1" customWidth="1"/>
    <col min="12303" max="12303" width="8.85546875" style="1" customWidth="1"/>
    <col min="12304" max="12304" width="2.140625" style="1" customWidth="1"/>
    <col min="12305" max="12305" width="14.5703125" style="1" customWidth="1"/>
    <col min="12306" max="12308" width="10.42578125" style="1" customWidth="1"/>
    <col min="12309" max="12337" width="2.85546875" style="1" customWidth="1"/>
    <col min="12338" max="12532" width="10.28515625" style="1"/>
    <col min="12533" max="12533" width="14" style="1" customWidth="1"/>
    <col min="12534" max="12545" width="0" style="1" hidden="1" customWidth="1"/>
    <col min="12546" max="12554" width="11.5703125" style="1" customWidth="1"/>
    <col min="12555" max="12557" width="0" style="1" hidden="1" customWidth="1"/>
    <col min="12558" max="12558" width="10.140625" style="1" customWidth="1"/>
    <col min="12559" max="12559" width="8.85546875" style="1" customWidth="1"/>
    <col min="12560" max="12560" width="2.140625" style="1" customWidth="1"/>
    <col min="12561" max="12561" width="14.5703125" style="1" customWidth="1"/>
    <col min="12562" max="12564" width="10.42578125" style="1" customWidth="1"/>
    <col min="12565" max="12593" width="2.85546875" style="1" customWidth="1"/>
    <col min="12594" max="12788" width="10.28515625" style="1"/>
    <col min="12789" max="12789" width="14" style="1" customWidth="1"/>
    <col min="12790" max="12801" width="0" style="1" hidden="1" customWidth="1"/>
    <col min="12802" max="12810" width="11.5703125" style="1" customWidth="1"/>
    <col min="12811" max="12813" width="0" style="1" hidden="1" customWidth="1"/>
    <col min="12814" max="12814" width="10.140625" style="1" customWidth="1"/>
    <col min="12815" max="12815" width="8.85546875" style="1" customWidth="1"/>
    <col min="12816" max="12816" width="2.140625" style="1" customWidth="1"/>
    <col min="12817" max="12817" width="14.5703125" style="1" customWidth="1"/>
    <col min="12818" max="12820" width="10.42578125" style="1" customWidth="1"/>
    <col min="12821" max="12849" width="2.85546875" style="1" customWidth="1"/>
    <col min="12850" max="13044" width="10.28515625" style="1"/>
    <col min="13045" max="13045" width="14" style="1" customWidth="1"/>
    <col min="13046" max="13057" width="0" style="1" hidden="1" customWidth="1"/>
    <col min="13058" max="13066" width="11.5703125" style="1" customWidth="1"/>
    <col min="13067" max="13069" width="0" style="1" hidden="1" customWidth="1"/>
    <col min="13070" max="13070" width="10.140625" style="1" customWidth="1"/>
    <col min="13071" max="13071" width="8.85546875" style="1" customWidth="1"/>
    <col min="13072" max="13072" width="2.140625" style="1" customWidth="1"/>
    <col min="13073" max="13073" width="14.5703125" style="1" customWidth="1"/>
    <col min="13074" max="13076" width="10.42578125" style="1" customWidth="1"/>
    <col min="13077" max="13105" width="2.85546875" style="1" customWidth="1"/>
    <col min="13106" max="13300" width="10.28515625" style="1"/>
    <col min="13301" max="13301" width="14" style="1" customWidth="1"/>
    <col min="13302" max="13313" width="0" style="1" hidden="1" customWidth="1"/>
    <col min="13314" max="13322" width="11.5703125" style="1" customWidth="1"/>
    <col min="13323" max="13325" width="0" style="1" hidden="1" customWidth="1"/>
    <col min="13326" max="13326" width="10.140625" style="1" customWidth="1"/>
    <col min="13327" max="13327" width="8.85546875" style="1" customWidth="1"/>
    <col min="13328" max="13328" width="2.140625" style="1" customWidth="1"/>
    <col min="13329" max="13329" width="14.5703125" style="1" customWidth="1"/>
    <col min="13330" max="13332" width="10.42578125" style="1" customWidth="1"/>
    <col min="13333" max="13361" width="2.85546875" style="1" customWidth="1"/>
    <col min="13362" max="13556" width="10.28515625" style="1"/>
    <col min="13557" max="13557" width="14" style="1" customWidth="1"/>
    <col min="13558" max="13569" width="0" style="1" hidden="1" customWidth="1"/>
    <col min="13570" max="13578" width="11.5703125" style="1" customWidth="1"/>
    <col min="13579" max="13581" width="0" style="1" hidden="1" customWidth="1"/>
    <col min="13582" max="13582" width="10.140625" style="1" customWidth="1"/>
    <col min="13583" max="13583" width="8.85546875" style="1" customWidth="1"/>
    <col min="13584" max="13584" width="2.140625" style="1" customWidth="1"/>
    <col min="13585" max="13585" width="14.5703125" style="1" customWidth="1"/>
    <col min="13586" max="13588" width="10.42578125" style="1" customWidth="1"/>
    <col min="13589" max="13617" width="2.85546875" style="1" customWidth="1"/>
    <col min="13618" max="13812" width="10.28515625" style="1"/>
    <col min="13813" max="13813" width="14" style="1" customWidth="1"/>
    <col min="13814" max="13825" width="0" style="1" hidden="1" customWidth="1"/>
    <col min="13826" max="13834" width="11.5703125" style="1" customWidth="1"/>
    <col min="13835" max="13837" width="0" style="1" hidden="1" customWidth="1"/>
    <col min="13838" max="13838" width="10.140625" style="1" customWidth="1"/>
    <col min="13839" max="13839" width="8.85546875" style="1" customWidth="1"/>
    <col min="13840" max="13840" width="2.140625" style="1" customWidth="1"/>
    <col min="13841" max="13841" width="14.5703125" style="1" customWidth="1"/>
    <col min="13842" max="13844" width="10.42578125" style="1" customWidth="1"/>
    <col min="13845" max="13873" width="2.85546875" style="1" customWidth="1"/>
    <col min="13874" max="14068" width="10.28515625" style="1"/>
    <col min="14069" max="14069" width="14" style="1" customWidth="1"/>
    <col min="14070" max="14081" width="0" style="1" hidden="1" customWidth="1"/>
    <col min="14082" max="14090" width="11.5703125" style="1" customWidth="1"/>
    <col min="14091" max="14093" width="0" style="1" hidden="1" customWidth="1"/>
    <col min="14094" max="14094" width="10.140625" style="1" customWidth="1"/>
    <col min="14095" max="14095" width="8.85546875" style="1" customWidth="1"/>
    <col min="14096" max="14096" width="2.140625" style="1" customWidth="1"/>
    <col min="14097" max="14097" width="14.5703125" style="1" customWidth="1"/>
    <col min="14098" max="14100" width="10.42578125" style="1" customWidth="1"/>
    <col min="14101" max="14129" width="2.85546875" style="1" customWidth="1"/>
    <col min="14130" max="14324" width="10.28515625" style="1"/>
    <col min="14325" max="14325" width="14" style="1" customWidth="1"/>
    <col min="14326" max="14337" width="0" style="1" hidden="1" customWidth="1"/>
    <col min="14338" max="14346" width="11.5703125" style="1" customWidth="1"/>
    <col min="14347" max="14349" width="0" style="1" hidden="1" customWidth="1"/>
    <col min="14350" max="14350" width="10.140625" style="1" customWidth="1"/>
    <col min="14351" max="14351" width="8.85546875" style="1" customWidth="1"/>
    <col min="14352" max="14352" width="2.140625" style="1" customWidth="1"/>
    <col min="14353" max="14353" width="14.5703125" style="1" customWidth="1"/>
    <col min="14354" max="14356" width="10.42578125" style="1" customWidth="1"/>
    <col min="14357" max="14385" width="2.85546875" style="1" customWidth="1"/>
    <col min="14386" max="14580" width="10.28515625" style="1"/>
    <col min="14581" max="14581" width="14" style="1" customWidth="1"/>
    <col min="14582" max="14593" width="0" style="1" hidden="1" customWidth="1"/>
    <col min="14594" max="14602" width="11.5703125" style="1" customWidth="1"/>
    <col min="14603" max="14605" width="0" style="1" hidden="1" customWidth="1"/>
    <col min="14606" max="14606" width="10.140625" style="1" customWidth="1"/>
    <col min="14607" max="14607" width="8.85546875" style="1" customWidth="1"/>
    <col min="14608" max="14608" width="2.140625" style="1" customWidth="1"/>
    <col min="14609" max="14609" width="14.5703125" style="1" customWidth="1"/>
    <col min="14610" max="14612" width="10.42578125" style="1" customWidth="1"/>
    <col min="14613" max="14641" width="2.85546875" style="1" customWidth="1"/>
    <col min="14642" max="14836" width="10.28515625" style="1"/>
    <col min="14837" max="14837" width="14" style="1" customWidth="1"/>
    <col min="14838" max="14849" width="0" style="1" hidden="1" customWidth="1"/>
    <col min="14850" max="14858" width="11.5703125" style="1" customWidth="1"/>
    <col min="14859" max="14861" width="0" style="1" hidden="1" customWidth="1"/>
    <col min="14862" max="14862" width="10.140625" style="1" customWidth="1"/>
    <col min="14863" max="14863" width="8.85546875" style="1" customWidth="1"/>
    <col min="14864" max="14864" width="2.140625" style="1" customWidth="1"/>
    <col min="14865" max="14865" width="14.5703125" style="1" customWidth="1"/>
    <col min="14866" max="14868" width="10.42578125" style="1" customWidth="1"/>
    <col min="14869" max="14897" width="2.85546875" style="1" customWidth="1"/>
    <col min="14898" max="15092" width="10.28515625" style="1"/>
    <col min="15093" max="15093" width="14" style="1" customWidth="1"/>
    <col min="15094" max="15105" width="0" style="1" hidden="1" customWidth="1"/>
    <col min="15106" max="15114" width="11.5703125" style="1" customWidth="1"/>
    <col min="15115" max="15117" width="0" style="1" hidden="1" customWidth="1"/>
    <col min="15118" max="15118" width="10.140625" style="1" customWidth="1"/>
    <col min="15119" max="15119" width="8.85546875" style="1" customWidth="1"/>
    <col min="15120" max="15120" width="2.140625" style="1" customWidth="1"/>
    <col min="15121" max="15121" width="14.5703125" style="1" customWidth="1"/>
    <col min="15122" max="15124" width="10.42578125" style="1" customWidth="1"/>
    <col min="15125" max="15153" width="2.85546875" style="1" customWidth="1"/>
    <col min="15154" max="15348" width="10.28515625" style="1"/>
    <col min="15349" max="15349" width="14" style="1" customWidth="1"/>
    <col min="15350" max="15361" width="0" style="1" hidden="1" customWidth="1"/>
    <col min="15362" max="15370" width="11.5703125" style="1" customWidth="1"/>
    <col min="15371" max="15373" width="0" style="1" hidden="1" customWidth="1"/>
    <col min="15374" max="15374" width="10.140625" style="1" customWidth="1"/>
    <col min="15375" max="15375" width="8.85546875" style="1" customWidth="1"/>
    <col min="15376" max="15376" width="2.140625" style="1" customWidth="1"/>
    <col min="15377" max="15377" width="14.5703125" style="1" customWidth="1"/>
    <col min="15378" max="15380" width="10.42578125" style="1" customWidth="1"/>
    <col min="15381" max="15409" width="2.85546875" style="1" customWidth="1"/>
    <col min="15410" max="15604" width="10.28515625" style="1"/>
    <col min="15605" max="15605" width="14" style="1" customWidth="1"/>
    <col min="15606" max="15617" width="0" style="1" hidden="1" customWidth="1"/>
    <col min="15618" max="15626" width="11.5703125" style="1" customWidth="1"/>
    <col min="15627" max="15629" width="0" style="1" hidden="1" customWidth="1"/>
    <col min="15630" max="15630" width="10.140625" style="1" customWidth="1"/>
    <col min="15631" max="15631" width="8.85546875" style="1" customWidth="1"/>
    <col min="15632" max="15632" width="2.140625" style="1" customWidth="1"/>
    <col min="15633" max="15633" width="14.5703125" style="1" customWidth="1"/>
    <col min="15634" max="15636" width="10.42578125" style="1" customWidth="1"/>
    <col min="15637" max="15665" width="2.85546875" style="1" customWidth="1"/>
    <col min="15666" max="15860" width="10.28515625" style="1"/>
    <col min="15861" max="15861" width="14" style="1" customWidth="1"/>
    <col min="15862" max="15873" width="0" style="1" hidden="1" customWidth="1"/>
    <col min="15874" max="15882" width="11.5703125" style="1" customWidth="1"/>
    <col min="15883" max="15885" width="0" style="1" hidden="1" customWidth="1"/>
    <col min="15886" max="15886" width="10.140625" style="1" customWidth="1"/>
    <col min="15887" max="15887" width="8.85546875" style="1" customWidth="1"/>
    <col min="15888" max="15888" width="2.140625" style="1" customWidth="1"/>
    <col min="15889" max="15889" width="14.5703125" style="1" customWidth="1"/>
    <col min="15890" max="15892" width="10.42578125" style="1" customWidth="1"/>
    <col min="15893" max="15921" width="2.85546875" style="1" customWidth="1"/>
    <col min="15922" max="16116" width="10.28515625" style="1"/>
    <col min="16117" max="16117" width="14" style="1" customWidth="1"/>
    <col min="16118" max="16129" width="0" style="1" hidden="1" customWidth="1"/>
    <col min="16130" max="16138" width="11.5703125" style="1" customWidth="1"/>
    <col min="16139" max="16141" width="0" style="1" hidden="1" customWidth="1"/>
    <col min="16142" max="16142" width="10.140625" style="1" customWidth="1"/>
    <col min="16143" max="16143" width="8.85546875" style="1" customWidth="1"/>
    <col min="16144" max="16144" width="2.140625" style="1" customWidth="1"/>
    <col min="16145" max="16145" width="14.5703125" style="1" customWidth="1"/>
    <col min="16146" max="16148" width="10.42578125" style="1" customWidth="1"/>
    <col min="16149" max="16177" width="2.85546875" style="1" customWidth="1"/>
    <col min="16178" max="16384" width="10.28515625" style="1"/>
  </cols>
  <sheetData>
    <row r="1" spans="1:53" ht="20.25" customHeight="1" x14ac:dyDescent="0.45">
      <c r="A1" s="60" t="s">
        <v>49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53" ht="18" customHeight="1" x14ac:dyDescent="0.15">
      <c r="A2" s="61" t="s">
        <v>48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53" s="5" customFormat="1" ht="15.75" customHeight="1" x14ac:dyDescent="0.2">
      <c r="A3" s="4"/>
      <c r="B3" s="54">
        <v>2022</v>
      </c>
      <c r="C3" s="55"/>
      <c r="D3" s="55"/>
      <c r="E3" s="54">
        <v>2023</v>
      </c>
      <c r="F3" s="55"/>
      <c r="G3" s="55"/>
      <c r="H3" s="54">
        <v>2024</v>
      </c>
      <c r="I3" s="55"/>
      <c r="J3" s="55"/>
      <c r="K3" s="54">
        <v>2025</v>
      </c>
      <c r="L3" s="55"/>
      <c r="M3" s="55"/>
      <c r="N3" s="56" t="s">
        <v>2</v>
      </c>
      <c r="AW3" s="6"/>
      <c r="AX3" s="7"/>
      <c r="AY3" s="6"/>
      <c r="AZ3" s="6"/>
      <c r="BA3" s="6"/>
    </row>
    <row r="4" spans="1:53" s="46" customFormat="1" ht="21.75" customHeight="1" x14ac:dyDescent="0.4">
      <c r="A4" s="43"/>
      <c r="B4" s="44" t="s">
        <v>3</v>
      </c>
      <c r="C4" s="45" t="s">
        <v>4</v>
      </c>
      <c r="D4" s="45" t="s">
        <v>5</v>
      </c>
      <c r="E4" s="44" t="s">
        <v>3</v>
      </c>
      <c r="F4" s="45" t="s">
        <v>4</v>
      </c>
      <c r="G4" s="45" t="s">
        <v>5</v>
      </c>
      <c r="H4" s="44" t="s">
        <v>3</v>
      </c>
      <c r="I4" s="45" t="s">
        <v>4</v>
      </c>
      <c r="J4" s="45" t="s">
        <v>5</v>
      </c>
      <c r="K4" s="44" t="s">
        <v>3</v>
      </c>
      <c r="L4" s="45" t="s">
        <v>4</v>
      </c>
      <c r="M4" s="45" t="s">
        <v>5</v>
      </c>
      <c r="N4" s="57"/>
      <c r="AW4" s="47"/>
      <c r="AX4" s="48"/>
      <c r="AY4" s="47"/>
      <c r="AZ4" s="47"/>
      <c r="BA4" s="47"/>
    </row>
    <row r="5" spans="1:53" ht="25.5" customHeight="1" x14ac:dyDescent="0.25">
      <c r="A5" s="8" t="s">
        <v>6</v>
      </c>
      <c r="B5" s="9" t="s">
        <v>7</v>
      </c>
      <c r="C5" s="10" t="s">
        <v>8</v>
      </c>
      <c r="D5" s="11" t="s">
        <v>9</v>
      </c>
      <c r="E5" s="9" t="s">
        <v>7</v>
      </c>
      <c r="F5" s="10" t="s">
        <v>8</v>
      </c>
      <c r="G5" s="11" t="s">
        <v>9</v>
      </c>
      <c r="H5" s="9" t="s">
        <v>7</v>
      </c>
      <c r="I5" s="10" t="s">
        <v>8</v>
      </c>
      <c r="J5" s="11" t="s">
        <v>9</v>
      </c>
      <c r="K5" s="9" t="s">
        <v>7</v>
      </c>
      <c r="L5" s="10" t="s">
        <v>8</v>
      </c>
      <c r="M5" s="11" t="s">
        <v>9</v>
      </c>
      <c r="N5" s="58"/>
    </row>
    <row r="6" spans="1:53" ht="18.75" customHeight="1" x14ac:dyDescent="0.55000000000000004">
      <c r="A6" s="4" t="s">
        <v>1</v>
      </c>
      <c r="B6" s="12">
        <f t="shared" ref="B6:M6" si="0">SUM(B7:B18)</f>
        <v>5755</v>
      </c>
      <c r="C6" s="13">
        <f t="shared" si="0"/>
        <v>1491</v>
      </c>
      <c r="D6" s="13">
        <f t="shared" si="0"/>
        <v>4264</v>
      </c>
      <c r="E6" s="12">
        <f t="shared" si="0"/>
        <v>5956</v>
      </c>
      <c r="F6" s="13">
        <f t="shared" si="0"/>
        <v>1517</v>
      </c>
      <c r="G6" s="13">
        <f t="shared" si="0"/>
        <v>4439</v>
      </c>
      <c r="H6" s="12">
        <f t="shared" si="0"/>
        <v>5840</v>
      </c>
      <c r="I6" s="13">
        <f t="shared" si="0"/>
        <v>1470</v>
      </c>
      <c r="J6" s="13">
        <f t="shared" si="0"/>
        <v>4370</v>
      </c>
      <c r="K6" s="12">
        <f t="shared" si="0"/>
        <v>5625</v>
      </c>
      <c r="L6" s="13">
        <f t="shared" si="0"/>
        <v>1399</v>
      </c>
      <c r="M6" s="13">
        <f t="shared" si="0"/>
        <v>4226</v>
      </c>
      <c r="N6" s="14" t="s">
        <v>10</v>
      </c>
    </row>
    <row r="7" spans="1:53" ht="18.75" customHeight="1" x14ac:dyDescent="0.15">
      <c r="A7" s="15" t="s">
        <v>11</v>
      </c>
      <c r="B7" s="16">
        <v>439</v>
      </c>
      <c r="C7" s="17">
        <v>142</v>
      </c>
      <c r="D7" s="17">
        <f>B7-C7</f>
        <v>297</v>
      </c>
      <c r="E7" s="16">
        <v>541</v>
      </c>
      <c r="F7" s="17">
        <v>121</v>
      </c>
      <c r="G7" s="17">
        <f>E7-F7</f>
        <v>420</v>
      </c>
      <c r="H7" s="16">
        <v>467</v>
      </c>
      <c r="I7" s="17">
        <v>160</v>
      </c>
      <c r="J7" s="17">
        <f>H7-I7</f>
        <v>307</v>
      </c>
      <c r="K7" s="16">
        <v>466</v>
      </c>
      <c r="L7" s="17">
        <v>128</v>
      </c>
      <c r="M7" s="17">
        <f>K7-L7</f>
        <v>338</v>
      </c>
      <c r="N7" s="18" t="s">
        <v>12</v>
      </c>
    </row>
    <row r="8" spans="1:53" ht="18.75" customHeight="1" x14ac:dyDescent="0.15">
      <c r="A8" s="15" t="s">
        <v>13</v>
      </c>
      <c r="B8" s="16">
        <v>383</v>
      </c>
      <c r="C8" s="17">
        <v>139</v>
      </c>
      <c r="D8" s="17">
        <f t="shared" ref="D8:D18" si="1">B8-C8</f>
        <v>244</v>
      </c>
      <c r="E8" s="16">
        <v>440</v>
      </c>
      <c r="F8" s="17">
        <v>120</v>
      </c>
      <c r="G8" s="17">
        <f t="shared" ref="G8:G18" si="2">E8-F8</f>
        <v>320</v>
      </c>
      <c r="H8" s="16">
        <v>480</v>
      </c>
      <c r="I8" s="17">
        <v>118</v>
      </c>
      <c r="J8" s="17">
        <f t="shared" ref="J8:J18" si="3">H8-I8</f>
        <v>362</v>
      </c>
      <c r="K8" s="16">
        <v>457</v>
      </c>
      <c r="L8" s="17">
        <v>115</v>
      </c>
      <c r="M8" s="17">
        <f t="shared" ref="M8:M18" si="4">K8-L8</f>
        <v>342</v>
      </c>
      <c r="N8" s="18" t="s">
        <v>14</v>
      </c>
    </row>
    <row r="9" spans="1:53" ht="18.75" customHeight="1" x14ac:dyDescent="0.15">
      <c r="A9" s="15" t="s">
        <v>15</v>
      </c>
      <c r="B9" s="16">
        <v>471</v>
      </c>
      <c r="C9" s="17">
        <v>105</v>
      </c>
      <c r="D9" s="17">
        <f t="shared" si="1"/>
        <v>366</v>
      </c>
      <c r="E9" s="16">
        <v>560</v>
      </c>
      <c r="F9" s="17">
        <v>135</v>
      </c>
      <c r="G9" s="17">
        <f t="shared" si="2"/>
        <v>425</v>
      </c>
      <c r="H9" s="16">
        <v>526</v>
      </c>
      <c r="I9" s="17">
        <v>135</v>
      </c>
      <c r="J9" s="17">
        <f t="shared" si="3"/>
        <v>391</v>
      </c>
      <c r="K9" s="16">
        <v>503</v>
      </c>
      <c r="L9" s="17">
        <v>127</v>
      </c>
      <c r="M9" s="17">
        <f t="shared" si="4"/>
        <v>376</v>
      </c>
      <c r="N9" s="18" t="s">
        <v>16</v>
      </c>
    </row>
    <row r="10" spans="1:53" ht="18.75" customHeight="1" x14ac:dyDescent="0.15">
      <c r="A10" s="15" t="s">
        <v>17</v>
      </c>
      <c r="B10" s="16">
        <v>526</v>
      </c>
      <c r="C10" s="17">
        <v>110</v>
      </c>
      <c r="D10" s="17">
        <f t="shared" si="1"/>
        <v>416</v>
      </c>
      <c r="E10" s="16">
        <v>547</v>
      </c>
      <c r="F10" s="17">
        <v>138</v>
      </c>
      <c r="G10" s="17">
        <f t="shared" si="2"/>
        <v>409</v>
      </c>
      <c r="H10" s="16">
        <v>495</v>
      </c>
      <c r="I10" s="17">
        <v>133</v>
      </c>
      <c r="J10" s="17">
        <f t="shared" si="3"/>
        <v>362</v>
      </c>
      <c r="K10" s="16">
        <v>468</v>
      </c>
      <c r="L10" s="17">
        <v>111</v>
      </c>
      <c r="M10" s="17">
        <f t="shared" si="4"/>
        <v>357</v>
      </c>
      <c r="N10" s="18" t="s">
        <v>18</v>
      </c>
    </row>
    <row r="11" spans="1:53" ht="18.75" customHeight="1" x14ac:dyDescent="0.15">
      <c r="A11" s="15" t="s">
        <v>20</v>
      </c>
      <c r="B11" s="16">
        <v>471</v>
      </c>
      <c r="C11" s="17">
        <v>108</v>
      </c>
      <c r="D11" s="17">
        <f t="shared" si="1"/>
        <v>363</v>
      </c>
      <c r="E11" s="16">
        <v>460</v>
      </c>
      <c r="F11" s="17">
        <v>130</v>
      </c>
      <c r="G11" s="17">
        <f t="shared" si="2"/>
        <v>330</v>
      </c>
      <c r="H11" s="16">
        <v>474</v>
      </c>
      <c r="I11" s="17">
        <v>111</v>
      </c>
      <c r="J11" s="17">
        <f t="shared" si="3"/>
        <v>363</v>
      </c>
      <c r="K11" s="16">
        <v>450</v>
      </c>
      <c r="L11" s="17">
        <v>90</v>
      </c>
      <c r="M11" s="17">
        <f t="shared" si="4"/>
        <v>360</v>
      </c>
      <c r="N11" s="18" t="s">
        <v>21</v>
      </c>
    </row>
    <row r="12" spans="1:53" ht="18.75" customHeight="1" x14ac:dyDescent="0.15">
      <c r="A12" s="15" t="s">
        <v>23</v>
      </c>
      <c r="B12" s="16">
        <v>493</v>
      </c>
      <c r="C12" s="17">
        <v>118</v>
      </c>
      <c r="D12" s="17">
        <f t="shared" si="1"/>
        <v>375</v>
      </c>
      <c r="E12" s="16">
        <v>473</v>
      </c>
      <c r="F12" s="17">
        <v>114</v>
      </c>
      <c r="G12" s="17">
        <f t="shared" si="2"/>
        <v>359</v>
      </c>
      <c r="H12" s="16">
        <v>453</v>
      </c>
      <c r="I12" s="17">
        <v>119</v>
      </c>
      <c r="J12" s="17">
        <f t="shared" si="3"/>
        <v>334</v>
      </c>
      <c r="K12" s="16">
        <v>462</v>
      </c>
      <c r="L12" s="17">
        <v>126</v>
      </c>
      <c r="M12" s="17">
        <f t="shared" si="4"/>
        <v>336</v>
      </c>
      <c r="N12" s="18" t="s">
        <v>24</v>
      </c>
    </row>
    <row r="13" spans="1:53" ht="18.75" customHeight="1" x14ac:dyDescent="0.15">
      <c r="A13" s="15" t="s">
        <v>26</v>
      </c>
      <c r="B13" s="16">
        <v>467</v>
      </c>
      <c r="C13" s="17">
        <v>130</v>
      </c>
      <c r="D13" s="17">
        <f t="shared" si="1"/>
        <v>337</v>
      </c>
      <c r="E13" s="16">
        <v>516</v>
      </c>
      <c r="F13" s="17">
        <v>103</v>
      </c>
      <c r="G13" s="17">
        <f t="shared" si="2"/>
        <v>413</v>
      </c>
      <c r="H13" s="16">
        <v>520</v>
      </c>
      <c r="I13" s="17">
        <v>98</v>
      </c>
      <c r="J13" s="17">
        <f t="shared" si="3"/>
        <v>422</v>
      </c>
      <c r="K13" s="16">
        <v>506</v>
      </c>
      <c r="L13" s="17">
        <v>132</v>
      </c>
      <c r="M13" s="17">
        <f t="shared" si="4"/>
        <v>374</v>
      </c>
      <c r="N13" s="18" t="s">
        <v>27</v>
      </c>
    </row>
    <row r="14" spans="1:53" ht="18.75" customHeight="1" x14ac:dyDescent="0.15">
      <c r="A14" s="15" t="s">
        <v>29</v>
      </c>
      <c r="B14" s="16">
        <v>484</v>
      </c>
      <c r="C14" s="17">
        <v>141</v>
      </c>
      <c r="D14" s="17">
        <f t="shared" si="1"/>
        <v>343</v>
      </c>
      <c r="E14" s="16">
        <v>495</v>
      </c>
      <c r="F14" s="17">
        <v>125</v>
      </c>
      <c r="G14" s="17">
        <f t="shared" si="2"/>
        <v>370</v>
      </c>
      <c r="H14" s="16">
        <v>497</v>
      </c>
      <c r="I14" s="17">
        <v>101</v>
      </c>
      <c r="J14" s="17">
        <f t="shared" si="3"/>
        <v>396</v>
      </c>
      <c r="K14" s="16">
        <v>447</v>
      </c>
      <c r="L14" s="17">
        <v>123</v>
      </c>
      <c r="M14" s="17">
        <f t="shared" si="4"/>
        <v>324</v>
      </c>
      <c r="N14" s="18" t="s">
        <v>30</v>
      </c>
    </row>
    <row r="15" spans="1:53" ht="18.75" customHeight="1" x14ac:dyDescent="0.15">
      <c r="A15" s="15" t="s">
        <v>31</v>
      </c>
      <c r="B15" s="16">
        <v>463</v>
      </c>
      <c r="C15" s="17">
        <v>117</v>
      </c>
      <c r="D15" s="17">
        <f t="shared" si="1"/>
        <v>346</v>
      </c>
      <c r="E15" s="16">
        <v>471</v>
      </c>
      <c r="F15" s="17">
        <v>153</v>
      </c>
      <c r="G15" s="17">
        <f t="shared" si="2"/>
        <v>318</v>
      </c>
      <c r="H15" s="16">
        <v>509</v>
      </c>
      <c r="I15" s="17">
        <v>121</v>
      </c>
      <c r="J15" s="17">
        <f t="shared" si="3"/>
        <v>388</v>
      </c>
      <c r="K15" s="16">
        <v>421</v>
      </c>
      <c r="L15" s="17">
        <v>113</v>
      </c>
      <c r="M15" s="17">
        <f t="shared" si="4"/>
        <v>308</v>
      </c>
      <c r="N15" s="18" t="s">
        <v>32</v>
      </c>
    </row>
    <row r="16" spans="1:53" ht="18.75" customHeight="1" x14ac:dyDescent="0.15">
      <c r="A16" s="15" t="s">
        <v>0</v>
      </c>
      <c r="B16" s="16">
        <v>517</v>
      </c>
      <c r="C16" s="17">
        <v>114</v>
      </c>
      <c r="D16" s="17">
        <f t="shared" si="1"/>
        <v>403</v>
      </c>
      <c r="E16" s="16">
        <v>509</v>
      </c>
      <c r="F16" s="17">
        <v>128</v>
      </c>
      <c r="G16" s="17">
        <f t="shared" si="2"/>
        <v>381</v>
      </c>
      <c r="H16" s="16">
        <v>457</v>
      </c>
      <c r="I16" s="17">
        <v>128</v>
      </c>
      <c r="J16" s="17">
        <f t="shared" si="3"/>
        <v>329</v>
      </c>
      <c r="K16" s="16">
        <v>452</v>
      </c>
      <c r="L16" s="17">
        <v>118</v>
      </c>
      <c r="M16" s="17">
        <f t="shared" si="4"/>
        <v>334</v>
      </c>
      <c r="N16" s="18" t="s">
        <v>34</v>
      </c>
      <c r="AW16" s="1"/>
      <c r="AX16" s="1"/>
      <c r="AY16" s="1"/>
      <c r="AZ16" s="1"/>
      <c r="BA16" s="1"/>
    </row>
    <row r="17" spans="1:67" ht="18.75" customHeight="1" x14ac:dyDescent="0.15">
      <c r="A17" s="15" t="s">
        <v>36</v>
      </c>
      <c r="B17" s="16">
        <v>486</v>
      </c>
      <c r="C17" s="17">
        <v>130</v>
      </c>
      <c r="D17" s="17">
        <f t="shared" si="1"/>
        <v>356</v>
      </c>
      <c r="E17" s="16">
        <v>492</v>
      </c>
      <c r="F17" s="17">
        <v>115</v>
      </c>
      <c r="G17" s="17">
        <f t="shared" si="2"/>
        <v>377</v>
      </c>
      <c r="H17" s="16">
        <v>426</v>
      </c>
      <c r="I17" s="17">
        <v>131</v>
      </c>
      <c r="J17" s="17">
        <f t="shared" si="3"/>
        <v>295</v>
      </c>
      <c r="K17" s="16">
        <v>448</v>
      </c>
      <c r="L17" s="17">
        <v>117</v>
      </c>
      <c r="M17" s="17">
        <f t="shared" si="4"/>
        <v>331</v>
      </c>
      <c r="N17" s="18" t="s">
        <v>37</v>
      </c>
    </row>
    <row r="18" spans="1:67" ht="18.75" customHeight="1" x14ac:dyDescent="0.15">
      <c r="A18" s="23" t="s">
        <v>39</v>
      </c>
      <c r="B18" s="24">
        <v>555</v>
      </c>
      <c r="C18" s="25">
        <v>137</v>
      </c>
      <c r="D18" s="25">
        <f t="shared" si="1"/>
        <v>418</v>
      </c>
      <c r="E18" s="24">
        <v>452</v>
      </c>
      <c r="F18" s="25">
        <v>135</v>
      </c>
      <c r="G18" s="25">
        <f t="shared" si="2"/>
        <v>317</v>
      </c>
      <c r="H18" s="24">
        <v>536</v>
      </c>
      <c r="I18" s="25">
        <v>115</v>
      </c>
      <c r="J18" s="25">
        <f t="shared" si="3"/>
        <v>421</v>
      </c>
      <c r="K18" s="24">
        <v>545</v>
      </c>
      <c r="L18" s="25">
        <v>99</v>
      </c>
      <c r="M18" s="25">
        <f t="shared" si="4"/>
        <v>446</v>
      </c>
      <c r="N18" s="26" t="s">
        <v>40</v>
      </c>
      <c r="AW18" s="1"/>
      <c r="AX18" s="1"/>
      <c r="AY18" s="1"/>
      <c r="AZ18" s="1"/>
      <c r="BA18" s="1"/>
    </row>
    <row r="19" spans="1:67" ht="21.75" customHeight="1" x14ac:dyDescent="0.15">
      <c r="A19" s="49" t="s">
        <v>45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N19" s="68" t="s">
        <v>46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W19" s="1"/>
      <c r="AX19" s="1"/>
      <c r="AY19" s="1"/>
      <c r="AZ19" s="1"/>
      <c r="BA19" s="1"/>
    </row>
    <row r="20" spans="1:67" ht="14.25" customHeight="1" x14ac:dyDescent="0.15">
      <c r="A20" s="62" t="s">
        <v>50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N20" s="52" t="s">
        <v>55</v>
      </c>
      <c r="O20" s="51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W20" s="1"/>
      <c r="AX20" s="1"/>
      <c r="AY20" s="1"/>
      <c r="AZ20" s="1"/>
      <c r="BA20" s="1"/>
    </row>
    <row r="21" spans="1:67" s="27" customFormat="1" ht="14.25" customHeight="1" x14ac:dyDescent="0.25">
      <c r="A21" s="63" t="s">
        <v>51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N21" s="65" t="s">
        <v>47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 spans="1:67" ht="14.25" customHeight="1" x14ac:dyDescent="0.15">
      <c r="A22" s="66" t="s">
        <v>52</v>
      </c>
      <c r="L22" s="1"/>
      <c r="N22" s="53" t="s">
        <v>53</v>
      </c>
      <c r="O22" s="29"/>
      <c r="AW22" s="1"/>
      <c r="AX22" s="1"/>
      <c r="AY22" s="1"/>
      <c r="AZ22" s="1"/>
      <c r="BA22" s="1"/>
    </row>
    <row r="23" spans="1:67" x14ac:dyDescent="0.5">
      <c r="A23" s="67" t="s">
        <v>54</v>
      </c>
      <c r="L23" s="1"/>
      <c r="AV23" s="28"/>
      <c r="AW23" s="1"/>
      <c r="AX23" s="1"/>
      <c r="AY23" s="1"/>
      <c r="AZ23" s="1"/>
      <c r="BA23" s="1"/>
    </row>
    <row r="24" spans="1:67" x14ac:dyDescent="0.5">
      <c r="M24" s="29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</row>
    <row r="25" spans="1:67" x14ac:dyDescent="0.5">
      <c r="M25" s="29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</row>
    <row r="26" spans="1:67" x14ac:dyDescent="0.5">
      <c r="M26" s="29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</row>
    <row r="29" spans="1:67" ht="12" x14ac:dyDescent="0.15">
      <c r="L29" s="1"/>
    </row>
    <row r="30" spans="1:67" ht="12" x14ac:dyDescent="0.15">
      <c r="A30" s="31"/>
      <c r="L30" s="1"/>
      <c r="AX30" s="19" t="s">
        <v>8</v>
      </c>
    </row>
    <row r="31" spans="1:67" ht="12" x14ac:dyDescent="0.15">
      <c r="L31" s="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2"/>
      <c r="AU31" s="32"/>
      <c r="AV31" s="32"/>
      <c r="AW31" s="33"/>
    </row>
    <row r="32" spans="1:67" ht="12" x14ac:dyDescent="0.15">
      <c r="A32" s="34"/>
      <c r="L32" s="1"/>
      <c r="BE32" s="2"/>
      <c r="BF32" s="2"/>
      <c r="BG32" s="2"/>
      <c r="BH32" s="2"/>
      <c r="BI32" s="2"/>
      <c r="BL32" s="19" t="s">
        <v>7</v>
      </c>
      <c r="BM32" s="2"/>
      <c r="BN32" s="2"/>
      <c r="BO32" s="2"/>
    </row>
    <row r="33" spans="1:75" s="34" customFormat="1" ht="12" x14ac:dyDescent="0.25">
      <c r="A33" s="35"/>
      <c r="AW33" s="36"/>
      <c r="AX33" s="20"/>
      <c r="AY33" s="20">
        <v>2015</v>
      </c>
      <c r="AZ33" s="20">
        <v>2016</v>
      </c>
      <c r="BA33" s="20">
        <v>2017</v>
      </c>
      <c r="BB33" s="20">
        <v>2018</v>
      </c>
      <c r="BC33" s="20">
        <v>2019</v>
      </c>
      <c r="BD33" s="20">
        <v>2020</v>
      </c>
      <c r="BE33" s="20">
        <v>2021</v>
      </c>
      <c r="BF33" s="20">
        <v>2022</v>
      </c>
      <c r="BG33" s="20">
        <v>2023</v>
      </c>
      <c r="BH33" s="20">
        <v>2024</v>
      </c>
      <c r="BI33" s="20">
        <v>2025</v>
      </c>
      <c r="BL33" s="20"/>
      <c r="BM33" s="20">
        <v>2015</v>
      </c>
      <c r="BN33" s="20">
        <v>2016</v>
      </c>
      <c r="BO33" s="20">
        <v>2017</v>
      </c>
      <c r="BP33" s="20">
        <v>2018</v>
      </c>
      <c r="BQ33" s="20">
        <v>2019</v>
      </c>
      <c r="BR33" s="20">
        <v>2020</v>
      </c>
      <c r="BS33" s="20">
        <v>2021</v>
      </c>
      <c r="BT33" s="20">
        <v>2022</v>
      </c>
      <c r="BU33" s="20">
        <v>2023</v>
      </c>
      <c r="BV33" s="20">
        <v>2024</v>
      </c>
      <c r="BW33" s="20">
        <v>2025</v>
      </c>
    </row>
    <row r="34" spans="1:75" ht="12.75" x14ac:dyDescent="0.15">
      <c r="A34" s="35"/>
      <c r="L34" s="1"/>
      <c r="AX34" s="21" t="s">
        <v>19</v>
      </c>
      <c r="AY34" s="22">
        <v>94</v>
      </c>
      <c r="AZ34" s="22">
        <v>122</v>
      </c>
      <c r="BA34" s="22">
        <v>97</v>
      </c>
      <c r="BB34" s="22">
        <v>114</v>
      </c>
      <c r="BC34" s="22">
        <v>110</v>
      </c>
      <c r="BD34" s="22">
        <v>114</v>
      </c>
      <c r="BE34" s="22">
        <f>I7</f>
        <v>160</v>
      </c>
      <c r="BF34" s="22">
        <v>142</v>
      </c>
      <c r="BG34" s="22">
        <v>121</v>
      </c>
      <c r="BH34" s="22">
        <v>160</v>
      </c>
      <c r="BI34" s="22">
        <v>128</v>
      </c>
      <c r="BL34" s="21" t="s">
        <v>19</v>
      </c>
      <c r="BM34" s="22">
        <v>517</v>
      </c>
      <c r="BN34" s="22">
        <v>560</v>
      </c>
      <c r="BO34" s="22">
        <v>550</v>
      </c>
      <c r="BP34" s="22">
        <v>541</v>
      </c>
      <c r="BQ34" s="22">
        <v>526</v>
      </c>
      <c r="BR34" s="22">
        <v>540</v>
      </c>
      <c r="BS34" s="22">
        <f>H7</f>
        <v>467</v>
      </c>
      <c r="BT34" s="22">
        <v>439</v>
      </c>
      <c r="BU34" s="22">
        <v>541</v>
      </c>
      <c r="BV34" s="22">
        <v>467</v>
      </c>
      <c r="BW34" s="22">
        <v>466</v>
      </c>
    </row>
    <row r="35" spans="1:75" ht="12.75" x14ac:dyDescent="0.15">
      <c r="A35" s="35"/>
      <c r="L35" s="1"/>
      <c r="AX35" s="21" t="s">
        <v>22</v>
      </c>
      <c r="AY35" s="22">
        <v>91</v>
      </c>
      <c r="AZ35" s="22">
        <v>121</v>
      </c>
      <c r="BA35" s="22">
        <v>104</v>
      </c>
      <c r="BB35" s="22">
        <v>98</v>
      </c>
      <c r="BC35" s="22">
        <v>78</v>
      </c>
      <c r="BD35" s="22">
        <v>96</v>
      </c>
      <c r="BE35" s="22">
        <f t="shared" ref="BE35:BE45" si="5">I8</f>
        <v>118</v>
      </c>
      <c r="BF35" s="22">
        <v>139</v>
      </c>
      <c r="BG35" s="22">
        <v>120</v>
      </c>
      <c r="BH35" s="22">
        <v>118</v>
      </c>
      <c r="BI35" s="22">
        <v>115</v>
      </c>
      <c r="BL35" s="21" t="s">
        <v>22</v>
      </c>
      <c r="BM35" s="22">
        <v>496</v>
      </c>
      <c r="BN35" s="22">
        <v>524</v>
      </c>
      <c r="BO35" s="22">
        <v>511</v>
      </c>
      <c r="BP35" s="22">
        <v>535</v>
      </c>
      <c r="BQ35" s="22">
        <v>449</v>
      </c>
      <c r="BR35" s="22">
        <v>548</v>
      </c>
      <c r="BS35" s="22">
        <f t="shared" ref="BS35:BS45" si="6">H8</f>
        <v>480</v>
      </c>
      <c r="BT35" s="22">
        <v>383</v>
      </c>
      <c r="BU35" s="22">
        <v>440</v>
      </c>
      <c r="BV35" s="22">
        <v>480</v>
      </c>
      <c r="BW35" s="22">
        <v>457</v>
      </c>
    </row>
    <row r="36" spans="1:75" ht="8.25" customHeight="1" x14ac:dyDescent="0.15">
      <c r="A36" s="35"/>
      <c r="L36" s="1"/>
      <c r="AX36" s="21" t="s">
        <v>25</v>
      </c>
      <c r="AY36" s="22">
        <v>107</v>
      </c>
      <c r="AZ36" s="22">
        <v>129</v>
      </c>
      <c r="BA36" s="22">
        <v>134</v>
      </c>
      <c r="BB36" s="22">
        <v>117</v>
      </c>
      <c r="BC36" s="22">
        <v>101</v>
      </c>
      <c r="BD36" s="22">
        <v>109</v>
      </c>
      <c r="BE36" s="22">
        <f t="shared" si="5"/>
        <v>135</v>
      </c>
      <c r="BF36" s="22">
        <v>105</v>
      </c>
      <c r="BG36" s="22">
        <v>135</v>
      </c>
      <c r="BH36" s="22">
        <v>135</v>
      </c>
      <c r="BI36" s="22">
        <v>127</v>
      </c>
      <c r="BL36" s="21" t="s">
        <v>25</v>
      </c>
      <c r="BM36" s="22">
        <v>538</v>
      </c>
      <c r="BN36" s="22">
        <v>582</v>
      </c>
      <c r="BO36" s="22">
        <v>598</v>
      </c>
      <c r="BP36" s="22">
        <v>577</v>
      </c>
      <c r="BQ36" s="22">
        <v>539</v>
      </c>
      <c r="BR36" s="22">
        <v>485</v>
      </c>
      <c r="BS36" s="22">
        <f t="shared" si="6"/>
        <v>526</v>
      </c>
      <c r="BT36" s="22">
        <v>471</v>
      </c>
      <c r="BU36" s="22">
        <v>560</v>
      </c>
      <c r="BV36" s="22">
        <v>526</v>
      </c>
      <c r="BW36" s="22">
        <v>503</v>
      </c>
    </row>
    <row r="37" spans="1:75" x14ac:dyDescent="0.5">
      <c r="A37" s="35"/>
      <c r="B37" s="59"/>
      <c r="C37" s="59"/>
      <c r="D37" s="59"/>
      <c r="E37" s="59"/>
      <c r="F37" s="59"/>
      <c r="G37" s="59"/>
      <c r="H37" s="59"/>
      <c r="I37" s="59"/>
      <c r="J37" s="59"/>
      <c r="K37" s="59"/>
      <c r="AX37" s="21" t="s">
        <v>28</v>
      </c>
      <c r="AY37" s="22">
        <v>114</v>
      </c>
      <c r="AZ37" s="22">
        <v>97</v>
      </c>
      <c r="BA37" s="22">
        <v>109</v>
      </c>
      <c r="BB37" s="22">
        <v>99</v>
      </c>
      <c r="BC37" s="22">
        <v>87</v>
      </c>
      <c r="BD37" s="22">
        <v>91</v>
      </c>
      <c r="BE37" s="22">
        <f t="shared" si="5"/>
        <v>133</v>
      </c>
      <c r="BF37" s="22">
        <v>110</v>
      </c>
      <c r="BG37" s="22">
        <v>138</v>
      </c>
      <c r="BH37" s="22">
        <v>133</v>
      </c>
      <c r="BI37" s="22">
        <v>111</v>
      </c>
      <c r="BL37" s="21" t="s">
        <v>28</v>
      </c>
      <c r="BM37" s="22">
        <v>599</v>
      </c>
      <c r="BN37" s="22">
        <v>628</v>
      </c>
      <c r="BO37" s="22">
        <v>573</v>
      </c>
      <c r="BP37" s="22">
        <v>521</v>
      </c>
      <c r="BQ37" s="22">
        <v>477</v>
      </c>
      <c r="BR37" s="22">
        <v>541</v>
      </c>
      <c r="BS37" s="22">
        <f t="shared" si="6"/>
        <v>495</v>
      </c>
      <c r="BT37" s="22">
        <v>526</v>
      </c>
      <c r="BU37" s="22">
        <v>547</v>
      </c>
      <c r="BV37" s="22">
        <v>495</v>
      </c>
      <c r="BW37" s="22">
        <v>468</v>
      </c>
    </row>
    <row r="38" spans="1:75" x14ac:dyDescent="0.5">
      <c r="A38" s="35"/>
      <c r="B38" s="37"/>
      <c r="C38" s="37"/>
      <c r="D38" s="37"/>
      <c r="E38" s="37"/>
      <c r="F38" s="37"/>
      <c r="G38" s="37"/>
      <c r="H38" s="37"/>
      <c r="I38" s="37"/>
      <c r="J38" s="37"/>
      <c r="K38" s="37"/>
      <c r="AX38" s="21" t="s">
        <v>20</v>
      </c>
      <c r="AY38" s="22">
        <v>87</v>
      </c>
      <c r="AZ38" s="22">
        <v>104</v>
      </c>
      <c r="BA38" s="22">
        <v>94</v>
      </c>
      <c r="BB38" s="22">
        <v>113</v>
      </c>
      <c r="BC38" s="22">
        <v>89</v>
      </c>
      <c r="BD38" s="22">
        <v>109</v>
      </c>
      <c r="BE38" s="22">
        <f t="shared" si="5"/>
        <v>111</v>
      </c>
      <c r="BF38" s="22">
        <v>108</v>
      </c>
      <c r="BG38" s="22">
        <v>130</v>
      </c>
      <c r="BH38" s="22">
        <v>111</v>
      </c>
      <c r="BI38" s="22">
        <v>90</v>
      </c>
      <c r="BL38" s="21" t="s">
        <v>20</v>
      </c>
      <c r="BM38" s="22">
        <v>635</v>
      </c>
      <c r="BN38" s="22">
        <v>585</v>
      </c>
      <c r="BO38" s="22">
        <v>582</v>
      </c>
      <c r="BP38" s="22">
        <v>608</v>
      </c>
      <c r="BQ38" s="22">
        <v>604</v>
      </c>
      <c r="BR38" s="22">
        <v>492</v>
      </c>
      <c r="BS38" s="22">
        <f t="shared" si="6"/>
        <v>474</v>
      </c>
      <c r="BT38" s="22">
        <v>471</v>
      </c>
      <c r="BU38" s="22">
        <v>460</v>
      </c>
      <c r="BV38" s="22">
        <v>474</v>
      </c>
      <c r="BW38" s="22">
        <v>450</v>
      </c>
    </row>
    <row r="39" spans="1:75" x14ac:dyDescent="0.5">
      <c r="A39" s="35"/>
      <c r="B39" s="39"/>
      <c r="C39" s="38"/>
      <c r="D39" s="38"/>
      <c r="E39" s="39"/>
      <c r="F39" s="38"/>
      <c r="G39" s="38"/>
      <c r="H39" s="39"/>
      <c r="I39" s="38"/>
      <c r="J39" s="38"/>
      <c r="K39" s="38"/>
      <c r="AX39" s="21" t="s">
        <v>33</v>
      </c>
      <c r="AY39" s="22">
        <v>88</v>
      </c>
      <c r="AZ39" s="22">
        <v>98</v>
      </c>
      <c r="BA39" s="22">
        <v>103</v>
      </c>
      <c r="BB39" s="22">
        <v>89</v>
      </c>
      <c r="BC39" s="22">
        <v>80</v>
      </c>
      <c r="BD39" s="22">
        <v>91</v>
      </c>
      <c r="BE39" s="22">
        <f t="shared" si="5"/>
        <v>119</v>
      </c>
      <c r="BF39" s="22">
        <v>118</v>
      </c>
      <c r="BG39" s="22">
        <v>114</v>
      </c>
      <c r="BH39" s="22">
        <v>119</v>
      </c>
      <c r="BI39" s="22">
        <v>126</v>
      </c>
      <c r="BL39" s="21" t="s">
        <v>33</v>
      </c>
      <c r="BM39" s="22">
        <v>601</v>
      </c>
      <c r="BN39" s="22">
        <v>532</v>
      </c>
      <c r="BO39" s="22">
        <v>581</v>
      </c>
      <c r="BP39" s="22">
        <v>489</v>
      </c>
      <c r="BQ39" s="22">
        <v>499</v>
      </c>
      <c r="BR39" s="22">
        <v>462</v>
      </c>
      <c r="BS39" s="22">
        <f t="shared" si="6"/>
        <v>453</v>
      </c>
      <c r="BT39" s="22">
        <v>493</v>
      </c>
      <c r="BU39" s="22">
        <v>473</v>
      </c>
      <c r="BV39" s="22">
        <v>453</v>
      </c>
      <c r="BW39" s="22">
        <v>462</v>
      </c>
    </row>
    <row r="40" spans="1:75" x14ac:dyDescent="0.5">
      <c r="A40" s="35"/>
      <c r="B40" s="32"/>
      <c r="C40" s="32"/>
      <c r="D40" s="32"/>
      <c r="E40" s="32"/>
      <c r="F40" s="32"/>
      <c r="G40" s="32"/>
      <c r="H40" s="32"/>
      <c r="I40" s="32"/>
      <c r="J40" s="32"/>
      <c r="K40" s="32"/>
      <c r="AX40" s="21" t="s">
        <v>35</v>
      </c>
      <c r="AY40" s="22">
        <v>73</v>
      </c>
      <c r="AZ40" s="22">
        <v>83</v>
      </c>
      <c r="BA40" s="22">
        <v>105</v>
      </c>
      <c r="BB40" s="22">
        <v>100</v>
      </c>
      <c r="BC40" s="22">
        <v>98</v>
      </c>
      <c r="BD40" s="22">
        <v>115</v>
      </c>
      <c r="BE40" s="22">
        <f t="shared" si="5"/>
        <v>98</v>
      </c>
      <c r="BF40" s="22">
        <v>130</v>
      </c>
      <c r="BG40" s="22">
        <v>103</v>
      </c>
      <c r="BH40" s="22">
        <v>98</v>
      </c>
      <c r="BI40" s="22">
        <v>132</v>
      </c>
      <c r="BL40" s="21" t="s">
        <v>35</v>
      </c>
      <c r="BM40" s="22">
        <v>574</v>
      </c>
      <c r="BN40" s="22">
        <v>518</v>
      </c>
      <c r="BO40" s="22">
        <v>547</v>
      </c>
      <c r="BP40" s="22">
        <v>528</v>
      </c>
      <c r="BQ40" s="22">
        <v>491</v>
      </c>
      <c r="BR40" s="22">
        <v>522</v>
      </c>
      <c r="BS40" s="22">
        <f t="shared" si="6"/>
        <v>520</v>
      </c>
      <c r="BT40" s="22">
        <v>467</v>
      </c>
      <c r="BU40" s="22">
        <v>516</v>
      </c>
      <c r="BV40" s="22">
        <v>520</v>
      </c>
      <c r="BW40" s="22">
        <v>506</v>
      </c>
    </row>
    <row r="41" spans="1:75" x14ac:dyDescent="0.5">
      <c r="A41" s="35"/>
      <c r="B41" s="40"/>
      <c r="C41" s="40"/>
      <c r="D41" s="40"/>
      <c r="E41" s="40"/>
      <c r="F41" s="40"/>
      <c r="G41" s="40"/>
      <c r="H41" s="40"/>
      <c r="I41" s="40"/>
      <c r="J41" s="40"/>
      <c r="K41" s="40"/>
      <c r="AX41" s="21" t="s">
        <v>38</v>
      </c>
      <c r="AY41" s="22">
        <v>91</v>
      </c>
      <c r="AZ41" s="22">
        <v>109</v>
      </c>
      <c r="BA41" s="22">
        <v>88</v>
      </c>
      <c r="BB41" s="22">
        <v>91</v>
      </c>
      <c r="BC41" s="22">
        <v>85</v>
      </c>
      <c r="BD41" s="22">
        <v>129</v>
      </c>
      <c r="BE41" s="22">
        <f t="shared" si="5"/>
        <v>101</v>
      </c>
      <c r="BF41" s="22">
        <v>141</v>
      </c>
      <c r="BG41" s="22">
        <v>125</v>
      </c>
      <c r="BH41" s="22">
        <v>101</v>
      </c>
      <c r="BI41" s="22">
        <v>123</v>
      </c>
      <c r="BL41" s="21" t="s">
        <v>38</v>
      </c>
      <c r="BM41" s="22">
        <v>585</v>
      </c>
      <c r="BN41" s="22">
        <v>565</v>
      </c>
      <c r="BO41" s="22">
        <v>623</v>
      </c>
      <c r="BP41" s="22">
        <v>574</v>
      </c>
      <c r="BQ41" s="22">
        <v>511</v>
      </c>
      <c r="BR41" s="22">
        <v>508</v>
      </c>
      <c r="BS41" s="22">
        <f t="shared" si="6"/>
        <v>497</v>
      </c>
      <c r="BT41" s="22">
        <v>484</v>
      </c>
      <c r="BU41" s="22">
        <v>495</v>
      </c>
      <c r="BV41" s="22">
        <v>497</v>
      </c>
      <c r="BW41" s="22">
        <v>447</v>
      </c>
    </row>
    <row r="42" spans="1:75" x14ac:dyDescent="0.5">
      <c r="A42" s="35"/>
      <c r="B42" s="40"/>
      <c r="C42" s="40"/>
      <c r="D42" s="40"/>
      <c r="E42" s="40"/>
      <c r="F42" s="40"/>
      <c r="G42" s="40"/>
      <c r="H42" s="40"/>
      <c r="I42" s="40"/>
      <c r="J42" s="40"/>
      <c r="K42" s="40"/>
      <c r="AX42" s="21" t="s">
        <v>41</v>
      </c>
      <c r="AY42" s="22">
        <v>92</v>
      </c>
      <c r="AZ42" s="22">
        <v>94</v>
      </c>
      <c r="BA42" s="22">
        <v>90</v>
      </c>
      <c r="BB42" s="22">
        <v>93</v>
      </c>
      <c r="BC42" s="22">
        <v>78</v>
      </c>
      <c r="BD42" s="22">
        <v>112</v>
      </c>
      <c r="BE42" s="22">
        <f t="shared" si="5"/>
        <v>121</v>
      </c>
      <c r="BF42" s="22">
        <v>117</v>
      </c>
      <c r="BG42" s="22">
        <v>153</v>
      </c>
      <c r="BH42" s="22">
        <v>121</v>
      </c>
      <c r="BI42" s="22">
        <v>113</v>
      </c>
      <c r="BL42" s="21" t="s">
        <v>41</v>
      </c>
      <c r="BM42" s="22">
        <v>647</v>
      </c>
      <c r="BN42" s="22">
        <v>543</v>
      </c>
      <c r="BO42" s="22">
        <v>559</v>
      </c>
      <c r="BP42" s="22">
        <v>554</v>
      </c>
      <c r="BQ42" s="22">
        <v>513</v>
      </c>
      <c r="BR42" s="22">
        <v>573</v>
      </c>
      <c r="BS42" s="22">
        <f t="shared" si="6"/>
        <v>509</v>
      </c>
      <c r="BT42" s="22">
        <v>463</v>
      </c>
      <c r="BU42" s="22">
        <v>471</v>
      </c>
      <c r="BV42" s="22">
        <v>509</v>
      </c>
      <c r="BW42" s="22">
        <v>421</v>
      </c>
    </row>
    <row r="43" spans="1:75" x14ac:dyDescent="0.5">
      <c r="A43" s="35"/>
      <c r="B43" s="40"/>
      <c r="C43" s="40"/>
      <c r="D43" s="40"/>
      <c r="E43" s="40"/>
      <c r="F43" s="40"/>
      <c r="G43" s="40"/>
      <c r="H43" s="40"/>
      <c r="I43" s="40"/>
      <c r="J43" s="40"/>
      <c r="K43" s="40"/>
      <c r="AX43" s="21" t="s">
        <v>42</v>
      </c>
      <c r="AY43" s="22">
        <v>97</v>
      </c>
      <c r="AZ43" s="22">
        <v>80</v>
      </c>
      <c r="BA43" s="22">
        <v>106</v>
      </c>
      <c r="BB43" s="22">
        <v>100</v>
      </c>
      <c r="BC43" s="22">
        <v>91</v>
      </c>
      <c r="BD43" s="22">
        <v>103</v>
      </c>
      <c r="BE43" s="22">
        <f t="shared" si="5"/>
        <v>128</v>
      </c>
      <c r="BF43" s="22">
        <v>114</v>
      </c>
      <c r="BG43" s="22">
        <v>128</v>
      </c>
      <c r="BH43" s="22">
        <v>128</v>
      </c>
      <c r="BI43" s="22">
        <v>118</v>
      </c>
      <c r="BL43" s="21" t="s">
        <v>42</v>
      </c>
      <c r="BM43" s="22">
        <v>628</v>
      </c>
      <c r="BN43" s="22">
        <v>601</v>
      </c>
      <c r="BO43" s="22">
        <v>570</v>
      </c>
      <c r="BP43" s="22">
        <v>577</v>
      </c>
      <c r="BQ43" s="22">
        <v>525</v>
      </c>
      <c r="BR43" s="22">
        <v>514</v>
      </c>
      <c r="BS43" s="22">
        <f t="shared" si="6"/>
        <v>457</v>
      </c>
      <c r="BT43" s="22">
        <v>517</v>
      </c>
      <c r="BU43" s="22">
        <v>509</v>
      </c>
      <c r="BV43" s="22">
        <v>457</v>
      </c>
      <c r="BW43" s="22">
        <v>452</v>
      </c>
    </row>
    <row r="44" spans="1:75" x14ac:dyDescent="0.5">
      <c r="A44" s="35"/>
      <c r="B44" s="40"/>
      <c r="C44" s="40"/>
      <c r="D44" s="40"/>
      <c r="E44" s="40"/>
      <c r="F44" s="40"/>
      <c r="G44" s="40"/>
      <c r="H44" s="40"/>
      <c r="I44" s="40"/>
      <c r="J44" s="40"/>
      <c r="K44" s="40"/>
      <c r="AX44" s="21" t="s">
        <v>43</v>
      </c>
      <c r="AY44" s="22">
        <v>98</v>
      </c>
      <c r="AZ44" s="22">
        <v>88</v>
      </c>
      <c r="BA44" s="22">
        <v>94</v>
      </c>
      <c r="BB44" s="22">
        <v>90</v>
      </c>
      <c r="BC44" s="22">
        <v>86</v>
      </c>
      <c r="BD44" s="22">
        <v>110</v>
      </c>
      <c r="BE44" s="22">
        <f t="shared" si="5"/>
        <v>131</v>
      </c>
      <c r="BF44" s="22">
        <v>130</v>
      </c>
      <c r="BG44" s="22">
        <v>115</v>
      </c>
      <c r="BH44" s="22">
        <v>131</v>
      </c>
      <c r="BI44" s="22">
        <v>117</v>
      </c>
      <c r="BL44" s="21" t="s">
        <v>43</v>
      </c>
      <c r="BM44" s="22">
        <v>626</v>
      </c>
      <c r="BN44" s="22">
        <v>553</v>
      </c>
      <c r="BO44" s="22">
        <v>520</v>
      </c>
      <c r="BP44" s="22">
        <v>520</v>
      </c>
      <c r="BQ44" s="22">
        <v>474</v>
      </c>
      <c r="BR44" s="22">
        <v>540</v>
      </c>
      <c r="BS44" s="22">
        <f t="shared" si="6"/>
        <v>426</v>
      </c>
      <c r="BT44" s="22">
        <v>486</v>
      </c>
      <c r="BU44" s="22">
        <v>492</v>
      </c>
      <c r="BV44" s="22">
        <v>426</v>
      </c>
      <c r="BW44" s="22">
        <v>448</v>
      </c>
    </row>
    <row r="45" spans="1:75" x14ac:dyDescent="0.5">
      <c r="B45" s="40"/>
      <c r="C45" s="40"/>
      <c r="D45" s="40"/>
      <c r="E45" s="40"/>
      <c r="F45" s="40"/>
      <c r="G45" s="40"/>
      <c r="H45" s="40"/>
      <c r="I45" s="40"/>
      <c r="J45" s="40"/>
      <c r="K45" s="40"/>
      <c r="AX45" s="21" t="s">
        <v>44</v>
      </c>
      <c r="AY45" s="22">
        <v>98</v>
      </c>
      <c r="AZ45" s="22">
        <v>101</v>
      </c>
      <c r="BA45" s="22">
        <v>117</v>
      </c>
      <c r="BB45" s="22">
        <v>112</v>
      </c>
      <c r="BC45" s="22">
        <v>58</v>
      </c>
      <c r="BD45" s="22">
        <v>96</v>
      </c>
      <c r="BE45" s="22">
        <f t="shared" si="5"/>
        <v>115</v>
      </c>
      <c r="BF45" s="22">
        <v>137</v>
      </c>
      <c r="BG45" s="22">
        <v>135</v>
      </c>
      <c r="BH45" s="22">
        <v>115</v>
      </c>
      <c r="BI45" s="22">
        <v>99</v>
      </c>
      <c r="BL45" s="21" t="s">
        <v>44</v>
      </c>
      <c r="BM45" s="22">
        <v>540</v>
      </c>
      <c r="BN45" s="22">
        <v>565</v>
      </c>
      <c r="BO45" s="22">
        <v>509</v>
      </c>
      <c r="BP45" s="22">
        <v>540</v>
      </c>
      <c r="BQ45" s="22">
        <v>519</v>
      </c>
      <c r="BR45" s="22">
        <v>568</v>
      </c>
      <c r="BS45" s="22">
        <f t="shared" si="6"/>
        <v>536</v>
      </c>
      <c r="BT45" s="22">
        <v>555</v>
      </c>
      <c r="BU45" s="22">
        <v>452</v>
      </c>
      <c r="BV45" s="22">
        <v>536</v>
      </c>
      <c r="BW45" s="22">
        <v>545</v>
      </c>
    </row>
    <row r="46" spans="1:75" x14ac:dyDescent="0.5">
      <c r="B46" s="40"/>
      <c r="C46" s="40"/>
      <c r="D46" s="40"/>
      <c r="E46" s="40"/>
      <c r="F46" s="40"/>
      <c r="G46" s="40"/>
      <c r="H46" s="40"/>
      <c r="I46" s="40"/>
      <c r="J46" s="40"/>
      <c r="K46" s="40"/>
      <c r="BE46" s="2"/>
      <c r="BF46" s="2"/>
      <c r="BG46" s="2"/>
      <c r="BH46" s="2"/>
      <c r="BI46" s="2"/>
      <c r="BJ46" s="3"/>
      <c r="BK46" s="2"/>
      <c r="BL46" s="2"/>
      <c r="BM46" s="2"/>
    </row>
    <row r="47" spans="1:75" x14ac:dyDescent="0.5">
      <c r="B47" s="40"/>
      <c r="C47" s="40"/>
      <c r="D47" s="40"/>
      <c r="E47" s="40"/>
      <c r="F47" s="40"/>
      <c r="G47" s="40"/>
      <c r="H47" s="40"/>
      <c r="I47" s="40"/>
      <c r="J47" s="40"/>
      <c r="K47" s="40"/>
      <c r="AX47" s="41"/>
    </row>
    <row r="48" spans="1:75" x14ac:dyDescent="0.5">
      <c r="B48" s="40"/>
      <c r="C48" s="40"/>
      <c r="D48" s="40"/>
      <c r="E48" s="40"/>
      <c r="F48" s="40"/>
      <c r="G48" s="40"/>
      <c r="H48" s="40"/>
      <c r="I48" s="40"/>
      <c r="J48" s="40"/>
      <c r="K48" s="40"/>
      <c r="AX48" s="42"/>
    </row>
    <row r="49" spans="2:50" x14ac:dyDescent="0.5">
      <c r="B49" s="40"/>
      <c r="C49" s="40"/>
      <c r="D49" s="40"/>
      <c r="E49" s="40"/>
      <c r="F49" s="40"/>
      <c r="G49" s="40"/>
      <c r="H49" s="40"/>
      <c r="I49" s="40"/>
      <c r="J49" s="40"/>
      <c r="K49" s="40"/>
      <c r="AX49" s="42"/>
    </row>
    <row r="50" spans="2:50" x14ac:dyDescent="0.5">
      <c r="B50" s="40"/>
      <c r="C50" s="40"/>
      <c r="D50" s="40"/>
      <c r="E50" s="40"/>
      <c r="F50" s="40"/>
      <c r="G50" s="40"/>
      <c r="H50" s="40"/>
      <c r="I50" s="40"/>
      <c r="J50" s="40"/>
      <c r="K50" s="40"/>
      <c r="AX50" s="42"/>
    </row>
    <row r="51" spans="2:50" x14ac:dyDescent="0.5">
      <c r="B51" s="40"/>
      <c r="C51" s="40"/>
      <c r="D51" s="40"/>
      <c r="E51" s="40"/>
      <c r="F51" s="40"/>
      <c r="G51" s="40"/>
      <c r="H51" s="40"/>
      <c r="I51" s="40"/>
      <c r="J51" s="40"/>
      <c r="K51" s="40"/>
      <c r="AX51" s="42"/>
    </row>
    <row r="52" spans="2:50" x14ac:dyDescent="0.5">
      <c r="B52" s="40"/>
      <c r="C52" s="40"/>
      <c r="D52" s="40"/>
      <c r="E52" s="40"/>
      <c r="F52" s="40"/>
      <c r="G52" s="40"/>
      <c r="H52" s="40"/>
      <c r="I52" s="40"/>
      <c r="J52" s="40"/>
      <c r="K52" s="40"/>
      <c r="AX52" s="42"/>
    </row>
    <row r="53" spans="2:50" x14ac:dyDescent="0.5">
      <c r="AX53" s="42"/>
    </row>
    <row r="54" spans="2:50" x14ac:dyDescent="0.5">
      <c r="AX54" s="42"/>
    </row>
    <row r="55" spans="2:50" x14ac:dyDescent="0.5">
      <c r="AX55" s="42"/>
    </row>
    <row r="56" spans="2:50" x14ac:dyDescent="0.5">
      <c r="AX56" s="42"/>
    </row>
    <row r="57" spans="2:50" x14ac:dyDescent="0.5">
      <c r="AX57" s="42"/>
    </row>
    <row r="58" spans="2:50" x14ac:dyDescent="0.5">
      <c r="AX58" s="42"/>
    </row>
    <row r="59" spans="2:50" x14ac:dyDescent="0.5">
      <c r="AX59" s="42"/>
    </row>
  </sheetData>
  <mergeCells count="8">
    <mergeCell ref="N3:N5"/>
    <mergeCell ref="A1:L1"/>
    <mergeCell ref="A2:L2"/>
    <mergeCell ref="B3:D3"/>
    <mergeCell ref="E3:G3"/>
    <mergeCell ref="K3:M3"/>
    <mergeCell ref="H3:J3"/>
    <mergeCell ref="B37:K37"/>
  </mergeCells>
  <pageMargins left="0.7" right="0.7" top="0.75" bottom="0.75" header="0.3" footer="0.3"/>
  <pageSetup scale="4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3.9</vt:lpstr>
      <vt:lpstr>'3.9'!Print_Area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2026-08-06T09:36:24Z</cp:lastPrinted>
  <dcterms:created xsi:type="dcterms:W3CDTF">2019-07-22T06:02:33Z</dcterms:created>
  <dcterms:modified xsi:type="dcterms:W3CDTF">2026-08-06T09:36:37Z</dcterms:modified>
</cp:coreProperties>
</file>