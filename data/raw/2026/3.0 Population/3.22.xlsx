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opulation\"/>
    </mc:Choice>
  </mc:AlternateContent>
  <xr:revisionPtr revIDLastSave="0" documentId="13_ncr:1_{E926D3BA-C807-4E76-A406-FCC124E328E1}" xr6:coauthVersionLast="47" xr6:coauthVersionMax="47" xr10:uidLastSave="{00000000-0000-0000-0000-000000000000}"/>
  <bookViews>
    <workbookView xWindow="-120" yWindow="-120" windowWidth="29040" windowHeight="15720" tabRatio="806" xr2:uid="{00000000-000D-0000-FFFF-FFFF00000000}"/>
  </bookViews>
  <sheets>
    <sheet name="3.22" sheetId="21" r:id="rId1"/>
  </sheets>
  <definedNames>
    <definedName name="_xlnm.Print_Area" localSheetId="0">'3.22'!$A$1:$BH$60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5" i="21" l="1"/>
  <c r="BD5" i="21"/>
  <c r="BC6" i="21"/>
  <c r="BD6" i="21"/>
  <c r="BC7" i="21"/>
  <c r="BD7" i="21"/>
  <c r="BD4" i="21"/>
  <c r="BC4" i="21"/>
  <c r="BG24" i="21"/>
  <c r="BH24" i="21"/>
  <c r="BG25" i="21"/>
  <c r="BH25" i="21"/>
  <c r="BG26" i="21"/>
  <c r="BH26" i="21"/>
  <c r="BG27" i="21"/>
  <c r="BH27" i="21"/>
  <c r="M7" i="21"/>
  <c r="L7" i="21"/>
  <c r="BE24" i="21"/>
  <c r="BF24" i="21"/>
  <c r="BE25" i="21"/>
  <c r="BF25" i="21"/>
  <c r="BE26" i="21"/>
  <c r="BF26" i="21"/>
  <c r="BE27" i="21"/>
  <c r="BF27" i="21"/>
  <c r="K7" i="21"/>
  <c r="J7" i="21"/>
  <c r="BD27" i="21" l="1"/>
  <c r="BC27" i="21"/>
  <c r="BD26" i="21"/>
  <c r="BC26" i="21"/>
  <c r="BC25" i="21"/>
  <c r="BD24" i="21"/>
  <c r="BD25" i="21" l="1"/>
  <c r="H7" i="21"/>
  <c r="BC24" i="21"/>
  <c r="I7" i="21"/>
  <c r="BA3" i="21" l="1"/>
  <c r="BC14" i="21" s="1"/>
  <c r="BB27" i="21" l="1"/>
  <c r="BA27" i="21"/>
  <c r="BB26" i="21"/>
  <c r="BA26" i="21"/>
  <c r="BB25" i="21"/>
  <c r="BA25" i="21"/>
  <c r="BB24" i="21"/>
  <c r="BA24" i="21"/>
  <c r="G7" i="21"/>
  <c r="F7" i="21"/>
  <c r="E7" i="21"/>
  <c r="D7" i="21"/>
  <c r="C7" i="21"/>
  <c r="B7" i="21"/>
  <c r="BB3" i="21"/>
  <c r="BD11" i="21" s="1"/>
  <c r="BC11" i="21" l="1"/>
  <c r="BD17" i="21" l="1"/>
  <c r="BD15" i="21"/>
  <c r="BD16" i="21"/>
  <c r="BD14" i="21"/>
  <c r="BC17" i="21"/>
  <c r="BC15" i="21"/>
  <c r="BC16" i="21"/>
</calcChain>
</file>

<file path=xl/sharedStrings.xml><?xml version="1.0" encoding="utf-8"?>
<sst xmlns="http://schemas.openxmlformats.org/spreadsheetml/2006/main" count="69" uniqueCount="20">
  <si>
    <t>Male</t>
  </si>
  <si>
    <t>Female</t>
  </si>
  <si>
    <t>Total</t>
  </si>
  <si>
    <t>ޖުމްލަ</t>
  </si>
  <si>
    <t>ފިރިހެން</t>
  </si>
  <si>
    <t>އަންހެން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</si>
  <si>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</si>
  <si>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</si>
  <si>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>Number of times married</t>
  </si>
  <si>
    <t xml:space="preserve">ކައިވެނިކުރި އަދަދު </t>
  </si>
  <si>
    <t>First</t>
  </si>
  <si>
    <t>Second</t>
  </si>
  <si>
    <t xml:space="preserve">Third </t>
  </si>
  <si>
    <t>Fourth or more</t>
  </si>
  <si>
    <t xml:space="preserve">އަލަށް ކައިވެނިކުރި </t>
  </si>
  <si>
    <t xml:space="preserve">ދެވަނަ ފަހަރަށް ކައިވެނިކުރި </t>
  </si>
  <si>
    <t xml:space="preserve">ތިންވަނަ ފަހަރަށް ކައިވެނިކުރި </t>
  </si>
  <si>
    <t xml:space="preserve">ހަތަރެއް ނުވަތަ އެއަށްވުރެ ގިނަ </t>
  </si>
  <si>
    <t>TABLE 3.22: NUMBER OF MARRIAGES BY NUMBER OF TIMES MARRIED BY SEX, 2019 - 2024</t>
  </si>
  <si>
    <t xml:space="preserve">ތާވަލު 3.22: ކައިވެނީގެ އަދަދާއި ކައިވެނި ކުރި ފަހަރު އަދި ޖިންސު، 2019 - 2024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</si>
</sst>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  <numFmt numFmtId="168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color indexed="8"/>
      <name val="Faruma"/>
    </font>
    <font>
      <b/>
      <sz val="10"/>
      <color indexed="8"/>
      <name val="Calibri"/>
      <family val="2"/>
    </font>
    <font>
      <i/>
      <sz val="9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</font>
    <font>
      <sz val="9"/>
      <color indexed="8"/>
      <name val="Faruma"/>
    </font>
    <font>
      <b/>
      <sz val="11"/>
      <color indexed="8"/>
      <name val="Faruma"/>
    </font>
    <font>
      <sz val="10"/>
      <color indexed="8"/>
      <name val="Faruma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9" fillId="0" borderId="0"/>
    <xf numFmtId="0" fontId="4" fillId="0" borderId="0"/>
    <xf numFmtId="0" fontId="4" fillId="0" borderId="0"/>
    <xf numFmtId="0" fontId="1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14" fillId="0" borderId="0"/>
  </cellStyleXfs>
  <cellXfs count="41">
    <xf numFmtId="0" fontId="0" fillId="0" borderId="0" xfId="0"/>
    <xf numFmtId="0" fontId="0" fillId="2" borderId="0" xfId="0" applyFill="1"/>
    <xf numFmtId="0" fontId="11" fillId="2" borderId="0" xfId="0" applyFont="1" applyFill="1"/>
    <xf numFmtId="0" fontId="10" fillId="2" borderId="0" xfId="0" applyFont="1" applyFill="1"/>
    <xf numFmtId="0" fontId="13" fillId="2" borderId="0" xfId="0" applyFont="1" applyFill="1"/>
    <xf numFmtId="1" fontId="0" fillId="2" borderId="0" xfId="0" applyNumberFormat="1" applyFill="1"/>
    <xf numFmtId="0" fontId="10" fillId="2" borderId="2" xfId="0" applyFont="1" applyFill="1" applyBorder="1" applyAlignment="1">
      <alignment horizontal="right" vertical="center"/>
    </xf>
    <xf numFmtId="168" fontId="7" fillId="2" borderId="0" xfId="5" applyNumberFormat="1" applyFont="1" applyFill="1" applyBorder="1"/>
    <xf numFmtId="168" fontId="0" fillId="2" borderId="0" xfId="0" applyNumberFormat="1" applyFill="1"/>
    <xf numFmtId="0" fontId="5" fillId="2" borderId="0" xfId="0" applyFont="1" applyFill="1"/>
    <xf numFmtId="168" fontId="5" fillId="2" borderId="0" xfId="5" applyNumberFormat="1" applyFont="1" applyFill="1" applyBorder="1"/>
    <xf numFmtId="0" fontId="10" fillId="2" borderId="5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2" fillId="2" borderId="1" xfId="0" applyFont="1" applyFill="1" applyBorder="1"/>
    <xf numFmtId="0" fontId="12" fillId="2" borderId="4" xfId="0" applyFont="1" applyFill="1" applyBorder="1"/>
    <xf numFmtId="168" fontId="7" fillId="2" borderId="3" xfId="5" applyNumberFormat="1" applyFont="1" applyFill="1" applyBorder="1"/>
    <xf numFmtId="0" fontId="6" fillId="2" borderId="0" xfId="0" applyFont="1" applyFill="1"/>
    <xf numFmtId="0" fontId="5" fillId="2" borderId="1" xfId="0" applyFont="1" applyFill="1" applyBorder="1"/>
    <xf numFmtId="168" fontId="5" fillId="2" borderId="3" xfId="5" applyNumberFormat="1" applyFont="1" applyFill="1" applyBorder="1"/>
    <xf numFmtId="168" fontId="5" fillId="2" borderId="1" xfId="5" applyNumberFormat="1" applyFont="1" applyFill="1" applyBorder="1"/>
    <xf numFmtId="168" fontId="5" fillId="2" borderId="4" xfId="5" applyNumberFormat="1" applyFont="1" applyFill="1" applyBorder="1"/>
    <xf numFmtId="0" fontId="13" fillId="2" borderId="1" xfId="0" applyFont="1" applyFill="1" applyBorder="1"/>
    <xf numFmtId="0" fontId="8" fillId="2" borderId="0" xfId="0" applyFont="1" applyFill="1"/>
    <xf numFmtId="0" fontId="10" fillId="2" borderId="2" xfId="0" applyFont="1" applyFill="1" applyBorder="1" applyAlignment="1">
      <alignment horizontal="center" vertical="center"/>
    </xf>
    <xf numFmtId="168" fontId="5" fillId="2" borderId="3" xfId="23" applyNumberFormat="1" applyFont="1" applyFill="1" applyBorder="1"/>
    <xf numFmtId="168" fontId="5" fillId="2" borderId="0" xfId="23" applyNumberFormat="1" applyFont="1" applyFill="1" applyBorder="1"/>
    <xf numFmtId="168" fontId="5" fillId="2" borderId="4" xfId="23" applyNumberFormat="1" applyFont="1" applyFill="1" applyBorder="1"/>
    <xf numFmtId="168" fontId="5" fillId="2" borderId="1" xfId="23" applyNumberFormat="1" applyFont="1" applyFill="1" applyBorder="1"/>
    <xf numFmtId="168" fontId="7" fillId="2" borderId="3" xfId="23" applyNumberFormat="1" applyFont="1" applyFill="1" applyBorder="1"/>
    <xf numFmtId="168" fontId="7" fillId="2" borderId="0" xfId="23" applyNumberFormat="1" applyFont="1" applyFill="1" applyBorder="1"/>
    <xf numFmtId="0" fontId="12" fillId="2" borderId="0" xfId="0" applyFont="1" applyFill="1" applyAlignment="1">
      <alignment horizontal="center"/>
    </xf>
    <xf numFmtId="0" fontId="12" fillId="2" borderId="2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0" fontId="0" fillId="2" borderId="1" xfId="0" applyFill="1" applyBorder="1" applyAlignment="1">
      <alignment horizontal="center"/>
    </xf>
    <xf numFmtId="0" fontId="10" fillId="2" borderId="1" xfId="0" applyFont="1" applyFill="1" applyBorder="1" applyAlignment="1">
      <alignment horizontal="center" vertical="top"/>
    </xf>
    <xf numFmtId="0" fontId="10" fillId="2" borderId="2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right" vertical="center"/>
    </xf>
  </cellXfs>
  <cellStyles count="27">
    <cellStyle name="1" xfId="13" xr:uid="{00000000-0005-0000-0000-000000000000}"/>
    <cellStyle name="Comma 2" xfId="12" xr:uid="{00000000-0005-0000-0000-000002000000}"/>
    <cellStyle name="Comma 2 2" xfId="22" xr:uid="{00000000-0005-0000-0000-000003000000}"/>
    <cellStyle name="Comma 2 3" xfId="25" xr:uid="{7B97C7B6-45BC-4F87-B021-D2FFE1457BD1}"/>
    <cellStyle name="Comma 3" xfId="5" xr:uid="{00000000-0005-0000-0000-000004000000}"/>
    <cellStyle name="Comma 3 2" xfId="15" xr:uid="{00000000-0005-0000-0000-000005000000}"/>
    <cellStyle name="Comma 3 3" xfId="23" xr:uid="{00000000-0005-0000-0000-000006000000}"/>
    <cellStyle name="Comma 4" xfId="3" xr:uid="{00000000-0005-0000-0000-000007000000}"/>
    <cellStyle name="Comma 4 2" xfId="18" xr:uid="{00000000-0005-0000-0000-000008000000}"/>
    <cellStyle name="Comma 7" xfId="14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19" xr:uid="{00000000-0005-0000-0000-000010000000}"/>
    <cellStyle name="Normal 20" xfId="2" xr:uid="{00000000-0005-0000-0000-000011000000}"/>
    <cellStyle name="Normal 20 2" xfId="17" xr:uid="{00000000-0005-0000-0000-000012000000}"/>
    <cellStyle name="Normal 3" xfId="11" xr:uid="{00000000-0005-0000-0000-000013000000}"/>
    <cellStyle name="Normal 32" xfId="7" xr:uid="{00000000-0005-0000-0000-000014000000}"/>
    <cellStyle name="Normal 32 2" xfId="20" xr:uid="{00000000-0005-0000-0000-000015000000}"/>
    <cellStyle name="Normal 4" xfId="10" xr:uid="{00000000-0005-0000-0000-000016000000}"/>
    <cellStyle name="Normal 4 2" xfId="24" xr:uid="{C876A118-C7AA-4052-92BB-F37EED3B4522}"/>
    <cellStyle name="Normal 44" xfId="8" xr:uid="{00000000-0005-0000-0000-000017000000}"/>
    <cellStyle name="Normal 44 2" xfId="21" xr:uid="{00000000-0005-0000-0000-000018000000}"/>
    <cellStyle name="Normal 48" xfId="9" xr:uid="{00000000-0005-0000-0000-000019000000}"/>
    <cellStyle name="Normal 5" xfId="1" xr:uid="{00000000-0005-0000-0000-00001A000000}"/>
    <cellStyle name="Normal 5 2" xfId="16" xr:uid="{00000000-0005-0000-0000-00001B000000}"/>
    <cellStyle name="Normal 5 3" xfId="26" xr:uid="{322195DD-DDD2-4FE1-89C3-0612B80BE6DB}"/>
  </cellStyles>
  <dxfs count="0"/>
  <tableStyles count="0" defaultTableStyle="TableStyleMedium2" defaultPivotStyle="PivotStyleLight16"/>
  <colors>
    <mruColors>
      <color rgb="FF336600"/>
      <color rgb="FF003300"/>
      <color rgb="FFFBFFF7"/>
      <color rgb="FF2F75B5"/>
      <color rgb="FFFF3399"/>
      <color rgb="FFF5DFEA"/>
      <color rgb="FF993366"/>
      <color rgb="FFDA8EB4"/>
      <color rgb="FFE2A8C5"/>
      <color rgb="FFFAF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050"/>
              <a:t>Figure 3.24: Marriages by number of times married by sex of bride and groom, 2020 - 2024</a:t>
            </a:r>
          </a:p>
        </c:rich>
      </c:tx>
      <c:layout>
        <c:manualLayout>
          <c:xMode val="edge"/>
          <c:yMode val="edge"/>
          <c:x val="9.5496374064353073E-2"/>
          <c:y val="4.783415659548589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347180740338491E-2"/>
          <c:y val="0.15620699818939746"/>
          <c:w val="0.88929054665580587"/>
          <c:h val="0.685755189692197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'3.22'!$AX$24</c:f>
              <c:strCache>
                <c:ptCount val="1"/>
                <c:pt idx="0">
                  <c:v>First</c:v>
                </c:pt>
              </c:strCache>
            </c:strRef>
          </c:tx>
          <c:spPr>
            <a:solidFill>
              <a:srgbClr val="003300"/>
            </a:solidFill>
          </c:spPr>
          <c:invertIfNegative val="0"/>
          <c:cat>
            <c:multiLvlStrRef>
              <c:f>'3.22'!$AY$22:$BH$23</c:f>
              <c:multiLvlStrCache>
                <c:ptCount val="10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</c:lvl>
                <c:lvl>
                  <c:pt idx="0">
                    <c:v>2020</c:v>
                  </c:pt>
                  <c:pt idx="2">
                    <c:v>2021</c:v>
                  </c:pt>
                  <c:pt idx="4">
                    <c:v>2022</c:v>
                  </c:pt>
                  <c:pt idx="6">
                    <c:v>2023</c:v>
                  </c:pt>
                  <c:pt idx="8">
                    <c:v>2024</c:v>
                  </c:pt>
                </c:lvl>
              </c:multiLvlStrCache>
            </c:multiLvlStrRef>
          </c:cat>
          <c:val>
            <c:numRef>
              <c:f>'3.22'!$AY$24:$BH$24</c:f>
              <c:numCache>
                <c:formatCode>_(* #,##0_);_(* \(#,##0\);_(* "-"??_);_(@_)</c:formatCode>
                <c:ptCount val="10"/>
                <c:pt idx="0">
                  <c:v>2760</c:v>
                </c:pt>
                <c:pt idx="1">
                  <c:v>2583</c:v>
                </c:pt>
                <c:pt idx="2">
                  <c:v>2829</c:v>
                </c:pt>
                <c:pt idx="3">
                  <c:v>2706</c:v>
                </c:pt>
                <c:pt idx="4">
                  <c:v>3001</c:v>
                </c:pt>
                <c:pt idx="5">
                  <c:v>2849</c:v>
                </c:pt>
                <c:pt idx="6">
                  <c:v>2676</c:v>
                </c:pt>
                <c:pt idx="7">
                  <c:v>2522</c:v>
                </c:pt>
                <c:pt idx="8">
                  <c:v>2582</c:v>
                </c:pt>
                <c:pt idx="9">
                  <c:v>2440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E-4E9D-B349-46AB501D8C8F}"/>
            </c:ext>
          </c:extLst>
        </c:ser>
        <c:ser>
          <c:idx val="2"/>
          <c:order val="1"/>
          <c:tx>
            <c:strRef>
              <c:f>'3.22'!$AX$25</c:f>
              <c:strCache>
                <c:ptCount val="1"/>
                <c:pt idx="0">
                  <c:v>Second</c:v>
                </c:pt>
              </c:strCache>
            </c:strRef>
          </c:tx>
          <c:spPr>
            <a:solidFill>
              <a:srgbClr val="336600"/>
            </a:solidFill>
          </c:spPr>
          <c:invertIfNegative val="0"/>
          <c:cat>
            <c:multiLvlStrRef>
              <c:f>'3.22'!$AY$22:$BH$23</c:f>
              <c:multiLvlStrCache>
                <c:ptCount val="10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</c:lvl>
                <c:lvl>
                  <c:pt idx="0">
                    <c:v>2020</c:v>
                  </c:pt>
                  <c:pt idx="2">
                    <c:v>2021</c:v>
                  </c:pt>
                  <c:pt idx="4">
                    <c:v>2022</c:v>
                  </c:pt>
                  <c:pt idx="6">
                    <c:v>2023</c:v>
                  </c:pt>
                  <c:pt idx="8">
                    <c:v>2024</c:v>
                  </c:pt>
                </c:lvl>
              </c:multiLvlStrCache>
            </c:multiLvlStrRef>
          </c:cat>
          <c:val>
            <c:numRef>
              <c:f>'3.22'!$AY$25:$BH$25</c:f>
              <c:numCache>
                <c:formatCode>_(* #,##0_);_(* \(#,##0\);_(* "-"??_);_(@_)</c:formatCode>
                <c:ptCount val="10"/>
                <c:pt idx="0">
                  <c:v>1151</c:v>
                </c:pt>
                <c:pt idx="1">
                  <c:v>1254</c:v>
                </c:pt>
                <c:pt idx="2">
                  <c:v>1297</c:v>
                </c:pt>
                <c:pt idx="3">
                  <c:v>1354</c:v>
                </c:pt>
                <c:pt idx="4">
                  <c:v>1373</c:v>
                </c:pt>
                <c:pt idx="5">
                  <c:v>1401</c:v>
                </c:pt>
                <c:pt idx="6">
                  <c:v>1344</c:v>
                </c:pt>
                <c:pt idx="7">
                  <c:v>1377</c:v>
                </c:pt>
                <c:pt idx="8">
                  <c:v>1289</c:v>
                </c:pt>
                <c:pt idx="9">
                  <c:v>1290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0E-4E9D-B349-46AB501D8C8F}"/>
            </c:ext>
          </c:extLst>
        </c:ser>
        <c:ser>
          <c:idx val="3"/>
          <c:order val="2"/>
          <c:tx>
            <c:strRef>
              <c:f>'3.22'!$AX$26</c:f>
              <c:strCache>
                <c:ptCount val="1"/>
                <c:pt idx="0">
                  <c:v>Third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multiLvlStrRef>
              <c:f>'3.22'!$AY$22:$BH$23</c:f>
              <c:multiLvlStrCache>
                <c:ptCount val="10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</c:lvl>
                <c:lvl>
                  <c:pt idx="0">
                    <c:v>2020</c:v>
                  </c:pt>
                  <c:pt idx="2">
                    <c:v>2021</c:v>
                  </c:pt>
                  <c:pt idx="4">
                    <c:v>2022</c:v>
                  </c:pt>
                  <c:pt idx="6">
                    <c:v>2023</c:v>
                  </c:pt>
                  <c:pt idx="8">
                    <c:v>2024</c:v>
                  </c:pt>
                </c:lvl>
              </c:multiLvlStrCache>
            </c:multiLvlStrRef>
          </c:cat>
          <c:val>
            <c:numRef>
              <c:f>'3.22'!$AY$26:$BH$26</c:f>
              <c:numCache>
                <c:formatCode>_(* #,##0_);_(* \(#,##0\);_(* "-"??_);_(@_)</c:formatCode>
                <c:ptCount val="10"/>
                <c:pt idx="0">
                  <c:v>549</c:v>
                </c:pt>
                <c:pt idx="1">
                  <c:v>628</c:v>
                </c:pt>
                <c:pt idx="2">
                  <c:v>610</c:v>
                </c:pt>
                <c:pt idx="3">
                  <c:v>715</c:v>
                </c:pt>
                <c:pt idx="4">
                  <c:v>664</c:v>
                </c:pt>
                <c:pt idx="5">
                  <c:v>733</c:v>
                </c:pt>
                <c:pt idx="6">
                  <c:v>679</c:v>
                </c:pt>
                <c:pt idx="7">
                  <c:v>703</c:v>
                </c:pt>
                <c:pt idx="8">
                  <c:v>651</c:v>
                </c:pt>
                <c:pt idx="9">
                  <c:v>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0E-4E9D-B349-46AB501D8C8F}"/>
            </c:ext>
          </c:extLst>
        </c:ser>
        <c:ser>
          <c:idx val="4"/>
          <c:order val="3"/>
          <c:tx>
            <c:strRef>
              <c:f>'3.22'!$AX$27</c:f>
              <c:strCache>
                <c:ptCount val="1"/>
                <c:pt idx="0">
                  <c:v>Fourth or more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</c:spPr>
          <c:invertIfNegative val="0"/>
          <c:cat>
            <c:multiLvlStrRef>
              <c:f>'3.22'!$AY$22:$BH$23</c:f>
              <c:multiLvlStrCache>
                <c:ptCount val="10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</c:lvl>
                <c:lvl>
                  <c:pt idx="0">
                    <c:v>2020</c:v>
                  </c:pt>
                  <c:pt idx="2">
                    <c:v>2021</c:v>
                  </c:pt>
                  <c:pt idx="4">
                    <c:v>2022</c:v>
                  </c:pt>
                  <c:pt idx="6">
                    <c:v>2023</c:v>
                  </c:pt>
                  <c:pt idx="8">
                    <c:v>2024</c:v>
                  </c:pt>
                </c:lvl>
              </c:multiLvlStrCache>
            </c:multiLvlStrRef>
          </c:cat>
          <c:val>
            <c:numRef>
              <c:f>'3.22'!$AY$27:$BH$27</c:f>
              <c:numCache>
                <c:formatCode>_(* #,##0_);_(* \(#,##0\);_(* "-"??_);_(@_)</c:formatCode>
                <c:ptCount val="10"/>
                <c:pt idx="0">
                  <c:v>538</c:v>
                </c:pt>
                <c:pt idx="1">
                  <c:v>533</c:v>
                </c:pt>
                <c:pt idx="2">
                  <c:v>678</c:v>
                </c:pt>
                <c:pt idx="3">
                  <c:v>639</c:v>
                </c:pt>
                <c:pt idx="4">
                  <c:v>715</c:v>
                </c:pt>
                <c:pt idx="5">
                  <c:v>770</c:v>
                </c:pt>
                <c:pt idx="6">
                  <c:v>674</c:v>
                </c:pt>
                <c:pt idx="7">
                  <c:v>771</c:v>
                </c:pt>
                <c:pt idx="8">
                  <c:v>648</c:v>
                </c:pt>
                <c:pt idx="9">
                  <c:v>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0E-4E9D-B349-46AB501D8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211912"/>
        <c:axId val="504212696"/>
      </c:barChart>
      <c:catAx>
        <c:axId val="504211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4212696"/>
        <c:crosses val="autoZero"/>
        <c:auto val="1"/>
        <c:lblAlgn val="ctr"/>
        <c:lblOffset val="100"/>
        <c:noMultiLvlLbl val="0"/>
      </c:catAx>
      <c:valAx>
        <c:axId val="504212696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421191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8.9759573818551291E-2"/>
          <c:y val="0.17426262112147467"/>
          <c:w val="0.59059830854476536"/>
          <c:h val="6.8777201082878395E-2"/>
        </c:manualLayout>
      </c:layout>
      <c:overlay val="0"/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900"/>
              <a:t>Figure 3.25: Percentage share of marriages by number of  times married by sex of bride and groom, 2024</a:t>
            </a:r>
          </a:p>
        </c:rich>
      </c:tx>
      <c:layout>
        <c:manualLayout>
          <c:xMode val="edge"/>
          <c:yMode val="edge"/>
          <c:x val="0.12826803510802104"/>
          <c:y val="4.871525944939525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268464014813677E-2"/>
          <c:y val="0.13601639521087261"/>
          <c:w val="0.9076097364852046"/>
          <c:h val="0.723488153021968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'3.22'!$BC$13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03300"/>
            </a:solidFill>
          </c:spPr>
          <c:invertIfNegative val="0"/>
          <c:cat>
            <c:strRef>
              <c:f>'3.22'!$BB$14:$BB$17</c:f>
              <c:strCache>
                <c:ptCount val="4"/>
                <c:pt idx="0">
                  <c:v>First</c:v>
                </c:pt>
                <c:pt idx="1">
                  <c:v>Second</c:v>
                </c:pt>
                <c:pt idx="2">
                  <c:v>Third </c:v>
                </c:pt>
                <c:pt idx="3">
                  <c:v>Fourth or more</c:v>
                </c:pt>
              </c:strCache>
            </c:strRef>
          </c:cat>
          <c:val>
            <c:numRef>
              <c:f>'3.22'!$BC$14:$BC$17</c:f>
              <c:numCache>
                <c:formatCode>0</c:formatCode>
                <c:ptCount val="4"/>
                <c:pt idx="0">
                  <c:v>49.941972920696323</c:v>
                </c:pt>
                <c:pt idx="1">
                  <c:v>24.932301740812377</c:v>
                </c:pt>
                <c:pt idx="2">
                  <c:v>12.591876208897485</c:v>
                </c:pt>
                <c:pt idx="3">
                  <c:v>12.533849129593811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3-4279-8923-A03CCAFC6990}"/>
            </c:ext>
          </c:extLst>
        </c:ser>
        <c:ser>
          <c:idx val="1"/>
          <c:order val="1"/>
          <c:tx>
            <c:strRef>
              <c:f>'3.22'!$BD$13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336600"/>
            </a:solidFill>
          </c:spPr>
          <c:invertIfNegative val="0"/>
          <c:cat>
            <c:strRef>
              <c:f>'3.22'!$BB$14:$BB$17</c:f>
              <c:strCache>
                <c:ptCount val="4"/>
                <c:pt idx="0">
                  <c:v>First</c:v>
                </c:pt>
                <c:pt idx="1">
                  <c:v>Second</c:v>
                </c:pt>
                <c:pt idx="2">
                  <c:v>Third </c:v>
                </c:pt>
                <c:pt idx="3">
                  <c:v>Fourth or more</c:v>
                </c:pt>
              </c:strCache>
            </c:strRef>
          </c:cat>
          <c:val>
            <c:numRef>
              <c:f>'3.22'!$BD$14:$BD$17</c:f>
              <c:numCache>
                <c:formatCode>0</c:formatCode>
                <c:ptCount val="4"/>
                <c:pt idx="0">
                  <c:v>47.195357833655706</c:v>
                </c:pt>
                <c:pt idx="1">
                  <c:v>24.951644100580271</c:v>
                </c:pt>
                <c:pt idx="2">
                  <c:v>13.636363636363635</c:v>
                </c:pt>
                <c:pt idx="3">
                  <c:v>14.216634429400388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43-4279-8923-A03CCAFC6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213872"/>
        <c:axId val="504214264"/>
      </c:barChart>
      <c:catAx>
        <c:axId val="50421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4214264"/>
        <c:crosses val="autoZero"/>
        <c:auto val="1"/>
        <c:lblAlgn val="ctr"/>
        <c:lblOffset val="100"/>
        <c:noMultiLvlLbl val="0"/>
      </c:catAx>
      <c:valAx>
        <c:axId val="504214264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421387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3789519129952099"/>
          <c:y val="0.24131879414126861"/>
          <c:w val="0.22283491978646275"/>
          <c:h val="0.13990776389544363"/>
        </c:manualLayout>
      </c:layout>
      <c:overlay val="0"/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531811</xdr:colOff>
      <xdr:row>14</xdr:row>
      <xdr:rowOff>95249</xdr:rowOff>
    </xdr:from>
    <xdr:to>
      <xdr:col>11</xdr:col>
      <xdr:colOff>428625</xdr:colOff>
      <xdr:row>33</xdr:row>
      <xdr:rowOff>144858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396875</xdr:colOff>
      <xdr:row>37</xdr:row>
      <xdr:rowOff>99219</xdr:rowOff>
    </xdr:from>
    <xdr:to>
      <xdr:col>11</xdr:col>
      <xdr:colOff>444500</xdr:colOff>
      <xdr:row>55</xdr:row>
      <xdr:rowOff>184150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BH34"/>
  <sheetViews>
    <sheetView tabSelected="1" zoomScale="96" zoomScaleNormal="96" workbookViewId="0">
      <selection activeCell="N30" sqref="N30"/>
    </sheetView>
  </sheetViews>
  <sheetFormatPr defaultRowHeight="15" x14ac:dyDescent="0.25"/>
  <cols>
    <col min="1" max="1" width="16.28515625" style="1" customWidth="1"/>
    <col min="2" max="2" width="11.7109375" style="1" customWidth="1"/>
    <col min="3" max="3" width="11.28515625" style="1" customWidth="1"/>
    <col min="4" max="4" width="11.7109375" style="1" customWidth="1"/>
    <col min="5" max="5" width="11.28515625" style="1" customWidth="1"/>
    <col min="6" max="6" width="11.7109375" style="1" customWidth="1"/>
    <col min="7" max="13" width="11.28515625" style="1" customWidth="1"/>
    <col min="14" max="14" width="7.28515625" style="1" customWidth="1"/>
    <col min="15" max="15" width="2.42578125" style="1" customWidth="1"/>
    <col min="16" max="16" width="14.28515625" style="1" customWidth="1"/>
    <col min="17" max="17" width="2.42578125" style="1" customWidth="1"/>
    <col min="18" max="43" width="9.140625" style="1"/>
    <col min="44" max="46" width="49.7109375" style="1" customWidth="1"/>
    <col min="47" max="16384" width="9.140625" style="1"/>
  </cols>
  <sheetData>
    <row r="2" spans="1:56" ht="21" x14ac:dyDescent="0.55000000000000004">
      <c r="A2" s="30" t="s">
        <v>19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BA2" s="6" t="s">
        <v>0</v>
      </c>
      <c r="BB2" s="6" t="s">
        <v>1</v>
      </c>
    </row>
    <row r="3" spans="1:56" x14ac:dyDescent="0.25">
      <c r="A3" s="34" t="s">
        <v>18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AZ3" s="3" t="s">
        <v>2</v>
      </c>
      <c r="BA3" s="7">
        <f>SUM(BC4:BC7)</f>
        <v>5170</v>
      </c>
      <c r="BB3" s="7">
        <f>SUM(BD4:BD7)</f>
        <v>5170</v>
      </c>
      <c r="BC3" s="8"/>
    </row>
    <row r="4" spans="1:56" s="3" customFormat="1" x14ac:dyDescent="0.25">
      <c r="A4" s="35" t="s">
        <v>8</v>
      </c>
      <c r="B4" s="39">
        <v>2019</v>
      </c>
      <c r="C4" s="38"/>
      <c r="D4" s="39">
        <v>2020</v>
      </c>
      <c r="E4" s="38"/>
      <c r="F4" s="39">
        <v>2021</v>
      </c>
      <c r="G4" s="38"/>
      <c r="H4" s="39">
        <v>2022</v>
      </c>
      <c r="I4" s="38"/>
      <c r="J4" s="39">
        <v>2023</v>
      </c>
      <c r="K4" s="38"/>
      <c r="L4" s="39">
        <v>2024</v>
      </c>
      <c r="M4" s="38"/>
      <c r="N4" s="23"/>
      <c r="O4" s="23"/>
      <c r="P4" s="31" t="s">
        <v>9</v>
      </c>
      <c r="BB4" s="9" t="s">
        <v>10</v>
      </c>
      <c r="BC4" s="10">
        <f>L8</f>
        <v>2582</v>
      </c>
      <c r="BD4" s="10">
        <f>M8</f>
        <v>2440</v>
      </c>
    </row>
    <row r="5" spans="1:56" s="3" customFormat="1" x14ac:dyDescent="0.25">
      <c r="A5" s="36"/>
      <c r="B5" s="11" t="s">
        <v>0</v>
      </c>
      <c r="C5" s="6" t="s">
        <v>1</v>
      </c>
      <c r="D5" s="11" t="s">
        <v>0</v>
      </c>
      <c r="E5" s="6" t="s">
        <v>1</v>
      </c>
      <c r="F5" s="11" t="s">
        <v>0</v>
      </c>
      <c r="G5" s="6" t="s">
        <v>1</v>
      </c>
      <c r="H5" s="11" t="s">
        <v>0</v>
      </c>
      <c r="I5" s="6" t="s">
        <v>1</v>
      </c>
      <c r="J5" s="11" t="s">
        <v>0</v>
      </c>
      <c r="K5" s="6" t="s">
        <v>1</v>
      </c>
      <c r="L5" s="11" t="s">
        <v>0</v>
      </c>
      <c r="M5" s="6" t="s">
        <v>1</v>
      </c>
      <c r="N5" s="12"/>
      <c r="O5" s="12"/>
      <c r="P5" s="32"/>
      <c r="BB5" s="9" t="s">
        <v>11</v>
      </c>
      <c r="BC5" s="10">
        <f>L9</f>
        <v>1289</v>
      </c>
      <c r="BD5" s="10">
        <f>M9</f>
        <v>1290</v>
      </c>
    </row>
    <row r="6" spans="1:56" s="3" customFormat="1" ht="21" x14ac:dyDescent="0.55000000000000004">
      <c r="A6" s="37"/>
      <c r="B6" s="14" t="s">
        <v>4</v>
      </c>
      <c r="C6" s="13" t="s">
        <v>5</v>
      </c>
      <c r="D6" s="14" t="s">
        <v>4</v>
      </c>
      <c r="E6" s="13" t="s">
        <v>5</v>
      </c>
      <c r="F6" s="14" t="s">
        <v>4</v>
      </c>
      <c r="G6" s="13" t="s">
        <v>5</v>
      </c>
      <c r="H6" s="14" t="s">
        <v>4</v>
      </c>
      <c r="I6" s="13" t="s">
        <v>5</v>
      </c>
      <c r="J6" s="14" t="s">
        <v>4</v>
      </c>
      <c r="K6" s="13" t="s">
        <v>5</v>
      </c>
      <c r="L6" s="14" t="s">
        <v>4</v>
      </c>
      <c r="M6" s="13" t="s">
        <v>5</v>
      </c>
      <c r="N6" s="13"/>
      <c r="O6" s="13"/>
      <c r="P6" s="40"/>
      <c r="BB6" s="9" t="s">
        <v>12</v>
      </c>
      <c r="BC6" s="10">
        <f>L10</f>
        <v>651</v>
      </c>
      <c r="BD6" s="10">
        <f>M10</f>
        <v>705</v>
      </c>
    </row>
    <row r="7" spans="1:56" s="3" customFormat="1" ht="18.75" x14ac:dyDescent="0.5">
      <c r="A7" s="3" t="s">
        <v>2</v>
      </c>
      <c r="B7" s="15">
        <f t="shared" ref="B7:K7" si="0">SUM(B8:B11)</f>
        <v>5069</v>
      </c>
      <c r="C7" s="7">
        <f t="shared" si="0"/>
        <v>5069</v>
      </c>
      <c r="D7" s="15">
        <f t="shared" si="0"/>
        <v>4998</v>
      </c>
      <c r="E7" s="7">
        <f t="shared" si="0"/>
        <v>4998</v>
      </c>
      <c r="F7" s="15">
        <f t="shared" si="0"/>
        <v>5414</v>
      </c>
      <c r="G7" s="7">
        <f t="shared" si="0"/>
        <v>5414</v>
      </c>
      <c r="H7" s="15">
        <f t="shared" si="0"/>
        <v>5753</v>
      </c>
      <c r="I7" s="7">
        <f t="shared" si="0"/>
        <v>5753</v>
      </c>
      <c r="J7" s="28">
        <f t="shared" si="0"/>
        <v>5373</v>
      </c>
      <c r="K7" s="29">
        <f t="shared" si="0"/>
        <v>5373</v>
      </c>
      <c r="L7" s="28">
        <f t="shared" ref="L7:M7" si="1">SUM(L8:L11)</f>
        <v>5170</v>
      </c>
      <c r="M7" s="29">
        <f t="shared" si="1"/>
        <v>5170</v>
      </c>
      <c r="N7" s="7"/>
      <c r="O7" s="7"/>
      <c r="P7" s="16" t="s">
        <v>3</v>
      </c>
      <c r="BB7" s="17" t="s">
        <v>13</v>
      </c>
      <c r="BC7" s="10">
        <f>L11</f>
        <v>648</v>
      </c>
      <c r="BD7" s="10">
        <f>M11</f>
        <v>735</v>
      </c>
    </row>
    <row r="8" spans="1:56" ht="18.75" x14ac:dyDescent="0.5">
      <c r="A8" s="9" t="s">
        <v>10</v>
      </c>
      <c r="B8" s="18">
        <v>2605</v>
      </c>
      <c r="C8" s="10">
        <v>2511</v>
      </c>
      <c r="D8" s="18">
        <v>2760</v>
      </c>
      <c r="E8" s="10">
        <v>2583</v>
      </c>
      <c r="F8" s="24">
        <v>2829</v>
      </c>
      <c r="G8" s="25">
        <v>2706</v>
      </c>
      <c r="H8" s="24">
        <v>3001</v>
      </c>
      <c r="I8" s="25">
        <v>2849</v>
      </c>
      <c r="J8" s="24">
        <v>2676</v>
      </c>
      <c r="K8" s="25">
        <v>2522</v>
      </c>
      <c r="L8" s="24">
        <v>2582</v>
      </c>
      <c r="M8" s="25">
        <v>2440</v>
      </c>
      <c r="N8" s="25"/>
      <c r="O8" s="10"/>
      <c r="P8" s="4" t="s">
        <v>14</v>
      </c>
    </row>
    <row r="9" spans="1:56" ht="18.75" x14ac:dyDescent="0.5">
      <c r="A9" s="9" t="s">
        <v>11</v>
      </c>
      <c r="B9" s="18">
        <v>1287</v>
      </c>
      <c r="C9" s="10">
        <v>1326</v>
      </c>
      <c r="D9" s="18">
        <v>1151</v>
      </c>
      <c r="E9" s="10">
        <v>1254</v>
      </c>
      <c r="F9" s="24">
        <v>1297</v>
      </c>
      <c r="G9" s="25">
        <v>1354</v>
      </c>
      <c r="H9" s="24">
        <v>1373</v>
      </c>
      <c r="I9" s="25">
        <v>1401</v>
      </c>
      <c r="J9" s="24">
        <v>1344</v>
      </c>
      <c r="K9" s="25">
        <v>1377</v>
      </c>
      <c r="L9" s="24">
        <v>1289</v>
      </c>
      <c r="M9" s="25">
        <v>1290</v>
      </c>
      <c r="N9" s="25"/>
      <c r="O9" s="10"/>
      <c r="P9" s="4" t="s">
        <v>15</v>
      </c>
    </row>
    <row r="10" spans="1:56" ht="18.75" x14ac:dyDescent="0.5">
      <c r="A10" s="9" t="s">
        <v>12</v>
      </c>
      <c r="B10" s="18">
        <v>591</v>
      </c>
      <c r="C10" s="10">
        <v>621</v>
      </c>
      <c r="D10" s="18">
        <v>549</v>
      </c>
      <c r="E10" s="10">
        <v>628</v>
      </c>
      <c r="F10" s="24">
        <v>610</v>
      </c>
      <c r="G10" s="25">
        <v>715</v>
      </c>
      <c r="H10" s="24">
        <v>664</v>
      </c>
      <c r="I10" s="25">
        <v>733</v>
      </c>
      <c r="J10" s="24">
        <v>679</v>
      </c>
      <c r="K10" s="25">
        <v>703</v>
      </c>
      <c r="L10" s="24">
        <v>651</v>
      </c>
      <c r="M10" s="25">
        <v>705</v>
      </c>
      <c r="N10" s="25"/>
      <c r="O10" s="10"/>
      <c r="P10" s="4" t="s">
        <v>16</v>
      </c>
      <c r="BC10" s="6" t="s">
        <v>0</v>
      </c>
      <c r="BD10" s="6" t="s">
        <v>1</v>
      </c>
    </row>
    <row r="11" spans="1:56" ht="18.75" x14ac:dyDescent="0.5">
      <c r="A11" s="17" t="s">
        <v>13</v>
      </c>
      <c r="B11" s="20">
        <v>586</v>
      </c>
      <c r="C11" s="19">
        <v>611</v>
      </c>
      <c r="D11" s="20">
        <v>538</v>
      </c>
      <c r="E11" s="19">
        <v>533</v>
      </c>
      <c r="F11" s="26">
        <v>678</v>
      </c>
      <c r="G11" s="27">
        <v>639</v>
      </c>
      <c r="H11" s="26">
        <v>715</v>
      </c>
      <c r="I11" s="27">
        <v>770</v>
      </c>
      <c r="J11" s="26">
        <v>674</v>
      </c>
      <c r="K11" s="27">
        <v>771</v>
      </c>
      <c r="L11" s="26">
        <v>648</v>
      </c>
      <c r="M11" s="27">
        <v>735</v>
      </c>
      <c r="N11" s="27"/>
      <c r="O11" s="19"/>
      <c r="P11" s="21" t="s">
        <v>17</v>
      </c>
      <c r="BC11" s="5">
        <f>BC4/BA3*100</f>
        <v>49.941972920696323</v>
      </c>
      <c r="BD11" s="5">
        <f>BD4/BB3*100</f>
        <v>47.195357833655706</v>
      </c>
    </row>
    <row r="12" spans="1:56" ht="18" x14ac:dyDescent="0.45">
      <c r="A12" s="22" t="s">
        <v>6</v>
      </c>
      <c r="P12" s="2" t="s">
        <v>7</v>
      </c>
    </row>
    <row r="13" spans="1:56" x14ac:dyDescent="0.25"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BC13" s="6" t="s">
        <v>0</v>
      </c>
      <c r="BD13" s="6" t="s">
        <v>1</v>
      </c>
    </row>
    <row r="14" spans="1:56" x14ac:dyDescent="0.25"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BB14" s="9" t="s">
        <v>10</v>
      </c>
      <c r="BC14" s="5">
        <f>BC4/$BA$3*100</f>
        <v>49.941972920696323</v>
      </c>
      <c r="BD14" s="5">
        <f>BD4/$BA$3*100</f>
        <v>47.195357833655706</v>
      </c>
    </row>
    <row r="15" spans="1:56" x14ac:dyDescent="0.25"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BB15" s="9" t="s">
        <v>11</v>
      </c>
      <c r="BC15" s="5">
        <f>BC5/$BA$3*100</f>
        <v>24.932301740812377</v>
      </c>
      <c r="BD15" s="5">
        <f>BD5/$BA$3*100</f>
        <v>24.951644100580271</v>
      </c>
    </row>
    <row r="16" spans="1:56" x14ac:dyDescent="0.25"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BB16" s="9" t="s">
        <v>12</v>
      </c>
      <c r="BC16" s="5">
        <f>BC6/$BA$3*100</f>
        <v>12.591876208897485</v>
      </c>
      <c r="BD16" s="5">
        <f>BD6/$BA$3*100</f>
        <v>13.636363636363635</v>
      </c>
    </row>
    <row r="17" spans="18:60" x14ac:dyDescent="0.25">
      <c r="BB17" s="17" t="s">
        <v>13</v>
      </c>
      <c r="BC17" s="5">
        <f>BC7/$BA$3*100</f>
        <v>12.533849129593811</v>
      </c>
      <c r="BD17" s="5">
        <f>BD7/$BA$3*100</f>
        <v>14.216634429400388</v>
      </c>
    </row>
    <row r="22" spans="18:60" x14ac:dyDescent="0.25"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Y22" s="33">
        <v>2020</v>
      </c>
      <c r="AZ22" s="33"/>
      <c r="BA22" s="33">
        <v>2021</v>
      </c>
      <c r="BB22" s="33"/>
      <c r="BC22" s="33">
        <v>2022</v>
      </c>
      <c r="BD22" s="33"/>
      <c r="BE22" s="33">
        <v>2023</v>
      </c>
      <c r="BF22" s="33"/>
      <c r="BG22" s="33">
        <v>2024</v>
      </c>
      <c r="BH22" s="33"/>
    </row>
    <row r="23" spans="18:60" x14ac:dyDescent="0.25"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Y23" s="6" t="s">
        <v>0</v>
      </c>
      <c r="AZ23" s="6" t="s">
        <v>1</v>
      </c>
      <c r="BA23" s="6" t="s">
        <v>0</v>
      </c>
      <c r="BB23" s="6" t="s">
        <v>1</v>
      </c>
      <c r="BC23" s="6" t="s">
        <v>0</v>
      </c>
      <c r="BD23" s="6" t="s">
        <v>1</v>
      </c>
      <c r="BE23" s="6" t="s">
        <v>0</v>
      </c>
      <c r="BF23" s="6" t="s">
        <v>1</v>
      </c>
      <c r="BG23" s="6" t="s">
        <v>0</v>
      </c>
      <c r="BH23" s="6" t="s">
        <v>1</v>
      </c>
    </row>
    <row r="24" spans="18:60" x14ac:dyDescent="0.25"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X24" s="1" t="s">
        <v>10</v>
      </c>
      <c r="AY24" s="18">
        <v>2760</v>
      </c>
      <c r="AZ24" s="18">
        <v>2583</v>
      </c>
      <c r="BA24" s="18">
        <f>F8</f>
        <v>2829</v>
      </c>
      <c r="BB24" s="18">
        <f>G8</f>
        <v>2706</v>
      </c>
      <c r="BC24" s="18">
        <f t="shared" ref="BC24:BD27" si="2">H8</f>
        <v>3001</v>
      </c>
      <c r="BD24" s="18">
        <f t="shared" si="2"/>
        <v>2849</v>
      </c>
      <c r="BE24" s="18">
        <f t="shared" ref="BE24:BE27" si="3">J8</f>
        <v>2676</v>
      </c>
      <c r="BF24" s="18">
        <f t="shared" ref="BF24:BF27" si="4">K8</f>
        <v>2522</v>
      </c>
      <c r="BG24" s="18">
        <f t="shared" ref="BG24:BG27" si="5">L8</f>
        <v>2582</v>
      </c>
      <c r="BH24" s="18">
        <f t="shared" ref="BH24:BH27" si="6">M8</f>
        <v>2440</v>
      </c>
    </row>
    <row r="25" spans="18:60" x14ac:dyDescent="0.25"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X25" s="1" t="s">
        <v>11</v>
      </c>
      <c r="AY25" s="18">
        <v>1151</v>
      </c>
      <c r="AZ25" s="18">
        <v>1254</v>
      </c>
      <c r="BA25" s="18">
        <f>F9</f>
        <v>1297</v>
      </c>
      <c r="BB25" s="18">
        <f>G9</f>
        <v>1354</v>
      </c>
      <c r="BC25" s="18">
        <f t="shared" si="2"/>
        <v>1373</v>
      </c>
      <c r="BD25" s="18">
        <f t="shared" si="2"/>
        <v>1401</v>
      </c>
      <c r="BE25" s="18">
        <f t="shared" si="3"/>
        <v>1344</v>
      </c>
      <c r="BF25" s="18">
        <f t="shared" si="4"/>
        <v>1377</v>
      </c>
      <c r="BG25" s="18">
        <f t="shared" si="5"/>
        <v>1289</v>
      </c>
      <c r="BH25" s="18">
        <f t="shared" si="6"/>
        <v>1290</v>
      </c>
    </row>
    <row r="26" spans="18:60" x14ac:dyDescent="0.25">
      <c r="AX26" s="1" t="s">
        <v>12</v>
      </c>
      <c r="AY26" s="18">
        <v>549</v>
      </c>
      <c r="AZ26" s="18">
        <v>628</v>
      </c>
      <c r="BA26" s="18">
        <f>F10</f>
        <v>610</v>
      </c>
      <c r="BB26" s="18">
        <f>G10</f>
        <v>715</v>
      </c>
      <c r="BC26" s="18">
        <f t="shared" si="2"/>
        <v>664</v>
      </c>
      <c r="BD26" s="18">
        <f t="shared" si="2"/>
        <v>733</v>
      </c>
      <c r="BE26" s="18">
        <f t="shared" si="3"/>
        <v>679</v>
      </c>
      <c r="BF26" s="18">
        <f t="shared" si="4"/>
        <v>703</v>
      </c>
      <c r="BG26" s="18">
        <f t="shared" si="5"/>
        <v>651</v>
      </c>
      <c r="BH26" s="18">
        <f t="shared" si="6"/>
        <v>705</v>
      </c>
    </row>
    <row r="27" spans="18:60" x14ac:dyDescent="0.25">
      <c r="AX27" s="1" t="s">
        <v>13</v>
      </c>
      <c r="AY27" s="18">
        <v>538</v>
      </c>
      <c r="AZ27" s="18">
        <v>533</v>
      </c>
      <c r="BA27" s="18">
        <f>F11</f>
        <v>678</v>
      </c>
      <c r="BB27" s="18">
        <f>G11</f>
        <v>639</v>
      </c>
      <c r="BC27" s="18">
        <f t="shared" si="2"/>
        <v>715</v>
      </c>
      <c r="BD27" s="18">
        <f t="shared" si="2"/>
        <v>770</v>
      </c>
      <c r="BE27" s="18">
        <f t="shared" si="3"/>
        <v>674</v>
      </c>
      <c r="BF27" s="18">
        <f t="shared" si="4"/>
        <v>771</v>
      </c>
      <c r="BG27" s="18">
        <f t="shared" si="5"/>
        <v>648</v>
      </c>
      <c r="BH27" s="18">
        <f t="shared" si="6"/>
        <v>735</v>
      </c>
    </row>
    <row r="31" spans="18:60" x14ac:dyDescent="0.25"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 spans="18:60" x14ac:dyDescent="0.25"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 spans="18:46" x14ac:dyDescent="0.25"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  <row r="34" spans="18:46" x14ac:dyDescent="0.25"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</row>
  </sheetData>
  <mergeCells count="15">
    <mergeCell ref="H4:I4"/>
    <mergeCell ref="J4:K4"/>
    <mergeCell ref="BC22:BD22"/>
    <mergeCell ref="BA22:BB22"/>
    <mergeCell ref="AY22:AZ22"/>
    <mergeCell ref="L4:M4"/>
    <mergeCell ref="BG22:BH22"/>
    <mergeCell ref="BE22:BF22"/>
    <mergeCell ref="A2:P2"/>
    <mergeCell ref="A3:P3"/>
    <mergeCell ref="A4:A6"/>
    <mergeCell ref="B4:C4"/>
    <mergeCell ref="D4:E4"/>
    <mergeCell ref="F4:G4"/>
    <mergeCell ref="P4:P6"/>
  </mergeCells>
  <pageMargins left="0.7" right="0.7" top="0.75" bottom="0.75" header="0.3" footer="0.3"/>
  <pageSetup paperSize="9" scale="48" orientation="portrait" r:id="rId1"/>
  <colBreaks count="1" manualBreakCount="1">
    <brk id="1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3.22</vt:lpstr>
      <vt:lpstr>'3.22'!Print_Area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2026-04-30T03:50:17Z</cp:lastPrinted>
  <dcterms:created xsi:type="dcterms:W3CDTF">2019-07-22T06:02:33Z</dcterms:created>
  <dcterms:modified xsi:type="dcterms:W3CDTF">2026-05-03T02:51:16Z</dcterms:modified>
</cp:coreProperties>
</file>