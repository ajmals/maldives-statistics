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1.Population\"/>
    </mc:Choice>
  </mc:AlternateContent>
  <xr:revisionPtr revIDLastSave="0" documentId="13_ncr:1_{DDE28681-4D37-4C6B-97F7-13287817EF72}" xr6:coauthVersionLast="47" xr6:coauthVersionMax="47" xr10:uidLastSave="{00000000-0000-0000-0000-000000000000}"/>
  <bookViews>
    <workbookView xWindow="-120" yWindow="-120" windowWidth="29040" windowHeight="15720" tabRatio="806" xr2:uid="{00000000-000D-0000-FFFF-FFFF00000000}"/>
  </bookViews>
  <sheets>
    <sheet name="3.14" sheetId="12" r:id="rId1"/>
  </sheets>
  <definedNames>
    <definedName name="_xlnm.Print_Area" localSheetId="0">'3.14'!$A$1:$N$132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7" i="12" l="1"/>
  <c r="F127" i="12"/>
  <c r="E127" i="12"/>
  <c r="D127" i="12"/>
  <c r="C127" i="12"/>
  <c r="B127" i="12"/>
  <c r="J126" i="12"/>
  <c r="F126" i="12"/>
  <c r="E126" i="12"/>
  <c r="D126" i="12"/>
  <c r="C126" i="12"/>
  <c r="B126" i="12"/>
  <c r="J125" i="12"/>
  <c r="F125" i="12"/>
  <c r="E125" i="12"/>
  <c r="D125" i="12"/>
  <c r="B125" i="12" s="1"/>
  <c r="C125" i="12"/>
  <c r="J124" i="12"/>
  <c r="F124" i="12"/>
  <c r="E124" i="12"/>
  <c r="D124" i="12"/>
  <c r="C124" i="12"/>
  <c r="B124" i="12"/>
  <c r="J123" i="12"/>
  <c r="F123" i="12"/>
  <c r="E123" i="12"/>
  <c r="D123" i="12"/>
  <c r="C123" i="12"/>
  <c r="B123" i="12" s="1"/>
  <c r="J122" i="12"/>
  <c r="F122" i="12"/>
  <c r="E122" i="12"/>
  <c r="D122" i="12"/>
  <c r="C122" i="12"/>
  <c r="B122" i="12"/>
  <c r="J121" i="12"/>
  <c r="F121" i="12"/>
  <c r="E121" i="12"/>
  <c r="D121" i="12"/>
  <c r="C121" i="12"/>
  <c r="B121" i="12"/>
  <c r="J120" i="12"/>
  <c r="F120" i="12"/>
  <c r="E120" i="12"/>
  <c r="D120" i="12"/>
  <c r="C120" i="12"/>
  <c r="B120" i="12"/>
  <c r="J119" i="12"/>
  <c r="F119" i="12"/>
  <c r="E119" i="12"/>
  <c r="D119" i="12"/>
  <c r="C119" i="12"/>
  <c r="B119" i="12"/>
  <c r="J118" i="12"/>
  <c r="F118" i="12"/>
  <c r="E118" i="12"/>
  <c r="D118" i="12"/>
  <c r="C118" i="12"/>
  <c r="B118" i="12"/>
  <c r="J117" i="12"/>
  <c r="F117" i="12"/>
  <c r="E117" i="12"/>
  <c r="D117" i="12"/>
  <c r="C117" i="12"/>
  <c r="B117" i="12"/>
  <c r="J116" i="12"/>
  <c r="F116" i="12"/>
  <c r="E116" i="12"/>
  <c r="D116" i="12"/>
  <c r="C116" i="12"/>
  <c r="B116" i="12"/>
  <c r="J115" i="12"/>
  <c r="F115" i="12"/>
  <c r="E115" i="12"/>
  <c r="D115" i="12"/>
  <c r="C115" i="12"/>
  <c r="B115" i="12"/>
  <c r="J114" i="12"/>
  <c r="F114" i="12"/>
  <c r="E114" i="12"/>
  <c r="B114" i="12" s="1"/>
  <c r="D114" i="12"/>
  <c r="C114" i="12"/>
  <c r="J113" i="12"/>
  <c r="F113" i="12"/>
  <c r="E113" i="12"/>
  <c r="D113" i="12"/>
  <c r="C113" i="12"/>
  <c r="B113" i="12"/>
  <c r="J112" i="12"/>
  <c r="F112" i="12"/>
  <c r="E112" i="12"/>
  <c r="D112" i="12"/>
  <c r="C112" i="12"/>
  <c r="B112" i="12" s="1"/>
  <c r="L111" i="12"/>
  <c r="K111" i="12"/>
  <c r="J111" i="12" s="1"/>
  <c r="J107" i="12" s="1"/>
  <c r="I111" i="12"/>
  <c r="H111" i="12"/>
  <c r="G111" i="12"/>
  <c r="F111" i="12" s="1"/>
  <c r="F107" i="12" s="1"/>
  <c r="E111" i="12"/>
  <c r="J110" i="12"/>
  <c r="F110" i="12"/>
  <c r="E110" i="12"/>
  <c r="D110" i="12"/>
  <c r="C110" i="12"/>
  <c r="B110" i="12"/>
  <c r="J109" i="12"/>
  <c r="F109" i="12"/>
  <c r="E109" i="12"/>
  <c r="D109" i="12"/>
  <c r="C109" i="12"/>
  <c r="B109" i="12"/>
  <c r="J108" i="12"/>
  <c r="F108" i="12"/>
  <c r="E108" i="12"/>
  <c r="D108" i="12"/>
  <c r="D111" i="12" s="1"/>
  <c r="D107" i="12" s="1"/>
  <c r="C108" i="12"/>
  <c r="C111" i="12" s="1"/>
  <c r="B108" i="12"/>
  <c r="M107" i="12"/>
  <c r="L107" i="12"/>
  <c r="K107" i="12"/>
  <c r="I107" i="12"/>
  <c r="H107" i="12"/>
  <c r="G107" i="12"/>
  <c r="E107" i="12"/>
  <c r="J94" i="12"/>
  <c r="F94" i="12"/>
  <c r="E94" i="12"/>
  <c r="D94" i="12"/>
  <c r="C94" i="12"/>
  <c r="B94" i="12"/>
  <c r="J93" i="12"/>
  <c r="F93" i="12"/>
  <c r="E93" i="12"/>
  <c r="D93" i="12"/>
  <c r="C93" i="12"/>
  <c r="B93" i="12"/>
  <c r="J92" i="12"/>
  <c r="F92" i="12"/>
  <c r="E92" i="12"/>
  <c r="D92" i="12"/>
  <c r="C92" i="12"/>
  <c r="B92" i="12" s="1"/>
  <c r="J91" i="12"/>
  <c r="F91" i="12"/>
  <c r="E91" i="12"/>
  <c r="D91" i="12"/>
  <c r="C91" i="12"/>
  <c r="B91" i="12"/>
  <c r="J90" i="12"/>
  <c r="F90" i="12"/>
  <c r="E90" i="12"/>
  <c r="D90" i="12"/>
  <c r="C90" i="12"/>
  <c r="B90" i="12" s="1"/>
  <c r="J89" i="12"/>
  <c r="F89" i="12"/>
  <c r="E89" i="12"/>
  <c r="D89" i="12"/>
  <c r="C89" i="12"/>
  <c r="B89" i="12" s="1"/>
  <c r="J88" i="12"/>
  <c r="F88" i="12"/>
  <c r="E88" i="12"/>
  <c r="D88" i="12"/>
  <c r="C88" i="12"/>
  <c r="B88" i="12" s="1"/>
  <c r="J87" i="12"/>
  <c r="F87" i="12"/>
  <c r="E87" i="12"/>
  <c r="D87" i="12"/>
  <c r="C87" i="12"/>
  <c r="B87" i="12"/>
  <c r="J86" i="12"/>
  <c r="F86" i="12"/>
  <c r="E86" i="12"/>
  <c r="D86" i="12"/>
  <c r="C86" i="12"/>
  <c r="B86" i="12"/>
  <c r="J85" i="12"/>
  <c r="F85" i="12"/>
  <c r="E85" i="12"/>
  <c r="D85" i="12"/>
  <c r="C85" i="12"/>
  <c r="B85" i="12"/>
  <c r="J84" i="12"/>
  <c r="F84" i="12"/>
  <c r="E84" i="12"/>
  <c r="D84" i="12"/>
  <c r="C84" i="12"/>
  <c r="B84" i="12"/>
  <c r="J83" i="12"/>
  <c r="F83" i="12"/>
  <c r="E83" i="12"/>
  <c r="D83" i="12"/>
  <c r="C83" i="12"/>
  <c r="B83" i="12"/>
  <c r="J82" i="12"/>
  <c r="F82" i="12"/>
  <c r="E82" i="12"/>
  <c r="D82" i="12"/>
  <c r="C82" i="12"/>
  <c r="B82" i="12"/>
  <c r="J81" i="12"/>
  <c r="F81" i="12"/>
  <c r="E81" i="12"/>
  <c r="D81" i="12"/>
  <c r="C81" i="12"/>
  <c r="B81" i="12"/>
  <c r="J80" i="12"/>
  <c r="F80" i="12"/>
  <c r="E80" i="12"/>
  <c r="D80" i="12"/>
  <c r="C80" i="12"/>
  <c r="B80" i="12"/>
  <c r="J79" i="12"/>
  <c r="F79" i="12"/>
  <c r="E79" i="12"/>
  <c r="D79" i="12"/>
  <c r="C79" i="12"/>
  <c r="B79" i="12"/>
  <c r="L78" i="12"/>
  <c r="L74" i="12" s="1"/>
  <c r="K78" i="12"/>
  <c r="I78" i="12"/>
  <c r="I74" i="12" s="1"/>
  <c r="H78" i="12"/>
  <c r="H74" i="12" s="1"/>
  <c r="G78" i="12"/>
  <c r="G74" i="12" s="1"/>
  <c r="F78" i="12"/>
  <c r="F74" i="12" s="1"/>
  <c r="E78" i="12"/>
  <c r="E74" i="12" s="1"/>
  <c r="J77" i="12"/>
  <c r="F77" i="12"/>
  <c r="E77" i="12"/>
  <c r="D77" i="12"/>
  <c r="C77" i="12"/>
  <c r="B77" i="12"/>
  <c r="J76" i="12"/>
  <c r="F76" i="12"/>
  <c r="E76" i="12"/>
  <c r="D76" i="12"/>
  <c r="C76" i="12"/>
  <c r="B76" i="12"/>
  <c r="J75" i="12"/>
  <c r="F75" i="12"/>
  <c r="E75" i="12"/>
  <c r="D75" i="12"/>
  <c r="C75" i="12"/>
  <c r="C78" i="12" s="1"/>
  <c r="M74" i="12"/>
  <c r="J63" i="12"/>
  <c r="F63" i="12"/>
  <c r="E63" i="12"/>
  <c r="D63" i="12"/>
  <c r="C63" i="12"/>
  <c r="B63" i="12"/>
  <c r="J62" i="12"/>
  <c r="F62" i="12"/>
  <c r="E62" i="12"/>
  <c r="D62" i="12"/>
  <c r="C62" i="12"/>
  <c r="B62" i="12"/>
  <c r="J61" i="12"/>
  <c r="F61" i="12"/>
  <c r="E61" i="12"/>
  <c r="D61" i="12"/>
  <c r="C61" i="12"/>
  <c r="B61" i="12"/>
  <c r="J60" i="12"/>
  <c r="F60" i="12"/>
  <c r="E60" i="12"/>
  <c r="D60" i="12"/>
  <c r="C60" i="12"/>
  <c r="B60" i="12"/>
  <c r="J59" i="12"/>
  <c r="F59" i="12"/>
  <c r="E59" i="12"/>
  <c r="D59" i="12"/>
  <c r="C59" i="12"/>
  <c r="B59" i="12"/>
  <c r="J58" i="12"/>
  <c r="F58" i="12"/>
  <c r="E58" i="12"/>
  <c r="D58" i="12"/>
  <c r="C58" i="12"/>
  <c r="B58" i="12"/>
  <c r="J57" i="12"/>
  <c r="F57" i="12"/>
  <c r="E57" i="12"/>
  <c r="D57" i="12"/>
  <c r="C57" i="12"/>
  <c r="B57" i="12"/>
  <c r="J56" i="12"/>
  <c r="F56" i="12"/>
  <c r="E56" i="12"/>
  <c r="D56" i="12"/>
  <c r="C56" i="12"/>
  <c r="B56" i="12"/>
  <c r="J55" i="12"/>
  <c r="F55" i="12"/>
  <c r="E55" i="12"/>
  <c r="D55" i="12"/>
  <c r="C55" i="12"/>
  <c r="B55" i="12"/>
  <c r="J54" i="12"/>
  <c r="F54" i="12"/>
  <c r="E54" i="12"/>
  <c r="D54" i="12"/>
  <c r="C54" i="12"/>
  <c r="B54" i="12"/>
  <c r="J53" i="12"/>
  <c r="F53" i="12"/>
  <c r="E53" i="12"/>
  <c r="D53" i="12"/>
  <c r="C53" i="12"/>
  <c r="B53" i="12"/>
  <c r="J52" i="12"/>
  <c r="F52" i="12"/>
  <c r="E52" i="12"/>
  <c r="D52" i="12"/>
  <c r="C52" i="12"/>
  <c r="B52" i="12"/>
  <c r="J51" i="12"/>
  <c r="F51" i="12"/>
  <c r="E51" i="12"/>
  <c r="D51" i="12"/>
  <c r="C51" i="12"/>
  <c r="B51" i="12"/>
  <c r="J50" i="12"/>
  <c r="F50" i="12"/>
  <c r="E50" i="12"/>
  <c r="D50" i="12"/>
  <c r="C50" i="12"/>
  <c r="B50" i="12"/>
  <c r="J49" i="12"/>
  <c r="F49" i="12"/>
  <c r="E49" i="12"/>
  <c r="D49" i="12"/>
  <c r="C49" i="12"/>
  <c r="B49" i="12"/>
  <c r="J48" i="12"/>
  <c r="F48" i="12"/>
  <c r="E48" i="12"/>
  <c r="D48" i="12"/>
  <c r="C48" i="12"/>
  <c r="B48" i="12"/>
  <c r="M47" i="12"/>
  <c r="M43" i="12" s="1"/>
  <c r="L47" i="12"/>
  <c r="L43" i="12" s="1"/>
  <c r="K47" i="12"/>
  <c r="K43" i="12" s="1"/>
  <c r="J47" i="12"/>
  <c r="J43" i="12" s="1"/>
  <c r="I47" i="12"/>
  <c r="I43" i="12" s="1"/>
  <c r="H47" i="12"/>
  <c r="H43" i="12" s="1"/>
  <c r="G47" i="12"/>
  <c r="G43" i="12" s="1"/>
  <c r="F47" i="12"/>
  <c r="F43" i="12" s="1"/>
  <c r="E47" i="12"/>
  <c r="E43" i="12" s="1"/>
  <c r="J46" i="12"/>
  <c r="F46" i="12"/>
  <c r="E46" i="12"/>
  <c r="D46" i="12"/>
  <c r="C46" i="12"/>
  <c r="B46" i="12"/>
  <c r="J45" i="12"/>
  <c r="F45" i="12"/>
  <c r="E45" i="12"/>
  <c r="D45" i="12"/>
  <c r="D47" i="12" s="1"/>
  <c r="D43" i="12" s="1"/>
  <c r="C45" i="12"/>
  <c r="C47" i="12" s="1"/>
  <c r="B45" i="12"/>
  <c r="J44" i="12"/>
  <c r="F44" i="12"/>
  <c r="E44" i="12"/>
  <c r="D44" i="12"/>
  <c r="C44" i="12"/>
  <c r="B44" i="12"/>
  <c r="J29" i="12"/>
  <c r="F29" i="12"/>
  <c r="E29" i="12"/>
  <c r="D29" i="12"/>
  <c r="C29" i="12"/>
  <c r="B29" i="12"/>
  <c r="J28" i="12"/>
  <c r="F28" i="12"/>
  <c r="E28" i="12"/>
  <c r="D28" i="12"/>
  <c r="C28" i="12"/>
  <c r="B28" i="12"/>
  <c r="J27" i="12"/>
  <c r="F27" i="12"/>
  <c r="E27" i="12"/>
  <c r="D27" i="12"/>
  <c r="C27" i="12"/>
  <c r="B27" i="12"/>
  <c r="J26" i="12"/>
  <c r="F26" i="12"/>
  <c r="E26" i="12"/>
  <c r="D26" i="12"/>
  <c r="C26" i="12"/>
  <c r="B26" i="12"/>
  <c r="J25" i="12"/>
  <c r="F25" i="12"/>
  <c r="E25" i="12"/>
  <c r="D25" i="12"/>
  <c r="C25" i="12"/>
  <c r="B25" i="12"/>
  <c r="J24" i="12"/>
  <c r="F24" i="12"/>
  <c r="E24" i="12"/>
  <c r="D24" i="12"/>
  <c r="C24" i="12"/>
  <c r="B24" i="12"/>
  <c r="J23" i="12"/>
  <c r="F23" i="12"/>
  <c r="E23" i="12"/>
  <c r="D23" i="12"/>
  <c r="C23" i="12"/>
  <c r="B23" i="12"/>
  <c r="J22" i="12"/>
  <c r="F22" i="12"/>
  <c r="E22" i="12"/>
  <c r="D22" i="12"/>
  <c r="C22" i="12"/>
  <c r="B22" i="12"/>
  <c r="J21" i="12"/>
  <c r="F21" i="12"/>
  <c r="E21" i="12"/>
  <c r="D21" i="12"/>
  <c r="C21" i="12"/>
  <c r="B21" i="12"/>
  <c r="J20" i="12"/>
  <c r="F20" i="12"/>
  <c r="E20" i="12"/>
  <c r="D20" i="12"/>
  <c r="C20" i="12"/>
  <c r="B20" i="12" s="1"/>
  <c r="J19" i="12"/>
  <c r="F19" i="12"/>
  <c r="E19" i="12"/>
  <c r="D19" i="12"/>
  <c r="C19" i="12"/>
  <c r="B19" i="12"/>
  <c r="J18" i="12"/>
  <c r="F18" i="12"/>
  <c r="E18" i="12"/>
  <c r="D18" i="12"/>
  <c r="C18" i="12"/>
  <c r="B18" i="12"/>
  <c r="J17" i="12"/>
  <c r="F17" i="12"/>
  <c r="E17" i="12"/>
  <c r="D17" i="12"/>
  <c r="C17" i="12"/>
  <c r="B17" i="12"/>
  <c r="J16" i="12"/>
  <c r="F16" i="12"/>
  <c r="E16" i="12"/>
  <c r="D16" i="12"/>
  <c r="C16" i="12"/>
  <c r="B16" i="12"/>
  <c r="J15" i="12"/>
  <c r="F15" i="12"/>
  <c r="E15" i="12"/>
  <c r="D15" i="12"/>
  <c r="C15" i="12"/>
  <c r="B15" i="12"/>
  <c r="J14" i="12"/>
  <c r="F14" i="12"/>
  <c r="E14" i="12"/>
  <c r="D14" i="12"/>
  <c r="C14" i="12"/>
  <c r="B14" i="12"/>
  <c r="M13" i="12"/>
  <c r="M8" i="12" s="1"/>
  <c r="L13" i="12"/>
  <c r="L8" i="12" s="1"/>
  <c r="K13" i="12"/>
  <c r="I13" i="12"/>
  <c r="I8" i="12" s="1"/>
  <c r="H13" i="12"/>
  <c r="H8" i="12" s="1"/>
  <c r="G13" i="12"/>
  <c r="E13" i="12"/>
  <c r="E8" i="12" s="1"/>
  <c r="J12" i="12"/>
  <c r="F12" i="12"/>
  <c r="E12" i="12"/>
  <c r="D12" i="12"/>
  <c r="D13" i="12" s="1"/>
  <c r="D8" i="12" s="1"/>
  <c r="C12" i="12"/>
  <c r="J11" i="12"/>
  <c r="F11" i="12"/>
  <c r="E11" i="12"/>
  <c r="D11" i="12"/>
  <c r="C11" i="12"/>
  <c r="B11" i="12"/>
  <c r="J10" i="12"/>
  <c r="F10" i="12"/>
  <c r="E10" i="12"/>
  <c r="D10" i="12"/>
  <c r="C10" i="12"/>
  <c r="B10" i="12"/>
  <c r="J9" i="12"/>
  <c r="F9" i="12"/>
  <c r="E9" i="12"/>
  <c r="D9" i="12"/>
  <c r="C9" i="12"/>
  <c r="B9" i="12"/>
  <c r="B111" i="12" l="1"/>
  <c r="B107" i="12" s="1"/>
  <c r="C107" i="12"/>
  <c r="J78" i="12"/>
  <c r="J74" i="12" s="1"/>
  <c r="K74" i="12"/>
  <c r="B75" i="12"/>
  <c r="D78" i="12"/>
  <c r="D74" i="12" s="1"/>
  <c r="B78" i="12"/>
  <c r="B74" i="12" s="1"/>
  <c r="C74" i="12"/>
  <c r="C43" i="12"/>
  <c r="B47" i="12"/>
  <c r="B43" i="12" s="1"/>
  <c r="K8" i="12"/>
  <c r="J13" i="12"/>
  <c r="J8" i="12" s="1"/>
  <c r="G8" i="12"/>
  <c r="F13" i="12"/>
  <c r="F8" i="12" s="1"/>
  <c r="B12" i="12"/>
  <c r="C13" i="12"/>
  <c r="B13" i="12" l="1"/>
  <c r="B8" i="12" s="1"/>
  <c r="C8" i="12"/>
</calcChain>
</file>

<file path=xl/sharedStrings.xml><?xml version="1.0" encoding="utf-8"?>
<sst xmlns="http://schemas.openxmlformats.org/spreadsheetml/2006/main" count="173" uniqueCount="42">
  <si>
    <t>Both Sexes</t>
  </si>
  <si>
    <t>Male</t>
  </si>
  <si>
    <t>Female</t>
  </si>
  <si>
    <t>5 - 9</t>
  </si>
  <si>
    <t>Less than 1 year</t>
  </si>
  <si>
    <t>10 - 14</t>
  </si>
  <si>
    <t>1 - 4</t>
  </si>
  <si>
    <t>15 - 19</t>
  </si>
  <si>
    <t>20 - 24</t>
  </si>
  <si>
    <t>30 - 34</t>
  </si>
  <si>
    <t>35 - 39</t>
  </si>
  <si>
    <t>45 - 49</t>
  </si>
  <si>
    <t>50 - 54</t>
  </si>
  <si>
    <t>55 - 59</t>
  </si>
  <si>
    <t>60 - 64</t>
  </si>
  <si>
    <t>65 - 69</t>
  </si>
  <si>
    <t>Republic</t>
  </si>
  <si>
    <t>Male'</t>
  </si>
  <si>
    <t>Atolls</t>
  </si>
  <si>
    <t>Not stated</t>
  </si>
  <si>
    <t>Less than 7 days</t>
  </si>
  <si>
    <t>7 - 27 days</t>
  </si>
  <si>
    <t>Age Groups</t>
  </si>
  <si>
    <t>Both  Sexes</t>
  </si>
  <si>
    <t>All Ages</t>
  </si>
  <si>
    <t xml:space="preserve">28 - 364 days </t>
  </si>
  <si>
    <t xml:space="preserve">25 - 29 </t>
  </si>
  <si>
    <t xml:space="preserve">40 - 44 </t>
  </si>
  <si>
    <t xml:space="preserve">70 &amp; Over </t>
  </si>
  <si>
    <t>Not Stated</t>
  </si>
  <si>
    <t>ތާވަލު 3.12: މާލެއާއި، ރާއްޖެ އަދި ރާއްޖޭންބޭރުގައި މަރުވި މީހުންގެ ޢަދަދު، ޖިންސާއި ޢުމުރުގެ ގޮތުން، 2025</t>
  </si>
  <si>
    <t>Table 3.12 :   DEATHS BY AGE AND SEX, BY MAJOR ADMINISTRATIVE UNITS, 2025</t>
  </si>
  <si>
    <t>Note:</t>
  </si>
  <si>
    <t>Data is tentative and is subject to change</t>
  </si>
  <si>
    <t xml:space="preserve">Data includes Maldivians and foreigners, and  excluded births &amp; deaths occurred abroad </t>
  </si>
  <si>
    <t>Source: Ministry of Health, Family &amp; Welfare</t>
  </si>
  <si>
    <t>ތާވަލު 3.12: މާލެއާއި، ރާއްޖެ އަދި ރާއްޖޭންބޭރުގައި މަރުވި މީހުންގެ ޢަދަދު، ޖިންސާއި ޢުމުރުގެ ގޮތުން، 2024</t>
  </si>
  <si>
    <t>Table 3.12 :   DEATHS BY AGE AND SEX, BY MAJOR ADMINISTRATIVE UNITS, 2024</t>
  </si>
  <si>
    <t>ތާވަލު 3.12: މާލެއާއި، ރާއްޖެ އަދި ރާއްޖޭންބޭރުގައި މަރުވި މީހުންގެ ޢަދަދު، ޖިންސާއި ޢުމުރުގެ ގޮތުން، 2023</t>
  </si>
  <si>
    <t>Table 3.12 :   DEATHS BY AGE AND SEX, BY MAJOR ADMINISTRATIVE UNITS, 2023</t>
  </si>
  <si>
    <t>ތާވަލު 3.12: މާލެއާއި، ރާއްޖެ އަދި ރާއްޖޭންބޭރުގައި މަރުވި މީހުންގެ ޢަދަދު، ޖިންސާއި ޢުމުރުގެ ގޮތުން، 2022</t>
  </si>
  <si>
    <t>Table 3.12 :   DEATHS BY AGE AND SEX, BY MAJOR ADMINISTRATIVE UNITS,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</si>
</sst>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General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b/>
      <sz val="11"/>
      <name val="Faruma"/>
    </font>
    <font>
      <i/>
      <sz val="9"/>
      <name val="Calibri"/>
      <family val="2"/>
    </font>
    <font>
      <sz val="10"/>
      <name val="Arial"/>
      <family val="2"/>
    </font>
    <font>
      <i/>
      <sz val="1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Arial"/>
      <family val="2"/>
    </font>
    <font>
      <b/>
      <sz val="10"/>
      <name val="Arial"/>
      <family val="2"/>
    </font>
    <font>
      <i/>
      <sz val="9"/>
      <name val="Calibri"/>
      <family val="2"/>
      <scheme val="minor"/>
    </font>
    <font>
      <i/>
      <sz val="9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indexed="64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hair">
        <color auto="1"/>
      </top>
      <bottom style="thin">
        <color auto="1"/>
      </bottom>
      <diagonal/>
    </border>
  </borders>
  <cellStyleXfs count="28">
    <xf numFmtId="0" fontId="0" fillId="0" borderId="0"/>
    <xf numFmtId="0" fontId="7" fillId="0" borderId="0"/>
    <xf numFmtId="0" fontId="7" fillId="0" borderId="0"/>
    <xf numFmtId="165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11" fillId="0" borderId="0"/>
    <xf numFmtId="0" fontId="7" fillId="0" borderId="0"/>
    <xf numFmtId="0" fontId="7" fillId="0" borderId="0"/>
    <xf numFmtId="0" fontId="1" fillId="0" borderId="0"/>
    <xf numFmtId="166" fontId="2" fillId="0" borderId="0"/>
    <xf numFmtId="166" fontId="2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6" fillId="0" borderId="0"/>
  </cellStyleXfs>
  <cellXfs count="40">
    <xf numFmtId="0" fontId="0" fillId="0" borderId="0" xfId="0"/>
    <xf numFmtId="166" fontId="13" fillId="3" borderId="0" xfId="0" applyNumberFormat="1" applyFont="1" applyFill="1" applyAlignment="1">
      <alignment horizontal="left" vertical="center"/>
    </xf>
    <xf numFmtId="166" fontId="13" fillId="3" borderId="0" xfId="0" applyNumberFormat="1" applyFont="1" applyFill="1" applyAlignment="1">
      <alignment horizontal="right" vertical="center"/>
    </xf>
    <xf numFmtId="166" fontId="13" fillId="3" borderId="0" xfId="0" applyNumberFormat="1" applyFont="1" applyFill="1" applyAlignment="1">
      <alignment horizontal="right" vertical="center" wrapText="1"/>
    </xf>
    <xf numFmtId="166" fontId="13" fillId="3" borderId="0" xfId="0" applyNumberFormat="1" applyFont="1" applyFill="1" applyAlignment="1">
      <alignment horizontal="center" vertical="center" wrapText="1"/>
    </xf>
    <xf numFmtId="166" fontId="13" fillId="3" borderId="0" xfId="0" applyNumberFormat="1" applyFont="1" applyFill="1" applyAlignment="1">
      <alignment horizontal="center" vertical="center"/>
    </xf>
    <xf numFmtId="166" fontId="3" fillId="3" borderId="0" xfId="0" applyNumberFormat="1" applyFont="1" applyFill="1"/>
    <xf numFmtId="166" fontId="14" fillId="3" borderId="0" xfId="0" applyNumberFormat="1" applyFont="1" applyFill="1" applyAlignment="1">
      <alignment horizontal="left" vertical="center"/>
    </xf>
    <xf numFmtId="3" fontId="10" fillId="3" borderId="0" xfId="0" applyNumberFormat="1" applyFont="1" applyFill="1" applyAlignment="1">
      <alignment horizontal="right" vertical="center"/>
    </xf>
    <xf numFmtId="3" fontId="9" fillId="3" borderId="0" xfId="0" applyNumberFormat="1" applyFont="1" applyFill="1" applyAlignment="1">
      <alignment horizontal="right" vertical="center"/>
    </xf>
    <xf numFmtId="3" fontId="9" fillId="3" borderId="4" xfId="0" applyNumberFormat="1" applyFont="1" applyFill="1" applyBorder="1" applyAlignment="1">
      <alignment horizontal="right" vertical="center"/>
    </xf>
    <xf numFmtId="166" fontId="12" fillId="3" borderId="8" xfId="0" applyNumberFormat="1" applyFont="1" applyFill="1" applyBorder="1" applyAlignment="1">
      <alignment horizontal="right" vertical="center" wrapText="1"/>
    </xf>
    <xf numFmtId="166" fontId="12" fillId="3" borderId="9" xfId="0" applyNumberFormat="1" applyFont="1" applyFill="1" applyBorder="1" applyAlignment="1">
      <alignment horizontal="right" vertical="center" wrapText="1"/>
    </xf>
    <xf numFmtId="166" fontId="12" fillId="3" borderId="10" xfId="0" applyNumberFormat="1" applyFont="1" applyFill="1" applyBorder="1" applyAlignment="1">
      <alignment horizontal="right" vertical="center" wrapText="1"/>
    </xf>
    <xf numFmtId="3" fontId="10" fillId="3" borderId="1" xfId="0" applyNumberFormat="1" applyFont="1" applyFill="1" applyBorder="1" applyAlignment="1">
      <alignment horizontal="right" vertical="center"/>
    </xf>
    <xf numFmtId="166" fontId="15" fillId="3" borderId="0" xfId="0" applyNumberFormat="1" applyFont="1" applyFill="1" applyAlignment="1">
      <alignment horizontal="left"/>
    </xf>
    <xf numFmtId="3" fontId="10" fillId="3" borderId="4" xfId="0" applyNumberFormat="1" applyFont="1" applyFill="1" applyBorder="1" applyAlignment="1">
      <alignment horizontal="right" vertical="center"/>
    </xf>
    <xf numFmtId="3" fontId="9" fillId="3" borderId="0" xfId="0" applyNumberFormat="1" applyFont="1" applyFill="1" applyAlignment="1" applyProtection="1">
      <alignment horizontal="right" vertical="center"/>
      <protection locked="0"/>
    </xf>
    <xf numFmtId="3" fontId="10" fillId="3" borderId="7" xfId="0" applyNumberFormat="1" applyFont="1" applyFill="1" applyBorder="1" applyAlignment="1">
      <alignment horizontal="right" vertical="center"/>
    </xf>
    <xf numFmtId="166" fontId="14" fillId="3" borderId="0" xfId="0" quotePrefix="1" applyNumberFormat="1" applyFont="1" applyFill="1" applyAlignment="1">
      <alignment horizontal="left" vertical="center"/>
    </xf>
    <xf numFmtId="3" fontId="9" fillId="3" borderId="1" xfId="0" applyNumberFormat="1" applyFont="1" applyFill="1" applyBorder="1" applyAlignment="1">
      <alignment horizontal="right" vertical="center"/>
    </xf>
    <xf numFmtId="166" fontId="5" fillId="3" borderId="0" xfId="0" applyNumberFormat="1" applyFont="1" applyFill="1" applyAlignment="1">
      <alignment horizontal="center" vertical="center"/>
    </xf>
    <xf numFmtId="166" fontId="4" fillId="3" borderId="0" xfId="0" applyNumberFormat="1" applyFont="1" applyFill="1" applyAlignment="1">
      <alignment horizontal="center" vertical="center"/>
    </xf>
    <xf numFmtId="166" fontId="9" fillId="3" borderId="2" xfId="0" applyNumberFormat="1" applyFont="1" applyFill="1" applyBorder="1" applyAlignment="1">
      <alignment horizontal="center" vertical="center"/>
    </xf>
    <xf numFmtId="166" fontId="9" fillId="3" borderId="1" xfId="0" applyNumberFormat="1" applyFont="1" applyFill="1" applyBorder="1" applyAlignment="1">
      <alignment horizontal="center" vertical="center"/>
    </xf>
    <xf numFmtId="166" fontId="9" fillId="3" borderId="3" xfId="0" applyNumberFormat="1" applyFont="1" applyFill="1" applyBorder="1" applyAlignment="1">
      <alignment horizontal="center" vertical="center"/>
    </xf>
    <xf numFmtId="166" fontId="9" fillId="3" borderId="6" xfId="0" applyNumberFormat="1" applyFont="1" applyFill="1" applyBorder="1" applyAlignment="1">
      <alignment horizontal="center" vertical="center"/>
    </xf>
    <xf numFmtId="166" fontId="9" fillId="3" borderId="5" xfId="0" applyNumberFormat="1" applyFont="1" applyFill="1" applyBorder="1" applyAlignment="1">
      <alignment horizontal="center" vertical="center"/>
    </xf>
    <xf numFmtId="166" fontId="17" fillId="3" borderId="0" xfId="0" applyNumberFormat="1" applyFont="1" applyFill="1"/>
    <xf numFmtId="166" fontId="18" fillId="3" borderId="0" xfId="0" applyNumberFormat="1" applyFont="1" applyFill="1" applyAlignment="1">
      <alignment vertical="center"/>
    </xf>
    <xf numFmtId="166" fontId="9" fillId="3" borderId="0" xfId="0" applyNumberFormat="1" applyFont="1" applyFill="1" applyAlignment="1">
      <alignment horizontal="center" vertical="center" wrapText="1"/>
    </xf>
    <xf numFmtId="166" fontId="12" fillId="3" borderId="0" xfId="0" applyNumberFormat="1" applyFont="1" applyFill="1" applyAlignment="1">
      <alignment horizontal="right" vertical="center" wrapText="1"/>
    </xf>
    <xf numFmtId="166" fontId="17" fillId="3" borderId="0" xfId="0" applyNumberFormat="1" applyFont="1" applyFill="1" applyAlignment="1">
      <alignment wrapText="1"/>
    </xf>
    <xf numFmtId="166" fontId="3" fillId="3" borderId="0" xfId="0" applyNumberFormat="1" applyFont="1" applyFill="1" applyAlignment="1">
      <alignment vertical="center"/>
    </xf>
    <xf numFmtId="166" fontId="14" fillId="3" borderId="1" xfId="0" applyNumberFormat="1" applyFont="1" applyFill="1" applyBorder="1" applyAlignment="1">
      <alignment horizontal="left" vertical="center"/>
    </xf>
    <xf numFmtId="166" fontId="19" fillId="3" borderId="0" xfId="0" applyNumberFormat="1" applyFont="1" applyFill="1" applyAlignment="1">
      <alignment horizontal="left" vertical="center"/>
    </xf>
    <xf numFmtId="0" fontId="20" fillId="0" borderId="0" xfId="0" applyFont="1"/>
    <xf numFmtId="166" fontId="8" fillId="2" borderId="0" xfId="11" applyFont="1" applyFill="1" applyAlignment="1" applyProtection="1">
      <alignment vertical="center"/>
      <protection hidden="1"/>
    </xf>
    <xf numFmtId="166" fontId="20" fillId="4" borderId="0" xfId="0" applyNumberFormat="1" applyFont="1" applyFill="1" applyAlignment="1">
      <alignment horizontal="left" vertical="center"/>
    </xf>
    <xf numFmtId="166" fontId="6" fillId="4" borderId="0" xfId="0" applyNumberFormat="1" applyFont="1" applyFill="1" applyAlignment="1">
      <alignment horizontal="left" vertical="center"/>
    </xf>
  </cellXfs>
  <cellStyles count="28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2 3" xfId="26" xr:uid="{7B97C7B6-45BC-4F87-B021-D2FFE1457BD1}"/>
    <cellStyle name="Comma 3" xfId="5" xr:uid="{00000000-0005-0000-0000-000004000000}"/>
    <cellStyle name="Comma 3 2" xfId="16" xr:uid="{00000000-0005-0000-0000-000005000000}"/>
    <cellStyle name="Comma 3 3" xfId="24" xr:uid="{00000000-0005-0000-0000-000006000000}"/>
    <cellStyle name="Comma 4" xfId="3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6" xr:uid="{00000000-0005-0000-0000-00000E000000}"/>
    <cellStyle name="Normal 2" xfId="4" xr:uid="{00000000-0005-0000-0000-00000F000000}"/>
    <cellStyle name="Normal 2 2" xfId="20" xr:uid="{00000000-0005-0000-0000-000010000000}"/>
    <cellStyle name="Normal 20" xfId="2" xr:uid="{00000000-0005-0000-0000-000011000000}"/>
    <cellStyle name="Normal 20 2" xfId="18" xr:uid="{00000000-0005-0000-0000-000012000000}"/>
    <cellStyle name="Normal 3" xfId="12" xr:uid="{00000000-0005-0000-0000-000013000000}"/>
    <cellStyle name="Normal 32" xfId="7" xr:uid="{00000000-0005-0000-0000-000014000000}"/>
    <cellStyle name="Normal 32 2" xfId="21" xr:uid="{00000000-0005-0000-0000-000015000000}"/>
    <cellStyle name="Normal 4" xfId="10" xr:uid="{00000000-0005-0000-0000-000016000000}"/>
    <cellStyle name="Normal 4 2" xfId="25" xr:uid="{C876A118-C7AA-4052-92BB-F37EED3B4522}"/>
    <cellStyle name="Normal 44" xfId="8" xr:uid="{00000000-0005-0000-0000-000017000000}"/>
    <cellStyle name="Normal 44 2" xfId="22" xr:uid="{00000000-0005-0000-0000-000018000000}"/>
    <cellStyle name="Normal 48" xfId="9" xr:uid="{00000000-0005-0000-0000-000019000000}"/>
    <cellStyle name="Normal 5" xfId="1" xr:uid="{00000000-0005-0000-0000-00001A000000}"/>
    <cellStyle name="Normal 5 2" xfId="17" xr:uid="{00000000-0005-0000-0000-00001B000000}"/>
    <cellStyle name="Normal 5 3" xfId="27" xr:uid="{322195DD-DDD2-4FE1-89C3-0612B80BE6DB}"/>
    <cellStyle name="Normal_Stat Year Book 2007 tables" xfId="11" xr:uid="{00000000-0005-0000-0000-000024000000}"/>
  </cellStyles>
  <dxfs count="0"/>
  <tableStyles count="0" defaultTableStyle="TableStyleMedium2" defaultPivotStyle="PivotStyleLight16"/>
  <colors>
    <mruColors>
      <color rgb="FF003300"/>
      <color rgb="FFFBFFF7"/>
      <color rgb="FF336600"/>
      <color rgb="FF2F75B5"/>
      <color rgb="FFFF3399"/>
      <color rgb="FFF5DFEA"/>
      <color rgb="FF993366"/>
      <color rgb="FFDA8EB4"/>
      <color rgb="FFE2A8C5"/>
      <color rgb="FFFAF0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N164"/>
  <sheetViews>
    <sheetView tabSelected="1" zoomScaleNormal="100" workbookViewId="0">
      <selection activeCell="H9" sqref="H9"/>
    </sheetView>
  </sheetViews>
  <sheetFormatPr defaultColWidth="11.140625" defaultRowHeight="12.75" customHeight="1" x14ac:dyDescent="0.2"/>
  <cols>
    <col min="1" max="1" width="16.140625" style="6" customWidth="1"/>
    <col min="2" max="4" width="9.28515625" style="6" customWidth="1"/>
    <col min="5" max="5" width="8.7109375" style="6" customWidth="1"/>
    <col min="6" max="8" width="9.28515625" style="6" customWidth="1"/>
    <col min="9" max="9" width="8.7109375" style="6" customWidth="1"/>
    <col min="10" max="12" width="9.28515625" style="6" customWidth="1"/>
    <col min="13" max="13" width="8.5703125" style="6" customWidth="1"/>
    <col min="14" max="14" width="11.28515625" style="6" customWidth="1"/>
    <col min="15" max="249" width="11.140625" style="6"/>
    <col min="250" max="250" width="19.42578125" style="6" customWidth="1"/>
    <col min="251" max="251" width="8.7109375" style="6" customWidth="1"/>
    <col min="252" max="253" width="8" style="6" customWidth="1"/>
    <col min="254" max="254" width="2.42578125" style="6" customWidth="1"/>
    <col min="255" max="255" width="8" style="6" customWidth="1"/>
    <col min="256" max="256" width="8.5703125" style="6" customWidth="1"/>
    <col min="257" max="257" width="8" style="6" customWidth="1"/>
    <col min="258" max="258" width="2.42578125" style="6" customWidth="1"/>
    <col min="259" max="259" width="9" style="6" customWidth="1"/>
    <col min="260" max="261" width="8" style="6" customWidth="1"/>
    <col min="262" max="262" width="2.42578125" style="6" customWidth="1"/>
    <col min="263" max="263" width="9.28515625" style="6" customWidth="1"/>
    <col min="264" max="265" width="8" style="6" customWidth="1"/>
    <col min="266" max="266" width="1.28515625" style="6" customWidth="1"/>
    <col min="267" max="267" width="8" style="6" customWidth="1"/>
    <col min="268" max="505" width="11.140625" style="6"/>
    <col min="506" max="506" width="19.42578125" style="6" customWidth="1"/>
    <col min="507" max="507" width="8.7109375" style="6" customWidth="1"/>
    <col min="508" max="509" width="8" style="6" customWidth="1"/>
    <col min="510" max="510" width="2.42578125" style="6" customWidth="1"/>
    <col min="511" max="511" width="8" style="6" customWidth="1"/>
    <col min="512" max="512" width="8.5703125" style="6" customWidth="1"/>
    <col min="513" max="513" width="8" style="6" customWidth="1"/>
    <col min="514" max="514" width="2.42578125" style="6" customWidth="1"/>
    <col min="515" max="515" width="9" style="6" customWidth="1"/>
    <col min="516" max="517" width="8" style="6" customWidth="1"/>
    <col min="518" max="518" width="2.42578125" style="6" customWidth="1"/>
    <col min="519" max="519" width="9.28515625" style="6" customWidth="1"/>
    <col min="520" max="521" width="8" style="6" customWidth="1"/>
    <col min="522" max="522" width="1.28515625" style="6" customWidth="1"/>
    <col min="523" max="523" width="8" style="6" customWidth="1"/>
    <col min="524" max="761" width="11.140625" style="6"/>
    <col min="762" max="762" width="19.42578125" style="6" customWidth="1"/>
    <col min="763" max="763" width="8.7109375" style="6" customWidth="1"/>
    <col min="764" max="765" width="8" style="6" customWidth="1"/>
    <col min="766" max="766" width="2.42578125" style="6" customWidth="1"/>
    <col min="767" max="767" width="8" style="6" customWidth="1"/>
    <col min="768" max="768" width="8.5703125" style="6" customWidth="1"/>
    <col min="769" max="769" width="8" style="6" customWidth="1"/>
    <col min="770" max="770" width="2.42578125" style="6" customWidth="1"/>
    <col min="771" max="771" width="9" style="6" customWidth="1"/>
    <col min="772" max="773" width="8" style="6" customWidth="1"/>
    <col min="774" max="774" width="2.42578125" style="6" customWidth="1"/>
    <col min="775" max="775" width="9.28515625" style="6" customWidth="1"/>
    <col min="776" max="777" width="8" style="6" customWidth="1"/>
    <col min="778" max="778" width="1.28515625" style="6" customWidth="1"/>
    <col min="779" max="779" width="8" style="6" customWidth="1"/>
    <col min="780" max="1017" width="11.140625" style="6"/>
    <col min="1018" max="1018" width="19.42578125" style="6" customWidth="1"/>
    <col min="1019" max="1019" width="8.7109375" style="6" customWidth="1"/>
    <col min="1020" max="1021" width="8" style="6" customWidth="1"/>
    <col min="1022" max="1022" width="2.42578125" style="6" customWidth="1"/>
    <col min="1023" max="1023" width="8" style="6" customWidth="1"/>
    <col min="1024" max="1024" width="8.5703125" style="6" customWidth="1"/>
    <col min="1025" max="1025" width="8" style="6" customWidth="1"/>
    <col min="1026" max="1026" width="2.42578125" style="6" customWidth="1"/>
    <col min="1027" max="1027" width="9" style="6" customWidth="1"/>
    <col min="1028" max="1029" width="8" style="6" customWidth="1"/>
    <col min="1030" max="1030" width="2.42578125" style="6" customWidth="1"/>
    <col min="1031" max="1031" width="9.28515625" style="6" customWidth="1"/>
    <col min="1032" max="1033" width="8" style="6" customWidth="1"/>
    <col min="1034" max="1034" width="1.28515625" style="6" customWidth="1"/>
    <col min="1035" max="1035" width="8" style="6" customWidth="1"/>
    <col min="1036" max="1273" width="11.140625" style="6"/>
    <col min="1274" max="1274" width="19.42578125" style="6" customWidth="1"/>
    <col min="1275" max="1275" width="8.7109375" style="6" customWidth="1"/>
    <col min="1276" max="1277" width="8" style="6" customWidth="1"/>
    <col min="1278" max="1278" width="2.42578125" style="6" customWidth="1"/>
    <col min="1279" max="1279" width="8" style="6" customWidth="1"/>
    <col min="1280" max="1280" width="8.5703125" style="6" customWidth="1"/>
    <col min="1281" max="1281" width="8" style="6" customWidth="1"/>
    <col min="1282" max="1282" width="2.42578125" style="6" customWidth="1"/>
    <col min="1283" max="1283" width="9" style="6" customWidth="1"/>
    <col min="1284" max="1285" width="8" style="6" customWidth="1"/>
    <col min="1286" max="1286" width="2.42578125" style="6" customWidth="1"/>
    <col min="1287" max="1287" width="9.28515625" style="6" customWidth="1"/>
    <col min="1288" max="1289" width="8" style="6" customWidth="1"/>
    <col min="1290" max="1290" width="1.28515625" style="6" customWidth="1"/>
    <col min="1291" max="1291" width="8" style="6" customWidth="1"/>
    <col min="1292" max="1529" width="11.140625" style="6"/>
    <col min="1530" max="1530" width="19.42578125" style="6" customWidth="1"/>
    <col min="1531" max="1531" width="8.7109375" style="6" customWidth="1"/>
    <col min="1532" max="1533" width="8" style="6" customWidth="1"/>
    <col min="1534" max="1534" width="2.42578125" style="6" customWidth="1"/>
    <col min="1535" max="1535" width="8" style="6" customWidth="1"/>
    <col min="1536" max="1536" width="8.5703125" style="6" customWidth="1"/>
    <col min="1537" max="1537" width="8" style="6" customWidth="1"/>
    <col min="1538" max="1538" width="2.42578125" style="6" customWidth="1"/>
    <col min="1539" max="1539" width="9" style="6" customWidth="1"/>
    <col min="1540" max="1541" width="8" style="6" customWidth="1"/>
    <col min="1542" max="1542" width="2.42578125" style="6" customWidth="1"/>
    <col min="1543" max="1543" width="9.28515625" style="6" customWidth="1"/>
    <col min="1544" max="1545" width="8" style="6" customWidth="1"/>
    <col min="1546" max="1546" width="1.28515625" style="6" customWidth="1"/>
    <col min="1547" max="1547" width="8" style="6" customWidth="1"/>
    <col min="1548" max="1785" width="11.140625" style="6"/>
    <col min="1786" max="1786" width="19.42578125" style="6" customWidth="1"/>
    <col min="1787" max="1787" width="8.7109375" style="6" customWidth="1"/>
    <col min="1788" max="1789" width="8" style="6" customWidth="1"/>
    <col min="1790" max="1790" width="2.42578125" style="6" customWidth="1"/>
    <col min="1791" max="1791" width="8" style="6" customWidth="1"/>
    <col min="1792" max="1792" width="8.5703125" style="6" customWidth="1"/>
    <col min="1793" max="1793" width="8" style="6" customWidth="1"/>
    <col min="1794" max="1794" width="2.42578125" style="6" customWidth="1"/>
    <col min="1795" max="1795" width="9" style="6" customWidth="1"/>
    <col min="1796" max="1797" width="8" style="6" customWidth="1"/>
    <col min="1798" max="1798" width="2.42578125" style="6" customWidth="1"/>
    <col min="1799" max="1799" width="9.28515625" style="6" customWidth="1"/>
    <col min="1800" max="1801" width="8" style="6" customWidth="1"/>
    <col min="1802" max="1802" width="1.28515625" style="6" customWidth="1"/>
    <col min="1803" max="1803" width="8" style="6" customWidth="1"/>
    <col min="1804" max="2041" width="11.140625" style="6"/>
    <col min="2042" max="2042" width="19.42578125" style="6" customWidth="1"/>
    <col min="2043" max="2043" width="8.7109375" style="6" customWidth="1"/>
    <col min="2044" max="2045" width="8" style="6" customWidth="1"/>
    <col min="2046" max="2046" width="2.42578125" style="6" customWidth="1"/>
    <col min="2047" max="2047" width="8" style="6" customWidth="1"/>
    <col min="2048" max="2048" width="8.5703125" style="6" customWidth="1"/>
    <col min="2049" max="2049" width="8" style="6" customWidth="1"/>
    <col min="2050" max="2050" width="2.42578125" style="6" customWidth="1"/>
    <col min="2051" max="2051" width="9" style="6" customWidth="1"/>
    <col min="2052" max="2053" width="8" style="6" customWidth="1"/>
    <col min="2054" max="2054" width="2.42578125" style="6" customWidth="1"/>
    <col min="2055" max="2055" width="9.28515625" style="6" customWidth="1"/>
    <col min="2056" max="2057" width="8" style="6" customWidth="1"/>
    <col min="2058" max="2058" width="1.28515625" style="6" customWidth="1"/>
    <col min="2059" max="2059" width="8" style="6" customWidth="1"/>
    <col min="2060" max="2297" width="11.140625" style="6"/>
    <col min="2298" max="2298" width="19.42578125" style="6" customWidth="1"/>
    <col min="2299" max="2299" width="8.7109375" style="6" customWidth="1"/>
    <col min="2300" max="2301" width="8" style="6" customWidth="1"/>
    <col min="2302" max="2302" width="2.42578125" style="6" customWidth="1"/>
    <col min="2303" max="2303" width="8" style="6" customWidth="1"/>
    <col min="2304" max="2304" width="8.5703125" style="6" customWidth="1"/>
    <col min="2305" max="2305" width="8" style="6" customWidth="1"/>
    <col min="2306" max="2306" width="2.42578125" style="6" customWidth="1"/>
    <col min="2307" max="2307" width="9" style="6" customWidth="1"/>
    <col min="2308" max="2309" width="8" style="6" customWidth="1"/>
    <col min="2310" max="2310" width="2.42578125" style="6" customWidth="1"/>
    <col min="2311" max="2311" width="9.28515625" style="6" customWidth="1"/>
    <col min="2312" max="2313" width="8" style="6" customWidth="1"/>
    <col min="2314" max="2314" width="1.28515625" style="6" customWidth="1"/>
    <col min="2315" max="2315" width="8" style="6" customWidth="1"/>
    <col min="2316" max="2553" width="11.140625" style="6"/>
    <col min="2554" max="2554" width="19.42578125" style="6" customWidth="1"/>
    <col min="2555" max="2555" width="8.7109375" style="6" customWidth="1"/>
    <col min="2556" max="2557" width="8" style="6" customWidth="1"/>
    <col min="2558" max="2558" width="2.42578125" style="6" customWidth="1"/>
    <col min="2559" max="2559" width="8" style="6" customWidth="1"/>
    <col min="2560" max="2560" width="8.5703125" style="6" customWidth="1"/>
    <col min="2561" max="2561" width="8" style="6" customWidth="1"/>
    <col min="2562" max="2562" width="2.42578125" style="6" customWidth="1"/>
    <col min="2563" max="2563" width="9" style="6" customWidth="1"/>
    <col min="2564" max="2565" width="8" style="6" customWidth="1"/>
    <col min="2566" max="2566" width="2.42578125" style="6" customWidth="1"/>
    <col min="2567" max="2567" width="9.28515625" style="6" customWidth="1"/>
    <col min="2568" max="2569" width="8" style="6" customWidth="1"/>
    <col min="2570" max="2570" width="1.28515625" style="6" customWidth="1"/>
    <col min="2571" max="2571" width="8" style="6" customWidth="1"/>
    <col min="2572" max="2809" width="11.140625" style="6"/>
    <col min="2810" max="2810" width="19.42578125" style="6" customWidth="1"/>
    <col min="2811" max="2811" width="8.7109375" style="6" customWidth="1"/>
    <col min="2812" max="2813" width="8" style="6" customWidth="1"/>
    <col min="2814" max="2814" width="2.42578125" style="6" customWidth="1"/>
    <col min="2815" max="2815" width="8" style="6" customWidth="1"/>
    <col min="2816" max="2816" width="8.5703125" style="6" customWidth="1"/>
    <col min="2817" max="2817" width="8" style="6" customWidth="1"/>
    <col min="2818" max="2818" width="2.42578125" style="6" customWidth="1"/>
    <col min="2819" max="2819" width="9" style="6" customWidth="1"/>
    <col min="2820" max="2821" width="8" style="6" customWidth="1"/>
    <col min="2822" max="2822" width="2.42578125" style="6" customWidth="1"/>
    <col min="2823" max="2823" width="9.28515625" style="6" customWidth="1"/>
    <col min="2824" max="2825" width="8" style="6" customWidth="1"/>
    <col min="2826" max="2826" width="1.28515625" style="6" customWidth="1"/>
    <col min="2827" max="2827" width="8" style="6" customWidth="1"/>
    <col min="2828" max="3065" width="11.140625" style="6"/>
    <col min="3066" max="3066" width="19.42578125" style="6" customWidth="1"/>
    <col min="3067" max="3067" width="8.7109375" style="6" customWidth="1"/>
    <col min="3068" max="3069" width="8" style="6" customWidth="1"/>
    <col min="3070" max="3070" width="2.42578125" style="6" customWidth="1"/>
    <col min="3071" max="3071" width="8" style="6" customWidth="1"/>
    <col min="3072" max="3072" width="8.5703125" style="6" customWidth="1"/>
    <col min="3073" max="3073" width="8" style="6" customWidth="1"/>
    <col min="3074" max="3074" width="2.42578125" style="6" customWidth="1"/>
    <col min="3075" max="3075" width="9" style="6" customWidth="1"/>
    <col min="3076" max="3077" width="8" style="6" customWidth="1"/>
    <col min="3078" max="3078" width="2.42578125" style="6" customWidth="1"/>
    <col min="3079" max="3079" width="9.28515625" style="6" customWidth="1"/>
    <col min="3080" max="3081" width="8" style="6" customWidth="1"/>
    <col min="3082" max="3082" width="1.28515625" style="6" customWidth="1"/>
    <col min="3083" max="3083" width="8" style="6" customWidth="1"/>
    <col min="3084" max="3321" width="11.140625" style="6"/>
    <col min="3322" max="3322" width="19.42578125" style="6" customWidth="1"/>
    <col min="3323" max="3323" width="8.7109375" style="6" customWidth="1"/>
    <col min="3324" max="3325" width="8" style="6" customWidth="1"/>
    <col min="3326" max="3326" width="2.42578125" style="6" customWidth="1"/>
    <col min="3327" max="3327" width="8" style="6" customWidth="1"/>
    <col min="3328" max="3328" width="8.5703125" style="6" customWidth="1"/>
    <col min="3329" max="3329" width="8" style="6" customWidth="1"/>
    <col min="3330" max="3330" width="2.42578125" style="6" customWidth="1"/>
    <col min="3331" max="3331" width="9" style="6" customWidth="1"/>
    <col min="3332" max="3333" width="8" style="6" customWidth="1"/>
    <col min="3334" max="3334" width="2.42578125" style="6" customWidth="1"/>
    <col min="3335" max="3335" width="9.28515625" style="6" customWidth="1"/>
    <col min="3336" max="3337" width="8" style="6" customWidth="1"/>
    <col min="3338" max="3338" width="1.28515625" style="6" customWidth="1"/>
    <col min="3339" max="3339" width="8" style="6" customWidth="1"/>
    <col min="3340" max="3577" width="11.140625" style="6"/>
    <col min="3578" max="3578" width="19.42578125" style="6" customWidth="1"/>
    <col min="3579" max="3579" width="8.7109375" style="6" customWidth="1"/>
    <col min="3580" max="3581" width="8" style="6" customWidth="1"/>
    <col min="3582" max="3582" width="2.42578125" style="6" customWidth="1"/>
    <col min="3583" max="3583" width="8" style="6" customWidth="1"/>
    <col min="3584" max="3584" width="8.5703125" style="6" customWidth="1"/>
    <col min="3585" max="3585" width="8" style="6" customWidth="1"/>
    <col min="3586" max="3586" width="2.42578125" style="6" customWidth="1"/>
    <col min="3587" max="3587" width="9" style="6" customWidth="1"/>
    <col min="3588" max="3589" width="8" style="6" customWidth="1"/>
    <col min="3590" max="3590" width="2.42578125" style="6" customWidth="1"/>
    <col min="3591" max="3591" width="9.28515625" style="6" customWidth="1"/>
    <col min="3592" max="3593" width="8" style="6" customWidth="1"/>
    <col min="3594" max="3594" width="1.28515625" style="6" customWidth="1"/>
    <col min="3595" max="3595" width="8" style="6" customWidth="1"/>
    <col min="3596" max="3833" width="11.140625" style="6"/>
    <col min="3834" max="3834" width="19.42578125" style="6" customWidth="1"/>
    <col min="3835" max="3835" width="8.7109375" style="6" customWidth="1"/>
    <col min="3836" max="3837" width="8" style="6" customWidth="1"/>
    <col min="3838" max="3838" width="2.42578125" style="6" customWidth="1"/>
    <col min="3839" max="3839" width="8" style="6" customWidth="1"/>
    <col min="3840" max="3840" width="8.5703125" style="6" customWidth="1"/>
    <col min="3841" max="3841" width="8" style="6" customWidth="1"/>
    <col min="3842" max="3842" width="2.42578125" style="6" customWidth="1"/>
    <col min="3843" max="3843" width="9" style="6" customWidth="1"/>
    <col min="3844" max="3845" width="8" style="6" customWidth="1"/>
    <col min="3846" max="3846" width="2.42578125" style="6" customWidth="1"/>
    <col min="3847" max="3847" width="9.28515625" style="6" customWidth="1"/>
    <col min="3848" max="3849" width="8" style="6" customWidth="1"/>
    <col min="3850" max="3850" width="1.28515625" style="6" customWidth="1"/>
    <col min="3851" max="3851" width="8" style="6" customWidth="1"/>
    <col min="3852" max="4089" width="11.140625" style="6"/>
    <col min="4090" max="4090" width="19.42578125" style="6" customWidth="1"/>
    <col min="4091" max="4091" width="8.7109375" style="6" customWidth="1"/>
    <col min="4092" max="4093" width="8" style="6" customWidth="1"/>
    <col min="4094" max="4094" width="2.42578125" style="6" customWidth="1"/>
    <col min="4095" max="4095" width="8" style="6" customWidth="1"/>
    <col min="4096" max="4096" width="8.5703125" style="6" customWidth="1"/>
    <col min="4097" max="4097" width="8" style="6" customWidth="1"/>
    <col min="4098" max="4098" width="2.42578125" style="6" customWidth="1"/>
    <col min="4099" max="4099" width="9" style="6" customWidth="1"/>
    <col min="4100" max="4101" width="8" style="6" customWidth="1"/>
    <col min="4102" max="4102" width="2.42578125" style="6" customWidth="1"/>
    <col min="4103" max="4103" width="9.28515625" style="6" customWidth="1"/>
    <col min="4104" max="4105" width="8" style="6" customWidth="1"/>
    <col min="4106" max="4106" width="1.28515625" style="6" customWidth="1"/>
    <col min="4107" max="4107" width="8" style="6" customWidth="1"/>
    <col min="4108" max="4345" width="11.140625" style="6"/>
    <col min="4346" max="4346" width="19.42578125" style="6" customWidth="1"/>
    <col min="4347" max="4347" width="8.7109375" style="6" customWidth="1"/>
    <col min="4348" max="4349" width="8" style="6" customWidth="1"/>
    <col min="4350" max="4350" width="2.42578125" style="6" customWidth="1"/>
    <col min="4351" max="4351" width="8" style="6" customWidth="1"/>
    <col min="4352" max="4352" width="8.5703125" style="6" customWidth="1"/>
    <col min="4353" max="4353" width="8" style="6" customWidth="1"/>
    <col min="4354" max="4354" width="2.42578125" style="6" customWidth="1"/>
    <col min="4355" max="4355" width="9" style="6" customWidth="1"/>
    <col min="4356" max="4357" width="8" style="6" customWidth="1"/>
    <col min="4358" max="4358" width="2.42578125" style="6" customWidth="1"/>
    <col min="4359" max="4359" width="9.28515625" style="6" customWidth="1"/>
    <col min="4360" max="4361" width="8" style="6" customWidth="1"/>
    <col min="4362" max="4362" width="1.28515625" style="6" customWidth="1"/>
    <col min="4363" max="4363" width="8" style="6" customWidth="1"/>
    <col min="4364" max="4601" width="11.140625" style="6"/>
    <col min="4602" max="4602" width="19.42578125" style="6" customWidth="1"/>
    <col min="4603" max="4603" width="8.7109375" style="6" customWidth="1"/>
    <col min="4604" max="4605" width="8" style="6" customWidth="1"/>
    <col min="4606" max="4606" width="2.42578125" style="6" customWidth="1"/>
    <col min="4607" max="4607" width="8" style="6" customWidth="1"/>
    <col min="4608" max="4608" width="8.5703125" style="6" customWidth="1"/>
    <col min="4609" max="4609" width="8" style="6" customWidth="1"/>
    <col min="4610" max="4610" width="2.42578125" style="6" customWidth="1"/>
    <col min="4611" max="4611" width="9" style="6" customWidth="1"/>
    <col min="4612" max="4613" width="8" style="6" customWidth="1"/>
    <col min="4614" max="4614" width="2.42578125" style="6" customWidth="1"/>
    <col min="4615" max="4615" width="9.28515625" style="6" customWidth="1"/>
    <col min="4616" max="4617" width="8" style="6" customWidth="1"/>
    <col min="4618" max="4618" width="1.28515625" style="6" customWidth="1"/>
    <col min="4619" max="4619" width="8" style="6" customWidth="1"/>
    <col min="4620" max="4857" width="11.140625" style="6"/>
    <col min="4858" max="4858" width="19.42578125" style="6" customWidth="1"/>
    <col min="4859" max="4859" width="8.7109375" style="6" customWidth="1"/>
    <col min="4860" max="4861" width="8" style="6" customWidth="1"/>
    <col min="4862" max="4862" width="2.42578125" style="6" customWidth="1"/>
    <col min="4863" max="4863" width="8" style="6" customWidth="1"/>
    <col min="4864" max="4864" width="8.5703125" style="6" customWidth="1"/>
    <col min="4865" max="4865" width="8" style="6" customWidth="1"/>
    <col min="4866" max="4866" width="2.42578125" style="6" customWidth="1"/>
    <col min="4867" max="4867" width="9" style="6" customWidth="1"/>
    <col min="4868" max="4869" width="8" style="6" customWidth="1"/>
    <col min="4870" max="4870" width="2.42578125" style="6" customWidth="1"/>
    <col min="4871" max="4871" width="9.28515625" style="6" customWidth="1"/>
    <col min="4872" max="4873" width="8" style="6" customWidth="1"/>
    <col min="4874" max="4874" width="1.28515625" style="6" customWidth="1"/>
    <col min="4875" max="4875" width="8" style="6" customWidth="1"/>
    <col min="4876" max="5113" width="11.140625" style="6"/>
    <col min="5114" max="5114" width="19.42578125" style="6" customWidth="1"/>
    <col min="5115" max="5115" width="8.7109375" style="6" customWidth="1"/>
    <col min="5116" max="5117" width="8" style="6" customWidth="1"/>
    <col min="5118" max="5118" width="2.42578125" style="6" customWidth="1"/>
    <col min="5119" max="5119" width="8" style="6" customWidth="1"/>
    <col min="5120" max="5120" width="8.5703125" style="6" customWidth="1"/>
    <col min="5121" max="5121" width="8" style="6" customWidth="1"/>
    <col min="5122" max="5122" width="2.42578125" style="6" customWidth="1"/>
    <col min="5123" max="5123" width="9" style="6" customWidth="1"/>
    <col min="5124" max="5125" width="8" style="6" customWidth="1"/>
    <col min="5126" max="5126" width="2.42578125" style="6" customWidth="1"/>
    <col min="5127" max="5127" width="9.28515625" style="6" customWidth="1"/>
    <col min="5128" max="5129" width="8" style="6" customWidth="1"/>
    <col min="5130" max="5130" width="1.28515625" style="6" customWidth="1"/>
    <col min="5131" max="5131" width="8" style="6" customWidth="1"/>
    <col min="5132" max="5369" width="11.140625" style="6"/>
    <col min="5370" max="5370" width="19.42578125" style="6" customWidth="1"/>
    <col min="5371" max="5371" width="8.7109375" style="6" customWidth="1"/>
    <col min="5372" max="5373" width="8" style="6" customWidth="1"/>
    <col min="5374" max="5374" width="2.42578125" style="6" customWidth="1"/>
    <col min="5375" max="5375" width="8" style="6" customWidth="1"/>
    <col min="5376" max="5376" width="8.5703125" style="6" customWidth="1"/>
    <col min="5377" max="5377" width="8" style="6" customWidth="1"/>
    <col min="5378" max="5378" width="2.42578125" style="6" customWidth="1"/>
    <col min="5379" max="5379" width="9" style="6" customWidth="1"/>
    <col min="5380" max="5381" width="8" style="6" customWidth="1"/>
    <col min="5382" max="5382" width="2.42578125" style="6" customWidth="1"/>
    <col min="5383" max="5383" width="9.28515625" style="6" customWidth="1"/>
    <col min="5384" max="5385" width="8" style="6" customWidth="1"/>
    <col min="5386" max="5386" width="1.28515625" style="6" customWidth="1"/>
    <col min="5387" max="5387" width="8" style="6" customWidth="1"/>
    <col min="5388" max="5625" width="11.140625" style="6"/>
    <col min="5626" max="5626" width="19.42578125" style="6" customWidth="1"/>
    <col min="5627" max="5627" width="8.7109375" style="6" customWidth="1"/>
    <col min="5628" max="5629" width="8" style="6" customWidth="1"/>
    <col min="5630" max="5630" width="2.42578125" style="6" customWidth="1"/>
    <col min="5631" max="5631" width="8" style="6" customWidth="1"/>
    <col min="5632" max="5632" width="8.5703125" style="6" customWidth="1"/>
    <col min="5633" max="5633" width="8" style="6" customWidth="1"/>
    <col min="5634" max="5634" width="2.42578125" style="6" customWidth="1"/>
    <col min="5635" max="5635" width="9" style="6" customWidth="1"/>
    <col min="5636" max="5637" width="8" style="6" customWidth="1"/>
    <col min="5638" max="5638" width="2.42578125" style="6" customWidth="1"/>
    <col min="5639" max="5639" width="9.28515625" style="6" customWidth="1"/>
    <col min="5640" max="5641" width="8" style="6" customWidth="1"/>
    <col min="5642" max="5642" width="1.28515625" style="6" customWidth="1"/>
    <col min="5643" max="5643" width="8" style="6" customWidth="1"/>
    <col min="5644" max="5881" width="11.140625" style="6"/>
    <col min="5882" max="5882" width="19.42578125" style="6" customWidth="1"/>
    <col min="5883" max="5883" width="8.7109375" style="6" customWidth="1"/>
    <col min="5884" max="5885" width="8" style="6" customWidth="1"/>
    <col min="5886" max="5886" width="2.42578125" style="6" customWidth="1"/>
    <col min="5887" max="5887" width="8" style="6" customWidth="1"/>
    <col min="5888" max="5888" width="8.5703125" style="6" customWidth="1"/>
    <col min="5889" max="5889" width="8" style="6" customWidth="1"/>
    <col min="5890" max="5890" width="2.42578125" style="6" customWidth="1"/>
    <col min="5891" max="5891" width="9" style="6" customWidth="1"/>
    <col min="5892" max="5893" width="8" style="6" customWidth="1"/>
    <col min="5894" max="5894" width="2.42578125" style="6" customWidth="1"/>
    <col min="5895" max="5895" width="9.28515625" style="6" customWidth="1"/>
    <col min="5896" max="5897" width="8" style="6" customWidth="1"/>
    <col min="5898" max="5898" width="1.28515625" style="6" customWidth="1"/>
    <col min="5899" max="5899" width="8" style="6" customWidth="1"/>
    <col min="5900" max="6137" width="11.140625" style="6"/>
    <col min="6138" max="6138" width="19.42578125" style="6" customWidth="1"/>
    <col min="6139" max="6139" width="8.7109375" style="6" customWidth="1"/>
    <col min="6140" max="6141" width="8" style="6" customWidth="1"/>
    <col min="6142" max="6142" width="2.42578125" style="6" customWidth="1"/>
    <col min="6143" max="6143" width="8" style="6" customWidth="1"/>
    <col min="6144" max="6144" width="8.5703125" style="6" customWidth="1"/>
    <col min="6145" max="6145" width="8" style="6" customWidth="1"/>
    <col min="6146" max="6146" width="2.42578125" style="6" customWidth="1"/>
    <col min="6147" max="6147" width="9" style="6" customWidth="1"/>
    <col min="6148" max="6149" width="8" style="6" customWidth="1"/>
    <col min="6150" max="6150" width="2.42578125" style="6" customWidth="1"/>
    <col min="6151" max="6151" width="9.28515625" style="6" customWidth="1"/>
    <col min="6152" max="6153" width="8" style="6" customWidth="1"/>
    <col min="6154" max="6154" width="1.28515625" style="6" customWidth="1"/>
    <col min="6155" max="6155" width="8" style="6" customWidth="1"/>
    <col min="6156" max="6393" width="11.140625" style="6"/>
    <col min="6394" max="6394" width="19.42578125" style="6" customWidth="1"/>
    <col min="6395" max="6395" width="8.7109375" style="6" customWidth="1"/>
    <col min="6396" max="6397" width="8" style="6" customWidth="1"/>
    <col min="6398" max="6398" width="2.42578125" style="6" customWidth="1"/>
    <col min="6399" max="6399" width="8" style="6" customWidth="1"/>
    <col min="6400" max="6400" width="8.5703125" style="6" customWidth="1"/>
    <col min="6401" max="6401" width="8" style="6" customWidth="1"/>
    <col min="6402" max="6402" width="2.42578125" style="6" customWidth="1"/>
    <col min="6403" max="6403" width="9" style="6" customWidth="1"/>
    <col min="6404" max="6405" width="8" style="6" customWidth="1"/>
    <col min="6406" max="6406" width="2.42578125" style="6" customWidth="1"/>
    <col min="6407" max="6407" width="9.28515625" style="6" customWidth="1"/>
    <col min="6408" max="6409" width="8" style="6" customWidth="1"/>
    <col min="6410" max="6410" width="1.28515625" style="6" customWidth="1"/>
    <col min="6411" max="6411" width="8" style="6" customWidth="1"/>
    <col min="6412" max="6649" width="11.140625" style="6"/>
    <col min="6650" max="6650" width="19.42578125" style="6" customWidth="1"/>
    <col min="6651" max="6651" width="8.7109375" style="6" customWidth="1"/>
    <col min="6652" max="6653" width="8" style="6" customWidth="1"/>
    <col min="6654" max="6654" width="2.42578125" style="6" customWidth="1"/>
    <col min="6655" max="6655" width="8" style="6" customWidth="1"/>
    <col min="6656" max="6656" width="8.5703125" style="6" customWidth="1"/>
    <col min="6657" max="6657" width="8" style="6" customWidth="1"/>
    <col min="6658" max="6658" width="2.42578125" style="6" customWidth="1"/>
    <col min="6659" max="6659" width="9" style="6" customWidth="1"/>
    <col min="6660" max="6661" width="8" style="6" customWidth="1"/>
    <col min="6662" max="6662" width="2.42578125" style="6" customWidth="1"/>
    <col min="6663" max="6663" width="9.28515625" style="6" customWidth="1"/>
    <col min="6664" max="6665" width="8" style="6" customWidth="1"/>
    <col min="6666" max="6666" width="1.28515625" style="6" customWidth="1"/>
    <col min="6667" max="6667" width="8" style="6" customWidth="1"/>
    <col min="6668" max="6905" width="11.140625" style="6"/>
    <col min="6906" max="6906" width="19.42578125" style="6" customWidth="1"/>
    <col min="6907" max="6907" width="8.7109375" style="6" customWidth="1"/>
    <col min="6908" max="6909" width="8" style="6" customWidth="1"/>
    <col min="6910" max="6910" width="2.42578125" style="6" customWidth="1"/>
    <col min="6911" max="6911" width="8" style="6" customWidth="1"/>
    <col min="6912" max="6912" width="8.5703125" style="6" customWidth="1"/>
    <col min="6913" max="6913" width="8" style="6" customWidth="1"/>
    <col min="6914" max="6914" width="2.42578125" style="6" customWidth="1"/>
    <col min="6915" max="6915" width="9" style="6" customWidth="1"/>
    <col min="6916" max="6917" width="8" style="6" customWidth="1"/>
    <col min="6918" max="6918" width="2.42578125" style="6" customWidth="1"/>
    <col min="6919" max="6919" width="9.28515625" style="6" customWidth="1"/>
    <col min="6920" max="6921" width="8" style="6" customWidth="1"/>
    <col min="6922" max="6922" width="1.28515625" style="6" customWidth="1"/>
    <col min="6923" max="6923" width="8" style="6" customWidth="1"/>
    <col min="6924" max="7161" width="11.140625" style="6"/>
    <col min="7162" max="7162" width="19.42578125" style="6" customWidth="1"/>
    <col min="7163" max="7163" width="8.7109375" style="6" customWidth="1"/>
    <col min="7164" max="7165" width="8" style="6" customWidth="1"/>
    <col min="7166" max="7166" width="2.42578125" style="6" customWidth="1"/>
    <col min="7167" max="7167" width="8" style="6" customWidth="1"/>
    <col min="7168" max="7168" width="8.5703125" style="6" customWidth="1"/>
    <col min="7169" max="7169" width="8" style="6" customWidth="1"/>
    <col min="7170" max="7170" width="2.42578125" style="6" customWidth="1"/>
    <col min="7171" max="7171" width="9" style="6" customWidth="1"/>
    <col min="7172" max="7173" width="8" style="6" customWidth="1"/>
    <col min="7174" max="7174" width="2.42578125" style="6" customWidth="1"/>
    <col min="7175" max="7175" width="9.28515625" style="6" customWidth="1"/>
    <col min="7176" max="7177" width="8" style="6" customWidth="1"/>
    <col min="7178" max="7178" width="1.28515625" style="6" customWidth="1"/>
    <col min="7179" max="7179" width="8" style="6" customWidth="1"/>
    <col min="7180" max="7417" width="11.140625" style="6"/>
    <col min="7418" max="7418" width="19.42578125" style="6" customWidth="1"/>
    <col min="7419" max="7419" width="8.7109375" style="6" customWidth="1"/>
    <col min="7420" max="7421" width="8" style="6" customWidth="1"/>
    <col min="7422" max="7422" width="2.42578125" style="6" customWidth="1"/>
    <col min="7423" max="7423" width="8" style="6" customWidth="1"/>
    <col min="7424" max="7424" width="8.5703125" style="6" customWidth="1"/>
    <col min="7425" max="7425" width="8" style="6" customWidth="1"/>
    <col min="7426" max="7426" width="2.42578125" style="6" customWidth="1"/>
    <col min="7427" max="7427" width="9" style="6" customWidth="1"/>
    <col min="7428" max="7429" width="8" style="6" customWidth="1"/>
    <col min="7430" max="7430" width="2.42578125" style="6" customWidth="1"/>
    <col min="7431" max="7431" width="9.28515625" style="6" customWidth="1"/>
    <col min="7432" max="7433" width="8" style="6" customWidth="1"/>
    <col min="7434" max="7434" width="1.28515625" style="6" customWidth="1"/>
    <col min="7435" max="7435" width="8" style="6" customWidth="1"/>
    <col min="7436" max="7673" width="11.140625" style="6"/>
    <col min="7674" max="7674" width="19.42578125" style="6" customWidth="1"/>
    <col min="7675" max="7675" width="8.7109375" style="6" customWidth="1"/>
    <col min="7676" max="7677" width="8" style="6" customWidth="1"/>
    <col min="7678" max="7678" width="2.42578125" style="6" customWidth="1"/>
    <col min="7679" max="7679" width="8" style="6" customWidth="1"/>
    <col min="7680" max="7680" width="8.5703125" style="6" customWidth="1"/>
    <col min="7681" max="7681" width="8" style="6" customWidth="1"/>
    <col min="7682" max="7682" width="2.42578125" style="6" customWidth="1"/>
    <col min="7683" max="7683" width="9" style="6" customWidth="1"/>
    <col min="7684" max="7685" width="8" style="6" customWidth="1"/>
    <col min="7686" max="7686" width="2.42578125" style="6" customWidth="1"/>
    <col min="7687" max="7687" width="9.28515625" style="6" customWidth="1"/>
    <col min="7688" max="7689" width="8" style="6" customWidth="1"/>
    <col min="7690" max="7690" width="1.28515625" style="6" customWidth="1"/>
    <col min="7691" max="7691" width="8" style="6" customWidth="1"/>
    <col min="7692" max="7929" width="11.140625" style="6"/>
    <col min="7930" max="7930" width="19.42578125" style="6" customWidth="1"/>
    <col min="7931" max="7931" width="8.7109375" style="6" customWidth="1"/>
    <col min="7932" max="7933" width="8" style="6" customWidth="1"/>
    <col min="7934" max="7934" width="2.42578125" style="6" customWidth="1"/>
    <col min="7935" max="7935" width="8" style="6" customWidth="1"/>
    <col min="7936" max="7936" width="8.5703125" style="6" customWidth="1"/>
    <col min="7937" max="7937" width="8" style="6" customWidth="1"/>
    <col min="7938" max="7938" width="2.42578125" style="6" customWidth="1"/>
    <col min="7939" max="7939" width="9" style="6" customWidth="1"/>
    <col min="7940" max="7941" width="8" style="6" customWidth="1"/>
    <col min="7942" max="7942" width="2.42578125" style="6" customWidth="1"/>
    <col min="7943" max="7943" width="9.28515625" style="6" customWidth="1"/>
    <col min="7944" max="7945" width="8" style="6" customWidth="1"/>
    <col min="7946" max="7946" width="1.28515625" style="6" customWidth="1"/>
    <col min="7947" max="7947" width="8" style="6" customWidth="1"/>
    <col min="7948" max="8185" width="11.140625" style="6"/>
    <col min="8186" max="8186" width="19.42578125" style="6" customWidth="1"/>
    <col min="8187" max="8187" width="8.7109375" style="6" customWidth="1"/>
    <col min="8188" max="8189" width="8" style="6" customWidth="1"/>
    <col min="8190" max="8190" width="2.42578125" style="6" customWidth="1"/>
    <col min="8191" max="8191" width="8" style="6" customWidth="1"/>
    <col min="8192" max="8192" width="8.5703125" style="6" customWidth="1"/>
    <col min="8193" max="8193" width="8" style="6" customWidth="1"/>
    <col min="8194" max="8194" width="2.42578125" style="6" customWidth="1"/>
    <col min="8195" max="8195" width="9" style="6" customWidth="1"/>
    <col min="8196" max="8197" width="8" style="6" customWidth="1"/>
    <col min="8198" max="8198" width="2.42578125" style="6" customWidth="1"/>
    <col min="8199" max="8199" width="9.28515625" style="6" customWidth="1"/>
    <col min="8200" max="8201" width="8" style="6" customWidth="1"/>
    <col min="8202" max="8202" width="1.28515625" style="6" customWidth="1"/>
    <col min="8203" max="8203" width="8" style="6" customWidth="1"/>
    <col min="8204" max="8441" width="11.140625" style="6"/>
    <col min="8442" max="8442" width="19.42578125" style="6" customWidth="1"/>
    <col min="8443" max="8443" width="8.7109375" style="6" customWidth="1"/>
    <col min="8444" max="8445" width="8" style="6" customWidth="1"/>
    <col min="8446" max="8446" width="2.42578125" style="6" customWidth="1"/>
    <col min="8447" max="8447" width="8" style="6" customWidth="1"/>
    <col min="8448" max="8448" width="8.5703125" style="6" customWidth="1"/>
    <col min="8449" max="8449" width="8" style="6" customWidth="1"/>
    <col min="8450" max="8450" width="2.42578125" style="6" customWidth="1"/>
    <col min="8451" max="8451" width="9" style="6" customWidth="1"/>
    <col min="8452" max="8453" width="8" style="6" customWidth="1"/>
    <col min="8454" max="8454" width="2.42578125" style="6" customWidth="1"/>
    <col min="8455" max="8455" width="9.28515625" style="6" customWidth="1"/>
    <col min="8456" max="8457" width="8" style="6" customWidth="1"/>
    <col min="8458" max="8458" width="1.28515625" style="6" customWidth="1"/>
    <col min="8459" max="8459" width="8" style="6" customWidth="1"/>
    <col min="8460" max="8697" width="11.140625" style="6"/>
    <col min="8698" max="8698" width="19.42578125" style="6" customWidth="1"/>
    <col min="8699" max="8699" width="8.7109375" style="6" customWidth="1"/>
    <col min="8700" max="8701" width="8" style="6" customWidth="1"/>
    <col min="8702" max="8702" width="2.42578125" style="6" customWidth="1"/>
    <col min="8703" max="8703" width="8" style="6" customWidth="1"/>
    <col min="8704" max="8704" width="8.5703125" style="6" customWidth="1"/>
    <col min="8705" max="8705" width="8" style="6" customWidth="1"/>
    <col min="8706" max="8706" width="2.42578125" style="6" customWidth="1"/>
    <col min="8707" max="8707" width="9" style="6" customWidth="1"/>
    <col min="8708" max="8709" width="8" style="6" customWidth="1"/>
    <col min="8710" max="8710" width="2.42578125" style="6" customWidth="1"/>
    <col min="8711" max="8711" width="9.28515625" style="6" customWidth="1"/>
    <col min="8712" max="8713" width="8" style="6" customWidth="1"/>
    <col min="8714" max="8714" width="1.28515625" style="6" customWidth="1"/>
    <col min="8715" max="8715" width="8" style="6" customWidth="1"/>
    <col min="8716" max="8953" width="11.140625" style="6"/>
    <col min="8954" max="8954" width="19.42578125" style="6" customWidth="1"/>
    <col min="8955" max="8955" width="8.7109375" style="6" customWidth="1"/>
    <col min="8956" max="8957" width="8" style="6" customWidth="1"/>
    <col min="8958" max="8958" width="2.42578125" style="6" customWidth="1"/>
    <col min="8959" max="8959" width="8" style="6" customWidth="1"/>
    <col min="8960" max="8960" width="8.5703125" style="6" customWidth="1"/>
    <col min="8961" max="8961" width="8" style="6" customWidth="1"/>
    <col min="8962" max="8962" width="2.42578125" style="6" customWidth="1"/>
    <col min="8963" max="8963" width="9" style="6" customWidth="1"/>
    <col min="8964" max="8965" width="8" style="6" customWidth="1"/>
    <col min="8966" max="8966" width="2.42578125" style="6" customWidth="1"/>
    <col min="8967" max="8967" width="9.28515625" style="6" customWidth="1"/>
    <col min="8968" max="8969" width="8" style="6" customWidth="1"/>
    <col min="8970" max="8970" width="1.28515625" style="6" customWidth="1"/>
    <col min="8971" max="8971" width="8" style="6" customWidth="1"/>
    <col min="8972" max="9209" width="11.140625" style="6"/>
    <col min="9210" max="9210" width="19.42578125" style="6" customWidth="1"/>
    <col min="9211" max="9211" width="8.7109375" style="6" customWidth="1"/>
    <col min="9212" max="9213" width="8" style="6" customWidth="1"/>
    <col min="9214" max="9214" width="2.42578125" style="6" customWidth="1"/>
    <col min="9215" max="9215" width="8" style="6" customWidth="1"/>
    <col min="9216" max="9216" width="8.5703125" style="6" customWidth="1"/>
    <col min="9217" max="9217" width="8" style="6" customWidth="1"/>
    <col min="9218" max="9218" width="2.42578125" style="6" customWidth="1"/>
    <col min="9219" max="9219" width="9" style="6" customWidth="1"/>
    <col min="9220" max="9221" width="8" style="6" customWidth="1"/>
    <col min="9222" max="9222" width="2.42578125" style="6" customWidth="1"/>
    <col min="9223" max="9223" width="9.28515625" style="6" customWidth="1"/>
    <col min="9224" max="9225" width="8" style="6" customWidth="1"/>
    <col min="9226" max="9226" width="1.28515625" style="6" customWidth="1"/>
    <col min="9227" max="9227" width="8" style="6" customWidth="1"/>
    <col min="9228" max="9465" width="11.140625" style="6"/>
    <col min="9466" max="9466" width="19.42578125" style="6" customWidth="1"/>
    <col min="9467" max="9467" width="8.7109375" style="6" customWidth="1"/>
    <col min="9468" max="9469" width="8" style="6" customWidth="1"/>
    <col min="9470" max="9470" width="2.42578125" style="6" customWidth="1"/>
    <col min="9471" max="9471" width="8" style="6" customWidth="1"/>
    <col min="9472" max="9472" width="8.5703125" style="6" customWidth="1"/>
    <col min="9473" max="9473" width="8" style="6" customWidth="1"/>
    <col min="9474" max="9474" width="2.42578125" style="6" customWidth="1"/>
    <col min="9475" max="9475" width="9" style="6" customWidth="1"/>
    <col min="9476" max="9477" width="8" style="6" customWidth="1"/>
    <col min="9478" max="9478" width="2.42578125" style="6" customWidth="1"/>
    <col min="9479" max="9479" width="9.28515625" style="6" customWidth="1"/>
    <col min="9480" max="9481" width="8" style="6" customWidth="1"/>
    <col min="9482" max="9482" width="1.28515625" style="6" customWidth="1"/>
    <col min="9483" max="9483" width="8" style="6" customWidth="1"/>
    <col min="9484" max="9721" width="11.140625" style="6"/>
    <col min="9722" max="9722" width="19.42578125" style="6" customWidth="1"/>
    <col min="9723" max="9723" width="8.7109375" style="6" customWidth="1"/>
    <col min="9724" max="9725" width="8" style="6" customWidth="1"/>
    <col min="9726" max="9726" width="2.42578125" style="6" customWidth="1"/>
    <col min="9727" max="9727" width="8" style="6" customWidth="1"/>
    <col min="9728" max="9728" width="8.5703125" style="6" customWidth="1"/>
    <col min="9729" max="9729" width="8" style="6" customWidth="1"/>
    <col min="9730" max="9730" width="2.42578125" style="6" customWidth="1"/>
    <col min="9731" max="9731" width="9" style="6" customWidth="1"/>
    <col min="9732" max="9733" width="8" style="6" customWidth="1"/>
    <col min="9734" max="9734" width="2.42578125" style="6" customWidth="1"/>
    <col min="9735" max="9735" width="9.28515625" style="6" customWidth="1"/>
    <col min="9736" max="9737" width="8" style="6" customWidth="1"/>
    <col min="9738" max="9738" width="1.28515625" style="6" customWidth="1"/>
    <col min="9739" max="9739" width="8" style="6" customWidth="1"/>
    <col min="9740" max="9977" width="11.140625" style="6"/>
    <col min="9978" max="9978" width="19.42578125" style="6" customWidth="1"/>
    <col min="9979" max="9979" width="8.7109375" style="6" customWidth="1"/>
    <col min="9980" max="9981" width="8" style="6" customWidth="1"/>
    <col min="9982" max="9982" width="2.42578125" style="6" customWidth="1"/>
    <col min="9983" max="9983" width="8" style="6" customWidth="1"/>
    <col min="9984" max="9984" width="8.5703125" style="6" customWidth="1"/>
    <col min="9985" max="9985" width="8" style="6" customWidth="1"/>
    <col min="9986" max="9986" width="2.42578125" style="6" customWidth="1"/>
    <col min="9987" max="9987" width="9" style="6" customWidth="1"/>
    <col min="9988" max="9989" width="8" style="6" customWidth="1"/>
    <col min="9990" max="9990" width="2.42578125" style="6" customWidth="1"/>
    <col min="9991" max="9991" width="9.28515625" style="6" customWidth="1"/>
    <col min="9992" max="9993" width="8" style="6" customWidth="1"/>
    <col min="9994" max="9994" width="1.28515625" style="6" customWidth="1"/>
    <col min="9995" max="9995" width="8" style="6" customWidth="1"/>
    <col min="9996" max="10233" width="11.140625" style="6"/>
    <col min="10234" max="10234" width="19.42578125" style="6" customWidth="1"/>
    <col min="10235" max="10235" width="8.7109375" style="6" customWidth="1"/>
    <col min="10236" max="10237" width="8" style="6" customWidth="1"/>
    <col min="10238" max="10238" width="2.42578125" style="6" customWidth="1"/>
    <col min="10239" max="10239" width="8" style="6" customWidth="1"/>
    <col min="10240" max="10240" width="8.5703125" style="6" customWidth="1"/>
    <col min="10241" max="10241" width="8" style="6" customWidth="1"/>
    <col min="10242" max="10242" width="2.42578125" style="6" customWidth="1"/>
    <col min="10243" max="10243" width="9" style="6" customWidth="1"/>
    <col min="10244" max="10245" width="8" style="6" customWidth="1"/>
    <col min="10246" max="10246" width="2.42578125" style="6" customWidth="1"/>
    <col min="10247" max="10247" width="9.28515625" style="6" customWidth="1"/>
    <col min="10248" max="10249" width="8" style="6" customWidth="1"/>
    <col min="10250" max="10250" width="1.28515625" style="6" customWidth="1"/>
    <col min="10251" max="10251" width="8" style="6" customWidth="1"/>
    <col min="10252" max="10489" width="11.140625" style="6"/>
    <col min="10490" max="10490" width="19.42578125" style="6" customWidth="1"/>
    <col min="10491" max="10491" width="8.7109375" style="6" customWidth="1"/>
    <col min="10492" max="10493" width="8" style="6" customWidth="1"/>
    <col min="10494" max="10494" width="2.42578125" style="6" customWidth="1"/>
    <col min="10495" max="10495" width="8" style="6" customWidth="1"/>
    <col min="10496" max="10496" width="8.5703125" style="6" customWidth="1"/>
    <col min="10497" max="10497" width="8" style="6" customWidth="1"/>
    <col min="10498" max="10498" width="2.42578125" style="6" customWidth="1"/>
    <col min="10499" max="10499" width="9" style="6" customWidth="1"/>
    <col min="10500" max="10501" width="8" style="6" customWidth="1"/>
    <col min="10502" max="10502" width="2.42578125" style="6" customWidth="1"/>
    <col min="10503" max="10503" width="9.28515625" style="6" customWidth="1"/>
    <col min="10504" max="10505" width="8" style="6" customWidth="1"/>
    <col min="10506" max="10506" width="1.28515625" style="6" customWidth="1"/>
    <col min="10507" max="10507" width="8" style="6" customWidth="1"/>
    <col min="10508" max="10745" width="11.140625" style="6"/>
    <col min="10746" max="10746" width="19.42578125" style="6" customWidth="1"/>
    <col min="10747" max="10747" width="8.7109375" style="6" customWidth="1"/>
    <col min="10748" max="10749" width="8" style="6" customWidth="1"/>
    <col min="10750" max="10750" width="2.42578125" style="6" customWidth="1"/>
    <col min="10751" max="10751" width="8" style="6" customWidth="1"/>
    <col min="10752" max="10752" width="8.5703125" style="6" customWidth="1"/>
    <col min="10753" max="10753" width="8" style="6" customWidth="1"/>
    <col min="10754" max="10754" width="2.42578125" style="6" customWidth="1"/>
    <col min="10755" max="10755" width="9" style="6" customWidth="1"/>
    <col min="10756" max="10757" width="8" style="6" customWidth="1"/>
    <col min="10758" max="10758" width="2.42578125" style="6" customWidth="1"/>
    <col min="10759" max="10759" width="9.28515625" style="6" customWidth="1"/>
    <col min="10760" max="10761" width="8" style="6" customWidth="1"/>
    <col min="10762" max="10762" width="1.28515625" style="6" customWidth="1"/>
    <col min="10763" max="10763" width="8" style="6" customWidth="1"/>
    <col min="10764" max="11001" width="11.140625" style="6"/>
    <col min="11002" max="11002" width="19.42578125" style="6" customWidth="1"/>
    <col min="11003" max="11003" width="8.7109375" style="6" customWidth="1"/>
    <col min="11004" max="11005" width="8" style="6" customWidth="1"/>
    <col min="11006" max="11006" width="2.42578125" style="6" customWidth="1"/>
    <col min="11007" max="11007" width="8" style="6" customWidth="1"/>
    <col min="11008" max="11008" width="8.5703125" style="6" customWidth="1"/>
    <col min="11009" max="11009" width="8" style="6" customWidth="1"/>
    <col min="11010" max="11010" width="2.42578125" style="6" customWidth="1"/>
    <col min="11011" max="11011" width="9" style="6" customWidth="1"/>
    <col min="11012" max="11013" width="8" style="6" customWidth="1"/>
    <col min="11014" max="11014" width="2.42578125" style="6" customWidth="1"/>
    <col min="11015" max="11015" width="9.28515625" style="6" customWidth="1"/>
    <col min="11016" max="11017" width="8" style="6" customWidth="1"/>
    <col min="11018" max="11018" width="1.28515625" style="6" customWidth="1"/>
    <col min="11019" max="11019" width="8" style="6" customWidth="1"/>
    <col min="11020" max="11257" width="11.140625" style="6"/>
    <col min="11258" max="11258" width="19.42578125" style="6" customWidth="1"/>
    <col min="11259" max="11259" width="8.7109375" style="6" customWidth="1"/>
    <col min="11260" max="11261" width="8" style="6" customWidth="1"/>
    <col min="11262" max="11262" width="2.42578125" style="6" customWidth="1"/>
    <col min="11263" max="11263" width="8" style="6" customWidth="1"/>
    <col min="11264" max="11264" width="8.5703125" style="6" customWidth="1"/>
    <col min="11265" max="11265" width="8" style="6" customWidth="1"/>
    <col min="11266" max="11266" width="2.42578125" style="6" customWidth="1"/>
    <col min="11267" max="11267" width="9" style="6" customWidth="1"/>
    <col min="11268" max="11269" width="8" style="6" customWidth="1"/>
    <col min="11270" max="11270" width="2.42578125" style="6" customWidth="1"/>
    <col min="11271" max="11271" width="9.28515625" style="6" customWidth="1"/>
    <col min="11272" max="11273" width="8" style="6" customWidth="1"/>
    <col min="11274" max="11274" width="1.28515625" style="6" customWidth="1"/>
    <col min="11275" max="11275" width="8" style="6" customWidth="1"/>
    <col min="11276" max="11513" width="11.140625" style="6"/>
    <col min="11514" max="11514" width="19.42578125" style="6" customWidth="1"/>
    <col min="11515" max="11515" width="8.7109375" style="6" customWidth="1"/>
    <col min="11516" max="11517" width="8" style="6" customWidth="1"/>
    <col min="11518" max="11518" width="2.42578125" style="6" customWidth="1"/>
    <col min="11519" max="11519" width="8" style="6" customWidth="1"/>
    <col min="11520" max="11520" width="8.5703125" style="6" customWidth="1"/>
    <col min="11521" max="11521" width="8" style="6" customWidth="1"/>
    <col min="11522" max="11522" width="2.42578125" style="6" customWidth="1"/>
    <col min="11523" max="11523" width="9" style="6" customWidth="1"/>
    <col min="11524" max="11525" width="8" style="6" customWidth="1"/>
    <col min="11526" max="11526" width="2.42578125" style="6" customWidth="1"/>
    <col min="11527" max="11527" width="9.28515625" style="6" customWidth="1"/>
    <col min="11528" max="11529" width="8" style="6" customWidth="1"/>
    <col min="11530" max="11530" width="1.28515625" style="6" customWidth="1"/>
    <col min="11531" max="11531" width="8" style="6" customWidth="1"/>
    <col min="11532" max="11769" width="11.140625" style="6"/>
    <col min="11770" max="11770" width="19.42578125" style="6" customWidth="1"/>
    <col min="11771" max="11771" width="8.7109375" style="6" customWidth="1"/>
    <col min="11772" max="11773" width="8" style="6" customWidth="1"/>
    <col min="11774" max="11774" width="2.42578125" style="6" customWidth="1"/>
    <col min="11775" max="11775" width="8" style="6" customWidth="1"/>
    <col min="11776" max="11776" width="8.5703125" style="6" customWidth="1"/>
    <col min="11777" max="11777" width="8" style="6" customWidth="1"/>
    <col min="11778" max="11778" width="2.42578125" style="6" customWidth="1"/>
    <col min="11779" max="11779" width="9" style="6" customWidth="1"/>
    <col min="11780" max="11781" width="8" style="6" customWidth="1"/>
    <col min="11782" max="11782" width="2.42578125" style="6" customWidth="1"/>
    <col min="11783" max="11783" width="9.28515625" style="6" customWidth="1"/>
    <col min="11784" max="11785" width="8" style="6" customWidth="1"/>
    <col min="11786" max="11786" width="1.28515625" style="6" customWidth="1"/>
    <col min="11787" max="11787" width="8" style="6" customWidth="1"/>
    <col min="11788" max="12025" width="11.140625" style="6"/>
    <col min="12026" max="12026" width="19.42578125" style="6" customWidth="1"/>
    <col min="12027" max="12027" width="8.7109375" style="6" customWidth="1"/>
    <col min="12028" max="12029" width="8" style="6" customWidth="1"/>
    <col min="12030" max="12030" width="2.42578125" style="6" customWidth="1"/>
    <col min="12031" max="12031" width="8" style="6" customWidth="1"/>
    <col min="12032" max="12032" width="8.5703125" style="6" customWidth="1"/>
    <col min="12033" max="12033" width="8" style="6" customWidth="1"/>
    <col min="12034" max="12034" width="2.42578125" style="6" customWidth="1"/>
    <col min="12035" max="12035" width="9" style="6" customWidth="1"/>
    <col min="12036" max="12037" width="8" style="6" customWidth="1"/>
    <col min="12038" max="12038" width="2.42578125" style="6" customWidth="1"/>
    <col min="12039" max="12039" width="9.28515625" style="6" customWidth="1"/>
    <col min="12040" max="12041" width="8" style="6" customWidth="1"/>
    <col min="12042" max="12042" width="1.28515625" style="6" customWidth="1"/>
    <col min="12043" max="12043" width="8" style="6" customWidth="1"/>
    <col min="12044" max="12281" width="11.140625" style="6"/>
    <col min="12282" max="12282" width="19.42578125" style="6" customWidth="1"/>
    <col min="12283" max="12283" width="8.7109375" style="6" customWidth="1"/>
    <col min="12284" max="12285" width="8" style="6" customWidth="1"/>
    <col min="12286" max="12286" width="2.42578125" style="6" customWidth="1"/>
    <col min="12287" max="12287" width="8" style="6" customWidth="1"/>
    <col min="12288" max="12288" width="8.5703125" style="6" customWidth="1"/>
    <col min="12289" max="12289" width="8" style="6" customWidth="1"/>
    <col min="12290" max="12290" width="2.42578125" style="6" customWidth="1"/>
    <col min="12291" max="12291" width="9" style="6" customWidth="1"/>
    <col min="12292" max="12293" width="8" style="6" customWidth="1"/>
    <col min="12294" max="12294" width="2.42578125" style="6" customWidth="1"/>
    <col min="12295" max="12295" width="9.28515625" style="6" customWidth="1"/>
    <col min="12296" max="12297" width="8" style="6" customWidth="1"/>
    <col min="12298" max="12298" width="1.28515625" style="6" customWidth="1"/>
    <col min="12299" max="12299" width="8" style="6" customWidth="1"/>
    <col min="12300" max="12537" width="11.140625" style="6"/>
    <col min="12538" max="12538" width="19.42578125" style="6" customWidth="1"/>
    <col min="12539" max="12539" width="8.7109375" style="6" customWidth="1"/>
    <col min="12540" max="12541" width="8" style="6" customWidth="1"/>
    <col min="12542" max="12542" width="2.42578125" style="6" customWidth="1"/>
    <col min="12543" max="12543" width="8" style="6" customWidth="1"/>
    <col min="12544" max="12544" width="8.5703125" style="6" customWidth="1"/>
    <col min="12545" max="12545" width="8" style="6" customWidth="1"/>
    <col min="12546" max="12546" width="2.42578125" style="6" customWidth="1"/>
    <col min="12547" max="12547" width="9" style="6" customWidth="1"/>
    <col min="12548" max="12549" width="8" style="6" customWidth="1"/>
    <col min="12550" max="12550" width="2.42578125" style="6" customWidth="1"/>
    <col min="12551" max="12551" width="9.28515625" style="6" customWidth="1"/>
    <col min="12552" max="12553" width="8" style="6" customWidth="1"/>
    <col min="12554" max="12554" width="1.28515625" style="6" customWidth="1"/>
    <col min="12555" max="12555" width="8" style="6" customWidth="1"/>
    <col min="12556" max="12793" width="11.140625" style="6"/>
    <col min="12794" max="12794" width="19.42578125" style="6" customWidth="1"/>
    <col min="12795" max="12795" width="8.7109375" style="6" customWidth="1"/>
    <col min="12796" max="12797" width="8" style="6" customWidth="1"/>
    <col min="12798" max="12798" width="2.42578125" style="6" customWidth="1"/>
    <col min="12799" max="12799" width="8" style="6" customWidth="1"/>
    <col min="12800" max="12800" width="8.5703125" style="6" customWidth="1"/>
    <col min="12801" max="12801" width="8" style="6" customWidth="1"/>
    <col min="12802" max="12802" width="2.42578125" style="6" customWidth="1"/>
    <col min="12803" max="12803" width="9" style="6" customWidth="1"/>
    <col min="12804" max="12805" width="8" style="6" customWidth="1"/>
    <col min="12806" max="12806" width="2.42578125" style="6" customWidth="1"/>
    <col min="12807" max="12807" width="9.28515625" style="6" customWidth="1"/>
    <col min="12808" max="12809" width="8" style="6" customWidth="1"/>
    <col min="12810" max="12810" width="1.28515625" style="6" customWidth="1"/>
    <col min="12811" max="12811" width="8" style="6" customWidth="1"/>
    <col min="12812" max="13049" width="11.140625" style="6"/>
    <col min="13050" max="13050" width="19.42578125" style="6" customWidth="1"/>
    <col min="13051" max="13051" width="8.7109375" style="6" customWidth="1"/>
    <col min="13052" max="13053" width="8" style="6" customWidth="1"/>
    <col min="13054" max="13054" width="2.42578125" style="6" customWidth="1"/>
    <col min="13055" max="13055" width="8" style="6" customWidth="1"/>
    <col min="13056" max="13056" width="8.5703125" style="6" customWidth="1"/>
    <col min="13057" max="13057" width="8" style="6" customWidth="1"/>
    <col min="13058" max="13058" width="2.42578125" style="6" customWidth="1"/>
    <col min="13059" max="13059" width="9" style="6" customWidth="1"/>
    <col min="13060" max="13061" width="8" style="6" customWidth="1"/>
    <col min="13062" max="13062" width="2.42578125" style="6" customWidth="1"/>
    <col min="13063" max="13063" width="9.28515625" style="6" customWidth="1"/>
    <col min="13064" max="13065" width="8" style="6" customWidth="1"/>
    <col min="13066" max="13066" width="1.28515625" style="6" customWidth="1"/>
    <col min="13067" max="13067" width="8" style="6" customWidth="1"/>
    <col min="13068" max="13305" width="11.140625" style="6"/>
    <col min="13306" max="13306" width="19.42578125" style="6" customWidth="1"/>
    <col min="13307" max="13307" width="8.7109375" style="6" customWidth="1"/>
    <col min="13308" max="13309" width="8" style="6" customWidth="1"/>
    <col min="13310" max="13310" width="2.42578125" style="6" customWidth="1"/>
    <col min="13311" max="13311" width="8" style="6" customWidth="1"/>
    <col min="13312" max="13312" width="8.5703125" style="6" customWidth="1"/>
    <col min="13313" max="13313" width="8" style="6" customWidth="1"/>
    <col min="13314" max="13314" width="2.42578125" style="6" customWidth="1"/>
    <col min="13315" max="13315" width="9" style="6" customWidth="1"/>
    <col min="13316" max="13317" width="8" style="6" customWidth="1"/>
    <col min="13318" max="13318" width="2.42578125" style="6" customWidth="1"/>
    <col min="13319" max="13319" width="9.28515625" style="6" customWidth="1"/>
    <col min="13320" max="13321" width="8" style="6" customWidth="1"/>
    <col min="13322" max="13322" width="1.28515625" style="6" customWidth="1"/>
    <col min="13323" max="13323" width="8" style="6" customWidth="1"/>
    <col min="13324" max="13561" width="11.140625" style="6"/>
    <col min="13562" max="13562" width="19.42578125" style="6" customWidth="1"/>
    <col min="13563" max="13563" width="8.7109375" style="6" customWidth="1"/>
    <col min="13564" max="13565" width="8" style="6" customWidth="1"/>
    <col min="13566" max="13566" width="2.42578125" style="6" customWidth="1"/>
    <col min="13567" max="13567" width="8" style="6" customWidth="1"/>
    <col min="13568" max="13568" width="8.5703125" style="6" customWidth="1"/>
    <col min="13569" max="13569" width="8" style="6" customWidth="1"/>
    <col min="13570" max="13570" width="2.42578125" style="6" customWidth="1"/>
    <col min="13571" max="13571" width="9" style="6" customWidth="1"/>
    <col min="13572" max="13573" width="8" style="6" customWidth="1"/>
    <col min="13574" max="13574" width="2.42578125" style="6" customWidth="1"/>
    <col min="13575" max="13575" width="9.28515625" style="6" customWidth="1"/>
    <col min="13576" max="13577" width="8" style="6" customWidth="1"/>
    <col min="13578" max="13578" width="1.28515625" style="6" customWidth="1"/>
    <col min="13579" max="13579" width="8" style="6" customWidth="1"/>
    <col min="13580" max="13817" width="11.140625" style="6"/>
    <col min="13818" max="13818" width="19.42578125" style="6" customWidth="1"/>
    <col min="13819" max="13819" width="8.7109375" style="6" customWidth="1"/>
    <col min="13820" max="13821" width="8" style="6" customWidth="1"/>
    <col min="13822" max="13822" width="2.42578125" style="6" customWidth="1"/>
    <col min="13823" max="13823" width="8" style="6" customWidth="1"/>
    <col min="13824" max="13824" width="8.5703125" style="6" customWidth="1"/>
    <col min="13825" max="13825" width="8" style="6" customWidth="1"/>
    <col min="13826" max="13826" width="2.42578125" style="6" customWidth="1"/>
    <col min="13827" max="13827" width="9" style="6" customWidth="1"/>
    <col min="13828" max="13829" width="8" style="6" customWidth="1"/>
    <col min="13830" max="13830" width="2.42578125" style="6" customWidth="1"/>
    <col min="13831" max="13831" width="9.28515625" style="6" customWidth="1"/>
    <col min="13832" max="13833" width="8" style="6" customWidth="1"/>
    <col min="13834" max="13834" width="1.28515625" style="6" customWidth="1"/>
    <col min="13835" max="13835" width="8" style="6" customWidth="1"/>
    <col min="13836" max="14073" width="11.140625" style="6"/>
    <col min="14074" max="14074" width="19.42578125" style="6" customWidth="1"/>
    <col min="14075" max="14075" width="8.7109375" style="6" customWidth="1"/>
    <col min="14076" max="14077" width="8" style="6" customWidth="1"/>
    <col min="14078" max="14078" width="2.42578125" style="6" customWidth="1"/>
    <col min="14079" max="14079" width="8" style="6" customWidth="1"/>
    <col min="14080" max="14080" width="8.5703125" style="6" customWidth="1"/>
    <col min="14081" max="14081" width="8" style="6" customWidth="1"/>
    <col min="14082" max="14082" width="2.42578125" style="6" customWidth="1"/>
    <col min="14083" max="14083" width="9" style="6" customWidth="1"/>
    <col min="14084" max="14085" width="8" style="6" customWidth="1"/>
    <col min="14086" max="14086" width="2.42578125" style="6" customWidth="1"/>
    <col min="14087" max="14087" width="9.28515625" style="6" customWidth="1"/>
    <col min="14088" max="14089" width="8" style="6" customWidth="1"/>
    <col min="14090" max="14090" width="1.28515625" style="6" customWidth="1"/>
    <col min="14091" max="14091" width="8" style="6" customWidth="1"/>
    <col min="14092" max="14329" width="11.140625" style="6"/>
    <col min="14330" max="14330" width="19.42578125" style="6" customWidth="1"/>
    <col min="14331" max="14331" width="8.7109375" style="6" customWidth="1"/>
    <col min="14332" max="14333" width="8" style="6" customWidth="1"/>
    <col min="14334" max="14334" width="2.42578125" style="6" customWidth="1"/>
    <col min="14335" max="14335" width="8" style="6" customWidth="1"/>
    <col min="14336" max="14336" width="8.5703125" style="6" customWidth="1"/>
    <col min="14337" max="14337" width="8" style="6" customWidth="1"/>
    <col min="14338" max="14338" width="2.42578125" style="6" customWidth="1"/>
    <col min="14339" max="14339" width="9" style="6" customWidth="1"/>
    <col min="14340" max="14341" width="8" style="6" customWidth="1"/>
    <col min="14342" max="14342" width="2.42578125" style="6" customWidth="1"/>
    <col min="14343" max="14343" width="9.28515625" style="6" customWidth="1"/>
    <col min="14344" max="14345" width="8" style="6" customWidth="1"/>
    <col min="14346" max="14346" width="1.28515625" style="6" customWidth="1"/>
    <col min="14347" max="14347" width="8" style="6" customWidth="1"/>
    <col min="14348" max="14585" width="11.140625" style="6"/>
    <col min="14586" max="14586" width="19.42578125" style="6" customWidth="1"/>
    <col min="14587" max="14587" width="8.7109375" style="6" customWidth="1"/>
    <col min="14588" max="14589" width="8" style="6" customWidth="1"/>
    <col min="14590" max="14590" width="2.42578125" style="6" customWidth="1"/>
    <col min="14591" max="14591" width="8" style="6" customWidth="1"/>
    <col min="14592" max="14592" width="8.5703125" style="6" customWidth="1"/>
    <col min="14593" max="14593" width="8" style="6" customWidth="1"/>
    <col min="14594" max="14594" width="2.42578125" style="6" customWidth="1"/>
    <col min="14595" max="14595" width="9" style="6" customWidth="1"/>
    <col min="14596" max="14597" width="8" style="6" customWidth="1"/>
    <col min="14598" max="14598" width="2.42578125" style="6" customWidth="1"/>
    <col min="14599" max="14599" width="9.28515625" style="6" customWidth="1"/>
    <col min="14600" max="14601" width="8" style="6" customWidth="1"/>
    <col min="14602" max="14602" width="1.28515625" style="6" customWidth="1"/>
    <col min="14603" max="14603" width="8" style="6" customWidth="1"/>
    <col min="14604" max="14841" width="11.140625" style="6"/>
    <col min="14842" max="14842" width="19.42578125" style="6" customWidth="1"/>
    <col min="14843" max="14843" width="8.7109375" style="6" customWidth="1"/>
    <col min="14844" max="14845" width="8" style="6" customWidth="1"/>
    <col min="14846" max="14846" width="2.42578125" style="6" customWidth="1"/>
    <col min="14847" max="14847" width="8" style="6" customWidth="1"/>
    <col min="14848" max="14848" width="8.5703125" style="6" customWidth="1"/>
    <col min="14849" max="14849" width="8" style="6" customWidth="1"/>
    <col min="14850" max="14850" width="2.42578125" style="6" customWidth="1"/>
    <col min="14851" max="14851" width="9" style="6" customWidth="1"/>
    <col min="14852" max="14853" width="8" style="6" customWidth="1"/>
    <col min="14854" max="14854" width="2.42578125" style="6" customWidth="1"/>
    <col min="14855" max="14855" width="9.28515625" style="6" customWidth="1"/>
    <col min="14856" max="14857" width="8" style="6" customWidth="1"/>
    <col min="14858" max="14858" width="1.28515625" style="6" customWidth="1"/>
    <col min="14859" max="14859" width="8" style="6" customWidth="1"/>
    <col min="14860" max="15097" width="11.140625" style="6"/>
    <col min="15098" max="15098" width="19.42578125" style="6" customWidth="1"/>
    <col min="15099" max="15099" width="8.7109375" style="6" customWidth="1"/>
    <col min="15100" max="15101" width="8" style="6" customWidth="1"/>
    <col min="15102" max="15102" width="2.42578125" style="6" customWidth="1"/>
    <col min="15103" max="15103" width="8" style="6" customWidth="1"/>
    <col min="15104" max="15104" width="8.5703125" style="6" customWidth="1"/>
    <col min="15105" max="15105" width="8" style="6" customWidth="1"/>
    <col min="15106" max="15106" width="2.42578125" style="6" customWidth="1"/>
    <col min="15107" max="15107" width="9" style="6" customWidth="1"/>
    <col min="15108" max="15109" width="8" style="6" customWidth="1"/>
    <col min="15110" max="15110" width="2.42578125" style="6" customWidth="1"/>
    <col min="15111" max="15111" width="9.28515625" style="6" customWidth="1"/>
    <col min="15112" max="15113" width="8" style="6" customWidth="1"/>
    <col min="15114" max="15114" width="1.28515625" style="6" customWidth="1"/>
    <col min="15115" max="15115" width="8" style="6" customWidth="1"/>
    <col min="15116" max="15353" width="11.140625" style="6"/>
    <col min="15354" max="15354" width="19.42578125" style="6" customWidth="1"/>
    <col min="15355" max="15355" width="8.7109375" style="6" customWidth="1"/>
    <col min="15356" max="15357" width="8" style="6" customWidth="1"/>
    <col min="15358" max="15358" width="2.42578125" style="6" customWidth="1"/>
    <col min="15359" max="15359" width="8" style="6" customWidth="1"/>
    <col min="15360" max="15360" width="8.5703125" style="6" customWidth="1"/>
    <col min="15361" max="15361" width="8" style="6" customWidth="1"/>
    <col min="15362" max="15362" width="2.42578125" style="6" customWidth="1"/>
    <col min="15363" max="15363" width="9" style="6" customWidth="1"/>
    <col min="15364" max="15365" width="8" style="6" customWidth="1"/>
    <col min="15366" max="15366" width="2.42578125" style="6" customWidth="1"/>
    <col min="15367" max="15367" width="9.28515625" style="6" customWidth="1"/>
    <col min="15368" max="15369" width="8" style="6" customWidth="1"/>
    <col min="15370" max="15370" width="1.28515625" style="6" customWidth="1"/>
    <col min="15371" max="15371" width="8" style="6" customWidth="1"/>
    <col min="15372" max="15609" width="11.140625" style="6"/>
    <col min="15610" max="15610" width="19.42578125" style="6" customWidth="1"/>
    <col min="15611" max="15611" width="8.7109375" style="6" customWidth="1"/>
    <col min="15612" max="15613" width="8" style="6" customWidth="1"/>
    <col min="15614" max="15614" width="2.42578125" style="6" customWidth="1"/>
    <col min="15615" max="15615" width="8" style="6" customWidth="1"/>
    <col min="15616" max="15616" width="8.5703125" style="6" customWidth="1"/>
    <col min="15617" max="15617" width="8" style="6" customWidth="1"/>
    <col min="15618" max="15618" width="2.42578125" style="6" customWidth="1"/>
    <col min="15619" max="15619" width="9" style="6" customWidth="1"/>
    <col min="15620" max="15621" width="8" style="6" customWidth="1"/>
    <col min="15622" max="15622" width="2.42578125" style="6" customWidth="1"/>
    <col min="15623" max="15623" width="9.28515625" style="6" customWidth="1"/>
    <col min="15624" max="15625" width="8" style="6" customWidth="1"/>
    <col min="15626" max="15626" width="1.28515625" style="6" customWidth="1"/>
    <col min="15627" max="15627" width="8" style="6" customWidth="1"/>
    <col min="15628" max="15865" width="11.140625" style="6"/>
    <col min="15866" max="15866" width="19.42578125" style="6" customWidth="1"/>
    <col min="15867" max="15867" width="8.7109375" style="6" customWidth="1"/>
    <col min="15868" max="15869" width="8" style="6" customWidth="1"/>
    <col min="15870" max="15870" width="2.42578125" style="6" customWidth="1"/>
    <col min="15871" max="15871" width="8" style="6" customWidth="1"/>
    <col min="15872" max="15872" width="8.5703125" style="6" customWidth="1"/>
    <col min="15873" max="15873" width="8" style="6" customWidth="1"/>
    <col min="15874" max="15874" width="2.42578125" style="6" customWidth="1"/>
    <col min="15875" max="15875" width="9" style="6" customWidth="1"/>
    <col min="15876" max="15877" width="8" style="6" customWidth="1"/>
    <col min="15878" max="15878" width="2.42578125" style="6" customWidth="1"/>
    <col min="15879" max="15879" width="9.28515625" style="6" customWidth="1"/>
    <col min="15880" max="15881" width="8" style="6" customWidth="1"/>
    <col min="15882" max="15882" width="1.28515625" style="6" customWidth="1"/>
    <col min="15883" max="15883" width="8" style="6" customWidth="1"/>
    <col min="15884" max="16121" width="11.140625" style="6"/>
    <col min="16122" max="16122" width="19.42578125" style="6" customWidth="1"/>
    <col min="16123" max="16123" width="8.7109375" style="6" customWidth="1"/>
    <col min="16124" max="16125" width="8" style="6" customWidth="1"/>
    <col min="16126" max="16126" width="2.42578125" style="6" customWidth="1"/>
    <col min="16127" max="16127" width="8" style="6" customWidth="1"/>
    <col min="16128" max="16128" width="8.5703125" style="6" customWidth="1"/>
    <col min="16129" max="16129" width="8" style="6" customWidth="1"/>
    <col min="16130" max="16130" width="2.42578125" style="6" customWidth="1"/>
    <col min="16131" max="16131" width="9" style="6" customWidth="1"/>
    <col min="16132" max="16133" width="8" style="6" customWidth="1"/>
    <col min="16134" max="16134" width="2.42578125" style="6" customWidth="1"/>
    <col min="16135" max="16135" width="9.28515625" style="6" customWidth="1"/>
    <col min="16136" max="16137" width="8" style="6" customWidth="1"/>
    <col min="16138" max="16138" width="1.28515625" style="6" customWidth="1"/>
    <col min="16139" max="16139" width="8" style="6" customWidth="1"/>
    <col min="16140" max="16384" width="11.140625" style="6"/>
  </cols>
  <sheetData>
    <row r="2" spans="1:14" x14ac:dyDescent="0.2"/>
    <row r="3" spans="1:14" s="28" customFormat="1" ht="21" x14ac:dyDescent="0.2">
      <c r="A3" s="21" t="s">
        <v>30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14" s="29" customFormat="1" ht="15" x14ac:dyDescent="0.25">
      <c r="A4" s="22" t="s">
        <v>31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1:14" x14ac:dyDescent="0.2">
      <c r="A5" s="1"/>
      <c r="B5" s="2"/>
      <c r="C5" s="2"/>
      <c r="D5" s="3"/>
      <c r="E5" s="3"/>
      <c r="F5" s="5"/>
      <c r="G5" s="5"/>
      <c r="H5" s="4"/>
      <c r="I5" s="3"/>
      <c r="J5" s="2"/>
      <c r="K5" s="2"/>
      <c r="L5" s="3"/>
      <c r="M5" s="3"/>
      <c r="N5" s="2"/>
    </row>
    <row r="6" spans="1:14" s="28" customFormat="1" ht="31.5" customHeight="1" x14ac:dyDescent="0.2">
      <c r="A6" s="23" t="s">
        <v>22</v>
      </c>
      <c r="B6" s="25" t="s">
        <v>16</v>
      </c>
      <c r="C6" s="25"/>
      <c r="D6" s="25"/>
      <c r="E6" s="26"/>
      <c r="F6" s="25" t="s">
        <v>17</v>
      </c>
      <c r="G6" s="25"/>
      <c r="H6" s="25"/>
      <c r="I6" s="25"/>
      <c r="J6" s="27" t="s">
        <v>18</v>
      </c>
      <c r="K6" s="25"/>
      <c r="L6" s="25"/>
      <c r="M6" s="25"/>
      <c r="N6" s="30"/>
    </row>
    <row r="7" spans="1:14" s="32" customFormat="1" ht="24" customHeight="1" x14ac:dyDescent="0.2">
      <c r="A7" s="24"/>
      <c r="B7" s="11" t="s">
        <v>23</v>
      </c>
      <c r="C7" s="11" t="s">
        <v>1</v>
      </c>
      <c r="D7" s="11" t="s">
        <v>2</v>
      </c>
      <c r="E7" s="12" t="s">
        <v>29</v>
      </c>
      <c r="F7" s="11" t="s">
        <v>0</v>
      </c>
      <c r="G7" s="11" t="s">
        <v>1</v>
      </c>
      <c r="H7" s="11" t="s">
        <v>2</v>
      </c>
      <c r="I7" s="12" t="s">
        <v>29</v>
      </c>
      <c r="J7" s="13" t="s">
        <v>0</v>
      </c>
      <c r="K7" s="11" t="s">
        <v>1</v>
      </c>
      <c r="L7" s="11" t="s">
        <v>2</v>
      </c>
      <c r="M7" s="11" t="s">
        <v>29</v>
      </c>
      <c r="N7" s="31"/>
    </row>
    <row r="8" spans="1:14" s="29" customFormat="1" ht="17.25" customHeight="1" x14ac:dyDescent="0.25">
      <c r="A8" s="1" t="s">
        <v>24</v>
      </c>
      <c r="B8" s="9">
        <f>SUM(B13:B29)</f>
        <v>1399</v>
      </c>
      <c r="C8" s="9">
        <f>SUM(C13:C29)</f>
        <v>858</v>
      </c>
      <c r="D8" s="9">
        <f t="shared" ref="D8:I8" si="0">SUM(D13:D29)</f>
        <v>540</v>
      </c>
      <c r="E8" s="10">
        <f t="shared" si="0"/>
        <v>1</v>
      </c>
      <c r="F8" s="9">
        <f t="shared" si="0"/>
        <v>830</v>
      </c>
      <c r="G8" s="9">
        <f t="shared" si="0"/>
        <v>486</v>
      </c>
      <c r="H8" s="9">
        <f t="shared" si="0"/>
        <v>344</v>
      </c>
      <c r="I8" s="10">
        <f t="shared" si="0"/>
        <v>0</v>
      </c>
      <c r="J8" s="9">
        <f>SUM(J13:J29)</f>
        <v>569</v>
      </c>
      <c r="K8" s="9">
        <f>SUM(K13:K29)</f>
        <v>372</v>
      </c>
      <c r="L8" s="9">
        <f>SUM(L13:L29)</f>
        <v>196</v>
      </c>
      <c r="M8" s="9">
        <f>SUM(M13:M29)</f>
        <v>1</v>
      </c>
      <c r="N8" s="9"/>
    </row>
    <row r="9" spans="1:14" s="33" customFormat="1" ht="17.25" customHeight="1" x14ac:dyDescent="0.25">
      <c r="A9" s="7" t="s">
        <v>20</v>
      </c>
      <c r="B9" s="8">
        <f>SUM(C9:E9)</f>
        <v>48</v>
      </c>
      <c r="C9" s="8">
        <f t="shared" ref="C9:E12" si="1">G9+K9</f>
        <v>32</v>
      </c>
      <c r="D9" s="8">
        <f t="shared" si="1"/>
        <v>15</v>
      </c>
      <c r="E9" s="16">
        <f t="shared" si="1"/>
        <v>1</v>
      </c>
      <c r="F9" s="8">
        <f>SUM(G9:I9)</f>
        <v>40</v>
      </c>
      <c r="G9" s="8">
        <v>27</v>
      </c>
      <c r="H9" s="8">
        <v>13</v>
      </c>
      <c r="I9" s="16">
        <v>0</v>
      </c>
      <c r="J9" s="8">
        <f>SUM(K9:M9)</f>
        <v>8</v>
      </c>
      <c r="K9" s="8">
        <v>5</v>
      </c>
      <c r="L9" s="8">
        <v>2</v>
      </c>
      <c r="M9" s="8">
        <v>1</v>
      </c>
      <c r="N9" s="8"/>
    </row>
    <row r="10" spans="1:14" s="33" customFormat="1" ht="17.25" customHeight="1" x14ac:dyDescent="0.25">
      <c r="A10" s="7" t="s">
        <v>21</v>
      </c>
      <c r="B10" s="8">
        <f>SUM(C10:E10)</f>
        <v>5</v>
      </c>
      <c r="C10" s="8">
        <f t="shared" si="1"/>
        <v>1</v>
      </c>
      <c r="D10" s="8">
        <f t="shared" si="1"/>
        <v>4</v>
      </c>
      <c r="E10" s="16">
        <f t="shared" si="1"/>
        <v>0</v>
      </c>
      <c r="F10" s="8">
        <f>SUM(G10:I10)</f>
        <v>3</v>
      </c>
      <c r="G10" s="8">
        <v>1</v>
      </c>
      <c r="H10" s="8">
        <v>2</v>
      </c>
      <c r="I10" s="16">
        <v>0</v>
      </c>
      <c r="J10" s="8">
        <f>SUM(K10:L10)</f>
        <v>2</v>
      </c>
      <c r="K10" s="8"/>
      <c r="L10" s="8">
        <v>2</v>
      </c>
      <c r="M10" s="8">
        <v>0</v>
      </c>
      <c r="N10" s="8"/>
    </row>
    <row r="11" spans="1:14" s="33" customFormat="1" ht="17.25" customHeight="1" x14ac:dyDescent="0.25">
      <c r="A11" s="7" t="s">
        <v>25</v>
      </c>
      <c r="B11" s="8">
        <f>SUM(C11:E11)</f>
        <v>17</v>
      </c>
      <c r="C11" s="8">
        <f t="shared" si="1"/>
        <v>8</v>
      </c>
      <c r="D11" s="8">
        <f t="shared" si="1"/>
        <v>9</v>
      </c>
      <c r="E11" s="16">
        <f t="shared" si="1"/>
        <v>0</v>
      </c>
      <c r="F11" s="8">
        <f>SUM(G11:I11)</f>
        <v>13</v>
      </c>
      <c r="G11" s="8">
        <v>5</v>
      </c>
      <c r="H11" s="8">
        <v>8</v>
      </c>
      <c r="I11" s="16">
        <v>0</v>
      </c>
      <c r="J11" s="8">
        <f>SUM(K11:L11)</f>
        <v>4</v>
      </c>
      <c r="K11" s="8">
        <v>3</v>
      </c>
      <c r="L11" s="8">
        <v>1</v>
      </c>
      <c r="M11" s="8">
        <v>0</v>
      </c>
      <c r="N11" s="8"/>
    </row>
    <row r="12" spans="1:14" s="33" customFormat="1" ht="17.25" customHeight="1" x14ac:dyDescent="0.25">
      <c r="A12" s="7" t="s">
        <v>19</v>
      </c>
      <c r="B12" s="8">
        <f>SUM(C12:E12)</f>
        <v>0</v>
      </c>
      <c r="C12" s="8">
        <f t="shared" si="1"/>
        <v>0</v>
      </c>
      <c r="D12" s="8">
        <f t="shared" si="1"/>
        <v>0</v>
      </c>
      <c r="E12" s="16">
        <f t="shared" si="1"/>
        <v>0</v>
      </c>
      <c r="F12" s="8">
        <f>SUM(G12:I12)</f>
        <v>0</v>
      </c>
      <c r="G12" s="8">
        <v>0</v>
      </c>
      <c r="H12" s="8">
        <v>0</v>
      </c>
      <c r="I12" s="16">
        <v>0</v>
      </c>
      <c r="J12" s="8">
        <f>SUM(K12:M12)</f>
        <v>0</v>
      </c>
      <c r="K12" s="8">
        <v>0</v>
      </c>
      <c r="L12" s="8">
        <v>0</v>
      </c>
      <c r="M12" s="8">
        <v>0</v>
      </c>
      <c r="N12" s="8"/>
    </row>
    <row r="13" spans="1:14" s="29" customFormat="1" ht="17.25" customHeight="1" x14ac:dyDescent="0.25">
      <c r="A13" s="7" t="s">
        <v>4</v>
      </c>
      <c r="B13" s="9">
        <f>SUM(C13:E13)</f>
        <v>70</v>
      </c>
      <c r="C13" s="17">
        <f>SUM(C9:C12)</f>
        <v>41</v>
      </c>
      <c r="D13" s="17">
        <f>SUM(D9:D12)</f>
        <v>28</v>
      </c>
      <c r="E13" s="10">
        <f>I13+M13</f>
        <v>1</v>
      </c>
      <c r="F13" s="9">
        <f>SUM(G13:I13)</f>
        <v>56</v>
      </c>
      <c r="G13" s="17">
        <f>SUM(G9:G12)</f>
        <v>33</v>
      </c>
      <c r="H13" s="17">
        <f>SUM(H9:H12)</f>
        <v>23</v>
      </c>
      <c r="I13" s="10">
        <f>SUM(I9:I12)</f>
        <v>0</v>
      </c>
      <c r="J13" s="9">
        <f>SUM(K13:M13)</f>
        <v>14</v>
      </c>
      <c r="K13" s="17">
        <f>SUM(K9:K12)</f>
        <v>8</v>
      </c>
      <c r="L13" s="17">
        <f>SUM(L9:L12)</f>
        <v>5</v>
      </c>
      <c r="M13" s="9">
        <f>SUM(M9:M12)</f>
        <v>1</v>
      </c>
      <c r="N13" s="17"/>
    </row>
    <row r="14" spans="1:14" s="33" customFormat="1" ht="17.25" customHeight="1" x14ac:dyDescent="0.25">
      <c r="A14" s="19" t="s">
        <v>6</v>
      </c>
      <c r="B14" s="9">
        <f t="shared" ref="B14:B29" si="2">SUM(C14:E14)</f>
        <v>5</v>
      </c>
      <c r="C14" s="8">
        <f>G14+K14</f>
        <v>4</v>
      </c>
      <c r="D14" s="8">
        <f t="shared" ref="D14:E29" si="3">H14+L14</f>
        <v>1</v>
      </c>
      <c r="E14" s="16">
        <f t="shared" si="3"/>
        <v>0</v>
      </c>
      <c r="F14" s="9">
        <f t="shared" ref="F14:F28" si="4">SUM(G14:H14)</f>
        <v>4</v>
      </c>
      <c r="G14" s="8">
        <v>3</v>
      </c>
      <c r="H14" s="8">
        <v>1</v>
      </c>
      <c r="I14" s="16">
        <v>0</v>
      </c>
      <c r="J14" s="9">
        <f t="shared" ref="J14:J29" si="5">SUM(K14:L14)</f>
        <v>1</v>
      </c>
      <c r="K14" s="8">
        <v>1</v>
      </c>
      <c r="L14" s="8">
        <v>0</v>
      </c>
      <c r="M14" s="8">
        <v>0</v>
      </c>
      <c r="N14" s="8"/>
    </row>
    <row r="15" spans="1:14" s="33" customFormat="1" ht="17.25" customHeight="1" x14ac:dyDescent="0.25">
      <c r="A15" s="19" t="s">
        <v>3</v>
      </c>
      <c r="B15" s="9">
        <f t="shared" si="2"/>
        <v>3</v>
      </c>
      <c r="C15" s="8">
        <f t="shared" ref="C15:C29" si="6">G15+K15</f>
        <v>1</v>
      </c>
      <c r="D15" s="8">
        <f t="shared" si="3"/>
        <v>2</v>
      </c>
      <c r="E15" s="16">
        <f t="shared" si="3"/>
        <v>0</v>
      </c>
      <c r="F15" s="9">
        <f t="shared" si="4"/>
        <v>2</v>
      </c>
      <c r="G15" s="8">
        <v>1</v>
      </c>
      <c r="H15" s="8">
        <v>1</v>
      </c>
      <c r="I15" s="16">
        <v>0</v>
      </c>
      <c r="J15" s="9">
        <f t="shared" si="5"/>
        <v>1</v>
      </c>
      <c r="K15" s="8">
        <v>0</v>
      </c>
      <c r="L15" s="8">
        <v>1</v>
      </c>
      <c r="M15" s="8">
        <v>0</v>
      </c>
      <c r="N15" s="8"/>
    </row>
    <row r="16" spans="1:14" s="33" customFormat="1" ht="17.25" customHeight="1" x14ac:dyDescent="0.25">
      <c r="A16" s="19" t="s">
        <v>5</v>
      </c>
      <c r="B16" s="9">
        <f t="shared" si="2"/>
        <v>4</v>
      </c>
      <c r="C16" s="8">
        <f t="shared" si="6"/>
        <v>1</v>
      </c>
      <c r="D16" s="8">
        <f t="shared" si="3"/>
        <v>3</v>
      </c>
      <c r="E16" s="16">
        <f t="shared" si="3"/>
        <v>0</v>
      </c>
      <c r="F16" s="9">
        <f t="shared" si="4"/>
        <v>2</v>
      </c>
      <c r="G16" s="8">
        <v>1</v>
      </c>
      <c r="H16" s="8">
        <v>1</v>
      </c>
      <c r="I16" s="16">
        <v>0</v>
      </c>
      <c r="J16" s="9">
        <f t="shared" si="5"/>
        <v>2</v>
      </c>
      <c r="K16" s="8">
        <v>0</v>
      </c>
      <c r="L16" s="8">
        <v>2</v>
      </c>
      <c r="M16" s="8">
        <v>0</v>
      </c>
      <c r="N16" s="8"/>
    </row>
    <row r="17" spans="1:14" s="33" customFormat="1" ht="17.25" customHeight="1" x14ac:dyDescent="0.25">
      <c r="A17" s="19" t="s">
        <v>7</v>
      </c>
      <c r="B17" s="9">
        <f t="shared" si="2"/>
        <v>14</v>
      </c>
      <c r="C17" s="8">
        <f t="shared" si="6"/>
        <v>10</v>
      </c>
      <c r="D17" s="8">
        <f t="shared" si="3"/>
        <v>4</v>
      </c>
      <c r="E17" s="16">
        <f t="shared" si="3"/>
        <v>0</v>
      </c>
      <c r="F17" s="9">
        <f t="shared" si="4"/>
        <v>11</v>
      </c>
      <c r="G17" s="8">
        <v>7</v>
      </c>
      <c r="H17" s="8">
        <v>4</v>
      </c>
      <c r="I17" s="16">
        <v>0</v>
      </c>
      <c r="J17" s="9">
        <f>SUM(K17:L17)</f>
        <v>3</v>
      </c>
      <c r="K17" s="8">
        <v>3</v>
      </c>
      <c r="L17" s="8">
        <v>0</v>
      </c>
      <c r="M17" s="8">
        <v>0</v>
      </c>
      <c r="N17" s="8"/>
    </row>
    <row r="18" spans="1:14" s="33" customFormat="1" ht="17.25" customHeight="1" x14ac:dyDescent="0.25">
      <c r="A18" s="19" t="s">
        <v>8</v>
      </c>
      <c r="B18" s="9">
        <f t="shared" si="2"/>
        <v>19</v>
      </c>
      <c r="C18" s="8">
        <f t="shared" si="6"/>
        <v>15</v>
      </c>
      <c r="D18" s="8">
        <f t="shared" si="3"/>
        <v>4</v>
      </c>
      <c r="E18" s="16">
        <f t="shared" si="3"/>
        <v>0</v>
      </c>
      <c r="F18" s="9">
        <f t="shared" si="4"/>
        <v>13</v>
      </c>
      <c r="G18" s="8">
        <v>9</v>
      </c>
      <c r="H18" s="8">
        <v>4</v>
      </c>
      <c r="I18" s="16">
        <v>0</v>
      </c>
      <c r="J18" s="9">
        <f t="shared" si="5"/>
        <v>6</v>
      </c>
      <c r="K18" s="8">
        <v>6</v>
      </c>
      <c r="L18" s="8">
        <v>0</v>
      </c>
      <c r="M18" s="8">
        <v>0</v>
      </c>
      <c r="N18" s="8"/>
    </row>
    <row r="19" spans="1:14" s="33" customFormat="1" ht="17.25" customHeight="1" x14ac:dyDescent="0.25">
      <c r="A19" s="19" t="s">
        <v>26</v>
      </c>
      <c r="B19" s="9">
        <f t="shared" si="2"/>
        <v>25</v>
      </c>
      <c r="C19" s="8">
        <f t="shared" si="6"/>
        <v>20</v>
      </c>
      <c r="D19" s="8">
        <f t="shared" si="3"/>
        <v>5</v>
      </c>
      <c r="E19" s="16">
        <f t="shared" si="3"/>
        <v>0</v>
      </c>
      <c r="F19" s="9">
        <f t="shared" si="4"/>
        <v>13</v>
      </c>
      <c r="G19" s="8">
        <v>10</v>
      </c>
      <c r="H19" s="8">
        <v>3</v>
      </c>
      <c r="I19" s="16">
        <v>0</v>
      </c>
      <c r="J19" s="9">
        <f t="shared" si="5"/>
        <v>12</v>
      </c>
      <c r="K19" s="8">
        <v>10</v>
      </c>
      <c r="L19" s="8">
        <v>2</v>
      </c>
      <c r="M19" s="8">
        <v>0</v>
      </c>
      <c r="N19" s="8"/>
    </row>
    <row r="20" spans="1:14" s="33" customFormat="1" ht="17.25" customHeight="1" x14ac:dyDescent="0.25">
      <c r="A20" s="19" t="s">
        <v>9</v>
      </c>
      <c r="B20" s="9">
        <f t="shared" si="2"/>
        <v>38</v>
      </c>
      <c r="C20" s="8">
        <f t="shared" si="6"/>
        <v>28</v>
      </c>
      <c r="D20" s="8">
        <f t="shared" si="3"/>
        <v>10</v>
      </c>
      <c r="E20" s="16">
        <f t="shared" si="3"/>
        <v>0</v>
      </c>
      <c r="F20" s="9">
        <f t="shared" si="4"/>
        <v>27</v>
      </c>
      <c r="G20" s="8">
        <v>18</v>
      </c>
      <c r="H20" s="8">
        <v>9</v>
      </c>
      <c r="I20" s="16">
        <v>0</v>
      </c>
      <c r="J20" s="9">
        <f t="shared" si="5"/>
        <v>11</v>
      </c>
      <c r="K20" s="8">
        <v>10</v>
      </c>
      <c r="L20" s="8">
        <v>1</v>
      </c>
      <c r="M20" s="8">
        <v>0</v>
      </c>
      <c r="N20" s="8"/>
    </row>
    <row r="21" spans="1:14" s="33" customFormat="1" ht="17.25" customHeight="1" x14ac:dyDescent="0.25">
      <c r="A21" s="19" t="s">
        <v>10</v>
      </c>
      <c r="B21" s="9">
        <f t="shared" si="2"/>
        <v>49</v>
      </c>
      <c r="C21" s="8">
        <f t="shared" si="6"/>
        <v>40</v>
      </c>
      <c r="D21" s="8">
        <f t="shared" si="3"/>
        <v>9</v>
      </c>
      <c r="E21" s="16">
        <f t="shared" si="3"/>
        <v>0</v>
      </c>
      <c r="F21" s="9">
        <f t="shared" si="4"/>
        <v>32</v>
      </c>
      <c r="G21" s="8">
        <v>25</v>
      </c>
      <c r="H21" s="8">
        <v>7</v>
      </c>
      <c r="I21" s="16">
        <v>0</v>
      </c>
      <c r="J21" s="9">
        <f t="shared" si="5"/>
        <v>17</v>
      </c>
      <c r="K21" s="8">
        <v>15</v>
      </c>
      <c r="L21" s="8">
        <v>2</v>
      </c>
      <c r="M21" s="8">
        <v>0</v>
      </c>
      <c r="N21" s="8"/>
    </row>
    <row r="22" spans="1:14" s="33" customFormat="1" ht="17.25" customHeight="1" x14ac:dyDescent="0.25">
      <c r="A22" s="19" t="s">
        <v>27</v>
      </c>
      <c r="B22" s="9">
        <f t="shared" si="2"/>
        <v>57</v>
      </c>
      <c r="C22" s="8">
        <f t="shared" si="6"/>
        <v>50</v>
      </c>
      <c r="D22" s="8">
        <f t="shared" si="3"/>
        <v>7</v>
      </c>
      <c r="E22" s="16">
        <f t="shared" si="3"/>
        <v>0</v>
      </c>
      <c r="F22" s="9">
        <f t="shared" si="4"/>
        <v>38</v>
      </c>
      <c r="G22" s="8">
        <v>33</v>
      </c>
      <c r="H22" s="8">
        <v>5</v>
      </c>
      <c r="I22" s="16">
        <v>0</v>
      </c>
      <c r="J22" s="9">
        <f t="shared" si="5"/>
        <v>19</v>
      </c>
      <c r="K22" s="8">
        <v>17</v>
      </c>
      <c r="L22" s="8">
        <v>2</v>
      </c>
      <c r="M22" s="8">
        <v>0</v>
      </c>
      <c r="N22" s="8"/>
    </row>
    <row r="23" spans="1:14" s="33" customFormat="1" ht="17.25" customHeight="1" x14ac:dyDescent="0.25">
      <c r="A23" s="19" t="s">
        <v>11</v>
      </c>
      <c r="B23" s="9">
        <f t="shared" si="2"/>
        <v>47</v>
      </c>
      <c r="C23" s="8">
        <f t="shared" si="6"/>
        <v>36</v>
      </c>
      <c r="D23" s="8">
        <f t="shared" si="3"/>
        <v>11</v>
      </c>
      <c r="E23" s="16">
        <f t="shared" si="3"/>
        <v>0</v>
      </c>
      <c r="F23" s="9">
        <f t="shared" si="4"/>
        <v>34</v>
      </c>
      <c r="G23" s="8">
        <v>26</v>
      </c>
      <c r="H23" s="8">
        <v>8</v>
      </c>
      <c r="I23" s="16">
        <v>0</v>
      </c>
      <c r="J23" s="9">
        <f t="shared" si="5"/>
        <v>13</v>
      </c>
      <c r="K23" s="8">
        <v>10</v>
      </c>
      <c r="L23" s="8">
        <v>3</v>
      </c>
      <c r="M23" s="8">
        <v>0</v>
      </c>
      <c r="N23" s="8"/>
    </row>
    <row r="24" spans="1:14" s="33" customFormat="1" ht="17.25" customHeight="1" x14ac:dyDescent="0.25">
      <c r="A24" s="19" t="s">
        <v>12</v>
      </c>
      <c r="B24" s="9">
        <f t="shared" si="2"/>
        <v>36</v>
      </c>
      <c r="C24" s="8">
        <f t="shared" si="6"/>
        <v>24</v>
      </c>
      <c r="D24" s="8">
        <f t="shared" si="3"/>
        <v>12</v>
      </c>
      <c r="E24" s="16">
        <f t="shared" si="3"/>
        <v>0</v>
      </c>
      <c r="F24" s="9">
        <f t="shared" si="4"/>
        <v>15</v>
      </c>
      <c r="G24" s="8">
        <v>10</v>
      </c>
      <c r="H24" s="8">
        <v>5</v>
      </c>
      <c r="I24" s="16">
        <v>0</v>
      </c>
      <c r="J24" s="9">
        <f t="shared" si="5"/>
        <v>21</v>
      </c>
      <c r="K24" s="8">
        <v>14</v>
      </c>
      <c r="L24" s="8">
        <v>7</v>
      </c>
      <c r="M24" s="8">
        <v>0</v>
      </c>
      <c r="N24" s="8"/>
    </row>
    <row r="25" spans="1:14" s="33" customFormat="1" ht="17.25" customHeight="1" x14ac:dyDescent="0.25">
      <c r="A25" s="19" t="s">
        <v>13</v>
      </c>
      <c r="B25" s="9">
        <f t="shared" si="2"/>
        <v>81</v>
      </c>
      <c r="C25" s="8">
        <f t="shared" si="6"/>
        <v>53</v>
      </c>
      <c r="D25" s="8">
        <f t="shared" si="3"/>
        <v>28</v>
      </c>
      <c r="E25" s="16">
        <f t="shared" si="3"/>
        <v>0</v>
      </c>
      <c r="F25" s="9">
        <f t="shared" si="4"/>
        <v>53</v>
      </c>
      <c r="G25" s="8">
        <v>32</v>
      </c>
      <c r="H25" s="8">
        <v>21</v>
      </c>
      <c r="I25" s="16">
        <v>0</v>
      </c>
      <c r="J25" s="9">
        <f t="shared" si="5"/>
        <v>28</v>
      </c>
      <c r="K25" s="8">
        <v>21</v>
      </c>
      <c r="L25" s="8">
        <v>7</v>
      </c>
      <c r="M25" s="8">
        <v>0</v>
      </c>
      <c r="N25" s="8"/>
    </row>
    <row r="26" spans="1:14" s="33" customFormat="1" ht="17.25" customHeight="1" x14ac:dyDescent="0.25">
      <c r="A26" s="19" t="s">
        <v>14</v>
      </c>
      <c r="B26" s="9">
        <f t="shared" si="2"/>
        <v>92</v>
      </c>
      <c r="C26" s="8">
        <f t="shared" si="6"/>
        <v>51</v>
      </c>
      <c r="D26" s="8">
        <f t="shared" si="3"/>
        <v>41</v>
      </c>
      <c r="E26" s="16">
        <f t="shared" si="3"/>
        <v>0</v>
      </c>
      <c r="F26" s="9">
        <f t="shared" si="4"/>
        <v>66</v>
      </c>
      <c r="G26" s="8">
        <v>35</v>
      </c>
      <c r="H26" s="8">
        <v>31</v>
      </c>
      <c r="I26" s="16">
        <v>0</v>
      </c>
      <c r="J26" s="9">
        <f t="shared" si="5"/>
        <v>26</v>
      </c>
      <c r="K26" s="8">
        <v>16</v>
      </c>
      <c r="L26" s="8">
        <v>10</v>
      </c>
      <c r="M26" s="8">
        <v>0</v>
      </c>
      <c r="N26" s="8"/>
    </row>
    <row r="27" spans="1:14" s="33" customFormat="1" ht="17.25" customHeight="1" x14ac:dyDescent="0.25">
      <c r="A27" s="19" t="s">
        <v>15</v>
      </c>
      <c r="B27" s="9">
        <f t="shared" si="2"/>
        <v>124</v>
      </c>
      <c r="C27" s="8">
        <f t="shared" si="6"/>
        <v>84</v>
      </c>
      <c r="D27" s="8">
        <f t="shared" si="3"/>
        <v>40</v>
      </c>
      <c r="E27" s="16">
        <f t="shared" si="3"/>
        <v>0</v>
      </c>
      <c r="F27" s="9">
        <f t="shared" si="4"/>
        <v>80</v>
      </c>
      <c r="G27" s="8">
        <v>49</v>
      </c>
      <c r="H27" s="8">
        <v>31</v>
      </c>
      <c r="I27" s="16">
        <v>0</v>
      </c>
      <c r="J27" s="9">
        <f t="shared" si="5"/>
        <v>44</v>
      </c>
      <c r="K27" s="8">
        <v>35</v>
      </c>
      <c r="L27" s="8">
        <v>9</v>
      </c>
      <c r="M27" s="8">
        <v>0</v>
      </c>
      <c r="N27" s="8"/>
    </row>
    <row r="28" spans="1:14" s="33" customFormat="1" ht="17.25" customHeight="1" x14ac:dyDescent="0.25">
      <c r="A28" s="19" t="s">
        <v>28</v>
      </c>
      <c r="B28" s="9">
        <f t="shared" si="2"/>
        <v>734</v>
      </c>
      <c r="C28" s="8">
        <f t="shared" si="6"/>
        <v>399</v>
      </c>
      <c r="D28" s="8">
        <f>H28+L28+N28</f>
        <v>335</v>
      </c>
      <c r="E28" s="16">
        <f t="shared" si="3"/>
        <v>0</v>
      </c>
      <c r="F28" s="9">
        <f t="shared" si="4"/>
        <v>384</v>
      </c>
      <c r="G28" s="8">
        <v>194</v>
      </c>
      <c r="H28" s="8">
        <v>190</v>
      </c>
      <c r="I28" s="16">
        <v>0</v>
      </c>
      <c r="J28" s="9">
        <f t="shared" si="5"/>
        <v>350</v>
      </c>
      <c r="K28" s="8">
        <v>205</v>
      </c>
      <c r="L28" s="8">
        <v>145</v>
      </c>
      <c r="M28" s="8">
        <v>0</v>
      </c>
      <c r="N28" s="8"/>
    </row>
    <row r="29" spans="1:14" s="33" customFormat="1" ht="17.25" customHeight="1" x14ac:dyDescent="0.25">
      <c r="A29" s="34" t="s">
        <v>19</v>
      </c>
      <c r="B29" s="20">
        <f t="shared" si="2"/>
        <v>1</v>
      </c>
      <c r="C29" s="14">
        <f t="shared" si="6"/>
        <v>1</v>
      </c>
      <c r="D29" s="14">
        <f t="shared" si="3"/>
        <v>0</v>
      </c>
      <c r="E29" s="18">
        <f t="shared" si="3"/>
        <v>0</v>
      </c>
      <c r="F29" s="20">
        <f>SUM(G29:I29)</f>
        <v>0</v>
      </c>
      <c r="G29" s="14">
        <v>0</v>
      </c>
      <c r="H29" s="14">
        <v>0</v>
      </c>
      <c r="I29" s="18">
        <v>0</v>
      </c>
      <c r="J29" s="20">
        <f t="shared" si="5"/>
        <v>1</v>
      </c>
      <c r="K29" s="14">
        <v>1</v>
      </c>
      <c r="L29" s="14">
        <v>0</v>
      </c>
      <c r="M29" s="14">
        <v>0</v>
      </c>
      <c r="N29" s="8"/>
    </row>
    <row r="30" spans="1:14" s="33" customFormat="1" ht="17.25" customHeight="1" x14ac:dyDescent="0.25">
      <c r="A30" s="35" t="s">
        <v>32</v>
      </c>
      <c r="B30" s="9"/>
      <c r="C30" s="8"/>
      <c r="D30" s="8"/>
      <c r="E30" s="8"/>
      <c r="F30" s="9"/>
      <c r="G30" s="8"/>
      <c r="H30" s="8"/>
      <c r="I30" s="8"/>
      <c r="J30" s="9"/>
      <c r="K30" s="8"/>
      <c r="L30" s="8"/>
      <c r="M30" s="8"/>
      <c r="N30" s="8"/>
    </row>
    <row r="31" spans="1:14" x14ac:dyDescent="0.2">
      <c r="A31" s="36" t="s">
        <v>33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</row>
    <row r="32" spans="1:14" x14ac:dyDescent="0.2">
      <c r="A32" s="38" t="s">
        <v>34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</row>
    <row r="33" spans="1:14" ht="14.25" customHeight="1" x14ac:dyDescent="0.2">
      <c r="A33" s="39" t="s">
        <v>35</v>
      </c>
    </row>
    <row r="34" spans="1:14" x14ac:dyDescent="0.2">
      <c r="A34" s="15"/>
    </row>
    <row r="35" spans="1:14" x14ac:dyDescent="0.2"/>
    <row r="38" spans="1:14" ht="21" x14ac:dyDescent="0.2">
      <c r="A38" s="21" t="s">
        <v>36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</row>
    <row r="39" spans="1:14" ht="15" x14ac:dyDescent="0.2">
      <c r="A39" s="22" t="s">
        <v>37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</row>
    <row r="40" spans="1:14" x14ac:dyDescent="0.2">
      <c r="A40" s="1"/>
      <c r="B40" s="2"/>
      <c r="C40" s="2"/>
      <c r="D40" s="3"/>
      <c r="E40" s="3"/>
      <c r="F40" s="5"/>
      <c r="G40" s="5"/>
      <c r="H40" s="4"/>
      <c r="I40" s="3"/>
      <c r="J40" s="2"/>
      <c r="K40" s="2"/>
      <c r="L40" s="3"/>
      <c r="M40" s="3"/>
      <c r="N40" s="2"/>
    </row>
    <row r="41" spans="1:14" ht="15" x14ac:dyDescent="0.2">
      <c r="A41" s="23" t="s">
        <v>22</v>
      </c>
      <c r="B41" s="25" t="s">
        <v>16</v>
      </c>
      <c r="C41" s="25"/>
      <c r="D41" s="25"/>
      <c r="E41" s="26"/>
      <c r="F41" s="25" t="s">
        <v>17</v>
      </c>
      <c r="G41" s="25"/>
      <c r="H41" s="25"/>
      <c r="I41" s="25"/>
      <c r="J41" s="27" t="s">
        <v>18</v>
      </c>
      <c r="K41" s="25"/>
      <c r="L41" s="25"/>
      <c r="M41" s="25"/>
      <c r="N41" s="30"/>
    </row>
    <row r="42" spans="1:14" ht="25.5" x14ac:dyDescent="0.2">
      <c r="A42" s="24"/>
      <c r="B42" s="11" t="s">
        <v>23</v>
      </c>
      <c r="C42" s="11" t="s">
        <v>1</v>
      </c>
      <c r="D42" s="11" t="s">
        <v>2</v>
      </c>
      <c r="E42" s="12" t="s">
        <v>29</v>
      </c>
      <c r="F42" s="11" t="s">
        <v>0</v>
      </c>
      <c r="G42" s="11" t="s">
        <v>1</v>
      </c>
      <c r="H42" s="11" t="s">
        <v>2</v>
      </c>
      <c r="I42" s="12" t="s">
        <v>29</v>
      </c>
      <c r="J42" s="13" t="s">
        <v>0</v>
      </c>
      <c r="K42" s="11" t="s">
        <v>1</v>
      </c>
      <c r="L42" s="11" t="s">
        <v>2</v>
      </c>
      <c r="M42" s="11" t="s">
        <v>29</v>
      </c>
      <c r="N42" s="31"/>
    </row>
    <row r="43" spans="1:14" s="29" customFormat="1" ht="17.25" customHeight="1" x14ac:dyDescent="0.25">
      <c r="A43" s="1" t="s">
        <v>24</v>
      </c>
      <c r="B43" s="9">
        <f>SUM(B47:B63)</f>
        <v>1471</v>
      </c>
      <c r="C43" s="9">
        <f>SUM(C47:C63)</f>
        <v>873</v>
      </c>
      <c r="D43" s="9">
        <f t="shared" ref="D43:I43" si="7">SUM(D47:D63)</f>
        <v>597</v>
      </c>
      <c r="E43" s="10">
        <f t="shared" si="7"/>
        <v>1</v>
      </c>
      <c r="F43" s="9">
        <f t="shared" si="7"/>
        <v>826</v>
      </c>
      <c r="G43" s="9">
        <f t="shared" si="7"/>
        <v>497</v>
      </c>
      <c r="H43" s="9">
        <f t="shared" si="7"/>
        <v>329</v>
      </c>
      <c r="I43" s="10">
        <f t="shared" si="7"/>
        <v>0</v>
      </c>
      <c r="J43" s="9">
        <f>SUM(J47:J63)</f>
        <v>645</v>
      </c>
      <c r="K43" s="9">
        <f>SUM(K47:K63)</f>
        <v>376</v>
      </c>
      <c r="L43" s="9">
        <f>SUM(L47:L63)</f>
        <v>268</v>
      </c>
      <c r="M43" s="9">
        <f>SUM(M47:M63)</f>
        <v>1</v>
      </c>
      <c r="N43" s="9"/>
    </row>
    <row r="44" spans="1:14" s="33" customFormat="1" ht="17.25" customHeight="1" x14ac:dyDescent="0.25">
      <c r="A44" s="7" t="s">
        <v>20</v>
      </c>
      <c r="B44" s="8">
        <f>SUM(C44:E44)</f>
        <v>27</v>
      </c>
      <c r="C44" s="8">
        <f t="shared" ref="C44:E46" si="8">G44+K44</f>
        <v>16</v>
      </c>
      <c r="D44" s="8">
        <f t="shared" si="8"/>
        <v>10</v>
      </c>
      <c r="E44" s="16">
        <f t="shared" si="8"/>
        <v>1</v>
      </c>
      <c r="F44" s="8">
        <f>SUM(G44:I44)</f>
        <v>17</v>
      </c>
      <c r="G44" s="8">
        <v>11</v>
      </c>
      <c r="H44" s="8">
        <v>6</v>
      </c>
      <c r="I44" s="16">
        <v>0</v>
      </c>
      <c r="J44" s="8">
        <f>SUM(K44:M44)</f>
        <v>10</v>
      </c>
      <c r="K44" s="8">
        <v>5</v>
      </c>
      <c r="L44" s="8">
        <v>4</v>
      </c>
      <c r="M44" s="8">
        <v>1</v>
      </c>
      <c r="N44" s="8"/>
    </row>
    <row r="45" spans="1:14" s="33" customFormat="1" ht="17.25" customHeight="1" x14ac:dyDescent="0.25">
      <c r="A45" s="7" t="s">
        <v>21</v>
      </c>
      <c r="B45" s="8">
        <f>SUM(C45:E45)</f>
        <v>9</v>
      </c>
      <c r="C45" s="8">
        <f t="shared" si="8"/>
        <v>6</v>
      </c>
      <c r="D45" s="8">
        <f t="shared" si="8"/>
        <v>3</v>
      </c>
      <c r="E45" s="16">
        <f t="shared" si="8"/>
        <v>0</v>
      </c>
      <c r="F45" s="8">
        <f>SUM(G45:I45)</f>
        <v>9</v>
      </c>
      <c r="G45" s="8">
        <v>6</v>
      </c>
      <c r="H45" s="8">
        <v>3</v>
      </c>
      <c r="I45" s="16">
        <v>0</v>
      </c>
      <c r="J45" s="8">
        <f>SUM(K45:L45)</f>
        <v>0</v>
      </c>
      <c r="K45" s="8">
        <v>0</v>
      </c>
      <c r="L45" s="8">
        <v>0</v>
      </c>
      <c r="M45" s="8">
        <v>0</v>
      </c>
      <c r="N45" s="8"/>
    </row>
    <row r="46" spans="1:14" s="33" customFormat="1" ht="17.25" customHeight="1" x14ac:dyDescent="0.25">
      <c r="A46" s="7" t="s">
        <v>25</v>
      </c>
      <c r="B46" s="8">
        <f>SUM(C46:E46)</f>
        <v>14</v>
      </c>
      <c r="C46" s="8">
        <f t="shared" si="8"/>
        <v>8</v>
      </c>
      <c r="D46" s="8">
        <f t="shared" si="8"/>
        <v>6</v>
      </c>
      <c r="E46" s="16">
        <f t="shared" si="8"/>
        <v>0</v>
      </c>
      <c r="F46" s="8">
        <f>SUM(G46:I46)</f>
        <v>9</v>
      </c>
      <c r="G46" s="8">
        <v>5</v>
      </c>
      <c r="H46" s="8">
        <v>4</v>
      </c>
      <c r="I46" s="16">
        <v>0</v>
      </c>
      <c r="J46" s="8">
        <f>SUM(K46:L46)</f>
        <v>5</v>
      </c>
      <c r="K46" s="8">
        <v>3</v>
      </c>
      <c r="L46" s="8">
        <v>2</v>
      </c>
      <c r="M46" s="8">
        <v>0</v>
      </c>
      <c r="N46" s="8"/>
    </row>
    <row r="47" spans="1:14" s="29" customFormat="1" ht="17.25" customHeight="1" x14ac:dyDescent="0.25">
      <c r="A47" s="7" t="s">
        <v>4</v>
      </c>
      <c r="B47" s="9">
        <f>SUM(C47:E47)</f>
        <v>50</v>
      </c>
      <c r="C47" s="17">
        <f>SUM(C44:C46)</f>
        <v>30</v>
      </c>
      <c r="D47" s="17">
        <f>SUM(D44:D46)</f>
        <v>19</v>
      </c>
      <c r="E47" s="10">
        <f>I47+M47</f>
        <v>1</v>
      </c>
      <c r="F47" s="9">
        <f>SUM(G47:I47)</f>
        <v>35</v>
      </c>
      <c r="G47" s="17">
        <f>SUM(G44:G46)</f>
        <v>22</v>
      </c>
      <c r="H47" s="17">
        <f>SUM(H44:H46)</f>
        <v>13</v>
      </c>
      <c r="I47" s="10">
        <f>SUM(I44:I46)</f>
        <v>0</v>
      </c>
      <c r="J47" s="9">
        <f>SUM(K47:M47)</f>
        <v>15</v>
      </c>
      <c r="K47" s="17">
        <f>SUM(K44:K46)</f>
        <v>8</v>
      </c>
      <c r="L47" s="17">
        <f>SUM(L44:L46)</f>
        <v>6</v>
      </c>
      <c r="M47" s="9">
        <f>SUM(M44:M46)</f>
        <v>1</v>
      </c>
      <c r="N47" s="17"/>
    </row>
    <row r="48" spans="1:14" s="33" customFormat="1" ht="17.25" customHeight="1" x14ac:dyDescent="0.25">
      <c r="A48" s="19" t="s">
        <v>6</v>
      </c>
      <c r="B48" s="9">
        <f t="shared" ref="B48:B63" si="9">SUM(C48:E48)</f>
        <v>12</v>
      </c>
      <c r="C48" s="8">
        <f>G48+K48</f>
        <v>6</v>
      </c>
      <c r="D48" s="8">
        <f t="shared" ref="D48:E63" si="10">H48+L48</f>
        <v>6</v>
      </c>
      <c r="E48" s="16">
        <f t="shared" si="10"/>
        <v>0</v>
      </c>
      <c r="F48" s="9">
        <f t="shared" ref="F48:F62" si="11">SUM(G48:H48)</f>
        <v>10</v>
      </c>
      <c r="G48" s="8">
        <v>5</v>
      </c>
      <c r="H48" s="8">
        <v>5</v>
      </c>
      <c r="I48" s="16">
        <v>0</v>
      </c>
      <c r="J48" s="9">
        <f t="shared" ref="J48:J50" si="12">SUM(K48:L48)</f>
        <v>2</v>
      </c>
      <c r="K48" s="8">
        <v>1</v>
      </c>
      <c r="L48" s="8">
        <v>1</v>
      </c>
      <c r="M48" s="8">
        <v>0</v>
      </c>
      <c r="N48" s="8"/>
    </row>
    <row r="49" spans="1:14" s="33" customFormat="1" ht="17.25" customHeight="1" x14ac:dyDescent="0.25">
      <c r="A49" s="19" t="s">
        <v>3</v>
      </c>
      <c r="B49" s="9">
        <f t="shared" si="9"/>
        <v>9</v>
      </c>
      <c r="C49" s="8">
        <f t="shared" ref="C49:D63" si="13">G49+K49</f>
        <v>3</v>
      </c>
      <c r="D49" s="8">
        <f t="shared" si="10"/>
        <v>6</v>
      </c>
      <c r="E49" s="16">
        <f t="shared" si="10"/>
        <v>0</v>
      </c>
      <c r="F49" s="9">
        <f t="shared" si="11"/>
        <v>7</v>
      </c>
      <c r="G49" s="8">
        <v>2</v>
      </c>
      <c r="H49" s="8">
        <v>5</v>
      </c>
      <c r="I49" s="16">
        <v>0</v>
      </c>
      <c r="J49" s="9">
        <f t="shared" si="12"/>
        <v>2</v>
      </c>
      <c r="K49" s="8">
        <v>1</v>
      </c>
      <c r="L49" s="8">
        <v>1</v>
      </c>
      <c r="M49" s="8">
        <v>0</v>
      </c>
      <c r="N49" s="8"/>
    </row>
    <row r="50" spans="1:14" s="33" customFormat="1" ht="17.25" customHeight="1" x14ac:dyDescent="0.25">
      <c r="A50" s="19" t="s">
        <v>5</v>
      </c>
      <c r="B50" s="9">
        <f t="shared" si="9"/>
        <v>5</v>
      </c>
      <c r="C50" s="8">
        <f t="shared" si="13"/>
        <v>3</v>
      </c>
      <c r="D50" s="8">
        <f t="shared" si="10"/>
        <v>2</v>
      </c>
      <c r="E50" s="16">
        <f t="shared" si="10"/>
        <v>0</v>
      </c>
      <c r="F50" s="9">
        <f t="shared" si="11"/>
        <v>3</v>
      </c>
      <c r="G50" s="8">
        <v>2</v>
      </c>
      <c r="H50" s="8">
        <v>1</v>
      </c>
      <c r="I50" s="16">
        <v>0</v>
      </c>
      <c r="J50" s="9">
        <f t="shared" si="12"/>
        <v>2</v>
      </c>
      <c r="K50" s="8">
        <v>1</v>
      </c>
      <c r="L50" s="8">
        <v>1</v>
      </c>
      <c r="M50" s="8">
        <v>0</v>
      </c>
      <c r="N50" s="8"/>
    </row>
    <row r="51" spans="1:14" s="33" customFormat="1" ht="17.25" customHeight="1" x14ac:dyDescent="0.25">
      <c r="A51" s="19" t="s">
        <v>7</v>
      </c>
      <c r="B51" s="9">
        <f t="shared" si="9"/>
        <v>17</v>
      </c>
      <c r="C51" s="8">
        <f t="shared" si="13"/>
        <v>12</v>
      </c>
      <c r="D51" s="8">
        <f t="shared" si="10"/>
        <v>5</v>
      </c>
      <c r="E51" s="16">
        <f t="shared" si="10"/>
        <v>0</v>
      </c>
      <c r="F51" s="9">
        <f t="shared" si="11"/>
        <v>9</v>
      </c>
      <c r="G51" s="8">
        <v>8</v>
      </c>
      <c r="H51" s="8">
        <v>1</v>
      </c>
      <c r="I51" s="16">
        <v>0</v>
      </c>
      <c r="J51" s="9">
        <f>SUM(K51:L51)</f>
        <v>8</v>
      </c>
      <c r="K51" s="8">
        <v>4</v>
      </c>
      <c r="L51" s="8">
        <v>4</v>
      </c>
      <c r="M51" s="8">
        <v>0</v>
      </c>
      <c r="N51" s="8"/>
    </row>
    <row r="52" spans="1:14" s="33" customFormat="1" ht="17.25" customHeight="1" x14ac:dyDescent="0.25">
      <c r="A52" s="19" t="s">
        <v>8</v>
      </c>
      <c r="B52" s="9">
        <f t="shared" si="9"/>
        <v>14</v>
      </c>
      <c r="C52" s="8">
        <f t="shared" si="13"/>
        <v>12</v>
      </c>
      <c r="D52" s="8">
        <f t="shared" si="10"/>
        <v>2</v>
      </c>
      <c r="E52" s="16">
        <f t="shared" si="10"/>
        <v>0</v>
      </c>
      <c r="F52" s="9">
        <f t="shared" si="11"/>
        <v>10</v>
      </c>
      <c r="G52" s="8">
        <v>9</v>
      </c>
      <c r="H52" s="8">
        <v>1</v>
      </c>
      <c r="I52" s="16">
        <v>0</v>
      </c>
      <c r="J52" s="9">
        <f t="shared" ref="J52:J63" si="14">SUM(K52:L52)</f>
        <v>4</v>
      </c>
      <c r="K52" s="8">
        <v>3</v>
      </c>
      <c r="L52" s="8">
        <v>1</v>
      </c>
      <c r="M52" s="8">
        <v>0</v>
      </c>
      <c r="N52" s="8"/>
    </row>
    <row r="53" spans="1:14" s="33" customFormat="1" ht="17.25" customHeight="1" x14ac:dyDescent="0.25">
      <c r="A53" s="19" t="s">
        <v>26</v>
      </c>
      <c r="B53" s="9">
        <f t="shared" si="9"/>
        <v>26</v>
      </c>
      <c r="C53" s="8">
        <f t="shared" si="13"/>
        <v>17</v>
      </c>
      <c r="D53" s="8">
        <f t="shared" si="10"/>
        <v>9</v>
      </c>
      <c r="E53" s="16">
        <f t="shared" si="10"/>
        <v>0</v>
      </c>
      <c r="F53" s="9">
        <f t="shared" si="11"/>
        <v>19</v>
      </c>
      <c r="G53" s="8">
        <v>13</v>
      </c>
      <c r="H53" s="8">
        <v>6</v>
      </c>
      <c r="I53" s="16">
        <v>0</v>
      </c>
      <c r="J53" s="9">
        <f t="shared" si="14"/>
        <v>7</v>
      </c>
      <c r="K53" s="8">
        <v>4</v>
      </c>
      <c r="L53" s="8">
        <v>3</v>
      </c>
      <c r="M53" s="8">
        <v>0</v>
      </c>
      <c r="N53" s="8"/>
    </row>
    <row r="54" spans="1:14" s="33" customFormat="1" ht="17.25" customHeight="1" x14ac:dyDescent="0.25">
      <c r="A54" s="19" t="s">
        <v>9</v>
      </c>
      <c r="B54" s="9">
        <f t="shared" si="9"/>
        <v>32</v>
      </c>
      <c r="C54" s="8">
        <f t="shared" si="13"/>
        <v>23</v>
      </c>
      <c r="D54" s="8">
        <f t="shared" si="10"/>
        <v>9</v>
      </c>
      <c r="E54" s="16">
        <f t="shared" si="10"/>
        <v>0</v>
      </c>
      <c r="F54" s="9">
        <f t="shared" si="11"/>
        <v>23</v>
      </c>
      <c r="G54" s="8">
        <v>17</v>
      </c>
      <c r="H54" s="8">
        <v>6</v>
      </c>
      <c r="I54" s="16">
        <v>0</v>
      </c>
      <c r="J54" s="9">
        <f t="shared" si="14"/>
        <v>9</v>
      </c>
      <c r="K54" s="8">
        <v>6</v>
      </c>
      <c r="L54" s="8">
        <v>3</v>
      </c>
      <c r="M54" s="8">
        <v>0</v>
      </c>
      <c r="N54" s="8"/>
    </row>
    <row r="55" spans="1:14" s="33" customFormat="1" ht="17.25" customHeight="1" x14ac:dyDescent="0.25">
      <c r="A55" s="19" t="s">
        <v>10</v>
      </c>
      <c r="B55" s="9">
        <f t="shared" si="9"/>
        <v>54</v>
      </c>
      <c r="C55" s="8">
        <f t="shared" si="13"/>
        <v>43</v>
      </c>
      <c r="D55" s="8">
        <f t="shared" si="10"/>
        <v>11</v>
      </c>
      <c r="E55" s="16">
        <f t="shared" si="10"/>
        <v>0</v>
      </c>
      <c r="F55" s="9">
        <f t="shared" si="11"/>
        <v>31</v>
      </c>
      <c r="G55" s="8">
        <v>24</v>
      </c>
      <c r="H55" s="8">
        <v>7</v>
      </c>
      <c r="I55" s="16">
        <v>0</v>
      </c>
      <c r="J55" s="9">
        <f t="shared" si="14"/>
        <v>23</v>
      </c>
      <c r="K55" s="8">
        <v>19</v>
      </c>
      <c r="L55" s="8">
        <v>4</v>
      </c>
      <c r="M55" s="8">
        <v>0</v>
      </c>
      <c r="N55" s="8"/>
    </row>
    <row r="56" spans="1:14" s="33" customFormat="1" ht="17.25" customHeight="1" x14ac:dyDescent="0.25">
      <c r="A56" s="19" t="s">
        <v>27</v>
      </c>
      <c r="B56" s="9">
        <f t="shared" si="9"/>
        <v>47</v>
      </c>
      <c r="C56" s="8">
        <f t="shared" si="13"/>
        <v>37</v>
      </c>
      <c r="D56" s="8">
        <f t="shared" si="10"/>
        <v>10</v>
      </c>
      <c r="E56" s="16">
        <f t="shared" si="10"/>
        <v>0</v>
      </c>
      <c r="F56" s="9">
        <f t="shared" si="11"/>
        <v>34</v>
      </c>
      <c r="G56" s="8">
        <v>26</v>
      </c>
      <c r="H56" s="8">
        <v>8</v>
      </c>
      <c r="I56" s="16">
        <v>0</v>
      </c>
      <c r="J56" s="9">
        <f t="shared" si="14"/>
        <v>13</v>
      </c>
      <c r="K56" s="8">
        <v>11</v>
      </c>
      <c r="L56" s="8">
        <v>2</v>
      </c>
      <c r="M56" s="8">
        <v>0</v>
      </c>
      <c r="N56" s="8"/>
    </row>
    <row r="57" spans="1:14" s="33" customFormat="1" ht="17.25" customHeight="1" x14ac:dyDescent="0.25">
      <c r="A57" s="19" t="s">
        <v>11</v>
      </c>
      <c r="B57" s="9">
        <f t="shared" si="9"/>
        <v>48</v>
      </c>
      <c r="C57" s="8">
        <f t="shared" si="13"/>
        <v>38</v>
      </c>
      <c r="D57" s="8">
        <f t="shared" si="10"/>
        <v>10</v>
      </c>
      <c r="E57" s="16">
        <f t="shared" si="10"/>
        <v>0</v>
      </c>
      <c r="F57" s="9">
        <f t="shared" si="11"/>
        <v>31</v>
      </c>
      <c r="G57" s="8">
        <v>23</v>
      </c>
      <c r="H57" s="8">
        <v>8</v>
      </c>
      <c r="I57" s="16">
        <v>0</v>
      </c>
      <c r="J57" s="9">
        <f t="shared" si="14"/>
        <v>17</v>
      </c>
      <c r="K57" s="8">
        <v>15</v>
      </c>
      <c r="L57" s="8">
        <v>2</v>
      </c>
      <c r="M57" s="8">
        <v>0</v>
      </c>
      <c r="N57" s="8"/>
    </row>
    <row r="58" spans="1:14" s="33" customFormat="1" ht="17.25" customHeight="1" x14ac:dyDescent="0.25">
      <c r="A58" s="19" t="s">
        <v>12</v>
      </c>
      <c r="B58" s="9">
        <f t="shared" si="9"/>
        <v>47</v>
      </c>
      <c r="C58" s="8">
        <f t="shared" si="13"/>
        <v>32</v>
      </c>
      <c r="D58" s="8">
        <f t="shared" si="10"/>
        <v>15</v>
      </c>
      <c r="E58" s="16">
        <f t="shared" si="10"/>
        <v>0</v>
      </c>
      <c r="F58" s="9">
        <f t="shared" si="11"/>
        <v>28</v>
      </c>
      <c r="G58" s="8">
        <v>21</v>
      </c>
      <c r="H58" s="8">
        <v>7</v>
      </c>
      <c r="I58" s="16">
        <v>0</v>
      </c>
      <c r="J58" s="9">
        <f t="shared" si="14"/>
        <v>19</v>
      </c>
      <c r="K58" s="8">
        <v>11</v>
      </c>
      <c r="L58" s="8">
        <v>8</v>
      </c>
      <c r="M58" s="8">
        <v>0</v>
      </c>
      <c r="N58" s="8"/>
    </row>
    <row r="59" spans="1:14" s="33" customFormat="1" ht="17.25" customHeight="1" x14ac:dyDescent="0.25">
      <c r="A59" s="19" t="s">
        <v>13</v>
      </c>
      <c r="B59" s="9">
        <f t="shared" si="9"/>
        <v>53</v>
      </c>
      <c r="C59" s="8">
        <f t="shared" si="13"/>
        <v>34</v>
      </c>
      <c r="D59" s="8">
        <f t="shared" si="10"/>
        <v>19</v>
      </c>
      <c r="E59" s="16">
        <f t="shared" si="10"/>
        <v>0</v>
      </c>
      <c r="F59" s="9">
        <f t="shared" si="11"/>
        <v>31</v>
      </c>
      <c r="G59" s="8">
        <v>21</v>
      </c>
      <c r="H59" s="8">
        <v>10</v>
      </c>
      <c r="I59" s="16">
        <v>0</v>
      </c>
      <c r="J59" s="9">
        <f t="shared" si="14"/>
        <v>22</v>
      </c>
      <c r="K59" s="8">
        <v>13</v>
      </c>
      <c r="L59" s="8">
        <v>9</v>
      </c>
      <c r="M59" s="8">
        <v>0</v>
      </c>
      <c r="N59" s="8"/>
    </row>
    <row r="60" spans="1:14" s="33" customFormat="1" ht="17.25" customHeight="1" x14ac:dyDescent="0.25">
      <c r="A60" s="19" t="s">
        <v>14</v>
      </c>
      <c r="B60" s="9">
        <f t="shared" si="9"/>
        <v>103</v>
      </c>
      <c r="C60" s="8">
        <f t="shared" si="13"/>
        <v>65</v>
      </c>
      <c r="D60" s="8">
        <f t="shared" si="10"/>
        <v>38</v>
      </c>
      <c r="E60" s="16">
        <f t="shared" si="10"/>
        <v>0</v>
      </c>
      <c r="F60" s="9">
        <f t="shared" si="11"/>
        <v>59</v>
      </c>
      <c r="G60" s="8">
        <v>41</v>
      </c>
      <c r="H60" s="8">
        <v>18</v>
      </c>
      <c r="I60" s="16">
        <v>0</v>
      </c>
      <c r="J60" s="9">
        <f t="shared" si="14"/>
        <v>44</v>
      </c>
      <c r="K60" s="8">
        <v>24</v>
      </c>
      <c r="L60" s="8">
        <v>20</v>
      </c>
      <c r="M60" s="8">
        <v>0</v>
      </c>
      <c r="N60" s="8"/>
    </row>
    <row r="61" spans="1:14" s="33" customFormat="1" ht="17.25" customHeight="1" x14ac:dyDescent="0.25">
      <c r="A61" s="19" t="s">
        <v>15</v>
      </c>
      <c r="B61" s="9">
        <f t="shared" si="9"/>
        <v>131</v>
      </c>
      <c r="C61" s="8">
        <f t="shared" si="13"/>
        <v>84</v>
      </c>
      <c r="D61" s="8">
        <f t="shared" si="10"/>
        <v>47</v>
      </c>
      <c r="E61" s="16">
        <f t="shared" si="10"/>
        <v>0</v>
      </c>
      <c r="F61" s="9">
        <f t="shared" si="11"/>
        <v>72</v>
      </c>
      <c r="G61" s="8">
        <v>45</v>
      </c>
      <c r="H61" s="8">
        <v>27</v>
      </c>
      <c r="I61" s="16">
        <v>0</v>
      </c>
      <c r="J61" s="9">
        <f t="shared" si="14"/>
        <v>59</v>
      </c>
      <c r="K61" s="8">
        <v>39</v>
      </c>
      <c r="L61" s="8">
        <v>20</v>
      </c>
      <c r="M61" s="8">
        <v>0</v>
      </c>
      <c r="N61" s="8"/>
    </row>
    <row r="62" spans="1:14" s="33" customFormat="1" ht="17.25" customHeight="1" x14ac:dyDescent="0.25">
      <c r="A62" s="19" t="s">
        <v>28</v>
      </c>
      <c r="B62" s="9">
        <f t="shared" si="9"/>
        <v>820</v>
      </c>
      <c r="C62" s="8">
        <f t="shared" si="13"/>
        <v>431</v>
      </c>
      <c r="D62" s="8">
        <f>H62+L62+N62</f>
        <v>389</v>
      </c>
      <c r="E62" s="16">
        <f t="shared" si="10"/>
        <v>0</v>
      </c>
      <c r="F62" s="9">
        <f t="shared" si="11"/>
        <v>422</v>
      </c>
      <c r="G62" s="8">
        <v>216</v>
      </c>
      <c r="H62" s="8">
        <v>206</v>
      </c>
      <c r="I62" s="16">
        <v>0</v>
      </c>
      <c r="J62" s="9">
        <f t="shared" si="14"/>
        <v>398</v>
      </c>
      <c r="K62" s="8">
        <v>215</v>
      </c>
      <c r="L62" s="8">
        <v>183</v>
      </c>
      <c r="M62" s="8">
        <v>0</v>
      </c>
      <c r="N62" s="8"/>
    </row>
    <row r="63" spans="1:14" s="33" customFormat="1" ht="17.25" customHeight="1" x14ac:dyDescent="0.25">
      <c r="A63" s="34" t="s">
        <v>19</v>
      </c>
      <c r="B63" s="20">
        <f t="shared" si="9"/>
        <v>3</v>
      </c>
      <c r="C63" s="14">
        <f t="shared" si="13"/>
        <v>3</v>
      </c>
      <c r="D63" s="14">
        <f t="shared" si="13"/>
        <v>0</v>
      </c>
      <c r="E63" s="18">
        <f t="shared" si="10"/>
        <v>0</v>
      </c>
      <c r="F63" s="20">
        <f>SUM(G63:I63)</f>
        <v>2</v>
      </c>
      <c r="G63" s="14">
        <v>2</v>
      </c>
      <c r="H63" s="14">
        <v>0</v>
      </c>
      <c r="I63" s="18">
        <v>0</v>
      </c>
      <c r="J63" s="20">
        <f t="shared" si="14"/>
        <v>1</v>
      </c>
      <c r="K63" s="14">
        <v>1</v>
      </c>
      <c r="L63" s="14">
        <v>0</v>
      </c>
      <c r="M63" s="14">
        <v>0</v>
      </c>
      <c r="N63" s="8"/>
    </row>
    <row r="64" spans="1:14" ht="15" x14ac:dyDescent="0.2">
      <c r="A64" s="35" t="s">
        <v>32</v>
      </c>
      <c r="B64" s="9"/>
      <c r="C64" s="8"/>
      <c r="D64" s="8"/>
      <c r="E64" s="8"/>
      <c r="F64" s="9"/>
      <c r="G64" s="8"/>
      <c r="H64" s="8"/>
      <c r="I64" s="8"/>
      <c r="J64" s="9"/>
      <c r="K64" s="8"/>
      <c r="L64" s="8"/>
      <c r="M64" s="8"/>
      <c r="N64" s="8"/>
    </row>
    <row r="65" spans="1:14" x14ac:dyDescent="0.2">
      <c r="A65" s="36" t="s">
        <v>33</v>
      </c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</row>
    <row r="66" spans="1:14" x14ac:dyDescent="0.2">
      <c r="A66" s="38" t="s">
        <v>34</v>
      </c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</row>
    <row r="67" spans="1:14" x14ac:dyDescent="0.2">
      <c r="A67" s="39" t="s">
        <v>35</v>
      </c>
    </row>
    <row r="68" spans="1:14" x14ac:dyDescent="0.2">
      <c r="A68" s="15"/>
    </row>
    <row r="69" spans="1:14" ht="21" x14ac:dyDescent="0.2">
      <c r="A69" s="21" t="s">
        <v>38</v>
      </c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</row>
    <row r="70" spans="1:14" ht="15" x14ac:dyDescent="0.2">
      <c r="A70" s="22" t="s">
        <v>39</v>
      </c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</row>
    <row r="71" spans="1:14" x14ac:dyDescent="0.2">
      <c r="A71" s="1"/>
      <c r="B71" s="2"/>
      <c r="C71" s="2"/>
      <c r="D71" s="3"/>
      <c r="E71" s="3"/>
      <c r="F71" s="5"/>
      <c r="G71" s="5"/>
      <c r="H71" s="4"/>
      <c r="I71" s="3"/>
      <c r="J71" s="2"/>
      <c r="K71" s="2"/>
      <c r="L71" s="3"/>
      <c r="M71" s="3"/>
      <c r="N71" s="2"/>
    </row>
    <row r="72" spans="1:14" ht="15" x14ac:dyDescent="0.2">
      <c r="A72" s="23" t="s">
        <v>22</v>
      </c>
      <c r="B72" s="25" t="s">
        <v>16</v>
      </c>
      <c r="C72" s="25"/>
      <c r="D72" s="25"/>
      <c r="E72" s="26"/>
      <c r="F72" s="25" t="s">
        <v>17</v>
      </c>
      <c r="G72" s="25"/>
      <c r="H72" s="25"/>
      <c r="I72" s="25"/>
      <c r="J72" s="27" t="s">
        <v>18</v>
      </c>
      <c r="K72" s="25"/>
      <c r="L72" s="25"/>
      <c r="M72" s="25"/>
      <c r="N72" s="30"/>
    </row>
    <row r="73" spans="1:14" ht="25.5" x14ac:dyDescent="0.2">
      <c r="A73" s="24"/>
      <c r="B73" s="11" t="s">
        <v>23</v>
      </c>
      <c r="C73" s="11" t="s">
        <v>1</v>
      </c>
      <c r="D73" s="11" t="s">
        <v>2</v>
      </c>
      <c r="E73" s="12" t="s">
        <v>29</v>
      </c>
      <c r="F73" s="11" t="s">
        <v>0</v>
      </c>
      <c r="G73" s="11" t="s">
        <v>1</v>
      </c>
      <c r="H73" s="11" t="s">
        <v>2</v>
      </c>
      <c r="I73" s="12" t="s">
        <v>29</v>
      </c>
      <c r="J73" s="13" t="s">
        <v>0</v>
      </c>
      <c r="K73" s="11" t="s">
        <v>1</v>
      </c>
      <c r="L73" s="11" t="s">
        <v>2</v>
      </c>
      <c r="M73" s="11" t="s">
        <v>29</v>
      </c>
      <c r="N73" s="31"/>
    </row>
    <row r="74" spans="1:14" s="29" customFormat="1" ht="17.25" customHeight="1" x14ac:dyDescent="0.25">
      <c r="A74" s="1" t="s">
        <v>24</v>
      </c>
      <c r="B74" s="9">
        <f>SUM(B78:B94)</f>
        <v>1517</v>
      </c>
      <c r="C74" s="9">
        <f>SUM(C78:C94)</f>
        <v>869</v>
      </c>
      <c r="D74" s="9">
        <f t="shared" ref="D74:I74" si="15">SUM(D78:D94)</f>
        <v>647</v>
      </c>
      <c r="E74" s="10">
        <f t="shared" si="15"/>
        <v>1</v>
      </c>
      <c r="F74" s="9">
        <f t="shared" si="15"/>
        <v>776</v>
      </c>
      <c r="G74" s="9">
        <f t="shared" si="15"/>
        <v>428</v>
      </c>
      <c r="H74" s="9">
        <f t="shared" si="15"/>
        <v>347</v>
      </c>
      <c r="I74" s="10">
        <f t="shared" si="15"/>
        <v>1</v>
      </c>
      <c r="J74" s="9">
        <f>SUM(J78:J94)</f>
        <v>741</v>
      </c>
      <c r="K74" s="9">
        <f>SUM(K78:K94)</f>
        <v>441</v>
      </c>
      <c r="L74" s="9">
        <f>SUM(L78:L94)</f>
        <v>300</v>
      </c>
      <c r="M74" s="9">
        <f>SUM(M78:M94)</f>
        <v>0</v>
      </c>
      <c r="N74" s="9"/>
    </row>
    <row r="75" spans="1:14" s="33" customFormat="1" ht="17.25" customHeight="1" x14ac:dyDescent="0.25">
      <c r="A75" s="7" t="s">
        <v>20</v>
      </c>
      <c r="B75" s="8">
        <f>SUM(C75:E75)</f>
        <v>34</v>
      </c>
      <c r="C75" s="8">
        <f t="shared" ref="C75:E77" si="16">G75+K75</f>
        <v>13</v>
      </c>
      <c r="D75" s="8">
        <f t="shared" si="16"/>
        <v>20</v>
      </c>
      <c r="E75" s="16">
        <f t="shared" si="16"/>
        <v>1</v>
      </c>
      <c r="F75" s="8">
        <f>SUM(G75:I75)</f>
        <v>28</v>
      </c>
      <c r="G75" s="8">
        <v>11</v>
      </c>
      <c r="H75" s="8">
        <v>16</v>
      </c>
      <c r="I75" s="16">
        <v>1</v>
      </c>
      <c r="J75" s="8">
        <f>SUM(K75:M75)</f>
        <v>6</v>
      </c>
      <c r="K75" s="8">
        <v>2</v>
      </c>
      <c r="L75" s="8">
        <v>4</v>
      </c>
      <c r="M75" s="8">
        <v>0</v>
      </c>
      <c r="N75" s="8"/>
    </row>
    <row r="76" spans="1:14" s="33" customFormat="1" ht="17.25" customHeight="1" x14ac:dyDescent="0.25">
      <c r="A76" s="7" t="s">
        <v>21</v>
      </c>
      <c r="B76" s="8">
        <f>SUM(C76:E76)</f>
        <v>9</v>
      </c>
      <c r="C76" s="8">
        <f t="shared" si="16"/>
        <v>4</v>
      </c>
      <c r="D76" s="8">
        <f t="shared" si="16"/>
        <v>5</v>
      </c>
      <c r="E76" s="16">
        <f t="shared" si="16"/>
        <v>0</v>
      </c>
      <c r="F76" s="8">
        <f>SUM(G76:I76)</f>
        <v>7</v>
      </c>
      <c r="G76" s="8">
        <v>3</v>
      </c>
      <c r="H76" s="8">
        <v>4</v>
      </c>
      <c r="I76" s="16">
        <v>0</v>
      </c>
      <c r="J76" s="8">
        <f>SUM(K76:L76)</f>
        <v>2</v>
      </c>
      <c r="K76" s="8">
        <v>1</v>
      </c>
      <c r="L76" s="8">
        <v>1</v>
      </c>
      <c r="M76" s="8">
        <v>0</v>
      </c>
      <c r="N76" s="8"/>
    </row>
    <row r="77" spans="1:14" s="33" customFormat="1" ht="17.25" customHeight="1" x14ac:dyDescent="0.25">
      <c r="A77" s="7" t="s">
        <v>25</v>
      </c>
      <c r="B77" s="8">
        <f>SUM(C77:E77)</f>
        <v>14</v>
      </c>
      <c r="C77" s="8">
        <f t="shared" si="16"/>
        <v>8</v>
      </c>
      <c r="D77" s="8">
        <f t="shared" si="16"/>
        <v>6</v>
      </c>
      <c r="E77" s="16">
        <f t="shared" si="16"/>
        <v>0</v>
      </c>
      <c r="F77" s="8">
        <f>SUM(G77:I77)</f>
        <v>11</v>
      </c>
      <c r="G77" s="8">
        <v>6</v>
      </c>
      <c r="H77" s="8">
        <v>5</v>
      </c>
      <c r="I77" s="16">
        <v>0</v>
      </c>
      <c r="J77" s="8">
        <f>SUM(K77:L77)</f>
        <v>3</v>
      </c>
      <c r="K77" s="8">
        <v>2</v>
      </c>
      <c r="L77" s="8">
        <v>1</v>
      </c>
      <c r="M77" s="8">
        <v>0</v>
      </c>
      <c r="N77" s="8"/>
    </row>
    <row r="78" spans="1:14" s="29" customFormat="1" ht="17.25" customHeight="1" x14ac:dyDescent="0.25">
      <c r="A78" s="7" t="s">
        <v>4</v>
      </c>
      <c r="B78" s="9">
        <f>SUM(C78:E78)</f>
        <v>57</v>
      </c>
      <c r="C78" s="17">
        <f>SUM(C75:C77)</f>
        <v>25</v>
      </c>
      <c r="D78" s="17">
        <f>SUM(D75:D77)</f>
        <v>31</v>
      </c>
      <c r="E78" s="10">
        <f>I78+M78</f>
        <v>1</v>
      </c>
      <c r="F78" s="9">
        <f>SUM(G78:I78)</f>
        <v>46</v>
      </c>
      <c r="G78" s="17">
        <f>SUM(G75:G77)</f>
        <v>20</v>
      </c>
      <c r="H78" s="17">
        <f>SUM(H75:H77)</f>
        <v>25</v>
      </c>
      <c r="I78" s="10">
        <f>SUM(I75:I77)</f>
        <v>1</v>
      </c>
      <c r="J78" s="9">
        <f>SUM(K78:M78)</f>
        <v>11</v>
      </c>
      <c r="K78" s="17">
        <f>SUM(K75:K77)</f>
        <v>5</v>
      </c>
      <c r="L78" s="17">
        <f>SUM(L75:L77)</f>
        <v>6</v>
      </c>
      <c r="M78" s="9">
        <v>0</v>
      </c>
      <c r="N78" s="17"/>
    </row>
    <row r="79" spans="1:14" s="33" customFormat="1" ht="17.25" customHeight="1" x14ac:dyDescent="0.25">
      <c r="A79" s="19" t="s">
        <v>6</v>
      </c>
      <c r="B79" s="9">
        <f t="shared" ref="B79:B94" si="17">SUM(C79:E79)</f>
        <v>6</v>
      </c>
      <c r="C79" s="8">
        <f>G79+K79</f>
        <v>3</v>
      </c>
      <c r="D79" s="8">
        <f t="shared" ref="D79:E94" si="18">H79+L79</f>
        <v>3</v>
      </c>
      <c r="E79" s="16">
        <f t="shared" si="18"/>
        <v>0</v>
      </c>
      <c r="F79" s="9">
        <f t="shared" ref="F79:F93" si="19">SUM(G79:H79)</f>
        <v>3</v>
      </c>
      <c r="G79" s="8">
        <v>2</v>
      </c>
      <c r="H79" s="8">
        <v>1</v>
      </c>
      <c r="I79" s="16">
        <v>0</v>
      </c>
      <c r="J79" s="9">
        <f t="shared" ref="J79:J81" si="20">SUM(K79:L79)</f>
        <v>3</v>
      </c>
      <c r="K79" s="8">
        <v>1</v>
      </c>
      <c r="L79" s="8">
        <v>2</v>
      </c>
      <c r="M79" s="8">
        <v>0</v>
      </c>
      <c r="N79" s="8"/>
    </row>
    <row r="80" spans="1:14" s="33" customFormat="1" ht="17.25" customHeight="1" x14ac:dyDescent="0.25">
      <c r="A80" s="19" t="s">
        <v>3</v>
      </c>
      <c r="B80" s="9">
        <f t="shared" si="17"/>
        <v>3</v>
      </c>
      <c r="C80" s="8">
        <f t="shared" ref="C80:D94" si="21">G80+K80</f>
        <v>1</v>
      </c>
      <c r="D80" s="8">
        <f t="shared" si="18"/>
        <v>2</v>
      </c>
      <c r="E80" s="16">
        <f t="shared" si="18"/>
        <v>0</v>
      </c>
      <c r="F80" s="9">
        <f t="shared" si="19"/>
        <v>1</v>
      </c>
      <c r="G80" s="8">
        <v>0</v>
      </c>
      <c r="H80" s="8">
        <v>1</v>
      </c>
      <c r="I80" s="16">
        <v>0</v>
      </c>
      <c r="J80" s="9">
        <f t="shared" si="20"/>
        <v>2</v>
      </c>
      <c r="K80" s="8">
        <v>1</v>
      </c>
      <c r="L80" s="8">
        <v>1</v>
      </c>
      <c r="M80" s="8">
        <v>0</v>
      </c>
      <c r="N80" s="8"/>
    </row>
    <row r="81" spans="1:14" s="33" customFormat="1" ht="17.25" customHeight="1" x14ac:dyDescent="0.25">
      <c r="A81" s="19" t="s">
        <v>5</v>
      </c>
      <c r="B81" s="9">
        <f t="shared" si="17"/>
        <v>10</v>
      </c>
      <c r="C81" s="8">
        <f t="shared" si="21"/>
        <v>6</v>
      </c>
      <c r="D81" s="8">
        <f t="shared" si="18"/>
        <v>4</v>
      </c>
      <c r="E81" s="16">
        <f t="shared" si="18"/>
        <v>0</v>
      </c>
      <c r="F81" s="9">
        <f t="shared" si="19"/>
        <v>7</v>
      </c>
      <c r="G81" s="8">
        <v>3</v>
      </c>
      <c r="H81" s="8">
        <v>4</v>
      </c>
      <c r="I81" s="16">
        <v>0</v>
      </c>
      <c r="J81" s="9">
        <f t="shared" si="20"/>
        <v>3</v>
      </c>
      <c r="K81" s="8">
        <v>3</v>
      </c>
      <c r="L81" s="8">
        <v>0</v>
      </c>
      <c r="M81" s="8">
        <v>0</v>
      </c>
      <c r="N81" s="8"/>
    </row>
    <row r="82" spans="1:14" s="33" customFormat="1" ht="17.25" customHeight="1" x14ac:dyDescent="0.25">
      <c r="A82" s="19" t="s">
        <v>7</v>
      </c>
      <c r="B82" s="9">
        <f t="shared" si="17"/>
        <v>9</v>
      </c>
      <c r="C82" s="8">
        <f t="shared" si="21"/>
        <v>5</v>
      </c>
      <c r="D82" s="8">
        <f t="shared" si="18"/>
        <v>4</v>
      </c>
      <c r="E82" s="16">
        <f t="shared" si="18"/>
        <v>0</v>
      </c>
      <c r="F82" s="9">
        <f t="shared" si="19"/>
        <v>6</v>
      </c>
      <c r="G82" s="8">
        <v>3</v>
      </c>
      <c r="H82" s="8">
        <v>3</v>
      </c>
      <c r="I82" s="16">
        <v>0</v>
      </c>
      <c r="J82" s="9">
        <f>SUM(K82:L82)</f>
        <v>3</v>
      </c>
      <c r="K82" s="8">
        <v>2</v>
      </c>
      <c r="L82" s="8">
        <v>1</v>
      </c>
      <c r="M82" s="8">
        <v>0</v>
      </c>
      <c r="N82" s="8"/>
    </row>
    <row r="83" spans="1:14" s="33" customFormat="1" ht="17.25" customHeight="1" x14ac:dyDescent="0.25">
      <c r="A83" s="19" t="s">
        <v>8</v>
      </c>
      <c r="B83" s="9">
        <f t="shared" si="17"/>
        <v>13</v>
      </c>
      <c r="C83" s="8">
        <f t="shared" si="21"/>
        <v>8</v>
      </c>
      <c r="D83" s="8">
        <f t="shared" si="18"/>
        <v>5</v>
      </c>
      <c r="E83" s="16">
        <f t="shared" si="18"/>
        <v>0</v>
      </c>
      <c r="F83" s="9">
        <f t="shared" si="19"/>
        <v>9</v>
      </c>
      <c r="G83" s="8">
        <v>6</v>
      </c>
      <c r="H83" s="8">
        <v>3</v>
      </c>
      <c r="I83" s="16">
        <v>0</v>
      </c>
      <c r="J83" s="9">
        <f t="shared" ref="J83:J94" si="22">SUM(K83:L83)</f>
        <v>4</v>
      </c>
      <c r="K83" s="8">
        <v>2</v>
      </c>
      <c r="L83" s="8">
        <v>2</v>
      </c>
      <c r="M83" s="8">
        <v>0</v>
      </c>
      <c r="N83" s="8"/>
    </row>
    <row r="84" spans="1:14" s="33" customFormat="1" ht="17.25" customHeight="1" x14ac:dyDescent="0.25">
      <c r="A84" s="19" t="s">
        <v>26</v>
      </c>
      <c r="B84" s="9">
        <f t="shared" si="17"/>
        <v>21</v>
      </c>
      <c r="C84" s="8">
        <f t="shared" si="21"/>
        <v>17</v>
      </c>
      <c r="D84" s="8">
        <f t="shared" si="18"/>
        <v>4</v>
      </c>
      <c r="E84" s="16">
        <f t="shared" si="18"/>
        <v>0</v>
      </c>
      <c r="F84" s="9">
        <f t="shared" si="19"/>
        <v>10</v>
      </c>
      <c r="G84" s="8">
        <v>7</v>
      </c>
      <c r="H84" s="8">
        <v>3</v>
      </c>
      <c r="I84" s="16">
        <v>0</v>
      </c>
      <c r="J84" s="9">
        <f t="shared" si="22"/>
        <v>11</v>
      </c>
      <c r="K84" s="8">
        <v>10</v>
      </c>
      <c r="L84" s="8">
        <v>1</v>
      </c>
      <c r="M84" s="8">
        <v>0</v>
      </c>
      <c r="N84" s="8"/>
    </row>
    <row r="85" spans="1:14" s="33" customFormat="1" ht="17.25" customHeight="1" x14ac:dyDescent="0.25">
      <c r="A85" s="19" t="s">
        <v>9</v>
      </c>
      <c r="B85" s="9">
        <f t="shared" si="17"/>
        <v>36</v>
      </c>
      <c r="C85" s="8">
        <f t="shared" si="21"/>
        <v>26</v>
      </c>
      <c r="D85" s="8">
        <f t="shared" si="18"/>
        <v>10</v>
      </c>
      <c r="E85" s="16">
        <f t="shared" si="18"/>
        <v>0</v>
      </c>
      <c r="F85" s="9">
        <f t="shared" si="19"/>
        <v>20</v>
      </c>
      <c r="G85" s="8">
        <v>12</v>
      </c>
      <c r="H85" s="8">
        <v>8</v>
      </c>
      <c r="I85" s="16">
        <v>0</v>
      </c>
      <c r="J85" s="9">
        <f t="shared" si="22"/>
        <v>16</v>
      </c>
      <c r="K85" s="8">
        <v>14</v>
      </c>
      <c r="L85" s="8">
        <v>2</v>
      </c>
      <c r="M85" s="8">
        <v>0</v>
      </c>
      <c r="N85" s="8"/>
    </row>
    <row r="86" spans="1:14" s="33" customFormat="1" ht="17.25" customHeight="1" x14ac:dyDescent="0.25">
      <c r="A86" s="19" t="s">
        <v>10</v>
      </c>
      <c r="B86" s="9">
        <f t="shared" si="17"/>
        <v>29</v>
      </c>
      <c r="C86" s="8">
        <f t="shared" si="21"/>
        <v>21</v>
      </c>
      <c r="D86" s="8">
        <f t="shared" si="18"/>
        <v>8</v>
      </c>
      <c r="E86" s="16">
        <f t="shared" si="18"/>
        <v>0</v>
      </c>
      <c r="F86" s="9">
        <f t="shared" si="19"/>
        <v>22</v>
      </c>
      <c r="G86" s="8">
        <v>14</v>
      </c>
      <c r="H86" s="8">
        <v>8</v>
      </c>
      <c r="I86" s="16">
        <v>0</v>
      </c>
      <c r="J86" s="9">
        <f t="shared" si="22"/>
        <v>7</v>
      </c>
      <c r="K86" s="8">
        <v>7</v>
      </c>
      <c r="L86" s="8">
        <v>0</v>
      </c>
      <c r="M86" s="8">
        <v>0</v>
      </c>
      <c r="N86" s="8"/>
    </row>
    <row r="87" spans="1:14" s="33" customFormat="1" ht="17.25" customHeight="1" x14ac:dyDescent="0.25">
      <c r="A87" s="19" t="s">
        <v>27</v>
      </c>
      <c r="B87" s="9">
        <f t="shared" si="17"/>
        <v>41</v>
      </c>
      <c r="C87" s="8">
        <f t="shared" si="21"/>
        <v>28</v>
      </c>
      <c r="D87" s="8">
        <f t="shared" si="18"/>
        <v>13</v>
      </c>
      <c r="E87" s="16">
        <f t="shared" si="18"/>
        <v>0</v>
      </c>
      <c r="F87" s="9">
        <f t="shared" si="19"/>
        <v>26</v>
      </c>
      <c r="G87" s="8">
        <v>18</v>
      </c>
      <c r="H87" s="8">
        <v>8</v>
      </c>
      <c r="I87" s="16">
        <v>0</v>
      </c>
      <c r="J87" s="9">
        <f t="shared" si="22"/>
        <v>15</v>
      </c>
      <c r="K87" s="8">
        <v>10</v>
      </c>
      <c r="L87" s="8">
        <v>5</v>
      </c>
      <c r="M87" s="8">
        <v>0</v>
      </c>
      <c r="N87" s="8"/>
    </row>
    <row r="88" spans="1:14" s="33" customFormat="1" ht="17.25" customHeight="1" x14ac:dyDescent="0.25">
      <c r="A88" s="19" t="s">
        <v>11</v>
      </c>
      <c r="B88" s="9">
        <f t="shared" si="17"/>
        <v>43</v>
      </c>
      <c r="C88" s="8">
        <f t="shared" si="21"/>
        <v>31</v>
      </c>
      <c r="D88" s="8">
        <f t="shared" si="18"/>
        <v>12</v>
      </c>
      <c r="E88" s="16">
        <f t="shared" si="18"/>
        <v>0</v>
      </c>
      <c r="F88" s="9">
        <f t="shared" si="19"/>
        <v>22</v>
      </c>
      <c r="G88" s="8">
        <v>16</v>
      </c>
      <c r="H88" s="8">
        <v>6</v>
      </c>
      <c r="I88" s="16">
        <v>0</v>
      </c>
      <c r="J88" s="9">
        <f t="shared" si="22"/>
        <v>21</v>
      </c>
      <c r="K88" s="8">
        <v>15</v>
      </c>
      <c r="L88" s="8">
        <v>6</v>
      </c>
      <c r="M88" s="8">
        <v>0</v>
      </c>
      <c r="N88" s="8"/>
    </row>
    <row r="89" spans="1:14" s="33" customFormat="1" ht="17.25" customHeight="1" x14ac:dyDescent="0.25">
      <c r="A89" s="19" t="s">
        <v>12</v>
      </c>
      <c r="B89" s="9">
        <f t="shared" si="17"/>
        <v>48</v>
      </c>
      <c r="C89" s="8">
        <f t="shared" si="21"/>
        <v>33</v>
      </c>
      <c r="D89" s="8">
        <f t="shared" si="18"/>
        <v>15</v>
      </c>
      <c r="E89" s="16">
        <f t="shared" si="18"/>
        <v>0</v>
      </c>
      <c r="F89" s="9">
        <f t="shared" si="19"/>
        <v>27</v>
      </c>
      <c r="G89" s="8">
        <v>18</v>
      </c>
      <c r="H89" s="8">
        <v>9</v>
      </c>
      <c r="I89" s="16">
        <v>0</v>
      </c>
      <c r="J89" s="9">
        <f t="shared" si="22"/>
        <v>21</v>
      </c>
      <c r="K89" s="8">
        <v>15</v>
      </c>
      <c r="L89" s="8">
        <v>6</v>
      </c>
      <c r="M89" s="8">
        <v>0</v>
      </c>
      <c r="N89" s="8"/>
    </row>
    <row r="90" spans="1:14" s="33" customFormat="1" ht="17.25" customHeight="1" x14ac:dyDescent="0.25">
      <c r="A90" s="19" t="s">
        <v>13</v>
      </c>
      <c r="B90" s="9">
        <f t="shared" si="17"/>
        <v>91</v>
      </c>
      <c r="C90" s="8">
        <f t="shared" si="21"/>
        <v>58</v>
      </c>
      <c r="D90" s="8">
        <f t="shared" si="18"/>
        <v>33</v>
      </c>
      <c r="E90" s="16">
        <f t="shared" si="18"/>
        <v>0</v>
      </c>
      <c r="F90" s="9">
        <f t="shared" si="19"/>
        <v>55</v>
      </c>
      <c r="G90" s="8">
        <v>32</v>
      </c>
      <c r="H90" s="8">
        <v>23</v>
      </c>
      <c r="I90" s="16">
        <v>0</v>
      </c>
      <c r="J90" s="9">
        <f t="shared" si="22"/>
        <v>36</v>
      </c>
      <c r="K90" s="8">
        <v>26</v>
      </c>
      <c r="L90" s="8">
        <v>10</v>
      </c>
      <c r="M90" s="8">
        <v>0</v>
      </c>
      <c r="N90" s="8"/>
    </row>
    <row r="91" spans="1:14" s="33" customFormat="1" ht="17.25" customHeight="1" x14ac:dyDescent="0.25">
      <c r="A91" s="19" t="s">
        <v>14</v>
      </c>
      <c r="B91" s="9">
        <f t="shared" si="17"/>
        <v>107</v>
      </c>
      <c r="C91" s="8">
        <f t="shared" si="21"/>
        <v>72</v>
      </c>
      <c r="D91" s="8">
        <f t="shared" si="18"/>
        <v>35</v>
      </c>
      <c r="E91" s="16">
        <f t="shared" si="18"/>
        <v>0</v>
      </c>
      <c r="F91" s="9">
        <f t="shared" si="19"/>
        <v>71</v>
      </c>
      <c r="G91" s="8">
        <v>45</v>
      </c>
      <c r="H91" s="8">
        <v>26</v>
      </c>
      <c r="I91" s="16">
        <v>0</v>
      </c>
      <c r="J91" s="9">
        <f t="shared" si="22"/>
        <v>36</v>
      </c>
      <c r="K91" s="8">
        <v>27</v>
      </c>
      <c r="L91" s="8">
        <v>9</v>
      </c>
      <c r="M91" s="8">
        <v>0</v>
      </c>
      <c r="N91" s="8"/>
    </row>
    <row r="92" spans="1:14" s="33" customFormat="1" ht="17.25" customHeight="1" x14ac:dyDescent="0.25">
      <c r="A92" s="19" t="s">
        <v>15</v>
      </c>
      <c r="B92" s="9">
        <f t="shared" si="17"/>
        <v>112</v>
      </c>
      <c r="C92" s="8">
        <f t="shared" si="21"/>
        <v>65</v>
      </c>
      <c r="D92" s="8">
        <f t="shared" si="18"/>
        <v>47</v>
      </c>
      <c r="E92" s="16">
        <f t="shared" si="18"/>
        <v>0</v>
      </c>
      <c r="F92" s="9">
        <f t="shared" si="19"/>
        <v>61</v>
      </c>
      <c r="G92" s="8">
        <v>31</v>
      </c>
      <c r="H92" s="8">
        <v>30</v>
      </c>
      <c r="I92" s="16">
        <v>0</v>
      </c>
      <c r="J92" s="9">
        <f t="shared" si="22"/>
        <v>51</v>
      </c>
      <c r="K92" s="8">
        <v>34</v>
      </c>
      <c r="L92" s="8">
        <v>17</v>
      </c>
      <c r="M92" s="8">
        <v>0</v>
      </c>
      <c r="N92" s="8"/>
    </row>
    <row r="93" spans="1:14" s="33" customFormat="1" ht="17.25" customHeight="1" x14ac:dyDescent="0.25">
      <c r="A93" s="19" t="s">
        <v>28</v>
      </c>
      <c r="B93" s="9">
        <f t="shared" si="17"/>
        <v>888</v>
      </c>
      <c r="C93" s="8">
        <f t="shared" si="21"/>
        <v>467</v>
      </c>
      <c r="D93" s="8">
        <f>H93+L93+N93</f>
        <v>421</v>
      </c>
      <c r="E93" s="16">
        <f t="shared" si="18"/>
        <v>0</v>
      </c>
      <c r="F93" s="9">
        <f t="shared" si="19"/>
        <v>387</v>
      </c>
      <c r="G93" s="8">
        <v>198</v>
      </c>
      <c r="H93" s="8">
        <v>189</v>
      </c>
      <c r="I93" s="16">
        <v>0</v>
      </c>
      <c r="J93" s="9">
        <f t="shared" si="22"/>
        <v>501</v>
      </c>
      <c r="K93" s="8">
        <v>269</v>
      </c>
      <c r="L93" s="8">
        <v>232</v>
      </c>
      <c r="M93" s="8">
        <v>0</v>
      </c>
      <c r="N93" s="8"/>
    </row>
    <row r="94" spans="1:14" s="33" customFormat="1" ht="17.25" customHeight="1" x14ac:dyDescent="0.25">
      <c r="A94" s="34" t="s">
        <v>19</v>
      </c>
      <c r="B94" s="20">
        <f t="shared" si="17"/>
        <v>3</v>
      </c>
      <c r="C94" s="14">
        <f t="shared" si="21"/>
        <v>3</v>
      </c>
      <c r="D94" s="14">
        <f t="shared" si="21"/>
        <v>0</v>
      </c>
      <c r="E94" s="18">
        <f t="shared" si="18"/>
        <v>0</v>
      </c>
      <c r="F94" s="20">
        <f>SUM(G94:I94)</f>
        <v>3</v>
      </c>
      <c r="G94" s="14">
        <v>3</v>
      </c>
      <c r="H94" s="14">
        <v>0</v>
      </c>
      <c r="I94" s="18">
        <v>0</v>
      </c>
      <c r="J94" s="20">
        <f t="shared" si="22"/>
        <v>0</v>
      </c>
      <c r="K94" s="14">
        <v>0</v>
      </c>
      <c r="L94" s="14">
        <v>0</v>
      </c>
      <c r="M94" s="14">
        <v>0</v>
      </c>
      <c r="N94" s="8"/>
    </row>
    <row r="95" spans="1:14" ht="15" x14ac:dyDescent="0.2">
      <c r="A95" s="35" t="s">
        <v>32</v>
      </c>
      <c r="B95" s="9"/>
      <c r="C95" s="8"/>
      <c r="D95" s="8"/>
      <c r="E95" s="8"/>
      <c r="F95" s="9"/>
      <c r="G95" s="8"/>
      <c r="H95" s="8"/>
      <c r="I95" s="8"/>
      <c r="J95" s="9"/>
      <c r="K95" s="8"/>
      <c r="L95" s="8"/>
      <c r="M95" s="8"/>
      <c r="N95" s="8"/>
    </row>
    <row r="96" spans="1:14" x14ac:dyDescent="0.2">
      <c r="A96" s="36" t="s">
        <v>33</v>
      </c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</row>
    <row r="97" spans="1:14" x14ac:dyDescent="0.2">
      <c r="A97" s="38" t="s">
        <v>34</v>
      </c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</row>
    <row r="98" spans="1:14" x14ac:dyDescent="0.2">
      <c r="A98" s="39" t="s">
        <v>35</v>
      </c>
    </row>
    <row r="99" spans="1:14" x14ac:dyDescent="0.2">
      <c r="A99" s="39"/>
    </row>
    <row r="100" spans="1:14" x14ac:dyDescent="0.2">
      <c r="A100" s="39"/>
    </row>
    <row r="101" spans="1:14" x14ac:dyDescent="0.2">
      <c r="A101" s="39"/>
    </row>
    <row r="102" spans="1:14" ht="21" x14ac:dyDescent="0.2">
      <c r="A102" s="21" t="s">
        <v>40</v>
      </c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</row>
    <row r="103" spans="1:14" ht="15" x14ac:dyDescent="0.2">
      <c r="A103" s="22" t="s">
        <v>41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</row>
    <row r="104" spans="1:14" x14ac:dyDescent="0.2">
      <c r="A104" s="1"/>
      <c r="B104" s="2"/>
      <c r="C104" s="2"/>
      <c r="D104" s="3"/>
      <c r="E104" s="3"/>
      <c r="F104" s="5"/>
      <c r="G104" s="5"/>
      <c r="H104" s="4"/>
      <c r="I104" s="3"/>
      <c r="J104" s="2"/>
      <c r="K104" s="2"/>
      <c r="L104" s="3"/>
      <c r="M104" s="3"/>
      <c r="N104" s="2"/>
    </row>
    <row r="105" spans="1:14" ht="15" x14ac:dyDescent="0.2">
      <c r="A105" s="23" t="s">
        <v>22</v>
      </c>
      <c r="B105" s="25" t="s">
        <v>16</v>
      </c>
      <c r="C105" s="25"/>
      <c r="D105" s="25"/>
      <c r="E105" s="26"/>
      <c r="F105" s="25" t="s">
        <v>17</v>
      </c>
      <c r="G105" s="25"/>
      <c r="H105" s="25"/>
      <c r="I105" s="25"/>
      <c r="J105" s="27" t="s">
        <v>18</v>
      </c>
      <c r="K105" s="25"/>
      <c r="L105" s="25"/>
      <c r="M105" s="25"/>
      <c r="N105" s="30"/>
    </row>
    <row r="106" spans="1:14" ht="25.5" x14ac:dyDescent="0.2">
      <c r="A106" s="24"/>
      <c r="B106" s="11" t="s">
        <v>23</v>
      </c>
      <c r="C106" s="11" t="s">
        <v>1</v>
      </c>
      <c r="D106" s="11" t="s">
        <v>2</v>
      </c>
      <c r="E106" s="12" t="s">
        <v>29</v>
      </c>
      <c r="F106" s="11" t="s">
        <v>0</v>
      </c>
      <c r="G106" s="11" t="s">
        <v>1</v>
      </c>
      <c r="H106" s="11" t="s">
        <v>2</v>
      </c>
      <c r="I106" s="12" t="s">
        <v>29</v>
      </c>
      <c r="J106" s="13" t="s">
        <v>0</v>
      </c>
      <c r="K106" s="11" t="s">
        <v>1</v>
      </c>
      <c r="L106" s="11" t="s">
        <v>2</v>
      </c>
      <c r="M106" s="11" t="s">
        <v>29</v>
      </c>
      <c r="N106" s="31"/>
    </row>
    <row r="107" spans="1:14" s="29" customFormat="1" ht="17.25" customHeight="1" x14ac:dyDescent="0.25">
      <c r="A107" s="1" t="s">
        <v>24</v>
      </c>
      <c r="B107" s="9">
        <f>SUM(B111:B127)</f>
        <v>1491</v>
      </c>
      <c r="C107" s="9">
        <f>SUM(C111:C127)</f>
        <v>864</v>
      </c>
      <c r="D107" s="9">
        <f t="shared" ref="D107:I107" si="23">SUM(D111:D127)</f>
        <v>627</v>
      </c>
      <c r="E107" s="10">
        <f t="shared" si="23"/>
        <v>0</v>
      </c>
      <c r="F107" s="9">
        <f t="shared" si="23"/>
        <v>804</v>
      </c>
      <c r="G107" s="9">
        <f t="shared" si="23"/>
        <v>447</v>
      </c>
      <c r="H107" s="9">
        <f t="shared" si="23"/>
        <v>357</v>
      </c>
      <c r="I107" s="10">
        <f t="shared" si="23"/>
        <v>0</v>
      </c>
      <c r="J107" s="9">
        <f>SUM(J111:J127)</f>
        <v>687</v>
      </c>
      <c r="K107" s="9">
        <f>SUM(K111:K127)</f>
        <v>417</v>
      </c>
      <c r="L107" s="9">
        <f>SUM(L111:L127)</f>
        <v>270</v>
      </c>
      <c r="M107" s="9">
        <f>SUM(M111:M127)</f>
        <v>0</v>
      </c>
      <c r="N107" s="9"/>
    </row>
    <row r="108" spans="1:14" s="33" customFormat="1" ht="17.25" customHeight="1" x14ac:dyDescent="0.25">
      <c r="A108" s="7" t="s">
        <v>20</v>
      </c>
      <c r="B108" s="8">
        <f>SUM(C108:E108)</f>
        <v>31</v>
      </c>
      <c r="C108" s="8">
        <f t="shared" ref="C108:E110" si="24">G108+K108</f>
        <v>15</v>
      </c>
      <c r="D108" s="8">
        <f t="shared" si="24"/>
        <v>16</v>
      </c>
      <c r="E108" s="16">
        <f t="shared" si="24"/>
        <v>0</v>
      </c>
      <c r="F108" s="8">
        <f>SUM(G108:I108)</f>
        <v>23</v>
      </c>
      <c r="G108" s="8">
        <v>9</v>
      </c>
      <c r="H108" s="8">
        <v>14</v>
      </c>
      <c r="I108" s="16">
        <v>0</v>
      </c>
      <c r="J108" s="8">
        <f>SUM(K108:M108)</f>
        <v>8</v>
      </c>
      <c r="K108" s="8">
        <v>6</v>
      </c>
      <c r="L108" s="8">
        <v>2</v>
      </c>
      <c r="M108" s="8">
        <v>0</v>
      </c>
      <c r="N108" s="8"/>
    </row>
    <row r="109" spans="1:14" s="33" customFormat="1" ht="17.25" customHeight="1" x14ac:dyDescent="0.25">
      <c r="A109" s="7" t="s">
        <v>21</v>
      </c>
      <c r="B109" s="8">
        <f>SUM(C109:E109)</f>
        <v>19</v>
      </c>
      <c r="C109" s="8">
        <f t="shared" si="24"/>
        <v>9</v>
      </c>
      <c r="D109" s="8">
        <f t="shared" si="24"/>
        <v>10</v>
      </c>
      <c r="E109" s="16">
        <f t="shared" si="24"/>
        <v>0</v>
      </c>
      <c r="F109" s="8">
        <f>SUM(G109:I109)</f>
        <v>16</v>
      </c>
      <c r="G109" s="8">
        <v>6</v>
      </c>
      <c r="H109" s="8">
        <v>10</v>
      </c>
      <c r="I109" s="16">
        <v>0</v>
      </c>
      <c r="J109" s="8">
        <f>SUM(K109:L109)</f>
        <v>3</v>
      </c>
      <c r="K109" s="8">
        <v>3</v>
      </c>
      <c r="L109" s="8">
        <v>0</v>
      </c>
      <c r="M109" s="8">
        <v>0</v>
      </c>
      <c r="N109" s="8"/>
    </row>
    <row r="110" spans="1:14" s="33" customFormat="1" ht="17.25" customHeight="1" x14ac:dyDescent="0.25">
      <c r="A110" s="7" t="s">
        <v>25</v>
      </c>
      <c r="B110" s="8">
        <f>SUM(C110:E110)</f>
        <v>11</v>
      </c>
      <c r="C110" s="8">
        <f t="shared" si="24"/>
        <v>3</v>
      </c>
      <c r="D110" s="8">
        <f t="shared" si="24"/>
        <v>8</v>
      </c>
      <c r="E110" s="16">
        <f t="shared" si="24"/>
        <v>0</v>
      </c>
      <c r="F110" s="8">
        <f>SUM(G110:I110)</f>
        <v>9</v>
      </c>
      <c r="G110" s="8">
        <v>2</v>
      </c>
      <c r="H110" s="8">
        <v>7</v>
      </c>
      <c r="I110" s="16">
        <v>0</v>
      </c>
      <c r="J110" s="8">
        <f>SUM(K110:L110)</f>
        <v>2</v>
      </c>
      <c r="K110" s="8">
        <v>1</v>
      </c>
      <c r="L110" s="8">
        <v>1</v>
      </c>
      <c r="M110" s="8">
        <v>0</v>
      </c>
      <c r="N110" s="8"/>
    </row>
    <row r="111" spans="1:14" s="29" customFormat="1" ht="17.25" customHeight="1" x14ac:dyDescent="0.25">
      <c r="A111" s="7" t="s">
        <v>4</v>
      </c>
      <c r="B111" s="9">
        <f>SUM(C111:E111)</f>
        <v>61</v>
      </c>
      <c r="C111" s="17">
        <f>SUM(C108:C110)</f>
        <v>27</v>
      </c>
      <c r="D111" s="17">
        <f>SUM(D108:D110)</f>
        <v>34</v>
      </c>
      <c r="E111" s="10">
        <f>I111+M111</f>
        <v>0</v>
      </c>
      <c r="F111" s="9">
        <f>SUM(G111:I111)</f>
        <v>48</v>
      </c>
      <c r="G111" s="17">
        <f>SUM(G108:G110)</f>
        <v>17</v>
      </c>
      <c r="H111" s="17">
        <f>SUM(H108:H110)</f>
        <v>31</v>
      </c>
      <c r="I111" s="10">
        <f>SUM(I108:I110)</f>
        <v>0</v>
      </c>
      <c r="J111" s="9">
        <f>SUM(K111:M111)</f>
        <v>13</v>
      </c>
      <c r="K111" s="17">
        <f>SUM(K108:K110)</f>
        <v>10</v>
      </c>
      <c r="L111" s="17">
        <f>SUM(L108:L110)</f>
        <v>3</v>
      </c>
      <c r="M111" s="9">
        <v>0</v>
      </c>
      <c r="N111" s="17"/>
    </row>
    <row r="112" spans="1:14" s="33" customFormat="1" ht="17.25" customHeight="1" x14ac:dyDescent="0.25">
      <c r="A112" s="19" t="s">
        <v>6</v>
      </c>
      <c r="B112" s="9">
        <f t="shared" ref="B112:B127" si="25">SUM(C112:E112)</f>
        <v>14</v>
      </c>
      <c r="C112" s="8">
        <f>G112+K112</f>
        <v>9</v>
      </c>
      <c r="D112" s="8">
        <f t="shared" ref="D112:E127" si="26">H112+L112</f>
        <v>5</v>
      </c>
      <c r="E112" s="16">
        <f t="shared" si="26"/>
        <v>0</v>
      </c>
      <c r="F112" s="9">
        <f t="shared" ref="F112:F126" si="27">SUM(G112:H112)</f>
        <v>8</v>
      </c>
      <c r="G112" s="8">
        <v>4</v>
      </c>
      <c r="H112" s="8">
        <v>4</v>
      </c>
      <c r="I112" s="16">
        <v>0</v>
      </c>
      <c r="J112" s="9">
        <f t="shared" ref="J112:J114" si="28">SUM(K112:L112)</f>
        <v>6</v>
      </c>
      <c r="K112" s="8">
        <v>5</v>
      </c>
      <c r="L112" s="8">
        <v>1</v>
      </c>
      <c r="M112" s="8">
        <v>0</v>
      </c>
      <c r="N112" s="8"/>
    </row>
    <row r="113" spans="1:14" s="33" customFormat="1" ht="17.25" customHeight="1" x14ac:dyDescent="0.25">
      <c r="A113" s="19" t="s">
        <v>3</v>
      </c>
      <c r="B113" s="9">
        <f t="shared" si="25"/>
        <v>10</v>
      </c>
      <c r="C113" s="8">
        <f t="shared" ref="C113:D127" si="29">G113+K113</f>
        <v>3</v>
      </c>
      <c r="D113" s="8">
        <f t="shared" si="26"/>
        <v>7</v>
      </c>
      <c r="E113" s="16">
        <f t="shared" si="26"/>
        <v>0</v>
      </c>
      <c r="F113" s="9">
        <f t="shared" si="27"/>
        <v>6</v>
      </c>
      <c r="G113" s="8">
        <v>1</v>
      </c>
      <c r="H113" s="8">
        <v>5</v>
      </c>
      <c r="I113" s="16">
        <v>0</v>
      </c>
      <c r="J113" s="9">
        <f t="shared" si="28"/>
        <v>4</v>
      </c>
      <c r="K113" s="8">
        <v>2</v>
      </c>
      <c r="L113" s="8">
        <v>2</v>
      </c>
      <c r="M113" s="8">
        <v>0</v>
      </c>
      <c r="N113" s="8"/>
    </row>
    <row r="114" spans="1:14" s="33" customFormat="1" ht="17.25" customHeight="1" x14ac:dyDescent="0.25">
      <c r="A114" s="19" t="s">
        <v>5</v>
      </c>
      <c r="B114" s="9">
        <f t="shared" si="25"/>
        <v>6</v>
      </c>
      <c r="C114" s="8">
        <f t="shared" si="29"/>
        <v>4</v>
      </c>
      <c r="D114" s="8">
        <f t="shared" si="26"/>
        <v>2</v>
      </c>
      <c r="E114" s="16">
        <f t="shared" si="26"/>
        <v>0</v>
      </c>
      <c r="F114" s="9">
        <f t="shared" si="27"/>
        <v>2</v>
      </c>
      <c r="G114" s="8">
        <v>1</v>
      </c>
      <c r="H114" s="8">
        <v>1</v>
      </c>
      <c r="I114" s="16">
        <v>0</v>
      </c>
      <c r="J114" s="9">
        <f t="shared" si="28"/>
        <v>4</v>
      </c>
      <c r="K114" s="8">
        <v>3</v>
      </c>
      <c r="L114" s="8">
        <v>1</v>
      </c>
      <c r="M114" s="8">
        <v>0</v>
      </c>
      <c r="N114" s="8"/>
    </row>
    <row r="115" spans="1:14" s="33" customFormat="1" ht="17.25" customHeight="1" x14ac:dyDescent="0.25">
      <c r="A115" s="19" t="s">
        <v>7</v>
      </c>
      <c r="B115" s="9">
        <f t="shared" si="25"/>
        <v>13</v>
      </c>
      <c r="C115" s="8">
        <f t="shared" si="29"/>
        <v>9</v>
      </c>
      <c r="D115" s="8">
        <f t="shared" si="26"/>
        <v>4</v>
      </c>
      <c r="E115" s="16">
        <f t="shared" si="26"/>
        <v>0</v>
      </c>
      <c r="F115" s="9">
        <f t="shared" si="27"/>
        <v>10</v>
      </c>
      <c r="G115" s="8">
        <v>6</v>
      </c>
      <c r="H115" s="8">
        <v>4</v>
      </c>
      <c r="I115" s="16">
        <v>0</v>
      </c>
      <c r="J115" s="9">
        <f>SUM(K115:L115)</f>
        <v>3</v>
      </c>
      <c r="K115" s="8">
        <v>3</v>
      </c>
      <c r="L115" s="8">
        <v>0</v>
      </c>
      <c r="M115" s="8">
        <v>0</v>
      </c>
      <c r="N115" s="8"/>
    </row>
    <row r="116" spans="1:14" s="33" customFormat="1" ht="17.25" customHeight="1" x14ac:dyDescent="0.25">
      <c r="A116" s="19" t="s">
        <v>8</v>
      </c>
      <c r="B116" s="9">
        <f t="shared" si="25"/>
        <v>23</v>
      </c>
      <c r="C116" s="8">
        <f t="shared" si="29"/>
        <v>15</v>
      </c>
      <c r="D116" s="8">
        <f t="shared" si="26"/>
        <v>8</v>
      </c>
      <c r="E116" s="16">
        <f t="shared" si="26"/>
        <v>0</v>
      </c>
      <c r="F116" s="9">
        <f t="shared" si="27"/>
        <v>14</v>
      </c>
      <c r="G116" s="8">
        <v>8</v>
      </c>
      <c r="H116" s="8">
        <v>6</v>
      </c>
      <c r="I116" s="16">
        <v>0</v>
      </c>
      <c r="J116" s="9">
        <f t="shared" ref="J116:J127" si="30">SUM(K116:L116)</f>
        <v>9</v>
      </c>
      <c r="K116" s="8">
        <v>7</v>
      </c>
      <c r="L116" s="8">
        <v>2</v>
      </c>
      <c r="M116" s="8">
        <v>0</v>
      </c>
      <c r="N116" s="8"/>
    </row>
    <row r="117" spans="1:14" s="33" customFormat="1" ht="17.25" customHeight="1" x14ac:dyDescent="0.25">
      <c r="A117" s="19" t="s">
        <v>26</v>
      </c>
      <c r="B117" s="9">
        <f t="shared" si="25"/>
        <v>29</v>
      </c>
      <c r="C117" s="8">
        <f t="shared" si="29"/>
        <v>21</v>
      </c>
      <c r="D117" s="8">
        <f t="shared" si="26"/>
        <v>8</v>
      </c>
      <c r="E117" s="16">
        <f t="shared" si="26"/>
        <v>0</v>
      </c>
      <c r="F117" s="9">
        <f t="shared" si="27"/>
        <v>16</v>
      </c>
      <c r="G117" s="8">
        <v>10</v>
      </c>
      <c r="H117" s="8">
        <v>6</v>
      </c>
      <c r="I117" s="16">
        <v>0</v>
      </c>
      <c r="J117" s="9">
        <f t="shared" si="30"/>
        <v>13</v>
      </c>
      <c r="K117" s="8">
        <v>11</v>
      </c>
      <c r="L117" s="8">
        <v>2</v>
      </c>
      <c r="M117" s="8">
        <v>0</v>
      </c>
      <c r="N117" s="8"/>
    </row>
    <row r="118" spans="1:14" s="33" customFormat="1" ht="17.25" customHeight="1" x14ac:dyDescent="0.25">
      <c r="A118" s="19" t="s">
        <v>9</v>
      </c>
      <c r="B118" s="9">
        <f t="shared" si="25"/>
        <v>29</v>
      </c>
      <c r="C118" s="8">
        <f t="shared" si="29"/>
        <v>25</v>
      </c>
      <c r="D118" s="8">
        <f t="shared" si="26"/>
        <v>4</v>
      </c>
      <c r="E118" s="16">
        <f t="shared" si="26"/>
        <v>0</v>
      </c>
      <c r="F118" s="9">
        <f t="shared" si="27"/>
        <v>15</v>
      </c>
      <c r="G118" s="8">
        <v>12</v>
      </c>
      <c r="H118" s="8">
        <v>3</v>
      </c>
      <c r="I118" s="16">
        <v>0</v>
      </c>
      <c r="J118" s="9">
        <f t="shared" si="30"/>
        <v>14</v>
      </c>
      <c r="K118" s="8">
        <v>13</v>
      </c>
      <c r="L118" s="8">
        <v>1</v>
      </c>
      <c r="M118" s="8">
        <v>0</v>
      </c>
      <c r="N118" s="8"/>
    </row>
    <row r="119" spans="1:14" s="33" customFormat="1" ht="17.25" customHeight="1" x14ac:dyDescent="0.25">
      <c r="A119" s="19" t="s">
        <v>10</v>
      </c>
      <c r="B119" s="9">
        <f t="shared" si="25"/>
        <v>34</v>
      </c>
      <c r="C119" s="8">
        <f t="shared" si="29"/>
        <v>31</v>
      </c>
      <c r="D119" s="8">
        <f t="shared" si="26"/>
        <v>3</v>
      </c>
      <c r="E119" s="16">
        <f t="shared" si="26"/>
        <v>0</v>
      </c>
      <c r="F119" s="9">
        <f t="shared" si="27"/>
        <v>19</v>
      </c>
      <c r="G119" s="8">
        <v>16</v>
      </c>
      <c r="H119" s="8">
        <v>3</v>
      </c>
      <c r="I119" s="16">
        <v>0</v>
      </c>
      <c r="J119" s="9">
        <f t="shared" si="30"/>
        <v>15</v>
      </c>
      <c r="K119" s="8">
        <v>15</v>
      </c>
      <c r="L119" s="8">
        <v>0</v>
      </c>
      <c r="M119" s="8">
        <v>0</v>
      </c>
      <c r="N119" s="8"/>
    </row>
    <row r="120" spans="1:14" s="33" customFormat="1" ht="17.25" customHeight="1" x14ac:dyDescent="0.25">
      <c r="A120" s="19" t="s">
        <v>27</v>
      </c>
      <c r="B120" s="9">
        <f t="shared" si="25"/>
        <v>39</v>
      </c>
      <c r="C120" s="8">
        <f t="shared" si="29"/>
        <v>31</v>
      </c>
      <c r="D120" s="8">
        <f t="shared" si="26"/>
        <v>8</v>
      </c>
      <c r="E120" s="16">
        <f t="shared" si="26"/>
        <v>0</v>
      </c>
      <c r="F120" s="9">
        <f t="shared" si="27"/>
        <v>23</v>
      </c>
      <c r="G120" s="8">
        <v>18</v>
      </c>
      <c r="H120" s="8">
        <v>5</v>
      </c>
      <c r="I120" s="16">
        <v>0</v>
      </c>
      <c r="J120" s="9">
        <f t="shared" si="30"/>
        <v>16</v>
      </c>
      <c r="K120" s="8">
        <v>13</v>
      </c>
      <c r="L120" s="8">
        <v>3</v>
      </c>
      <c r="M120" s="8">
        <v>0</v>
      </c>
      <c r="N120" s="8"/>
    </row>
    <row r="121" spans="1:14" s="33" customFormat="1" ht="17.25" customHeight="1" x14ac:dyDescent="0.25">
      <c r="A121" s="19" t="s">
        <v>11</v>
      </c>
      <c r="B121" s="9">
        <f t="shared" si="25"/>
        <v>42</v>
      </c>
      <c r="C121" s="8">
        <f t="shared" si="29"/>
        <v>30</v>
      </c>
      <c r="D121" s="8">
        <f t="shared" si="26"/>
        <v>12</v>
      </c>
      <c r="E121" s="16">
        <f t="shared" si="26"/>
        <v>0</v>
      </c>
      <c r="F121" s="9">
        <f t="shared" si="27"/>
        <v>28</v>
      </c>
      <c r="G121" s="8">
        <v>20</v>
      </c>
      <c r="H121" s="8">
        <v>8</v>
      </c>
      <c r="I121" s="16">
        <v>0</v>
      </c>
      <c r="J121" s="9">
        <f t="shared" si="30"/>
        <v>14</v>
      </c>
      <c r="K121" s="8">
        <v>10</v>
      </c>
      <c r="L121" s="8">
        <v>4</v>
      </c>
      <c r="M121" s="8">
        <v>0</v>
      </c>
      <c r="N121" s="8"/>
    </row>
    <row r="122" spans="1:14" s="33" customFormat="1" ht="17.25" customHeight="1" x14ac:dyDescent="0.25">
      <c r="A122" s="19" t="s">
        <v>12</v>
      </c>
      <c r="B122" s="9">
        <f t="shared" si="25"/>
        <v>54</v>
      </c>
      <c r="C122" s="8">
        <f t="shared" si="29"/>
        <v>38</v>
      </c>
      <c r="D122" s="8">
        <f t="shared" si="26"/>
        <v>16</v>
      </c>
      <c r="E122" s="16">
        <f t="shared" si="26"/>
        <v>0</v>
      </c>
      <c r="F122" s="9">
        <f t="shared" si="27"/>
        <v>36</v>
      </c>
      <c r="G122" s="8">
        <v>27</v>
      </c>
      <c r="H122" s="8">
        <v>9</v>
      </c>
      <c r="I122" s="16">
        <v>0</v>
      </c>
      <c r="J122" s="9">
        <f t="shared" si="30"/>
        <v>18</v>
      </c>
      <c r="K122" s="8">
        <v>11</v>
      </c>
      <c r="L122" s="8">
        <v>7</v>
      </c>
      <c r="M122" s="8">
        <v>0</v>
      </c>
      <c r="N122" s="8"/>
    </row>
    <row r="123" spans="1:14" s="33" customFormat="1" ht="17.25" customHeight="1" x14ac:dyDescent="0.25">
      <c r="A123" s="19" t="s">
        <v>13</v>
      </c>
      <c r="B123" s="9">
        <f t="shared" si="25"/>
        <v>81</v>
      </c>
      <c r="C123" s="8">
        <f t="shared" si="29"/>
        <v>54</v>
      </c>
      <c r="D123" s="8">
        <f t="shared" si="26"/>
        <v>27</v>
      </c>
      <c r="E123" s="16">
        <f t="shared" si="26"/>
        <v>0</v>
      </c>
      <c r="F123" s="9">
        <f t="shared" si="27"/>
        <v>58</v>
      </c>
      <c r="G123" s="8">
        <v>39</v>
      </c>
      <c r="H123" s="8">
        <v>19</v>
      </c>
      <c r="I123" s="16">
        <v>0</v>
      </c>
      <c r="J123" s="9">
        <f t="shared" si="30"/>
        <v>23</v>
      </c>
      <c r="K123" s="8">
        <v>15</v>
      </c>
      <c r="L123" s="8">
        <v>8</v>
      </c>
      <c r="M123" s="8">
        <v>0</v>
      </c>
      <c r="N123" s="8"/>
    </row>
    <row r="124" spans="1:14" s="33" customFormat="1" ht="17.25" customHeight="1" x14ac:dyDescent="0.25">
      <c r="A124" s="19" t="s">
        <v>14</v>
      </c>
      <c r="B124" s="9">
        <f t="shared" si="25"/>
        <v>102</v>
      </c>
      <c r="C124" s="8">
        <f t="shared" si="29"/>
        <v>57</v>
      </c>
      <c r="D124" s="8">
        <f t="shared" si="26"/>
        <v>45</v>
      </c>
      <c r="E124" s="16">
        <f t="shared" si="26"/>
        <v>0</v>
      </c>
      <c r="F124" s="9">
        <f t="shared" si="27"/>
        <v>56</v>
      </c>
      <c r="G124" s="8">
        <v>29</v>
      </c>
      <c r="H124" s="8">
        <v>27</v>
      </c>
      <c r="I124" s="16">
        <v>0</v>
      </c>
      <c r="J124" s="9">
        <f t="shared" si="30"/>
        <v>46</v>
      </c>
      <c r="K124" s="8">
        <v>28</v>
      </c>
      <c r="L124" s="8">
        <v>18</v>
      </c>
      <c r="M124" s="8">
        <v>0</v>
      </c>
      <c r="N124" s="8"/>
    </row>
    <row r="125" spans="1:14" s="33" customFormat="1" ht="17.25" customHeight="1" x14ac:dyDescent="0.25">
      <c r="A125" s="19" t="s">
        <v>15</v>
      </c>
      <c r="B125" s="9">
        <f t="shared" si="25"/>
        <v>100</v>
      </c>
      <c r="C125" s="8">
        <f t="shared" si="29"/>
        <v>56</v>
      </c>
      <c r="D125" s="8">
        <f t="shared" si="26"/>
        <v>44</v>
      </c>
      <c r="E125" s="16">
        <f t="shared" si="26"/>
        <v>0</v>
      </c>
      <c r="F125" s="9">
        <f t="shared" si="27"/>
        <v>62</v>
      </c>
      <c r="G125" s="8">
        <v>34</v>
      </c>
      <c r="H125" s="8">
        <v>28</v>
      </c>
      <c r="I125" s="16">
        <v>0</v>
      </c>
      <c r="J125" s="9">
        <f t="shared" si="30"/>
        <v>38</v>
      </c>
      <c r="K125" s="8">
        <v>22</v>
      </c>
      <c r="L125" s="8">
        <v>16</v>
      </c>
      <c r="M125" s="8">
        <v>0</v>
      </c>
      <c r="N125" s="8"/>
    </row>
    <row r="126" spans="1:14" s="33" customFormat="1" ht="17.25" customHeight="1" x14ac:dyDescent="0.25">
      <c r="A126" s="19" t="s">
        <v>28</v>
      </c>
      <c r="B126" s="9">
        <f t="shared" si="25"/>
        <v>848</v>
      </c>
      <c r="C126" s="8">
        <f t="shared" si="29"/>
        <v>449</v>
      </c>
      <c r="D126" s="8">
        <f>H126+L126+N126</f>
        <v>399</v>
      </c>
      <c r="E126" s="16">
        <f t="shared" si="26"/>
        <v>0</v>
      </c>
      <c r="F126" s="9">
        <f t="shared" si="27"/>
        <v>398</v>
      </c>
      <c r="G126" s="8">
        <v>201</v>
      </c>
      <c r="H126" s="8">
        <v>197</v>
      </c>
      <c r="I126" s="16">
        <v>0</v>
      </c>
      <c r="J126" s="9">
        <f t="shared" si="30"/>
        <v>450</v>
      </c>
      <c r="K126" s="8">
        <v>248</v>
      </c>
      <c r="L126" s="8">
        <v>202</v>
      </c>
      <c r="M126" s="8">
        <v>0</v>
      </c>
      <c r="N126" s="8"/>
    </row>
    <row r="127" spans="1:14" s="33" customFormat="1" ht="17.25" customHeight="1" x14ac:dyDescent="0.25">
      <c r="A127" s="34" t="s">
        <v>19</v>
      </c>
      <c r="B127" s="20">
        <f t="shared" si="25"/>
        <v>6</v>
      </c>
      <c r="C127" s="14">
        <f t="shared" si="29"/>
        <v>5</v>
      </c>
      <c r="D127" s="14">
        <f t="shared" si="29"/>
        <v>1</v>
      </c>
      <c r="E127" s="18">
        <f t="shared" si="26"/>
        <v>0</v>
      </c>
      <c r="F127" s="20">
        <f>SUM(G127:I127)</f>
        <v>5</v>
      </c>
      <c r="G127" s="14">
        <v>4</v>
      </c>
      <c r="H127" s="14">
        <v>1</v>
      </c>
      <c r="I127" s="18">
        <v>0</v>
      </c>
      <c r="J127" s="20">
        <f t="shared" si="30"/>
        <v>1</v>
      </c>
      <c r="K127" s="14">
        <v>1</v>
      </c>
      <c r="L127" s="14">
        <v>0</v>
      </c>
      <c r="M127" s="14">
        <v>0</v>
      </c>
      <c r="N127" s="8"/>
    </row>
    <row r="128" spans="1:14" ht="15" x14ac:dyDescent="0.2">
      <c r="A128" s="35" t="s">
        <v>32</v>
      </c>
      <c r="B128" s="9"/>
      <c r="C128" s="8"/>
      <c r="D128" s="8"/>
      <c r="E128" s="8"/>
      <c r="F128" s="9"/>
      <c r="G128" s="8"/>
      <c r="H128" s="8"/>
      <c r="I128" s="8"/>
      <c r="J128" s="9"/>
      <c r="K128" s="8"/>
      <c r="L128" s="8"/>
      <c r="M128" s="8"/>
      <c r="N128" s="8"/>
    </row>
    <row r="129" spans="1:12" x14ac:dyDescent="0.2">
      <c r="A129" s="36" t="s">
        <v>33</v>
      </c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</row>
    <row r="130" spans="1:12" x14ac:dyDescent="0.2">
      <c r="A130" s="38" t="s">
        <v>34</v>
      </c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</row>
    <row r="131" spans="1:12" x14ac:dyDescent="0.2">
      <c r="A131" s="39" t="s">
        <v>35</v>
      </c>
    </row>
    <row r="132" spans="1:12" x14ac:dyDescent="0.2">
      <c r="A132" s="39"/>
    </row>
    <row r="133" spans="1:12" x14ac:dyDescent="0.2"/>
    <row r="134" spans="1:12" x14ac:dyDescent="0.2"/>
    <row r="135" spans="1:12" x14ac:dyDescent="0.2"/>
    <row r="136" spans="1:12" x14ac:dyDescent="0.2"/>
    <row r="137" spans="1:12" x14ac:dyDescent="0.2"/>
    <row r="138" spans="1:12" x14ac:dyDescent="0.2"/>
    <row r="139" spans="1:12" x14ac:dyDescent="0.2"/>
    <row r="140" spans="1:12" x14ac:dyDescent="0.2"/>
    <row r="141" spans="1:12" x14ac:dyDescent="0.2"/>
    <row r="142" spans="1:12" x14ac:dyDescent="0.2"/>
    <row r="143" spans="1:12" x14ac:dyDescent="0.2"/>
    <row r="144" spans="1:12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</sheetData>
  <mergeCells count="24">
    <mergeCell ref="A102:N102"/>
    <mergeCell ref="A103:N103"/>
    <mergeCell ref="A105:A106"/>
    <mergeCell ref="B105:E105"/>
    <mergeCell ref="F105:I105"/>
    <mergeCell ref="J105:M105"/>
    <mergeCell ref="A69:N69"/>
    <mergeCell ref="A70:N70"/>
    <mergeCell ref="A72:A73"/>
    <mergeCell ref="B72:E72"/>
    <mergeCell ref="F72:I72"/>
    <mergeCell ref="J72:M72"/>
    <mergeCell ref="A38:N38"/>
    <mergeCell ref="A39:N39"/>
    <mergeCell ref="A41:A42"/>
    <mergeCell ref="B41:E41"/>
    <mergeCell ref="F41:I41"/>
    <mergeCell ref="J41:M41"/>
    <mergeCell ref="A3:N3"/>
    <mergeCell ref="A4:N4"/>
    <mergeCell ref="A6:A7"/>
    <mergeCell ref="B6:E6"/>
    <mergeCell ref="F6:I6"/>
    <mergeCell ref="J6:M6"/>
  </mergeCells>
  <pageMargins left="0.7" right="0.7" top="0.75" bottom="0.75" header="0.3" footer="0.3"/>
  <pageSetup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3.14</vt:lpstr>
      <vt:lpstr>'3.14'!Print_Area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2026-08-06T09:57:19Z</cp:lastPrinted>
  <dcterms:created xsi:type="dcterms:W3CDTF">2019-07-22T06:02:33Z</dcterms:created>
  <dcterms:modified xsi:type="dcterms:W3CDTF">2026-08-06T09:57:28Z</dcterms:modified>
</cp:coreProperties>
</file>