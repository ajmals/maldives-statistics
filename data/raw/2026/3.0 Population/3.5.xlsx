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opulation\"/>
    </mc:Choice>
  </mc:AlternateContent>
  <xr:revisionPtr revIDLastSave="0" documentId="13_ncr:1_{670FD3BF-B790-4CEB-95B5-2C48F4922C73}" xr6:coauthVersionLast="47" xr6:coauthVersionMax="47" xr10:uidLastSave="{00000000-0000-0000-0000-000000000000}"/>
  <bookViews>
    <workbookView xWindow="-120" yWindow="-120" windowWidth="29040" windowHeight="15720" tabRatio="806" xr2:uid="{00000000-000D-0000-FFFF-FFFF00000000}"/>
  </bookViews>
  <sheets>
    <sheet name="3.5" sheetId="28" r:id="rId1"/>
  </sheets>
  <definedNames>
    <definedName name="_xlnm.Print_Area" localSheetId="0">'3.5'!$A$1:$K$254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7" i="28" l="1"/>
  <c r="D247" i="28"/>
  <c r="G246" i="28"/>
  <c r="D246" i="28"/>
  <c r="G245" i="28"/>
  <c r="D245" i="28"/>
  <c r="G244" i="28"/>
  <c r="D244" i="28"/>
  <c r="G243" i="28"/>
  <c r="D243" i="28"/>
  <c r="G242" i="28"/>
  <c r="D242" i="28"/>
  <c r="I241" i="28"/>
  <c r="H241" i="28"/>
  <c r="G241" i="28" s="1"/>
  <c r="F241" i="28"/>
  <c r="E241" i="28"/>
  <c r="I238" i="28"/>
  <c r="H238" i="28"/>
  <c r="G238" i="28" s="1"/>
  <c r="F238" i="28"/>
  <c r="E238" i="28"/>
  <c r="G236" i="28"/>
  <c r="D236" i="28"/>
  <c r="G235" i="28"/>
  <c r="D235" i="28"/>
  <c r="G234" i="28"/>
  <c r="D234" i="28"/>
  <c r="G233" i="28"/>
  <c r="D233" i="28"/>
  <c r="G232" i="28"/>
  <c r="D232" i="28"/>
  <c r="G231" i="28"/>
  <c r="D231" i="28"/>
  <c r="G230" i="28"/>
  <c r="D230" i="28"/>
  <c r="G229" i="28"/>
  <c r="D229" i="28"/>
  <c r="G228" i="28"/>
  <c r="D228" i="28"/>
  <c r="I227" i="28"/>
  <c r="H227" i="28"/>
  <c r="F227" i="28"/>
  <c r="E227" i="28"/>
  <c r="D227" i="28" s="1"/>
  <c r="G224" i="28"/>
  <c r="D224" i="28"/>
  <c r="G223" i="28"/>
  <c r="D223" i="28"/>
  <c r="G222" i="28"/>
  <c r="D222" i="28"/>
  <c r="G221" i="28"/>
  <c r="D221" i="28"/>
  <c r="G220" i="28"/>
  <c r="D220" i="28"/>
  <c r="G219" i="28"/>
  <c r="D219" i="28"/>
  <c r="G218" i="28"/>
  <c r="D218" i="28"/>
  <c r="G217" i="28"/>
  <c r="D217" i="28"/>
  <c r="G216" i="28"/>
  <c r="D216" i="28"/>
  <c r="I215" i="28"/>
  <c r="H215" i="28"/>
  <c r="F215" i="28"/>
  <c r="E215" i="28"/>
  <c r="G212" i="28"/>
  <c r="D212" i="28"/>
  <c r="G211" i="28"/>
  <c r="D211" i="28"/>
  <c r="G210" i="28"/>
  <c r="D210" i="28"/>
  <c r="G209" i="28"/>
  <c r="D209" i="28"/>
  <c r="G208" i="28"/>
  <c r="D208" i="28"/>
  <c r="G207" i="28"/>
  <c r="D207" i="28"/>
  <c r="G206" i="28"/>
  <c r="D206" i="28"/>
  <c r="G205" i="28"/>
  <c r="D205" i="28"/>
  <c r="G204" i="28"/>
  <c r="D204" i="28"/>
  <c r="G203" i="28"/>
  <c r="D203" i="28"/>
  <c r="G202" i="28"/>
  <c r="D202" i="28"/>
  <c r="I201" i="28"/>
  <c r="H201" i="28"/>
  <c r="F201" i="28"/>
  <c r="E201" i="28"/>
  <c r="G199" i="28"/>
  <c r="D199" i="28"/>
  <c r="G198" i="28"/>
  <c r="D198" i="28"/>
  <c r="G197" i="28"/>
  <c r="D197" i="28"/>
  <c r="G196" i="28"/>
  <c r="D196" i="28"/>
  <c r="G195" i="28"/>
  <c r="D195" i="28"/>
  <c r="G194" i="28"/>
  <c r="D194" i="28"/>
  <c r="G193" i="28"/>
  <c r="D193" i="28"/>
  <c r="G192" i="28"/>
  <c r="D192" i="28"/>
  <c r="G191" i="28"/>
  <c r="D191" i="28"/>
  <c r="G190" i="28"/>
  <c r="D190" i="28"/>
  <c r="G189" i="28"/>
  <c r="D189" i="28"/>
  <c r="G188" i="28"/>
  <c r="D188" i="28"/>
  <c r="G187" i="28"/>
  <c r="D187" i="28"/>
  <c r="I186" i="28"/>
  <c r="H186" i="28"/>
  <c r="F186" i="28"/>
  <c r="E186" i="28"/>
  <c r="G184" i="28"/>
  <c r="D184" i="28"/>
  <c r="G183" i="28"/>
  <c r="D183" i="28"/>
  <c r="G182" i="28"/>
  <c r="D182" i="28"/>
  <c r="G181" i="28"/>
  <c r="D181" i="28"/>
  <c r="G180" i="28"/>
  <c r="D180" i="28"/>
  <c r="G179" i="28"/>
  <c r="D179" i="28"/>
  <c r="G178" i="28"/>
  <c r="D178" i="28"/>
  <c r="I177" i="28"/>
  <c r="H177" i="28"/>
  <c r="F177" i="28"/>
  <c r="E177" i="28"/>
  <c r="G175" i="28"/>
  <c r="D175" i="28"/>
  <c r="G174" i="28"/>
  <c r="D174" i="28"/>
  <c r="G173" i="28"/>
  <c r="D173" i="28"/>
  <c r="G172" i="28"/>
  <c r="D172" i="28"/>
  <c r="G171" i="28"/>
  <c r="D171" i="28"/>
  <c r="I170" i="28"/>
  <c r="H170" i="28"/>
  <c r="F170" i="28"/>
  <c r="E170" i="28"/>
  <c r="G168" i="28"/>
  <c r="D168" i="28"/>
  <c r="G167" i="28"/>
  <c r="D167" i="28"/>
  <c r="G166" i="28"/>
  <c r="D166" i="28"/>
  <c r="G165" i="28"/>
  <c r="D165" i="28"/>
  <c r="G164" i="28"/>
  <c r="D164" i="28"/>
  <c r="G163" i="28"/>
  <c r="D163" i="28"/>
  <c r="G162" i="28"/>
  <c r="D162" i="28"/>
  <c r="G161" i="28"/>
  <c r="D161" i="28"/>
  <c r="I160" i="28"/>
  <c r="H160" i="28"/>
  <c r="F160" i="28"/>
  <c r="E160" i="28"/>
  <c r="G158" i="28"/>
  <c r="D158" i="28"/>
  <c r="G157" i="28"/>
  <c r="D157" i="28"/>
  <c r="G156" i="28"/>
  <c r="D156" i="28"/>
  <c r="G155" i="28"/>
  <c r="D155" i="28"/>
  <c r="G154" i="28"/>
  <c r="D154" i="28"/>
  <c r="I153" i="28"/>
  <c r="H153" i="28"/>
  <c r="F153" i="28"/>
  <c r="E153" i="28"/>
  <c r="G151" i="28"/>
  <c r="D151" i="28"/>
  <c r="G150" i="28"/>
  <c r="D150" i="28"/>
  <c r="G149" i="28"/>
  <c r="D149" i="28"/>
  <c r="G148" i="28"/>
  <c r="D148" i="28"/>
  <c r="G147" i="28"/>
  <c r="D147" i="28"/>
  <c r="G146" i="28"/>
  <c r="D146" i="28"/>
  <c r="G145" i="28"/>
  <c r="D145" i="28"/>
  <c r="G144" i="28"/>
  <c r="D144" i="28"/>
  <c r="G143" i="28"/>
  <c r="D143" i="28"/>
  <c r="G142" i="28"/>
  <c r="D142" i="28"/>
  <c r="I141" i="28"/>
  <c r="H141" i="28"/>
  <c r="F141" i="28"/>
  <c r="E141" i="28"/>
  <c r="G139" i="28"/>
  <c r="D139" i="28"/>
  <c r="G138" i="28"/>
  <c r="D138" i="28"/>
  <c r="G137" i="28"/>
  <c r="D137" i="28"/>
  <c r="G136" i="28"/>
  <c r="D136" i="28"/>
  <c r="G135" i="28"/>
  <c r="D135" i="28"/>
  <c r="G134" i="28"/>
  <c r="D134" i="28"/>
  <c r="G133" i="28"/>
  <c r="D133" i="28"/>
  <c r="G132" i="28"/>
  <c r="D132" i="28"/>
  <c r="I131" i="28"/>
  <c r="H131" i="28"/>
  <c r="F131" i="28"/>
  <c r="E131" i="28"/>
  <c r="G129" i="28"/>
  <c r="D129" i="28"/>
  <c r="G128" i="28"/>
  <c r="D128" i="28"/>
  <c r="G127" i="28"/>
  <c r="D127" i="28"/>
  <c r="G126" i="28"/>
  <c r="D126" i="28"/>
  <c r="G125" i="28"/>
  <c r="D125" i="28"/>
  <c r="G124" i="28"/>
  <c r="D124" i="28"/>
  <c r="G123" i="28"/>
  <c r="D123" i="28"/>
  <c r="G122" i="28"/>
  <c r="D122" i="28"/>
  <c r="G121" i="28"/>
  <c r="D121" i="28"/>
  <c r="I120" i="28"/>
  <c r="H120" i="28"/>
  <c r="F120" i="28"/>
  <c r="E120" i="28"/>
  <c r="G118" i="28"/>
  <c r="D118" i="28"/>
  <c r="G117" i="28"/>
  <c r="D117" i="28"/>
  <c r="G116" i="28"/>
  <c r="D116" i="28"/>
  <c r="G115" i="28"/>
  <c r="D115" i="28"/>
  <c r="I114" i="28"/>
  <c r="H114" i="28"/>
  <c r="F114" i="28"/>
  <c r="E114" i="28"/>
  <c r="G112" i="28"/>
  <c r="D112" i="28"/>
  <c r="G111" i="28"/>
  <c r="D111" i="28"/>
  <c r="G110" i="28"/>
  <c r="D110" i="28"/>
  <c r="G109" i="28"/>
  <c r="D109" i="28"/>
  <c r="G108" i="28"/>
  <c r="D108" i="28"/>
  <c r="G107" i="28"/>
  <c r="D107" i="28"/>
  <c r="G106" i="28"/>
  <c r="D106" i="28"/>
  <c r="G105" i="28"/>
  <c r="D105" i="28"/>
  <c r="G104" i="28"/>
  <c r="D104" i="28"/>
  <c r="G103" i="28"/>
  <c r="D103" i="28"/>
  <c r="G102" i="28"/>
  <c r="D102" i="28"/>
  <c r="G101" i="28"/>
  <c r="D101" i="28"/>
  <c r="G100" i="28"/>
  <c r="D100" i="28"/>
  <c r="I99" i="28"/>
  <c r="H99" i="28"/>
  <c r="F99" i="28"/>
  <c r="E99" i="28"/>
  <c r="G97" i="28"/>
  <c r="D97" i="28"/>
  <c r="G96" i="28"/>
  <c r="D96" i="28"/>
  <c r="G95" i="28"/>
  <c r="D95" i="28"/>
  <c r="G94" i="28"/>
  <c r="D94" i="28"/>
  <c r="G93" i="28"/>
  <c r="D93" i="28"/>
  <c r="G92" i="28"/>
  <c r="D92" i="28"/>
  <c r="G91" i="28"/>
  <c r="D91" i="28"/>
  <c r="G90" i="28"/>
  <c r="D90" i="28"/>
  <c r="G89" i="28"/>
  <c r="D89" i="28"/>
  <c r="G88" i="28"/>
  <c r="D88" i="28"/>
  <c r="G87" i="28"/>
  <c r="D87" i="28"/>
  <c r="G86" i="28"/>
  <c r="D86" i="28"/>
  <c r="G85" i="28"/>
  <c r="D85" i="28"/>
  <c r="G84" i="28"/>
  <c r="D84" i="28"/>
  <c r="G83" i="28"/>
  <c r="D83" i="28"/>
  <c r="G82" i="28"/>
  <c r="D82" i="28"/>
  <c r="I81" i="28"/>
  <c r="H81" i="28"/>
  <c r="F81" i="28"/>
  <c r="E81" i="28"/>
  <c r="G79" i="28"/>
  <c r="D79" i="28"/>
  <c r="G78" i="28"/>
  <c r="D78" i="28"/>
  <c r="G77" i="28"/>
  <c r="D77" i="28"/>
  <c r="G76" i="28"/>
  <c r="D76" i="28"/>
  <c r="G75" i="28"/>
  <c r="D75" i="28"/>
  <c r="G74" i="28"/>
  <c r="D74" i="28"/>
  <c r="G73" i="28"/>
  <c r="D73" i="28"/>
  <c r="G72" i="28"/>
  <c r="D72" i="28"/>
  <c r="G71" i="28"/>
  <c r="D71" i="28"/>
  <c r="G70" i="28"/>
  <c r="D70" i="28"/>
  <c r="G69" i="28"/>
  <c r="D69" i="28"/>
  <c r="G68" i="28"/>
  <c r="D68" i="28"/>
  <c r="G67" i="28"/>
  <c r="D67" i="28"/>
  <c r="I66" i="28"/>
  <c r="H66" i="28"/>
  <c r="F66" i="28"/>
  <c r="E66" i="28"/>
  <c r="G64" i="28"/>
  <c r="D64" i="28"/>
  <c r="G63" i="28"/>
  <c r="D63" i="28"/>
  <c r="G62" i="28"/>
  <c r="D62" i="28"/>
  <c r="G61" i="28"/>
  <c r="D61" i="28"/>
  <c r="G60" i="28"/>
  <c r="D60" i="28"/>
  <c r="G59" i="28"/>
  <c r="D59" i="28"/>
  <c r="G58" i="28"/>
  <c r="D58" i="28"/>
  <c r="G57" i="28"/>
  <c r="D57" i="28"/>
  <c r="G56" i="28"/>
  <c r="D56" i="28"/>
  <c r="G55" i="28"/>
  <c r="D55" i="28"/>
  <c r="G54" i="28"/>
  <c r="D54" i="28"/>
  <c r="G53" i="28"/>
  <c r="D53" i="28"/>
  <c r="G52" i="28"/>
  <c r="D52" i="28"/>
  <c r="G51" i="28"/>
  <c r="D51" i="28"/>
  <c r="I50" i="28"/>
  <c r="H50" i="28"/>
  <c r="F50" i="28"/>
  <c r="E50" i="28"/>
  <c r="G48" i="28"/>
  <c r="D48" i="28"/>
  <c r="G47" i="28"/>
  <c r="D47" i="28"/>
  <c r="G46" i="28"/>
  <c r="D46" i="28"/>
  <c r="G45" i="28"/>
  <c r="D45" i="28"/>
  <c r="G44" i="28"/>
  <c r="D44" i="28"/>
  <c r="G43" i="28"/>
  <c r="D43" i="28"/>
  <c r="G42" i="28"/>
  <c r="D42" i="28"/>
  <c r="G41" i="28"/>
  <c r="D41" i="28"/>
  <c r="G40" i="28"/>
  <c r="D40" i="28"/>
  <c r="G39" i="28"/>
  <c r="D39" i="28"/>
  <c r="G38" i="28"/>
  <c r="D38" i="28"/>
  <c r="G37" i="28"/>
  <c r="D37" i="28"/>
  <c r="G36" i="28"/>
  <c r="D36" i="28"/>
  <c r="G35" i="28"/>
  <c r="D35" i="28"/>
  <c r="G34" i="28"/>
  <c r="D34" i="28"/>
  <c r="I33" i="28"/>
  <c r="H33" i="28"/>
  <c r="F33" i="28"/>
  <c r="E33" i="28"/>
  <c r="G31" i="28"/>
  <c r="D31" i="28"/>
  <c r="G30" i="28"/>
  <c r="D30" i="28"/>
  <c r="G29" i="28"/>
  <c r="D29" i="28"/>
  <c r="G28" i="28"/>
  <c r="D28" i="28"/>
  <c r="G27" i="28"/>
  <c r="D27" i="28"/>
  <c r="G26" i="28"/>
  <c r="D26" i="28"/>
  <c r="G25" i="28"/>
  <c r="D25" i="28"/>
  <c r="G24" i="28"/>
  <c r="D24" i="28"/>
  <c r="G23" i="28"/>
  <c r="D23" i="28"/>
  <c r="G22" i="28"/>
  <c r="D22" i="28"/>
  <c r="G21" i="28"/>
  <c r="D21" i="28"/>
  <c r="G20" i="28"/>
  <c r="D20" i="28"/>
  <c r="G19" i="28"/>
  <c r="D19" i="28"/>
  <c r="G18" i="28"/>
  <c r="D18" i="28"/>
  <c r="I17" i="28"/>
  <c r="H17" i="28"/>
  <c r="F17" i="28"/>
  <c r="E17" i="28"/>
  <c r="G14" i="28"/>
  <c r="D14" i="28"/>
  <c r="G13" i="28"/>
  <c r="D13" i="28"/>
  <c r="G12" i="28"/>
  <c r="D12" i="28"/>
  <c r="G11" i="28"/>
  <c r="D11" i="28"/>
  <c r="G10" i="28"/>
  <c r="D10" i="28"/>
  <c r="G9" i="28"/>
  <c r="D9" i="28"/>
  <c r="G8" i="28"/>
  <c r="D8" i="28"/>
  <c r="I7" i="28"/>
  <c r="H7" i="28"/>
  <c r="F7" i="28"/>
  <c r="E7" i="28"/>
  <c r="G227" i="28" l="1"/>
  <c r="G186" i="28"/>
  <c r="D17" i="28"/>
  <c r="G81" i="28"/>
  <c r="G99" i="28"/>
  <c r="G153" i="28"/>
  <c r="D160" i="28"/>
  <c r="G201" i="28"/>
  <c r="D215" i="28"/>
  <c r="D238" i="28"/>
  <c r="D99" i="28"/>
  <c r="D114" i="28"/>
  <c r="D120" i="28"/>
  <c r="D141" i="28"/>
  <c r="G170" i="28"/>
  <c r="D177" i="28"/>
  <c r="G215" i="28"/>
  <c r="G17" i="28"/>
  <c r="D66" i="28"/>
  <c r="D186" i="28"/>
  <c r="D201" i="28"/>
  <c r="G141" i="28"/>
  <c r="G66" i="28"/>
  <c r="G131" i="28"/>
  <c r="G120" i="28"/>
  <c r="D131" i="28"/>
  <c r="I16" i="28"/>
  <c r="I5" i="28" s="1"/>
  <c r="D33" i="28"/>
  <c r="G50" i="28"/>
  <c r="G33" i="28"/>
  <c r="D170" i="28"/>
  <c r="D241" i="28"/>
  <c r="G7" i="28"/>
  <c r="G114" i="28"/>
  <c r="G160" i="28"/>
  <c r="G177" i="28"/>
  <c r="F16" i="28"/>
  <c r="F5" i="28" s="1"/>
  <c r="D81" i="28"/>
  <c r="E16" i="28"/>
  <c r="E5" i="28" s="1"/>
  <c r="D153" i="28"/>
  <c r="D50" i="28"/>
  <c r="D7" i="28"/>
  <c r="H16" i="28"/>
  <c r="H5" i="28" s="1"/>
  <c r="G16" i="28" l="1"/>
  <c r="G5" i="28" s="1"/>
  <c r="D16" i="28"/>
  <c r="D5" i="28" s="1"/>
</calcChain>
</file>

<file path=xl/sharedStrings.xml><?xml version="1.0" encoding="utf-8"?>
<sst xmlns="http://schemas.openxmlformats.org/spreadsheetml/2006/main" count="456" uniqueCount="241">
  <si>
    <t>Both Sexes</t>
  </si>
  <si>
    <t>Male</t>
  </si>
  <si>
    <t>Female</t>
  </si>
  <si>
    <t>Republic</t>
  </si>
  <si>
    <t>Galolhu</t>
  </si>
  <si>
    <t>Machchangolhi</t>
  </si>
  <si>
    <t>Maafannu</t>
  </si>
  <si>
    <t>Dhafthar</t>
  </si>
  <si>
    <t>-</t>
  </si>
  <si>
    <t>North Thiladhunmathi (HA)</t>
  </si>
  <si>
    <t>Thuraakunu</t>
  </si>
  <si>
    <t>Uligamu</t>
  </si>
  <si>
    <t>Mulhadhoo</t>
  </si>
  <si>
    <t>Hoarafushi</t>
  </si>
  <si>
    <t>Ihavandhoo</t>
  </si>
  <si>
    <t>Kelaa</t>
  </si>
  <si>
    <t>Vashafaru</t>
  </si>
  <si>
    <t>Dhidhdhoo</t>
  </si>
  <si>
    <t>Filladhoo</t>
  </si>
  <si>
    <t>Maarandhoo</t>
  </si>
  <si>
    <t>Thakandhoo</t>
  </si>
  <si>
    <t>Utheemu</t>
  </si>
  <si>
    <t>Muraidhoo</t>
  </si>
  <si>
    <t>Baarah</t>
  </si>
  <si>
    <t>South Thiladhunmathi (HDh)</t>
  </si>
  <si>
    <t>Hanimaadhoo</t>
  </si>
  <si>
    <t>Finey</t>
  </si>
  <si>
    <t>Naivaadhoo</t>
  </si>
  <si>
    <t>Hirimaradhoo</t>
  </si>
  <si>
    <t>Nolhivaranfaru</t>
  </si>
  <si>
    <t>Nellaidhoo</t>
  </si>
  <si>
    <t>Nolhivaramu</t>
  </si>
  <si>
    <t>Kunburudhoo</t>
  </si>
  <si>
    <t>Kulhudhuffushi</t>
  </si>
  <si>
    <t>Kumundhoo</t>
  </si>
  <si>
    <t>Neykurendhoo</t>
  </si>
  <si>
    <t>Vaikaradhoo</t>
  </si>
  <si>
    <t>Maavaidhoo</t>
  </si>
  <si>
    <t>Makunudhoo</t>
  </si>
  <si>
    <t>North Miladhunmadulu (Sh)</t>
  </si>
  <si>
    <t>Noomaraa</t>
  </si>
  <si>
    <t>Goidhoo</t>
  </si>
  <si>
    <t>Feydhoo</t>
  </si>
  <si>
    <t>Feevah</t>
  </si>
  <si>
    <t>Foakaidhoo</t>
  </si>
  <si>
    <t>Narudhoo</t>
  </si>
  <si>
    <t>Maroshi</t>
  </si>
  <si>
    <t>Lhaimagu</t>
  </si>
  <si>
    <t>Funadhoo</t>
  </si>
  <si>
    <t>South Miladhunmadulu (N)</t>
  </si>
  <si>
    <t>Maalhendhoo</t>
  </si>
  <si>
    <t>Kudafari</t>
  </si>
  <si>
    <t>Landhoo</t>
  </si>
  <si>
    <t>Maafaru</t>
  </si>
  <si>
    <t>Lhohi</t>
  </si>
  <si>
    <t>Miladhoo</t>
  </si>
  <si>
    <t>Magoodhoo</t>
  </si>
  <si>
    <t>Manadhoo</t>
  </si>
  <si>
    <t>Holhudhoo</t>
  </si>
  <si>
    <t>Fodhdhoo</t>
  </si>
  <si>
    <t>Velidhoo</t>
  </si>
  <si>
    <t>North Maalhosmadulu (R)</t>
  </si>
  <si>
    <t>Alifushi</t>
  </si>
  <si>
    <t>Vaadhoo</t>
  </si>
  <si>
    <t>Rasgetheemu</t>
  </si>
  <si>
    <t>Maakurathu</t>
  </si>
  <si>
    <t>Rasmaadhoo</t>
  </si>
  <si>
    <t>Innamaadhoo</t>
  </si>
  <si>
    <t>Maduvvari</t>
  </si>
  <si>
    <t>Fainu</t>
  </si>
  <si>
    <t>Meedhoo</t>
  </si>
  <si>
    <t>Kinolhas</t>
  </si>
  <si>
    <t>Hulhudhuffaaru</t>
  </si>
  <si>
    <t>South Maalhosmadulu (B)</t>
  </si>
  <si>
    <t>Kudarikilu</t>
  </si>
  <si>
    <t>Kamadhoo</t>
  </si>
  <si>
    <t>Kendhoo</t>
  </si>
  <si>
    <t>Kihaadhoo</t>
  </si>
  <si>
    <t>Dhonfanu</t>
  </si>
  <si>
    <t>Maalhos</t>
  </si>
  <si>
    <t>Eydhafushi</t>
  </si>
  <si>
    <t>Thulhaadhoo</t>
  </si>
  <si>
    <t>Hithaadhoo</t>
  </si>
  <si>
    <t>Fulhadhoo</t>
  </si>
  <si>
    <t>Fehendhoo</t>
  </si>
  <si>
    <t>Faadhippolhu (Lh)</t>
  </si>
  <si>
    <t>Hinnavaru</t>
  </si>
  <si>
    <t>Naifaru</t>
  </si>
  <si>
    <t>Kurendhoo</t>
  </si>
  <si>
    <t>Olhuvelifushi</t>
  </si>
  <si>
    <t>Male' Atoll (K)</t>
  </si>
  <si>
    <t>Kaashidhoo</t>
  </si>
  <si>
    <t>Gaafaru</t>
  </si>
  <si>
    <t>Dhiffushi</t>
  </si>
  <si>
    <t>Thulusdhoo</t>
  </si>
  <si>
    <t>Huraa</t>
  </si>
  <si>
    <t>Himmafushi</t>
  </si>
  <si>
    <t>Gulhi</t>
  </si>
  <si>
    <t>Maafushi</t>
  </si>
  <si>
    <t>Guraidhoo</t>
  </si>
  <si>
    <t>North Ari Atoll (AA)</t>
  </si>
  <si>
    <t>Thoddoo</t>
  </si>
  <si>
    <t>Rasdhoo</t>
  </si>
  <si>
    <t>Ukulhas</t>
  </si>
  <si>
    <t>Mathiveri</t>
  </si>
  <si>
    <t>Bodufolhudhoo</t>
  </si>
  <si>
    <t>Feridhoo</t>
  </si>
  <si>
    <t>Himandhoo</t>
  </si>
  <si>
    <t>South Ari Atoll (ADh)</t>
  </si>
  <si>
    <t>Omadhoo</t>
  </si>
  <si>
    <t>Mahibadhoo</t>
  </si>
  <si>
    <t>Mandhoo</t>
  </si>
  <si>
    <t>Dhigurah</t>
  </si>
  <si>
    <t>Fenfushi</t>
  </si>
  <si>
    <t>Maamigili</t>
  </si>
  <si>
    <t>Felidhu Atoll (V)</t>
  </si>
  <si>
    <t>Fulidhoo</t>
  </si>
  <si>
    <t>Thinadhoo</t>
  </si>
  <si>
    <t>Felidhoo</t>
  </si>
  <si>
    <t>Keyodhoo</t>
  </si>
  <si>
    <t>Rakeedhoo</t>
  </si>
  <si>
    <t>Mulakatholhu (M)</t>
  </si>
  <si>
    <t>Veyvah</t>
  </si>
  <si>
    <t>Mulah</t>
  </si>
  <si>
    <t>Muli</t>
  </si>
  <si>
    <t>Naalaafushi</t>
  </si>
  <si>
    <t>Kolhufushi</t>
  </si>
  <si>
    <t>Dhiggaru</t>
  </si>
  <si>
    <t>North Nilandhe Atoll (F)</t>
  </si>
  <si>
    <t>Feeali</t>
  </si>
  <si>
    <t>Nilandhoo</t>
  </si>
  <si>
    <t>South Nilandhe Atoll (Dh)</t>
  </si>
  <si>
    <t>Vaani</t>
  </si>
  <si>
    <t>Kudahuvadhoo</t>
  </si>
  <si>
    <t>Kolhumadulu (Th)</t>
  </si>
  <si>
    <t>Buruni</t>
  </si>
  <si>
    <t>Madifushi</t>
  </si>
  <si>
    <t>Dhiyamigili</t>
  </si>
  <si>
    <t>Vandhoo</t>
  </si>
  <si>
    <t>Hirilandhoo</t>
  </si>
  <si>
    <t>Gaadhiffushi</t>
  </si>
  <si>
    <t>Thimarafushi</t>
  </si>
  <si>
    <t>Veymandoo</t>
  </si>
  <si>
    <t>Hadhdhunmathi (L)</t>
  </si>
  <si>
    <t>Maabaidhoo</t>
  </si>
  <si>
    <t>Mundoo</t>
  </si>
  <si>
    <t>Gamu</t>
  </si>
  <si>
    <t>Maavah</t>
  </si>
  <si>
    <t>Fonadhoo</t>
  </si>
  <si>
    <t>Gaadhoo</t>
  </si>
  <si>
    <t>Maamendhoo</t>
  </si>
  <si>
    <t>Hithadhoo</t>
  </si>
  <si>
    <t>Kunahandhoo</t>
  </si>
  <si>
    <t>North Huvadhu Atoll (GA)</t>
  </si>
  <si>
    <t>Kolamaafushi</t>
  </si>
  <si>
    <t>Viligili</t>
  </si>
  <si>
    <t>Dhaandhoo</t>
  </si>
  <si>
    <t>Kodey</t>
  </si>
  <si>
    <t>Gemanafushi</t>
  </si>
  <si>
    <t>South Huvadhu Atoll (GDh)</t>
  </si>
  <si>
    <t>Madaveli</t>
  </si>
  <si>
    <t>Nadallaa</t>
  </si>
  <si>
    <t>Gadhdhoo</t>
  </si>
  <si>
    <t>Rathafandhoo</t>
  </si>
  <si>
    <t>Fiyoari</t>
  </si>
  <si>
    <t>Fuvahmulah (Gn)</t>
  </si>
  <si>
    <t>Fuvahmulah</t>
  </si>
  <si>
    <t>Addu City</t>
  </si>
  <si>
    <t>Maradhoo</t>
  </si>
  <si>
    <t>Hulhudhoo</t>
  </si>
  <si>
    <t>Dhafthar in Male' is a special registry where people who have migrated and who have lived for 5 years are registered.</t>
  </si>
  <si>
    <t>S</t>
  </si>
  <si>
    <t>B</t>
  </si>
  <si>
    <t>Lh</t>
  </si>
  <si>
    <t>L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</si>
  <si>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</si>
  <si>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</si>
  <si>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</si>
  <si>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</si>
  <si>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</si>
  <si>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</si>
  <si>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</si>
  <si>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</si>
  <si>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</si>
  <si>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</si>
  <si>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N</t>
  </si>
  <si>
    <t>K</t>
  </si>
  <si>
    <t>Kalaidhoo</t>
  </si>
  <si>
    <t>Atoll</t>
  </si>
  <si>
    <t>Island</t>
  </si>
  <si>
    <t>Maale</t>
  </si>
  <si>
    <t>Henveiru</t>
  </si>
  <si>
    <t>Vilimaale</t>
  </si>
  <si>
    <t>Admin islands</t>
  </si>
  <si>
    <t>HA</t>
  </si>
  <si>
    <t>HDh</t>
  </si>
  <si>
    <t>Kuribi</t>
  </si>
  <si>
    <t>Sh</t>
  </si>
  <si>
    <t>Bilehffahi</t>
  </si>
  <si>
    <t>Kaditheemu</t>
  </si>
  <si>
    <t>Komandoo</t>
  </si>
  <si>
    <t>Maaugoodhoo</t>
  </si>
  <si>
    <t>Milandhoo</t>
  </si>
  <si>
    <t>Henbadhoo</t>
  </si>
  <si>
    <t>Kedhikulhudhoo</t>
  </si>
  <si>
    <t>R</t>
  </si>
  <si>
    <t>Agolhitheemu</t>
  </si>
  <si>
    <t>Dhuvaafaru</t>
  </si>
  <si>
    <t>Iguraidhoo</t>
  </si>
  <si>
    <t>Ugoofaaru</t>
  </si>
  <si>
    <t>Dharavandhoo</t>
  </si>
  <si>
    <t>Dhagethi</t>
  </si>
  <si>
    <t>Hangnameedhoo</t>
  </si>
  <si>
    <t>Kuburudhoo</t>
  </si>
  <si>
    <t>Raimandhoo</t>
  </si>
  <si>
    <t>Biledhdhoo</t>
  </si>
  <si>
    <t>Dharaboodhoo</t>
  </si>
  <si>
    <t>Badidhoo</t>
  </si>
  <si>
    <t>Hulhudheli</t>
  </si>
  <si>
    <t>Maaeboodhoo</t>
  </si>
  <si>
    <t>Ribudhoo</t>
  </si>
  <si>
    <t>Kadoodhoo</t>
  </si>
  <si>
    <t>Kibidhoo</t>
  </si>
  <si>
    <t>Vilufushi</t>
  </si>
  <si>
    <t>Dhabidhoo</t>
  </si>
  <si>
    <t>Isdhoo</t>
  </si>
  <si>
    <t>Dhevvadhoo</t>
  </si>
  <si>
    <t>Kanduhulhudhoo</t>
  </si>
  <si>
    <t>Fares-Maathodaa</t>
  </si>
  <si>
    <t>Hoadedhdhoo</t>
  </si>
  <si>
    <t>Maradhoo-Feydhoo</t>
  </si>
  <si>
    <t>Non-admin islands</t>
  </si>
  <si>
    <r>
      <t xml:space="preserve">Kandolhudhoo </t>
    </r>
    <r>
      <rPr>
        <i/>
        <vertAlign val="superscript"/>
        <sz val="9"/>
        <color indexed="8"/>
        <rFont val="Calibri"/>
        <family val="2"/>
      </rPr>
      <t xml:space="preserve"> 2_/</t>
    </r>
  </si>
  <si>
    <r>
      <t xml:space="preserve">Dhiyadhoo </t>
    </r>
    <r>
      <rPr>
        <i/>
        <vertAlign val="superscript"/>
        <sz val="9"/>
        <color indexed="8"/>
        <rFont val="Calibri"/>
        <family val="2"/>
      </rPr>
      <t xml:space="preserve">2_/  </t>
    </r>
  </si>
  <si>
    <r>
      <t>Note:</t>
    </r>
    <r>
      <rPr>
        <sz val="11"/>
        <color indexed="8"/>
        <rFont val="Calibri"/>
        <family val="2"/>
      </rPr>
      <t xml:space="preserve"> </t>
    </r>
  </si>
  <si>
    <r>
      <t xml:space="preserve">Definition: </t>
    </r>
    <r>
      <rPr>
        <i/>
        <sz val="10"/>
        <color indexed="8"/>
        <rFont val="Calibri"/>
        <family val="2"/>
      </rPr>
      <t xml:space="preserve">The concept of registered population is different from enumerated. In census people are counted at the place where they are residing at the census reference time. A person can be registered in one island and be living in another island </t>
    </r>
  </si>
  <si>
    <t xml:space="preserve">        0 - 17 years Registered Population </t>
  </si>
  <si>
    <t xml:space="preserve">         18 years &amp; above Registered Population</t>
  </si>
  <si>
    <t xml:space="preserve">Hulhumaale </t>
  </si>
  <si>
    <t>Source:   Department of National Registration</t>
  </si>
  <si>
    <t>Table 3.5:  Registered Population by Age Group (Under 18 and 18+), by Island, 2025 (as of 31 December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</si>
</sst>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</font>
    <font>
      <b/>
      <sz val="9"/>
      <color indexed="8"/>
      <name val="Calibri"/>
      <family val="2"/>
    </font>
    <font>
      <b/>
      <sz val="9"/>
      <color indexed="8"/>
      <name val="Arial"/>
      <family val="2"/>
    </font>
    <font>
      <i/>
      <sz val="9"/>
      <color indexed="8"/>
      <name val="Calibri"/>
      <family val="2"/>
    </font>
    <font>
      <sz val="9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9"/>
      <color indexed="8"/>
      <name val="Arial"/>
      <family val="2"/>
    </font>
    <font>
      <i/>
      <sz val="11"/>
      <color indexed="8"/>
      <name val="Calibri"/>
      <family val="2"/>
    </font>
    <font>
      <i/>
      <sz val="10"/>
      <color indexed="8"/>
      <name val="Calibri"/>
      <family val="2"/>
    </font>
    <font>
      <sz val="11"/>
      <color indexed="8"/>
      <name val="Calibri"/>
      <family val="2"/>
    </font>
    <font>
      <sz val="10"/>
      <color rgb="FF000000"/>
      <name val="Calibri"/>
      <family val="2"/>
      <scheme val="minor"/>
    </font>
    <font>
      <b/>
      <i/>
      <sz val="11"/>
      <color indexed="8"/>
      <name val="Calibri"/>
      <family val="2"/>
    </font>
    <font>
      <b/>
      <sz val="12"/>
      <color indexed="8"/>
      <name val="Calibri"/>
      <family val="2"/>
    </font>
    <font>
      <i/>
      <vertAlign val="superscript"/>
      <sz val="9"/>
      <color indexed="8"/>
      <name val="Calibri"/>
      <family val="2"/>
    </font>
    <font>
      <b/>
      <i/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hair">
        <color rgb="FF000000"/>
      </top>
      <bottom style="thin">
        <color rgb="FF000000"/>
      </bottom>
      <diagonal/>
    </border>
  </borders>
  <cellStyleXfs count="27">
    <xf numFmtId="0" fontId="0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12" fillId="0" borderId="0"/>
    <xf numFmtId="0" fontId="6" fillId="0" borderId="0"/>
    <xf numFmtId="0" fontId="6" fillId="0" borderId="0"/>
    <xf numFmtId="0" fontId="1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9" fillId="0" borderId="0"/>
  </cellStyleXfs>
  <cellXfs count="60">
    <xf numFmtId="0" fontId="0" fillId="0" borderId="0" xfId="0"/>
    <xf numFmtId="0" fontId="0" fillId="2" borderId="0" xfId="0" applyFill="1"/>
    <xf numFmtId="3" fontId="0" fillId="2" borderId="0" xfId="0" applyNumberFormat="1" applyFill="1"/>
    <xf numFmtId="0" fontId="16" fillId="2" borderId="0" xfId="0" applyFont="1" applyFill="1"/>
    <xf numFmtId="0" fontId="14" fillId="2" borderId="0" xfId="0" applyFont="1" applyFill="1"/>
    <xf numFmtId="0" fontId="14" fillId="2" borderId="0" xfId="0" applyFont="1" applyFill="1" applyAlignment="1">
      <alignment horizontal="center" vertical="center"/>
    </xf>
    <xf numFmtId="3" fontId="4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vertical="center"/>
    </xf>
    <xf numFmtId="3" fontId="14" fillId="2" borderId="0" xfId="0" applyNumberFormat="1" applyFont="1" applyFill="1" applyAlignment="1">
      <alignment vertical="center"/>
    </xf>
    <xf numFmtId="3" fontId="18" fillId="2" borderId="0" xfId="0" applyNumberFormat="1" applyFont="1" applyFill="1" applyAlignment="1" applyProtection="1">
      <alignment horizontal="right" vertical="center"/>
      <protection locked="0"/>
    </xf>
    <xf numFmtId="3" fontId="18" fillId="2" borderId="0" xfId="0" applyNumberFormat="1" applyFont="1" applyFill="1" applyAlignment="1">
      <alignment horizontal="right" vertical="center"/>
    </xf>
    <xf numFmtId="3" fontId="20" fillId="2" borderId="0" xfId="0" applyNumberFormat="1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3" fontId="16" fillId="2" borderId="0" xfId="0" applyNumberFormat="1" applyFont="1" applyFill="1" applyAlignment="1" applyProtection="1">
      <alignment horizontal="right" vertical="center"/>
      <protection locked="0"/>
    </xf>
    <xf numFmtId="3" fontId="20" fillId="2" borderId="7" xfId="0" applyNumberFormat="1" applyFont="1" applyFill="1" applyBorder="1" applyAlignment="1">
      <alignment horizontal="right" vertical="center"/>
    </xf>
    <xf numFmtId="4" fontId="13" fillId="2" borderId="0" xfId="0" applyNumberFormat="1" applyFont="1" applyFill="1" applyAlignment="1" applyProtection="1">
      <alignment horizontal="left" vertical="center"/>
      <protection locked="0"/>
    </xf>
    <xf numFmtId="3" fontId="15" fillId="2" borderId="0" xfId="0" applyNumberFormat="1" applyFont="1" applyFill="1" applyProtection="1">
      <protection locked="0"/>
    </xf>
    <xf numFmtId="3" fontId="9" fillId="2" borderId="0" xfId="0" applyNumberFormat="1" applyFont="1" applyFill="1" applyAlignment="1" applyProtection="1">
      <alignment horizontal="left" vertical="center"/>
      <protection locked="0"/>
    </xf>
    <xf numFmtId="3" fontId="15" fillId="2" borderId="0" xfId="0" applyNumberFormat="1" applyFont="1" applyFill="1" applyAlignment="1" applyProtection="1">
      <alignment horizontal="right"/>
      <protection locked="0"/>
    </xf>
    <xf numFmtId="4" fontId="13" fillId="2" borderId="0" xfId="0" applyNumberFormat="1" applyFont="1" applyFill="1" applyAlignment="1" applyProtection="1">
      <alignment horizontal="center"/>
      <protection locked="0"/>
    </xf>
    <xf numFmtId="3" fontId="15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/>
    <xf numFmtId="0" fontId="18" fillId="2" borderId="0" xfId="0" applyFont="1" applyFill="1" applyAlignment="1">
      <alignment horizontal="left" vertical="center"/>
    </xf>
    <xf numFmtId="0" fontId="18" fillId="2" borderId="1" xfId="0" applyFont="1" applyFill="1" applyBorder="1"/>
    <xf numFmtId="0" fontId="18" fillId="2" borderId="7" xfId="0" applyFont="1" applyFill="1" applyBorder="1"/>
    <xf numFmtId="0" fontId="18" fillId="2" borderId="0" xfId="0" applyFont="1" applyFill="1" applyAlignment="1">
      <alignment horizontal="center" vertical="center"/>
    </xf>
    <xf numFmtId="167" fontId="16" fillId="2" borderId="0" xfId="0" applyNumberFormat="1" applyFont="1" applyFill="1" applyAlignment="1" applyProtection="1">
      <alignment horizontal="left" vertical="center"/>
      <protection locked="0"/>
    </xf>
    <xf numFmtId="3" fontId="16" fillId="2" borderId="0" xfId="0" applyNumberFormat="1" applyFont="1" applyFill="1" applyAlignment="1" applyProtection="1">
      <alignment horizontal="left" vertical="center" indent="1"/>
      <protection locked="0"/>
    </xf>
    <xf numFmtId="0" fontId="4" fillId="2" borderId="5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left" vertical="center"/>
    </xf>
    <xf numFmtId="3" fontId="4" fillId="2" borderId="3" xfId="0" applyNumberFormat="1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3" fontId="14" fillId="2" borderId="3" xfId="0" applyNumberFormat="1" applyFont="1" applyFill="1" applyBorder="1" applyAlignment="1">
      <alignment vertical="center"/>
    </xf>
    <xf numFmtId="3" fontId="20" fillId="2" borderId="3" xfId="0" applyNumberFormat="1" applyFont="1" applyFill="1" applyBorder="1" applyAlignment="1">
      <alignment horizontal="right" vertical="center"/>
    </xf>
    <xf numFmtId="0" fontId="16" fillId="2" borderId="0" xfId="0" applyFont="1" applyFill="1" applyAlignment="1">
      <alignment horizontal="center" vertical="center"/>
    </xf>
    <xf numFmtId="3" fontId="11" fillId="2" borderId="0" xfId="0" applyNumberFormat="1" applyFont="1" applyFill="1"/>
    <xf numFmtId="3" fontId="8" fillId="2" borderId="0" xfId="0" applyNumberFormat="1" applyFont="1" applyFill="1"/>
    <xf numFmtId="0" fontId="18" fillId="2" borderId="3" xfId="0" applyFont="1" applyFill="1" applyBorder="1" applyAlignment="1">
      <alignment vertical="center"/>
    </xf>
    <xf numFmtId="0" fontId="18" fillId="2" borderId="7" xfId="0" applyFont="1" applyFill="1" applyBorder="1" applyAlignment="1">
      <alignment horizontal="left" vertical="center"/>
    </xf>
    <xf numFmtId="0" fontId="14" fillId="2" borderId="7" xfId="0" applyFont="1" applyFill="1" applyBorder="1"/>
    <xf numFmtId="3" fontId="20" fillId="2" borderId="2" xfId="0" applyNumberFormat="1" applyFont="1" applyFill="1" applyBorder="1" applyAlignment="1">
      <alignment horizontal="right" vertical="center"/>
    </xf>
    <xf numFmtId="3" fontId="11" fillId="2" borderId="0" xfId="0" applyNumberFormat="1" applyFont="1" applyFill="1" applyAlignment="1" applyProtection="1">
      <alignment horizontal="left" indent="1"/>
      <protection locked="0"/>
    </xf>
    <xf numFmtId="3" fontId="14" fillId="2" borderId="0" xfId="0" applyNumberFormat="1" applyFont="1" applyFill="1" applyAlignment="1" applyProtection="1">
      <alignment horizontal="left" vertical="center"/>
      <protection locked="0"/>
    </xf>
    <xf numFmtId="3" fontId="20" fillId="2" borderId="0" xfId="0" applyNumberFormat="1" applyFont="1" applyFill="1" applyAlignment="1" applyProtection="1">
      <alignment horizontal="left" vertical="center"/>
      <protection locked="0"/>
    </xf>
    <xf numFmtId="3" fontId="10" fillId="2" borderId="0" xfId="0" applyNumberFormat="1" applyFont="1" applyFill="1" applyAlignment="1" applyProtection="1">
      <alignment horizontal="left" indent="1"/>
      <protection locked="0"/>
    </xf>
    <xf numFmtId="3" fontId="10" fillId="2" borderId="0" xfId="0" applyNumberFormat="1" applyFont="1" applyFill="1" applyAlignment="1" applyProtection="1">
      <alignment horizontal="left" vertical="center"/>
      <protection locked="0"/>
    </xf>
    <xf numFmtId="3" fontId="18" fillId="2" borderId="0" xfId="0" applyNumberFormat="1" applyFont="1" applyFill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3" fontId="14" fillId="2" borderId="7" xfId="0" applyNumberFormat="1" applyFont="1" applyFill="1" applyBorder="1" applyAlignment="1">
      <alignment vertical="center"/>
    </xf>
    <xf numFmtId="3" fontId="18" fillId="2" borderId="7" xfId="0" applyNumberFormat="1" applyFont="1" applyFill="1" applyBorder="1" applyAlignment="1" applyProtection="1">
      <alignment horizontal="right" vertical="center"/>
      <protection locked="0"/>
    </xf>
    <xf numFmtId="3" fontId="14" fillId="2" borderId="2" xfId="0" applyNumberFormat="1" applyFont="1" applyFill="1" applyBorder="1" applyAlignment="1">
      <alignment vertical="center"/>
    </xf>
    <xf numFmtId="3" fontId="23" fillId="2" borderId="0" xfId="0" applyNumberFormat="1" applyFont="1" applyFill="1" applyAlignment="1" applyProtection="1">
      <alignment horizontal="left" vertical="center" wrapText="1" indent="1"/>
      <protection locked="0"/>
    </xf>
    <xf numFmtId="0" fontId="21" fillId="2" borderId="0" xfId="0" applyFont="1" applyFill="1" applyAlignment="1">
      <alignment horizontal="center" vertical="center"/>
    </xf>
    <xf numFmtId="0" fontId="14" fillId="2" borderId="6" xfId="0" applyFont="1" applyFill="1" applyBorder="1" applyAlignment="1">
      <alignment horizontal="left" vertical="center"/>
    </xf>
    <xf numFmtId="0" fontId="14" fillId="2" borderId="9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3" fontId="17" fillId="2" borderId="0" xfId="0" applyNumberFormat="1" applyFont="1" applyFill="1" applyAlignment="1" applyProtection="1">
      <alignment horizontal="left" vertical="center" indent="1"/>
      <protection locked="0"/>
    </xf>
  </cellXfs>
  <cellStyles count="27">
    <cellStyle name="1" xfId="13" xr:uid="{00000000-0005-0000-0000-000000000000}"/>
    <cellStyle name="Comma 2" xfId="12" xr:uid="{00000000-0005-0000-0000-000002000000}"/>
    <cellStyle name="Comma 2 2" xfId="22" xr:uid="{00000000-0005-0000-0000-000003000000}"/>
    <cellStyle name="Comma 2 3" xfId="25" xr:uid="{7B97C7B6-45BC-4F87-B021-D2FFE1457BD1}"/>
    <cellStyle name="Comma 3" xfId="5" xr:uid="{00000000-0005-0000-0000-000004000000}"/>
    <cellStyle name="Comma 3 2" xfId="15" xr:uid="{00000000-0005-0000-0000-000005000000}"/>
    <cellStyle name="Comma 3 3" xfId="23" xr:uid="{00000000-0005-0000-0000-000006000000}"/>
    <cellStyle name="Comma 4" xfId="3" xr:uid="{00000000-0005-0000-0000-000007000000}"/>
    <cellStyle name="Comma 4 2" xfId="18" xr:uid="{00000000-0005-0000-0000-000008000000}"/>
    <cellStyle name="Comma 7" xfId="14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19" xr:uid="{00000000-0005-0000-0000-000010000000}"/>
    <cellStyle name="Normal 20" xfId="2" xr:uid="{00000000-0005-0000-0000-000011000000}"/>
    <cellStyle name="Normal 20 2" xfId="17" xr:uid="{00000000-0005-0000-0000-000012000000}"/>
    <cellStyle name="Normal 3" xfId="11" xr:uid="{00000000-0005-0000-0000-000013000000}"/>
    <cellStyle name="Normal 32" xfId="7" xr:uid="{00000000-0005-0000-0000-000014000000}"/>
    <cellStyle name="Normal 32 2" xfId="20" xr:uid="{00000000-0005-0000-0000-000015000000}"/>
    <cellStyle name="Normal 4" xfId="10" xr:uid="{00000000-0005-0000-0000-000016000000}"/>
    <cellStyle name="Normal 4 2" xfId="24" xr:uid="{C876A118-C7AA-4052-92BB-F37EED3B4522}"/>
    <cellStyle name="Normal 44" xfId="8" xr:uid="{00000000-0005-0000-0000-000017000000}"/>
    <cellStyle name="Normal 44 2" xfId="21" xr:uid="{00000000-0005-0000-0000-000018000000}"/>
    <cellStyle name="Normal 48" xfId="9" xr:uid="{00000000-0005-0000-0000-000019000000}"/>
    <cellStyle name="Normal 5" xfId="1" xr:uid="{00000000-0005-0000-0000-00001A000000}"/>
    <cellStyle name="Normal 5 2" xfId="16" xr:uid="{00000000-0005-0000-0000-00001B000000}"/>
    <cellStyle name="Normal 5 3" xfId="26" xr:uid="{322195DD-DDD2-4FE1-89C3-0612B80BE6DB}"/>
  </cellStyles>
  <dxfs count="0"/>
  <tableStyles count="0" defaultTableStyle="TableStyleMedium2" defaultPivotStyle="PivotStyleLight16"/>
  <colors>
    <mruColors>
      <color rgb="FF003300"/>
      <color rgb="FFFBFFF7"/>
      <color rgb="FF336600"/>
      <color rgb="FF2F75B5"/>
      <color rgb="FFFF3399"/>
      <color rgb="FFF5DFEA"/>
      <color rgb="FF993366"/>
      <color rgb="FFDA8EB4"/>
      <color rgb="FFE2A8C5"/>
      <color rgb="FFFAF0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3F38D-DA56-4ADB-ACE7-0E0D9D310F31}">
  <dimension ref="A1:K260"/>
  <sheetViews>
    <sheetView tabSelected="1" zoomScaleNormal="100" zoomScaleSheetLayoutView="112" workbookViewId="0">
      <selection activeCell="D3" sqref="D3:F3"/>
    </sheetView>
  </sheetViews>
  <sheetFormatPr defaultRowHeight="15" x14ac:dyDescent="0.25"/>
  <cols>
    <col min="1" max="1" width="3.85546875" style="21" customWidth="1"/>
    <col min="2" max="2" width="8.5703125" style="22" customWidth="1"/>
    <col min="3" max="3" width="22.7109375" style="21" customWidth="1"/>
    <col min="4" max="9" width="13.28515625" style="21" customWidth="1"/>
    <col min="10" max="10" width="9.140625" style="1"/>
    <col min="11" max="11" width="0.140625" style="1" customWidth="1"/>
    <col min="12" max="16384" width="9.140625" style="1"/>
  </cols>
  <sheetData>
    <row r="1" spans="1:11" ht="15.75" x14ac:dyDescent="0.25">
      <c r="A1" s="53" t="s">
        <v>240</v>
      </c>
      <c r="B1" s="53"/>
      <c r="C1" s="53"/>
      <c r="D1" s="53"/>
      <c r="E1" s="53"/>
      <c r="F1" s="53"/>
      <c r="G1" s="53"/>
      <c r="H1" s="53"/>
      <c r="I1" s="53"/>
    </row>
    <row r="3" spans="1:11" ht="26.25" customHeight="1" x14ac:dyDescent="0.25">
      <c r="A3" s="23"/>
      <c r="B3" s="54" t="s">
        <v>188</v>
      </c>
      <c r="C3" s="54" t="s">
        <v>189</v>
      </c>
      <c r="D3" s="56" t="s">
        <v>236</v>
      </c>
      <c r="E3" s="56"/>
      <c r="F3" s="56"/>
      <c r="G3" s="57" t="s">
        <v>237</v>
      </c>
      <c r="H3" s="58"/>
      <c r="I3" s="58"/>
    </row>
    <row r="4" spans="1:11" x14ac:dyDescent="0.25">
      <c r="A4" s="24"/>
      <c r="B4" s="55"/>
      <c r="C4" s="55"/>
      <c r="D4" s="28" t="s">
        <v>0</v>
      </c>
      <c r="E4" s="28" t="s">
        <v>1</v>
      </c>
      <c r="F4" s="28" t="s">
        <v>2</v>
      </c>
      <c r="G4" s="29" t="s">
        <v>0</v>
      </c>
      <c r="H4" s="28" t="s">
        <v>1</v>
      </c>
      <c r="I4" s="28" t="s">
        <v>2</v>
      </c>
    </row>
    <row r="5" spans="1:11" x14ac:dyDescent="0.25">
      <c r="A5" s="4"/>
      <c r="B5" s="30"/>
      <c r="C5" s="4" t="s">
        <v>3</v>
      </c>
      <c r="D5" s="6">
        <f t="shared" ref="D5:I5" si="0">D7+D16</f>
        <v>121664</v>
      </c>
      <c r="E5" s="6">
        <f t="shared" si="0"/>
        <v>62427</v>
      </c>
      <c r="F5" s="6">
        <f t="shared" si="0"/>
        <v>59237</v>
      </c>
      <c r="G5" s="31">
        <f t="shared" si="0"/>
        <v>293630</v>
      </c>
      <c r="H5" s="6">
        <f t="shared" si="0"/>
        <v>149726</v>
      </c>
      <c r="I5" s="6">
        <f t="shared" si="0"/>
        <v>143904</v>
      </c>
      <c r="K5" s="2"/>
    </row>
    <row r="6" spans="1:11" x14ac:dyDescent="0.25">
      <c r="D6" s="7"/>
      <c r="E6" s="7"/>
      <c r="F6" s="7"/>
      <c r="G6" s="32"/>
      <c r="H6" s="7"/>
      <c r="I6" s="7"/>
    </row>
    <row r="7" spans="1:11" x14ac:dyDescent="0.25">
      <c r="A7" s="4"/>
      <c r="B7" s="30"/>
      <c r="C7" s="4" t="s">
        <v>190</v>
      </c>
      <c r="D7" s="8">
        <f>SUM(E7:F7)</f>
        <v>24038</v>
      </c>
      <c r="E7" s="8">
        <f>SUM(E8:E14)</f>
        <v>12271</v>
      </c>
      <c r="F7" s="8">
        <f>SUM(F8:F14)</f>
        <v>11767</v>
      </c>
      <c r="G7" s="33">
        <f>SUM(H7:I7)</f>
        <v>58033</v>
      </c>
      <c r="H7" s="8">
        <f>SUM(H8:H14)</f>
        <v>29552</v>
      </c>
      <c r="I7" s="8">
        <f>SUM(I8:I14)</f>
        <v>28481</v>
      </c>
    </row>
    <row r="8" spans="1:11" x14ac:dyDescent="0.25">
      <c r="C8" s="21" t="s">
        <v>191</v>
      </c>
      <c r="D8" s="8">
        <f t="shared" ref="D8:D11" si="1">SUM(E8:F8)</f>
        <v>4929</v>
      </c>
      <c r="E8" s="9">
        <v>2554</v>
      </c>
      <c r="F8" s="9">
        <v>2375</v>
      </c>
      <c r="G8" s="33">
        <f t="shared" ref="G8:G11" si="2">SUM(H8:I8)</f>
        <v>11337</v>
      </c>
      <c r="H8" s="9">
        <v>5590</v>
      </c>
      <c r="I8" s="9">
        <v>5747</v>
      </c>
    </row>
    <row r="9" spans="1:11" x14ac:dyDescent="0.25">
      <c r="C9" s="21" t="s">
        <v>4</v>
      </c>
      <c r="D9" s="8">
        <f t="shared" si="1"/>
        <v>3587</v>
      </c>
      <c r="E9" s="9">
        <v>1826</v>
      </c>
      <c r="F9" s="9">
        <v>1761</v>
      </c>
      <c r="G9" s="33">
        <f t="shared" si="2"/>
        <v>8229</v>
      </c>
      <c r="H9" s="9">
        <v>4165</v>
      </c>
      <c r="I9" s="9">
        <v>4064</v>
      </c>
    </row>
    <row r="10" spans="1:11" x14ac:dyDescent="0.25">
      <c r="C10" s="21" t="s">
        <v>5</v>
      </c>
      <c r="D10" s="8">
        <f t="shared" si="1"/>
        <v>3856</v>
      </c>
      <c r="E10" s="9">
        <v>1963</v>
      </c>
      <c r="F10" s="9">
        <v>1893</v>
      </c>
      <c r="G10" s="33">
        <f t="shared" si="2"/>
        <v>8668</v>
      </c>
      <c r="H10" s="9">
        <v>4306</v>
      </c>
      <c r="I10" s="9">
        <v>4362</v>
      </c>
    </row>
    <row r="11" spans="1:11" x14ac:dyDescent="0.25">
      <c r="C11" s="21" t="s">
        <v>6</v>
      </c>
      <c r="D11" s="8">
        <f t="shared" si="1"/>
        <v>6342</v>
      </c>
      <c r="E11" s="9">
        <v>3231</v>
      </c>
      <c r="F11" s="9">
        <v>3111</v>
      </c>
      <c r="G11" s="33">
        <f t="shared" si="2"/>
        <v>14558</v>
      </c>
      <c r="H11" s="9">
        <v>7423</v>
      </c>
      <c r="I11" s="9">
        <v>7135</v>
      </c>
    </row>
    <row r="12" spans="1:11" x14ac:dyDescent="0.25">
      <c r="C12" s="21" t="s">
        <v>192</v>
      </c>
      <c r="D12" s="8">
        <f>SUM(E12:F12)</f>
        <v>1221</v>
      </c>
      <c r="E12" s="9">
        <v>597</v>
      </c>
      <c r="F12" s="9">
        <v>624</v>
      </c>
      <c r="G12" s="33">
        <f>SUM(H12:I12)</f>
        <v>2143</v>
      </c>
      <c r="H12" s="9">
        <v>1109</v>
      </c>
      <c r="I12" s="9">
        <v>1034</v>
      </c>
    </row>
    <row r="13" spans="1:11" x14ac:dyDescent="0.25">
      <c r="C13" s="21" t="s">
        <v>238</v>
      </c>
      <c r="D13" s="8">
        <f>SUM(E13:F13)</f>
        <v>2760</v>
      </c>
      <c r="E13" s="47">
        <v>1421</v>
      </c>
      <c r="F13" s="47">
        <v>1339</v>
      </c>
      <c r="G13" s="33">
        <f>SUM(H13:I13)</f>
        <v>5595</v>
      </c>
      <c r="H13" s="47">
        <v>2847</v>
      </c>
      <c r="I13" s="47">
        <v>2748</v>
      </c>
    </row>
    <row r="14" spans="1:11" x14ac:dyDescent="0.25">
      <c r="C14" s="21" t="s">
        <v>7</v>
      </c>
      <c r="D14" s="8">
        <f>SUM(E14:F14)</f>
        <v>1343</v>
      </c>
      <c r="E14" s="9">
        <v>679</v>
      </c>
      <c r="F14" s="9">
        <v>664</v>
      </c>
      <c r="G14" s="33">
        <f>SUM(H14:I14)</f>
        <v>7503</v>
      </c>
      <c r="H14" s="9">
        <v>4112</v>
      </c>
      <c r="I14" s="9">
        <v>3391</v>
      </c>
    </row>
    <row r="15" spans="1:11" x14ac:dyDescent="0.25">
      <c r="D15" s="8"/>
      <c r="E15" s="12"/>
      <c r="F15" s="12"/>
      <c r="G15" s="33"/>
      <c r="H15" s="12"/>
      <c r="I15" s="12"/>
    </row>
    <row r="16" spans="1:11" x14ac:dyDescent="0.25">
      <c r="A16" s="4"/>
      <c r="B16" s="30"/>
      <c r="C16" s="4" t="s">
        <v>193</v>
      </c>
      <c r="D16" s="8">
        <f t="shared" ref="D16:I16" si="3">D17+D33+D50+D66+D81+D99+D114+D120+D131+D141+D153+D241+D238+D227+D215+D201+D186+D177+D170+D160</f>
        <v>97626</v>
      </c>
      <c r="E16" s="8">
        <f t="shared" si="3"/>
        <v>50156</v>
      </c>
      <c r="F16" s="8">
        <f t="shared" si="3"/>
        <v>47470</v>
      </c>
      <c r="G16" s="33">
        <f>G17+G33+G50+G66+G81+G99+G114+G120+G131+G141+G153+G241+G238+G227+G215+G201+G186+G177+G170+G160</f>
        <v>235597</v>
      </c>
      <c r="H16" s="8">
        <f t="shared" si="3"/>
        <v>120174</v>
      </c>
      <c r="I16" s="8">
        <f t="shared" si="3"/>
        <v>115423</v>
      </c>
    </row>
    <row r="17" spans="1:9" x14ac:dyDescent="0.25">
      <c r="A17" s="4"/>
      <c r="B17" s="30" t="s">
        <v>9</v>
      </c>
      <c r="C17" s="4"/>
      <c r="D17" s="8">
        <f>SUM(E17:F17)</f>
        <v>7169</v>
      </c>
      <c r="E17" s="8">
        <f>SUM(E18:E31)</f>
        <v>3743</v>
      </c>
      <c r="F17" s="8">
        <f>SUM(F18:F31)</f>
        <v>3426</v>
      </c>
      <c r="G17" s="33">
        <f>SUM(H17:I17)</f>
        <v>17089</v>
      </c>
      <c r="H17" s="8">
        <f>SUM(H18:H31)</f>
        <v>8639</v>
      </c>
      <c r="I17" s="8">
        <f>SUM(I18:I31)</f>
        <v>8450</v>
      </c>
    </row>
    <row r="18" spans="1:9" x14ac:dyDescent="0.25">
      <c r="A18" s="25">
        <v>1</v>
      </c>
      <c r="B18" s="25" t="s">
        <v>194</v>
      </c>
      <c r="C18" s="21" t="s">
        <v>23</v>
      </c>
      <c r="D18" s="8">
        <f t="shared" ref="D18:D31" si="4">SUM(E18:F18)</f>
        <v>638</v>
      </c>
      <c r="E18" s="9">
        <v>340</v>
      </c>
      <c r="F18" s="9">
        <v>298</v>
      </c>
      <c r="G18" s="33">
        <f t="shared" ref="G18:G31" si="5">SUM(H18:I18)</f>
        <v>1505</v>
      </c>
      <c r="H18" s="9">
        <v>747</v>
      </c>
      <c r="I18" s="9">
        <v>758</v>
      </c>
    </row>
    <row r="19" spans="1:9" x14ac:dyDescent="0.25">
      <c r="A19" s="25">
        <v>2</v>
      </c>
      <c r="B19" s="25" t="s">
        <v>194</v>
      </c>
      <c r="C19" s="21" t="s">
        <v>17</v>
      </c>
      <c r="D19" s="8">
        <f t="shared" si="4"/>
        <v>1409</v>
      </c>
      <c r="E19" s="9">
        <v>726</v>
      </c>
      <c r="F19" s="9">
        <v>683</v>
      </c>
      <c r="G19" s="33">
        <f t="shared" si="5"/>
        <v>3150</v>
      </c>
      <c r="H19" s="9">
        <v>1585</v>
      </c>
      <c r="I19" s="9">
        <v>1565</v>
      </c>
    </row>
    <row r="20" spans="1:9" x14ac:dyDescent="0.25">
      <c r="A20" s="25">
        <v>3</v>
      </c>
      <c r="B20" s="25" t="s">
        <v>194</v>
      </c>
      <c r="C20" s="21" t="s">
        <v>18</v>
      </c>
      <c r="D20" s="8">
        <f t="shared" si="4"/>
        <v>347</v>
      </c>
      <c r="E20" s="9">
        <v>168</v>
      </c>
      <c r="F20" s="9">
        <v>179</v>
      </c>
      <c r="G20" s="33">
        <f t="shared" si="5"/>
        <v>857</v>
      </c>
      <c r="H20" s="9">
        <v>439</v>
      </c>
      <c r="I20" s="9">
        <v>418</v>
      </c>
    </row>
    <row r="21" spans="1:9" x14ac:dyDescent="0.25">
      <c r="A21" s="25">
        <v>4</v>
      </c>
      <c r="B21" s="25" t="s">
        <v>194</v>
      </c>
      <c r="C21" s="21" t="s">
        <v>13</v>
      </c>
      <c r="D21" s="8">
        <f t="shared" si="4"/>
        <v>933</v>
      </c>
      <c r="E21" s="9">
        <v>485</v>
      </c>
      <c r="F21" s="9">
        <v>448</v>
      </c>
      <c r="G21" s="33">
        <f t="shared" si="5"/>
        <v>2623</v>
      </c>
      <c r="H21" s="9">
        <v>1326</v>
      </c>
      <c r="I21" s="9">
        <v>1297</v>
      </c>
    </row>
    <row r="22" spans="1:9" x14ac:dyDescent="0.25">
      <c r="A22" s="25">
        <v>5</v>
      </c>
      <c r="B22" s="25" t="s">
        <v>194</v>
      </c>
      <c r="C22" s="21" t="s">
        <v>14</v>
      </c>
      <c r="D22" s="8">
        <f t="shared" si="4"/>
        <v>1309</v>
      </c>
      <c r="E22" s="9">
        <v>711</v>
      </c>
      <c r="F22" s="9">
        <v>598</v>
      </c>
      <c r="G22" s="33">
        <f t="shared" si="5"/>
        <v>2515</v>
      </c>
      <c r="H22" s="9">
        <v>1263</v>
      </c>
      <c r="I22" s="9">
        <v>1252</v>
      </c>
    </row>
    <row r="23" spans="1:9" x14ac:dyDescent="0.25">
      <c r="A23" s="25">
        <v>6</v>
      </c>
      <c r="B23" s="25" t="s">
        <v>194</v>
      </c>
      <c r="C23" s="21" t="s">
        <v>15</v>
      </c>
      <c r="D23" s="8">
        <f t="shared" si="4"/>
        <v>633</v>
      </c>
      <c r="E23" s="9">
        <v>328</v>
      </c>
      <c r="F23" s="9">
        <v>305</v>
      </c>
      <c r="G23" s="33">
        <f t="shared" si="5"/>
        <v>1700</v>
      </c>
      <c r="H23" s="9">
        <v>908</v>
      </c>
      <c r="I23" s="9">
        <v>792</v>
      </c>
    </row>
    <row r="24" spans="1:9" x14ac:dyDescent="0.25">
      <c r="A24" s="25">
        <v>7</v>
      </c>
      <c r="B24" s="25" t="s">
        <v>194</v>
      </c>
      <c r="C24" s="21" t="s">
        <v>19</v>
      </c>
      <c r="D24" s="8">
        <f t="shared" si="4"/>
        <v>366</v>
      </c>
      <c r="E24" s="9">
        <v>189</v>
      </c>
      <c r="F24" s="9">
        <v>177</v>
      </c>
      <c r="G24" s="33">
        <f t="shared" si="5"/>
        <v>760</v>
      </c>
      <c r="H24" s="9">
        <v>395</v>
      </c>
      <c r="I24" s="9">
        <v>365</v>
      </c>
    </row>
    <row r="25" spans="1:9" x14ac:dyDescent="0.25">
      <c r="A25" s="25">
        <v>8</v>
      </c>
      <c r="B25" s="25" t="s">
        <v>194</v>
      </c>
      <c r="C25" s="21" t="s">
        <v>12</v>
      </c>
      <c r="D25" s="8">
        <f t="shared" si="4"/>
        <v>115</v>
      </c>
      <c r="E25" s="9">
        <v>68</v>
      </c>
      <c r="F25" s="9">
        <v>47</v>
      </c>
      <c r="G25" s="33">
        <f t="shared" si="5"/>
        <v>302</v>
      </c>
      <c r="H25" s="9">
        <v>150</v>
      </c>
      <c r="I25" s="9">
        <v>152</v>
      </c>
    </row>
    <row r="26" spans="1:9" x14ac:dyDescent="0.25">
      <c r="A26" s="25">
        <v>9</v>
      </c>
      <c r="B26" s="25" t="s">
        <v>194</v>
      </c>
      <c r="C26" s="21" t="s">
        <v>22</v>
      </c>
      <c r="D26" s="8">
        <f t="shared" si="4"/>
        <v>280</v>
      </c>
      <c r="E26" s="9">
        <v>144</v>
      </c>
      <c r="F26" s="9">
        <v>136</v>
      </c>
      <c r="G26" s="33">
        <f t="shared" si="5"/>
        <v>655</v>
      </c>
      <c r="H26" s="9">
        <v>317</v>
      </c>
      <c r="I26" s="9">
        <v>338</v>
      </c>
    </row>
    <row r="27" spans="1:9" x14ac:dyDescent="0.25">
      <c r="A27" s="25">
        <v>10</v>
      </c>
      <c r="B27" s="25" t="s">
        <v>194</v>
      </c>
      <c r="C27" s="21" t="s">
        <v>20</v>
      </c>
      <c r="D27" s="8">
        <f t="shared" si="4"/>
        <v>268</v>
      </c>
      <c r="E27" s="9">
        <v>132</v>
      </c>
      <c r="F27" s="9">
        <v>136</v>
      </c>
      <c r="G27" s="33">
        <f t="shared" si="5"/>
        <v>682</v>
      </c>
      <c r="H27" s="9">
        <v>326</v>
      </c>
      <c r="I27" s="9">
        <v>356</v>
      </c>
    </row>
    <row r="28" spans="1:9" x14ac:dyDescent="0.25">
      <c r="A28" s="25">
        <v>11</v>
      </c>
      <c r="B28" s="25" t="s">
        <v>194</v>
      </c>
      <c r="C28" s="21" t="s">
        <v>10</v>
      </c>
      <c r="D28" s="8">
        <f t="shared" si="4"/>
        <v>156</v>
      </c>
      <c r="E28" s="9">
        <v>91</v>
      </c>
      <c r="F28" s="9">
        <v>65</v>
      </c>
      <c r="G28" s="33">
        <f t="shared" si="5"/>
        <v>544</v>
      </c>
      <c r="H28" s="9">
        <v>281</v>
      </c>
      <c r="I28" s="9">
        <v>263</v>
      </c>
    </row>
    <row r="29" spans="1:9" x14ac:dyDescent="0.25">
      <c r="A29" s="25">
        <v>12</v>
      </c>
      <c r="B29" s="25" t="s">
        <v>194</v>
      </c>
      <c r="C29" s="21" t="s">
        <v>11</v>
      </c>
      <c r="D29" s="8">
        <f t="shared" si="4"/>
        <v>158</v>
      </c>
      <c r="E29" s="9">
        <v>76</v>
      </c>
      <c r="F29" s="9">
        <v>82</v>
      </c>
      <c r="G29" s="33">
        <f t="shared" si="5"/>
        <v>403</v>
      </c>
      <c r="H29" s="9">
        <v>204</v>
      </c>
      <c r="I29" s="9">
        <v>199</v>
      </c>
    </row>
    <row r="30" spans="1:9" x14ac:dyDescent="0.25">
      <c r="A30" s="25">
        <v>13</v>
      </c>
      <c r="B30" s="25" t="s">
        <v>194</v>
      </c>
      <c r="C30" s="21" t="s">
        <v>21</v>
      </c>
      <c r="D30" s="8">
        <f t="shared" si="4"/>
        <v>310</v>
      </c>
      <c r="E30" s="9">
        <v>153</v>
      </c>
      <c r="F30" s="9">
        <v>157</v>
      </c>
      <c r="G30" s="33">
        <f t="shared" si="5"/>
        <v>715</v>
      </c>
      <c r="H30" s="9">
        <v>354</v>
      </c>
      <c r="I30" s="9">
        <v>361</v>
      </c>
    </row>
    <row r="31" spans="1:9" x14ac:dyDescent="0.25">
      <c r="A31" s="25">
        <v>14</v>
      </c>
      <c r="B31" s="25" t="s">
        <v>194</v>
      </c>
      <c r="C31" s="21" t="s">
        <v>16</v>
      </c>
      <c r="D31" s="8">
        <f t="shared" si="4"/>
        <v>247</v>
      </c>
      <c r="E31" s="9">
        <v>132</v>
      </c>
      <c r="F31" s="9">
        <v>115</v>
      </c>
      <c r="G31" s="33">
        <f t="shared" si="5"/>
        <v>678</v>
      </c>
      <c r="H31" s="9">
        <v>344</v>
      </c>
      <c r="I31" s="9">
        <v>334</v>
      </c>
    </row>
    <row r="32" spans="1:9" x14ac:dyDescent="0.25">
      <c r="A32" s="25"/>
      <c r="D32" s="8"/>
      <c r="E32" s="9"/>
      <c r="F32" s="9"/>
      <c r="G32" s="33"/>
      <c r="H32" s="9"/>
      <c r="I32" s="9"/>
    </row>
    <row r="33" spans="1:9" x14ac:dyDescent="0.25">
      <c r="A33" s="5"/>
      <c r="B33" s="30" t="s">
        <v>24</v>
      </c>
      <c r="C33" s="4"/>
      <c r="D33" s="8">
        <f>SUM(E33:F33)</f>
        <v>9050</v>
      </c>
      <c r="E33" s="8">
        <f>SUM(E34:E48)</f>
        <v>4558</v>
      </c>
      <c r="F33" s="8">
        <f>SUM(F34:F48)</f>
        <v>4492</v>
      </c>
      <c r="G33" s="33">
        <f>SUM(H33:I33)</f>
        <v>20313</v>
      </c>
      <c r="H33" s="8">
        <f>SUM(H34:H48)</f>
        <v>10338</v>
      </c>
      <c r="I33" s="8">
        <f>SUM(I34:I48)</f>
        <v>9975</v>
      </c>
    </row>
    <row r="34" spans="1:9" x14ac:dyDescent="0.25">
      <c r="A34" s="25">
        <v>15</v>
      </c>
      <c r="B34" s="25" t="s">
        <v>195</v>
      </c>
      <c r="C34" s="21" t="s">
        <v>26</v>
      </c>
      <c r="D34" s="8">
        <f t="shared" ref="D34:D48" si="6">SUM(E34:F34)</f>
        <v>178</v>
      </c>
      <c r="E34" s="9">
        <v>83</v>
      </c>
      <c r="F34" s="9">
        <v>95</v>
      </c>
      <c r="G34" s="33">
        <f t="shared" ref="G34:G48" si="7">SUM(H34:I34)</f>
        <v>441</v>
      </c>
      <c r="H34" s="9">
        <v>216</v>
      </c>
      <c r="I34" s="9">
        <v>225</v>
      </c>
    </row>
    <row r="35" spans="1:9" x14ac:dyDescent="0.25">
      <c r="A35" s="25">
        <v>16</v>
      </c>
      <c r="B35" s="25" t="s">
        <v>195</v>
      </c>
      <c r="C35" s="21" t="s">
        <v>25</v>
      </c>
      <c r="D35" s="8">
        <f t="shared" si="6"/>
        <v>725</v>
      </c>
      <c r="E35" s="9">
        <v>368</v>
      </c>
      <c r="F35" s="9">
        <v>357</v>
      </c>
      <c r="G35" s="33">
        <f t="shared" si="7"/>
        <v>1731</v>
      </c>
      <c r="H35" s="9">
        <v>863</v>
      </c>
      <c r="I35" s="9">
        <v>868</v>
      </c>
    </row>
    <row r="36" spans="1:9" x14ac:dyDescent="0.25">
      <c r="A36" s="25">
        <v>17</v>
      </c>
      <c r="B36" s="25" t="s">
        <v>195</v>
      </c>
      <c r="C36" s="21" t="s">
        <v>28</v>
      </c>
      <c r="D36" s="8">
        <f t="shared" si="6"/>
        <v>158</v>
      </c>
      <c r="E36" s="9">
        <v>86</v>
      </c>
      <c r="F36" s="9">
        <v>72</v>
      </c>
      <c r="G36" s="33">
        <f t="shared" si="7"/>
        <v>426</v>
      </c>
      <c r="H36" s="9">
        <v>219</v>
      </c>
      <c r="I36" s="9">
        <v>207</v>
      </c>
    </row>
    <row r="37" spans="1:9" x14ac:dyDescent="0.25">
      <c r="A37" s="25">
        <v>18</v>
      </c>
      <c r="B37" s="25" t="s">
        <v>195</v>
      </c>
      <c r="C37" s="21" t="s">
        <v>33</v>
      </c>
      <c r="D37" s="8">
        <f t="shared" si="6"/>
        <v>3700</v>
      </c>
      <c r="E37" s="9">
        <v>1852</v>
      </c>
      <c r="F37" s="9">
        <v>1848</v>
      </c>
      <c r="G37" s="33">
        <f t="shared" si="7"/>
        <v>7339</v>
      </c>
      <c r="H37" s="9">
        <v>3713</v>
      </c>
      <c r="I37" s="9">
        <v>3626</v>
      </c>
    </row>
    <row r="38" spans="1:9" x14ac:dyDescent="0.25">
      <c r="A38" s="25">
        <v>19</v>
      </c>
      <c r="B38" s="25" t="s">
        <v>195</v>
      </c>
      <c r="C38" s="21" t="s">
        <v>34</v>
      </c>
      <c r="D38" s="8">
        <f t="shared" si="6"/>
        <v>375</v>
      </c>
      <c r="E38" s="9">
        <v>192</v>
      </c>
      <c r="F38" s="9">
        <v>183</v>
      </c>
      <c r="G38" s="33">
        <f t="shared" si="7"/>
        <v>1143</v>
      </c>
      <c r="H38" s="9">
        <v>577</v>
      </c>
      <c r="I38" s="9">
        <v>566</v>
      </c>
    </row>
    <row r="39" spans="1:9" x14ac:dyDescent="0.25">
      <c r="A39" s="25">
        <v>20</v>
      </c>
      <c r="B39" s="25" t="s">
        <v>195</v>
      </c>
      <c r="C39" s="21" t="s">
        <v>196</v>
      </c>
      <c r="D39" s="8">
        <f t="shared" si="6"/>
        <v>214</v>
      </c>
      <c r="E39" s="9">
        <v>103</v>
      </c>
      <c r="F39" s="9">
        <v>111</v>
      </c>
      <c r="G39" s="33">
        <f t="shared" si="7"/>
        <v>563</v>
      </c>
      <c r="H39" s="9">
        <v>299</v>
      </c>
      <c r="I39" s="9">
        <v>264</v>
      </c>
    </row>
    <row r="40" spans="1:9" x14ac:dyDescent="0.25">
      <c r="A40" s="25">
        <v>21</v>
      </c>
      <c r="B40" s="25" t="s">
        <v>195</v>
      </c>
      <c r="C40" s="21" t="s">
        <v>38</v>
      </c>
      <c r="D40" s="8">
        <f t="shared" si="6"/>
        <v>619</v>
      </c>
      <c r="E40" s="9">
        <v>318</v>
      </c>
      <c r="F40" s="9">
        <v>301</v>
      </c>
      <c r="G40" s="33">
        <f t="shared" si="7"/>
        <v>1329</v>
      </c>
      <c r="H40" s="9">
        <v>695</v>
      </c>
      <c r="I40" s="9">
        <v>634</v>
      </c>
    </row>
    <row r="41" spans="1:9" x14ac:dyDescent="0.25">
      <c r="A41" s="25">
        <v>22</v>
      </c>
      <c r="B41" s="25" t="s">
        <v>195</v>
      </c>
      <c r="C41" s="21" t="s">
        <v>27</v>
      </c>
      <c r="D41" s="8">
        <f t="shared" si="6"/>
        <v>275</v>
      </c>
      <c r="E41" s="9">
        <v>149</v>
      </c>
      <c r="F41" s="9">
        <v>126</v>
      </c>
      <c r="G41" s="33">
        <f t="shared" si="7"/>
        <v>602</v>
      </c>
      <c r="H41" s="9">
        <v>305</v>
      </c>
      <c r="I41" s="9">
        <v>297</v>
      </c>
    </row>
    <row r="42" spans="1:9" x14ac:dyDescent="0.25">
      <c r="A42" s="25">
        <v>23</v>
      </c>
      <c r="B42" s="25" t="s">
        <v>195</v>
      </c>
      <c r="C42" s="21" t="s">
        <v>30</v>
      </c>
      <c r="D42" s="8">
        <f t="shared" si="6"/>
        <v>442</v>
      </c>
      <c r="E42" s="9">
        <v>222</v>
      </c>
      <c r="F42" s="9">
        <v>220</v>
      </c>
      <c r="G42" s="33">
        <f t="shared" si="7"/>
        <v>942</v>
      </c>
      <c r="H42" s="9">
        <v>492</v>
      </c>
      <c r="I42" s="9">
        <v>450</v>
      </c>
    </row>
    <row r="43" spans="1:9" x14ac:dyDescent="0.25">
      <c r="A43" s="25">
        <v>24</v>
      </c>
      <c r="B43" s="25" t="s">
        <v>195</v>
      </c>
      <c r="C43" s="21" t="s">
        <v>35</v>
      </c>
      <c r="D43" s="8">
        <f t="shared" si="6"/>
        <v>395</v>
      </c>
      <c r="E43" s="9">
        <v>202</v>
      </c>
      <c r="F43" s="9">
        <v>193</v>
      </c>
      <c r="G43" s="33">
        <f t="shared" si="7"/>
        <v>1051</v>
      </c>
      <c r="H43" s="9">
        <v>567</v>
      </c>
      <c r="I43" s="9">
        <v>484</v>
      </c>
    </row>
    <row r="44" spans="1:9" x14ac:dyDescent="0.25">
      <c r="A44" s="25">
        <v>25</v>
      </c>
      <c r="B44" s="25" t="s">
        <v>195</v>
      </c>
      <c r="C44" s="21" t="s">
        <v>31</v>
      </c>
      <c r="D44" s="8">
        <f t="shared" si="6"/>
        <v>989</v>
      </c>
      <c r="E44" s="9">
        <v>494</v>
      </c>
      <c r="F44" s="9">
        <v>495</v>
      </c>
      <c r="G44" s="33">
        <f t="shared" si="7"/>
        <v>1926</v>
      </c>
      <c r="H44" s="9">
        <v>979</v>
      </c>
      <c r="I44" s="9">
        <v>947</v>
      </c>
    </row>
    <row r="45" spans="1:9" x14ac:dyDescent="0.25">
      <c r="A45" s="25">
        <v>26</v>
      </c>
      <c r="B45" s="25" t="s">
        <v>195</v>
      </c>
      <c r="C45" s="21" t="s">
        <v>29</v>
      </c>
      <c r="D45" s="8">
        <f t="shared" si="6"/>
        <v>566</v>
      </c>
      <c r="E45" s="9">
        <v>277</v>
      </c>
      <c r="F45" s="9">
        <v>289</v>
      </c>
      <c r="G45" s="33">
        <f t="shared" si="7"/>
        <v>1469</v>
      </c>
      <c r="H45" s="9">
        <v>726</v>
      </c>
      <c r="I45" s="9">
        <v>743</v>
      </c>
    </row>
    <row r="46" spans="1:9" x14ac:dyDescent="0.25">
      <c r="A46" s="25">
        <v>27</v>
      </c>
      <c r="B46" s="25" t="s">
        <v>195</v>
      </c>
      <c r="C46" s="21" t="s">
        <v>36</v>
      </c>
      <c r="D46" s="8">
        <f t="shared" si="6"/>
        <v>414</v>
      </c>
      <c r="E46" s="9">
        <v>212</v>
      </c>
      <c r="F46" s="9">
        <v>202</v>
      </c>
      <c r="G46" s="33">
        <f t="shared" si="7"/>
        <v>1351</v>
      </c>
      <c r="H46" s="9">
        <v>687</v>
      </c>
      <c r="I46" s="9">
        <v>664</v>
      </c>
    </row>
    <row r="47" spans="1:9" hidden="1" x14ac:dyDescent="0.25">
      <c r="A47" s="25"/>
      <c r="B47" s="25" t="s">
        <v>195</v>
      </c>
      <c r="C47" s="3" t="s">
        <v>32</v>
      </c>
      <c r="D47" s="8">
        <f t="shared" si="6"/>
        <v>0</v>
      </c>
      <c r="E47" s="11" t="s">
        <v>8</v>
      </c>
      <c r="F47" s="11" t="s">
        <v>8</v>
      </c>
      <c r="G47" s="33">
        <f t="shared" si="7"/>
        <v>0</v>
      </c>
      <c r="H47" s="11" t="s">
        <v>8</v>
      </c>
      <c r="I47" s="11" t="s">
        <v>8</v>
      </c>
    </row>
    <row r="48" spans="1:9" hidden="1" x14ac:dyDescent="0.25">
      <c r="B48" s="25" t="s">
        <v>195</v>
      </c>
      <c r="C48" s="3" t="s">
        <v>37</v>
      </c>
      <c r="D48" s="8">
        <f t="shared" si="6"/>
        <v>0</v>
      </c>
      <c r="E48" s="11" t="s">
        <v>8</v>
      </c>
      <c r="F48" s="11" t="s">
        <v>8</v>
      </c>
      <c r="G48" s="33">
        <f t="shared" si="7"/>
        <v>0</v>
      </c>
      <c r="H48" s="11" t="s">
        <v>8</v>
      </c>
      <c r="I48" s="11" t="s">
        <v>8</v>
      </c>
    </row>
    <row r="49" spans="1:9" x14ac:dyDescent="0.25">
      <c r="D49" s="8"/>
      <c r="E49" s="9"/>
      <c r="F49" s="9"/>
      <c r="G49" s="33"/>
      <c r="H49" s="9"/>
      <c r="I49" s="9"/>
    </row>
    <row r="50" spans="1:9" x14ac:dyDescent="0.25">
      <c r="A50" s="5"/>
      <c r="B50" s="30" t="s">
        <v>39</v>
      </c>
      <c r="C50" s="4"/>
      <c r="D50" s="8">
        <f>SUM(E50:F50)</f>
        <v>5930</v>
      </c>
      <c r="E50" s="8">
        <f>SUM(E51:E64)</f>
        <v>3062</v>
      </c>
      <c r="F50" s="8">
        <f>SUM(F51:F64)</f>
        <v>2868</v>
      </c>
      <c r="G50" s="33">
        <f>SUM(H50:I50)</f>
        <v>13804</v>
      </c>
      <c r="H50" s="8">
        <f>SUM(H51:H64)</f>
        <v>7030</v>
      </c>
      <c r="I50" s="8">
        <f>SUM(I51:I64)</f>
        <v>6774</v>
      </c>
    </row>
    <row r="51" spans="1:9" x14ac:dyDescent="0.25">
      <c r="A51" s="25">
        <v>28</v>
      </c>
      <c r="B51" s="25" t="s">
        <v>197</v>
      </c>
      <c r="C51" s="21" t="s">
        <v>198</v>
      </c>
      <c r="D51" s="8">
        <f t="shared" ref="D51:D64" si="8">SUM(E51:F51)</f>
        <v>214</v>
      </c>
      <c r="E51" s="9">
        <v>118</v>
      </c>
      <c r="F51" s="9">
        <v>96</v>
      </c>
      <c r="G51" s="33">
        <f t="shared" ref="G51:G64" si="9">SUM(H51:I51)</f>
        <v>539</v>
      </c>
      <c r="H51" s="9">
        <v>275</v>
      </c>
      <c r="I51" s="9">
        <v>264</v>
      </c>
    </row>
    <row r="52" spans="1:9" x14ac:dyDescent="0.25">
      <c r="A52" s="25">
        <v>29</v>
      </c>
      <c r="B52" s="25" t="s">
        <v>197</v>
      </c>
      <c r="C52" s="21" t="s">
        <v>43</v>
      </c>
      <c r="D52" s="8">
        <f t="shared" si="8"/>
        <v>369</v>
      </c>
      <c r="E52" s="9">
        <v>199</v>
      </c>
      <c r="F52" s="9">
        <v>170</v>
      </c>
      <c r="G52" s="33">
        <f t="shared" si="9"/>
        <v>865</v>
      </c>
      <c r="H52" s="9">
        <v>420</v>
      </c>
      <c r="I52" s="9">
        <v>445</v>
      </c>
    </row>
    <row r="53" spans="1:9" x14ac:dyDescent="0.25">
      <c r="A53" s="25">
        <v>30</v>
      </c>
      <c r="B53" s="25" t="s">
        <v>197</v>
      </c>
      <c r="C53" s="21" t="s">
        <v>42</v>
      </c>
      <c r="D53" s="8">
        <f t="shared" si="8"/>
        <v>352</v>
      </c>
      <c r="E53" s="9">
        <v>168</v>
      </c>
      <c r="F53" s="9">
        <v>184</v>
      </c>
      <c r="G53" s="33">
        <f t="shared" si="9"/>
        <v>972</v>
      </c>
      <c r="H53" s="9">
        <v>511</v>
      </c>
      <c r="I53" s="9">
        <v>461</v>
      </c>
    </row>
    <row r="54" spans="1:9" x14ac:dyDescent="0.25">
      <c r="A54" s="25">
        <v>31</v>
      </c>
      <c r="B54" s="25" t="s">
        <v>197</v>
      </c>
      <c r="C54" s="21" t="s">
        <v>44</v>
      </c>
      <c r="D54" s="8">
        <f t="shared" si="8"/>
        <v>731</v>
      </c>
      <c r="E54" s="9">
        <v>347</v>
      </c>
      <c r="F54" s="9">
        <v>384</v>
      </c>
      <c r="G54" s="33">
        <f t="shared" si="9"/>
        <v>1317</v>
      </c>
      <c r="H54" s="9">
        <v>669</v>
      </c>
      <c r="I54" s="9">
        <v>648</v>
      </c>
    </row>
    <row r="55" spans="1:9" x14ac:dyDescent="0.25">
      <c r="A55" s="25">
        <v>32</v>
      </c>
      <c r="B55" s="25" t="s">
        <v>197</v>
      </c>
      <c r="C55" s="21" t="s">
        <v>48</v>
      </c>
      <c r="D55" s="8">
        <f t="shared" si="8"/>
        <v>824</v>
      </c>
      <c r="E55" s="9">
        <v>427</v>
      </c>
      <c r="F55" s="9">
        <v>397</v>
      </c>
      <c r="G55" s="33">
        <f t="shared" si="9"/>
        <v>2013</v>
      </c>
      <c r="H55" s="9">
        <v>980</v>
      </c>
      <c r="I55" s="9">
        <v>1033</v>
      </c>
    </row>
    <row r="56" spans="1:9" x14ac:dyDescent="0.25">
      <c r="A56" s="25">
        <v>33</v>
      </c>
      <c r="B56" s="25" t="s">
        <v>197</v>
      </c>
      <c r="C56" s="21" t="s">
        <v>41</v>
      </c>
      <c r="D56" s="8">
        <f t="shared" si="8"/>
        <v>242</v>
      </c>
      <c r="E56" s="9">
        <v>126</v>
      </c>
      <c r="F56" s="9">
        <v>116</v>
      </c>
      <c r="G56" s="33">
        <f t="shared" si="9"/>
        <v>552</v>
      </c>
      <c r="H56" s="9">
        <v>290</v>
      </c>
      <c r="I56" s="9">
        <v>262</v>
      </c>
    </row>
    <row r="57" spans="1:9" x14ac:dyDescent="0.25">
      <c r="A57" s="25">
        <v>34</v>
      </c>
      <c r="B57" s="25" t="s">
        <v>197</v>
      </c>
      <c r="C57" s="21" t="s">
        <v>199</v>
      </c>
      <c r="D57" s="8">
        <f t="shared" si="8"/>
        <v>525</v>
      </c>
      <c r="E57" s="9">
        <v>258</v>
      </c>
      <c r="F57" s="9">
        <v>267</v>
      </c>
      <c r="G57" s="33">
        <f t="shared" si="9"/>
        <v>1175</v>
      </c>
      <c r="H57" s="9">
        <v>578</v>
      </c>
      <c r="I57" s="9">
        <v>597</v>
      </c>
    </row>
    <row r="58" spans="1:9" x14ac:dyDescent="0.25">
      <c r="A58" s="25">
        <v>35</v>
      </c>
      <c r="B58" s="25" t="s">
        <v>197</v>
      </c>
      <c r="C58" s="21" t="s">
        <v>200</v>
      </c>
      <c r="D58" s="8">
        <f t="shared" si="8"/>
        <v>487</v>
      </c>
      <c r="E58" s="9">
        <v>250</v>
      </c>
      <c r="F58" s="9">
        <v>237</v>
      </c>
      <c r="G58" s="33">
        <f t="shared" si="9"/>
        <v>1472</v>
      </c>
      <c r="H58" s="9">
        <v>745</v>
      </c>
      <c r="I58" s="9">
        <v>727</v>
      </c>
    </row>
    <row r="59" spans="1:9" x14ac:dyDescent="0.25">
      <c r="A59" s="25">
        <v>36</v>
      </c>
      <c r="B59" s="25" t="s">
        <v>197</v>
      </c>
      <c r="C59" s="21" t="s">
        <v>47</v>
      </c>
      <c r="D59" s="8">
        <f t="shared" si="8"/>
        <v>231</v>
      </c>
      <c r="E59" s="9">
        <v>119</v>
      </c>
      <c r="F59" s="9">
        <v>112</v>
      </c>
      <c r="G59" s="33">
        <f t="shared" si="9"/>
        <v>623</v>
      </c>
      <c r="H59" s="9">
        <v>330</v>
      </c>
      <c r="I59" s="9">
        <v>293</v>
      </c>
    </row>
    <row r="60" spans="1:9" x14ac:dyDescent="0.25">
      <c r="A60" s="25">
        <v>37</v>
      </c>
      <c r="B60" s="25" t="s">
        <v>197</v>
      </c>
      <c r="C60" s="21" t="s">
        <v>201</v>
      </c>
      <c r="D60" s="8">
        <f t="shared" si="8"/>
        <v>393</v>
      </c>
      <c r="E60" s="9">
        <v>195</v>
      </c>
      <c r="F60" s="9">
        <v>198</v>
      </c>
      <c r="G60" s="33">
        <f t="shared" si="9"/>
        <v>857</v>
      </c>
      <c r="H60" s="9">
        <v>466</v>
      </c>
      <c r="I60" s="9">
        <v>391</v>
      </c>
    </row>
    <row r="61" spans="1:9" x14ac:dyDescent="0.25">
      <c r="A61" s="25">
        <v>38</v>
      </c>
      <c r="B61" s="25" t="s">
        <v>197</v>
      </c>
      <c r="C61" s="21" t="s">
        <v>46</v>
      </c>
      <c r="D61" s="8">
        <f t="shared" si="8"/>
        <v>275</v>
      </c>
      <c r="E61" s="9">
        <v>140</v>
      </c>
      <c r="F61" s="9">
        <v>135</v>
      </c>
      <c r="G61" s="33">
        <f t="shared" si="9"/>
        <v>725</v>
      </c>
      <c r="H61" s="9">
        <v>356</v>
      </c>
      <c r="I61" s="9">
        <v>369</v>
      </c>
    </row>
    <row r="62" spans="1:9" x14ac:dyDescent="0.25">
      <c r="A62" s="25">
        <v>39</v>
      </c>
      <c r="B62" s="25" t="s">
        <v>197</v>
      </c>
      <c r="C62" s="21" t="s">
        <v>202</v>
      </c>
      <c r="D62" s="8">
        <f t="shared" si="8"/>
        <v>898</v>
      </c>
      <c r="E62" s="9">
        <v>496</v>
      </c>
      <c r="F62" s="9">
        <v>402</v>
      </c>
      <c r="G62" s="33">
        <f t="shared" si="9"/>
        <v>1860</v>
      </c>
      <c r="H62" s="9">
        <v>979</v>
      </c>
      <c r="I62" s="9">
        <v>881</v>
      </c>
    </row>
    <row r="63" spans="1:9" x14ac:dyDescent="0.25">
      <c r="A63" s="25">
        <v>40</v>
      </c>
      <c r="B63" s="25" t="s">
        <v>197</v>
      </c>
      <c r="C63" s="21" t="s">
        <v>45</v>
      </c>
      <c r="D63" s="8">
        <f t="shared" si="8"/>
        <v>216</v>
      </c>
      <c r="E63" s="9">
        <v>120</v>
      </c>
      <c r="F63" s="9">
        <v>96</v>
      </c>
      <c r="G63" s="33">
        <f t="shared" si="9"/>
        <v>472</v>
      </c>
      <c r="H63" s="9">
        <v>241</v>
      </c>
      <c r="I63" s="9">
        <v>231</v>
      </c>
    </row>
    <row r="64" spans="1:9" x14ac:dyDescent="0.25">
      <c r="A64" s="25">
        <v>41</v>
      </c>
      <c r="B64" s="25" t="s">
        <v>197</v>
      </c>
      <c r="C64" s="21" t="s">
        <v>40</v>
      </c>
      <c r="D64" s="8">
        <f t="shared" si="8"/>
        <v>173</v>
      </c>
      <c r="E64" s="9">
        <v>99</v>
      </c>
      <c r="F64" s="9">
        <v>74</v>
      </c>
      <c r="G64" s="33">
        <f t="shared" si="9"/>
        <v>362</v>
      </c>
      <c r="H64" s="9">
        <v>190</v>
      </c>
      <c r="I64" s="9">
        <v>172</v>
      </c>
    </row>
    <row r="65" spans="1:9" x14ac:dyDescent="0.25">
      <c r="A65" s="25"/>
      <c r="D65" s="8"/>
      <c r="E65" s="9"/>
      <c r="F65" s="9"/>
      <c r="G65" s="33"/>
      <c r="H65" s="9"/>
      <c r="I65" s="9"/>
    </row>
    <row r="66" spans="1:9" x14ac:dyDescent="0.25">
      <c r="A66" s="5"/>
      <c r="B66" s="30" t="s">
        <v>49</v>
      </c>
      <c r="C66" s="4"/>
      <c r="D66" s="8">
        <f>SUM(E66:F66)</f>
        <v>5055</v>
      </c>
      <c r="E66" s="8">
        <f>SUM(E67:E79)</f>
        <v>2613</v>
      </c>
      <c r="F66" s="8">
        <f>SUM(F67:F79)</f>
        <v>2442</v>
      </c>
      <c r="G66" s="33">
        <f>SUM(H66:I66)</f>
        <v>12809</v>
      </c>
      <c r="H66" s="8">
        <f>SUM(H67:H79)</f>
        <v>6478</v>
      </c>
      <c r="I66" s="8">
        <f>SUM(I67:I79)</f>
        <v>6331</v>
      </c>
    </row>
    <row r="67" spans="1:9" x14ac:dyDescent="0.25">
      <c r="A67" s="25">
        <v>42</v>
      </c>
      <c r="B67" s="25" t="s">
        <v>185</v>
      </c>
      <c r="C67" s="21" t="s">
        <v>59</v>
      </c>
      <c r="D67" s="8">
        <f t="shared" ref="D67:D79" si="10">SUM(E67:F67)</f>
        <v>115</v>
      </c>
      <c r="E67" s="9">
        <v>62</v>
      </c>
      <c r="F67" s="9">
        <v>53</v>
      </c>
      <c r="G67" s="33">
        <f t="shared" ref="G67:G79" si="11">SUM(H67:I67)</f>
        <v>385</v>
      </c>
      <c r="H67" s="9">
        <v>192</v>
      </c>
      <c r="I67" s="9">
        <v>193</v>
      </c>
    </row>
    <row r="68" spans="1:9" x14ac:dyDescent="0.25">
      <c r="A68" s="25">
        <v>43</v>
      </c>
      <c r="B68" s="25" t="s">
        <v>185</v>
      </c>
      <c r="C68" s="21" t="s">
        <v>203</v>
      </c>
      <c r="D68" s="8">
        <f t="shared" si="10"/>
        <v>237</v>
      </c>
      <c r="E68" s="9">
        <v>121</v>
      </c>
      <c r="F68" s="9">
        <v>116</v>
      </c>
      <c r="G68" s="33">
        <f t="shared" si="11"/>
        <v>584</v>
      </c>
      <c r="H68" s="9">
        <v>285</v>
      </c>
      <c r="I68" s="9">
        <v>299</v>
      </c>
    </row>
    <row r="69" spans="1:9" x14ac:dyDescent="0.25">
      <c r="A69" s="25">
        <v>44</v>
      </c>
      <c r="B69" s="25" t="s">
        <v>185</v>
      </c>
      <c r="C69" s="21" t="s">
        <v>58</v>
      </c>
      <c r="D69" s="8">
        <f t="shared" si="10"/>
        <v>508</v>
      </c>
      <c r="E69" s="9">
        <v>259</v>
      </c>
      <c r="F69" s="9">
        <v>249</v>
      </c>
      <c r="G69" s="33">
        <f t="shared" si="11"/>
        <v>1720</v>
      </c>
      <c r="H69" s="9">
        <v>883</v>
      </c>
      <c r="I69" s="9">
        <v>837</v>
      </c>
    </row>
    <row r="70" spans="1:9" x14ac:dyDescent="0.25">
      <c r="A70" s="25">
        <v>45</v>
      </c>
      <c r="B70" s="25" t="s">
        <v>185</v>
      </c>
      <c r="C70" s="21" t="s">
        <v>204</v>
      </c>
      <c r="D70" s="8">
        <f t="shared" si="10"/>
        <v>630</v>
      </c>
      <c r="E70" s="9">
        <v>341</v>
      </c>
      <c r="F70" s="9">
        <v>289</v>
      </c>
      <c r="G70" s="33">
        <f t="shared" si="11"/>
        <v>1448</v>
      </c>
      <c r="H70" s="9">
        <v>708</v>
      </c>
      <c r="I70" s="9">
        <v>740</v>
      </c>
    </row>
    <row r="71" spans="1:9" x14ac:dyDescent="0.25">
      <c r="A71" s="25">
        <v>46</v>
      </c>
      <c r="B71" s="25" t="s">
        <v>185</v>
      </c>
      <c r="C71" s="21" t="s">
        <v>51</v>
      </c>
      <c r="D71" s="8">
        <f t="shared" si="10"/>
        <v>294</v>
      </c>
      <c r="E71" s="9">
        <v>157</v>
      </c>
      <c r="F71" s="9">
        <v>137</v>
      </c>
      <c r="G71" s="33">
        <f t="shared" si="11"/>
        <v>637</v>
      </c>
      <c r="H71" s="9">
        <v>345</v>
      </c>
      <c r="I71" s="9">
        <v>292</v>
      </c>
    </row>
    <row r="72" spans="1:9" x14ac:dyDescent="0.25">
      <c r="A72" s="25">
        <v>47</v>
      </c>
      <c r="B72" s="25" t="s">
        <v>185</v>
      </c>
      <c r="C72" s="21" t="s">
        <v>52</v>
      </c>
      <c r="D72" s="8">
        <f t="shared" si="10"/>
        <v>348</v>
      </c>
      <c r="E72" s="9">
        <v>172</v>
      </c>
      <c r="F72" s="9">
        <v>176</v>
      </c>
      <c r="G72" s="33">
        <f t="shared" si="11"/>
        <v>800</v>
      </c>
      <c r="H72" s="9">
        <v>393</v>
      </c>
      <c r="I72" s="9">
        <v>407</v>
      </c>
    </row>
    <row r="73" spans="1:9" x14ac:dyDescent="0.25">
      <c r="A73" s="25">
        <v>48</v>
      </c>
      <c r="B73" s="25" t="s">
        <v>185</v>
      </c>
      <c r="C73" s="21" t="s">
        <v>54</v>
      </c>
      <c r="D73" s="8">
        <f t="shared" si="10"/>
        <v>316</v>
      </c>
      <c r="E73" s="9">
        <v>160</v>
      </c>
      <c r="F73" s="9">
        <v>156</v>
      </c>
      <c r="G73" s="33">
        <f t="shared" si="11"/>
        <v>690</v>
      </c>
      <c r="H73" s="9">
        <v>361</v>
      </c>
      <c r="I73" s="9">
        <v>329</v>
      </c>
    </row>
    <row r="74" spans="1:9" x14ac:dyDescent="0.25">
      <c r="A74" s="25">
        <v>49</v>
      </c>
      <c r="B74" s="25" t="s">
        <v>185</v>
      </c>
      <c r="C74" s="21" t="s">
        <v>53</v>
      </c>
      <c r="D74" s="8">
        <f t="shared" si="10"/>
        <v>360</v>
      </c>
      <c r="E74" s="9">
        <v>186</v>
      </c>
      <c r="F74" s="9">
        <v>174</v>
      </c>
      <c r="G74" s="33">
        <f t="shared" si="11"/>
        <v>956</v>
      </c>
      <c r="H74" s="9">
        <v>448</v>
      </c>
      <c r="I74" s="9">
        <v>508</v>
      </c>
    </row>
    <row r="75" spans="1:9" x14ac:dyDescent="0.25">
      <c r="A75" s="25">
        <v>50</v>
      </c>
      <c r="B75" s="25" t="s">
        <v>185</v>
      </c>
      <c r="C75" s="21" t="s">
        <v>50</v>
      </c>
      <c r="D75" s="8">
        <f t="shared" si="10"/>
        <v>281</v>
      </c>
      <c r="E75" s="9">
        <v>137</v>
      </c>
      <c r="F75" s="9">
        <v>144</v>
      </c>
      <c r="G75" s="33">
        <f t="shared" si="11"/>
        <v>692</v>
      </c>
      <c r="H75" s="9">
        <v>360</v>
      </c>
      <c r="I75" s="9">
        <v>332</v>
      </c>
    </row>
    <row r="76" spans="1:9" x14ac:dyDescent="0.25">
      <c r="A76" s="25">
        <v>51</v>
      </c>
      <c r="B76" s="25" t="s">
        <v>185</v>
      </c>
      <c r="C76" s="21" t="s">
        <v>56</v>
      </c>
      <c r="D76" s="8">
        <f t="shared" si="10"/>
        <v>161</v>
      </c>
      <c r="E76" s="9">
        <v>91</v>
      </c>
      <c r="F76" s="9">
        <v>70</v>
      </c>
      <c r="G76" s="33">
        <f t="shared" si="11"/>
        <v>297</v>
      </c>
      <c r="H76" s="9">
        <v>154</v>
      </c>
      <c r="I76" s="9">
        <v>143</v>
      </c>
    </row>
    <row r="77" spans="1:9" x14ac:dyDescent="0.25">
      <c r="A77" s="25">
        <v>52</v>
      </c>
      <c r="B77" s="25" t="s">
        <v>185</v>
      </c>
      <c r="C77" s="21" t="s">
        <v>57</v>
      </c>
      <c r="D77" s="8">
        <f t="shared" si="10"/>
        <v>670</v>
      </c>
      <c r="E77" s="9">
        <v>337</v>
      </c>
      <c r="F77" s="9">
        <v>333</v>
      </c>
      <c r="G77" s="33">
        <f t="shared" si="11"/>
        <v>1461</v>
      </c>
      <c r="H77" s="9">
        <v>768</v>
      </c>
      <c r="I77" s="9">
        <v>693</v>
      </c>
    </row>
    <row r="78" spans="1:9" x14ac:dyDescent="0.25">
      <c r="A78" s="25">
        <v>53</v>
      </c>
      <c r="B78" s="25" t="s">
        <v>185</v>
      </c>
      <c r="C78" s="21" t="s">
        <v>55</v>
      </c>
      <c r="D78" s="8">
        <f t="shared" si="10"/>
        <v>403</v>
      </c>
      <c r="E78" s="9">
        <v>213</v>
      </c>
      <c r="F78" s="9">
        <v>190</v>
      </c>
      <c r="G78" s="33">
        <f t="shared" si="11"/>
        <v>1105</v>
      </c>
      <c r="H78" s="9">
        <v>542</v>
      </c>
      <c r="I78" s="9">
        <v>563</v>
      </c>
    </row>
    <row r="79" spans="1:9" x14ac:dyDescent="0.25">
      <c r="A79" s="25">
        <v>54</v>
      </c>
      <c r="B79" s="25" t="s">
        <v>185</v>
      </c>
      <c r="C79" s="21" t="s">
        <v>60</v>
      </c>
      <c r="D79" s="8">
        <f t="shared" si="10"/>
        <v>732</v>
      </c>
      <c r="E79" s="9">
        <v>377</v>
      </c>
      <c r="F79" s="9">
        <v>355</v>
      </c>
      <c r="G79" s="33">
        <f t="shared" si="11"/>
        <v>2034</v>
      </c>
      <c r="H79" s="9">
        <v>1039</v>
      </c>
      <c r="I79" s="9">
        <v>995</v>
      </c>
    </row>
    <row r="80" spans="1:9" x14ac:dyDescent="0.25">
      <c r="A80" s="25"/>
      <c r="D80" s="8"/>
      <c r="E80" s="9"/>
      <c r="F80" s="9"/>
      <c r="G80" s="33"/>
      <c r="H80" s="9"/>
      <c r="I80" s="9"/>
    </row>
    <row r="81" spans="1:9" x14ac:dyDescent="0.25">
      <c r="A81" s="5"/>
      <c r="B81" s="30" t="s">
        <v>61</v>
      </c>
      <c r="C81" s="4"/>
      <c r="D81" s="8">
        <f>SUM(E81:F81)</f>
        <v>7787</v>
      </c>
      <c r="E81" s="8">
        <f>SUM(E82:E97)</f>
        <v>3942</v>
      </c>
      <c r="F81" s="8">
        <f>SUM(F82:F97)</f>
        <v>3845</v>
      </c>
      <c r="G81" s="33">
        <f>SUM(H81:I81)</f>
        <v>17765</v>
      </c>
      <c r="H81" s="8">
        <f>SUM(H82:H97)</f>
        <v>9159</v>
      </c>
      <c r="I81" s="8">
        <f>SUM(I82:I97)</f>
        <v>8606</v>
      </c>
    </row>
    <row r="82" spans="1:9" x14ac:dyDescent="0.25">
      <c r="A82" s="25">
        <v>55</v>
      </c>
      <c r="B82" s="25" t="s">
        <v>205</v>
      </c>
      <c r="C82" s="21" t="s">
        <v>206</v>
      </c>
      <c r="D82" s="8">
        <f t="shared" ref="D82:D97" si="12">SUM(E82:F82)</f>
        <v>165</v>
      </c>
      <c r="E82" s="9">
        <v>78</v>
      </c>
      <c r="F82" s="9">
        <v>87</v>
      </c>
      <c r="G82" s="33">
        <f t="shared" ref="G82:G97" si="13">SUM(H82:I82)</f>
        <v>378</v>
      </c>
      <c r="H82" s="9">
        <v>181</v>
      </c>
      <c r="I82" s="9">
        <v>197</v>
      </c>
    </row>
    <row r="83" spans="1:9" x14ac:dyDescent="0.25">
      <c r="A83" s="25">
        <v>56</v>
      </c>
      <c r="B83" s="25" t="s">
        <v>205</v>
      </c>
      <c r="C83" s="21" t="s">
        <v>62</v>
      </c>
      <c r="D83" s="8">
        <f t="shared" si="12"/>
        <v>906</v>
      </c>
      <c r="E83" s="9">
        <v>474</v>
      </c>
      <c r="F83" s="9">
        <v>432</v>
      </c>
      <c r="G83" s="33">
        <f t="shared" si="13"/>
        <v>2142</v>
      </c>
      <c r="H83" s="9">
        <v>1085</v>
      </c>
      <c r="I83" s="9">
        <v>1057</v>
      </c>
    </row>
    <row r="84" spans="1:9" x14ac:dyDescent="0.25">
      <c r="A84" s="25">
        <v>57</v>
      </c>
      <c r="B84" s="25" t="s">
        <v>205</v>
      </c>
      <c r="C84" s="21" t="s">
        <v>207</v>
      </c>
      <c r="D84" s="8">
        <f t="shared" si="12"/>
        <v>1426</v>
      </c>
      <c r="E84" s="10">
        <v>742</v>
      </c>
      <c r="F84" s="10">
        <v>684</v>
      </c>
      <c r="G84" s="33">
        <f t="shared" si="13"/>
        <v>3262</v>
      </c>
      <c r="H84" s="10">
        <v>1664</v>
      </c>
      <c r="I84" s="10">
        <v>1598</v>
      </c>
    </row>
    <row r="85" spans="1:9" x14ac:dyDescent="0.25">
      <c r="A85" s="25">
        <v>58</v>
      </c>
      <c r="B85" s="25" t="s">
        <v>205</v>
      </c>
      <c r="C85" s="21" t="s">
        <v>69</v>
      </c>
      <c r="D85" s="8">
        <f t="shared" si="12"/>
        <v>168</v>
      </c>
      <c r="E85" s="9">
        <v>98</v>
      </c>
      <c r="F85" s="9">
        <v>70</v>
      </c>
      <c r="G85" s="33">
        <f t="shared" si="13"/>
        <v>361</v>
      </c>
      <c r="H85" s="9">
        <v>186</v>
      </c>
      <c r="I85" s="9">
        <v>175</v>
      </c>
    </row>
    <row r="86" spans="1:9" x14ac:dyDescent="0.25">
      <c r="A86" s="25">
        <v>59</v>
      </c>
      <c r="B86" s="25" t="s">
        <v>205</v>
      </c>
      <c r="C86" s="21" t="s">
        <v>72</v>
      </c>
      <c r="D86" s="8">
        <f t="shared" si="12"/>
        <v>500</v>
      </c>
      <c r="E86" s="9">
        <v>254</v>
      </c>
      <c r="F86" s="9">
        <v>246</v>
      </c>
      <c r="G86" s="33">
        <f t="shared" si="13"/>
        <v>1147</v>
      </c>
      <c r="H86" s="9">
        <v>580</v>
      </c>
      <c r="I86" s="9">
        <v>567</v>
      </c>
    </row>
    <row r="87" spans="1:9" x14ac:dyDescent="0.25">
      <c r="A87" s="25">
        <v>60</v>
      </c>
      <c r="B87" s="25" t="s">
        <v>205</v>
      </c>
      <c r="C87" s="21" t="s">
        <v>208</v>
      </c>
      <c r="D87" s="8">
        <f t="shared" si="12"/>
        <v>658</v>
      </c>
      <c r="E87" s="9">
        <v>326</v>
      </c>
      <c r="F87" s="9">
        <v>332</v>
      </c>
      <c r="G87" s="33">
        <f t="shared" si="13"/>
        <v>1510</v>
      </c>
      <c r="H87" s="9">
        <v>774</v>
      </c>
      <c r="I87" s="9">
        <v>736</v>
      </c>
    </row>
    <row r="88" spans="1:9" x14ac:dyDescent="0.25">
      <c r="A88" s="25">
        <v>61</v>
      </c>
      <c r="B88" s="25" t="s">
        <v>205</v>
      </c>
      <c r="C88" s="21" t="s">
        <v>67</v>
      </c>
      <c r="D88" s="8">
        <f t="shared" si="12"/>
        <v>315</v>
      </c>
      <c r="E88" s="9">
        <v>166</v>
      </c>
      <c r="F88" s="9">
        <v>149</v>
      </c>
      <c r="G88" s="33">
        <f t="shared" si="13"/>
        <v>648</v>
      </c>
      <c r="H88" s="9">
        <v>336</v>
      </c>
      <c r="I88" s="9">
        <v>312</v>
      </c>
    </row>
    <row r="89" spans="1:9" x14ac:dyDescent="0.25">
      <c r="A89" s="25">
        <v>62</v>
      </c>
      <c r="B89" s="25" t="s">
        <v>205</v>
      </c>
      <c r="C89" s="21" t="s">
        <v>71</v>
      </c>
      <c r="D89" s="8">
        <f t="shared" si="12"/>
        <v>231</v>
      </c>
      <c r="E89" s="9">
        <v>125</v>
      </c>
      <c r="F89" s="9">
        <v>106</v>
      </c>
      <c r="G89" s="33">
        <f t="shared" si="13"/>
        <v>466</v>
      </c>
      <c r="H89" s="9">
        <v>236</v>
      </c>
      <c r="I89" s="9">
        <v>230</v>
      </c>
    </row>
    <row r="90" spans="1:9" x14ac:dyDescent="0.25">
      <c r="A90" s="25">
        <v>63</v>
      </c>
      <c r="B90" s="25" t="s">
        <v>205</v>
      </c>
      <c r="C90" s="21" t="s">
        <v>65</v>
      </c>
      <c r="D90" s="8">
        <f t="shared" si="12"/>
        <v>400</v>
      </c>
      <c r="E90" s="9">
        <v>191</v>
      </c>
      <c r="F90" s="9">
        <v>209</v>
      </c>
      <c r="G90" s="33">
        <f t="shared" si="13"/>
        <v>1012</v>
      </c>
      <c r="H90" s="9">
        <v>525</v>
      </c>
      <c r="I90" s="9">
        <v>487</v>
      </c>
    </row>
    <row r="91" spans="1:9" x14ac:dyDescent="0.25">
      <c r="A91" s="25">
        <v>64</v>
      </c>
      <c r="B91" s="25" t="s">
        <v>205</v>
      </c>
      <c r="C91" s="21" t="s">
        <v>68</v>
      </c>
      <c r="D91" s="8">
        <f t="shared" si="12"/>
        <v>856</v>
      </c>
      <c r="E91" s="9">
        <v>427</v>
      </c>
      <c r="F91" s="9">
        <v>429</v>
      </c>
      <c r="G91" s="33">
        <f t="shared" si="13"/>
        <v>1820</v>
      </c>
      <c r="H91" s="9">
        <v>958</v>
      </c>
      <c r="I91" s="9">
        <v>862</v>
      </c>
    </row>
    <row r="92" spans="1:9" x14ac:dyDescent="0.25">
      <c r="A92" s="25">
        <v>65</v>
      </c>
      <c r="B92" s="25" t="s">
        <v>205</v>
      </c>
      <c r="C92" s="21" t="s">
        <v>70</v>
      </c>
      <c r="D92" s="8">
        <f t="shared" si="12"/>
        <v>692</v>
      </c>
      <c r="E92" s="9">
        <v>333</v>
      </c>
      <c r="F92" s="9">
        <v>359</v>
      </c>
      <c r="G92" s="33">
        <f t="shared" si="13"/>
        <v>1623</v>
      </c>
      <c r="H92" s="9">
        <v>862</v>
      </c>
      <c r="I92" s="9">
        <v>761</v>
      </c>
    </row>
    <row r="93" spans="1:9" x14ac:dyDescent="0.25">
      <c r="A93" s="25">
        <v>66</v>
      </c>
      <c r="B93" s="25" t="s">
        <v>205</v>
      </c>
      <c r="C93" s="21" t="s">
        <v>64</v>
      </c>
      <c r="D93" s="8">
        <f t="shared" si="12"/>
        <v>248</v>
      </c>
      <c r="E93" s="9">
        <v>119</v>
      </c>
      <c r="F93" s="9">
        <v>129</v>
      </c>
      <c r="G93" s="33">
        <f t="shared" si="13"/>
        <v>710</v>
      </c>
      <c r="H93" s="9">
        <v>362</v>
      </c>
      <c r="I93" s="9">
        <v>348</v>
      </c>
    </row>
    <row r="94" spans="1:9" x14ac:dyDescent="0.25">
      <c r="A94" s="25">
        <v>67</v>
      </c>
      <c r="B94" s="25" t="s">
        <v>205</v>
      </c>
      <c r="C94" s="21" t="s">
        <v>66</v>
      </c>
      <c r="D94" s="8">
        <f t="shared" si="12"/>
        <v>235</v>
      </c>
      <c r="E94" s="9">
        <v>113</v>
      </c>
      <c r="F94" s="9">
        <v>122</v>
      </c>
      <c r="G94" s="33">
        <f t="shared" si="13"/>
        <v>671</v>
      </c>
      <c r="H94" s="9">
        <v>371</v>
      </c>
      <c r="I94" s="9">
        <v>300</v>
      </c>
    </row>
    <row r="95" spans="1:9" x14ac:dyDescent="0.25">
      <c r="A95" s="25">
        <v>68</v>
      </c>
      <c r="B95" s="25" t="s">
        <v>205</v>
      </c>
      <c r="C95" s="21" t="s">
        <v>209</v>
      </c>
      <c r="D95" s="8">
        <f t="shared" si="12"/>
        <v>637</v>
      </c>
      <c r="E95" s="9">
        <v>315</v>
      </c>
      <c r="F95" s="9">
        <v>322</v>
      </c>
      <c r="G95" s="33">
        <f t="shared" si="13"/>
        <v>1270</v>
      </c>
      <c r="H95" s="9">
        <v>659</v>
      </c>
      <c r="I95" s="9">
        <v>611</v>
      </c>
    </row>
    <row r="96" spans="1:9" x14ac:dyDescent="0.25">
      <c r="A96" s="25">
        <v>69</v>
      </c>
      <c r="B96" s="25" t="s">
        <v>205</v>
      </c>
      <c r="C96" s="21" t="s">
        <v>63</v>
      </c>
      <c r="D96" s="8">
        <f t="shared" si="12"/>
        <v>202</v>
      </c>
      <c r="E96" s="9">
        <v>108</v>
      </c>
      <c r="F96" s="9">
        <v>94</v>
      </c>
      <c r="G96" s="33">
        <f t="shared" si="13"/>
        <v>459</v>
      </c>
      <c r="H96" s="9">
        <v>226</v>
      </c>
      <c r="I96" s="9">
        <v>233</v>
      </c>
    </row>
    <row r="97" spans="1:9" x14ac:dyDescent="0.25">
      <c r="A97" s="25"/>
      <c r="B97" s="25" t="s">
        <v>205</v>
      </c>
      <c r="C97" s="3" t="s">
        <v>232</v>
      </c>
      <c r="D97" s="8">
        <f t="shared" si="12"/>
        <v>148</v>
      </c>
      <c r="E97" s="13">
        <v>73</v>
      </c>
      <c r="F97" s="13">
        <v>75</v>
      </c>
      <c r="G97" s="33">
        <f t="shared" si="13"/>
        <v>286</v>
      </c>
      <c r="H97" s="13">
        <v>154</v>
      </c>
      <c r="I97" s="13">
        <v>132</v>
      </c>
    </row>
    <row r="98" spans="1:9" x14ac:dyDescent="0.25">
      <c r="A98" s="25"/>
      <c r="D98" s="8"/>
      <c r="E98" s="9"/>
      <c r="F98" s="9"/>
      <c r="G98" s="33"/>
      <c r="H98" s="9"/>
      <c r="I98" s="9"/>
    </row>
    <row r="99" spans="1:9" x14ac:dyDescent="0.25">
      <c r="A99" s="5"/>
      <c r="B99" s="30" t="s">
        <v>73</v>
      </c>
      <c r="C99" s="4"/>
      <c r="D99" s="8">
        <f>SUM(E99:F99)</f>
        <v>4422</v>
      </c>
      <c r="E99" s="8">
        <f>SUM(E100:E112)</f>
        <v>2248</v>
      </c>
      <c r="F99" s="8">
        <f>SUM(F100:F112)</f>
        <v>2174</v>
      </c>
      <c r="G99" s="33">
        <f>SUM(H99:I99)</f>
        <v>11212</v>
      </c>
      <c r="H99" s="8">
        <f>SUM(H100:H112)</f>
        <v>5748</v>
      </c>
      <c r="I99" s="8">
        <f>SUM(I100:I112)</f>
        <v>5464</v>
      </c>
    </row>
    <row r="100" spans="1:9" x14ac:dyDescent="0.25">
      <c r="A100" s="25">
        <v>70</v>
      </c>
      <c r="B100" s="25" t="s">
        <v>172</v>
      </c>
      <c r="C100" s="21" t="s">
        <v>210</v>
      </c>
      <c r="D100" s="8">
        <f t="shared" ref="D100:D112" si="14">SUM(E100:F100)</f>
        <v>352</v>
      </c>
      <c r="E100" s="9">
        <v>182</v>
      </c>
      <c r="F100" s="9">
        <v>170</v>
      </c>
      <c r="G100" s="33">
        <f t="shared" ref="G100:G112" si="15">SUM(H100:I100)</f>
        <v>886</v>
      </c>
      <c r="H100" s="9">
        <v>430</v>
      </c>
      <c r="I100" s="9">
        <v>456</v>
      </c>
    </row>
    <row r="101" spans="1:9" x14ac:dyDescent="0.25">
      <c r="A101" s="25">
        <v>71</v>
      </c>
      <c r="B101" s="25" t="s">
        <v>172</v>
      </c>
      <c r="C101" s="21" t="s">
        <v>78</v>
      </c>
      <c r="D101" s="8">
        <f t="shared" si="14"/>
        <v>183</v>
      </c>
      <c r="E101" s="9">
        <v>82</v>
      </c>
      <c r="F101" s="9">
        <v>101</v>
      </c>
      <c r="G101" s="33">
        <f t="shared" si="15"/>
        <v>447</v>
      </c>
      <c r="H101" s="9">
        <v>219</v>
      </c>
      <c r="I101" s="9">
        <v>228</v>
      </c>
    </row>
    <row r="102" spans="1:9" x14ac:dyDescent="0.25">
      <c r="A102" s="25">
        <v>72</v>
      </c>
      <c r="B102" s="25" t="s">
        <v>172</v>
      </c>
      <c r="C102" s="21" t="s">
        <v>80</v>
      </c>
      <c r="D102" s="8">
        <f t="shared" si="14"/>
        <v>961</v>
      </c>
      <c r="E102" s="9">
        <v>508</v>
      </c>
      <c r="F102" s="9">
        <v>453</v>
      </c>
      <c r="G102" s="33">
        <f t="shared" si="15"/>
        <v>2568</v>
      </c>
      <c r="H102" s="9">
        <v>1323</v>
      </c>
      <c r="I102" s="9">
        <v>1245</v>
      </c>
    </row>
    <row r="103" spans="1:9" x14ac:dyDescent="0.25">
      <c r="A103" s="25">
        <v>73</v>
      </c>
      <c r="B103" s="25" t="s">
        <v>172</v>
      </c>
      <c r="C103" s="21" t="s">
        <v>84</v>
      </c>
      <c r="D103" s="8">
        <f t="shared" si="14"/>
        <v>86</v>
      </c>
      <c r="E103" s="9">
        <v>42</v>
      </c>
      <c r="F103" s="9">
        <v>44</v>
      </c>
      <c r="G103" s="33">
        <f t="shared" si="15"/>
        <v>238</v>
      </c>
      <c r="H103" s="9">
        <v>123</v>
      </c>
      <c r="I103" s="9">
        <v>115</v>
      </c>
    </row>
    <row r="104" spans="1:9" x14ac:dyDescent="0.25">
      <c r="A104" s="25">
        <v>74</v>
      </c>
      <c r="B104" s="25" t="s">
        <v>172</v>
      </c>
      <c r="C104" s="21" t="s">
        <v>83</v>
      </c>
      <c r="D104" s="8">
        <f t="shared" si="14"/>
        <v>114</v>
      </c>
      <c r="E104" s="9">
        <v>54</v>
      </c>
      <c r="F104" s="9">
        <v>60</v>
      </c>
      <c r="G104" s="33">
        <f t="shared" si="15"/>
        <v>296</v>
      </c>
      <c r="H104" s="9">
        <v>157</v>
      </c>
      <c r="I104" s="9">
        <v>139</v>
      </c>
    </row>
    <row r="105" spans="1:9" x14ac:dyDescent="0.25">
      <c r="A105" s="25">
        <v>75</v>
      </c>
      <c r="B105" s="25" t="s">
        <v>172</v>
      </c>
      <c r="C105" s="21" t="s">
        <v>41</v>
      </c>
      <c r="D105" s="8">
        <f t="shared" si="14"/>
        <v>233</v>
      </c>
      <c r="E105" s="9">
        <v>113</v>
      </c>
      <c r="F105" s="9">
        <v>120</v>
      </c>
      <c r="G105" s="33">
        <f t="shared" si="15"/>
        <v>642</v>
      </c>
      <c r="H105" s="9">
        <v>335</v>
      </c>
      <c r="I105" s="9">
        <v>307</v>
      </c>
    </row>
    <row r="106" spans="1:9" x14ac:dyDescent="0.25">
      <c r="A106" s="25">
        <v>76</v>
      </c>
      <c r="B106" s="25" t="s">
        <v>172</v>
      </c>
      <c r="C106" s="21" t="s">
        <v>82</v>
      </c>
      <c r="D106" s="8">
        <f t="shared" si="14"/>
        <v>422</v>
      </c>
      <c r="E106" s="9">
        <v>216</v>
      </c>
      <c r="F106" s="9">
        <v>206</v>
      </c>
      <c r="G106" s="33">
        <f t="shared" si="15"/>
        <v>1033</v>
      </c>
      <c r="H106" s="9">
        <v>532</v>
      </c>
      <c r="I106" s="9">
        <v>501</v>
      </c>
    </row>
    <row r="107" spans="1:9" x14ac:dyDescent="0.25">
      <c r="A107" s="25">
        <v>77</v>
      </c>
      <c r="B107" s="25" t="s">
        <v>172</v>
      </c>
      <c r="C107" s="21" t="s">
        <v>75</v>
      </c>
      <c r="D107" s="8">
        <f t="shared" si="14"/>
        <v>172</v>
      </c>
      <c r="E107" s="9">
        <v>83</v>
      </c>
      <c r="F107" s="9">
        <v>89</v>
      </c>
      <c r="G107" s="33">
        <f t="shared" si="15"/>
        <v>412</v>
      </c>
      <c r="H107" s="9">
        <v>202</v>
      </c>
      <c r="I107" s="9">
        <v>210</v>
      </c>
    </row>
    <row r="108" spans="1:9" x14ac:dyDescent="0.25">
      <c r="A108" s="25">
        <v>78</v>
      </c>
      <c r="B108" s="25" t="s">
        <v>172</v>
      </c>
      <c r="C108" s="21" t="s">
        <v>76</v>
      </c>
      <c r="D108" s="8">
        <f t="shared" si="14"/>
        <v>466</v>
      </c>
      <c r="E108" s="9">
        <v>238</v>
      </c>
      <c r="F108" s="9">
        <v>228</v>
      </c>
      <c r="G108" s="33">
        <f t="shared" si="15"/>
        <v>967</v>
      </c>
      <c r="H108" s="9">
        <v>525</v>
      </c>
      <c r="I108" s="9">
        <v>442</v>
      </c>
    </row>
    <row r="109" spans="1:9" x14ac:dyDescent="0.25">
      <c r="A109" s="25">
        <v>79</v>
      </c>
      <c r="B109" s="25" t="s">
        <v>172</v>
      </c>
      <c r="C109" s="21" t="s">
        <v>77</v>
      </c>
      <c r="D109" s="8">
        <f t="shared" si="14"/>
        <v>194</v>
      </c>
      <c r="E109" s="9">
        <v>94</v>
      </c>
      <c r="F109" s="9">
        <v>100</v>
      </c>
      <c r="G109" s="33">
        <f t="shared" si="15"/>
        <v>379</v>
      </c>
      <c r="H109" s="9">
        <v>183</v>
      </c>
      <c r="I109" s="9">
        <v>196</v>
      </c>
    </row>
    <row r="110" spans="1:9" x14ac:dyDescent="0.25">
      <c r="A110" s="25">
        <v>80</v>
      </c>
      <c r="B110" s="25" t="s">
        <v>172</v>
      </c>
      <c r="C110" s="21" t="s">
        <v>74</v>
      </c>
      <c r="D110" s="8">
        <f t="shared" si="14"/>
        <v>199</v>
      </c>
      <c r="E110" s="9">
        <v>99</v>
      </c>
      <c r="F110" s="9">
        <v>100</v>
      </c>
      <c r="G110" s="33">
        <f t="shared" si="15"/>
        <v>483</v>
      </c>
      <c r="H110" s="9">
        <v>240</v>
      </c>
      <c r="I110" s="9">
        <v>243</v>
      </c>
    </row>
    <row r="111" spans="1:9" x14ac:dyDescent="0.25">
      <c r="A111" s="25">
        <v>81</v>
      </c>
      <c r="B111" s="25" t="s">
        <v>172</v>
      </c>
      <c r="C111" s="21" t="s">
        <v>79</v>
      </c>
      <c r="D111" s="8">
        <f t="shared" si="14"/>
        <v>251</v>
      </c>
      <c r="E111" s="9">
        <v>127</v>
      </c>
      <c r="F111" s="9">
        <v>124</v>
      </c>
      <c r="G111" s="33">
        <f t="shared" si="15"/>
        <v>535</v>
      </c>
      <c r="H111" s="9">
        <v>269</v>
      </c>
      <c r="I111" s="9">
        <v>266</v>
      </c>
    </row>
    <row r="112" spans="1:9" x14ac:dyDescent="0.25">
      <c r="A112" s="25">
        <v>82</v>
      </c>
      <c r="B112" s="25" t="s">
        <v>172</v>
      </c>
      <c r="C112" s="21" t="s">
        <v>81</v>
      </c>
      <c r="D112" s="8">
        <f t="shared" si="14"/>
        <v>789</v>
      </c>
      <c r="E112" s="9">
        <v>410</v>
      </c>
      <c r="F112" s="9">
        <v>379</v>
      </c>
      <c r="G112" s="33">
        <f t="shared" si="15"/>
        <v>2326</v>
      </c>
      <c r="H112" s="9">
        <v>1210</v>
      </c>
      <c r="I112" s="9">
        <v>1116</v>
      </c>
    </row>
    <row r="113" spans="1:9" x14ac:dyDescent="0.25">
      <c r="A113" s="25"/>
      <c r="D113" s="8"/>
      <c r="E113" s="9"/>
      <c r="F113" s="9"/>
      <c r="G113" s="33"/>
      <c r="H113" s="9"/>
      <c r="I113" s="9"/>
    </row>
    <row r="114" spans="1:9" x14ac:dyDescent="0.25">
      <c r="A114" s="5"/>
      <c r="B114" s="30" t="s">
        <v>85</v>
      </c>
      <c r="C114" s="4"/>
      <c r="D114" s="8">
        <f>SUM(E114:F114)</f>
        <v>3751</v>
      </c>
      <c r="E114" s="8">
        <f>SUM(E115:E118)</f>
        <v>1889</v>
      </c>
      <c r="F114" s="8">
        <f>SUM(F115:F118)</f>
        <v>1862</v>
      </c>
      <c r="G114" s="33">
        <f>SUM(H114:I114)</f>
        <v>10153</v>
      </c>
      <c r="H114" s="8">
        <f>SUM(H115:H118)</f>
        <v>5223</v>
      </c>
      <c r="I114" s="8">
        <f>SUM(I115:I118)</f>
        <v>4930</v>
      </c>
    </row>
    <row r="115" spans="1:9" x14ac:dyDescent="0.25">
      <c r="A115" s="25">
        <v>83</v>
      </c>
      <c r="B115" s="25" t="s">
        <v>173</v>
      </c>
      <c r="C115" s="21" t="s">
        <v>86</v>
      </c>
      <c r="D115" s="8">
        <f t="shared" ref="D115:D118" si="16">SUM(E115:F115)</f>
        <v>1244</v>
      </c>
      <c r="E115" s="9">
        <v>658</v>
      </c>
      <c r="F115" s="9">
        <v>586</v>
      </c>
      <c r="G115" s="33">
        <f t="shared" ref="G115:G118" si="17">SUM(H115:I115)</f>
        <v>3869</v>
      </c>
      <c r="H115" s="9">
        <v>1968</v>
      </c>
      <c r="I115" s="9">
        <v>1901</v>
      </c>
    </row>
    <row r="116" spans="1:9" x14ac:dyDescent="0.25">
      <c r="A116" s="25">
        <v>84</v>
      </c>
      <c r="B116" s="25" t="s">
        <v>173</v>
      </c>
      <c r="C116" s="21" t="s">
        <v>88</v>
      </c>
      <c r="D116" s="8">
        <f t="shared" si="16"/>
        <v>511</v>
      </c>
      <c r="E116" s="9">
        <v>257</v>
      </c>
      <c r="F116" s="9">
        <v>254</v>
      </c>
      <c r="G116" s="33">
        <f t="shared" si="17"/>
        <v>1569</v>
      </c>
      <c r="H116" s="9">
        <v>816</v>
      </c>
      <c r="I116" s="9">
        <v>753</v>
      </c>
    </row>
    <row r="117" spans="1:9" x14ac:dyDescent="0.25">
      <c r="A117" s="25">
        <v>85</v>
      </c>
      <c r="B117" s="25" t="s">
        <v>173</v>
      </c>
      <c r="C117" s="21" t="s">
        <v>87</v>
      </c>
      <c r="D117" s="8">
        <f t="shared" si="16"/>
        <v>1720</v>
      </c>
      <c r="E117" s="9">
        <v>840</v>
      </c>
      <c r="F117" s="9">
        <v>880</v>
      </c>
      <c r="G117" s="33">
        <f t="shared" si="17"/>
        <v>4166</v>
      </c>
      <c r="H117" s="9">
        <v>2158</v>
      </c>
      <c r="I117" s="9">
        <v>2008</v>
      </c>
    </row>
    <row r="118" spans="1:9" x14ac:dyDescent="0.25">
      <c r="A118" s="25">
        <v>86</v>
      </c>
      <c r="B118" s="25" t="s">
        <v>173</v>
      </c>
      <c r="C118" s="21" t="s">
        <v>89</v>
      </c>
      <c r="D118" s="8">
        <f t="shared" si="16"/>
        <v>276</v>
      </c>
      <c r="E118" s="9">
        <v>134</v>
      </c>
      <c r="F118" s="9">
        <v>142</v>
      </c>
      <c r="G118" s="33">
        <f t="shared" si="17"/>
        <v>549</v>
      </c>
      <c r="H118" s="9">
        <v>281</v>
      </c>
      <c r="I118" s="9">
        <v>268</v>
      </c>
    </row>
    <row r="119" spans="1:9" x14ac:dyDescent="0.25">
      <c r="A119" s="25"/>
      <c r="D119" s="8"/>
      <c r="E119" s="9"/>
      <c r="F119" s="9"/>
      <c r="G119" s="33"/>
      <c r="H119" s="9"/>
      <c r="I119" s="9"/>
    </row>
    <row r="120" spans="1:9" x14ac:dyDescent="0.25">
      <c r="A120" s="5"/>
      <c r="B120" s="30" t="s">
        <v>90</v>
      </c>
      <c r="C120" s="4"/>
      <c r="D120" s="8">
        <f>SUM(E120:F120)</f>
        <v>5187</v>
      </c>
      <c r="E120" s="8">
        <f>SUM(E121:E129)</f>
        <v>2722</v>
      </c>
      <c r="F120" s="8">
        <f>SUM(F121:F129)</f>
        <v>2465</v>
      </c>
      <c r="G120" s="33">
        <f>SUM(H120:I120)</f>
        <v>10539</v>
      </c>
      <c r="H120" s="8">
        <f>SUM(H121:H129)</f>
        <v>5481</v>
      </c>
      <c r="I120" s="8">
        <f>SUM(I121:I129)</f>
        <v>5058</v>
      </c>
    </row>
    <row r="121" spans="1:9" x14ac:dyDescent="0.25">
      <c r="A121" s="25">
        <v>87</v>
      </c>
      <c r="B121" s="25" t="s">
        <v>186</v>
      </c>
      <c r="C121" s="21" t="s">
        <v>93</v>
      </c>
      <c r="D121" s="8">
        <f t="shared" ref="D121:D129" si="18">SUM(E121:F121)</f>
        <v>413</v>
      </c>
      <c r="E121" s="9">
        <v>221</v>
      </c>
      <c r="F121" s="9">
        <v>192</v>
      </c>
      <c r="G121" s="33">
        <f t="shared" ref="G121:G129" si="19">SUM(H121:I121)</f>
        <v>1020</v>
      </c>
      <c r="H121" s="9">
        <v>512</v>
      </c>
      <c r="I121" s="9">
        <v>508</v>
      </c>
    </row>
    <row r="122" spans="1:9" x14ac:dyDescent="0.25">
      <c r="A122" s="25">
        <v>88</v>
      </c>
      <c r="B122" s="25" t="s">
        <v>186</v>
      </c>
      <c r="C122" s="21" t="s">
        <v>92</v>
      </c>
      <c r="D122" s="8">
        <f t="shared" si="18"/>
        <v>612</v>
      </c>
      <c r="E122" s="9">
        <v>310</v>
      </c>
      <c r="F122" s="9">
        <v>302</v>
      </c>
      <c r="G122" s="33">
        <f t="shared" si="19"/>
        <v>1057</v>
      </c>
      <c r="H122" s="9">
        <v>554</v>
      </c>
      <c r="I122" s="9">
        <v>503</v>
      </c>
    </row>
    <row r="123" spans="1:9" x14ac:dyDescent="0.25">
      <c r="A123" s="25">
        <v>89</v>
      </c>
      <c r="B123" s="25" t="s">
        <v>186</v>
      </c>
      <c r="C123" s="21" t="s">
        <v>97</v>
      </c>
      <c r="D123" s="8">
        <f t="shared" si="18"/>
        <v>316</v>
      </c>
      <c r="E123" s="9">
        <v>160</v>
      </c>
      <c r="F123" s="9">
        <v>156</v>
      </c>
      <c r="G123" s="33">
        <f t="shared" si="19"/>
        <v>707</v>
      </c>
      <c r="H123" s="9">
        <v>368</v>
      </c>
      <c r="I123" s="9">
        <v>339</v>
      </c>
    </row>
    <row r="124" spans="1:9" x14ac:dyDescent="0.25">
      <c r="A124" s="25">
        <v>90</v>
      </c>
      <c r="B124" s="25" t="s">
        <v>186</v>
      </c>
      <c r="C124" s="21" t="s">
        <v>99</v>
      </c>
      <c r="D124" s="8">
        <f t="shared" si="18"/>
        <v>670</v>
      </c>
      <c r="E124" s="10">
        <v>367</v>
      </c>
      <c r="F124" s="10">
        <v>303</v>
      </c>
      <c r="G124" s="33">
        <f t="shared" si="19"/>
        <v>1484</v>
      </c>
      <c r="H124" s="10">
        <v>809</v>
      </c>
      <c r="I124" s="10">
        <v>675</v>
      </c>
    </row>
    <row r="125" spans="1:9" x14ac:dyDescent="0.25">
      <c r="A125" s="25">
        <v>91</v>
      </c>
      <c r="B125" s="25" t="s">
        <v>186</v>
      </c>
      <c r="C125" s="21" t="s">
        <v>96</v>
      </c>
      <c r="D125" s="8">
        <f t="shared" si="18"/>
        <v>406</v>
      </c>
      <c r="E125" s="9">
        <v>196</v>
      </c>
      <c r="F125" s="9">
        <v>210</v>
      </c>
      <c r="G125" s="33">
        <f t="shared" si="19"/>
        <v>869</v>
      </c>
      <c r="H125" s="9">
        <v>474</v>
      </c>
      <c r="I125" s="9">
        <v>395</v>
      </c>
    </row>
    <row r="126" spans="1:9" x14ac:dyDescent="0.25">
      <c r="A126" s="25">
        <v>92</v>
      </c>
      <c r="B126" s="25" t="s">
        <v>186</v>
      </c>
      <c r="C126" s="21" t="s">
        <v>95</v>
      </c>
      <c r="D126" s="8">
        <f t="shared" si="18"/>
        <v>521</v>
      </c>
      <c r="E126" s="9">
        <v>266</v>
      </c>
      <c r="F126" s="9">
        <v>255</v>
      </c>
      <c r="G126" s="33">
        <f t="shared" si="19"/>
        <v>885</v>
      </c>
      <c r="H126" s="9">
        <v>447</v>
      </c>
      <c r="I126" s="9">
        <v>438</v>
      </c>
    </row>
    <row r="127" spans="1:9" x14ac:dyDescent="0.25">
      <c r="A127" s="25">
        <v>93</v>
      </c>
      <c r="B127" s="25" t="s">
        <v>186</v>
      </c>
      <c r="C127" s="21" t="s">
        <v>91</v>
      </c>
      <c r="D127" s="8">
        <f t="shared" si="18"/>
        <v>804</v>
      </c>
      <c r="E127" s="9">
        <v>441</v>
      </c>
      <c r="F127" s="9">
        <v>363</v>
      </c>
      <c r="G127" s="33">
        <f t="shared" si="19"/>
        <v>1881</v>
      </c>
      <c r="H127" s="9">
        <v>973</v>
      </c>
      <c r="I127" s="9">
        <v>908</v>
      </c>
    </row>
    <row r="128" spans="1:9" x14ac:dyDescent="0.25">
      <c r="A128" s="25">
        <v>94</v>
      </c>
      <c r="B128" s="25" t="s">
        <v>186</v>
      </c>
      <c r="C128" s="21" t="s">
        <v>98</v>
      </c>
      <c r="D128" s="8">
        <f t="shared" si="18"/>
        <v>936</v>
      </c>
      <c r="E128" s="9">
        <v>498</v>
      </c>
      <c r="F128" s="9">
        <v>438</v>
      </c>
      <c r="G128" s="33">
        <f t="shared" si="19"/>
        <v>1506</v>
      </c>
      <c r="H128" s="9">
        <v>748</v>
      </c>
      <c r="I128" s="9">
        <v>758</v>
      </c>
    </row>
    <row r="129" spans="1:9" x14ac:dyDescent="0.25">
      <c r="A129" s="25">
        <v>95</v>
      </c>
      <c r="B129" s="25" t="s">
        <v>186</v>
      </c>
      <c r="C129" s="21" t="s">
        <v>94</v>
      </c>
      <c r="D129" s="8">
        <f t="shared" si="18"/>
        <v>509</v>
      </c>
      <c r="E129" s="9">
        <v>263</v>
      </c>
      <c r="F129" s="9">
        <v>246</v>
      </c>
      <c r="G129" s="33">
        <f t="shared" si="19"/>
        <v>1130</v>
      </c>
      <c r="H129" s="9">
        <v>596</v>
      </c>
      <c r="I129" s="9">
        <v>534</v>
      </c>
    </row>
    <row r="130" spans="1:9" x14ac:dyDescent="0.25">
      <c r="A130" s="25"/>
      <c r="D130" s="8"/>
      <c r="E130" s="9"/>
      <c r="F130" s="9"/>
      <c r="G130" s="33"/>
      <c r="H130" s="9"/>
      <c r="I130" s="9"/>
    </row>
    <row r="131" spans="1:9" x14ac:dyDescent="0.25">
      <c r="A131" s="5"/>
      <c r="B131" s="30" t="s">
        <v>100</v>
      </c>
      <c r="C131" s="4"/>
      <c r="D131" s="8">
        <f>SUM(E131:F131)</f>
        <v>3214</v>
      </c>
      <c r="E131" s="8">
        <f>SUM(E132:E139)</f>
        <v>1658</v>
      </c>
      <c r="F131" s="8">
        <f>SUM(F132:F139)</f>
        <v>1556</v>
      </c>
      <c r="G131" s="33">
        <f>SUM(H131:I131)</f>
        <v>6196</v>
      </c>
      <c r="H131" s="8">
        <f>SUM(H132:H139)</f>
        <v>3196</v>
      </c>
      <c r="I131" s="8">
        <f>SUM(I132:I139)</f>
        <v>3000</v>
      </c>
    </row>
    <row r="132" spans="1:9" x14ac:dyDescent="0.25">
      <c r="A132" s="25">
        <v>96</v>
      </c>
      <c r="B132" s="25" t="s">
        <v>175</v>
      </c>
      <c r="C132" s="21" t="s">
        <v>105</v>
      </c>
      <c r="D132" s="8">
        <f t="shared" ref="D132:D139" si="20">SUM(E132:F132)</f>
        <v>296</v>
      </c>
      <c r="E132" s="9">
        <v>140</v>
      </c>
      <c r="F132" s="9">
        <v>156</v>
      </c>
      <c r="G132" s="33">
        <f t="shared" ref="G132:G139" si="21">SUM(H132:I132)</f>
        <v>582</v>
      </c>
      <c r="H132" s="9">
        <v>310</v>
      </c>
      <c r="I132" s="9">
        <v>272</v>
      </c>
    </row>
    <row r="133" spans="1:9" x14ac:dyDescent="0.25">
      <c r="A133" s="25">
        <v>97</v>
      </c>
      <c r="B133" s="25" t="s">
        <v>175</v>
      </c>
      <c r="C133" s="21" t="s">
        <v>106</v>
      </c>
      <c r="D133" s="8">
        <f t="shared" si="20"/>
        <v>263</v>
      </c>
      <c r="E133" s="9">
        <v>143</v>
      </c>
      <c r="F133" s="9">
        <v>120</v>
      </c>
      <c r="G133" s="33">
        <f t="shared" si="21"/>
        <v>610</v>
      </c>
      <c r="H133" s="9">
        <v>329</v>
      </c>
      <c r="I133" s="9">
        <v>281</v>
      </c>
    </row>
    <row r="134" spans="1:9" x14ac:dyDescent="0.25">
      <c r="A134" s="25">
        <v>98</v>
      </c>
      <c r="B134" s="25" t="s">
        <v>175</v>
      </c>
      <c r="C134" s="21" t="s">
        <v>107</v>
      </c>
      <c r="D134" s="8">
        <f t="shared" si="20"/>
        <v>333</v>
      </c>
      <c r="E134" s="10">
        <v>186</v>
      </c>
      <c r="F134" s="10">
        <v>147</v>
      </c>
      <c r="G134" s="33">
        <f t="shared" si="21"/>
        <v>586</v>
      </c>
      <c r="H134" s="10">
        <v>309</v>
      </c>
      <c r="I134" s="10">
        <v>277</v>
      </c>
    </row>
    <row r="135" spans="1:9" x14ac:dyDescent="0.25">
      <c r="A135" s="25">
        <v>99</v>
      </c>
      <c r="B135" s="25" t="s">
        <v>175</v>
      </c>
      <c r="C135" s="21" t="s">
        <v>79</v>
      </c>
      <c r="D135" s="8">
        <f t="shared" si="20"/>
        <v>228</v>
      </c>
      <c r="E135" s="9">
        <v>110</v>
      </c>
      <c r="F135" s="9">
        <v>118</v>
      </c>
      <c r="G135" s="33">
        <f t="shared" si="21"/>
        <v>557</v>
      </c>
      <c r="H135" s="9">
        <v>269</v>
      </c>
      <c r="I135" s="9">
        <v>288</v>
      </c>
    </row>
    <row r="136" spans="1:9" x14ac:dyDescent="0.25">
      <c r="A136" s="25">
        <v>100</v>
      </c>
      <c r="B136" s="25" t="s">
        <v>175</v>
      </c>
      <c r="C136" s="21" t="s">
        <v>104</v>
      </c>
      <c r="D136" s="8">
        <f t="shared" si="20"/>
        <v>391</v>
      </c>
      <c r="E136" s="9">
        <v>183</v>
      </c>
      <c r="F136" s="9">
        <v>208</v>
      </c>
      <c r="G136" s="33">
        <f t="shared" si="21"/>
        <v>700</v>
      </c>
      <c r="H136" s="9">
        <v>371</v>
      </c>
      <c r="I136" s="9">
        <v>329</v>
      </c>
    </row>
    <row r="137" spans="1:9" x14ac:dyDescent="0.25">
      <c r="A137" s="25">
        <v>101</v>
      </c>
      <c r="B137" s="25" t="s">
        <v>175</v>
      </c>
      <c r="C137" s="21" t="s">
        <v>102</v>
      </c>
      <c r="D137" s="8">
        <f t="shared" si="20"/>
        <v>419</v>
      </c>
      <c r="E137" s="9">
        <v>227</v>
      </c>
      <c r="F137" s="9">
        <v>192</v>
      </c>
      <c r="G137" s="33">
        <f t="shared" si="21"/>
        <v>894</v>
      </c>
      <c r="H137" s="9">
        <v>468</v>
      </c>
      <c r="I137" s="9">
        <v>426</v>
      </c>
    </row>
    <row r="138" spans="1:9" x14ac:dyDescent="0.25">
      <c r="A138" s="25">
        <v>102</v>
      </c>
      <c r="B138" s="25" t="s">
        <v>175</v>
      </c>
      <c r="C138" s="21" t="s">
        <v>101</v>
      </c>
      <c r="D138" s="8">
        <f t="shared" si="20"/>
        <v>839</v>
      </c>
      <c r="E138" s="9">
        <v>429</v>
      </c>
      <c r="F138" s="9">
        <v>410</v>
      </c>
      <c r="G138" s="33">
        <f t="shared" si="21"/>
        <v>1515</v>
      </c>
      <c r="H138" s="9">
        <v>762</v>
      </c>
      <c r="I138" s="9">
        <v>753</v>
      </c>
    </row>
    <row r="139" spans="1:9" x14ac:dyDescent="0.25">
      <c r="A139" s="25">
        <v>103</v>
      </c>
      <c r="B139" s="25" t="s">
        <v>175</v>
      </c>
      <c r="C139" s="21" t="s">
        <v>103</v>
      </c>
      <c r="D139" s="8">
        <f t="shared" si="20"/>
        <v>445</v>
      </c>
      <c r="E139" s="9">
        <v>240</v>
      </c>
      <c r="F139" s="9">
        <v>205</v>
      </c>
      <c r="G139" s="33">
        <f t="shared" si="21"/>
        <v>752</v>
      </c>
      <c r="H139" s="9">
        <v>378</v>
      </c>
      <c r="I139" s="9">
        <v>374</v>
      </c>
    </row>
    <row r="140" spans="1:9" x14ac:dyDescent="0.25">
      <c r="A140" s="25"/>
      <c r="D140" s="8"/>
      <c r="E140" s="9"/>
      <c r="F140" s="9"/>
      <c r="G140" s="33"/>
      <c r="H140" s="9"/>
      <c r="I140" s="9"/>
    </row>
    <row r="141" spans="1:9" x14ac:dyDescent="0.25">
      <c r="A141" s="5"/>
      <c r="B141" s="30" t="s">
        <v>108</v>
      </c>
      <c r="C141" s="4"/>
      <c r="D141" s="8">
        <f>SUM(E141:F141)</f>
        <v>4103</v>
      </c>
      <c r="E141" s="8">
        <f>SUM(E142:E151)</f>
        <v>2123</v>
      </c>
      <c r="F141" s="8">
        <f>SUM(F142:F151)</f>
        <v>1980</v>
      </c>
      <c r="G141" s="33">
        <f>SUM(H141:I141)</f>
        <v>8379</v>
      </c>
      <c r="H141" s="8">
        <f>SUM(H142:H151)</f>
        <v>4321</v>
      </c>
      <c r="I141" s="8">
        <f>SUM(I142:I151)</f>
        <v>4058</v>
      </c>
    </row>
    <row r="142" spans="1:9" x14ac:dyDescent="0.25">
      <c r="A142" s="25">
        <v>104</v>
      </c>
      <c r="B142" s="25" t="s">
        <v>176</v>
      </c>
      <c r="C142" s="21" t="s">
        <v>211</v>
      </c>
      <c r="D142" s="8">
        <f t="shared" ref="D142:D151" si="22">SUM(E142:F142)</f>
        <v>366</v>
      </c>
      <c r="E142" s="9">
        <v>191</v>
      </c>
      <c r="F142" s="9">
        <v>175</v>
      </c>
      <c r="G142" s="33">
        <f t="shared" ref="G142:G151" si="23">SUM(H142:I142)</f>
        <v>781</v>
      </c>
      <c r="H142" s="9">
        <v>393</v>
      </c>
      <c r="I142" s="9">
        <v>388</v>
      </c>
    </row>
    <row r="143" spans="1:9" x14ac:dyDescent="0.25">
      <c r="A143" s="25">
        <v>105</v>
      </c>
      <c r="B143" s="25" t="s">
        <v>176</v>
      </c>
      <c r="C143" s="21" t="s">
        <v>17</v>
      </c>
      <c r="D143" s="8">
        <f t="shared" si="22"/>
        <v>65</v>
      </c>
      <c r="E143" s="9">
        <v>37</v>
      </c>
      <c r="F143" s="9">
        <v>28</v>
      </c>
      <c r="G143" s="33">
        <f t="shared" si="23"/>
        <v>155</v>
      </c>
      <c r="H143" s="9">
        <v>78</v>
      </c>
      <c r="I143" s="9">
        <v>77</v>
      </c>
    </row>
    <row r="144" spans="1:9" x14ac:dyDescent="0.25">
      <c r="A144" s="25">
        <v>106</v>
      </c>
      <c r="B144" s="25" t="s">
        <v>176</v>
      </c>
      <c r="C144" s="21" t="s">
        <v>112</v>
      </c>
      <c r="D144" s="8">
        <f t="shared" si="22"/>
        <v>206</v>
      </c>
      <c r="E144" s="9">
        <v>99</v>
      </c>
      <c r="F144" s="9">
        <v>107</v>
      </c>
      <c r="G144" s="33">
        <f t="shared" si="23"/>
        <v>527</v>
      </c>
      <c r="H144" s="9">
        <v>287</v>
      </c>
      <c r="I144" s="9">
        <v>240</v>
      </c>
    </row>
    <row r="145" spans="1:9" x14ac:dyDescent="0.25">
      <c r="A145" s="25">
        <v>107</v>
      </c>
      <c r="B145" s="25" t="s">
        <v>176</v>
      </c>
      <c r="C145" s="21" t="s">
        <v>113</v>
      </c>
      <c r="D145" s="8">
        <f t="shared" si="22"/>
        <v>445</v>
      </c>
      <c r="E145" s="9">
        <v>221</v>
      </c>
      <c r="F145" s="9">
        <v>224</v>
      </c>
      <c r="G145" s="33">
        <f t="shared" si="23"/>
        <v>745</v>
      </c>
      <c r="H145" s="9">
        <v>389</v>
      </c>
      <c r="I145" s="9">
        <v>356</v>
      </c>
    </row>
    <row r="146" spans="1:9" x14ac:dyDescent="0.25">
      <c r="A146" s="25">
        <v>108</v>
      </c>
      <c r="B146" s="25" t="s">
        <v>176</v>
      </c>
      <c r="C146" s="21" t="s">
        <v>212</v>
      </c>
      <c r="D146" s="8">
        <f t="shared" si="22"/>
        <v>234</v>
      </c>
      <c r="E146" s="9">
        <v>119</v>
      </c>
      <c r="F146" s="9">
        <v>115</v>
      </c>
      <c r="G146" s="33">
        <f t="shared" si="23"/>
        <v>540</v>
      </c>
      <c r="H146" s="9">
        <v>286</v>
      </c>
      <c r="I146" s="9">
        <v>254</v>
      </c>
    </row>
    <row r="147" spans="1:9" x14ac:dyDescent="0.25">
      <c r="A147" s="25">
        <v>109</v>
      </c>
      <c r="B147" s="25" t="s">
        <v>176</v>
      </c>
      <c r="C147" s="21" t="s">
        <v>213</v>
      </c>
      <c r="D147" s="8">
        <f t="shared" si="22"/>
        <v>191</v>
      </c>
      <c r="E147" s="9">
        <v>112</v>
      </c>
      <c r="F147" s="9">
        <v>79</v>
      </c>
      <c r="G147" s="33">
        <f t="shared" si="23"/>
        <v>458</v>
      </c>
      <c r="H147" s="9">
        <v>249</v>
      </c>
      <c r="I147" s="9">
        <v>209</v>
      </c>
    </row>
    <row r="148" spans="1:9" x14ac:dyDescent="0.25">
      <c r="A148" s="25">
        <v>110</v>
      </c>
      <c r="B148" s="25" t="s">
        <v>176</v>
      </c>
      <c r="C148" s="21" t="s">
        <v>114</v>
      </c>
      <c r="D148" s="8">
        <f t="shared" si="22"/>
        <v>1144</v>
      </c>
      <c r="E148" s="9">
        <v>616</v>
      </c>
      <c r="F148" s="9">
        <v>528</v>
      </c>
      <c r="G148" s="33">
        <f t="shared" si="23"/>
        <v>2221</v>
      </c>
      <c r="H148" s="9">
        <v>1128</v>
      </c>
      <c r="I148" s="9">
        <v>1093</v>
      </c>
    </row>
    <row r="149" spans="1:9" x14ac:dyDescent="0.25">
      <c r="A149" s="25">
        <v>111</v>
      </c>
      <c r="B149" s="25" t="s">
        <v>176</v>
      </c>
      <c r="C149" s="21" t="s">
        <v>110</v>
      </c>
      <c r="D149" s="8">
        <f t="shared" si="22"/>
        <v>891</v>
      </c>
      <c r="E149" s="9">
        <v>450</v>
      </c>
      <c r="F149" s="9">
        <v>441</v>
      </c>
      <c r="G149" s="33">
        <f t="shared" si="23"/>
        <v>1780</v>
      </c>
      <c r="H149" s="9">
        <v>911</v>
      </c>
      <c r="I149" s="9">
        <v>869</v>
      </c>
    </row>
    <row r="150" spans="1:9" x14ac:dyDescent="0.25">
      <c r="A150" s="25">
        <v>112</v>
      </c>
      <c r="B150" s="25" t="s">
        <v>176</v>
      </c>
      <c r="C150" s="21" t="s">
        <v>111</v>
      </c>
      <c r="D150" s="8">
        <f t="shared" si="22"/>
        <v>156</v>
      </c>
      <c r="E150" s="9">
        <v>80</v>
      </c>
      <c r="F150" s="9">
        <v>76</v>
      </c>
      <c r="G150" s="33">
        <f t="shared" si="23"/>
        <v>357</v>
      </c>
      <c r="H150" s="9">
        <v>188</v>
      </c>
      <c r="I150" s="9">
        <v>169</v>
      </c>
    </row>
    <row r="151" spans="1:9" x14ac:dyDescent="0.25">
      <c r="A151" s="25">
        <v>113</v>
      </c>
      <c r="B151" s="25" t="s">
        <v>176</v>
      </c>
      <c r="C151" s="21" t="s">
        <v>109</v>
      </c>
      <c r="D151" s="8">
        <f t="shared" si="22"/>
        <v>405</v>
      </c>
      <c r="E151" s="9">
        <v>198</v>
      </c>
      <c r="F151" s="9">
        <v>207</v>
      </c>
      <c r="G151" s="33">
        <f t="shared" si="23"/>
        <v>815</v>
      </c>
      <c r="H151" s="9">
        <v>412</v>
      </c>
      <c r="I151" s="9">
        <v>403</v>
      </c>
    </row>
    <row r="152" spans="1:9" x14ac:dyDescent="0.25">
      <c r="A152" s="25"/>
      <c r="D152" s="8"/>
      <c r="E152" s="9"/>
      <c r="F152" s="9"/>
      <c r="G152" s="33"/>
      <c r="H152" s="9"/>
      <c r="I152" s="9"/>
    </row>
    <row r="153" spans="1:9" x14ac:dyDescent="0.25">
      <c r="A153" s="5"/>
      <c r="B153" s="30" t="s">
        <v>115</v>
      </c>
      <c r="C153" s="4"/>
      <c r="D153" s="8">
        <f>SUM(E153:F153)</f>
        <v>738</v>
      </c>
      <c r="E153" s="8">
        <f>SUM(E154:E158)</f>
        <v>367</v>
      </c>
      <c r="F153" s="8">
        <f>SUM(F154:F158)</f>
        <v>371</v>
      </c>
      <c r="G153" s="33">
        <f>SUM(H153:I153)</f>
        <v>2007</v>
      </c>
      <c r="H153" s="8">
        <f>SUM(H154:H158)</f>
        <v>1056</v>
      </c>
      <c r="I153" s="8">
        <f>SUM(I154:I158)</f>
        <v>951</v>
      </c>
    </row>
    <row r="154" spans="1:9" x14ac:dyDescent="0.25">
      <c r="A154" s="25">
        <v>114</v>
      </c>
      <c r="B154" s="25" t="s">
        <v>177</v>
      </c>
      <c r="C154" s="21" t="s">
        <v>118</v>
      </c>
      <c r="D154" s="8">
        <f t="shared" ref="D154:D158" si="24">SUM(E154:F154)</f>
        <v>203</v>
      </c>
      <c r="E154" s="9">
        <v>109</v>
      </c>
      <c r="F154" s="9">
        <v>94</v>
      </c>
      <c r="G154" s="33">
        <f t="shared" ref="G154:G158" si="25">SUM(H154:I154)</f>
        <v>496</v>
      </c>
      <c r="H154" s="9">
        <v>274</v>
      </c>
      <c r="I154" s="9">
        <v>222</v>
      </c>
    </row>
    <row r="155" spans="1:9" x14ac:dyDescent="0.25">
      <c r="A155" s="25">
        <v>115</v>
      </c>
      <c r="B155" s="25" t="s">
        <v>177</v>
      </c>
      <c r="C155" s="21" t="s">
        <v>116</v>
      </c>
      <c r="D155" s="8">
        <f t="shared" si="24"/>
        <v>144</v>
      </c>
      <c r="E155" s="9">
        <v>64</v>
      </c>
      <c r="F155" s="9">
        <v>80</v>
      </c>
      <c r="G155" s="33">
        <f t="shared" si="25"/>
        <v>384</v>
      </c>
      <c r="H155" s="9">
        <v>214</v>
      </c>
      <c r="I155" s="9">
        <v>170</v>
      </c>
    </row>
    <row r="156" spans="1:9" x14ac:dyDescent="0.25">
      <c r="A156" s="25">
        <v>116</v>
      </c>
      <c r="B156" s="25" t="s">
        <v>177</v>
      </c>
      <c r="C156" s="21" t="s">
        <v>119</v>
      </c>
      <c r="D156" s="8">
        <f t="shared" si="24"/>
        <v>262</v>
      </c>
      <c r="E156" s="9">
        <v>135</v>
      </c>
      <c r="F156" s="9">
        <v>127</v>
      </c>
      <c r="G156" s="33">
        <f t="shared" si="25"/>
        <v>657</v>
      </c>
      <c r="H156" s="9">
        <v>337</v>
      </c>
      <c r="I156" s="9">
        <v>320</v>
      </c>
    </row>
    <row r="157" spans="1:9" x14ac:dyDescent="0.25">
      <c r="A157" s="25">
        <v>117</v>
      </c>
      <c r="B157" s="25" t="s">
        <v>177</v>
      </c>
      <c r="C157" s="21" t="s">
        <v>120</v>
      </c>
      <c r="D157" s="8">
        <f t="shared" si="24"/>
        <v>88</v>
      </c>
      <c r="E157" s="9">
        <v>39</v>
      </c>
      <c r="F157" s="9">
        <v>49</v>
      </c>
      <c r="G157" s="33">
        <f t="shared" si="25"/>
        <v>287</v>
      </c>
      <c r="H157" s="9">
        <v>145</v>
      </c>
      <c r="I157" s="9">
        <v>142</v>
      </c>
    </row>
    <row r="158" spans="1:9" x14ac:dyDescent="0.25">
      <c r="A158" s="25">
        <v>118</v>
      </c>
      <c r="B158" s="25" t="s">
        <v>177</v>
      </c>
      <c r="C158" s="21" t="s">
        <v>117</v>
      </c>
      <c r="D158" s="8">
        <f t="shared" si="24"/>
        <v>41</v>
      </c>
      <c r="E158" s="9">
        <v>20</v>
      </c>
      <c r="F158" s="9">
        <v>21</v>
      </c>
      <c r="G158" s="33">
        <f t="shared" si="25"/>
        <v>183</v>
      </c>
      <c r="H158" s="9">
        <v>86</v>
      </c>
      <c r="I158" s="9">
        <v>97</v>
      </c>
    </row>
    <row r="159" spans="1:9" x14ac:dyDescent="0.25">
      <c r="A159" s="25"/>
      <c r="D159" s="8"/>
      <c r="E159" s="9"/>
      <c r="F159" s="9"/>
      <c r="G159" s="33"/>
      <c r="H159" s="9"/>
      <c r="I159" s="9"/>
    </row>
    <row r="160" spans="1:9" x14ac:dyDescent="0.25">
      <c r="A160" s="5"/>
      <c r="B160" s="30" t="s">
        <v>121</v>
      </c>
      <c r="C160" s="4"/>
      <c r="D160" s="8">
        <f>SUM(E160:F160)</f>
        <v>2155</v>
      </c>
      <c r="E160" s="8">
        <f>SUM(E161:E168)</f>
        <v>1111</v>
      </c>
      <c r="F160" s="8">
        <f>SUM(F161:F168)</f>
        <v>1044</v>
      </c>
      <c r="G160" s="33">
        <f>SUM(H160:I160)</f>
        <v>5631</v>
      </c>
      <c r="H160" s="8">
        <f>SUM(H161:H168)</f>
        <v>2860</v>
      </c>
      <c r="I160" s="8">
        <f>SUM(I161:I168)</f>
        <v>2771</v>
      </c>
    </row>
    <row r="161" spans="1:9" x14ac:dyDescent="0.25">
      <c r="A161" s="25">
        <v>119</v>
      </c>
      <c r="B161" s="25" t="s">
        <v>178</v>
      </c>
      <c r="C161" s="21" t="s">
        <v>127</v>
      </c>
      <c r="D161" s="8">
        <f t="shared" ref="D161:D168" si="26">SUM(E161:F161)</f>
        <v>412</v>
      </c>
      <c r="E161" s="9">
        <v>194</v>
      </c>
      <c r="F161" s="9">
        <v>218</v>
      </c>
      <c r="G161" s="33">
        <f t="shared" ref="G161:G168" si="27">SUM(H161:I161)</f>
        <v>1068</v>
      </c>
      <c r="H161" s="9">
        <v>555</v>
      </c>
      <c r="I161" s="9">
        <v>513</v>
      </c>
    </row>
    <row r="162" spans="1:9" x14ac:dyDescent="0.25">
      <c r="A162" s="25">
        <v>120</v>
      </c>
      <c r="B162" s="25" t="s">
        <v>178</v>
      </c>
      <c r="C162" s="21" t="s">
        <v>126</v>
      </c>
      <c r="D162" s="8">
        <f t="shared" si="26"/>
        <v>397</v>
      </c>
      <c r="E162" s="9">
        <v>211</v>
      </c>
      <c r="F162" s="9">
        <v>186</v>
      </c>
      <c r="G162" s="33">
        <f t="shared" si="27"/>
        <v>1101</v>
      </c>
      <c r="H162" s="9">
        <v>558</v>
      </c>
      <c r="I162" s="9">
        <v>543</v>
      </c>
    </row>
    <row r="163" spans="1:9" x14ac:dyDescent="0.25">
      <c r="A163" s="25">
        <v>121</v>
      </c>
      <c r="B163" s="25" t="s">
        <v>178</v>
      </c>
      <c r="C163" s="21" t="s">
        <v>68</v>
      </c>
      <c r="D163" s="8">
        <f t="shared" si="26"/>
        <v>170</v>
      </c>
      <c r="E163" s="9">
        <v>84</v>
      </c>
      <c r="F163" s="9">
        <v>86</v>
      </c>
      <c r="G163" s="33">
        <f t="shared" si="27"/>
        <v>506</v>
      </c>
      <c r="H163" s="9">
        <v>249</v>
      </c>
      <c r="I163" s="9">
        <v>257</v>
      </c>
    </row>
    <row r="164" spans="1:9" x14ac:dyDescent="0.25">
      <c r="A164" s="25">
        <v>122</v>
      </c>
      <c r="B164" s="25" t="s">
        <v>178</v>
      </c>
      <c r="C164" s="21" t="s">
        <v>123</v>
      </c>
      <c r="D164" s="8">
        <f t="shared" si="26"/>
        <v>563</v>
      </c>
      <c r="E164" s="9">
        <v>291</v>
      </c>
      <c r="F164" s="9">
        <v>272</v>
      </c>
      <c r="G164" s="33">
        <f t="shared" si="27"/>
        <v>1369</v>
      </c>
      <c r="H164" s="9">
        <v>685</v>
      </c>
      <c r="I164" s="9">
        <v>684</v>
      </c>
    </row>
    <row r="165" spans="1:9" x14ac:dyDescent="0.25">
      <c r="A165" s="25">
        <v>123</v>
      </c>
      <c r="B165" s="25" t="s">
        <v>178</v>
      </c>
      <c r="C165" s="21" t="s">
        <v>124</v>
      </c>
      <c r="D165" s="8">
        <f t="shared" si="26"/>
        <v>291</v>
      </c>
      <c r="E165" s="9">
        <v>147</v>
      </c>
      <c r="F165" s="9">
        <v>144</v>
      </c>
      <c r="G165" s="33">
        <f t="shared" si="27"/>
        <v>751</v>
      </c>
      <c r="H165" s="9">
        <v>379</v>
      </c>
      <c r="I165" s="9">
        <v>372</v>
      </c>
    </row>
    <row r="166" spans="1:9" x14ac:dyDescent="0.25">
      <c r="A166" s="25">
        <v>124</v>
      </c>
      <c r="B166" s="25" t="s">
        <v>178</v>
      </c>
      <c r="C166" s="21" t="s">
        <v>125</v>
      </c>
      <c r="D166" s="8">
        <f t="shared" si="26"/>
        <v>138</v>
      </c>
      <c r="E166" s="9">
        <v>75</v>
      </c>
      <c r="F166" s="9">
        <v>63</v>
      </c>
      <c r="G166" s="33">
        <f t="shared" si="27"/>
        <v>408</v>
      </c>
      <c r="H166" s="9">
        <v>209</v>
      </c>
      <c r="I166" s="9">
        <v>199</v>
      </c>
    </row>
    <row r="167" spans="1:9" x14ac:dyDescent="0.25">
      <c r="A167" s="25">
        <v>125</v>
      </c>
      <c r="B167" s="25" t="s">
        <v>178</v>
      </c>
      <c r="C167" s="21" t="s">
        <v>214</v>
      </c>
      <c r="D167" s="8">
        <f t="shared" si="26"/>
        <v>70</v>
      </c>
      <c r="E167" s="9">
        <v>37</v>
      </c>
      <c r="F167" s="9">
        <v>33</v>
      </c>
      <c r="G167" s="33">
        <f t="shared" si="27"/>
        <v>174</v>
      </c>
      <c r="H167" s="9">
        <v>86</v>
      </c>
      <c r="I167" s="9">
        <v>88</v>
      </c>
    </row>
    <row r="168" spans="1:9" x14ac:dyDescent="0.25">
      <c r="A168" s="25">
        <v>126</v>
      </c>
      <c r="B168" s="25" t="s">
        <v>178</v>
      </c>
      <c r="C168" s="21" t="s">
        <v>122</v>
      </c>
      <c r="D168" s="8">
        <f t="shared" si="26"/>
        <v>114</v>
      </c>
      <c r="E168" s="9">
        <v>72</v>
      </c>
      <c r="F168" s="9">
        <v>42</v>
      </c>
      <c r="G168" s="33">
        <f t="shared" si="27"/>
        <v>254</v>
      </c>
      <c r="H168" s="9">
        <v>139</v>
      </c>
      <c r="I168" s="9">
        <v>115</v>
      </c>
    </row>
    <row r="169" spans="1:9" x14ac:dyDescent="0.25">
      <c r="A169" s="25"/>
      <c r="D169" s="8"/>
      <c r="E169" s="9"/>
      <c r="F169" s="9"/>
      <c r="G169" s="33"/>
      <c r="H169" s="9"/>
      <c r="I169" s="9"/>
    </row>
    <row r="170" spans="1:9" x14ac:dyDescent="0.25">
      <c r="A170" s="5"/>
      <c r="B170" s="30" t="s">
        <v>128</v>
      </c>
      <c r="C170" s="4"/>
      <c r="D170" s="8">
        <f>SUM(E170:F170)</f>
        <v>2298</v>
      </c>
      <c r="E170" s="8">
        <f>SUM(E171:E175)</f>
        <v>1217</v>
      </c>
      <c r="F170" s="8">
        <f>SUM(F171:F175)</f>
        <v>1081</v>
      </c>
      <c r="G170" s="33">
        <f>SUM(H170:I170)</f>
        <v>4585</v>
      </c>
      <c r="H170" s="8">
        <f>SUM(H171:H175)</f>
        <v>2335</v>
      </c>
      <c r="I170" s="8">
        <f>SUM(I171:I175)</f>
        <v>2250</v>
      </c>
    </row>
    <row r="171" spans="1:9" x14ac:dyDescent="0.25">
      <c r="A171" s="25">
        <v>127</v>
      </c>
      <c r="B171" s="25" t="s">
        <v>179</v>
      </c>
      <c r="C171" s="21" t="s">
        <v>215</v>
      </c>
      <c r="D171" s="8">
        <f t="shared" ref="D171:D175" si="28">SUM(E171:F171)</f>
        <v>441</v>
      </c>
      <c r="E171" s="9">
        <v>222</v>
      </c>
      <c r="F171" s="9">
        <v>219</v>
      </c>
      <c r="G171" s="33">
        <f t="shared" ref="G171:G175" si="29">SUM(H171:I171)</f>
        <v>991</v>
      </c>
      <c r="H171" s="9">
        <v>522</v>
      </c>
      <c r="I171" s="9">
        <v>469</v>
      </c>
    </row>
    <row r="172" spans="1:9" x14ac:dyDescent="0.25">
      <c r="A172" s="25">
        <v>128</v>
      </c>
      <c r="B172" s="25" t="s">
        <v>179</v>
      </c>
      <c r="C172" s="21" t="s">
        <v>216</v>
      </c>
      <c r="D172" s="8">
        <f t="shared" si="28"/>
        <v>208</v>
      </c>
      <c r="E172" s="9">
        <v>110</v>
      </c>
      <c r="F172" s="9">
        <v>98</v>
      </c>
      <c r="G172" s="33">
        <f t="shared" si="29"/>
        <v>413</v>
      </c>
      <c r="H172" s="9">
        <v>227</v>
      </c>
      <c r="I172" s="9">
        <v>186</v>
      </c>
    </row>
    <row r="173" spans="1:9" x14ac:dyDescent="0.25">
      <c r="A173" s="25">
        <v>129</v>
      </c>
      <c r="B173" s="25" t="s">
        <v>179</v>
      </c>
      <c r="C173" s="21" t="s">
        <v>129</v>
      </c>
      <c r="D173" s="8">
        <f t="shared" si="28"/>
        <v>467</v>
      </c>
      <c r="E173" s="9">
        <v>253</v>
      </c>
      <c r="F173" s="9">
        <v>214</v>
      </c>
      <c r="G173" s="33">
        <f t="shared" si="29"/>
        <v>936</v>
      </c>
      <c r="H173" s="9">
        <v>456</v>
      </c>
      <c r="I173" s="9">
        <v>480</v>
      </c>
    </row>
    <row r="174" spans="1:9" x14ac:dyDescent="0.25">
      <c r="A174" s="25">
        <v>130</v>
      </c>
      <c r="B174" s="25" t="s">
        <v>179</v>
      </c>
      <c r="C174" s="21" t="s">
        <v>56</v>
      </c>
      <c r="D174" s="8">
        <f t="shared" si="28"/>
        <v>358</v>
      </c>
      <c r="E174" s="9">
        <v>196</v>
      </c>
      <c r="F174" s="9">
        <v>162</v>
      </c>
      <c r="G174" s="33">
        <f t="shared" si="29"/>
        <v>626</v>
      </c>
      <c r="H174" s="9">
        <v>316</v>
      </c>
      <c r="I174" s="9">
        <v>310</v>
      </c>
    </row>
    <row r="175" spans="1:9" x14ac:dyDescent="0.25">
      <c r="A175" s="25">
        <v>131</v>
      </c>
      <c r="B175" s="25" t="s">
        <v>179</v>
      </c>
      <c r="C175" s="21" t="s">
        <v>130</v>
      </c>
      <c r="D175" s="8">
        <f t="shared" si="28"/>
        <v>824</v>
      </c>
      <c r="E175" s="9">
        <v>436</v>
      </c>
      <c r="F175" s="9">
        <v>388</v>
      </c>
      <c r="G175" s="33">
        <f t="shared" si="29"/>
        <v>1619</v>
      </c>
      <c r="H175" s="9">
        <v>814</v>
      </c>
      <c r="I175" s="9">
        <v>805</v>
      </c>
    </row>
    <row r="176" spans="1:9" x14ac:dyDescent="0.25">
      <c r="A176" s="25"/>
      <c r="D176" s="8"/>
      <c r="E176" s="9"/>
      <c r="F176" s="9"/>
      <c r="G176" s="33"/>
      <c r="H176" s="9"/>
      <c r="I176" s="9"/>
    </row>
    <row r="177" spans="1:9" x14ac:dyDescent="0.25">
      <c r="A177" s="5"/>
      <c r="B177" s="30" t="s">
        <v>131</v>
      </c>
      <c r="C177" s="4"/>
      <c r="D177" s="8">
        <f>SUM(E177:F177)</f>
        <v>2661</v>
      </c>
      <c r="E177" s="8">
        <f>SUM(E178:E184)</f>
        <v>1365</v>
      </c>
      <c r="F177" s="8">
        <f>SUM(F178:F184)</f>
        <v>1296</v>
      </c>
      <c r="G177" s="33">
        <f>SUM(H177:I177)</f>
        <v>6025</v>
      </c>
      <c r="H177" s="8">
        <f>SUM(H178:H184)</f>
        <v>3079</v>
      </c>
      <c r="I177" s="8">
        <f>SUM(I178:I184)</f>
        <v>2946</v>
      </c>
    </row>
    <row r="178" spans="1:9" x14ac:dyDescent="0.25">
      <c r="A178" s="25">
        <v>132</v>
      </c>
      <c r="B178" s="25" t="s">
        <v>180</v>
      </c>
      <c r="C178" s="21" t="s">
        <v>217</v>
      </c>
      <c r="D178" s="8">
        <f t="shared" ref="D178:D184" si="30">SUM(E178:F178)</f>
        <v>346</v>
      </c>
      <c r="E178" s="9">
        <v>170</v>
      </c>
      <c r="F178" s="9">
        <v>176</v>
      </c>
      <c r="G178" s="33">
        <f t="shared" ref="G178:G184" si="31">SUM(H178:I178)</f>
        <v>692</v>
      </c>
      <c r="H178" s="9">
        <v>366</v>
      </c>
      <c r="I178" s="9">
        <v>326</v>
      </c>
    </row>
    <row r="179" spans="1:9" x14ac:dyDescent="0.25">
      <c r="A179" s="25">
        <v>133</v>
      </c>
      <c r="B179" s="25" t="s">
        <v>180</v>
      </c>
      <c r="C179" s="21" t="s">
        <v>218</v>
      </c>
      <c r="D179" s="8">
        <f t="shared" si="30"/>
        <v>311</v>
      </c>
      <c r="E179" s="9">
        <v>161</v>
      </c>
      <c r="F179" s="9">
        <v>150</v>
      </c>
      <c r="G179" s="33">
        <f t="shared" si="31"/>
        <v>698</v>
      </c>
      <c r="H179" s="9">
        <v>348</v>
      </c>
      <c r="I179" s="9">
        <v>350</v>
      </c>
    </row>
    <row r="180" spans="1:9" x14ac:dyDescent="0.25">
      <c r="A180" s="25">
        <v>134</v>
      </c>
      <c r="B180" s="25" t="s">
        <v>180</v>
      </c>
      <c r="C180" s="21" t="s">
        <v>133</v>
      </c>
      <c r="D180" s="8">
        <f t="shared" si="30"/>
        <v>1150</v>
      </c>
      <c r="E180" s="9">
        <v>581</v>
      </c>
      <c r="F180" s="9">
        <v>569</v>
      </c>
      <c r="G180" s="33">
        <f t="shared" si="31"/>
        <v>2492</v>
      </c>
      <c r="H180" s="9">
        <v>1236</v>
      </c>
      <c r="I180" s="9">
        <v>1256</v>
      </c>
    </row>
    <row r="181" spans="1:9" x14ac:dyDescent="0.25">
      <c r="A181" s="25">
        <v>135</v>
      </c>
      <c r="B181" s="25" t="s">
        <v>180</v>
      </c>
      <c r="C181" s="21" t="s">
        <v>219</v>
      </c>
      <c r="D181" s="8">
        <f t="shared" si="30"/>
        <v>287</v>
      </c>
      <c r="E181" s="9">
        <v>139</v>
      </c>
      <c r="F181" s="9">
        <v>148</v>
      </c>
      <c r="G181" s="33">
        <f t="shared" si="31"/>
        <v>766</v>
      </c>
      <c r="H181" s="9">
        <v>397</v>
      </c>
      <c r="I181" s="9">
        <v>369</v>
      </c>
    </row>
    <row r="182" spans="1:9" x14ac:dyDescent="0.25">
      <c r="A182" s="25">
        <v>136</v>
      </c>
      <c r="B182" s="25" t="s">
        <v>180</v>
      </c>
      <c r="C182" s="21" t="s">
        <v>70</v>
      </c>
      <c r="D182" s="8">
        <f t="shared" si="30"/>
        <v>455</v>
      </c>
      <c r="E182" s="9">
        <v>256</v>
      </c>
      <c r="F182" s="9">
        <v>199</v>
      </c>
      <c r="G182" s="33">
        <f t="shared" si="31"/>
        <v>1041</v>
      </c>
      <c r="H182" s="9">
        <v>560</v>
      </c>
      <c r="I182" s="9">
        <v>481</v>
      </c>
    </row>
    <row r="183" spans="1:9" x14ac:dyDescent="0.25">
      <c r="A183" s="25">
        <v>137</v>
      </c>
      <c r="B183" s="25" t="s">
        <v>180</v>
      </c>
      <c r="C183" s="21" t="s">
        <v>220</v>
      </c>
      <c r="D183" s="8">
        <f t="shared" si="30"/>
        <v>111</v>
      </c>
      <c r="E183" s="9">
        <v>57</v>
      </c>
      <c r="F183" s="9">
        <v>54</v>
      </c>
      <c r="G183" s="33">
        <f t="shared" si="31"/>
        <v>334</v>
      </c>
      <c r="H183" s="9">
        <v>170</v>
      </c>
      <c r="I183" s="9">
        <v>164</v>
      </c>
    </row>
    <row r="184" spans="1:9" x14ac:dyDescent="0.25">
      <c r="A184" s="25"/>
      <c r="B184" s="35" t="s">
        <v>180</v>
      </c>
      <c r="C184" s="3" t="s">
        <v>132</v>
      </c>
      <c r="D184" s="8">
        <f t="shared" si="30"/>
        <v>1</v>
      </c>
      <c r="E184" s="9">
        <v>1</v>
      </c>
      <c r="F184" s="9">
        <v>0</v>
      </c>
      <c r="G184" s="33">
        <f t="shared" si="31"/>
        <v>2</v>
      </c>
      <c r="H184" s="9">
        <v>2</v>
      </c>
      <c r="I184" s="9">
        <v>0</v>
      </c>
    </row>
    <row r="185" spans="1:9" x14ac:dyDescent="0.25">
      <c r="A185" s="25"/>
      <c r="D185" s="8"/>
      <c r="E185" s="9"/>
      <c r="F185" s="9"/>
      <c r="G185" s="33"/>
      <c r="H185" s="9"/>
      <c r="I185" s="9"/>
    </row>
    <row r="186" spans="1:9" x14ac:dyDescent="0.25">
      <c r="A186" s="5"/>
      <c r="B186" s="30" t="s">
        <v>134</v>
      </c>
      <c r="C186" s="4"/>
      <c r="D186" s="8">
        <f>SUM(E186:F186)</f>
        <v>4944</v>
      </c>
      <c r="E186" s="8">
        <f>SUM(E187:E199)</f>
        <v>2537</v>
      </c>
      <c r="F186" s="8">
        <f>SUM(F187:F199)</f>
        <v>2407</v>
      </c>
      <c r="G186" s="33">
        <f>SUM(H186:I186)</f>
        <v>12023</v>
      </c>
      <c r="H186" s="8">
        <f>SUM(H187:H199)</f>
        <v>6078</v>
      </c>
      <c r="I186" s="8">
        <f>SUM(I187:I199)</f>
        <v>5945</v>
      </c>
    </row>
    <row r="187" spans="1:9" x14ac:dyDescent="0.25">
      <c r="A187" s="25">
        <v>138</v>
      </c>
      <c r="B187" s="25" t="s">
        <v>181</v>
      </c>
      <c r="C187" s="21" t="s">
        <v>135</v>
      </c>
      <c r="D187" s="8">
        <f t="shared" ref="D187:D199" si="32">SUM(E187:F187)</f>
        <v>186</v>
      </c>
      <c r="E187" s="9">
        <v>85</v>
      </c>
      <c r="F187" s="9">
        <v>101</v>
      </c>
      <c r="G187" s="33">
        <f t="shared" ref="G187:G199" si="33">SUM(H187:I187)</f>
        <v>431</v>
      </c>
      <c r="H187" s="9">
        <v>209</v>
      </c>
      <c r="I187" s="9">
        <v>222</v>
      </c>
    </row>
    <row r="188" spans="1:9" x14ac:dyDescent="0.25">
      <c r="A188" s="25">
        <v>139</v>
      </c>
      <c r="B188" s="25" t="s">
        <v>181</v>
      </c>
      <c r="C188" s="21" t="s">
        <v>137</v>
      </c>
      <c r="D188" s="8">
        <f t="shared" si="32"/>
        <v>327</v>
      </c>
      <c r="E188" s="9">
        <v>161</v>
      </c>
      <c r="F188" s="9">
        <v>166</v>
      </c>
      <c r="G188" s="33">
        <f t="shared" si="33"/>
        <v>633</v>
      </c>
      <c r="H188" s="9">
        <v>327</v>
      </c>
      <c r="I188" s="9">
        <v>306</v>
      </c>
    </row>
    <row r="189" spans="1:9" x14ac:dyDescent="0.25">
      <c r="A189" s="25">
        <v>140</v>
      </c>
      <c r="B189" s="25" t="s">
        <v>181</v>
      </c>
      <c r="C189" s="21" t="s">
        <v>140</v>
      </c>
      <c r="D189" s="8">
        <f t="shared" si="32"/>
        <v>228</v>
      </c>
      <c r="E189" s="9">
        <v>117</v>
      </c>
      <c r="F189" s="9">
        <v>111</v>
      </c>
      <c r="G189" s="33">
        <f t="shared" si="33"/>
        <v>516</v>
      </c>
      <c r="H189" s="9">
        <v>244</v>
      </c>
      <c r="I189" s="9">
        <v>272</v>
      </c>
    </row>
    <row r="190" spans="1:9" x14ac:dyDescent="0.25">
      <c r="A190" s="25">
        <v>141</v>
      </c>
      <c r="B190" s="25" t="s">
        <v>181</v>
      </c>
      <c r="C190" s="21" t="s">
        <v>99</v>
      </c>
      <c r="D190" s="8">
        <f t="shared" si="32"/>
        <v>559</v>
      </c>
      <c r="E190" s="9">
        <v>294</v>
      </c>
      <c r="F190" s="9">
        <v>265</v>
      </c>
      <c r="G190" s="33">
        <f t="shared" si="33"/>
        <v>1622</v>
      </c>
      <c r="H190" s="9">
        <v>810</v>
      </c>
      <c r="I190" s="9">
        <v>812</v>
      </c>
    </row>
    <row r="191" spans="1:9" x14ac:dyDescent="0.25">
      <c r="A191" s="25">
        <v>142</v>
      </c>
      <c r="B191" s="25" t="s">
        <v>181</v>
      </c>
      <c r="C191" s="21" t="s">
        <v>139</v>
      </c>
      <c r="D191" s="8">
        <f t="shared" si="32"/>
        <v>344</v>
      </c>
      <c r="E191" s="9">
        <v>190</v>
      </c>
      <c r="F191" s="9">
        <v>154</v>
      </c>
      <c r="G191" s="33">
        <f t="shared" si="33"/>
        <v>932</v>
      </c>
      <c r="H191" s="9">
        <v>475</v>
      </c>
      <c r="I191" s="9">
        <v>457</v>
      </c>
    </row>
    <row r="192" spans="1:9" x14ac:dyDescent="0.25">
      <c r="A192" s="25">
        <v>143</v>
      </c>
      <c r="B192" s="25" t="s">
        <v>181</v>
      </c>
      <c r="C192" s="21" t="s">
        <v>221</v>
      </c>
      <c r="D192" s="8">
        <f t="shared" si="32"/>
        <v>190</v>
      </c>
      <c r="E192" s="9">
        <v>95</v>
      </c>
      <c r="F192" s="9">
        <v>95</v>
      </c>
      <c r="G192" s="33">
        <f t="shared" si="33"/>
        <v>501</v>
      </c>
      <c r="H192" s="9">
        <v>239</v>
      </c>
      <c r="I192" s="9">
        <v>262</v>
      </c>
    </row>
    <row r="193" spans="1:9" x14ac:dyDescent="0.25">
      <c r="A193" s="25">
        <v>144</v>
      </c>
      <c r="B193" s="25" t="s">
        <v>181</v>
      </c>
      <c r="C193" s="21" t="s">
        <v>222</v>
      </c>
      <c r="D193" s="8">
        <f t="shared" si="32"/>
        <v>466</v>
      </c>
      <c r="E193" s="9">
        <v>249</v>
      </c>
      <c r="F193" s="9">
        <v>217</v>
      </c>
      <c r="G193" s="33">
        <f t="shared" si="33"/>
        <v>1068</v>
      </c>
      <c r="H193" s="9">
        <v>532</v>
      </c>
      <c r="I193" s="9">
        <v>536</v>
      </c>
    </row>
    <row r="194" spans="1:9" x14ac:dyDescent="0.25">
      <c r="A194" s="25">
        <v>145</v>
      </c>
      <c r="B194" s="25" t="s">
        <v>181</v>
      </c>
      <c r="C194" s="21" t="s">
        <v>136</v>
      </c>
      <c r="D194" s="8">
        <f t="shared" si="32"/>
        <v>466</v>
      </c>
      <c r="E194" s="9">
        <v>222</v>
      </c>
      <c r="F194" s="9">
        <v>244</v>
      </c>
      <c r="G194" s="33">
        <f t="shared" si="33"/>
        <v>976</v>
      </c>
      <c r="H194" s="9">
        <v>474</v>
      </c>
      <c r="I194" s="9">
        <v>502</v>
      </c>
    </row>
    <row r="195" spans="1:9" x14ac:dyDescent="0.25">
      <c r="A195" s="25">
        <v>146</v>
      </c>
      <c r="B195" s="25" t="s">
        <v>181</v>
      </c>
      <c r="C195" s="21" t="s">
        <v>109</v>
      </c>
      <c r="D195" s="8">
        <f t="shared" si="32"/>
        <v>236</v>
      </c>
      <c r="E195" s="9">
        <v>124</v>
      </c>
      <c r="F195" s="9">
        <v>112</v>
      </c>
      <c r="G195" s="33">
        <f t="shared" si="33"/>
        <v>566</v>
      </c>
      <c r="H195" s="9">
        <v>295</v>
      </c>
      <c r="I195" s="9">
        <v>271</v>
      </c>
    </row>
    <row r="196" spans="1:9" x14ac:dyDescent="0.25">
      <c r="A196" s="25">
        <v>147</v>
      </c>
      <c r="B196" s="25" t="s">
        <v>181</v>
      </c>
      <c r="C196" s="21" t="s">
        <v>141</v>
      </c>
      <c r="D196" s="8">
        <f t="shared" si="32"/>
        <v>749</v>
      </c>
      <c r="E196" s="9">
        <v>387</v>
      </c>
      <c r="F196" s="9">
        <v>362</v>
      </c>
      <c r="G196" s="33">
        <f t="shared" si="33"/>
        <v>1952</v>
      </c>
      <c r="H196" s="9">
        <v>1046</v>
      </c>
      <c r="I196" s="9">
        <v>906</v>
      </c>
    </row>
    <row r="197" spans="1:9" x14ac:dyDescent="0.25">
      <c r="A197" s="25">
        <v>148</v>
      </c>
      <c r="B197" s="25" t="s">
        <v>181</v>
      </c>
      <c r="C197" s="21" t="s">
        <v>138</v>
      </c>
      <c r="D197" s="8">
        <f t="shared" si="32"/>
        <v>100</v>
      </c>
      <c r="E197" s="9">
        <v>54</v>
      </c>
      <c r="F197" s="9">
        <v>46</v>
      </c>
      <c r="G197" s="33">
        <f t="shared" si="33"/>
        <v>297</v>
      </c>
      <c r="H197" s="9">
        <v>162</v>
      </c>
      <c r="I197" s="9">
        <v>135</v>
      </c>
    </row>
    <row r="198" spans="1:9" x14ac:dyDescent="0.25">
      <c r="A198" s="25">
        <v>149</v>
      </c>
      <c r="B198" s="25" t="s">
        <v>181</v>
      </c>
      <c r="C198" s="21" t="s">
        <v>142</v>
      </c>
      <c r="D198" s="8">
        <f t="shared" si="32"/>
        <v>476</v>
      </c>
      <c r="E198" s="9">
        <v>261</v>
      </c>
      <c r="F198" s="9">
        <v>215</v>
      </c>
      <c r="G198" s="33">
        <f t="shared" si="33"/>
        <v>979</v>
      </c>
      <c r="H198" s="9">
        <v>486</v>
      </c>
      <c r="I198" s="9">
        <v>493</v>
      </c>
    </row>
    <row r="199" spans="1:9" x14ac:dyDescent="0.25">
      <c r="A199" s="25">
        <v>150</v>
      </c>
      <c r="B199" s="25" t="s">
        <v>181</v>
      </c>
      <c r="C199" s="21" t="s">
        <v>223</v>
      </c>
      <c r="D199" s="8">
        <f t="shared" si="32"/>
        <v>617</v>
      </c>
      <c r="E199" s="9">
        <v>298</v>
      </c>
      <c r="F199" s="9">
        <v>319</v>
      </c>
      <c r="G199" s="33">
        <f t="shared" si="33"/>
        <v>1550</v>
      </c>
      <c r="H199" s="9">
        <v>779</v>
      </c>
      <c r="I199" s="9">
        <v>771</v>
      </c>
    </row>
    <row r="200" spans="1:9" x14ac:dyDescent="0.25">
      <c r="A200" s="25"/>
      <c r="D200" s="8"/>
      <c r="E200" s="9"/>
      <c r="F200" s="9"/>
      <c r="G200" s="33"/>
      <c r="H200" s="9"/>
      <c r="I200" s="9"/>
    </row>
    <row r="201" spans="1:9" x14ac:dyDescent="0.25">
      <c r="A201" s="5"/>
      <c r="B201" s="30" t="s">
        <v>143</v>
      </c>
      <c r="C201" s="4"/>
      <c r="D201" s="8">
        <f>SUM(E201:F201)</f>
        <v>5992</v>
      </c>
      <c r="E201" s="8">
        <f>SUM(E202:E213)</f>
        <v>3090</v>
      </c>
      <c r="F201" s="8">
        <f>SUM(F202:F213)</f>
        <v>2902</v>
      </c>
      <c r="G201" s="33">
        <f>SUM(H201:I201)</f>
        <v>13656</v>
      </c>
      <c r="H201" s="8">
        <f>SUM(H202:H213)</f>
        <v>6948</v>
      </c>
      <c r="I201" s="8">
        <f>SUM(I202:I213)</f>
        <v>6708</v>
      </c>
    </row>
    <row r="202" spans="1:9" x14ac:dyDescent="0.25">
      <c r="A202" s="25">
        <v>151</v>
      </c>
      <c r="B202" s="25" t="s">
        <v>174</v>
      </c>
      <c r="C202" s="21" t="s">
        <v>224</v>
      </c>
      <c r="D202" s="8">
        <f t="shared" ref="D202:D212" si="34">SUM(E202:F202)</f>
        <v>319</v>
      </c>
      <c r="E202" s="9">
        <v>175</v>
      </c>
      <c r="F202" s="9">
        <v>144</v>
      </c>
      <c r="G202" s="33">
        <f t="shared" ref="G202:G212" si="35">SUM(H202:I202)</f>
        <v>775</v>
      </c>
      <c r="H202" s="9">
        <v>381</v>
      </c>
      <c r="I202" s="9">
        <v>394</v>
      </c>
    </row>
    <row r="203" spans="1:9" x14ac:dyDescent="0.25">
      <c r="A203" s="25">
        <v>152</v>
      </c>
      <c r="B203" s="25" t="s">
        <v>174</v>
      </c>
      <c r="C203" s="21" t="s">
        <v>148</v>
      </c>
      <c r="D203" s="8">
        <f t="shared" si="34"/>
        <v>974</v>
      </c>
      <c r="E203" s="9">
        <v>497</v>
      </c>
      <c r="F203" s="9">
        <v>477</v>
      </c>
      <c r="G203" s="33">
        <f t="shared" si="35"/>
        <v>2155</v>
      </c>
      <c r="H203" s="9">
        <v>1103</v>
      </c>
      <c r="I203" s="9">
        <v>1052</v>
      </c>
    </row>
    <row r="204" spans="1:9" x14ac:dyDescent="0.25">
      <c r="A204" s="25">
        <v>153</v>
      </c>
      <c r="B204" s="25" t="s">
        <v>174</v>
      </c>
      <c r="C204" s="21" t="s">
        <v>146</v>
      </c>
      <c r="D204" s="8">
        <f t="shared" si="34"/>
        <v>1768</v>
      </c>
      <c r="E204" s="9">
        <v>906</v>
      </c>
      <c r="F204" s="9">
        <v>862</v>
      </c>
      <c r="G204" s="33">
        <f t="shared" si="35"/>
        <v>3790</v>
      </c>
      <c r="H204" s="9">
        <v>1942</v>
      </c>
      <c r="I204" s="9">
        <v>1848</v>
      </c>
    </row>
    <row r="205" spans="1:9" x14ac:dyDescent="0.25">
      <c r="A205" s="25">
        <v>154</v>
      </c>
      <c r="B205" s="25" t="s">
        <v>174</v>
      </c>
      <c r="C205" s="21" t="s">
        <v>151</v>
      </c>
      <c r="D205" s="8">
        <f t="shared" si="34"/>
        <v>411</v>
      </c>
      <c r="E205" s="9">
        <v>206</v>
      </c>
      <c r="F205" s="9">
        <v>205</v>
      </c>
      <c r="G205" s="33">
        <f t="shared" si="35"/>
        <v>944</v>
      </c>
      <c r="H205" s="9">
        <v>486</v>
      </c>
      <c r="I205" s="9">
        <v>458</v>
      </c>
    </row>
    <row r="206" spans="1:9" x14ac:dyDescent="0.25">
      <c r="A206" s="25">
        <v>155</v>
      </c>
      <c r="B206" s="25" t="s">
        <v>174</v>
      </c>
      <c r="C206" s="21" t="s">
        <v>225</v>
      </c>
      <c r="D206" s="8">
        <f t="shared" si="34"/>
        <v>476</v>
      </c>
      <c r="E206" s="9">
        <v>255</v>
      </c>
      <c r="F206" s="9">
        <v>221</v>
      </c>
      <c r="G206" s="33">
        <f t="shared" si="35"/>
        <v>1035</v>
      </c>
      <c r="H206" s="9">
        <v>516</v>
      </c>
      <c r="I206" s="9">
        <v>519</v>
      </c>
    </row>
    <row r="207" spans="1:9" x14ac:dyDescent="0.25">
      <c r="A207" s="25">
        <v>156</v>
      </c>
      <c r="B207" s="25" t="s">
        <v>174</v>
      </c>
      <c r="C207" s="21" t="s">
        <v>187</v>
      </c>
      <c r="D207" s="8">
        <f t="shared" si="34"/>
        <v>338</v>
      </c>
      <c r="E207" s="10">
        <v>184</v>
      </c>
      <c r="F207" s="10">
        <v>154</v>
      </c>
      <c r="G207" s="33">
        <f t="shared" si="35"/>
        <v>744</v>
      </c>
      <c r="H207" s="10">
        <v>386</v>
      </c>
      <c r="I207" s="10">
        <v>358</v>
      </c>
    </row>
    <row r="208" spans="1:9" x14ac:dyDescent="0.25">
      <c r="A208" s="25">
        <v>157</v>
      </c>
      <c r="B208" s="25" t="s">
        <v>174</v>
      </c>
      <c r="C208" s="21" t="s">
        <v>152</v>
      </c>
      <c r="D208" s="8">
        <f t="shared" si="34"/>
        <v>277</v>
      </c>
      <c r="E208" s="10">
        <v>156</v>
      </c>
      <c r="F208" s="10">
        <v>121</v>
      </c>
      <c r="G208" s="33">
        <f t="shared" si="35"/>
        <v>669</v>
      </c>
      <c r="H208" s="10">
        <v>323</v>
      </c>
      <c r="I208" s="10">
        <v>346</v>
      </c>
    </row>
    <row r="209" spans="1:9" x14ac:dyDescent="0.25">
      <c r="A209" s="25">
        <v>158</v>
      </c>
      <c r="B209" s="25" t="s">
        <v>174</v>
      </c>
      <c r="C209" s="21" t="s">
        <v>144</v>
      </c>
      <c r="D209" s="8">
        <f t="shared" si="34"/>
        <v>358</v>
      </c>
      <c r="E209" s="9">
        <v>177</v>
      </c>
      <c r="F209" s="9">
        <v>181</v>
      </c>
      <c r="G209" s="33">
        <f t="shared" si="35"/>
        <v>790</v>
      </c>
      <c r="H209" s="9">
        <v>415</v>
      </c>
      <c r="I209" s="9">
        <v>375</v>
      </c>
    </row>
    <row r="210" spans="1:9" x14ac:dyDescent="0.25">
      <c r="A210" s="25">
        <v>159</v>
      </c>
      <c r="B210" s="25" t="s">
        <v>174</v>
      </c>
      <c r="C210" s="21" t="s">
        <v>150</v>
      </c>
      <c r="D210" s="8">
        <f t="shared" si="34"/>
        <v>367</v>
      </c>
      <c r="E210" s="9">
        <v>179</v>
      </c>
      <c r="F210" s="9">
        <v>188</v>
      </c>
      <c r="G210" s="33">
        <f t="shared" si="35"/>
        <v>993</v>
      </c>
      <c r="H210" s="9">
        <v>479</v>
      </c>
      <c r="I210" s="9">
        <v>514</v>
      </c>
    </row>
    <row r="211" spans="1:9" x14ac:dyDescent="0.25">
      <c r="A211" s="25">
        <v>160</v>
      </c>
      <c r="B211" s="25" t="s">
        <v>174</v>
      </c>
      <c r="C211" s="21" t="s">
        <v>147</v>
      </c>
      <c r="D211" s="8">
        <f t="shared" si="34"/>
        <v>621</v>
      </c>
      <c r="E211" s="9">
        <v>323</v>
      </c>
      <c r="F211" s="9">
        <v>298</v>
      </c>
      <c r="G211" s="33">
        <f t="shared" si="35"/>
        <v>1551</v>
      </c>
      <c r="H211" s="9">
        <v>796</v>
      </c>
      <c r="I211" s="9">
        <v>755</v>
      </c>
    </row>
    <row r="212" spans="1:9" x14ac:dyDescent="0.25">
      <c r="A212" s="25">
        <v>161</v>
      </c>
      <c r="B212" s="25" t="s">
        <v>174</v>
      </c>
      <c r="C212" s="21" t="s">
        <v>145</v>
      </c>
      <c r="D212" s="8">
        <f t="shared" si="34"/>
        <v>83</v>
      </c>
      <c r="E212" s="9">
        <v>32</v>
      </c>
      <c r="F212" s="9">
        <v>51</v>
      </c>
      <c r="G212" s="33">
        <f t="shared" si="35"/>
        <v>210</v>
      </c>
      <c r="H212" s="9">
        <v>121</v>
      </c>
      <c r="I212" s="9">
        <v>89</v>
      </c>
    </row>
    <row r="213" spans="1:9" hidden="1" x14ac:dyDescent="0.25">
      <c r="A213" s="25"/>
      <c r="B213" s="35" t="s">
        <v>174</v>
      </c>
      <c r="C213" s="3" t="s">
        <v>149</v>
      </c>
      <c r="D213" s="11" t="s">
        <v>8</v>
      </c>
      <c r="E213" s="11" t="s">
        <v>8</v>
      </c>
      <c r="F213" s="11" t="s">
        <v>8</v>
      </c>
      <c r="G213" s="34" t="s">
        <v>8</v>
      </c>
      <c r="H213" s="11" t="s">
        <v>8</v>
      </c>
      <c r="I213" s="11" t="s">
        <v>8</v>
      </c>
    </row>
    <row r="214" spans="1:9" x14ac:dyDescent="0.25">
      <c r="A214" s="25"/>
      <c r="C214" s="36"/>
      <c r="D214" s="8"/>
      <c r="E214" s="9"/>
      <c r="F214" s="9"/>
      <c r="G214" s="33"/>
      <c r="H214" s="9"/>
      <c r="I214" s="9"/>
    </row>
    <row r="215" spans="1:9" x14ac:dyDescent="0.25">
      <c r="A215" s="5"/>
      <c r="B215" s="30" t="s">
        <v>153</v>
      </c>
      <c r="C215" s="37"/>
      <c r="D215" s="8">
        <f>SUM(E215:F215)</f>
        <v>4357</v>
      </c>
      <c r="E215" s="8">
        <f>SUM(E216:E225)</f>
        <v>2264</v>
      </c>
      <c r="F215" s="8">
        <f>SUM(F216:F225)</f>
        <v>2093</v>
      </c>
      <c r="G215" s="33">
        <f>SUM(H215:I215)</f>
        <v>10902</v>
      </c>
      <c r="H215" s="8">
        <f>SUM(H216:H225)</f>
        <v>5561</v>
      </c>
      <c r="I215" s="8">
        <f>SUM(I216:I225)</f>
        <v>5341</v>
      </c>
    </row>
    <row r="216" spans="1:9" x14ac:dyDescent="0.25">
      <c r="A216" s="25">
        <v>162</v>
      </c>
      <c r="B216" s="25" t="s">
        <v>182</v>
      </c>
      <c r="C216" s="21" t="s">
        <v>156</v>
      </c>
      <c r="D216" s="8">
        <f t="shared" ref="D216:D224" si="36">SUM(E216:F216)</f>
        <v>512</v>
      </c>
      <c r="E216" s="9">
        <v>256</v>
      </c>
      <c r="F216" s="9">
        <v>256</v>
      </c>
      <c r="G216" s="33">
        <f t="shared" ref="G216:G224" si="37">SUM(H216:I216)</f>
        <v>1550</v>
      </c>
      <c r="H216" s="9">
        <v>766</v>
      </c>
      <c r="I216" s="9">
        <v>784</v>
      </c>
    </row>
    <row r="217" spans="1:9" x14ac:dyDescent="0.25">
      <c r="A217" s="25">
        <v>163</v>
      </c>
      <c r="B217" s="25" t="s">
        <v>182</v>
      </c>
      <c r="C217" s="21" t="s">
        <v>226</v>
      </c>
      <c r="D217" s="8">
        <f t="shared" si="36"/>
        <v>476</v>
      </c>
      <c r="E217" s="9">
        <v>227</v>
      </c>
      <c r="F217" s="9">
        <v>249</v>
      </c>
      <c r="G217" s="33">
        <f t="shared" si="37"/>
        <v>958</v>
      </c>
      <c r="H217" s="9">
        <v>493</v>
      </c>
      <c r="I217" s="9">
        <v>465</v>
      </c>
    </row>
    <row r="218" spans="1:9" x14ac:dyDescent="0.25">
      <c r="A218" s="25">
        <v>164</v>
      </c>
      <c r="B218" s="25" t="s">
        <v>182</v>
      </c>
      <c r="C218" s="21" t="s">
        <v>158</v>
      </c>
      <c r="D218" s="8">
        <f t="shared" si="36"/>
        <v>657</v>
      </c>
      <c r="E218" s="9">
        <v>351</v>
      </c>
      <c r="F218" s="9">
        <v>306</v>
      </c>
      <c r="G218" s="33">
        <f t="shared" si="37"/>
        <v>1357</v>
      </c>
      <c r="H218" s="9">
        <v>693</v>
      </c>
      <c r="I218" s="9">
        <v>664</v>
      </c>
    </row>
    <row r="219" spans="1:9" x14ac:dyDescent="0.25">
      <c r="A219" s="25">
        <v>165</v>
      </c>
      <c r="B219" s="25" t="s">
        <v>182</v>
      </c>
      <c r="C219" s="21" t="s">
        <v>227</v>
      </c>
      <c r="D219" s="8">
        <f t="shared" si="36"/>
        <v>305</v>
      </c>
      <c r="E219" s="10">
        <v>161</v>
      </c>
      <c r="F219" s="10">
        <v>144</v>
      </c>
      <c r="G219" s="33">
        <f t="shared" si="37"/>
        <v>722</v>
      </c>
      <c r="H219" s="10">
        <v>347</v>
      </c>
      <c r="I219" s="10">
        <v>375</v>
      </c>
    </row>
    <row r="220" spans="1:9" x14ac:dyDescent="0.25">
      <c r="A220" s="25">
        <v>166</v>
      </c>
      <c r="B220" s="25" t="s">
        <v>182</v>
      </c>
      <c r="C220" s="21" t="s">
        <v>157</v>
      </c>
      <c r="D220" s="8">
        <f t="shared" si="36"/>
        <v>184</v>
      </c>
      <c r="E220" s="9">
        <v>93</v>
      </c>
      <c r="F220" s="9">
        <v>91</v>
      </c>
      <c r="G220" s="33">
        <f t="shared" si="37"/>
        <v>417</v>
      </c>
      <c r="H220" s="9">
        <v>204</v>
      </c>
      <c r="I220" s="9">
        <v>213</v>
      </c>
    </row>
    <row r="221" spans="1:9" x14ac:dyDescent="0.25">
      <c r="A221" s="25">
        <v>167</v>
      </c>
      <c r="B221" s="25" t="s">
        <v>182</v>
      </c>
      <c r="C221" s="21" t="s">
        <v>154</v>
      </c>
      <c r="D221" s="8">
        <f t="shared" si="36"/>
        <v>415</v>
      </c>
      <c r="E221" s="9">
        <v>232</v>
      </c>
      <c r="F221" s="9">
        <v>183</v>
      </c>
      <c r="G221" s="33">
        <f t="shared" si="37"/>
        <v>1270</v>
      </c>
      <c r="H221" s="9">
        <v>656</v>
      </c>
      <c r="I221" s="9">
        <v>614</v>
      </c>
    </row>
    <row r="222" spans="1:9" x14ac:dyDescent="0.25">
      <c r="A222" s="25">
        <v>168</v>
      </c>
      <c r="B222" s="25" t="s">
        <v>182</v>
      </c>
      <c r="C222" s="21" t="s">
        <v>150</v>
      </c>
      <c r="D222" s="8">
        <f t="shared" si="36"/>
        <v>452</v>
      </c>
      <c r="E222" s="9">
        <v>234</v>
      </c>
      <c r="F222" s="9">
        <v>218</v>
      </c>
      <c r="G222" s="33">
        <f t="shared" si="37"/>
        <v>1119</v>
      </c>
      <c r="H222" s="9">
        <v>596</v>
      </c>
      <c r="I222" s="9">
        <v>523</v>
      </c>
    </row>
    <row r="223" spans="1:9" x14ac:dyDescent="0.25">
      <c r="A223" s="25">
        <v>169</v>
      </c>
      <c r="B223" s="25" t="s">
        <v>182</v>
      </c>
      <c r="C223" s="21" t="s">
        <v>130</v>
      </c>
      <c r="D223" s="8">
        <f t="shared" si="36"/>
        <v>263</v>
      </c>
      <c r="E223" s="9">
        <v>134</v>
      </c>
      <c r="F223" s="9">
        <v>129</v>
      </c>
      <c r="G223" s="33">
        <f t="shared" si="37"/>
        <v>687</v>
      </c>
      <c r="H223" s="9">
        <v>353</v>
      </c>
      <c r="I223" s="9">
        <v>334</v>
      </c>
    </row>
    <row r="224" spans="1:9" x14ac:dyDescent="0.25">
      <c r="A224" s="25">
        <v>170</v>
      </c>
      <c r="B224" s="25" t="s">
        <v>182</v>
      </c>
      <c r="C224" s="21" t="s">
        <v>155</v>
      </c>
      <c r="D224" s="8">
        <f t="shared" si="36"/>
        <v>1093</v>
      </c>
      <c r="E224" s="9">
        <v>576</v>
      </c>
      <c r="F224" s="9">
        <v>517</v>
      </c>
      <c r="G224" s="33">
        <f t="shared" si="37"/>
        <v>2822</v>
      </c>
      <c r="H224" s="9">
        <v>1453</v>
      </c>
      <c r="I224" s="9">
        <v>1369</v>
      </c>
    </row>
    <row r="225" spans="1:9" hidden="1" x14ac:dyDescent="0.25">
      <c r="A225" s="25"/>
      <c r="B225" s="35" t="s">
        <v>182</v>
      </c>
      <c r="C225" s="3" t="s">
        <v>233</v>
      </c>
      <c r="D225" s="11" t="s">
        <v>8</v>
      </c>
      <c r="E225" s="11" t="s">
        <v>8</v>
      </c>
      <c r="F225" s="11" t="s">
        <v>8</v>
      </c>
      <c r="G225" s="34" t="s">
        <v>8</v>
      </c>
      <c r="H225" s="11" t="s">
        <v>8</v>
      </c>
      <c r="I225" s="11" t="s">
        <v>8</v>
      </c>
    </row>
    <row r="226" spans="1:9" x14ac:dyDescent="0.25">
      <c r="A226" s="25"/>
      <c r="D226" s="8"/>
      <c r="E226" s="9"/>
      <c r="F226" s="9"/>
      <c r="G226" s="33"/>
      <c r="H226" s="9"/>
      <c r="I226" s="9"/>
    </row>
    <row r="227" spans="1:9" x14ac:dyDescent="0.25">
      <c r="A227" s="5"/>
      <c r="B227" s="30" t="s">
        <v>159</v>
      </c>
      <c r="C227" s="37"/>
      <c r="D227" s="8">
        <f>SUM(E227:F227)</f>
        <v>6129</v>
      </c>
      <c r="E227" s="8">
        <f>SUM(E228:E236)</f>
        <v>3181</v>
      </c>
      <c r="F227" s="8">
        <f>SUM(F228:F236)</f>
        <v>2948</v>
      </c>
      <c r="G227" s="33">
        <f>SUM(H227:I227)</f>
        <v>16078</v>
      </c>
      <c r="H227" s="8">
        <f>SUM(H228:H236)</f>
        <v>8142</v>
      </c>
      <c r="I227" s="8">
        <f>SUM(I228:I236)</f>
        <v>7936</v>
      </c>
    </row>
    <row r="228" spans="1:9" x14ac:dyDescent="0.25">
      <c r="A228" s="25">
        <v>171</v>
      </c>
      <c r="B228" s="25" t="s">
        <v>183</v>
      </c>
      <c r="C228" s="21" t="s">
        <v>228</v>
      </c>
      <c r="D228" s="8">
        <f t="shared" ref="D228:D236" si="38">SUM(E228:F228)</f>
        <v>486</v>
      </c>
      <c r="E228" s="10">
        <v>254</v>
      </c>
      <c r="F228" s="10">
        <v>232</v>
      </c>
      <c r="G228" s="33">
        <f t="shared" ref="G228:G236" si="39">SUM(H228:I228)</f>
        <v>1397</v>
      </c>
      <c r="H228" s="10">
        <v>694</v>
      </c>
      <c r="I228" s="10">
        <v>703</v>
      </c>
    </row>
    <row r="229" spans="1:9" x14ac:dyDescent="0.25">
      <c r="A229" s="25">
        <v>172</v>
      </c>
      <c r="B229" s="25" t="s">
        <v>183</v>
      </c>
      <c r="C229" s="21" t="s">
        <v>164</v>
      </c>
      <c r="D229" s="8">
        <f t="shared" si="38"/>
        <v>440</v>
      </c>
      <c r="E229" s="9">
        <v>217</v>
      </c>
      <c r="F229" s="9">
        <v>223</v>
      </c>
      <c r="G229" s="33">
        <f t="shared" si="39"/>
        <v>1089</v>
      </c>
      <c r="H229" s="9">
        <v>545</v>
      </c>
      <c r="I229" s="9">
        <v>544</v>
      </c>
    </row>
    <row r="230" spans="1:9" x14ac:dyDescent="0.25">
      <c r="A230" s="25">
        <v>173</v>
      </c>
      <c r="B230" s="25" t="s">
        <v>183</v>
      </c>
      <c r="C230" s="21" t="s">
        <v>162</v>
      </c>
      <c r="D230" s="8">
        <f t="shared" si="38"/>
        <v>776</v>
      </c>
      <c r="E230" s="9">
        <v>424</v>
      </c>
      <c r="F230" s="9">
        <v>352</v>
      </c>
      <c r="G230" s="33">
        <f t="shared" si="39"/>
        <v>2362</v>
      </c>
      <c r="H230" s="9">
        <v>1201</v>
      </c>
      <c r="I230" s="9">
        <v>1161</v>
      </c>
    </row>
    <row r="231" spans="1:9" x14ac:dyDescent="0.25">
      <c r="A231" s="25">
        <v>174</v>
      </c>
      <c r="B231" s="25" t="s">
        <v>183</v>
      </c>
      <c r="C231" s="21" t="s">
        <v>229</v>
      </c>
      <c r="D231" s="8">
        <f t="shared" si="38"/>
        <v>421</v>
      </c>
      <c r="E231" s="9">
        <v>229</v>
      </c>
      <c r="F231" s="9">
        <v>192</v>
      </c>
      <c r="G231" s="33">
        <f t="shared" si="39"/>
        <v>936</v>
      </c>
      <c r="H231" s="9">
        <v>472</v>
      </c>
      <c r="I231" s="9">
        <v>464</v>
      </c>
    </row>
    <row r="232" spans="1:9" x14ac:dyDescent="0.25">
      <c r="A232" s="25">
        <v>175</v>
      </c>
      <c r="B232" s="25" t="s">
        <v>183</v>
      </c>
      <c r="C232" s="21" t="s">
        <v>160</v>
      </c>
      <c r="D232" s="8">
        <f t="shared" si="38"/>
        <v>681</v>
      </c>
      <c r="E232" s="9">
        <v>335</v>
      </c>
      <c r="F232" s="9">
        <v>346</v>
      </c>
      <c r="G232" s="33">
        <f t="shared" si="39"/>
        <v>1401</v>
      </c>
      <c r="H232" s="9">
        <v>737</v>
      </c>
      <c r="I232" s="9">
        <v>664</v>
      </c>
    </row>
    <row r="233" spans="1:9" x14ac:dyDescent="0.25">
      <c r="A233" s="25">
        <v>176</v>
      </c>
      <c r="B233" s="25" t="s">
        <v>183</v>
      </c>
      <c r="C233" s="21" t="s">
        <v>161</v>
      </c>
      <c r="D233" s="8">
        <f t="shared" si="38"/>
        <v>313</v>
      </c>
      <c r="E233" s="9">
        <v>166</v>
      </c>
      <c r="F233" s="9">
        <v>147</v>
      </c>
      <c r="G233" s="33">
        <f t="shared" si="39"/>
        <v>825</v>
      </c>
      <c r="H233" s="9">
        <v>418</v>
      </c>
      <c r="I233" s="9">
        <v>407</v>
      </c>
    </row>
    <row r="234" spans="1:9" x14ac:dyDescent="0.25">
      <c r="A234" s="25">
        <v>177</v>
      </c>
      <c r="B234" s="25" t="s">
        <v>183</v>
      </c>
      <c r="C234" s="21" t="s">
        <v>163</v>
      </c>
      <c r="D234" s="8">
        <f t="shared" si="38"/>
        <v>340</v>
      </c>
      <c r="E234" s="9">
        <v>187</v>
      </c>
      <c r="F234" s="9">
        <v>153</v>
      </c>
      <c r="G234" s="33">
        <f t="shared" si="39"/>
        <v>1034</v>
      </c>
      <c r="H234" s="9">
        <v>531</v>
      </c>
      <c r="I234" s="9">
        <v>503</v>
      </c>
    </row>
    <row r="235" spans="1:9" x14ac:dyDescent="0.25">
      <c r="A235" s="25">
        <v>178</v>
      </c>
      <c r="B235" s="25" t="s">
        <v>183</v>
      </c>
      <c r="C235" s="21" t="s">
        <v>117</v>
      </c>
      <c r="D235" s="8">
        <f t="shared" si="38"/>
        <v>2314</v>
      </c>
      <c r="E235" s="9">
        <v>1188</v>
      </c>
      <c r="F235" s="9">
        <v>1126</v>
      </c>
      <c r="G235" s="33">
        <f t="shared" si="39"/>
        <v>5896</v>
      </c>
      <c r="H235" s="9">
        <v>2944</v>
      </c>
      <c r="I235" s="9">
        <v>2952</v>
      </c>
    </row>
    <row r="236" spans="1:9" x14ac:dyDescent="0.25">
      <c r="A236" s="25">
        <v>179</v>
      </c>
      <c r="B236" s="25" t="s">
        <v>183</v>
      </c>
      <c r="C236" s="21" t="s">
        <v>63</v>
      </c>
      <c r="D236" s="8">
        <f t="shared" si="38"/>
        <v>358</v>
      </c>
      <c r="E236" s="9">
        <v>181</v>
      </c>
      <c r="F236" s="9">
        <v>177</v>
      </c>
      <c r="G236" s="33">
        <f t="shared" si="39"/>
        <v>1138</v>
      </c>
      <c r="H236" s="9">
        <v>600</v>
      </c>
      <c r="I236" s="9">
        <v>538</v>
      </c>
    </row>
    <row r="237" spans="1:9" x14ac:dyDescent="0.25">
      <c r="A237" s="25"/>
      <c r="D237" s="8"/>
      <c r="E237" s="9"/>
      <c r="F237" s="9"/>
      <c r="G237" s="33"/>
      <c r="H237" s="9"/>
      <c r="I237" s="9"/>
    </row>
    <row r="238" spans="1:9" x14ac:dyDescent="0.25">
      <c r="A238" s="5"/>
      <c r="B238" s="30" t="s">
        <v>165</v>
      </c>
      <c r="C238" s="4"/>
      <c r="D238" s="8">
        <f>SUM(E238:F238)</f>
        <v>3955</v>
      </c>
      <c r="E238" s="8">
        <f>SUM(E239)</f>
        <v>1986</v>
      </c>
      <c r="F238" s="8">
        <f>SUM(F239)</f>
        <v>1969</v>
      </c>
      <c r="G238" s="33">
        <f>SUM(H238:I238)</f>
        <v>9826</v>
      </c>
      <c r="H238" s="8">
        <f>SUM(H239)</f>
        <v>4991</v>
      </c>
      <c r="I238" s="8">
        <f>SUM(I239)</f>
        <v>4835</v>
      </c>
    </row>
    <row r="239" spans="1:9" x14ac:dyDescent="0.25">
      <c r="A239" s="25">
        <v>180</v>
      </c>
      <c r="B239" s="25" t="s">
        <v>184</v>
      </c>
      <c r="C239" s="21" t="s">
        <v>166</v>
      </c>
      <c r="D239" s="8">
        <v>3955</v>
      </c>
      <c r="E239" s="9">
        <v>1986</v>
      </c>
      <c r="F239" s="9">
        <v>1969</v>
      </c>
      <c r="G239" s="33">
        <v>9826</v>
      </c>
      <c r="H239" s="9">
        <v>4991</v>
      </c>
      <c r="I239" s="9">
        <v>4835</v>
      </c>
    </row>
    <row r="240" spans="1:9" x14ac:dyDescent="0.25">
      <c r="A240" s="25"/>
      <c r="D240" s="8"/>
      <c r="E240" s="9"/>
      <c r="F240" s="9"/>
      <c r="G240" s="33"/>
      <c r="H240" s="9"/>
      <c r="I240" s="9"/>
    </row>
    <row r="241" spans="1:9" x14ac:dyDescent="0.25">
      <c r="A241" s="5"/>
      <c r="B241" s="30" t="s">
        <v>167</v>
      </c>
      <c r="C241" s="4"/>
      <c r="D241" s="8">
        <f>SUM(E241:F241)</f>
        <v>8729</v>
      </c>
      <c r="E241" s="8">
        <f>SUM(E242:E247)</f>
        <v>4480</v>
      </c>
      <c r="F241" s="8">
        <f>SUM(F242:F247)</f>
        <v>4249</v>
      </c>
      <c r="G241" s="33">
        <f>SUM(H241:I241)</f>
        <v>26605</v>
      </c>
      <c r="H241" s="8">
        <f>SUM(H242:H247)</f>
        <v>13511</v>
      </c>
      <c r="I241" s="8">
        <f>SUM(I242:I247)</f>
        <v>13094</v>
      </c>
    </row>
    <row r="242" spans="1:9" x14ac:dyDescent="0.25">
      <c r="A242" s="25">
        <v>181</v>
      </c>
      <c r="B242" s="25" t="s">
        <v>171</v>
      </c>
      <c r="C242" s="21" t="s">
        <v>42</v>
      </c>
      <c r="D242" s="8">
        <f t="shared" ref="D242:D247" si="40">SUM(E242:F242)</f>
        <v>1392</v>
      </c>
      <c r="E242" s="9">
        <v>710</v>
      </c>
      <c r="F242" s="9">
        <v>682</v>
      </c>
      <c r="G242" s="33">
        <f t="shared" ref="G242:G247" si="41">SUM(H242:I242)</f>
        <v>4378</v>
      </c>
      <c r="H242" s="9">
        <v>2199</v>
      </c>
      <c r="I242" s="9">
        <v>2179</v>
      </c>
    </row>
    <row r="243" spans="1:9" x14ac:dyDescent="0.25">
      <c r="A243" s="25">
        <v>182</v>
      </c>
      <c r="B243" s="25" t="s">
        <v>171</v>
      </c>
      <c r="C243" s="21" t="s">
        <v>151</v>
      </c>
      <c r="D243" s="8">
        <f t="shared" si="40"/>
        <v>4270</v>
      </c>
      <c r="E243" s="9">
        <v>2212</v>
      </c>
      <c r="F243" s="9">
        <v>2058</v>
      </c>
      <c r="G243" s="33">
        <f t="shared" si="41"/>
        <v>12719</v>
      </c>
      <c r="H243" s="9">
        <v>6409</v>
      </c>
      <c r="I243" s="9">
        <v>6310</v>
      </c>
    </row>
    <row r="244" spans="1:9" x14ac:dyDescent="0.25">
      <c r="A244" s="25">
        <v>183</v>
      </c>
      <c r="B244" s="25" t="s">
        <v>171</v>
      </c>
      <c r="C244" s="21" t="s">
        <v>169</v>
      </c>
      <c r="D244" s="8">
        <f t="shared" si="40"/>
        <v>759</v>
      </c>
      <c r="E244" s="9">
        <v>379</v>
      </c>
      <c r="F244" s="9">
        <v>380</v>
      </c>
      <c r="G244" s="33">
        <f t="shared" si="41"/>
        <v>2882</v>
      </c>
      <c r="H244" s="9">
        <v>1519</v>
      </c>
      <c r="I244" s="9">
        <v>1363</v>
      </c>
    </row>
    <row r="245" spans="1:9" x14ac:dyDescent="0.25">
      <c r="A245" s="25">
        <v>184</v>
      </c>
      <c r="B245" s="25" t="s">
        <v>171</v>
      </c>
      <c r="C245" s="21" t="s">
        <v>168</v>
      </c>
      <c r="D245" s="8">
        <f t="shared" si="40"/>
        <v>1032</v>
      </c>
      <c r="E245" s="9">
        <v>518</v>
      </c>
      <c r="F245" s="9">
        <v>514</v>
      </c>
      <c r="G245" s="33">
        <f t="shared" si="41"/>
        <v>2844</v>
      </c>
      <c r="H245" s="9">
        <v>1465</v>
      </c>
      <c r="I245" s="9">
        <v>1379</v>
      </c>
    </row>
    <row r="246" spans="1:9" x14ac:dyDescent="0.25">
      <c r="A246" s="25">
        <v>185</v>
      </c>
      <c r="B246" s="25" t="s">
        <v>171</v>
      </c>
      <c r="C246" s="21" t="s">
        <v>230</v>
      </c>
      <c r="D246" s="8">
        <f t="shared" si="40"/>
        <v>514</v>
      </c>
      <c r="E246" s="9">
        <v>247</v>
      </c>
      <c r="F246" s="9">
        <v>267</v>
      </c>
      <c r="G246" s="33">
        <f t="shared" si="41"/>
        <v>1433</v>
      </c>
      <c r="H246" s="9">
        <v>725</v>
      </c>
      <c r="I246" s="9">
        <v>708</v>
      </c>
    </row>
    <row r="247" spans="1:9" x14ac:dyDescent="0.25">
      <c r="A247" s="48">
        <v>186</v>
      </c>
      <c r="B247" s="48" t="s">
        <v>171</v>
      </c>
      <c r="C247" s="24" t="s">
        <v>70</v>
      </c>
      <c r="D247" s="49">
        <f t="shared" si="40"/>
        <v>762</v>
      </c>
      <c r="E247" s="50">
        <v>414</v>
      </c>
      <c r="F247" s="50">
        <v>348</v>
      </c>
      <c r="G247" s="51">
        <f t="shared" si="41"/>
        <v>2349</v>
      </c>
      <c r="H247" s="50">
        <v>1194</v>
      </c>
      <c r="I247" s="50">
        <v>1155</v>
      </c>
    </row>
    <row r="248" spans="1:9" hidden="1" x14ac:dyDescent="0.25">
      <c r="D248" s="12"/>
      <c r="E248" s="12"/>
      <c r="F248" s="12"/>
      <c r="G248" s="38"/>
      <c r="H248" s="12"/>
      <c r="I248" s="12"/>
    </row>
    <row r="249" spans="1:9" hidden="1" x14ac:dyDescent="0.25">
      <c r="A249" s="24"/>
      <c r="B249" s="39"/>
      <c r="C249" s="40" t="s">
        <v>231</v>
      </c>
      <c r="D249" s="14" t="s">
        <v>8</v>
      </c>
      <c r="E249" s="14" t="s">
        <v>8</v>
      </c>
      <c r="F249" s="14" t="s">
        <v>8</v>
      </c>
      <c r="G249" s="41" t="s">
        <v>8</v>
      </c>
      <c r="H249" s="14" t="s">
        <v>8</v>
      </c>
      <c r="I249" s="14" t="s">
        <v>8</v>
      </c>
    </row>
    <row r="250" spans="1:9" x14ac:dyDescent="0.25">
      <c r="A250" s="26" t="s">
        <v>239</v>
      </c>
      <c r="D250" s="12"/>
      <c r="E250" s="12"/>
      <c r="F250" s="12"/>
      <c r="G250" s="12"/>
      <c r="H250" s="12"/>
      <c r="I250" s="12"/>
    </row>
    <row r="251" spans="1:9" x14ac:dyDescent="0.25">
      <c r="A251" s="27" t="s">
        <v>234</v>
      </c>
      <c r="B251" s="43"/>
      <c r="C251" s="42"/>
      <c r="D251" s="42"/>
      <c r="E251" s="42"/>
      <c r="F251" s="42"/>
      <c r="G251" s="42"/>
      <c r="H251" s="42"/>
      <c r="I251" s="42"/>
    </row>
    <row r="252" spans="1:9" x14ac:dyDescent="0.25">
      <c r="A252" s="59" t="s">
        <v>170</v>
      </c>
      <c r="B252" s="44"/>
      <c r="C252" s="45"/>
      <c r="D252" s="45"/>
      <c r="E252" s="46"/>
      <c r="F252" s="46"/>
      <c r="G252" s="45"/>
      <c r="H252" s="46"/>
      <c r="I252" s="46"/>
    </row>
    <row r="253" spans="1:9" ht="26.25" customHeight="1" x14ac:dyDescent="0.25">
      <c r="A253" s="52" t="s">
        <v>235</v>
      </c>
      <c r="B253" s="52"/>
      <c r="C253" s="52"/>
      <c r="D253" s="52"/>
      <c r="E253" s="52"/>
      <c r="F253" s="52"/>
      <c r="G253" s="52"/>
      <c r="H253" s="52"/>
      <c r="I253" s="52"/>
    </row>
    <row r="254" spans="1:9" x14ac:dyDescent="0.25">
      <c r="A254" s="16"/>
      <c r="B254" s="17"/>
      <c r="C254" s="18"/>
      <c r="D254" s="18"/>
      <c r="E254" s="18"/>
      <c r="F254" s="18"/>
      <c r="G254" s="18"/>
      <c r="H254" s="18"/>
      <c r="I254" s="18"/>
    </row>
    <row r="255" spans="1:9" x14ac:dyDescent="0.25">
      <c r="A255" s="16"/>
      <c r="B255" s="15"/>
      <c r="C255" s="19"/>
      <c r="D255" s="1"/>
      <c r="E255" s="1"/>
      <c r="F255" s="1"/>
      <c r="G255" s="1"/>
      <c r="H255" s="1"/>
      <c r="I255" s="1"/>
    </row>
    <row r="256" spans="1:9" x14ac:dyDescent="0.25">
      <c r="A256" s="16"/>
      <c r="B256" s="15"/>
      <c r="C256" s="19"/>
      <c r="D256" s="1"/>
      <c r="E256" s="1"/>
      <c r="F256" s="1"/>
      <c r="G256" s="1"/>
      <c r="H256" s="1"/>
      <c r="I256" s="1"/>
    </row>
    <row r="257" spans="1:9" x14ac:dyDescent="0.25">
      <c r="A257" s="16"/>
      <c r="B257" s="17"/>
      <c r="C257" s="18"/>
      <c r="D257" s="18"/>
      <c r="E257" s="18"/>
      <c r="F257" s="18"/>
      <c r="G257" s="18"/>
      <c r="H257" s="18"/>
      <c r="I257" s="18"/>
    </row>
    <row r="258" spans="1:9" x14ac:dyDescent="0.25">
      <c r="A258" s="16"/>
      <c r="B258" s="17"/>
      <c r="C258" s="18"/>
      <c r="D258" s="18"/>
      <c r="E258" s="18"/>
      <c r="F258" s="18"/>
      <c r="G258" s="18"/>
      <c r="H258" s="18"/>
      <c r="I258" s="18"/>
    </row>
    <row r="259" spans="1:9" x14ac:dyDescent="0.25">
      <c r="A259" s="16"/>
      <c r="B259" s="17"/>
      <c r="C259" s="18"/>
      <c r="D259" s="18"/>
      <c r="E259" s="18"/>
      <c r="F259" s="18"/>
      <c r="G259" s="18"/>
      <c r="H259" s="18"/>
      <c r="I259" s="18"/>
    </row>
    <row r="260" spans="1:9" x14ac:dyDescent="0.25">
      <c r="A260" s="16"/>
      <c r="B260" s="20"/>
      <c r="C260" s="18"/>
      <c r="D260" s="18"/>
      <c r="E260" s="18"/>
      <c r="F260" s="18"/>
      <c r="G260" s="18"/>
      <c r="H260" s="18"/>
      <c r="I260" s="18"/>
    </row>
  </sheetData>
  <mergeCells count="6">
    <mergeCell ref="A253:I253"/>
    <mergeCell ref="A1:I1"/>
    <mergeCell ref="B3:B4"/>
    <mergeCell ref="C3:C4"/>
    <mergeCell ref="D3:F3"/>
    <mergeCell ref="G3:I3"/>
  </mergeCells>
  <pageMargins left="0.7" right="0.7" top="0.75" bottom="0.75" header="0.3" footer="0.3"/>
  <pageSetup scale="67" orientation="portrait" r:id="rId1"/>
  <rowBreaks count="3" manualBreakCount="3">
    <brk id="64" max="10" man="1"/>
    <brk id="129" max="10" man="1"/>
    <brk id="199" max="10" man="1"/>
  </rowBreaks>
  <ignoredErrors>
    <ignoredError sqref="G7 G17 G13 G3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3.5</vt:lpstr>
      <vt:lpstr>'3.5'!Print_Area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2026-04-28T06:15:09Z</cp:lastPrinted>
  <dcterms:created xsi:type="dcterms:W3CDTF">2019-07-22T06:02:33Z</dcterms:created>
  <dcterms:modified xsi:type="dcterms:W3CDTF">2026-04-28T06:18:56Z</dcterms:modified>
</cp:coreProperties>
</file>