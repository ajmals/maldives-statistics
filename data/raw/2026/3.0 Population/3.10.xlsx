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.Population\"/>
    </mc:Choice>
  </mc:AlternateContent>
  <xr:revisionPtr revIDLastSave="0" documentId="13_ncr:1_{840A7EBD-9DE5-4554-82BC-DA090825E94F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0" sheetId="9" r:id="rId1"/>
  </sheets>
  <definedNames>
    <definedName name="_xlnm.Print_Area" localSheetId="0">'3.10'!$A$1:$L$144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8" i="9" l="1"/>
  <c r="C138" i="9"/>
  <c r="H137" i="9"/>
  <c r="C137" i="9"/>
  <c r="H136" i="9"/>
  <c r="C136" i="9"/>
  <c r="H135" i="9"/>
  <c r="C135" i="9"/>
  <c r="H134" i="9"/>
  <c r="C134" i="9"/>
  <c r="H133" i="9"/>
  <c r="C133" i="9"/>
  <c r="H132" i="9"/>
  <c r="C132" i="9"/>
  <c r="H131" i="9"/>
  <c r="C131" i="9"/>
  <c r="H130" i="9"/>
  <c r="C130" i="9"/>
  <c r="H129" i="9"/>
  <c r="C129" i="9"/>
  <c r="H128" i="9"/>
  <c r="C128" i="9"/>
  <c r="H127" i="9"/>
  <c r="C127" i="9"/>
  <c r="H126" i="9"/>
  <c r="C126" i="9"/>
  <c r="H125" i="9"/>
  <c r="C125" i="9"/>
  <c r="H124" i="9"/>
  <c r="C124" i="9"/>
  <c r="H123" i="9"/>
  <c r="C123" i="9"/>
  <c r="H122" i="9"/>
  <c r="C122" i="9"/>
  <c r="H121" i="9"/>
  <c r="C121" i="9"/>
  <c r="H120" i="9"/>
  <c r="C120" i="9"/>
  <c r="H119" i="9"/>
  <c r="C119" i="9"/>
  <c r="H118" i="9"/>
  <c r="C118" i="9"/>
  <c r="K117" i="9"/>
  <c r="K115" i="9" s="1"/>
  <c r="J117" i="9"/>
  <c r="J115" i="9" s="1"/>
  <c r="I117" i="9"/>
  <c r="I115" i="9" s="1"/>
  <c r="F117" i="9"/>
  <c r="F115" i="9" s="1"/>
  <c r="E117" i="9"/>
  <c r="E115" i="9" s="1"/>
  <c r="D117" i="9"/>
  <c r="D115" i="9" s="1"/>
  <c r="H116" i="9"/>
  <c r="C116" i="9"/>
  <c r="H102" i="9"/>
  <c r="C102" i="9"/>
  <c r="H101" i="9"/>
  <c r="C101" i="9"/>
  <c r="H100" i="9"/>
  <c r="C100" i="9"/>
  <c r="H99" i="9"/>
  <c r="C99" i="9"/>
  <c r="H98" i="9"/>
  <c r="C98" i="9"/>
  <c r="H97" i="9"/>
  <c r="C97" i="9"/>
  <c r="H96" i="9"/>
  <c r="C96" i="9"/>
  <c r="H95" i="9"/>
  <c r="C95" i="9"/>
  <c r="H94" i="9"/>
  <c r="C94" i="9"/>
  <c r="H93" i="9"/>
  <c r="C93" i="9"/>
  <c r="H92" i="9"/>
  <c r="C92" i="9"/>
  <c r="H91" i="9"/>
  <c r="C91" i="9"/>
  <c r="H90" i="9"/>
  <c r="C90" i="9"/>
  <c r="H89" i="9"/>
  <c r="C89" i="9"/>
  <c r="H88" i="9"/>
  <c r="C88" i="9"/>
  <c r="H87" i="9"/>
  <c r="C87" i="9"/>
  <c r="H86" i="9"/>
  <c r="C86" i="9"/>
  <c r="H85" i="9"/>
  <c r="C85" i="9"/>
  <c r="H84" i="9"/>
  <c r="C84" i="9"/>
  <c r="H83" i="9"/>
  <c r="C83" i="9"/>
  <c r="H82" i="9"/>
  <c r="C82" i="9"/>
  <c r="K81" i="9"/>
  <c r="K79" i="9" s="1"/>
  <c r="J81" i="9"/>
  <c r="J79" i="9" s="1"/>
  <c r="I81" i="9"/>
  <c r="I79" i="9" s="1"/>
  <c r="F81" i="9"/>
  <c r="F79" i="9" s="1"/>
  <c r="E81" i="9"/>
  <c r="E79" i="9" s="1"/>
  <c r="D81" i="9"/>
  <c r="D79" i="9" s="1"/>
  <c r="H80" i="9"/>
  <c r="C80" i="9"/>
  <c r="H66" i="9"/>
  <c r="C66" i="9"/>
  <c r="H65" i="9"/>
  <c r="C65" i="9"/>
  <c r="H64" i="9"/>
  <c r="C64" i="9"/>
  <c r="H63" i="9"/>
  <c r="C63" i="9"/>
  <c r="H62" i="9"/>
  <c r="C62" i="9"/>
  <c r="H61" i="9"/>
  <c r="C61" i="9"/>
  <c r="H60" i="9"/>
  <c r="C60" i="9"/>
  <c r="H59" i="9"/>
  <c r="C59" i="9"/>
  <c r="H58" i="9"/>
  <c r="C58" i="9"/>
  <c r="H57" i="9"/>
  <c r="C57" i="9"/>
  <c r="H56" i="9"/>
  <c r="C56" i="9"/>
  <c r="H55" i="9"/>
  <c r="C55" i="9"/>
  <c r="H54" i="9"/>
  <c r="C54" i="9"/>
  <c r="H53" i="9"/>
  <c r="C53" i="9"/>
  <c r="H52" i="9"/>
  <c r="C52" i="9"/>
  <c r="H51" i="9"/>
  <c r="C51" i="9"/>
  <c r="H50" i="9"/>
  <c r="C50" i="9"/>
  <c r="H49" i="9"/>
  <c r="C49" i="9"/>
  <c r="H48" i="9"/>
  <c r="C48" i="9"/>
  <c r="H47" i="9"/>
  <c r="C47" i="9"/>
  <c r="H46" i="9"/>
  <c r="C46" i="9"/>
  <c r="K45" i="9"/>
  <c r="K43" i="9" s="1"/>
  <c r="J45" i="9"/>
  <c r="J43" i="9" s="1"/>
  <c r="I45" i="9"/>
  <c r="I43" i="9" s="1"/>
  <c r="F45" i="9"/>
  <c r="F43" i="9" s="1"/>
  <c r="E45" i="9"/>
  <c r="E43" i="9" s="1"/>
  <c r="D45" i="9"/>
  <c r="D43" i="9" s="1"/>
  <c r="H44" i="9"/>
  <c r="C44" i="9"/>
  <c r="H30" i="9"/>
  <c r="C30" i="9"/>
  <c r="H29" i="9"/>
  <c r="C29" i="9"/>
  <c r="H28" i="9"/>
  <c r="C28" i="9"/>
  <c r="H27" i="9"/>
  <c r="C27" i="9"/>
  <c r="H26" i="9"/>
  <c r="C26" i="9"/>
  <c r="H25" i="9"/>
  <c r="C25" i="9"/>
  <c r="H24" i="9"/>
  <c r="C24" i="9"/>
  <c r="H23" i="9"/>
  <c r="C23" i="9"/>
  <c r="H22" i="9"/>
  <c r="C22" i="9"/>
  <c r="H21" i="9"/>
  <c r="C21" i="9"/>
  <c r="H20" i="9"/>
  <c r="C20" i="9"/>
  <c r="H19" i="9"/>
  <c r="C19" i="9"/>
  <c r="H18" i="9"/>
  <c r="C18" i="9"/>
  <c r="H17" i="9"/>
  <c r="C17" i="9"/>
  <c r="H16" i="9"/>
  <c r="C16" i="9"/>
  <c r="H15" i="9"/>
  <c r="C15" i="9"/>
  <c r="H14" i="9"/>
  <c r="C14" i="9"/>
  <c r="H13" i="9"/>
  <c r="C13" i="9"/>
  <c r="H12" i="9"/>
  <c r="C12" i="9"/>
  <c r="H11" i="9"/>
  <c r="C11" i="9"/>
  <c r="H10" i="9"/>
  <c r="C10" i="9"/>
  <c r="K9" i="9"/>
  <c r="K7" i="9" s="1"/>
  <c r="J9" i="9"/>
  <c r="J7" i="9" s="1"/>
  <c r="I9" i="9"/>
  <c r="I7" i="9" s="1"/>
  <c r="F9" i="9"/>
  <c r="F7" i="9" s="1"/>
  <c r="E9" i="9"/>
  <c r="E7" i="9" s="1"/>
  <c r="D9" i="9"/>
  <c r="D7" i="9" s="1"/>
  <c r="H8" i="9"/>
  <c r="C8" i="9"/>
  <c r="H9" i="9" l="1"/>
  <c r="C43" i="9"/>
  <c r="C79" i="9"/>
  <c r="H79" i="9"/>
  <c r="H81" i="9"/>
  <c r="H43" i="9"/>
  <c r="H45" i="9"/>
  <c r="C81" i="9"/>
  <c r="C115" i="9"/>
  <c r="H115" i="9"/>
  <c r="H117" i="9"/>
  <c r="C117" i="9"/>
  <c r="C9" i="9"/>
  <c r="H7" i="9"/>
  <c r="C7" i="9"/>
  <c r="C45" i="9"/>
</calcChain>
</file>

<file path=xl/sharedStrings.xml><?xml version="1.0" encoding="utf-8"?>
<sst xmlns="http://schemas.openxmlformats.org/spreadsheetml/2006/main" count="308" uniqueCount="74">
  <si>
    <t>cscnijed</t>
  </si>
  <si>
    <t>cnehirif</t>
  </si>
  <si>
    <t>cnehcnwa</t>
  </si>
  <si>
    <t>Both Sexes</t>
  </si>
  <si>
    <t>Male</t>
  </si>
  <si>
    <t>Female</t>
  </si>
  <si>
    <t>Locality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</si>
  <si>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</si>
  <si>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</si>
  <si>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</si>
  <si>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</si>
  <si>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</si>
  <si>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</si>
  <si>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</si>
  <si>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</si>
  <si>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</si>
  <si>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</si>
  <si>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</si>
  <si>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</si>
  <si>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</si>
  <si>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</si>
  <si>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</si>
  <si>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</si>
  <si>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</si>
  <si>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</si>
  <si>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</si>
  <si>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</si>
  <si>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</si>
  <si>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</si>
  <si>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</si>
  <si>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</si>
  <si>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</si>
  <si>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</si>
  <si>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</si>
  <si>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</si>
  <si>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</si>
  <si>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</si>
  <si>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</si>
  <si>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</si>
  <si>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</si>
  <si>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</si>
  <si>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</si>
  <si>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</si>
  <si>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</si>
  <si>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</si>
  <si>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</si>
  <si>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</si>
  <si>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</si>
  <si>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</si>
  <si>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</si>
  <si>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</si>
  <si>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</si>
  <si>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</si>
  <si>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K</t>
  </si>
  <si>
    <t>k</t>
  </si>
  <si>
    <t>ރާއްޖޭން ބޭރުގައި އުފަންވި އަދި މަރުވި ދިވެހިން</t>
  </si>
  <si>
    <t xml:space="preserve">Note: </t>
  </si>
  <si>
    <t>ތަން</t>
  </si>
  <si>
    <r>
      <t xml:space="preserve">Republic </t>
    </r>
    <r>
      <rPr>
        <b/>
        <vertAlign val="superscript"/>
        <sz val="10"/>
        <color indexed="8"/>
        <rFont val="Calibri"/>
        <family val="2"/>
      </rPr>
      <t>1_/</t>
    </r>
  </si>
  <si>
    <t>2025 ,cnuhIm ivurwmiaWncnuhIm ivcnwfua cnutog eguscnij iaWncnutog egunwt : 3.8 ulwvWt</t>
  </si>
  <si>
    <t>Table 3.8 :  BIRTHS AND DEATHS, BY SEX AND LOCALITY,  2025</t>
  </si>
  <si>
    <t>ބަޔާންނުކުރާ</t>
  </si>
  <si>
    <t>Not Stated</t>
  </si>
  <si>
    <t xml:space="preserve">Maldivians born and died abroad </t>
  </si>
  <si>
    <t>Data is tentative and is subject to change</t>
  </si>
  <si>
    <r>
      <rPr>
        <i/>
        <vertAlign val="superscript"/>
        <sz val="10"/>
        <color rgb="FF000000"/>
        <rFont val="Calibri"/>
        <family val="2"/>
      </rPr>
      <t>1_/</t>
    </r>
    <r>
      <rPr>
        <i/>
        <sz val="10"/>
        <color indexed="8"/>
        <rFont val="Calibri"/>
        <family val="2"/>
      </rPr>
      <t xml:space="preserve">Data includes Maldivians and foreigners, excluded births &amp; deaths occurred abroad </t>
    </r>
  </si>
  <si>
    <t>Source: Ministry of Health, Family &amp; Welfare</t>
  </si>
  <si>
    <t>Health Information Management &amp; Research Division / Health Statistics &amp; Publication Section</t>
  </si>
  <si>
    <t>2024 ,cnuhIm ivurwmiaWncnuhIm ivcnwfua cnutog eguscnij iaWncnutog egunwt : 3.8 ulwvWt</t>
  </si>
  <si>
    <t>Table 3.8 :  BIRTHS AND DEATHS, BY SEX AND LOCALITY,  2024</t>
  </si>
  <si>
    <t>2023 ,cnuhIm ivurwmiaWncnuhIm ivcnwfua cnutog eguscnij iaWncnutog egunwt : 3.8 ulwvWt</t>
  </si>
  <si>
    <t>Table 3.8 :  BIRTHS AND DEATHS, BY SEX AND LOCALITY,  2023</t>
  </si>
  <si>
    <t>2022 ,cnuhIm ivurwmiaWncnuhIm ivcnwfua cnutog eguscnij iaWncnutog egunwt : 3.8 ulwvWt</t>
  </si>
  <si>
    <t>Table 3.8 :  BIRTHS AND DEATHS, BY SEX AND LOCALITY,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</si>
</sst>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0;[Red]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  <font>
      <sz val="10"/>
      <name val="Calibri"/>
      <family val="2"/>
      <scheme val="minor"/>
    </font>
    <font>
      <sz val="8"/>
      <name val="Faruma"/>
    </font>
    <font>
      <sz val="10"/>
      <color indexed="8"/>
      <name val="Faruma"/>
    </font>
    <font>
      <sz val="9"/>
      <color indexed="8"/>
      <name val="A_Faseyha"/>
    </font>
    <font>
      <b/>
      <sz val="9"/>
      <color indexed="8"/>
      <name val="A_Faseyha"/>
    </font>
    <font>
      <b/>
      <sz val="10"/>
      <color indexed="8"/>
      <name val="A_Faseyha"/>
    </font>
    <font>
      <b/>
      <sz val="10"/>
      <color indexed="8"/>
      <name val="Arial"/>
      <family val="2"/>
    </font>
    <font>
      <b/>
      <vertAlign val="superscript"/>
      <sz val="10"/>
      <color indexed="8"/>
      <name val="Calibri"/>
      <family val="2"/>
    </font>
    <font>
      <sz val="10"/>
      <color indexed="8"/>
      <name val="A_Faseyha"/>
    </font>
    <font>
      <sz val="10"/>
      <color indexed="8"/>
      <name val="A_Randhoo"/>
    </font>
    <font>
      <sz val="10"/>
      <color rgb="FF000000"/>
      <name val="Calibri"/>
      <family val="2"/>
      <scheme val="minor"/>
    </font>
    <font>
      <i/>
      <sz val="10"/>
      <color indexed="8"/>
      <name val="Calibri"/>
      <family val="2"/>
    </font>
    <font>
      <i/>
      <vertAlign val="superscript"/>
      <sz val="10"/>
      <color rgb="FF000000"/>
      <name val="Calibri"/>
      <family val="2"/>
    </font>
    <font>
      <i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28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1" fillId="0" borderId="0"/>
  </cellStyleXfs>
  <cellXfs count="70">
    <xf numFmtId="0" fontId="0" fillId="0" borderId="0" xfId="0"/>
    <xf numFmtId="166" fontId="15" fillId="2" borderId="0" xfId="10" applyFont="1" applyFill="1"/>
    <xf numFmtId="166" fontId="9" fillId="2" borderId="0" xfId="0" applyNumberFormat="1" applyFont="1" applyFill="1" applyAlignment="1">
      <alignment horizontal="right" vertical="center"/>
    </xf>
    <xf numFmtId="166" fontId="7" fillId="2" borderId="7" xfId="0" applyNumberFormat="1" applyFont="1" applyFill="1" applyBorder="1" applyAlignment="1">
      <alignment vertical="center"/>
    </xf>
    <xf numFmtId="166" fontId="8" fillId="2" borderId="2" xfId="0" applyNumberFormat="1" applyFont="1" applyFill="1" applyBorder="1" applyAlignment="1">
      <alignment vertical="center"/>
    </xf>
    <xf numFmtId="166" fontId="6" fillId="2" borderId="0" xfId="0" applyNumberFormat="1" applyFont="1" applyFill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 wrapText="1"/>
    </xf>
    <xf numFmtId="166" fontId="6" fillId="2" borderId="2" xfId="0" applyNumberFormat="1" applyFont="1" applyFill="1" applyBorder="1" applyAlignment="1">
      <alignment horizontal="right" vertical="center"/>
    </xf>
    <xf numFmtId="166" fontId="15" fillId="2" borderId="0" xfId="0" applyNumberFormat="1" applyFont="1" applyFill="1"/>
    <xf numFmtId="166" fontId="18" fillId="2" borderId="0" xfId="0" applyNumberFormat="1" applyFont="1" applyFill="1"/>
    <xf numFmtId="166" fontId="20" fillId="2" borderId="0" xfId="0" applyNumberFormat="1" applyFont="1" applyFill="1"/>
    <xf numFmtId="166" fontId="11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 applyProtection="1">
      <alignment horizontal="right"/>
      <protection hidden="1"/>
    </xf>
    <xf numFmtId="166" fontId="17" fillId="2" borderId="0" xfId="0" applyNumberFormat="1" applyFont="1" applyFill="1"/>
    <xf numFmtId="166" fontId="19" fillId="2" borderId="0" xfId="0" applyNumberFormat="1" applyFont="1" applyFill="1" applyAlignment="1" applyProtection="1">
      <alignment horizontal="right" vertical="top"/>
      <protection hidden="1"/>
    </xf>
    <xf numFmtId="166" fontId="19" fillId="2" borderId="0" xfId="10" applyFont="1" applyFill="1" applyAlignment="1" applyProtection="1">
      <alignment horizontal="right"/>
      <protection hidden="1"/>
    </xf>
    <xf numFmtId="166" fontId="24" fillId="2" borderId="0" xfId="0" applyNumberFormat="1" applyFont="1" applyFill="1" applyAlignment="1">
      <alignment horizontal="right" vertical="center"/>
    </xf>
    <xf numFmtId="166" fontId="25" fillId="2" borderId="6" xfId="0" applyNumberFormat="1" applyFont="1" applyFill="1" applyBorder="1" applyAlignment="1">
      <alignment horizontal="right" vertical="center"/>
    </xf>
    <xf numFmtId="166" fontId="25" fillId="2" borderId="0" xfId="0" applyNumberFormat="1" applyFont="1" applyFill="1" applyAlignment="1">
      <alignment horizontal="right" vertical="center"/>
    </xf>
    <xf numFmtId="166" fontId="27" fillId="2" borderId="0" xfId="10" applyFont="1" applyFill="1"/>
    <xf numFmtId="3" fontId="5" fillId="2" borderId="1" xfId="0" applyNumberFormat="1" applyFont="1" applyFill="1" applyBorder="1" applyAlignment="1">
      <alignment vertical="center"/>
    </xf>
    <xf numFmtId="3" fontId="5" fillId="2" borderId="5" xfId="0" applyNumberFormat="1" applyFont="1" applyFill="1" applyBorder="1" applyAlignment="1">
      <alignment vertical="center"/>
    </xf>
    <xf numFmtId="3" fontId="5" fillId="2" borderId="0" xfId="0" applyNumberFormat="1" applyFont="1" applyFill="1" applyAlignment="1" applyProtection="1">
      <alignment vertical="center"/>
      <protection locked="0"/>
    </xf>
    <xf numFmtId="3" fontId="14" fillId="2" borderId="0" xfId="0" applyNumberFormat="1" applyFont="1" applyFill="1" applyAlignment="1">
      <alignment vertical="center"/>
    </xf>
    <xf numFmtId="3" fontId="5" fillId="2" borderId="2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18" fillId="2" borderId="2" xfId="0" applyNumberFormat="1" applyFont="1" applyFill="1" applyBorder="1" applyAlignment="1" applyProtection="1">
      <alignment vertical="center"/>
      <protection locked="0"/>
    </xf>
    <xf numFmtId="3" fontId="18" fillId="2" borderId="2" xfId="0" applyNumberFormat="1" applyFont="1" applyFill="1" applyBorder="1" applyAlignment="1" applyProtection="1">
      <alignment horizontal="right" vertical="center"/>
      <protection locked="0"/>
    </xf>
    <xf numFmtId="3" fontId="21" fillId="2" borderId="0" xfId="0" applyNumberFormat="1" applyFont="1" applyFill="1" applyAlignment="1" applyProtection="1">
      <alignment horizontal="right" vertical="center"/>
      <protection locked="0"/>
    </xf>
    <xf numFmtId="166" fontId="5" fillId="2" borderId="0" xfId="0" applyNumberFormat="1" applyFont="1" applyFill="1" applyAlignment="1">
      <alignment horizontal="left" vertical="center" indent="2"/>
    </xf>
    <xf numFmtId="166" fontId="26" fillId="2" borderId="0" xfId="0" applyNumberFormat="1" applyFont="1" applyFill="1" applyAlignment="1">
      <alignment horizontal="right" vertical="center" indent="1"/>
    </xf>
    <xf numFmtId="166" fontId="18" fillId="2" borderId="0" xfId="0" applyNumberFormat="1" applyFont="1" applyFill="1" applyAlignment="1">
      <alignment horizontal="left" vertical="center" indent="3"/>
    </xf>
    <xf numFmtId="3" fontId="18" fillId="2" borderId="0" xfId="0" applyNumberFormat="1" applyFont="1" applyFill="1" applyAlignment="1" applyProtection="1">
      <alignment vertical="center"/>
      <protection locked="0"/>
    </xf>
    <xf numFmtId="166" fontId="29" fillId="2" borderId="0" xfId="0" applyNumberFormat="1" applyFont="1" applyFill="1" applyAlignment="1">
      <alignment horizontal="right" vertical="center" indent="2"/>
    </xf>
    <xf numFmtId="3" fontId="18" fillId="2" borderId="0" xfId="0" applyNumberFormat="1" applyFont="1" applyFill="1" applyAlignment="1" applyProtection="1">
      <alignment horizontal="right" vertical="center"/>
      <protection locked="0"/>
    </xf>
    <xf numFmtId="166" fontId="27" fillId="2" borderId="0" xfId="0" applyNumberFormat="1" applyFont="1" applyFill="1" applyAlignment="1">
      <alignment vertical="center"/>
    </xf>
    <xf numFmtId="3" fontId="18" fillId="2" borderId="3" xfId="0" applyNumberFormat="1" applyFont="1" applyFill="1" applyBorder="1" applyAlignment="1" applyProtection="1">
      <alignment horizontal="right" vertical="center"/>
      <protection locked="0"/>
    </xf>
    <xf numFmtId="166" fontId="30" fillId="2" borderId="0" xfId="0" applyNumberFormat="1" applyFont="1" applyFill="1" applyAlignment="1">
      <alignment horizontal="right"/>
    </xf>
    <xf numFmtId="166" fontId="22" fillId="2" borderId="0" xfId="10" applyFont="1" applyFill="1" applyAlignment="1" applyProtection="1">
      <alignment horizontal="right"/>
      <protection hidden="1"/>
    </xf>
    <xf numFmtId="166" fontId="11" fillId="2" borderId="0" xfId="0" applyNumberFormat="1" applyFont="1" applyFill="1" applyAlignment="1">
      <alignment horizontal="left" vertical="center" wrapText="1"/>
    </xf>
    <xf numFmtId="167" fontId="18" fillId="2" borderId="0" xfId="0" applyNumberFormat="1" applyFont="1" applyFill="1" applyAlignment="1">
      <alignment horizontal="right" vertical="center"/>
    </xf>
    <xf numFmtId="166" fontId="6" fillId="2" borderId="0" xfId="0" applyNumberFormat="1" applyFont="1" applyFill="1" applyAlignment="1">
      <alignment horizontal="left" vertical="center"/>
    </xf>
    <xf numFmtId="166" fontId="10" fillId="2" borderId="0" xfId="0" applyNumberFormat="1" applyFont="1" applyFill="1" applyAlignment="1">
      <alignment horizontal="right" vertical="center"/>
    </xf>
    <xf numFmtId="166" fontId="19" fillId="2" borderId="0" xfId="0" applyNumberFormat="1" applyFont="1" applyFill="1" applyAlignment="1">
      <alignment horizontal="right" vertical="center"/>
    </xf>
    <xf numFmtId="166" fontId="26" fillId="2" borderId="0" xfId="11" applyFont="1" applyFill="1" applyAlignment="1">
      <alignment horizontal="center" vertical="center"/>
    </xf>
    <xf numFmtId="166" fontId="16" fillId="2" borderId="8" xfId="10" applyFont="1" applyFill="1" applyBorder="1" applyAlignment="1">
      <alignment horizontal="center" vertical="top"/>
    </xf>
    <xf numFmtId="166" fontId="6" fillId="2" borderId="4" xfId="0" applyNumberFormat="1" applyFont="1" applyFill="1" applyBorder="1" applyAlignment="1">
      <alignment horizontal="right" vertical="center"/>
    </xf>
    <xf numFmtId="166" fontId="25" fillId="2" borderId="4" xfId="0" applyNumberFormat="1" applyFont="1" applyFill="1" applyBorder="1" applyAlignment="1">
      <alignment horizontal="left" vertical="center"/>
    </xf>
    <xf numFmtId="166" fontId="25" fillId="2" borderId="9" xfId="0" applyNumberFormat="1" applyFont="1" applyFill="1" applyBorder="1" applyAlignment="1">
      <alignment horizontal="left" vertical="center"/>
    </xf>
    <xf numFmtId="166" fontId="25" fillId="2" borderId="4" xfId="0" applyNumberFormat="1" applyFont="1" applyFill="1" applyBorder="1" applyAlignment="1">
      <alignment horizontal="left" vertical="center" indent="1"/>
    </xf>
    <xf numFmtId="166" fontId="6" fillId="2" borderId="8" xfId="0" applyNumberFormat="1" applyFont="1" applyFill="1" applyBorder="1" applyAlignment="1">
      <alignment horizontal="left" vertical="center"/>
    </xf>
    <xf numFmtId="166" fontId="6" fillId="2" borderId="8" xfId="0" applyNumberFormat="1" applyFont="1" applyFill="1" applyBorder="1" applyAlignment="1">
      <alignment horizontal="right" vertical="center" wrapText="1"/>
    </xf>
    <xf numFmtId="166" fontId="10" fillId="2" borderId="8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3" fontId="21" fillId="2" borderId="0" xfId="0" applyNumberFormat="1" applyFont="1" applyFill="1" applyAlignment="1">
      <alignment horizontal="right" vertical="center"/>
    </xf>
    <xf numFmtId="166" fontId="5" fillId="2" borderId="8" xfId="0" applyNumberFormat="1" applyFont="1" applyFill="1" applyBorder="1" applyAlignment="1">
      <alignment horizontal="left" vertical="center" wrapText="1" indent="2"/>
    </xf>
    <xf numFmtId="167" fontId="18" fillId="2" borderId="8" xfId="0" applyNumberFormat="1" applyFont="1" applyFill="1" applyBorder="1" applyAlignment="1">
      <alignment horizontal="right" vertical="center"/>
    </xf>
    <xf numFmtId="3" fontId="5" fillId="2" borderId="8" xfId="0" applyNumberFormat="1" applyFont="1" applyFill="1" applyBorder="1" applyAlignment="1" applyProtection="1">
      <alignment vertical="center"/>
      <protection locked="0"/>
    </xf>
    <xf numFmtId="3" fontId="21" fillId="2" borderId="8" xfId="0" applyNumberFormat="1" applyFont="1" applyFill="1" applyBorder="1" applyAlignment="1">
      <alignment vertical="center"/>
    </xf>
    <xf numFmtId="3" fontId="21" fillId="2" borderId="8" xfId="0" applyNumberFormat="1" applyFont="1" applyFill="1" applyBorder="1" applyAlignment="1">
      <alignment horizontal="right" vertical="center"/>
    </xf>
    <xf numFmtId="166" fontId="23" fillId="2" borderId="8" xfId="0" applyNumberFormat="1" applyFont="1" applyFill="1" applyBorder="1" applyAlignment="1">
      <alignment horizontal="right" vertical="center" wrapText="1" indent="1"/>
    </xf>
    <xf numFmtId="0" fontId="32" fillId="0" borderId="0" xfId="0" applyFont="1" applyAlignment="1">
      <alignment horizontal="left"/>
    </xf>
    <xf numFmtId="3" fontId="21" fillId="2" borderId="1" xfId="0" applyNumberFormat="1" applyFont="1" applyFill="1" applyBorder="1" applyAlignment="1" applyProtection="1">
      <alignment horizontal="right" vertical="center"/>
      <protection locked="0"/>
    </xf>
    <xf numFmtId="0" fontId="32" fillId="2" borderId="0" xfId="0" applyFont="1" applyFill="1"/>
    <xf numFmtId="166" fontId="32" fillId="2" borderId="0" xfId="0" applyNumberFormat="1" applyFont="1" applyFill="1" applyAlignment="1">
      <alignment horizontal="left" vertical="center"/>
    </xf>
    <xf numFmtId="166" fontId="34" fillId="2" borderId="0" xfId="0" applyNumberFormat="1" applyFont="1" applyFill="1" applyAlignment="1">
      <alignment horizontal="left" vertical="center"/>
    </xf>
    <xf numFmtId="166" fontId="34" fillId="2" borderId="0" xfId="0" applyNumberFormat="1" applyFont="1" applyFill="1"/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 2" xfId="25" xr:uid="{C876A118-C7AA-4052-92BB-F37EED3B4522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 5 3" xfId="27" xr:uid="{322195DD-DDD2-4FE1-89C3-0612B80BE6DB}"/>
    <cellStyle name="Normal_Health Data" xfId="11" xr:uid="{00000000-0005-0000-0000-00001F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3"/>
  <sheetViews>
    <sheetView tabSelected="1" zoomScale="112" zoomScaleNormal="112" workbookViewId="0">
      <selection activeCell="P9" sqref="P9"/>
    </sheetView>
  </sheetViews>
  <sheetFormatPr defaultColWidth="11.140625" defaultRowHeight="12.75"/>
  <cols>
    <col min="1" max="1" width="15.42578125" style="1" customWidth="1"/>
    <col min="2" max="2" width="2.85546875" style="1" customWidth="1"/>
    <col min="3" max="5" width="10.140625" style="1" customWidth="1"/>
    <col min="6" max="6" width="8.28515625" style="1" customWidth="1"/>
    <col min="7" max="7" width="1.5703125" style="1" customWidth="1"/>
    <col min="8" max="11" width="10.85546875" style="1" customWidth="1"/>
    <col min="12" max="12" width="17.5703125" style="1" customWidth="1"/>
    <col min="13" max="16384" width="11.140625" style="1"/>
  </cols>
  <sheetData>
    <row r="1" spans="1:12" ht="17.25">
      <c r="A1" s="11"/>
      <c r="B1" s="12"/>
      <c r="C1" s="12"/>
      <c r="D1" s="12"/>
      <c r="E1" s="12"/>
      <c r="F1" s="12"/>
      <c r="G1" s="8"/>
      <c r="H1" s="13"/>
      <c r="I1" s="13"/>
      <c r="J1" s="14"/>
      <c r="K1" s="14"/>
      <c r="L1" s="15"/>
    </row>
    <row r="2" spans="1:12" ht="15.75">
      <c r="A2" s="45" t="s">
        <v>59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5">
      <c r="A3" s="46" t="s">
        <v>60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ht="15" customHeight="1">
      <c r="A4" s="42" t="s">
        <v>6</v>
      </c>
      <c r="B4" s="2"/>
      <c r="C4" s="47" t="s">
        <v>51</v>
      </c>
      <c r="D4" s="47"/>
      <c r="E4" s="48" t="s">
        <v>49</v>
      </c>
      <c r="F4" s="49"/>
      <c r="G4" s="3"/>
      <c r="H4" s="47" t="s">
        <v>52</v>
      </c>
      <c r="I4" s="47"/>
      <c r="J4" s="50" t="s">
        <v>50</v>
      </c>
      <c r="K4" s="50"/>
      <c r="L4" s="43" t="s">
        <v>57</v>
      </c>
    </row>
    <row r="5" spans="1:12" ht="15" customHeight="1">
      <c r="A5" s="42"/>
      <c r="B5" s="2"/>
      <c r="C5" s="18" t="s">
        <v>0</v>
      </c>
      <c r="D5" s="18" t="s">
        <v>1</v>
      </c>
      <c r="E5" s="18" t="s">
        <v>2</v>
      </c>
      <c r="F5" s="43" t="s">
        <v>61</v>
      </c>
      <c r="G5" s="4"/>
      <c r="H5" s="17" t="s">
        <v>0</v>
      </c>
      <c r="I5" s="17" t="s">
        <v>1</v>
      </c>
      <c r="J5" s="18" t="s">
        <v>2</v>
      </c>
      <c r="K5" s="43" t="s">
        <v>61</v>
      </c>
      <c r="L5" s="43"/>
    </row>
    <row r="6" spans="1:12" ht="12.75" customHeight="1">
      <c r="A6" s="51"/>
      <c r="B6" s="52"/>
      <c r="C6" s="5" t="s">
        <v>3</v>
      </c>
      <c r="D6" s="5" t="s">
        <v>4</v>
      </c>
      <c r="E6" s="6" t="s">
        <v>5</v>
      </c>
      <c r="F6" s="6" t="s">
        <v>62</v>
      </c>
      <c r="G6" s="7"/>
      <c r="H6" s="5" t="s">
        <v>3</v>
      </c>
      <c r="I6" s="5" t="s">
        <v>4</v>
      </c>
      <c r="J6" s="6" t="s">
        <v>5</v>
      </c>
      <c r="K6" s="6" t="s">
        <v>62</v>
      </c>
      <c r="L6" s="53"/>
    </row>
    <row r="7" spans="1:12" ht="15.75">
      <c r="A7" s="30" t="s">
        <v>58</v>
      </c>
      <c r="B7" s="25"/>
      <c r="C7" s="20">
        <f>SUM(D7:F7)</f>
        <v>5625</v>
      </c>
      <c r="D7" s="20">
        <f>D8+D9</f>
        <v>2834</v>
      </c>
      <c r="E7" s="20">
        <f>E8+E9</f>
        <v>2790</v>
      </c>
      <c r="F7" s="20">
        <f>F8+F9+F30</f>
        <v>1</v>
      </c>
      <c r="G7" s="21"/>
      <c r="H7" s="20">
        <f>SUM(I7:K7)</f>
        <v>1399</v>
      </c>
      <c r="I7" s="20">
        <f>I8+I9</f>
        <v>858</v>
      </c>
      <c r="J7" s="20">
        <f>J8+J9</f>
        <v>540</v>
      </c>
      <c r="K7" s="54">
        <f>K8+K9</f>
        <v>1</v>
      </c>
      <c r="L7" s="31" t="s">
        <v>7</v>
      </c>
    </row>
    <row r="8" spans="1:12" s="19" customFormat="1" ht="15.75">
      <c r="A8" s="30" t="s">
        <v>8</v>
      </c>
      <c r="B8" s="25"/>
      <c r="C8" s="22">
        <f>SUM(D8:E8)</f>
        <v>3927</v>
      </c>
      <c r="D8" s="25">
        <v>1964</v>
      </c>
      <c r="E8" s="25">
        <v>1963</v>
      </c>
      <c r="F8" s="23">
        <v>0</v>
      </c>
      <c r="G8" s="24"/>
      <c r="H8" s="22">
        <f t="shared" ref="H8:H29" si="0">SUM(I8:K8)</f>
        <v>830</v>
      </c>
      <c r="I8" s="25">
        <v>486</v>
      </c>
      <c r="J8" s="25">
        <v>344</v>
      </c>
      <c r="K8" s="55">
        <v>0</v>
      </c>
      <c r="L8" s="31" t="s">
        <v>9</v>
      </c>
    </row>
    <row r="9" spans="1:12" ht="15.75">
      <c r="A9" s="30" t="s">
        <v>10</v>
      </c>
      <c r="B9" s="25"/>
      <c r="C9" s="22">
        <f>SUM(C10:C29)</f>
        <v>1697</v>
      </c>
      <c r="D9" s="25">
        <f>SUM(D10:D29)</f>
        <v>870</v>
      </c>
      <c r="E9" s="25">
        <f>SUM(E10:E29)</f>
        <v>827</v>
      </c>
      <c r="F9" s="25">
        <f>SUM(F10:F29)</f>
        <v>1</v>
      </c>
      <c r="G9" s="24"/>
      <c r="H9" s="22">
        <f t="shared" si="0"/>
        <v>569</v>
      </c>
      <c r="I9" s="25">
        <f>SUM(I10:I29)</f>
        <v>372</v>
      </c>
      <c r="J9" s="25">
        <f>SUM(J10:J29)</f>
        <v>196</v>
      </c>
      <c r="K9" s="56">
        <f>SUM(K10:K30)</f>
        <v>1</v>
      </c>
      <c r="L9" s="31" t="s">
        <v>11</v>
      </c>
    </row>
    <row r="10" spans="1:12" ht="15.75">
      <c r="A10" s="32" t="s">
        <v>12</v>
      </c>
      <c r="B10" s="33"/>
      <c r="C10" s="22">
        <f>SUM(D10:E10)</f>
        <v>52</v>
      </c>
      <c r="D10" s="26">
        <v>25</v>
      </c>
      <c r="E10" s="26">
        <v>27</v>
      </c>
      <c r="F10" s="26">
        <v>0</v>
      </c>
      <c r="G10" s="27"/>
      <c r="H10" s="22">
        <f t="shared" si="0"/>
        <v>23</v>
      </c>
      <c r="I10" s="26">
        <v>13</v>
      </c>
      <c r="J10" s="26">
        <v>10</v>
      </c>
      <c r="K10" s="57">
        <v>0</v>
      </c>
      <c r="L10" s="34" t="s">
        <v>13</v>
      </c>
    </row>
    <row r="11" spans="1:12" ht="15.75">
      <c r="A11" s="32" t="s">
        <v>14</v>
      </c>
      <c r="B11" s="35"/>
      <c r="C11" s="22">
        <f t="shared" ref="C11:C28" si="1">SUM(D11:E11)</f>
        <v>385</v>
      </c>
      <c r="D11" s="26">
        <v>196</v>
      </c>
      <c r="E11" s="26">
        <v>189</v>
      </c>
      <c r="F11" s="26">
        <v>0</v>
      </c>
      <c r="G11" s="28"/>
      <c r="H11" s="22">
        <f t="shared" si="0"/>
        <v>74</v>
      </c>
      <c r="I11" s="26">
        <v>47</v>
      </c>
      <c r="J11" s="26">
        <v>27</v>
      </c>
      <c r="K11" s="57">
        <v>0</v>
      </c>
      <c r="L11" s="34" t="s">
        <v>15</v>
      </c>
    </row>
    <row r="12" spans="1:12" ht="15.75">
      <c r="A12" s="32" t="s">
        <v>16</v>
      </c>
      <c r="B12" s="35"/>
      <c r="C12" s="22">
        <f t="shared" si="1"/>
        <v>54</v>
      </c>
      <c r="D12" s="26">
        <v>34</v>
      </c>
      <c r="E12" s="26">
        <v>20</v>
      </c>
      <c r="F12" s="26">
        <v>0</v>
      </c>
      <c r="G12" s="28"/>
      <c r="H12" s="22">
        <f t="shared" si="0"/>
        <v>23</v>
      </c>
      <c r="I12" s="26">
        <v>13</v>
      </c>
      <c r="J12" s="26">
        <v>10</v>
      </c>
      <c r="K12" s="57">
        <v>0</v>
      </c>
      <c r="L12" s="34" t="s">
        <v>17</v>
      </c>
    </row>
    <row r="13" spans="1:12" ht="15.75">
      <c r="A13" s="32" t="s">
        <v>18</v>
      </c>
      <c r="B13" s="36"/>
      <c r="C13" s="22">
        <f t="shared" si="1"/>
        <v>31</v>
      </c>
      <c r="D13" s="26">
        <v>14</v>
      </c>
      <c r="E13" s="26">
        <v>17</v>
      </c>
      <c r="F13" s="26">
        <v>0</v>
      </c>
      <c r="G13" s="28"/>
      <c r="H13" s="22">
        <f t="shared" si="0"/>
        <v>20</v>
      </c>
      <c r="I13" s="26">
        <v>14</v>
      </c>
      <c r="J13" s="26">
        <v>6</v>
      </c>
      <c r="K13" s="57">
        <v>0</v>
      </c>
      <c r="L13" s="34" t="s">
        <v>19</v>
      </c>
    </row>
    <row r="14" spans="1:12" ht="15.75">
      <c r="A14" s="32" t="s">
        <v>20</v>
      </c>
      <c r="B14" s="36"/>
      <c r="C14" s="22">
        <f t="shared" si="1"/>
        <v>214</v>
      </c>
      <c r="D14" s="26">
        <v>111</v>
      </c>
      <c r="E14" s="26">
        <v>103</v>
      </c>
      <c r="F14" s="29">
        <v>1</v>
      </c>
      <c r="G14" s="28"/>
      <c r="H14" s="22">
        <f t="shared" si="0"/>
        <v>40</v>
      </c>
      <c r="I14" s="26">
        <v>28</v>
      </c>
      <c r="J14" s="26">
        <v>11</v>
      </c>
      <c r="K14" s="57">
        <v>1</v>
      </c>
      <c r="L14" s="34" t="s">
        <v>21</v>
      </c>
    </row>
    <row r="15" spans="1:12" ht="15.75">
      <c r="A15" s="32" t="s">
        <v>22</v>
      </c>
      <c r="B15" s="36"/>
      <c r="C15" s="22">
        <f t="shared" si="1"/>
        <v>54</v>
      </c>
      <c r="D15" s="26">
        <v>27</v>
      </c>
      <c r="E15" s="26">
        <v>27</v>
      </c>
      <c r="F15" s="26">
        <v>0</v>
      </c>
      <c r="G15" s="28"/>
      <c r="H15" s="22">
        <f t="shared" si="0"/>
        <v>24</v>
      </c>
      <c r="I15" s="26">
        <v>21</v>
      </c>
      <c r="J15" s="26">
        <v>3</v>
      </c>
      <c r="K15" s="57">
        <v>0</v>
      </c>
      <c r="L15" s="34" t="s">
        <v>23</v>
      </c>
    </row>
    <row r="16" spans="1:12" ht="15.75">
      <c r="A16" s="32" t="s">
        <v>24</v>
      </c>
      <c r="B16" s="35"/>
      <c r="C16" s="22">
        <f t="shared" si="1"/>
        <v>55</v>
      </c>
      <c r="D16" s="26">
        <v>24</v>
      </c>
      <c r="E16" s="26">
        <v>31</v>
      </c>
      <c r="F16" s="26">
        <v>0</v>
      </c>
      <c r="G16" s="28"/>
      <c r="H16" s="22">
        <f t="shared" si="0"/>
        <v>27</v>
      </c>
      <c r="I16" s="26">
        <v>20</v>
      </c>
      <c r="J16" s="26">
        <v>7</v>
      </c>
      <c r="K16" s="57">
        <v>0</v>
      </c>
      <c r="L16" s="34" t="s">
        <v>25</v>
      </c>
    </row>
    <row r="17" spans="1:12" ht="15.75">
      <c r="A17" s="32" t="s">
        <v>53</v>
      </c>
      <c r="B17" s="35"/>
      <c r="C17" s="22">
        <f t="shared" si="1"/>
        <v>1</v>
      </c>
      <c r="D17" s="26">
        <v>1</v>
      </c>
      <c r="E17" s="26"/>
      <c r="F17" s="26">
        <v>0</v>
      </c>
      <c r="G17" s="28"/>
      <c r="H17" s="22">
        <f t="shared" si="0"/>
        <v>41</v>
      </c>
      <c r="I17" s="26">
        <v>32</v>
      </c>
      <c r="J17" s="26">
        <v>9</v>
      </c>
      <c r="K17" s="57">
        <v>0</v>
      </c>
      <c r="L17" s="34" t="s">
        <v>54</v>
      </c>
    </row>
    <row r="18" spans="1:12" ht="15.75">
      <c r="A18" s="32" t="s">
        <v>26</v>
      </c>
      <c r="B18" s="35"/>
      <c r="C18" s="22">
        <f t="shared" si="1"/>
        <v>21</v>
      </c>
      <c r="D18" s="26">
        <v>11</v>
      </c>
      <c r="E18" s="26">
        <v>10</v>
      </c>
      <c r="F18" s="26">
        <v>0</v>
      </c>
      <c r="G18" s="28"/>
      <c r="H18" s="22">
        <f t="shared" si="0"/>
        <v>11</v>
      </c>
      <c r="I18" s="26">
        <v>8</v>
      </c>
      <c r="J18" s="26">
        <v>3</v>
      </c>
      <c r="K18" s="57">
        <v>0</v>
      </c>
      <c r="L18" s="34" t="s">
        <v>27</v>
      </c>
    </row>
    <row r="19" spans="1:12" ht="15.75">
      <c r="A19" s="32" t="s">
        <v>28</v>
      </c>
      <c r="B19" s="35"/>
      <c r="C19" s="22">
        <f t="shared" si="1"/>
        <v>25</v>
      </c>
      <c r="D19" s="26">
        <v>15</v>
      </c>
      <c r="E19" s="26">
        <v>10</v>
      </c>
      <c r="F19" s="26">
        <v>0</v>
      </c>
      <c r="G19" s="28"/>
      <c r="H19" s="22">
        <f t="shared" si="0"/>
        <v>22</v>
      </c>
      <c r="I19" s="26">
        <v>17</v>
      </c>
      <c r="J19" s="26">
        <v>5</v>
      </c>
      <c r="K19" s="57">
        <v>0</v>
      </c>
      <c r="L19" s="34" t="s">
        <v>29</v>
      </c>
    </row>
    <row r="20" spans="1:12" ht="15.75">
      <c r="A20" s="32" t="s">
        <v>30</v>
      </c>
      <c r="B20" s="35"/>
      <c r="C20" s="22">
        <f t="shared" si="1"/>
        <v>0</v>
      </c>
      <c r="D20" s="26">
        <v>0</v>
      </c>
      <c r="E20" s="26">
        <v>0</v>
      </c>
      <c r="F20" s="26">
        <v>0</v>
      </c>
      <c r="G20" s="28"/>
      <c r="H20" s="22">
        <f t="shared" si="0"/>
        <v>4</v>
      </c>
      <c r="I20" s="26">
        <v>3</v>
      </c>
      <c r="J20" s="26">
        <v>1</v>
      </c>
      <c r="K20" s="57">
        <v>0</v>
      </c>
      <c r="L20" s="34" t="s">
        <v>31</v>
      </c>
    </row>
    <row r="21" spans="1:12" ht="15.75">
      <c r="A21" s="32" t="s">
        <v>32</v>
      </c>
      <c r="B21" s="35"/>
      <c r="C21" s="22">
        <f t="shared" si="1"/>
        <v>17</v>
      </c>
      <c r="D21" s="26">
        <v>10</v>
      </c>
      <c r="E21" s="26">
        <v>7</v>
      </c>
      <c r="F21" s="26">
        <v>0</v>
      </c>
      <c r="G21" s="28"/>
      <c r="H21" s="22">
        <f t="shared" si="0"/>
        <v>10</v>
      </c>
      <c r="I21" s="26">
        <v>2</v>
      </c>
      <c r="J21" s="26">
        <v>8</v>
      </c>
      <c r="K21" s="57">
        <v>0</v>
      </c>
      <c r="L21" s="34" t="s">
        <v>33</v>
      </c>
    </row>
    <row r="22" spans="1:12" ht="15.75">
      <c r="A22" s="32" t="s">
        <v>34</v>
      </c>
      <c r="B22" s="35"/>
      <c r="C22" s="22">
        <f t="shared" si="1"/>
        <v>22</v>
      </c>
      <c r="D22" s="26">
        <v>11</v>
      </c>
      <c r="E22" s="26">
        <v>11</v>
      </c>
      <c r="F22" s="26">
        <v>0</v>
      </c>
      <c r="G22" s="28"/>
      <c r="H22" s="22">
        <f t="shared" si="0"/>
        <v>4</v>
      </c>
      <c r="I22" s="26">
        <v>2</v>
      </c>
      <c r="J22" s="26">
        <v>2</v>
      </c>
      <c r="K22" s="57">
        <v>0</v>
      </c>
      <c r="L22" s="34" t="s">
        <v>35</v>
      </c>
    </row>
    <row r="23" spans="1:12" ht="15.75">
      <c r="A23" s="32" t="s">
        <v>36</v>
      </c>
      <c r="B23" s="35"/>
      <c r="C23" s="22">
        <f t="shared" si="1"/>
        <v>51</v>
      </c>
      <c r="D23" s="26">
        <v>29</v>
      </c>
      <c r="E23" s="26">
        <v>22</v>
      </c>
      <c r="F23" s="26">
        <v>0</v>
      </c>
      <c r="G23" s="28"/>
      <c r="H23" s="22">
        <f t="shared" si="0"/>
        <v>11</v>
      </c>
      <c r="I23" s="26">
        <v>6</v>
      </c>
      <c r="J23" s="26">
        <v>5</v>
      </c>
      <c r="K23" s="57">
        <v>0</v>
      </c>
      <c r="L23" s="34" t="s">
        <v>37</v>
      </c>
    </row>
    <row r="24" spans="1:12" ht="15.75">
      <c r="A24" s="32" t="s">
        <v>38</v>
      </c>
      <c r="B24" s="35"/>
      <c r="C24" s="22">
        <f t="shared" si="1"/>
        <v>35</v>
      </c>
      <c r="D24" s="26">
        <v>17</v>
      </c>
      <c r="E24" s="26">
        <v>18</v>
      </c>
      <c r="F24" s="26">
        <v>0</v>
      </c>
      <c r="G24" s="28"/>
      <c r="H24" s="22">
        <f t="shared" si="0"/>
        <v>22</v>
      </c>
      <c r="I24" s="26">
        <v>16</v>
      </c>
      <c r="J24" s="26">
        <v>6</v>
      </c>
      <c r="K24" s="57">
        <v>0</v>
      </c>
      <c r="L24" s="34" t="s">
        <v>39</v>
      </c>
    </row>
    <row r="25" spans="1:12" ht="15.75">
      <c r="A25" s="32" t="s">
        <v>40</v>
      </c>
      <c r="B25" s="35"/>
      <c r="C25" s="22">
        <f t="shared" si="1"/>
        <v>172</v>
      </c>
      <c r="D25" s="26">
        <v>89</v>
      </c>
      <c r="E25" s="26">
        <v>83</v>
      </c>
      <c r="F25" s="26">
        <v>0</v>
      </c>
      <c r="G25" s="28"/>
      <c r="H25" s="22">
        <f t="shared" si="0"/>
        <v>42</v>
      </c>
      <c r="I25" s="26">
        <v>28</v>
      </c>
      <c r="J25" s="26">
        <v>14</v>
      </c>
      <c r="K25" s="57">
        <v>0</v>
      </c>
      <c r="L25" s="34" t="s">
        <v>41</v>
      </c>
    </row>
    <row r="26" spans="1:12" ht="15.75">
      <c r="A26" s="32" t="s">
        <v>42</v>
      </c>
      <c r="B26" s="35"/>
      <c r="C26" s="22">
        <f t="shared" si="1"/>
        <v>21</v>
      </c>
      <c r="D26" s="26">
        <v>10</v>
      </c>
      <c r="E26" s="26">
        <v>11</v>
      </c>
      <c r="F26" s="26">
        <v>0</v>
      </c>
      <c r="G26" s="28"/>
      <c r="H26" s="22">
        <f t="shared" si="0"/>
        <v>23</v>
      </c>
      <c r="I26" s="26">
        <v>12</v>
      </c>
      <c r="J26" s="26">
        <v>11</v>
      </c>
      <c r="K26" s="57">
        <v>0</v>
      </c>
      <c r="L26" s="34" t="s">
        <v>43</v>
      </c>
    </row>
    <row r="27" spans="1:12" ht="15.75">
      <c r="A27" s="32" t="s">
        <v>44</v>
      </c>
      <c r="B27" s="35"/>
      <c r="C27" s="22">
        <f t="shared" si="1"/>
        <v>152</v>
      </c>
      <c r="D27" s="26">
        <v>77</v>
      </c>
      <c r="E27" s="26">
        <v>75</v>
      </c>
      <c r="F27" s="26">
        <v>0</v>
      </c>
      <c r="G27" s="28"/>
      <c r="H27" s="22">
        <f t="shared" si="0"/>
        <v>29</v>
      </c>
      <c r="I27" s="26">
        <v>15</v>
      </c>
      <c r="J27" s="26">
        <v>14</v>
      </c>
      <c r="K27" s="57">
        <v>0</v>
      </c>
      <c r="L27" s="34" t="s">
        <v>45</v>
      </c>
    </row>
    <row r="28" spans="1:12" ht="15.75">
      <c r="A28" s="32" t="s">
        <v>46</v>
      </c>
      <c r="B28" s="35"/>
      <c r="C28" s="22">
        <f t="shared" si="1"/>
        <v>94</v>
      </c>
      <c r="D28" s="26">
        <v>44</v>
      </c>
      <c r="E28" s="26">
        <v>50</v>
      </c>
      <c r="F28" s="26">
        <v>0</v>
      </c>
      <c r="G28" s="28"/>
      <c r="H28" s="22">
        <f>SUM(I28:K28)</f>
        <v>22</v>
      </c>
      <c r="I28" s="26">
        <v>15</v>
      </c>
      <c r="J28" s="26">
        <v>7</v>
      </c>
      <c r="K28" s="57">
        <v>0</v>
      </c>
      <c r="L28" s="34" t="s">
        <v>47</v>
      </c>
    </row>
    <row r="29" spans="1:12" ht="15.75">
      <c r="A29" s="32" t="s">
        <v>17</v>
      </c>
      <c r="B29" s="35"/>
      <c r="C29" s="22">
        <f>SUM(D29:E29)</f>
        <v>241</v>
      </c>
      <c r="D29" s="26">
        <v>125</v>
      </c>
      <c r="E29" s="26">
        <v>116</v>
      </c>
      <c r="F29" s="26">
        <v>0</v>
      </c>
      <c r="G29" s="28"/>
      <c r="H29" s="22">
        <f t="shared" si="0"/>
        <v>97</v>
      </c>
      <c r="I29" s="26">
        <v>60</v>
      </c>
      <c r="J29" s="26">
        <v>37</v>
      </c>
      <c r="K29" s="57">
        <v>0</v>
      </c>
      <c r="L29" s="34" t="s">
        <v>48</v>
      </c>
    </row>
    <row r="30" spans="1:12" ht="55.5" customHeight="1">
      <c r="A30" s="58" t="s">
        <v>63</v>
      </c>
      <c r="B30" s="59"/>
      <c r="C30" s="60">
        <f>SUM(D30:E30)</f>
        <v>195</v>
      </c>
      <c r="D30" s="61">
        <v>86</v>
      </c>
      <c r="E30" s="61">
        <v>109</v>
      </c>
      <c r="F30" s="26">
        <v>0</v>
      </c>
      <c r="G30" s="37"/>
      <c r="H30" s="60">
        <f t="shared" ref="H30" si="2">SUM(I30:J30)</f>
        <v>28</v>
      </c>
      <c r="I30" s="61">
        <v>19</v>
      </c>
      <c r="J30" s="61">
        <v>9</v>
      </c>
      <c r="K30" s="62">
        <v>0</v>
      </c>
      <c r="L30" s="63" t="s">
        <v>55</v>
      </c>
    </row>
    <row r="31" spans="1:12" ht="15.75">
      <c r="A31" s="64" t="s">
        <v>56</v>
      </c>
      <c r="B31" s="41"/>
      <c r="C31" s="22"/>
      <c r="D31" s="26"/>
      <c r="E31" s="26"/>
      <c r="F31" s="65"/>
      <c r="G31" s="35"/>
      <c r="H31" s="22"/>
      <c r="I31" s="26"/>
      <c r="J31" s="26"/>
      <c r="K31" s="8"/>
      <c r="L31" s="38"/>
    </row>
    <row r="32" spans="1:12" ht="12.75" customHeight="1">
      <c r="A32" s="66" t="s">
        <v>64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ht="17.25" customHeight="1">
      <c r="A33" s="67" t="s">
        <v>65</v>
      </c>
      <c r="B33" s="40"/>
      <c r="C33" s="40"/>
      <c r="D33" s="40"/>
      <c r="E33" s="40"/>
      <c r="F33" s="40"/>
      <c r="G33" s="44"/>
      <c r="H33" s="44"/>
      <c r="I33" s="44"/>
      <c r="J33" s="44"/>
      <c r="K33" s="44"/>
      <c r="L33" s="44"/>
    </row>
    <row r="34" spans="1:12" ht="14.25">
      <c r="A34" s="68" t="s">
        <v>66</v>
      </c>
      <c r="B34" s="10"/>
      <c r="C34" s="9"/>
      <c r="D34" s="9"/>
      <c r="E34" s="9"/>
      <c r="F34" s="9"/>
      <c r="G34" s="8"/>
      <c r="H34" s="8"/>
      <c r="I34" s="8"/>
      <c r="J34" s="8"/>
      <c r="K34" s="8"/>
      <c r="L34" s="16"/>
    </row>
    <row r="35" spans="1:12" ht="16.5">
      <c r="A35" s="69" t="s">
        <v>67</v>
      </c>
      <c r="L35" s="39"/>
    </row>
    <row r="36" spans="1:12" ht="17.25">
      <c r="A36" s="11"/>
      <c r="B36" s="12"/>
      <c r="C36" s="12"/>
      <c r="D36" s="12"/>
      <c r="E36" s="12"/>
      <c r="F36" s="12"/>
      <c r="G36" s="8"/>
      <c r="H36" s="13"/>
      <c r="I36" s="13"/>
      <c r="J36" s="14"/>
      <c r="K36" s="14"/>
      <c r="L36" s="15"/>
    </row>
    <row r="37" spans="1:12" ht="17.25">
      <c r="A37" s="11"/>
      <c r="B37" s="12"/>
      <c r="C37" s="12"/>
      <c r="D37" s="12"/>
      <c r="E37" s="12"/>
      <c r="F37" s="12"/>
      <c r="G37" s="8"/>
      <c r="H37" s="13"/>
      <c r="I37" s="13"/>
      <c r="J37" s="14"/>
      <c r="K37" s="14"/>
      <c r="L37" s="15"/>
    </row>
    <row r="38" spans="1:12" ht="15.75">
      <c r="A38" s="45" t="s">
        <v>68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</row>
    <row r="39" spans="1:12" ht="15">
      <c r="A39" s="46" t="s">
        <v>69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spans="1:12" ht="17.25">
      <c r="A40" s="42" t="s">
        <v>6</v>
      </c>
      <c r="B40" s="2"/>
      <c r="C40" s="47" t="s">
        <v>51</v>
      </c>
      <c r="D40" s="47"/>
      <c r="E40" s="48" t="s">
        <v>49</v>
      </c>
      <c r="F40" s="49"/>
      <c r="G40" s="3"/>
      <c r="H40" s="47" t="s">
        <v>52</v>
      </c>
      <c r="I40" s="47"/>
      <c r="J40" s="50" t="s">
        <v>50</v>
      </c>
      <c r="K40" s="50"/>
      <c r="L40" s="43" t="s">
        <v>57</v>
      </c>
    </row>
    <row r="41" spans="1:12" ht="17.25">
      <c r="A41" s="42"/>
      <c r="B41" s="2"/>
      <c r="C41" s="18" t="s">
        <v>0</v>
      </c>
      <c r="D41" s="18" t="s">
        <v>1</v>
      </c>
      <c r="E41" s="18" t="s">
        <v>2</v>
      </c>
      <c r="F41" s="43" t="s">
        <v>61</v>
      </c>
      <c r="G41" s="4"/>
      <c r="H41" s="17" t="s">
        <v>0</v>
      </c>
      <c r="I41" s="17" t="s">
        <v>1</v>
      </c>
      <c r="J41" s="18" t="s">
        <v>2</v>
      </c>
      <c r="K41" s="43" t="s">
        <v>61</v>
      </c>
      <c r="L41" s="43"/>
    </row>
    <row r="42" spans="1:12" ht="24">
      <c r="A42" s="51"/>
      <c r="B42" s="52"/>
      <c r="C42" s="5" t="s">
        <v>3</v>
      </c>
      <c r="D42" s="5" t="s">
        <v>4</v>
      </c>
      <c r="E42" s="6" t="s">
        <v>5</v>
      </c>
      <c r="F42" s="6" t="s">
        <v>62</v>
      </c>
      <c r="G42" s="7"/>
      <c r="H42" s="5" t="s">
        <v>3</v>
      </c>
      <c r="I42" s="5" t="s">
        <v>4</v>
      </c>
      <c r="J42" s="6" t="s">
        <v>5</v>
      </c>
      <c r="K42" s="6" t="s">
        <v>62</v>
      </c>
      <c r="L42" s="53"/>
    </row>
    <row r="43" spans="1:12" ht="15.75">
      <c r="A43" s="30" t="s">
        <v>58</v>
      </c>
      <c r="B43" s="25"/>
      <c r="C43" s="20">
        <f>SUM(D43:F43)</f>
        <v>5840</v>
      </c>
      <c r="D43" s="20">
        <f>D44+D45</f>
        <v>2981</v>
      </c>
      <c r="E43" s="20">
        <f>E44+E45</f>
        <v>2858</v>
      </c>
      <c r="F43" s="20">
        <f>F44+F45+F66</f>
        <v>1</v>
      </c>
      <c r="G43" s="21"/>
      <c r="H43" s="20">
        <f>SUM(I43:K43)</f>
        <v>1470</v>
      </c>
      <c r="I43" s="20">
        <f>I44+I45</f>
        <v>873</v>
      </c>
      <c r="J43" s="20">
        <f>J44+J45</f>
        <v>597</v>
      </c>
      <c r="K43" s="54">
        <f>K44+K45</f>
        <v>0</v>
      </c>
      <c r="L43" s="31" t="s">
        <v>7</v>
      </c>
    </row>
    <row r="44" spans="1:12" s="19" customFormat="1" ht="15.75">
      <c r="A44" s="30" t="s">
        <v>8</v>
      </c>
      <c r="B44" s="25"/>
      <c r="C44" s="22">
        <f>SUM(D44:E44)</f>
        <v>3916</v>
      </c>
      <c r="D44" s="25">
        <v>2005</v>
      </c>
      <c r="E44" s="25">
        <v>1911</v>
      </c>
      <c r="F44" s="23">
        <v>1</v>
      </c>
      <c r="G44" s="24"/>
      <c r="H44" s="22">
        <f t="shared" ref="H44:H63" si="3">SUM(I44:K44)</f>
        <v>826</v>
      </c>
      <c r="I44" s="25">
        <v>497</v>
      </c>
      <c r="J44" s="25">
        <v>329</v>
      </c>
      <c r="K44" s="55">
        <v>0</v>
      </c>
      <c r="L44" s="31" t="s">
        <v>9</v>
      </c>
    </row>
    <row r="45" spans="1:12" ht="15.75">
      <c r="A45" s="30" t="s">
        <v>10</v>
      </c>
      <c r="B45" s="25"/>
      <c r="C45" s="22">
        <f>SUM(C46:C65)</f>
        <v>1923</v>
      </c>
      <c r="D45" s="25">
        <f>SUM(D46:D65)</f>
        <v>976</v>
      </c>
      <c r="E45" s="25">
        <f>SUM(E46:E65)</f>
        <v>947</v>
      </c>
      <c r="F45" s="25">
        <f>SUM(F46:F65)</f>
        <v>0</v>
      </c>
      <c r="G45" s="24"/>
      <c r="H45" s="22">
        <f t="shared" si="3"/>
        <v>644</v>
      </c>
      <c r="I45" s="25">
        <f>SUM(I46:I65)</f>
        <v>376</v>
      </c>
      <c r="J45" s="25">
        <f>SUM(J46:J65)</f>
        <v>268</v>
      </c>
      <c r="K45" s="56">
        <f>SUM(K46:K66)</f>
        <v>0</v>
      </c>
      <c r="L45" s="31" t="s">
        <v>11</v>
      </c>
    </row>
    <row r="46" spans="1:12" ht="15.75">
      <c r="A46" s="32" t="s">
        <v>12</v>
      </c>
      <c r="B46" s="33"/>
      <c r="C46" s="22">
        <f>SUM(D46:E46)</f>
        <v>56</v>
      </c>
      <c r="D46" s="26">
        <v>32</v>
      </c>
      <c r="E46" s="26">
        <v>24</v>
      </c>
      <c r="F46" s="26">
        <v>0</v>
      </c>
      <c r="G46" s="27"/>
      <c r="H46" s="22">
        <f t="shared" si="3"/>
        <v>37</v>
      </c>
      <c r="I46" s="26">
        <v>20</v>
      </c>
      <c r="J46" s="26">
        <v>17</v>
      </c>
      <c r="K46" s="57">
        <v>0</v>
      </c>
      <c r="L46" s="34" t="s">
        <v>13</v>
      </c>
    </row>
    <row r="47" spans="1:12" ht="15.75">
      <c r="A47" s="32" t="s">
        <v>14</v>
      </c>
      <c r="B47" s="35"/>
      <c r="C47" s="22">
        <f t="shared" ref="C47:C64" si="4">SUM(D47:E47)</f>
        <v>408</v>
      </c>
      <c r="D47" s="26">
        <v>201</v>
      </c>
      <c r="E47" s="26">
        <v>207</v>
      </c>
      <c r="F47" s="26">
        <v>0</v>
      </c>
      <c r="G47" s="28"/>
      <c r="H47" s="22">
        <f t="shared" si="3"/>
        <v>104</v>
      </c>
      <c r="I47" s="26">
        <v>56</v>
      </c>
      <c r="J47" s="26">
        <v>48</v>
      </c>
      <c r="K47" s="57">
        <v>0</v>
      </c>
      <c r="L47" s="34" t="s">
        <v>15</v>
      </c>
    </row>
    <row r="48" spans="1:12" ht="15.75">
      <c r="A48" s="32" t="s">
        <v>16</v>
      </c>
      <c r="B48" s="35"/>
      <c r="C48" s="22">
        <f t="shared" si="4"/>
        <v>56</v>
      </c>
      <c r="D48" s="26">
        <v>28</v>
      </c>
      <c r="E48" s="26">
        <v>28</v>
      </c>
      <c r="F48" s="26">
        <v>0</v>
      </c>
      <c r="G48" s="28"/>
      <c r="H48" s="22">
        <f t="shared" si="3"/>
        <v>21</v>
      </c>
      <c r="I48" s="26">
        <v>13</v>
      </c>
      <c r="J48" s="26">
        <v>8</v>
      </c>
      <c r="K48" s="57">
        <v>0</v>
      </c>
      <c r="L48" s="34" t="s">
        <v>17</v>
      </c>
    </row>
    <row r="49" spans="1:12" ht="15.75">
      <c r="A49" s="32" t="s">
        <v>18</v>
      </c>
      <c r="B49" s="36"/>
      <c r="C49" s="22">
        <f t="shared" si="4"/>
        <v>49</v>
      </c>
      <c r="D49" s="26">
        <v>30</v>
      </c>
      <c r="E49" s="26">
        <v>19</v>
      </c>
      <c r="F49" s="26">
        <v>0</v>
      </c>
      <c r="G49" s="28"/>
      <c r="H49" s="22">
        <f t="shared" si="3"/>
        <v>25</v>
      </c>
      <c r="I49" s="26">
        <v>12</v>
      </c>
      <c r="J49" s="26">
        <v>13</v>
      </c>
      <c r="K49" s="57">
        <v>0</v>
      </c>
      <c r="L49" s="34" t="s">
        <v>19</v>
      </c>
    </row>
    <row r="50" spans="1:12" ht="15.75">
      <c r="A50" s="32" t="s">
        <v>20</v>
      </c>
      <c r="B50" s="36"/>
      <c r="C50" s="22">
        <f t="shared" si="4"/>
        <v>241</v>
      </c>
      <c r="D50" s="26">
        <v>113</v>
      </c>
      <c r="E50" s="26">
        <v>128</v>
      </c>
      <c r="F50" s="29">
        <v>0</v>
      </c>
      <c r="G50" s="28"/>
      <c r="H50" s="22">
        <f t="shared" si="3"/>
        <v>46</v>
      </c>
      <c r="I50" s="26">
        <v>26</v>
      </c>
      <c r="J50" s="26">
        <v>20</v>
      </c>
      <c r="K50" s="57">
        <v>0</v>
      </c>
      <c r="L50" s="34" t="s">
        <v>21</v>
      </c>
    </row>
    <row r="51" spans="1:12" ht="15.75">
      <c r="A51" s="32" t="s">
        <v>22</v>
      </c>
      <c r="B51" s="36"/>
      <c r="C51" s="22">
        <f t="shared" si="4"/>
        <v>54</v>
      </c>
      <c r="D51" s="26">
        <v>29</v>
      </c>
      <c r="E51" s="26">
        <v>25</v>
      </c>
      <c r="F51" s="26">
        <v>0</v>
      </c>
      <c r="G51" s="28"/>
      <c r="H51" s="22">
        <f t="shared" si="3"/>
        <v>27</v>
      </c>
      <c r="I51" s="26">
        <v>18</v>
      </c>
      <c r="J51" s="26">
        <v>9</v>
      </c>
      <c r="K51" s="57">
        <v>0</v>
      </c>
      <c r="L51" s="34" t="s">
        <v>23</v>
      </c>
    </row>
    <row r="52" spans="1:12" ht="15.75">
      <c r="A52" s="32" t="s">
        <v>24</v>
      </c>
      <c r="B52" s="35"/>
      <c r="C52" s="22">
        <f t="shared" si="4"/>
        <v>74</v>
      </c>
      <c r="D52" s="26">
        <v>40</v>
      </c>
      <c r="E52" s="26">
        <v>34</v>
      </c>
      <c r="F52" s="26">
        <v>0</v>
      </c>
      <c r="G52" s="28"/>
      <c r="H52" s="22">
        <f t="shared" si="3"/>
        <v>32</v>
      </c>
      <c r="I52" s="26">
        <v>24</v>
      </c>
      <c r="J52" s="26">
        <v>8</v>
      </c>
      <c r="K52" s="57">
        <v>0</v>
      </c>
      <c r="L52" s="34" t="s">
        <v>25</v>
      </c>
    </row>
    <row r="53" spans="1:12" ht="15.75">
      <c r="A53" s="32" t="s">
        <v>53</v>
      </c>
      <c r="B53" s="35"/>
      <c r="C53" s="22">
        <f t="shared" si="4"/>
        <v>2</v>
      </c>
      <c r="D53" s="26"/>
      <c r="E53" s="26">
        <v>2</v>
      </c>
      <c r="F53" s="26">
        <v>0</v>
      </c>
      <c r="G53" s="28"/>
      <c r="H53" s="22">
        <f t="shared" si="3"/>
        <v>47</v>
      </c>
      <c r="I53" s="26">
        <v>27</v>
      </c>
      <c r="J53" s="26">
        <v>20</v>
      </c>
      <c r="K53" s="57">
        <v>0</v>
      </c>
      <c r="L53" s="34" t="s">
        <v>54</v>
      </c>
    </row>
    <row r="54" spans="1:12" ht="15.75">
      <c r="A54" s="32" t="s">
        <v>26</v>
      </c>
      <c r="B54" s="35"/>
      <c r="C54" s="22">
        <f t="shared" si="4"/>
        <v>21</v>
      </c>
      <c r="D54" s="26">
        <v>10</v>
      </c>
      <c r="E54" s="26">
        <v>11</v>
      </c>
      <c r="F54" s="26">
        <v>0</v>
      </c>
      <c r="G54" s="28"/>
      <c r="H54" s="22">
        <f t="shared" si="3"/>
        <v>13</v>
      </c>
      <c r="I54" s="26">
        <v>8</v>
      </c>
      <c r="J54" s="26">
        <v>5</v>
      </c>
      <c r="K54" s="57">
        <v>0</v>
      </c>
      <c r="L54" s="34" t="s">
        <v>27</v>
      </c>
    </row>
    <row r="55" spans="1:12" ht="15.75">
      <c r="A55" s="32" t="s">
        <v>28</v>
      </c>
      <c r="B55" s="35"/>
      <c r="C55" s="22">
        <f t="shared" si="4"/>
        <v>34</v>
      </c>
      <c r="D55" s="26">
        <v>16</v>
      </c>
      <c r="E55" s="26">
        <v>18</v>
      </c>
      <c r="F55" s="26">
        <v>0</v>
      </c>
      <c r="G55" s="28"/>
      <c r="H55" s="22">
        <f t="shared" si="3"/>
        <v>26</v>
      </c>
      <c r="I55" s="26">
        <v>16</v>
      </c>
      <c r="J55" s="26">
        <v>10</v>
      </c>
      <c r="K55" s="57">
        <v>0</v>
      </c>
      <c r="L55" s="34" t="s">
        <v>29</v>
      </c>
    </row>
    <row r="56" spans="1:12" ht="15.75">
      <c r="A56" s="32" t="s">
        <v>30</v>
      </c>
      <c r="B56" s="35"/>
      <c r="C56" s="22">
        <f t="shared" si="4"/>
        <v>0</v>
      </c>
      <c r="D56" s="26">
        <v>0</v>
      </c>
      <c r="E56" s="26">
        <v>0</v>
      </c>
      <c r="F56" s="26">
        <v>0</v>
      </c>
      <c r="G56" s="28"/>
      <c r="H56" s="22">
        <f t="shared" si="3"/>
        <v>5</v>
      </c>
      <c r="I56" s="26">
        <v>4</v>
      </c>
      <c r="J56" s="26">
        <v>1</v>
      </c>
      <c r="K56" s="57">
        <v>0</v>
      </c>
      <c r="L56" s="34" t="s">
        <v>31</v>
      </c>
    </row>
    <row r="57" spans="1:12" ht="15.75">
      <c r="A57" s="32" t="s">
        <v>32</v>
      </c>
      <c r="B57" s="35"/>
      <c r="C57" s="22">
        <f t="shared" si="4"/>
        <v>25</v>
      </c>
      <c r="D57" s="26">
        <v>14</v>
      </c>
      <c r="E57" s="26">
        <v>11</v>
      </c>
      <c r="F57" s="26">
        <v>0</v>
      </c>
      <c r="G57" s="28"/>
      <c r="H57" s="22">
        <f t="shared" si="3"/>
        <v>18</v>
      </c>
      <c r="I57" s="26">
        <v>8</v>
      </c>
      <c r="J57" s="26">
        <v>10</v>
      </c>
      <c r="K57" s="57">
        <v>0</v>
      </c>
      <c r="L57" s="34" t="s">
        <v>33</v>
      </c>
    </row>
    <row r="58" spans="1:12" ht="15.75">
      <c r="A58" s="32" t="s">
        <v>34</v>
      </c>
      <c r="B58" s="35"/>
      <c r="C58" s="22">
        <f t="shared" si="4"/>
        <v>36</v>
      </c>
      <c r="D58" s="26">
        <v>22</v>
      </c>
      <c r="E58" s="26">
        <v>14</v>
      </c>
      <c r="F58" s="26">
        <v>0</v>
      </c>
      <c r="G58" s="28"/>
      <c r="H58" s="22">
        <f t="shared" si="3"/>
        <v>6</v>
      </c>
      <c r="I58" s="26">
        <v>2</v>
      </c>
      <c r="J58" s="26">
        <v>4</v>
      </c>
      <c r="K58" s="57">
        <v>0</v>
      </c>
      <c r="L58" s="34" t="s">
        <v>35</v>
      </c>
    </row>
    <row r="59" spans="1:12" ht="15.75">
      <c r="A59" s="32" t="s">
        <v>36</v>
      </c>
      <c r="B59" s="35"/>
      <c r="C59" s="22">
        <f t="shared" si="4"/>
        <v>36</v>
      </c>
      <c r="D59" s="26">
        <v>24</v>
      </c>
      <c r="E59" s="26">
        <v>12</v>
      </c>
      <c r="F59" s="26">
        <v>0</v>
      </c>
      <c r="G59" s="28"/>
      <c r="H59" s="22">
        <f t="shared" si="3"/>
        <v>12</v>
      </c>
      <c r="I59" s="26">
        <v>6</v>
      </c>
      <c r="J59" s="26">
        <v>6</v>
      </c>
      <c r="K59" s="57">
        <v>0</v>
      </c>
      <c r="L59" s="34" t="s">
        <v>37</v>
      </c>
    </row>
    <row r="60" spans="1:12" ht="15.75">
      <c r="A60" s="32" t="s">
        <v>38</v>
      </c>
      <c r="B60" s="35"/>
      <c r="C60" s="22">
        <f t="shared" si="4"/>
        <v>42</v>
      </c>
      <c r="D60" s="26">
        <v>16</v>
      </c>
      <c r="E60" s="26">
        <v>26</v>
      </c>
      <c r="F60" s="26">
        <v>0</v>
      </c>
      <c r="G60" s="28"/>
      <c r="H60" s="22">
        <f t="shared" si="3"/>
        <v>16</v>
      </c>
      <c r="I60" s="26">
        <v>9</v>
      </c>
      <c r="J60" s="26">
        <v>7</v>
      </c>
      <c r="K60" s="57">
        <v>0</v>
      </c>
      <c r="L60" s="34" t="s">
        <v>39</v>
      </c>
    </row>
    <row r="61" spans="1:12" ht="15.75">
      <c r="A61" s="32" t="s">
        <v>40</v>
      </c>
      <c r="B61" s="35"/>
      <c r="C61" s="22">
        <f t="shared" si="4"/>
        <v>213</v>
      </c>
      <c r="D61" s="26">
        <v>113</v>
      </c>
      <c r="E61" s="26">
        <v>100</v>
      </c>
      <c r="F61" s="26">
        <v>0</v>
      </c>
      <c r="G61" s="28"/>
      <c r="H61" s="22">
        <f t="shared" si="3"/>
        <v>37</v>
      </c>
      <c r="I61" s="26">
        <v>21</v>
      </c>
      <c r="J61" s="26">
        <v>16</v>
      </c>
      <c r="K61" s="57">
        <v>0</v>
      </c>
      <c r="L61" s="34" t="s">
        <v>41</v>
      </c>
    </row>
    <row r="62" spans="1:12" ht="15.75">
      <c r="A62" s="32" t="s">
        <v>42</v>
      </c>
      <c r="B62" s="35"/>
      <c r="C62" s="22">
        <f t="shared" si="4"/>
        <v>53</v>
      </c>
      <c r="D62" s="26">
        <v>25</v>
      </c>
      <c r="E62" s="26">
        <v>28</v>
      </c>
      <c r="F62" s="26">
        <v>0</v>
      </c>
      <c r="G62" s="28"/>
      <c r="H62" s="22">
        <f t="shared" si="3"/>
        <v>17</v>
      </c>
      <c r="I62" s="26">
        <v>14</v>
      </c>
      <c r="J62" s="26">
        <v>3</v>
      </c>
      <c r="K62" s="57">
        <v>0</v>
      </c>
      <c r="L62" s="34" t="s">
        <v>43</v>
      </c>
    </row>
    <row r="63" spans="1:12" ht="15.75">
      <c r="A63" s="32" t="s">
        <v>44</v>
      </c>
      <c r="B63" s="35"/>
      <c r="C63" s="22">
        <f t="shared" si="4"/>
        <v>149</v>
      </c>
      <c r="D63" s="26">
        <v>77</v>
      </c>
      <c r="E63" s="26">
        <v>72</v>
      </c>
      <c r="F63" s="26">
        <v>0</v>
      </c>
      <c r="G63" s="28"/>
      <c r="H63" s="22">
        <f t="shared" si="3"/>
        <v>38</v>
      </c>
      <c r="I63" s="26">
        <v>21</v>
      </c>
      <c r="J63" s="26">
        <v>17</v>
      </c>
      <c r="K63" s="57">
        <v>0</v>
      </c>
      <c r="L63" s="34" t="s">
        <v>45</v>
      </c>
    </row>
    <row r="64" spans="1:12" ht="15.75">
      <c r="A64" s="32" t="s">
        <v>46</v>
      </c>
      <c r="B64" s="35"/>
      <c r="C64" s="22">
        <f t="shared" si="4"/>
        <v>100</v>
      </c>
      <c r="D64" s="26">
        <v>54</v>
      </c>
      <c r="E64" s="26">
        <v>46</v>
      </c>
      <c r="F64" s="26">
        <v>0</v>
      </c>
      <c r="G64" s="28"/>
      <c r="H64" s="22">
        <f>SUM(I64:K64)</f>
        <v>31</v>
      </c>
      <c r="I64" s="26">
        <v>20</v>
      </c>
      <c r="J64" s="26">
        <v>11</v>
      </c>
      <c r="K64" s="57">
        <v>0</v>
      </c>
      <c r="L64" s="34" t="s">
        <v>47</v>
      </c>
    </row>
    <row r="65" spans="1:12" ht="15.75">
      <c r="A65" s="32" t="s">
        <v>17</v>
      </c>
      <c r="B65" s="35"/>
      <c r="C65" s="22">
        <f>SUM(D65:E65)</f>
        <v>274</v>
      </c>
      <c r="D65" s="26">
        <v>132</v>
      </c>
      <c r="E65" s="26">
        <v>142</v>
      </c>
      <c r="F65" s="26">
        <v>0</v>
      </c>
      <c r="G65" s="28"/>
      <c r="H65" s="22">
        <f t="shared" ref="H65" si="5">SUM(I65:K65)</f>
        <v>86</v>
      </c>
      <c r="I65" s="26">
        <v>51</v>
      </c>
      <c r="J65" s="26">
        <v>35</v>
      </c>
      <c r="K65" s="57">
        <v>0</v>
      </c>
      <c r="L65" s="34" t="s">
        <v>48</v>
      </c>
    </row>
    <row r="66" spans="1:12" ht="55.5" customHeight="1">
      <c r="A66" s="58" t="s">
        <v>63</v>
      </c>
      <c r="B66" s="59"/>
      <c r="C66" s="60">
        <f>SUM(D66:E66)</f>
        <v>236</v>
      </c>
      <c r="D66" s="61">
        <v>125</v>
      </c>
      <c r="E66" s="61">
        <v>111</v>
      </c>
      <c r="F66" s="26">
        <v>0</v>
      </c>
      <c r="G66" s="37"/>
      <c r="H66" s="60">
        <f t="shared" ref="H66" si="6">SUM(I66:J66)</f>
        <v>44</v>
      </c>
      <c r="I66" s="61">
        <v>26</v>
      </c>
      <c r="J66" s="61">
        <v>18</v>
      </c>
      <c r="K66" s="62">
        <v>0</v>
      </c>
      <c r="L66" s="63" t="s">
        <v>55</v>
      </c>
    </row>
    <row r="67" spans="1:12" ht="15.75">
      <c r="A67" s="64" t="s">
        <v>56</v>
      </c>
      <c r="B67" s="41"/>
      <c r="C67" s="22"/>
      <c r="D67" s="26"/>
      <c r="E67" s="26"/>
      <c r="F67" s="65"/>
      <c r="G67" s="35"/>
      <c r="H67" s="22"/>
      <c r="I67" s="26"/>
      <c r="J67" s="26"/>
      <c r="K67" s="8"/>
      <c r="L67" s="38"/>
    </row>
    <row r="68" spans="1:12">
      <c r="A68" s="66" t="s">
        <v>64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ht="17.25">
      <c r="A69" s="67" t="s">
        <v>65</v>
      </c>
      <c r="B69" s="40"/>
      <c r="C69" s="40"/>
      <c r="D69" s="40"/>
      <c r="E69" s="40"/>
      <c r="F69" s="40"/>
      <c r="G69" s="44"/>
      <c r="H69" s="44"/>
      <c r="I69" s="44"/>
      <c r="J69" s="44"/>
      <c r="K69" s="44"/>
      <c r="L69" s="44"/>
    </row>
    <row r="70" spans="1:12" ht="14.25">
      <c r="A70" s="68" t="s">
        <v>66</v>
      </c>
      <c r="B70" s="10"/>
      <c r="C70" s="9"/>
      <c r="D70" s="9"/>
      <c r="E70" s="9"/>
      <c r="F70" s="9"/>
      <c r="G70" s="8"/>
      <c r="H70" s="8"/>
      <c r="I70" s="8"/>
      <c r="J70" s="8"/>
      <c r="K70" s="8"/>
      <c r="L70" s="16"/>
    </row>
    <row r="71" spans="1:12" ht="16.5">
      <c r="A71" s="69" t="s">
        <v>67</v>
      </c>
      <c r="L71" s="39"/>
    </row>
    <row r="74" spans="1:12" ht="15.75">
      <c r="A74" s="45" t="s">
        <v>70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 ht="15">
      <c r="A75" s="46" t="s">
        <v>71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</row>
    <row r="76" spans="1:12" ht="17.25">
      <c r="A76" s="42" t="s">
        <v>6</v>
      </c>
      <c r="B76" s="2"/>
      <c r="C76" s="47" t="s">
        <v>51</v>
      </c>
      <c r="D76" s="47"/>
      <c r="E76" s="48" t="s">
        <v>49</v>
      </c>
      <c r="F76" s="49"/>
      <c r="G76" s="3"/>
      <c r="H76" s="47" t="s">
        <v>52</v>
      </c>
      <c r="I76" s="47"/>
      <c r="J76" s="50" t="s">
        <v>50</v>
      </c>
      <c r="K76" s="50"/>
      <c r="L76" s="43" t="s">
        <v>57</v>
      </c>
    </row>
    <row r="77" spans="1:12" ht="17.25">
      <c r="A77" s="42"/>
      <c r="B77" s="2"/>
      <c r="C77" s="18" t="s">
        <v>0</v>
      </c>
      <c r="D77" s="18" t="s">
        <v>1</v>
      </c>
      <c r="E77" s="18" t="s">
        <v>2</v>
      </c>
      <c r="F77" s="43" t="s">
        <v>61</v>
      </c>
      <c r="G77" s="4"/>
      <c r="H77" s="17" t="s">
        <v>0</v>
      </c>
      <c r="I77" s="17" t="s">
        <v>1</v>
      </c>
      <c r="J77" s="18" t="s">
        <v>2</v>
      </c>
      <c r="K77" s="43" t="s">
        <v>61</v>
      </c>
      <c r="L77" s="43"/>
    </row>
    <row r="78" spans="1:12" ht="24">
      <c r="A78" s="51"/>
      <c r="B78" s="52"/>
      <c r="C78" s="5" t="s">
        <v>3</v>
      </c>
      <c r="D78" s="5" t="s">
        <v>4</v>
      </c>
      <c r="E78" s="6" t="s">
        <v>5</v>
      </c>
      <c r="F78" s="6" t="s">
        <v>62</v>
      </c>
      <c r="G78" s="7"/>
      <c r="H78" s="5" t="s">
        <v>3</v>
      </c>
      <c r="I78" s="5" t="s">
        <v>4</v>
      </c>
      <c r="J78" s="6" t="s">
        <v>5</v>
      </c>
      <c r="K78" s="6" t="s">
        <v>62</v>
      </c>
      <c r="L78" s="53"/>
    </row>
    <row r="79" spans="1:12" ht="15.75">
      <c r="A79" s="30" t="s">
        <v>58</v>
      </c>
      <c r="B79" s="25"/>
      <c r="C79" s="20">
        <f>SUM(D79:F79)</f>
        <v>5956</v>
      </c>
      <c r="D79" s="20">
        <f>D80+D81</f>
        <v>3073</v>
      </c>
      <c r="E79" s="20">
        <f>E80+E81</f>
        <v>2883</v>
      </c>
      <c r="F79" s="20">
        <f>F80+F81+F102</f>
        <v>0</v>
      </c>
      <c r="G79" s="21"/>
      <c r="H79" s="20">
        <f>SUM(I79:K79)</f>
        <v>1517</v>
      </c>
      <c r="I79" s="20">
        <f>I80+I81</f>
        <v>869</v>
      </c>
      <c r="J79" s="20">
        <f>J80+J81</f>
        <v>647</v>
      </c>
      <c r="K79" s="54">
        <f>K80+K81</f>
        <v>1</v>
      </c>
      <c r="L79" s="31" t="s">
        <v>7</v>
      </c>
    </row>
    <row r="80" spans="1:12" s="19" customFormat="1" ht="15.75">
      <c r="A80" s="30" t="s">
        <v>8</v>
      </c>
      <c r="B80" s="25"/>
      <c r="C80" s="22">
        <f>SUM(D80:E80)</f>
        <v>3871</v>
      </c>
      <c r="D80" s="25">
        <v>2020</v>
      </c>
      <c r="E80" s="25">
        <v>1851</v>
      </c>
      <c r="F80" s="23">
        <v>0</v>
      </c>
      <c r="G80" s="24"/>
      <c r="H80" s="22">
        <f t="shared" ref="H80:H99" si="7">SUM(I80:K80)</f>
        <v>776</v>
      </c>
      <c r="I80" s="25">
        <v>428</v>
      </c>
      <c r="J80" s="25">
        <v>347</v>
      </c>
      <c r="K80" s="55">
        <v>1</v>
      </c>
      <c r="L80" s="31" t="s">
        <v>9</v>
      </c>
    </row>
    <row r="81" spans="1:12" ht="15.75">
      <c r="A81" s="30" t="s">
        <v>10</v>
      </c>
      <c r="B81" s="25"/>
      <c r="C81" s="22">
        <f>SUM(C82:C101)</f>
        <v>2085</v>
      </c>
      <c r="D81" s="25">
        <f>SUM(D82:D101)</f>
        <v>1053</v>
      </c>
      <c r="E81" s="25">
        <f>SUM(E82:E101)</f>
        <v>1032</v>
      </c>
      <c r="F81" s="25">
        <f>SUM(F82:F101)</f>
        <v>0</v>
      </c>
      <c r="G81" s="24"/>
      <c r="H81" s="22">
        <f t="shared" si="7"/>
        <v>741</v>
      </c>
      <c r="I81" s="25">
        <f>SUM(I82:I101)</f>
        <v>441</v>
      </c>
      <c r="J81" s="25">
        <f>SUM(J82:J101)</f>
        <v>300</v>
      </c>
      <c r="K81" s="56">
        <f>SUM(K82:K102)</f>
        <v>0</v>
      </c>
      <c r="L81" s="31" t="s">
        <v>11</v>
      </c>
    </row>
    <row r="82" spans="1:12" ht="15.75">
      <c r="A82" s="32" t="s">
        <v>12</v>
      </c>
      <c r="B82" s="33"/>
      <c r="C82" s="22">
        <f>SUM(D82:E82)</f>
        <v>73</v>
      </c>
      <c r="D82" s="26">
        <v>43</v>
      </c>
      <c r="E82" s="26">
        <v>30</v>
      </c>
      <c r="F82" s="26">
        <v>0</v>
      </c>
      <c r="G82" s="27"/>
      <c r="H82" s="22">
        <f t="shared" si="7"/>
        <v>37</v>
      </c>
      <c r="I82" s="26">
        <v>16</v>
      </c>
      <c r="J82" s="26">
        <v>21</v>
      </c>
      <c r="K82" s="57">
        <v>0</v>
      </c>
      <c r="L82" s="34" t="s">
        <v>13</v>
      </c>
    </row>
    <row r="83" spans="1:12" ht="15.75">
      <c r="A83" s="32" t="s">
        <v>14</v>
      </c>
      <c r="B83" s="35"/>
      <c r="C83" s="22">
        <f t="shared" ref="C83:C100" si="8">SUM(D83:E83)</f>
        <v>416</v>
      </c>
      <c r="D83" s="26">
        <v>212</v>
      </c>
      <c r="E83" s="26">
        <v>204</v>
      </c>
      <c r="F83" s="26">
        <v>0</v>
      </c>
      <c r="G83" s="28"/>
      <c r="H83" s="22">
        <f t="shared" si="7"/>
        <v>87</v>
      </c>
      <c r="I83" s="26">
        <v>54</v>
      </c>
      <c r="J83" s="26">
        <v>33</v>
      </c>
      <c r="K83" s="57">
        <v>0</v>
      </c>
      <c r="L83" s="34" t="s">
        <v>15</v>
      </c>
    </row>
    <row r="84" spans="1:12" ht="15.75">
      <c r="A84" s="32" t="s">
        <v>16</v>
      </c>
      <c r="B84" s="35"/>
      <c r="C84" s="22">
        <f t="shared" si="8"/>
        <v>102</v>
      </c>
      <c r="D84" s="26">
        <v>51</v>
      </c>
      <c r="E84" s="26">
        <v>51</v>
      </c>
      <c r="F84" s="26">
        <v>0</v>
      </c>
      <c r="G84" s="28"/>
      <c r="H84" s="22">
        <f t="shared" si="7"/>
        <v>37</v>
      </c>
      <c r="I84" s="26">
        <v>18</v>
      </c>
      <c r="J84" s="26">
        <v>19</v>
      </c>
      <c r="K84" s="57">
        <v>0</v>
      </c>
      <c r="L84" s="34" t="s">
        <v>17</v>
      </c>
    </row>
    <row r="85" spans="1:12" ht="15.75">
      <c r="A85" s="32" t="s">
        <v>18</v>
      </c>
      <c r="B85" s="36"/>
      <c r="C85" s="22">
        <f t="shared" si="8"/>
        <v>51</v>
      </c>
      <c r="D85" s="26">
        <v>30</v>
      </c>
      <c r="E85" s="26">
        <v>21</v>
      </c>
      <c r="F85" s="26">
        <v>0</v>
      </c>
      <c r="G85" s="28"/>
      <c r="H85" s="22">
        <f t="shared" si="7"/>
        <v>43</v>
      </c>
      <c r="I85" s="26">
        <v>24</v>
      </c>
      <c r="J85" s="26">
        <v>19</v>
      </c>
      <c r="K85" s="57">
        <v>0</v>
      </c>
      <c r="L85" s="34" t="s">
        <v>19</v>
      </c>
    </row>
    <row r="86" spans="1:12" ht="15.75">
      <c r="A86" s="32" t="s">
        <v>20</v>
      </c>
      <c r="B86" s="36"/>
      <c r="C86" s="22">
        <f t="shared" si="8"/>
        <v>282</v>
      </c>
      <c r="D86" s="26">
        <v>127</v>
      </c>
      <c r="E86" s="26">
        <v>155</v>
      </c>
      <c r="F86" s="29">
        <v>0</v>
      </c>
      <c r="G86" s="28"/>
      <c r="H86" s="22">
        <f t="shared" si="7"/>
        <v>72</v>
      </c>
      <c r="I86" s="26">
        <v>44</v>
      </c>
      <c r="J86" s="26">
        <v>28</v>
      </c>
      <c r="K86" s="57">
        <v>0</v>
      </c>
      <c r="L86" s="34" t="s">
        <v>21</v>
      </c>
    </row>
    <row r="87" spans="1:12" ht="15.75">
      <c r="A87" s="32" t="s">
        <v>22</v>
      </c>
      <c r="B87" s="36"/>
      <c r="C87" s="22">
        <f t="shared" si="8"/>
        <v>76</v>
      </c>
      <c r="D87" s="26">
        <v>43</v>
      </c>
      <c r="E87" s="26">
        <v>33</v>
      </c>
      <c r="F87" s="26">
        <v>0</v>
      </c>
      <c r="G87" s="28"/>
      <c r="H87" s="22">
        <f t="shared" si="7"/>
        <v>15</v>
      </c>
      <c r="I87" s="26">
        <v>11</v>
      </c>
      <c r="J87" s="26">
        <v>4</v>
      </c>
      <c r="K87" s="57">
        <v>0</v>
      </c>
      <c r="L87" s="34" t="s">
        <v>23</v>
      </c>
    </row>
    <row r="88" spans="1:12" ht="15.75">
      <c r="A88" s="32" t="s">
        <v>24</v>
      </c>
      <c r="B88" s="35"/>
      <c r="C88" s="22">
        <f t="shared" si="8"/>
        <v>78</v>
      </c>
      <c r="D88" s="26">
        <v>40</v>
      </c>
      <c r="E88" s="26">
        <v>38</v>
      </c>
      <c r="F88" s="26">
        <v>0</v>
      </c>
      <c r="G88" s="28"/>
      <c r="H88" s="22">
        <f t="shared" si="7"/>
        <v>42</v>
      </c>
      <c r="I88" s="26">
        <v>29</v>
      </c>
      <c r="J88" s="26">
        <v>13</v>
      </c>
      <c r="K88" s="57">
        <v>0</v>
      </c>
      <c r="L88" s="34" t="s">
        <v>25</v>
      </c>
    </row>
    <row r="89" spans="1:12" ht="15.75">
      <c r="A89" s="32" t="s">
        <v>53</v>
      </c>
      <c r="B89" s="35"/>
      <c r="C89" s="22">
        <f t="shared" si="8"/>
        <v>2</v>
      </c>
      <c r="D89" s="26">
        <v>2</v>
      </c>
      <c r="E89" s="26"/>
      <c r="F89" s="26">
        <v>0</v>
      </c>
      <c r="G89" s="28"/>
      <c r="H89" s="22">
        <f t="shared" si="7"/>
        <v>44</v>
      </c>
      <c r="I89" s="26">
        <v>28</v>
      </c>
      <c r="J89" s="26">
        <v>16</v>
      </c>
      <c r="K89" s="57">
        <v>0</v>
      </c>
      <c r="L89" s="34" t="s">
        <v>54</v>
      </c>
    </row>
    <row r="90" spans="1:12" ht="15.75">
      <c r="A90" s="32" t="s">
        <v>26</v>
      </c>
      <c r="B90" s="35"/>
      <c r="C90" s="22">
        <f t="shared" si="8"/>
        <v>29</v>
      </c>
      <c r="D90" s="26">
        <v>12</v>
      </c>
      <c r="E90" s="26">
        <v>17</v>
      </c>
      <c r="F90" s="26">
        <v>0</v>
      </c>
      <c r="G90" s="28"/>
      <c r="H90" s="22">
        <f t="shared" si="7"/>
        <v>11</v>
      </c>
      <c r="I90" s="26">
        <v>7</v>
      </c>
      <c r="J90" s="26">
        <v>4</v>
      </c>
      <c r="K90" s="57">
        <v>0</v>
      </c>
      <c r="L90" s="34" t="s">
        <v>27</v>
      </c>
    </row>
    <row r="91" spans="1:12" ht="15.75">
      <c r="A91" s="32" t="s">
        <v>28</v>
      </c>
      <c r="B91" s="35"/>
      <c r="C91" s="22">
        <f t="shared" si="8"/>
        <v>24</v>
      </c>
      <c r="D91" s="26">
        <v>12</v>
      </c>
      <c r="E91" s="26">
        <v>12</v>
      </c>
      <c r="F91" s="26">
        <v>0</v>
      </c>
      <c r="G91" s="28"/>
      <c r="H91" s="22">
        <f t="shared" si="7"/>
        <v>28</v>
      </c>
      <c r="I91" s="26">
        <v>22</v>
      </c>
      <c r="J91" s="26">
        <v>6</v>
      </c>
      <c r="K91" s="57">
        <v>0</v>
      </c>
      <c r="L91" s="34" t="s">
        <v>29</v>
      </c>
    </row>
    <row r="92" spans="1:12" ht="15.75">
      <c r="A92" s="32" t="s">
        <v>30</v>
      </c>
      <c r="B92" s="35"/>
      <c r="C92" s="22">
        <f t="shared" si="8"/>
        <v>0</v>
      </c>
      <c r="D92" s="26">
        <v>0</v>
      </c>
      <c r="E92" s="26">
        <v>0</v>
      </c>
      <c r="F92" s="26">
        <v>0</v>
      </c>
      <c r="G92" s="28"/>
      <c r="H92" s="22">
        <f t="shared" si="7"/>
        <v>8</v>
      </c>
      <c r="I92" s="26">
        <v>3</v>
      </c>
      <c r="J92" s="26">
        <v>5</v>
      </c>
      <c r="K92" s="57">
        <v>0</v>
      </c>
      <c r="L92" s="34" t="s">
        <v>31</v>
      </c>
    </row>
    <row r="93" spans="1:12" ht="15.75">
      <c r="A93" s="32" t="s">
        <v>32</v>
      </c>
      <c r="B93" s="35"/>
      <c r="C93" s="22">
        <f t="shared" si="8"/>
        <v>17</v>
      </c>
      <c r="D93" s="26">
        <v>3</v>
      </c>
      <c r="E93" s="26">
        <v>14</v>
      </c>
      <c r="F93" s="26">
        <v>0</v>
      </c>
      <c r="G93" s="28"/>
      <c r="H93" s="22">
        <f t="shared" si="7"/>
        <v>28</v>
      </c>
      <c r="I93" s="26">
        <v>14</v>
      </c>
      <c r="J93" s="26">
        <v>14</v>
      </c>
      <c r="K93" s="57">
        <v>0</v>
      </c>
      <c r="L93" s="34" t="s">
        <v>33</v>
      </c>
    </row>
    <row r="94" spans="1:12" ht="15.75">
      <c r="A94" s="32" t="s">
        <v>34</v>
      </c>
      <c r="B94" s="35"/>
      <c r="C94" s="22">
        <f t="shared" si="8"/>
        <v>39</v>
      </c>
      <c r="D94" s="26">
        <v>16</v>
      </c>
      <c r="E94" s="26">
        <v>23</v>
      </c>
      <c r="F94" s="26">
        <v>0</v>
      </c>
      <c r="G94" s="28"/>
      <c r="H94" s="22">
        <f t="shared" si="7"/>
        <v>10</v>
      </c>
      <c r="I94" s="26">
        <v>4</v>
      </c>
      <c r="J94" s="26">
        <v>6</v>
      </c>
      <c r="K94" s="57">
        <v>0</v>
      </c>
      <c r="L94" s="34" t="s">
        <v>35</v>
      </c>
    </row>
    <row r="95" spans="1:12" ht="15.75">
      <c r="A95" s="32" t="s">
        <v>36</v>
      </c>
      <c r="B95" s="35"/>
      <c r="C95" s="22">
        <f t="shared" si="8"/>
        <v>63</v>
      </c>
      <c r="D95" s="26">
        <v>34</v>
      </c>
      <c r="E95" s="26">
        <v>29</v>
      </c>
      <c r="F95" s="26">
        <v>0</v>
      </c>
      <c r="G95" s="28"/>
      <c r="H95" s="22">
        <f t="shared" si="7"/>
        <v>5</v>
      </c>
      <c r="I95" s="26">
        <v>3</v>
      </c>
      <c r="J95" s="26">
        <v>2</v>
      </c>
      <c r="K95" s="57">
        <v>0</v>
      </c>
      <c r="L95" s="34" t="s">
        <v>37</v>
      </c>
    </row>
    <row r="96" spans="1:12" ht="15.75">
      <c r="A96" s="32" t="s">
        <v>38</v>
      </c>
      <c r="B96" s="35"/>
      <c r="C96" s="22">
        <f t="shared" si="8"/>
        <v>42</v>
      </c>
      <c r="D96" s="26">
        <v>21</v>
      </c>
      <c r="E96" s="26">
        <v>21</v>
      </c>
      <c r="F96" s="26">
        <v>0</v>
      </c>
      <c r="G96" s="28"/>
      <c r="H96" s="22">
        <f t="shared" si="7"/>
        <v>15</v>
      </c>
      <c r="I96" s="26">
        <v>6</v>
      </c>
      <c r="J96" s="26">
        <v>9</v>
      </c>
      <c r="K96" s="57">
        <v>0</v>
      </c>
      <c r="L96" s="34" t="s">
        <v>39</v>
      </c>
    </row>
    <row r="97" spans="1:12" ht="15.75">
      <c r="A97" s="32" t="s">
        <v>40</v>
      </c>
      <c r="B97" s="35"/>
      <c r="C97" s="22">
        <f t="shared" si="8"/>
        <v>203</v>
      </c>
      <c r="D97" s="26">
        <v>91</v>
      </c>
      <c r="E97" s="26">
        <v>112</v>
      </c>
      <c r="F97" s="26">
        <v>0</v>
      </c>
      <c r="G97" s="28"/>
      <c r="H97" s="22">
        <f t="shared" si="7"/>
        <v>53</v>
      </c>
      <c r="I97" s="26">
        <v>29</v>
      </c>
      <c r="J97" s="26">
        <v>24</v>
      </c>
      <c r="K97" s="57">
        <v>0</v>
      </c>
      <c r="L97" s="34" t="s">
        <v>41</v>
      </c>
    </row>
    <row r="98" spans="1:12" ht="15.75">
      <c r="A98" s="32" t="s">
        <v>42</v>
      </c>
      <c r="B98" s="35"/>
      <c r="C98" s="22">
        <f t="shared" si="8"/>
        <v>77</v>
      </c>
      <c r="D98" s="26">
        <v>42</v>
      </c>
      <c r="E98" s="26">
        <v>35</v>
      </c>
      <c r="F98" s="26">
        <v>0</v>
      </c>
      <c r="G98" s="28"/>
      <c r="H98" s="22">
        <f t="shared" si="7"/>
        <v>30</v>
      </c>
      <c r="I98" s="26">
        <v>18</v>
      </c>
      <c r="J98" s="26">
        <v>12</v>
      </c>
      <c r="K98" s="57">
        <v>0</v>
      </c>
      <c r="L98" s="34" t="s">
        <v>43</v>
      </c>
    </row>
    <row r="99" spans="1:12" ht="15.75">
      <c r="A99" s="32" t="s">
        <v>44</v>
      </c>
      <c r="B99" s="35"/>
      <c r="C99" s="22">
        <f t="shared" si="8"/>
        <v>140</v>
      </c>
      <c r="D99" s="26">
        <v>68</v>
      </c>
      <c r="E99" s="26">
        <v>72</v>
      </c>
      <c r="F99" s="26">
        <v>0</v>
      </c>
      <c r="G99" s="28"/>
      <c r="H99" s="22">
        <f t="shared" si="7"/>
        <v>45</v>
      </c>
      <c r="I99" s="26">
        <v>28</v>
      </c>
      <c r="J99" s="26">
        <v>17</v>
      </c>
      <c r="K99" s="57">
        <v>0</v>
      </c>
      <c r="L99" s="34" t="s">
        <v>45</v>
      </c>
    </row>
    <row r="100" spans="1:12" ht="15.75">
      <c r="A100" s="32" t="s">
        <v>46</v>
      </c>
      <c r="B100" s="35"/>
      <c r="C100" s="22">
        <f t="shared" si="8"/>
        <v>76</v>
      </c>
      <c r="D100" s="26">
        <v>43</v>
      </c>
      <c r="E100" s="26">
        <v>33</v>
      </c>
      <c r="F100" s="26">
        <v>0</v>
      </c>
      <c r="G100" s="28"/>
      <c r="H100" s="22">
        <f>SUM(I100:K100)</f>
        <v>29</v>
      </c>
      <c r="I100" s="26">
        <v>19</v>
      </c>
      <c r="J100" s="26">
        <v>10</v>
      </c>
      <c r="K100" s="57">
        <v>0</v>
      </c>
      <c r="L100" s="34" t="s">
        <v>47</v>
      </c>
    </row>
    <row r="101" spans="1:12" ht="15.75">
      <c r="A101" s="32" t="s">
        <v>17</v>
      </c>
      <c r="B101" s="35"/>
      <c r="C101" s="22">
        <f>SUM(D101:E101)</f>
        <v>295</v>
      </c>
      <c r="D101" s="26">
        <v>163</v>
      </c>
      <c r="E101" s="26">
        <v>132</v>
      </c>
      <c r="F101" s="26">
        <v>0</v>
      </c>
      <c r="G101" s="28"/>
      <c r="H101" s="22">
        <f t="shared" ref="H101" si="9">SUM(I101:K101)</f>
        <v>102</v>
      </c>
      <c r="I101" s="26">
        <v>64</v>
      </c>
      <c r="J101" s="26">
        <v>38</v>
      </c>
      <c r="K101" s="57">
        <v>0</v>
      </c>
      <c r="L101" s="34" t="s">
        <v>48</v>
      </c>
    </row>
    <row r="102" spans="1:12" ht="55.5" customHeight="1">
      <c r="A102" s="58" t="s">
        <v>63</v>
      </c>
      <c r="B102" s="59"/>
      <c r="C102" s="60">
        <f>SUM(D102:E102)</f>
        <v>235</v>
      </c>
      <c r="D102" s="61">
        <v>113</v>
      </c>
      <c r="E102" s="61">
        <v>122</v>
      </c>
      <c r="F102" s="26">
        <v>0</v>
      </c>
      <c r="G102" s="37"/>
      <c r="H102" s="60">
        <f t="shared" ref="H102" si="10">SUM(I102:J102)</f>
        <v>68</v>
      </c>
      <c r="I102" s="61">
        <v>36</v>
      </c>
      <c r="J102" s="61">
        <v>32</v>
      </c>
      <c r="K102" s="62">
        <v>0</v>
      </c>
      <c r="L102" s="63" t="s">
        <v>55</v>
      </c>
    </row>
    <row r="103" spans="1:12" ht="15.75">
      <c r="A103" s="64" t="s">
        <v>56</v>
      </c>
      <c r="B103" s="41"/>
      <c r="C103" s="22"/>
      <c r="D103" s="26"/>
      <c r="E103" s="26"/>
      <c r="F103" s="65"/>
      <c r="G103" s="35"/>
      <c r="H103" s="22"/>
      <c r="I103" s="26"/>
      <c r="J103" s="26"/>
      <c r="K103" s="8"/>
      <c r="L103" s="38"/>
    </row>
    <row r="104" spans="1:12">
      <c r="A104" s="66" t="s">
        <v>64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</row>
    <row r="105" spans="1:12" ht="17.25">
      <c r="A105" s="67" t="s">
        <v>65</v>
      </c>
      <c r="B105" s="40"/>
      <c r="C105" s="40"/>
      <c r="D105" s="40"/>
      <c r="E105" s="40"/>
      <c r="F105" s="40"/>
      <c r="G105" s="44"/>
      <c r="H105" s="44"/>
      <c r="I105" s="44"/>
      <c r="J105" s="44"/>
      <c r="K105" s="44"/>
      <c r="L105" s="44"/>
    </row>
    <row r="106" spans="1:12" ht="14.25">
      <c r="A106" s="68" t="s">
        <v>66</v>
      </c>
      <c r="B106" s="10"/>
      <c r="C106" s="9"/>
      <c r="D106" s="9"/>
      <c r="E106" s="9"/>
      <c r="F106" s="9"/>
      <c r="G106" s="8"/>
      <c r="H106" s="8"/>
      <c r="I106" s="8"/>
      <c r="J106" s="8"/>
      <c r="K106" s="8"/>
      <c r="L106" s="16"/>
    </row>
    <row r="107" spans="1:12" ht="16.5">
      <c r="A107" s="69" t="s">
        <v>67</v>
      </c>
      <c r="L107" s="39"/>
    </row>
    <row r="109" spans="1:12" ht="17.25">
      <c r="A109" s="11"/>
      <c r="B109" s="12"/>
      <c r="C109" s="12"/>
      <c r="D109" s="12"/>
      <c r="E109" s="12"/>
      <c r="F109" s="12"/>
      <c r="G109" s="8"/>
      <c r="H109" s="13"/>
      <c r="I109" s="13"/>
      <c r="J109" s="14"/>
      <c r="K109" s="14"/>
      <c r="L109" s="15"/>
    </row>
    <row r="110" spans="1:12" ht="15.75">
      <c r="A110" s="45" t="s">
        <v>72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 ht="15">
      <c r="A111" s="46" t="s">
        <v>73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</row>
    <row r="112" spans="1:12" ht="17.25">
      <c r="A112" s="42" t="s">
        <v>6</v>
      </c>
      <c r="B112" s="2"/>
      <c r="C112" s="47" t="s">
        <v>51</v>
      </c>
      <c r="D112" s="47"/>
      <c r="E112" s="48" t="s">
        <v>49</v>
      </c>
      <c r="F112" s="49"/>
      <c r="G112" s="3"/>
      <c r="H112" s="47" t="s">
        <v>52</v>
      </c>
      <c r="I112" s="47"/>
      <c r="J112" s="50" t="s">
        <v>50</v>
      </c>
      <c r="K112" s="50"/>
      <c r="L112" s="43" t="s">
        <v>57</v>
      </c>
    </row>
    <row r="113" spans="1:12" ht="17.25">
      <c r="A113" s="42"/>
      <c r="B113" s="2"/>
      <c r="C113" s="18" t="s">
        <v>0</v>
      </c>
      <c r="D113" s="18" t="s">
        <v>1</v>
      </c>
      <c r="E113" s="18" t="s">
        <v>2</v>
      </c>
      <c r="F113" s="43" t="s">
        <v>61</v>
      </c>
      <c r="G113" s="4"/>
      <c r="H113" s="17" t="s">
        <v>0</v>
      </c>
      <c r="I113" s="17" t="s">
        <v>1</v>
      </c>
      <c r="J113" s="18" t="s">
        <v>2</v>
      </c>
      <c r="K113" s="43" t="s">
        <v>61</v>
      </c>
      <c r="L113" s="43"/>
    </row>
    <row r="114" spans="1:12" ht="24">
      <c r="A114" s="51"/>
      <c r="B114" s="52"/>
      <c r="C114" s="5" t="s">
        <v>3</v>
      </c>
      <c r="D114" s="5" t="s">
        <v>4</v>
      </c>
      <c r="E114" s="6" t="s">
        <v>5</v>
      </c>
      <c r="F114" s="6" t="s">
        <v>62</v>
      </c>
      <c r="G114" s="7"/>
      <c r="H114" s="5" t="s">
        <v>3</v>
      </c>
      <c r="I114" s="5" t="s">
        <v>4</v>
      </c>
      <c r="J114" s="6" t="s">
        <v>5</v>
      </c>
      <c r="K114" s="6" t="s">
        <v>62</v>
      </c>
      <c r="L114" s="53"/>
    </row>
    <row r="115" spans="1:12" ht="15.75">
      <c r="A115" s="30" t="s">
        <v>58</v>
      </c>
      <c r="B115" s="25"/>
      <c r="C115" s="20">
        <f>SUM(D115:F115)</f>
        <v>5755</v>
      </c>
      <c r="D115" s="20">
        <f>D116+D117</f>
        <v>2927</v>
      </c>
      <c r="E115" s="20">
        <f>E116+E117</f>
        <v>2828</v>
      </c>
      <c r="F115" s="20">
        <f>F116+F117+F138</f>
        <v>0</v>
      </c>
      <c r="G115" s="21"/>
      <c r="H115" s="20">
        <f>SUM(I115:K115)</f>
        <v>1491</v>
      </c>
      <c r="I115" s="20">
        <f>I116+I117</f>
        <v>864</v>
      </c>
      <c r="J115" s="20">
        <f>J116+J117</f>
        <v>627</v>
      </c>
      <c r="K115" s="54">
        <f>K116+K117</f>
        <v>0</v>
      </c>
      <c r="L115" s="31" t="s">
        <v>7</v>
      </c>
    </row>
    <row r="116" spans="1:12" s="19" customFormat="1" ht="15.75">
      <c r="A116" s="30" t="s">
        <v>8</v>
      </c>
      <c r="B116" s="25"/>
      <c r="C116" s="22">
        <f>SUM(D116:E116)</f>
        <v>3886</v>
      </c>
      <c r="D116" s="25">
        <v>1979</v>
      </c>
      <c r="E116" s="25">
        <v>1907</v>
      </c>
      <c r="F116" s="23">
        <v>0</v>
      </c>
      <c r="G116" s="24"/>
      <c r="H116" s="22">
        <f t="shared" ref="H116:H135" si="11">SUM(I116:K116)</f>
        <v>804</v>
      </c>
      <c r="I116" s="25">
        <v>447</v>
      </c>
      <c r="J116" s="25">
        <v>357</v>
      </c>
      <c r="K116" s="55">
        <v>0</v>
      </c>
      <c r="L116" s="31" t="s">
        <v>9</v>
      </c>
    </row>
    <row r="117" spans="1:12" ht="15.75">
      <c r="A117" s="30" t="s">
        <v>10</v>
      </c>
      <c r="B117" s="25"/>
      <c r="C117" s="22">
        <f>SUM(C118:C137)</f>
        <v>1869</v>
      </c>
      <c r="D117" s="25">
        <f>SUM(D118:D137)</f>
        <v>948</v>
      </c>
      <c r="E117" s="25">
        <f>SUM(E118:E137)</f>
        <v>921</v>
      </c>
      <c r="F117" s="25">
        <f>SUM(F118:F137)</f>
        <v>0</v>
      </c>
      <c r="G117" s="24"/>
      <c r="H117" s="22">
        <f t="shared" si="11"/>
        <v>687</v>
      </c>
      <c r="I117" s="25">
        <f>SUM(I118:I137)</f>
        <v>417</v>
      </c>
      <c r="J117" s="25">
        <f>SUM(J118:J137)</f>
        <v>270</v>
      </c>
      <c r="K117" s="56">
        <f>SUM(K118:K138)</f>
        <v>0</v>
      </c>
      <c r="L117" s="31" t="s">
        <v>11</v>
      </c>
    </row>
    <row r="118" spans="1:12" ht="15.75">
      <c r="A118" s="32" t="s">
        <v>12</v>
      </c>
      <c r="B118" s="33"/>
      <c r="C118" s="22">
        <f>SUM(D118:E118)</f>
        <v>54</v>
      </c>
      <c r="D118" s="26">
        <v>26</v>
      </c>
      <c r="E118" s="26">
        <v>28</v>
      </c>
      <c r="F118" s="26">
        <v>0</v>
      </c>
      <c r="G118" s="27"/>
      <c r="H118" s="22">
        <f t="shared" si="11"/>
        <v>40</v>
      </c>
      <c r="I118" s="26">
        <v>28</v>
      </c>
      <c r="J118" s="26">
        <v>12</v>
      </c>
      <c r="K118" s="57">
        <v>0</v>
      </c>
      <c r="L118" s="34" t="s">
        <v>13</v>
      </c>
    </row>
    <row r="119" spans="1:12" ht="15.75">
      <c r="A119" s="32" t="s">
        <v>14</v>
      </c>
      <c r="B119" s="35"/>
      <c r="C119" s="22">
        <f t="shared" ref="C119:C136" si="12">SUM(D119:E119)</f>
        <v>435</v>
      </c>
      <c r="D119" s="26">
        <v>219</v>
      </c>
      <c r="E119" s="26">
        <v>216</v>
      </c>
      <c r="F119" s="26">
        <v>0</v>
      </c>
      <c r="G119" s="28"/>
      <c r="H119" s="22">
        <f t="shared" si="11"/>
        <v>99</v>
      </c>
      <c r="I119" s="26">
        <v>54</v>
      </c>
      <c r="J119" s="26">
        <v>45</v>
      </c>
      <c r="K119" s="57">
        <v>0</v>
      </c>
      <c r="L119" s="34" t="s">
        <v>15</v>
      </c>
    </row>
    <row r="120" spans="1:12" ht="15.75">
      <c r="A120" s="32" t="s">
        <v>16</v>
      </c>
      <c r="B120" s="35"/>
      <c r="C120" s="22">
        <f t="shared" si="12"/>
        <v>89</v>
      </c>
      <c r="D120" s="26">
        <v>41</v>
      </c>
      <c r="E120" s="26">
        <v>48</v>
      </c>
      <c r="F120" s="26">
        <v>0</v>
      </c>
      <c r="G120" s="28"/>
      <c r="H120" s="22">
        <f t="shared" si="11"/>
        <v>35</v>
      </c>
      <c r="I120" s="26">
        <v>21</v>
      </c>
      <c r="J120" s="26">
        <v>14</v>
      </c>
      <c r="K120" s="57">
        <v>0</v>
      </c>
      <c r="L120" s="34" t="s">
        <v>17</v>
      </c>
    </row>
    <row r="121" spans="1:12" ht="15.75">
      <c r="A121" s="32" t="s">
        <v>18</v>
      </c>
      <c r="B121" s="36"/>
      <c r="C121" s="22">
        <f t="shared" si="12"/>
        <v>28</v>
      </c>
      <c r="D121" s="26">
        <v>15</v>
      </c>
      <c r="E121" s="26">
        <v>13</v>
      </c>
      <c r="F121" s="26">
        <v>0</v>
      </c>
      <c r="G121" s="28"/>
      <c r="H121" s="22">
        <f t="shared" si="11"/>
        <v>29</v>
      </c>
      <c r="I121" s="26">
        <v>16</v>
      </c>
      <c r="J121" s="26">
        <v>13</v>
      </c>
      <c r="K121" s="57">
        <v>0</v>
      </c>
      <c r="L121" s="34" t="s">
        <v>19</v>
      </c>
    </row>
    <row r="122" spans="1:12" ht="15.75">
      <c r="A122" s="32" t="s">
        <v>20</v>
      </c>
      <c r="B122" s="36"/>
      <c r="C122" s="22">
        <f t="shared" si="12"/>
        <v>272</v>
      </c>
      <c r="D122" s="26">
        <v>140</v>
      </c>
      <c r="E122" s="26">
        <v>132</v>
      </c>
      <c r="F122" s="29">
        <v>0</v>
      </c>
      <c r="G122" s="28"/>
      <c r="H122" s="22">
        <f t="shared" si="11"/>
        <v>65</v>
      </c>
      <c r="I122" s="26">
        <v>39</v>
      </c>
      <c r="J122" s="26">
        <v>26</v>
      </c>
      <c r="K122" s="57">
        <v>0</v>
      </c>
      <c r="L122" s="34" t="s">
        <v>21</v>
      </c>
    </row>
    <row r="123" spans="1:12" ht="15.75">
      <c r="A123" s="32" t="s">
        <v>22</v>
      </c>
      <c r="B123" s="36"/>
      <c r="C123" s="22">
        <f t="shared" si="12"/>
        <v>59</v>
      </c>
      <c r="D123" s="26">
        <v>35</v>
      </c>
      <c r="E123" s="26">
        <v>24</v>
      </c>
      <c r="F123" s="26">
        <v>0</v>
      </c>
      <c r="G123" s="28"/>
      <c r="H123" s="22">
        <f t="shared" si="11"/>
        <v>29</v>
      </c>
      <c r="I123" s="26">
        <v>15</v>
      </c>
      <c r="J123" s="26">
        <v>14</v>
      </c>
      <c r="K123" s="57">
        <v>0</v>
      </c>
      <c r="L123" s="34" t="s">
        <v>23</v>
      </c>
    </row>
    <row r="124" spans="1:12" ht="15.75">
      <c r="A124" s="32" t="s">
        <v>24</v>
      </c>
      <c r="B124" s="35"/>
      <c r="C124" s="22">
        <f t="shared" si="12"/>
        <v>57</v>
      </c>
      <c r="D124" s="26">
        <v>30</v>
      </c>
      <c r="E124" s="26">
        <v>27</v>
      </c>
      <c r="F124" s="26">
        <v>0</v>
      </c>
      <c r="G124" s="28"/>
      <c r="H124" s="22">
        <f t="shared" si="11"/>
        <v>31</v>
      </c>
      <c r="I124" s="26">
        <v>22</v>
      </c>
      <c r="J124" s="26">
        <v>9</v>
      </c>
      <c r="K124" s="57">
        <v>0</v>
      </c>
      <c r="L124" s="34" t="s">
        <v>25</v>
      </c>
    </row>
    <row r="125" spans="1:12" ht="15.75">
      <c r="A125" s="32" t="s">
        <v>53</v>
      </c>
      <c r="B125" s="35"/>
      <c r="C125" s="22">
        <f t="shared" si="12"/>
        <v>3</v>
      </c>
      <c r="D125" s="26">
        <v>3</v>
      </c>
      <c r="E125" s="26"/>
      <c r="F125" s="26">
        <v>0</v>
      </c>
      <c r="G125" s="28"/>
      <c r="H125" s="22">
        <f t="shared" si="11"/>
        <v>34</v>
      </c>
      <c r="I125" s="26">
        <v>22</v>
      </c>
      <c r="J125" s="26">
        <v>12</v>
      </c>
      <c r="K125" s="57">
        <v>0</v>
      </c>
      <c r="L125" s="34" t="s">
        <v>54</v>
      </c>
    </row>
    <row r="126" spans="1:12" ht="15.75">
      <c r="A126" s="32" t="s">
        <v>26</v>
      </c>
      <c r="B126" s="35"/>
      <c r="C126" s="22">
        <f t="shared" si="12"/>
        <v>15</v>
      </c>
      <c r="D126" s="26">
        <v>9</v>
      </c>
      <c r="E126" s="26">
        <v>6</v>
      </c>
      <c r="F126" s="26">
        <v>0</v>
      </c>
      <c r="G126" s="28"/>
      <c r="H126" s="22">
        <f t="shared" si="11"/>
        <v>19</v>
      </c>
      <c r="I126" s="26">
        <v>9</v>
      </c>
      <c r="J126" s="26">
        <v>10</v>
      </c>
      <c r="K126" s="57">
        <v>0</v>
      </c>
      <c r="L126" s="34" t="s">
        <v>27</v>
      </c>
    </row>
    <row r="127" spans="1:12" ht="15.75">
      <c r="A127" s="32" t="s">
        <v>28</v>
      </c>
      <c r="B127" s="35"/>
      <c r="C127" s="22">
        <f t="shared" si="12"/>
        <v>26</v>
      </c>
      <c r="D127" s="26">
        <v>12</v>
      </c>
      <c r="E127" s="26">
        <v>14</v>
      </c>
      <c r="F127" s="26">
        <v>0</v>
      </c>
      <c r="G127" s="28"/>
      <c r="H127" s="22">
        <f t="shared" si="11"/>
        <v>20</v>
      </c>
      <c r="I127" s="26">
        <v>10</v>
      </c>
      <c r="J127" s="26">
        <v>10</v>
      </c>
      <c r="K127" s="57">
        <v>0</v>
      </c>
      <c r="L127" s="34" t="s">
        <v>29</v>
      </c>
    </row>
    <row r="128" spans="1:12" ht="15.75">
      <c r="A128" s="32" t="s">
        <v>30</v>
      </c>
      <c r="B128" s="35"/>
      <c r="C128" s="22">
        <f t="shared" si="12"/>
        <v>0</v>
      </c>
      <c r="D128" s="26">
        <v>0</v>
      </c>
      <c r="E128" s="26">
        <v>0</v>
      </c>
      <c r="F128" s="26">
        <v>0</v>
      </c>
      <c r="G128" s="28"/>
      <c r="H128" s="22">
        <f t="shared" si="11"/>
        <v>3</v>
      </c>
      <c r="I128" s="26">
        <v>3</v>
      </c>
      <c r="J128" s="26">
        <v>0</v>
      </c>
      <c r="K128" s="57">
        <v>0</v>
      </c>
      <c r="L128" s="34" t="s">
        <v>31</v>
      </c>
    </row>
    <row r="129" spans="1:12" ht="15.75">
      <c r="A129" s="32" t="s">
        <v>32</v>
      </c>
      <c r="B129" s="35"/>
      <c r="C129" s="22">
        <f t="shared" si="12"/>
        <v>18</v>
      </c>
      <c r="D129" s="26">
        <v>11</v>
      </c>
      <c r="E129" s="26">
        <v>7</v>
      </c>
      <c r="F129" s="26">
        <v>0</v>
      </c>
      <c r="G129" s="28"/>
      <c r="H129" s="22">
        <f t="shared" si="11"/>
        <v>14</v>
      </c>
      <c r="I129" s="26">
        <v>10</v>
      </c>
      <c r="J129" s="26">
        <v>4</v>
      </c>
      <c r="K129" s="57">
        <v>0</v>
      </c>
      <c r="L129" s="34" t="s">
        <v>33</v>
      </c>
    </row>
    <row r="130" spans="1:12" ht="15.75">
      <c r="A130" s="32" t="s">
        <v>34</v>
      </c>
      <c r="B130" s="35"/>
      <c r="C130" s="22">
        <f t="shared" si="12"/>
        <v>41</v>
      </c>
      <c r="D130" s="26">
        <v>25</v>
      </c>
      <c r="E130" s="26">
        <v>16</v>
      </c>
      <c r="F130" s="26">
        <v>0</v>
      </c>
      <c r="G130" s="28"/>
      <c r="H130" s="22">
        <f t="shared" si="11"/>
        <v>11</v>
      </c>
      <c r="I130" s="26">
        <v>5</v>
      </c>
      <c r="J130" s="26">
        <v>6</v>
      </c>
      <c r="K130" s="57">
        <v>0</v>
      </c>
      <c r="L130" s="34" t="s">
        <v>35</v>
      </c>
    </row>
    <row r="131" spans="1:12" ht="15.75">
      <c r="A131" s="32" t="s">
        <v>36</v>
      </c>
      <c r="B131" s="35"/>
      <c r="C131" s="22">
        <f t="shared" si="12"/>
        <v>17</v>
      </c>
      <c r="D131" s="26">
        <v>9</v>
      </c>
      <c r="E131" s="26">
        <v>8</v>
      </c>
      <c r="F131" s="26">
        <v>0</v>
      </c>
      <c r="G131" s="28"/>
      <c r="H131" s="22">
        <f t="shared" si="11"/>
        <v>12</v>
      </c>
      <c r="I131" s="26">
        <v>10</v>
      </c>
      <c r="J131" s="26">
        <v>2</v>
      </c>
      <c r="K131" s="57">
        <v>0</v>
      </c>
      <c r="L131" s="34" t="s">
        <v>37</v>
      </c>
    </row>
    <row r="132" spans="1:12" ht="15.75">
      <c r="A132" s="32" t="s">
        <v>38</v>
      </c>
      <c r="B132" s="35"/>
      <c r="C132" s="22">
        <f t="shared" si="12"/>
        <v>46</v>
      </c>
      <c r="D132" s="26">
        <v>22</v>
      </c>
      <c r="E132" s="26">
        <v>24</v>
      </c>
      <c r="F132" s="26">
        <v>0</v>
      </c>
      <c r="G132" s="28"/>
      <c r="H132" s="22">
        <f t="shared" si="11"/>
        <v>29</v>
      </c>
      <c r="I132" s="26">
        <v>19</v>
      </c>
      <c r="J132" s="26">
        <v>10</v>
      </c>
      <c r="K132" s="57">
        <v>0</v>
      </c>
      <c r="L132" s="34" t="s">
        <v>39</v>
      </c>
    </row>
    <row r="133" spans="1:12" ht="15.75">
      <c r="A133" s="32" t="s">
        <v>40</v>
      </c>
      <c r="B133" s="35"/>
      <c r="C133" s="22">
        <f t="shared" si="12"/>
        <v>153</v>
      </c>
      <c r="D133" s="26">
        <v>80</v>
      </c>
      <c r="E133" s="26">
        <v>73</v>
      </c>
      <c r="F133" s="26">
        <v>0</v>
      </c>
      <c r="G133" s="28"/>
      <c r="H133" s="22">
        <f t="shared" si="11"/>
        <v>36</v>
      </c>
      <c r="I133" s="26">
        <v>24</v>
      </c>
      <c r="J133" s="26">
        <v>12</v>
      </c>
      <c r="K133" s="57">
        <v>0</v>
      </c>
      <c r="L133" s="34" t="s">
        <v>41</v>
      </c>
    </row>
    <row r="134" spans="1:12" ht="15.75">
      <c r="A134" s="32" t="s">
        <v>42</v>
      </c>
      <c r="B134" s="35"/>
      <c r="C134" s="22">
        <f t="shared" si="12"/>
        <v>55</v>
      </c>
      <c r="D134" s="26">
        <v>25</v>
      </c>
      <c r="E134" s="26">
        <v>30</v>
      </c>
      <c r="F134" s="26">
        <v>0</v>
      </c>
      <c r="G134" s="28"/>
      <c r="H134" s="22">
        <f t="shared" si="11"/>
        <v>20</v>
      </c>
      <c r="I134" s="26">
        <v>12</v>
      </c>
      <c r="J134" s="26">
        <v>8</v>
      </c>
      <c r="K134" s="57">
        <v>0</v>
      </c>
      <c r="L134" s="34" t="s">
        <v>43</v>
      </c>
    </row>
    <row r="135" spans="1:12" ht="15.75">
      <c r="A135" s="32" t="s">
        <v>44</v>
      </c>
      <c r="B135" s="35"/>
      <c r="C135" s="22">
        <f t="shared" si="12"/>
        <v>139</v>
      </c>
      <c r="D135" s="26">
        <v>78</v>
      </c>
      <c r="E135" s="26">
        <v>61</v>
      </c>
      <c r="F135" s="26">
        <v>0</v>
      </c>
      <c r="G135" s="28"/>
      <c r="H135" s="22">
        <f t="shared" si="11"/>
        <v>37</v>
      </c>
      <c r="I135" s="26">
        <v>26</v>
      </c>
      <c r="J135" s="26">
        <v>11</v>
      </c>
      <c r="K135" s="57">
        <v>0</v>
      </c>
      <c r="L135" s="34" t="s">
        <v>45</v>
      </c>
    </row>
    <row r="136" spans="1:12" ht="15.75">
      <c r="A136" s="32" t="s">
        <v>46</v>
      </c>
      <c r="B136" s="35"/>
      <c r="C136" s="22">
        <f t="shared" si="12"/>
        <v>87</v>
      </c>
      <c r="D136" s="26">
        <v>35</v>
      </c>
      <c r="E136" s="26">
        <v>52</v>
      </c>
      <c r="F136" s="26">
        <v>0</v>
      </c>
      <c r="G136" s="28"/>
      <c r="H136" s="22">
        <f>SUM(I136:K136)</f>
        <v>31</v>
      </c>
      <c r="I136" s="26">
        <v>20</v>
      </c>
      <c r="J136" s="26">
        <v>11</v>
      </c>
      <c r="K136" s="57">
        <v>0</v>
      </c>
      <c r="L136" s="34" t="s">
        <v>47</v>
      </c>
    </row>
    <row r="137" spans="1:12" ht="15.75">
      <c r="A137" s="32" t="s">
        <v>17</v>
      </c>
      <c r="B137" s="35"/>
      <c r="C137" s="22">
        <f>SUM(D137:E137)</f>
        <v>275</v>
      </c>
      <c r="D137" s="26">
        <v>133</v>
      </c>
      <c r="E137" s="26">
        <v>142</v>
      </c>
      <c r="F137" s="26">
        <v>0</v>
      </c>
      <c r="G137" s="28"/>
      <c r="H137" s="22">
        <f t="shared" ref="H137" si="13">SUM(I137:K137)</f>
        <v>93</v>
      </c>
      <c r="I137" s="26">
        <v>52</v>
      </c>
      <c r="J137" s="26">
        <v>41</v>
      </c>
      <c r="K137" s="57">
        <v>0</v>
      </c>
      <c r="L137" s="34" t="s">
        <v>48</v>
      </c>
    </row>
    <row r="138" spans="1:12" ht="55.5" customHeight="1">
      <c r="A138" s="58" t="s">
        <v>63</v>
      </c>
      <c r="B138" s="59"/>
      <c r="C138" s="60">
        <f>SUM(D138:E138)</f>
        <v>168</v>
      </c>
      <c r="D138" s="61">
        <v>86</v>
      </c>
      <c r="E138" s="61">
        <v>82</v>
      </c>
      <c r="F138" s="26">
        <v>0</v>
      </c>
      <c r="G138" s="37"/>
      <c r="H138" s="60">
        <f t="shared" ref="H138" si="14">SUM(I138:J138)</f>
        <v>84</v>
      </c>
      <c r="I138" s="61">
        <v>51</v>
      </c>
      <c r="J138" s="61">
        <v>33</v>
      </c>
      <c r="K138" s="62">
        <v>0</v>
      </c>
      <c r="L138" s="63" t="s">
        <v>55</v>
      </c>
    </row>
    <row r="139" spans="1:12" ht="15.75">
      <c r="A139" s="64" t="s">
        <v>56</v>
      </c>
      <c r="B139" s="41"/>
      <c r="C139" s="22"/>
      <c r="D139" s="26"/>
      <c r="E139" s="26"/>
      <c r="F139" s="65"/>
      <c r="G139" s="35"/>
      <c r="H139" s="22"/>
      <c r="I139" s="26"/>
      <c r="J139" s="26"/>
      <c r="K139" s="8"/>
      <c r="L139" s="38"/>
    </row>
    <row r="140" spans="1:12">
      <c r="A140" s="66" t="s">
        <v>64</v>
      </c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</row>
    <row r="141" spans="1:12" ht="17.25">
      <c r="A141" s="67" t="s">
        <v>65</v>
      </c>
      <c r="B141" s="40"/>
      <c r="C141" s="40"/>
      <c r="D141" s="40"/>
      <c r="E141" s="40"/>
      <c r="F141" s="40"/>
      <c r="G141" s="44"/>
      <c r="H141" s="44"/>
      <c r="I141" s="44"/>
      <c r="J141" s="44"/>
      <c r="K141" s="44"/>
      <c r="L141" s="44"/>
    </row>
    <row r="142" spans="1:12" ht="14.25">
      <c r="A142" s="68" t="s">
        <v>66</v>
      </c>
      <c r="B142" s="10"/>
      <c r="C142" s="9"/>
      <c r="D142" s="9"/>
      <c r="E142" s="9"/>
      <c r="F142" s="9"/>
      <c r="G142" s="8"/>
      <c r="H142" s="8"/>
      <c r="I142" s="8"/>
      <c r="J142" s="8"/>
      <c r="K142" s="8"/>
      <c r="L142" s="16"/>
    </row>
    <row r="143" spans="1:12" ht="16.5">
      <c r="A143" s="69" t="s">
        <v>67</v>
      </c>
      <c r="L143" s="39"/>
    </row>
  </sheetData>
  <mergeCells count="24">
    <mergeCell ref="A110:L110"/>
    <mergeCell ref="A111:L111"/>
    <mergeCell ref="C112:D112"/>
    <mergeCell ref="E112:F112"/>
    <mergeCell ref="H112:I112"/>
    <mergeCell ref="J112:K112"/>
    <mergeCell ref="A74:L74"/>
    <mergeCell ref="A75:L75"/>
    <mergeCell ref="C76:D76"/>
    <mergeCell ref="E76:F76"/>
    <mergeCell ref="H76:I76"/>
    <mergeCell ref="J76:K76"/>
    <mergeCell ref="A38:L38"/>
    <mergeCell ref="A39:L39"/>
    <mergeCell ref="C40:D40"/>
    <mergeCell ref="E40:F40"/>
    <mergeCell ref="H40:I40"/>
    <mergeCell ref="J40:K40"/>
    <mergeCell ref="A2:L2"/>
    <mergeCell ref="A3:L3"/>
    <mergeCell ref="C4:D4"/>
    <mergeCell ref="E4:F4"/>
    <mergeCell ref="H4:I4"/>
    <mergeCell ref="J4:K4"/>
  </mergeCells>
  <pageMargins left="0.7" right="0.7" top="0.75" bottom="0.75" header="0.3" footer="0.3"/>
  <pageSetup paperSize="9" scale="61" orientation="portrait" r:id="rId1"/>
  <rowBreaks count="1" manualBreakCount="1">
    <brk id="71" max="16093" man="1"/>
  </rowBreaks>
  <ignoredErrors>
    <ignoredError sqref="H44:H6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3.10</vt:lpstr>
      <vt:lpstr>'3.10'!Print_Area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2026-08-06T09:38:59Z</cp:lastPrinted>
  <dcterms:created xsi:type="dcterms:W3CDTF">2019-07-22T06:02:33Z</dcterms:created>
  <dcterms:modified xsi:type="dcterms:W3CDTF">2026-08-06T09:40:10Z</dcterms:modified>
</cp:coreProperties>
</file>