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.Population\"/>
    </mc:Choice>
  </mc:AlternateContent>
  <xr:revisionPtr revIDLastSave="0" documentId="13_ncr:1_{C8AC2D38-1BAF-4CB3-8922-6535A3DA7AE1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1" sheetId="8" r:id="rId1"/>
  </sheets>
  <definedNames>
    <definedName name="_xlnm.Print_Area" localSheetId="0">'3.11'!$A$1:$T$25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8" l="1"/>
  <c r="Q16" i="8"/>
  <c r="N16" i="8"/>
  <c r="M16" i="8"/>
  <c r="J16" i="8"/>
  <c r="I16" i="8"/>
  <c r="F16" i="8"/>
  <c r="E16" i="8"/>
  <c r="R15" i="8"/>
  <c r="Q15" i="8"/>
  <c r="N15" i="8"/>
  <c r="M15" i="8"/>
  <c r="J15" i="8"/>
  <c r="I15" i="8"/>
  <c r="F15" i="8"/>
  <c r="E15" i="8"/>
  <c r="P12" i="8"/>
  <c r="L12" i="8"/>
  <c r="H12" i="8"/>
  <c r="P11" i="8"/>
  <c r="L11" i="8"/>
  <c r="H11" i="8"/>
  <c r="D11" i="8"/>
  <c r="P10" i="8"/>
  <c r="L10" i="8"/>
  <c r="H10" i="8"/>
  <c r="D10" i="8"/>
  <c r="S9" i="8"/>
  <c r="R9" i="8"/>
  <c r="Q9" i="8"/>
  <c r="N9" i="8"/>
  <c r="M9" i="8"/>
  <c r="L9" i="8"/>
  <c r="J9" i="8"/>
  <c r="I9" i="8"/>
  <c r="H9" i="8" s="1"/>
  <c r="F9" i="8"/>
  <c r="E9" i="8"/>
  <c r="D9" i="8" s="1"/>
  <c r="P7" i="8"/>
  <c r="L7" i="8"/>
  <c r="H7" i="8"/>
  <c r="D7" i="8"/>
  <c r="P6" i="8"/>
  <c r="L6" i="8"/>
  <c r="H6" i="8"/>
  <c r="D6" i="8"/>
  <c r="S5" i="8"/>
  <c r="R5" i="8"/>
  <c r="Q5" i="8"/>
  <c r="P5" i="8"/>
  <c r="O5" i="8"/>
  <c r="N5" i="8"/>
  <c r="M5" i="8"/>
  <c r="L5" i="8"/>
  <c r="K5" i="8"/>
  <c r="J5" i="8"/>
  <c r="I5" i="8"/>
  <c r="H5" i="8" s="1"/>
  <c r="G5" i="8"/>
  <c r="F5" i="8"/>
  <c r="D5" i="8" s="1"/>
  <c r="E5" i="8"/>
  <c r="H15" i="8" l="1"/>
  <c r="J14" i="8"/>
  <c r="P16" i="8"/>
  <c r="H16" i="8"/>
  <c r="R14" i="8"/>
  <c r="F14" i="8"/>
  <c r="L15" i="8"/>
  <c r="I14" i="8"/>
  <c r="D15" i="8"/>
  <c r="N14" i="8"/>
  <c r="P15" i="8"/>
  <c r="E14" i="8"/>
  <c r="D16" i="8"/>
  <c r="M14" i="8"/>
  <c r="L16" i="8"/>
  <c r="L14" i="8"/>
  <c r="Q14" i="8"/>
  <c r="P9" i="8"/>
  <c r="P14" i="8" s="1"/>
  <c r="H14" i="8"/>
  <c r="D14" i="8"/>
</calcChain>
</file>

<file path=xl/sharedStrings.xml><?xml version="1.0" encoding="utf-8"?>
<sst xmlns="http://schemas.openxmlformats.org/spreadsheetml/2006/main" count="87" uniqueCount="25">
  <si>
    <t>Republic</t>
  </si>
  <si>
    <t>-</t>
  </si>
  <si>
    <t>Male'</t>
  </si>
  <si>
    <t>Atolls</t>
  </si>
  <si>
    <t>Particulars</t>
  </si>
  <si>
    <t>Abroad</t>
  </si>
  <si>
    <r>
      <t xml:space="preserve">     Live Births </t>
    </r>
    <r>
      <rPr>
        <b/>
        <vertAlign val="superscript"/>
        <sz val="10"/>
        <rFont val="Calibri"/>
        <family val="2"/>
      </rPr>
      <t>1_/</t>
    </r>
  </si>
  <si>
    <t xml:space="preserve">     Male</t>
  </si>
  <si>
    <t xml:space="preserve">     Female</t>
  </si>
  <si>
    <t>Infant Deaths</t>
  </si>
  <si>
    <t>Not stated</t>
  </si>
  <si>
    <t>Infant Mortality Rate  (IMR)</t>
  </si>
  <si>
    <t>('000) Live Births</t>
  </si>
  <si>
    <t xml:space="preserve">Note:  1_/ Data includes Maldivians and foreigners, but excluded deaths occurred abroad </t>
  </si>
  <si>
    <t>clIBcfwt</t>
  </si>
  <si>
    <t xml:space="preserve"> 1- / cniduk ibitiriduriaivcnwfua   </t>
  </si>
  <si>
    <t xml:space="preserve">cnehirif     </t>
  </si>
  <si>
    <t xml:space="preserve">cnehcnwa     </t>
  </si>
  <si>
    <t xml:space="preserve">cnidukwDukivurwm   </t>
  </si>
  <si>
    <t xml:space="preserve">  -uriaivcnwfua ) cTErWvurwm cnidukwDuk   </t>
  </si>
  <si>
    <t xml:space="preserve">( cSokctwbcsin cSwkwjcauk / 000 emcnok iruhirid   </t>
  </si>
  <si>
    <t>2025-2022 ,cnidukwDukivurwm iaWncnidukwDuk ibitirid uriaivcnwfua  : 3.11  ulwvWt</t>
  </si>
  <si>
    <t>Table 3.11 :  LIVE BIRTHS AND INFANT DEATHS, 2022 - 2025</t>
  </si>
  <si>
    <t>Source: Ministry of Health, Family &amp; Welfare</t>
  </si>
  <si>
    <t>Data is tentative and is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</si>
</sst>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_(* #,##0_);_(* \(#,##0\);_(* &quot;-&quot;??_);_(@_)"/>
    <numFmt numFmtId="168" formatCode="_(* #,##0.0_);_(* \(#,##0.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_Faseyha"/>
    </font>
    <font>
      <sz val="10"/>
      <color rgb="FF000000"/>
      <name val="Calibri"/>
      <family val="2"/>
      <scheme val="minor"/>
    </font>
    <font>
      <sz val="10"/>
      <name val="A_Faseyha"/>
    </font>
    <font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</borders>
  <cellStyleXfs count="29">
    <xf numFmtId="0" fontId="0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6" fillId="0" borderId="0"/>
    <xf numFmtId="0" fontId="9" fillId="0" borderId="0"/>
    <xf numFmtId="0" fontId="9" fillId="0" borderId="0"/>
    <xf numFmtId="0" fontId="1" fillId="0" borderId="0"/>
    <xf numFmtId="166" fontId="2" fillId="0" borderId="0"/>
    <xf numFmtId="166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24" fillId="0" borderId="0"/>
  </cellStyleXfs>
  <cellXfs count="82">
    <xf numFmtId="0" fontId="0" fillId="0" borderId="0" xfId="0"/>
    <xf numFmtId="166" fontId="2" fillId="2" borderId="0" xfId="11" applyFill="1"/>
    <xf numFmtId="166" fontId="12" fillId="2" borderId="0" xfId="11" applyFont="1" applyFill="1"/>
    <xf numFmtId="3" fontId="21" fillId="2" borderId="0" xfId="10" applyNumberFormat="1" applyFont="1" applyFill="1" applyAlignment="1">
      <alignment horizontal="right" vertical="center"/>
    </xf>
    <xf numFmtId="1" fontId="21" fillId="2" borderId="0" xfId="10" applyNumberFormat="1" applyFont="1" applyFill="1" applyAlignment="1">
      <alignment horizontal="right" vertical="center"/>
    </xf>
    <xf numFmtId="166" fontId="9" fillId="2" borderId="0" xfId="11" applyFont="1" applyFill="1"/>
    <xf numFmtId="166" fontId="5" fillId="2" borderId="0" xfId="11" applyFont="1" applyFill="1" applyAlignment="1">
      <alignment vertical="center"/>
    </xf>
    <xf numFmtId="166" fontId="17" fillId="2" borderId="8" xfId="11" applyFont="1" applyFill="1" applyBorder="1" applyAlignment="1">
      <alignment horizontal="right" vertical="center"/>
    </xf>
    <xf numFmtId="1" fontId="11" fillId="2" borderId="0" xfId="11" applyNumberFormat="1" applyFont="1" applyFill="1" applyAlignment="1">
      <alignment vertical="center"/>
    </xf>
    <xf numFmtId="3" fontId="17" fillId="2" borderId="0" xfId="0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horizontal="right" vertical="center"/>
    </xf>
    <xf numFmtId="1" fontId="5" fillId="2" borderId="0" xfId="11" applyNumberFormat="1" applyFont="1" applyFill="1" applyAlignment="1">
      <alignment horizontal="center" vertical="center"/>
    </xf>
    <xf numFmtId="1" fontId="12" fillId="2" borderId="0" xfId="11" applyNumberFormat="1" applyFont="1" applyFill="1" applyAlignment="1">
      <alignment horizontal="left" vertical="center"/>
    </xf>
    <xf numFmtId="167" fontId="18" fillId="2" borderId="0" xfId="5" applyNumberFormat="1" applyFont="1" applyFill="1" applyAlignment="1">
      <alignment horizontal="right" vertical="center"/>
    </xf>
    <xf numFmtId="167" fontId="12" fillId="2" borderId="0" xfId="5" applyNumberFormat="1" applyFont="1" applyFill="1" applyAlignment="1">
      <alignment horizontal="right" vertical="center"/>
    </xf>
    <xf numFmtId="1" fontId="9" fillId="2" borderId="0" xfId="11" applyNumberFormat="1" applyFont="1" applyFill="1" applyAlignment="1">
      <alignment horizontal="center" vertical="center"/>
    </xf>
    <xf numFmtId="3" fontId="17" fillId="2" borderId="0" xfId="10" applyNumberFormat="1" applyFont="1" applyFill="1" applyAlignment="1">
      <alignment horizontal="right" vertical="center"/>
    </xf>
    <xf numFmtId="3" fontId="11" fillId="2" borderId="0" xfId="10" applyNumberFormat="1" applyFont="1" applyFill="1" applyAlignment="1">
      <alignment horizontal="right" vertical="center"/>
    </xf>
    <xf numFmtId="3" fontId="18" fillId="2" borderId="0" xfId="10" applyNumberFormat="1" applyFont="1" applyFill="1" applyAlignment="1" applyProtection="1">
      <alignment horizontal="right" vertical="center"/>
      <protection locked="0"/>
    </xf>
    <xf numFmtId="3" fontId="12" fillId="2" borderId="0" xfId="10" applyNumberFormat="1" applyFont="1" applyFill="1" applyAlignment="1" applyProtection="1">
      <alignment horizontal="right" vertical="center"/>
      <protection locked="0"/>
    </xf>
    <xf numFmtId="1" fontId="17" fillId="2" borderId="0" xfId="10" applyNumberFormat="1" applyFont="1" applyFill="1" applyAlignment="1">
      <alignment horizontal="right" vertical="center"/>
    </xf>
    <xf numFmtId="1" fontId="11" fillId="2" borderId="0" xfId="10" applyNumberFormat="1" applyFont="1" applyFill="1" applyAlignment="1">
      <alignment horizontal="right" vertical="center"/>
    </xf>
    <xf numFmtId="1" fontId="11" fillId="2" borderId="0" xfId="11" applyNumberFormat="1" applyFont="1" applyFill="1" applyAlignment="1">
      <alignment horizontal="left" vertical="center"/>
    </xf>
    <xf numFmtId="49" fontId="11" fillId="2" borderId="0" xfId="10" applyNumberFormat="1" applyFont="1" applyFill="1" applyAlignment="1">
      <alignment horizontal="right" vertical="center"/>
    </xf>
    <xf numFmtId="1" fontId="18" fillId="2" borderId="0" xfId="10" applyNumberFormat="1" applyFont="1" applyFill="1" applyAlignment="1">
      <alignment horizontal="right" vertical="center"/>
    </xf>
    <xf numFmtId="49" fontId="12" fillId="2" borderId="0" xfId="10" applyNumberFormat="1" applyFont="1" applyFill="1" applyAlignment="1">
      <alignment horizontal="right" vertical="center"/>
    </xf>
    <xf numFmtId="1" fontId="14" fillId="2" borderId="0" xfId="10" applyNumberFormat="1" applyFont="1" applyFill="1" applyAlignment="1">
      <alignment horizontal="right" vertical="center"/>
    </xf>
    <xf numFmtId="1" fontId="12" fillId="2" borderId="1" xfId="11" applyNumberFormat="1" applyFont="1" applyFill="1" applyBorder="1" applyAlignment="1">
      <alignment horizontal="left" vertical="center"/>
    </xf>
    <xf numFmtId="1" fontId="18" fillId="2" borderId="1" xfId="10" applyNumberFormat="1" applyFont="1" applyFill="1" applyBorder="1" applyAlignment="1">
      <alignment horizontal="right" vertical="center"/>
    </xf>
    <xf numFmtId="49" fontId="12" fillId="2" borderId="1" xfId="10" applyNumberFormat="1" applyFont="1" applyFill="1" applyBorder="1" applyAlignment="1">
      <alignment horizontal="right" vertical="center"/>
    </xf>
    <xf numFmtId="166" fontId="8" fillId="2" borderId="0" xfId="10" applyFont="1" applyFill="1" applyAlignment="1" applyProtection="1">
      <alignment vertical="center"/>
      <protection hidden="1"/>
    </xf>
    <xf numFmtId="166" fontId="7" fillId="2" borderId="0" xfId="11" applyFont="1" applyFill="1" applyAlignment="1">
      <alignment vertical="center"/>
    </xf>
    <xf numFmtId="166" fontId="13" fillId="2" borderId="0" xfId="11" applyFont="1" applyFill="1" applyAlignment="1">
      <alignment vertical="center"/>
    </xf>
    <xf numFmtId="166" fontId="9" fillId="2" borderId="0" xfId="1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3" fontId="19" fillId="2" borderId="2" xfId="0" applyNumberFormat="1" applyFont="1" applyFill="1" applyBorder="1" applyAlignment="1">
      <alignment horizontal="right" vertical="center"/>
    </xf>
    <xf numFmtId="1" fontId="6" fillId="2" borderId="0" xfId="10" applyNumberFormat="1" applyFont="1" applyFill="1" applyAlignment="1">
      <alignment vertical="center"/>
    </xf>
    <xf numFmtId="3" fontId="22" fillId="2" borderId="2" xfId="10" applyNumberFormat="1" applyFont="1" applyFill="1" applyBorder="1" applyAlignment="1">
      <alignment horizontal="right" vertical="center"/>
    </xf>
    <xf numFmtId="168" fontId="14" fillId="2" borderId="0" xfId="14" applyNumberFormat="1" applyFont="1" applyFill="1" applyBorder="1" applyAlignment="1">
      <alignment horizontal="right" vertical="center"/>
    </xf>
    <xf numFmtId="168" fontId="14" fillId="2" borderId="4" xfId="14" applyNumberFormat="1" applyFont="1" applyFill="1" applyBorder="1" applyAlignment="1">
      <alignment horizontal="right" vertical="center"/>
    </xf>
    <xf numFmtId="3" fontId="15" fillId="2" borderId="2" xfId="14" applyNumberFormat="1" applyFont="1" applyFill="1" applyBorder="1" applyAlignment="1">
      <alignment horizontal="right" vertical="center"/>
    </xf>
    <xf numFmtId="3" fontId="15" fillId="2" borderId="0" xfId="14" applyNumberFormat="1" applyFont="1" applyFill="1" applyBorder="1" applyAlignment="1">
      <alignment horizontal="right" vertical="center"/>
    </xf>
    <xf numFmtId="3" fontId="19" fillId="2" borderId="2" xfId="10" applyNumberFormat="1" applyFont="1" applyFill="1" applyBorder="1" applyAlignment="1">
      <alignment horizontal="right" vertical="center"/>
    </xf>
    <xf numFmtId="3" fontId="19" fillId="2" borderId="0" xfId="10" applyNumberFormat="1" applyFont="1" applyFill="1" applyAlignment="1">
      <alignment horizontal="right" vertical="center"/>
    </xf>
    <xf numFmtId="3" fontId="22" fillId="2" borderId="2" xfId="10" applyNumberFormat="1" applyFont="1" applyFill="1" applyBorder="1" applyAlignment="1" applyProtection="1">
      <alignment horizontal="right" vertical="center"/>
      <protection locked="0"/>
    </xf>
    <xf numFmtId="1" fontId="19" fillId="2" borderId="2" xfId="10" applyNumberFormat="1" applyFont="1" applyFill="1" applyBorder="1" applyAlignment="1">
      <alignment horizontal="right" vertical="center"/>
    </xf>
    <xf numFmtId="1" fontId="19" fillId="2" borderId="0" xfId="10" applyNumberFormat="1" applyFont="1" applyFill="1" applyAlignment="1">
      <alignment horizontal="right" vertical="center"/>
    </xf>
    <xf numFmtId="1" fontId="22" fillId="2" borderId="2" xfId="10" applyNumberFormat="1" applyFont="1" applyFill="1" applyBorder="1" applyAlignment="1">
      <alignment horizontal="right" vertical="center"/>
    </xf>
    <xf numFmtId="1" fontId="22" fillId="2" borderId="0" xfId="10" applyNumberFormat="1" applyFont="1" applyFill="1" applyAlignment="1">
      <alignment horizontal="right" vertical="center"/>
    </xf>
    <xf numFmtId="1" fontId="22" fillId="2" borderId="3" xfId="10" applyNumberFormat="1" applyFont="1" applyFill="1" applyBorder="1" applyAlignment="1">
      <alignment horizontal="right" vertical="center"/>
    </xf>
    <xf numFmtId="168" fontId="14" fillId="2" borderId="7" xfId="14" applyNumberFormat="1" applyFont="1" applyFill="1" applyBorder="1" applyAlignment="1">
      <alignment horizontal="right" vertical="center"/>
    </xf>
    <xf numFmtId="3" fontId="22" fillId="2" borderId="0" xfId="10" applyNumberFormat="1" applyFont="1" applyFill="1" applyAlignment="1">
      <alignment horizontal="right" vertical="center"/>
    </xf>
    <xf numFmtId="3" fontId="22" fillId="2" borderId="0" xfId="10" applyNumberFormat="1" applyFont="1" applyFill="1" applyAlignment="1" applyProtection="1">
      <alignment horizontal="right" vertical="center"/>
      <protection locked="0"/>
    </xf>
    <xf numFmtId="1" fontId="11" fillId="2" borderId="0" xfId="11" applyNumberFormat="1" applyFont="1" applyFill="1" applyAlignment="1">
      <alignment horizontal="left" vertical="center" indent="2"/>
    </xf>
    <xf numFmtId="166" fontId="10" fillId="2" borderId="0" xfId="10" applyFont="1" applyFill="1" applyAlignment="1">
      <alignment vertical="center"/>
    </xf>
    <xf numFmtId="166" fontId="10" fillId="2" borderId="0" xfId="0" applyNumberFormat="1" applyFont="1" applyFill="1" applyAlignment="1">
      <alignment horizontal="left" vertical="center"/>
    </xf>
    <xf numFmtId="166" fontId="17" fillId="2" borderId="9" xfId="11" applyFont="1" applyFill="1" applyBorder="1" applyAlignment="1">
      <alignment horizontal="right" vertical="center"/>
    </xf>
    <xf numFmtId="166" fontId="17" fillId="2" borderId="10" xfId="11" applyFont="1" applyFill="1" applyBorder="1" applyAlignment="1">
      <alignment horizontal="right" vertical="center"/>
    </xf>
    <xf numFmtId="3" fontId="19" fillId="2" borderId="4" xfId="0" applyNumberFormat="1" applyFont="1" applyFill="1" applyBorder="1" applyAlignment="1">
      <alignment horizontal="right" vertical="center"/>
    </xf>
    <xf numFmtId="3" fontId="22" fillId="2" borderId="4" xfId="10" applyNumberFormat="1" applyFont="1" applyFill="1" applyBorder="1" applyAlignment="1">
      <alignment horizontal="right" vertical="center"/>
    </xf>
    <xf numFmtId="3" fontId="15" fillId="2" borderId="4" xfId="14" applyNumberFormat="1" applyFont="1" applyFill="1" applyBorder="1" applyAlignment="1">
      <alignment horizontal="right" vertical="center"/>
    </xf>
    <xf numFmtId="1" fontId="19" fillId="2" borderId="4" xfId="10" applyNumberFormat="1" applyFont="1" applyFill="1" applyBorder="1" applyAlignment="1">
      <alignment horizontal="right" vertical="center"/>
    </xf>
    <xf numFmtId="1" fontId="22" fillId="2" borderId="11" xfId="10" applyNumberFormat="1" applyFont="1" applyFill="1" applyBorder="1" applyAlignment="1">
      <alignment horizontal="right" vertical="center"/>
    </xf>
    <xf numFmtId="166" fontId="17" fillId="2" borderId="12" xfId="11" applyFont="1" applyFill="1" applyBorder="1" applyAlignment="1">
      <alignment horizontal="center" vertical="center"/>
    </xf>
    <xf numFmtId="166" fontId="17" fillId="2" borderId="11" xfId="11" applyFont="1" applyFill="1" applyBorder="1" applyAlignment="1">
      <alignment horizontal="right" vertical="top"/>
    </xf>
    <xf numFmtId="1" fontId="23" fillId="2" borderId="0" xfId="10" applyNumberFormat="1" applyFont="1" applyFill="1" applyAlignment="1">
      <alignment horizontal="right" vertical="center"/>
    </xf>
    <xf numFmtId="1" fontId="25" fillId="2" borderId="0" xfId="10" applyNumberFormat="1" applyFont="1" applyFill="1" applyAlignment="1">
      <alignment horizontal="right" vertical="center"/>
    </xf>
    <xf numFmtId="168" fontId="14" fillId="2" borderId="11" xfId="14" applyNumberFormat="1" applyFont="1" applyFill="1" applyBorder="1" applyAlignment="1">
      <alignment horizontal="right" vertical="center"/>
    </xf>
    <xf numFmtId="1" fontId="25" fillId="2" borderId="11" xfId="10" applyNumberFormat="1" applyFont="1" applyFill="1" applyBorder="1" applyAlignment="1">
      <alignment horizontal="right" vertical="center"/>
    </xf>
    <xf numFmtId="166" fontId="23" fillId="2" borderId="0" xfId="10" applyFont="1" applyFill="1" applyAlignment="1">
      <alignment vertical="center"/>
    </xf>
    <xf numFmtId="166" fontId="4" fillId="2" borderId="0" xfId="11" applyFont="1" applyFill="1" applyAlignment="1">
      <alignment vertical="center"/>
    </xf>
    <xf numFmtId="166" fontId="17" fillId="2" borderId="13" xfId="11" applyFont="1" applyFill="1" applyBorder="1" applyAlignment="1">
      <alignment horizontal="center" vertical="center"/>
    </xf>
    <xf numFmtId="166" fontId="4" fillId="2" borderId="0" xfId="11" applyFont="1" applyFill="1" applyAlignment="1">
      <alignment horizontal="center" vertical="center"/>
    </xf>
    <xf numFmtId="166" fontId="23" fillId="2" borderId="0" xfId="10" applyFont="1" applyFill="1" applyAlignment="1">
      <alignment horizontal="center" vertical="center"/>
    </xf>
    <xf numFmtId="166" fontId="17" fillId="2" borderId="5" xfId="11" applyFont="1" applyFill="1" applyBorder="1" applyAlignment="1">
      <alignment horizontal="center" vertical="center"/>
    </xf>
    <xf numFmtId="166" fontId="17" fillId="2" borderId="12" xfId="11" applyFont="1" applyFill="1" applyBorder="1" applyAlignment="1">
      <alignment horizontal="center" vertical="center"/>
    </xf>
    <xf numFmtId="166" fontId="23" fillId="2" borderId="13" xfId="10" applyFont="1" applyFill="1" applyBorder="1" applyAlignment="1">
      <alignment horizontal="right" vertical="center"/>
    </xf>
    <xf numFmtId="166" fontId="23" fillId="2" borderId="11" xfId="10" applyFont="1" applyFill="1" applyBorder="1" applyAlignment="1">
      <alignment horizontal="right" vertical="center"/>
    </xf>
    <xf numFmtId="166" fontId="11" fillId="2" borderId="13" xfId="11" applyFont="1" applyFill="1" applyBorder="1" applyAlignment="1">
      <alignment horizontal="left" vertical="center"/>
    </xf>
    <xf numFmtId="166" fontId="11" fillId="2" borderId="11" xfId="11" applyFont="1" applyFill="1" applyBorder="1" applyAlignment="1">
      <alignment horizontal="left" vertical="center"/>
    </xf>
    <xf numFmtId="166" fontId="17" fillId="2" borderId="6" xfId="11" applyFont="1" applyFill="1" applyBorder="1" applyAlignment="1">
      <alignment horizontal="center" vertical="center"/>
    </xf>
    <xf numFmtId="0" fontId="26" fillId="2" borderId="0" xfId="0" applyFont="1" applyFill="1" applyAlignment="1">
      <alignment vertical="center"/>
    </xf>
  </cellXfs>
  <cellStyles count="29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2 3" xfId="27" xr:uid="{7B97C7B6-45BC-4F87-B021-D2FFE1457BD1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 2" xfId="26" xr:uid="{C876A118-C7AA-4052-92BB-F37EED3B4522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 5 3" xfId="28" xr:uid="{322195DD-DDD2-4FE1-89C3-0612B80BE6DB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7"/>
  <sheetViews>
    <sheetView tabSelected="1" zoomScale="160" zoomScaleNormal="160" zoomScaleSheetLayoutView="96" workbookViewId="0">
      <selection activeCell="N17" sqref="N17"/>
    </sheetView>
  </sheetViews>
  <sheetFormatPr defaultColWidth="17.85546875" defaultRowHeight="16.5" customHeight="1" x14ac:dyDescent="0.2"/>
  <cols>
    <col min="1" max="1" width="21.7109375" style="5" customWidth="1"/>
    <col min="2" max="2" width="1.7109375" style="5" customWidth="1"/>
    <col min="3" max="3" width="0.85546875" style="5" customWidth="1"/>
    <col min="4" max="19" width="7.7109375" style="5" customWidth="1"/>
    <col min="20" max="20" width="44.5703125" style="5" bestFit="1" customWidth="1"/>
    <col min="21" max="200" width="17.85546875" style="5"/>
    <col min="201" max="201" width="18.7109375" style="5" customWidth="1"/>
    <col min="202" max="202" width="1.7109375" style="5" customWidth="1"/>
    <col min="203" max="203" width="0.85546875" style="5" customWidth="1"/>
    <col min="204" max="224" width="0" style="5" hidden="1" customWidth="1"/>
    <col min="225" max="236" width="8.7109375" style="5" customWidth="1"/>
    <col min="237" max="240" width="0" style="5" hidden="1" customWidth="1"/>
    <col min="241" max="241" width="45.140625" style="5" customWidth="1"/>
    <col min="242" max="245" width="17.85546875" style="5"/>
    <col min="246" max="254" width="5.42578125" style="5" customWidth="1"/>
    <col min="255" max="259" width="6" style="5" customWidth="1"/>
    <col min="260" max="260" width="6.85546875" style="5" customWidth="1"/>
    <col min="261" max="261" width="5.42578125" style="5" customWidth="1"/>
    <col min="262" max="456" width="17.85546875" style="5"/>
    <col min="457" max="457" width="18.7109375" style="5" customWidth="1"/>
    <col min="458" max="458" width="1.7109375" style="5" customWidth="1"/>
    <col min="459" max="459" width="0.85546875" style="5" customWidth="1"/>
    <col min="460" max="480" width="0" style="5" hidden="1" customWidth="1"/>
    <col min="481" max="492" width="8.7109375" style="5" customWidth="1"/>
    <col min="493" max="496" width="0" style="5" hidden="1" customWidth="1"/>
    <col min="497" max="497" width="45.140625" style="5" customWidth="1"/>
    <col min="498" max="501" width="17.85546875" style="5"/>
    <col min="502" max="510" width="5.42578125" style="5" customWidth="1"/>
    <col min="511" max="515" width="6" style="5" customWidth="1"/>
    <col min="516" max="516" width="6.85546875" style="5" customWidth="1"/>
    <col min="517" max="517" width="5.42578125" style="5" customWidth="1"/>
    <col min="518" max="712" width="17.85546875" style="5"/>
    <col min="713" max="713" width="18.7109375" style="5" customWidth="1"/>
    <col min="714" max="714" width="1.7109375" style="5" customWidth="1"/>
    <col min="715" max="715" width="0.85546875" style="5" customWidth="1"/>
    <col min="716" max="736" width="0" style="5" hidden="1" customWidth="1"/>
    <col min="737" max="748" width="8.7109375" style="5" customWidth="1"/>
    <col min="749" max="752" width="0" style="5" hidden="1" customWidth="1"/>
    <col min="753" max="753" width="45.140625" style="5" customWidth="1"/>
    <col min="754" max="757" width="17.85546875" style="5"/>
    <col min="758" max="766" width="5.42578125" style="5" customWidth="1"/>
    <col min="767" max="771" width="6" style="5" customWidth="1"/>
    <col min="772" max="772" width="6.85546875" style="5" customWidth="1"/>
    <col min="773" max="773" width="5.42578125" style="5" customWidth="1"/>
    <col min="774" max="968" width="17.85546875" style="5"/>
    <col min="969" max="969" width="18.7109375" style="5" customWidth="1"/>
    <col min="970" max="970" width="1.7109375" style="5" customWidth="1"/>
    <col min="971" max="971" width="0.85546875" style="5" customWidth="1"/>
    <col min="972" max="992" width="0" style="5" hidden="1" customWidth="1"/>
    <col min="993" max="1004" width="8.7109375" style="5" customWidth="1"/>
    <col min="1005" max="1008" width="0" style="5" hidden="1" customWidth="1"/>
    <col min="1009" max="1009" width="45.140625" style="5" customWidth="1"/>
    <col min="1010" max="1013" width="17.85546875" style="5"/>
    <col min="1014" max="1022" width="5.42578125" style="5" customWidth="1"/>
    <col min="1023" max="1027" width="6" style="5" customWidth="1"/>
    <col min="1028" max="1028" width="6.85546875" style="5" customWidth="1"/>
    <col min="1029" max="1029" width="5.42578125" style="5" customWidth="1"/>
    <col min="1030" max="1224" width="17.85546875" style="5"/>
    <col min="1225" max="1225" width="18.7109375" style="5" customWidth="1"/>
    <col min="1226" max="1226" width="1.7109375" style="5" customWidth="1"/>
    <col min="1227" max="1227" width="0.85546875" style="5" customWidth="1"/>
    <col min="1228" max="1248" width="0" style="5" hidden="1" customWidth="1"/>
    <col min="1249" max="1260" width="8.7109375" style="5" customWidth="1"/>
    <col min="1261" max="1264" width="0" style="5" hidden="1" customWidth="1"/>
    <col min="1265" max="1265" width="45.140625" style="5" customWidth="1"/>
    <col min="1266" max="1269" width="17.85546875" style="5"/>
    <col min="1270" max="1278" width="5.42578125" style="5" customWidth="1"/>
    <col min="1279" max="1283" width="6" style="5" customWidth="1"/>
    <col min="1284" max="1284" width="6.85546875" style="5" customWidth="1"/>
    <col min="1285" max="1285" width="5.42578125" style="5" customWidth="1"/>
    <col min="1286" max="1480" width="17.85546875" style="5"/>
    <col min="1481" max="1481" width="18.7109375" style="5" customWidth="1"/>
    <col min="1482" max="1482" width="1.7109375" style="5" customWidth="1"/>
    <col min="1483" max="1483" width="0.85546875" style="5" customWidth="1"/>
    <col min="1484" max="1504" width="0" style="5" hidden="1" customWidth="1"/>
    <col min="1505" max="1516" width="8.7109375" style="5" customWidth="1"/>
    <col min="1517" max="1520" width="0" style="5" hidden="1" customWidth="1"/>
    <col min="1521" max="1521" width="45.140625" style="5" customWidth="1"/>
    <col min="1522" max="1525" width="17.85546875" style="5"/>
    <col min="1526" max="1534" width="5.42578125" style="5" customWidth="1"/>
    <col min="1535" max="1539" width="6" style="5" customWidth="1"/>
    <col min="1540" max="1540" width="6.85546875" style="5" customWidth="1"/>
    <col min="1541" max="1541" width="5.42578125" style="5" customWidth="1"/>
    <col min="1542" max="1736" width="17.85546875" style="5"/>
    <col min="1737" max="1737" width="18.7109375" style="5" customWidth="1"/>
    <col min="1738" max="1738" width="1.7109375" style="5" customWidth="1"/>
    <col min="1739" max="1739" width="0.85546875" style="5" customWidth="1"/>
    <col min="1740" max="1760" width="0" style="5" hidden="1" customWidth="1"/>
    <col min="1761" max="1772" width="8.7109375" style="5" customWidth="1"/>
    <col min="1773" max="1776" width="0" style="5" hidden="1" customWidth="1"/>
    <col min="1777" max="1777" width="45.140625" style="5" customWidth="1"/>
    <col min="1778" max="1781" width="17.85546875" style="5"/>
    <col min="1782" max="1790" width="5.42578125" style="5" customWidth="1"/>
    <col min="1791" max="1795" width="6" style="5" customWidth="1"/>
    <col min="1796" max="1796" width="6.85546875" style="5" customWidth="1"/>
    <col min="1797" max="1797" width="5.42578125" style="5" customWidth="1"/>
    <col min="1798" max="1992" width="17.85546875" style="5"/>
    <col min="1993" max="1993" width="18.7109375" style="5" customWidth="1"/>
    <col min="1994" max="1994" width="1.7109375" style="5" customWidth="1"/>
    <col min="1995" max="1995" width="0.85546875" style="5" customWidth="1"/>
    <col min="1996" max="2016" width="0" style="5" hidden="1" customWidth="1"/>
    <col min="2017" max="2028" width="8.7109375" style="5" customWidth="1"/>
    <col min="2029" max="2032" width="0" style="5" hidden="1" customWidth="1"/>
    <col min="2033" max="2033" width="45.140625" style="5" customWidth="1"/>
    <col min="2034" max="2037" width="17.85546875" style="5"/>
    <col min="2038" max="2046" width="5.42578125" style="5" customWidth="1"/>
    <col min="2047" max="2051" width="6" style="5" customWidth="1"/>
    <col min="2052" max="2052" width="6.85546875" style="5" customWidth="1"/>
    <col min="2053" max="2053" width="5.42578125" style="5" customWidth="1"/>
    <col min="2054" max="2248" width="17.85546875" style="5"/>
    <col min="2249" max="2249" width="18.7109375" style="5" customWidth="1"/>
    <col min="2250" max="2250" width="1.7109375" style="5" customWidth="1"/>
    <col min="2251" max="2251" width="0.85546875" style="5" customWidth="1"/>
    <col min="2252" max="2272" width="0" style="5" hidden="1" customWidth="1"/>
    <col min="2273" max="2284" width="8.7109375" style="5" customWidth="1"/>
    <col min="2285" max="2288" width="0" style="5" hidden="1" customWidth="1"/>
    <col min="2289" max="2289" width="45.140625" style="5" customWidth="1"/>
    <col min="2290" max="2293" width="17.85546875" style="5"/>
    <col min="2294" max="2302" width="5.42578125" style="5" customWidth="1"/>
    <col min="2303" max="2307" width="6" style="5" customWidth="1"/>
    <col min="2308" max="2308" width="6.85546875" style="5" customWidth="1"/>
    <col min="2309" max="2309" width="5.42578125" style="5" customWidth="1"/>
    <col min="2310" max="2504" width="17.85546875" style="5"/>
    <col min="2505" max="2505" width="18.7109375" style="5" customWidth="1"/>
    <col min="2506" max="2506" width="1.7109375" style="5" customWidth="1"/>
    <col min="2507" max="2507" width="0.85546875" style="5" customWidth="1"/>
    <col min="2508" max="2528" width="0" style="5" hidden="1" customWidth="1"/>
    <col min="2529" max="2540" width="8.7109375" style="5" customWidth="1"/>
    <col min="2541" max="2544" width="0" style="5" hidden="1" customWidth="1"/>
    <col min="2545" max="2545" width="45.140625" style="5" customWidth="1"/>
    <col min="2546" max="2549" width="17.85546875" style="5"/>
    <col min="2550" max="2558" width="5.42578125" style="5" customWidth="1"/>
    <col min="2559" max="2563" width="6" style="5" customWidth="1"/>
    <col min="2564" max="2564" width="6.85546875" style="5" customWidth="1"/>
    <col min="2565" max="2565" width="5.42578125" style="5" customWidth="1"/>
    <col min="2566" max="2760" width="17.85546875" style="5"/>
    <col min="2761" max="2761" width="18.7109375" style="5" customWidth="1"/>
    <col min="2762" max="2762" width="1.7109375" style="5" customWidth="1"/>
    <col min="2763" max="2763" width="0.85546875" style="5" customWidth="1"/>
    <col min="2764" max="2784" width="0" style="5" hidden="1" customWidth="1"/>
    <col min="2785" max="2796" width="8.7109375" style="5" customWidth="1"/>
    <col min="2797" max="2800" width="0" style="5" hidden="1" customWidth="1"/>
    <col min="2801" max="2801" width="45.140625" style="5" customWidth="1"/>
    <col min="2802" max="2805" width="17.85546875" style="5"/>
    <col min="2806" max="2814" width="5.42578125" style="5" customWidth="1"/>
    <col min="2815" max="2819" width="6" style="5" customWidth="1"/>
    <col min="2820" max="2820" width="6.85546875" style="5" customWidth="1"/>
    <col min="2821" max="2821" width="5.42578125" style="5" customWidth="1"/>
    <col min="2822" max="3016" width="17.85546875" style="5"/>
    <col min="3017" max="3017" width="18.7109375" style="5" customWidth="1"/>
    <col min="3018" max="3018" width="1.7109375" style="5" customWidth="1"/>
    <col min="3019" max="3019" width="0.85546875" style="5" customWidth="1"/>
    <col min="3020" max="3040" width="0" style="5" hidden="1" customWidth="1"/>
    <col min="3041" max="3052" width="8.7109375" style="5" customWidth="1"/>
    <col min="3053" max="3056" width="0" style="5" hidden="1" customWidth="1"/>
    <col min="3057" max="3057" width="45.140625" style="5" customWidth="1"/>
    <col min="3058" max="3061" width="17.85546875" style="5"/>
    <col min="3062" max="3070" width="5.42578125" style="5" customWidth="1"/>
    <col min="3071" max="3075" width="6" style="5" customWidth="1"/>
    <col min="3076" max="3076" width="6.85546875" style="5" customWidth="1"/>
    <col min="3077" max="3077" width="5.42578125" style="5" customWidth="1"/>
    <col min="3078" max="3272" width="17.85546875" style="5"/>
    <col min="3273" max="3273" width="18.7109375" style="5" customWidth="1"/>
    <col min="3274" max="3274" width="1.7109375" style="5" customWidth="1"/>
    <col min="3275" max="3275" width="0.85546875" style="5" customWidth="1"/>
    <col min="3276" max="3296" width="0" style="5" hidden="1" customWidth="1"/>
    <col min="3297" max="3308" width="8.7109375" style="5" customWidth="1"/>
    <col min="3309" max="3312" width="0" style="5" hidden="1" customWidth="1"/>
    <col min="3313" max="3313" width="45.140625" style="5" customWidth="1"/>
    <col min="3314" max="3317" width="17.85546875" style="5"/>
    <col min="3318" max="3326" width="5.42578125" style="5" customWidth="1"/>
    <col min="3327" max="3331" width="6" style="5" customWidth="1"/>
    <col min="3332" max="3332" width="6.85546875" style="5" customWidth="1"/>
    <col min="3333" max="3333" width="5.42578125" style="5" customWidth="1"/>
    <col min="3334" max="3528" width="17.85546875" style="5"/>
    <col min="3529" max="3529" width="18.7109375" style="5" customWidth="1"/>
    <col min="3530" max="3530" width="1.7109375" style="5" customWidth="1"/>
    <col min="3531" max="3531" width="0.85546875" style="5" customWidth="1"/>
    <col min="3532" max="3552" width="0" style="5" hidden="1" customWidth="1"/>
    <col min="3553" max="3564" width="8.7109375" style="5" customWidth="1"/>
    <col min="3565" max="3568" width="0" style="5" hidden="1" customWidth="1"/>
    <col min="3569" max="3569" width="45.140625" style="5" customWidth="1"/>
    <col min="3570" max="3573" width="17.85546875" style="5"/>
    <col min="3574" max="3582" width="5.42578125" style="5" customWidth="1"/>
    <col min="3583" max="3587" width="6" style="5" customWidth="1"/>
    <col min="3588" max="3588" width="6.85546875" style="5" customWidth="1"/>
    <col min="3589" max="3589" width="5.42578125" style="5" customWidth="1"/>
    <col min="3590" max="3784" width="17.85546875" style="5"/>
    <col min="3785" max="3785" width="18.7109375" style="5" customWidth="1"/>
    <col min="3786" max="3786" width="1.7109375" style="5" customWidth="1"/>
    <col min="3787" max="3787" width="0.85546875" style="5" customWidth="1"/>
    <col min="3788" max="3808" width="0" style="5" hidden="1" customWidth="1"/>
    <col min="3809" max="3820" width="8.7109375" style="5" customWidth="1"/>
    <col min="3821" max="3824" width="0" style="5" hidden="1" customWidth="1"/>
    <col min="3825" max="3825" width="45.140625" style="5" customWidth="1"/>
    <col min="3826" max="3829" width="17.85546875" style="5"/>
    <col min="3830" max="3838" width="5.42578125" style="5" customWidth="1"/>
    <col min="3839" max="3843" width="6" style="5" customWidth="1"/>
    <col min="3844" max="3844" width="6.85546875" style="5" customWidth="1"/>
    <col min="3845" max="3845" width="5.42578125" style="5" customWidth="1"/>
    <col min="3846" max="4040" width="17.85546875" style="5"/>
    <col min="4041" max="4041" width="18.7109375" style="5" customWidth="1"/>
    <col min="4042" max="4042" width="1.7109375" style="5" customWidth="1"/>
    <col min="4043" max="4043" width="0.85546875" style="5" customWidth="1"/>
    <col min="4044" max="4064" width="0" style="5" hidden="1" customWidth="1"/>
    <col min="4065" max="4076" width="8.7109375" style="5" customWidth="1"/>
    <col min="4077" max="4080" width="0" style="5" hidden="1" customWidth="1"/>
    <col min="4081" max="4081" width="45.140625" style="5" customWidth="1"/>
    <col min="4082" max="4085" width="17.85546875" style="5"/>
    <col min="4086" max="4094" width="5.42578125" style="5" customWidth="1"/>
    <col min="4095" max="4099" width="6" style="5" customWidth="1"/>
    <col min="4100" max="4100" width="6.85546875" style="5" customWidth="1"/>
    <col min="4101" max="4101" width="5.42578125" style="5" customWidth="1"/>
    <col min="4102" max="4296" width="17.85546875" style="5"/>
    <col min="4297" max="4297" width="18.7109375" style="5" customWidth="1"/>
    <col min="4298" max="4298" width="1.7109375" style="5" customWidth="1"/>
    <col min="4299" max="4299" width="0.85546875" style="5" customWidth="1"/>
    <col min="4300" max="4320" width="0" style="5" hidden="1" customWidth="1"/>
    <col min="4321" max="4332" width="8.7109375" style="5" customWidth="1"/>
    <col min="4333" max="4336" width="0" style="5" hidden="1" customWidth="1"/>
    <col min="4337" max="4337" width="45.140625" style="5" customWidth="1"/>
    <col min="4338" max="4341" width="17.85546875" style="5"/>
    <col min="4342" max="4350" width="5.42578125" style="5" customWidth="1"/>
    <col min="4351" max="4355" width="6" style="5" customWidth="1"/>
    <col min="4356" max="4356" width="6.85546875" style="5" customWidth="1"/>
    <col min="4357" max="4357" width="5.42578125" style="5" customWidth="1"/>
    <col min="4358" max="4552" width="17.85546875" style="5"/>
    <col min="4553" max="4553" width="18.7109375" style="5" customWidth="1"/>
    <col min="4554" max="4554" width="1.7109375" style="5" customWidth="1"/>
    <col min="4555" max="4555" width="0.85546875" style="5" customWidth="1"/>
    <col min="4556" max="4576" width="0" style="5" hidden="1" customWidth="1"/>
    <col min="4577" max="4588" width="8.7109375" style="5" customWidth="1"/>
    <col min="4589" max="4592" width="0" style="5" hidden="1" customWidth="1"/>
    <col min="4593" max="4593" width="45.140625" style="5" customWidth="1"/>
    <col min="4594" max="4597" width="17.85546875" style="5"/>
    <col min="4598" max="4606" width="5.42578125" style="5" customWidth="1"/>
    <col min="4607" max="4611" width="6" style="5" customWidth="1"/>
    <col min="4612" max="4612" width="6.85546875" style="5" customWidth="1"/>
    <col min="4613" max="4613" width="5.42578125" style="5" customWidth="1"/>
    <col min="4614" max="4808" width="17.85546875" style="5"/>
    <col min="4809" max="4809" width="18.7109375" style="5" customWidth="1"/>
    <col min="4810" max="4810" width="1.7109375" style="5" customWidth="1"/>
    <col min="4811" max="4811" width="0.85546875" style="5" customWidth="1"/>
    <col min="4812" max="4832" width="0" style="5" hidden="1" customWidth="1"/>
    <col min="4833" max="4844" width="8.7109375" style="5" customWidth="1"/>
    <col min="4845" max="4848" width="0" style="5" hidden="1" customWidth="1"/>
    <col min="4849" max="4849" width="45.140625" style="5" customWidth="1"/>
    <col min="4850" max="4853" width="17.85546875" style="5"/>
    <col min="4854" max="4862" width="5.42578125" style="5" customWidth="1"/>
    <col min="4863" max="4867" width="6" style="5" customWidth="1"/>
    <col min="4868" max="4868" width="6.85546875" style="5" customWidth="1"/>
    <col min="4869" max="4869" width="5.42578125" style="5" customWidth="1"/>
    <col min="4870" max="5064" width="17.85546875" style="5"/>
    <col min="5065" max="5065" width="18.7109375" style="5" customWidth="1"/>
    <col min="5066" max="5066" width="1.7109375" style="5" customWidth="1"/>
    <col min="5067" max="5067" width="0.85546875" style="5" customWidth="1"/>
    <col min="5068" max="5088" width="0" style="5" hidden="1" customWidth="1"/>
    <col min="5089" max="5100" width="8.7109375" style="5" customWidth="1"/>
    <col min="5101" max="5104" width="0" style="5" hidden="1" customWidth="1"/>
    <col min="5105" max="5105" width="45.140625" style="5" customWidth="1"/>
    <col min="5106" max="5109" width="17.85546875" style="5"/>
    <col min="5110" max="5118" width="5.42578125" style="5" customWidth="1"/>
    <col min="5119" max="5123" width="6" style="5" customWidth="1"/>
    <col min="5124" max="5124" width="6.85546875" style="5" customWidth="1"/>
    <col min="5125" max="5125" width="5.42578125" style="5" customWidth="1"/>
    <col min="5126" max="5320" width="17.85546875" style="5"/>
    <col min="5321" max="5321" width="18.7109375" style="5" customWidth="1"/>
    <col min="5322" max="5322" width="1.7109375" style="5" customWidth="1"/>
    <col min="5323" max="5323" width="0.85546875" style="5" customWidth="1"/>
    <col min="5324" max="5344" width="0" style="5" hidden="1" customWidth="1"/>
    <col min="5345" max="5356" width="8.7109375" style="5" customWidth="1"/>
    <col min="5357" max="5360" width="0" style="5" hidden="1" customWidth="1"/>
    <col min="5361" max="5361" width="45.140625" style="5" customWidth="1"/>
    <col min="5362" max="5365" width="17.85546875" style="5"/>
    <col min="5366" max="5374" width="5.42578125" style="5" customWidth="1"/>
    <col min="5375" max="5379" width="6" style="5" customWidth="1"/>
    <col min="5380" max="5380" width="6.85546875" style="5" customWidth="1"/>
    <col min="5381" max="5381" width="5.42578125" style="5" customWidth="1"/>
    <col min="5382" max="5576" width="17.85546875" style="5"/>
    <col min="5577" max="5577" width="18.7109375" style="5" customWidth="1"/>
    <col min="5578" max="5578" width="1.7109375" style="5" customWidth="1"/>
    <col min="5579" max="5579" width="0.85546875" style="5" customWidth="1"/>
    <col min="5580" max="5600" width="0" style="5" hidden="1" customWidth="1"/>
    <col min="5601" max="5612" width="8.7109375" style="5" customWidth="1"/>
    <col min="5613" max="5616" width="0" style="5" hidden="1" customWidth="1"/>
    <col min="5617" max="5617" width="45.140625" style="5" customWidth="1"/>
    <col min="5618" max="5621" width="17.85546875" style="5"/>
    <col min="5622" max="5630" width="5.42578125" style="5" customWidth="1"/>
    <col min="5631" max="5635" width="6" style="5" customWidth="1"/>
    <col min="5636" max="5636" width="6.85546875" style="5" customWidth="1"/>
    <col min="5637" max="5637" width="5.42578125" style="5" customWidth="1"/>
    <col min="5638" max="5832" width="17.85546875" style="5"/>
    <col min="5833" max="5833" width="18.7109375" style="5" customWidth="1"/>
    <col min="5834" max="5834" width="1.7109375" style="5" customWidth="1"/>
    <col min="5835" max="5835" width="0.85546875" style="5" customWidth="1"/>
    <col min="5836" max="5856" width="0" style="5" hidden="1" customWidth="1"/>
    <col min="5857" max="5868" width="8.7109375" style="5" customWidth="1"/>
    <col min="5869" max="5872" width="0" style="5" hidden="1" customWidth="1"/>
    <col min="5873" max="5873" width="45.140625" style="5" customWidth="1"/>
    <col min="5874" max="5877" width="17.85546875" style="5"/>
    <col min="5878" max="5886" width="5.42578125" style="5" customWidth="1"/>
    <col min="5887" max="5891" width="6" style="5" customWidth="1"/>
    <col min="5892" max="5892" width="6.85546875" style="5" customWidth="1"/>
    <col min="5893" max="5893" width="5.42578125" style="5" customWidth="1"/>
    <col min="5894" max="6088" width="17.85546875" style="5"/>
    <col min="6089" max="6089" width="18.7109375" style="5" customWidth="1"/>
    <col min="6090" max="6090" width="1.7109375" style="5" customWidth="1"/>
    <col min="6091" max="6091" width="0.85546875" style="5" customWidth="1"/>
    <col min="6092" max="6112" width="0" style="5" hidden="1" customWidth="1"/>
    <col min="6113" max="6124" width="8.7109375" style="5" customWidth="1"/>
    <col min="6125" max="6128" width="0" style="5" hidden="1" customWidth="1"/>
    <col min="6129" max="6129" width="45.140625" style="5" customWidth="1"/>
    <col min="6130" max="6133" width="17.85546875" style="5"/>
    <col min="6134" max="6142" width="5.42578125" style="5" customWidth="1"/>
    <col min="6143" max="6147" width="6" style="5" customWidth="1"/>
    <col min="6148" max="6148" width="6.85546875" style="5" customWidth="1"/>
    <col min="6149" max="6149" width="5.42578125" style="5" customWidth="1"/>
    <col min="6150" max="6344" width="17.85546875" style="5"/>
    <col min="6345" max="6345" width="18.7109375" style="5" customWidth="1"/>
    <col min="6346" max="6346" width="1.7109375" style="5" customWidth="1"/>
    <col min="6347" max="6347" width="0.85546875" style="5" customWidth="1"/>
    <col min="6348" max="6368" width="0" style="5" hidden="1" customWidth="1"/>
    <col min="6369" max="6380" width="8.7109375" style="5" customWidth="1"/>
    <col min="6381" max="6384" width="0" style="5" hidden="1" customWidth="1"/>
    <col min="6385" max="6385" width="45.140625" style="5" customWidth="1"/>
    <col min="6386" max="6389" width="17.85546875" style="5"/>
    <col min="6390" max="6398" width="5.42578125" style="5" customWidth="1"/>
    <col min="6399" max="6403" width="6" style="5" customWidth="1"/>
    <col min="6404" max="6404" width="6.85546875" style="5" customWidth="1"/>
    <col min="6405" max="6405" width="5.42578125" style="5" customWidth="1"/>
    <col min="6406" max="6600" width="17.85546875" style="5"/>
    <col min="6601" max="6601" width="18.7109375" style="5" customWidth="1"/>
    <col min="6602" max="6602" width="1.7109375" style="5" customWidth="1"/>
    <col min="6603" max="6603" width="0.85546875" style="5" customWidth="1"/>
    <col min="6604" max="6624" width="0" style="5" hidden="1" customWidth="1"/>
    <col min="6625" max="6636" width="8.7109375" style="5" customWidth="1"/>
    <col min="6637" max="6640" width="0" style="5" hidden="1" customWidth="1"/>
    <col min="6641" max="6641" width="45.140625" style="5" customWidth="1"/>
    <col min="6642" max="6645" width="17.85546875" style="5"/>
    <col min="6646" max="6654" width="5.42578125" style="5" customWidth="1"/>
    <col min="6655" max="6659" width="6" style="5" customWidth="1"/>
    <col min="6660" max="6660" width="6.85546875" style="5" customWidth="1"/>
    <col min="6661" max="6661" width="5.42578125" style="5" customWidth="1"/>
    <col min="6662" max="6856" width="17.85546875" style="5"/>
    <col min="6857" max="6857" width="18.7109375" style="5" customWidth="1"/>
    <col min="6858" max="6858" width="1.7109375" style="5" customWidth="1"/>
    <col min="6859" max="6859" width="0.85546875" style="5" customWidth="1"/>
    <col min="6860" max="6880" width="0" style="5" hidden="1" customWidth="1"/>
    <col min="6881" max="6892" width="8.7109375" style="5" customWidth="1"/>
    <col min="6893" max="6896" width="0" style="5" hidden="1" customWidth="1"/>
    <col min="6897" max="6897" width="45.140625" style="5" customWidth="1"/>
    <col min="6898" max="6901" width="17.85546875" style="5"/>
    <col min="6902" max="6910" width="5.42578125" style="5" customWidth="1"/>
    <col min="6911" max="6915" width="6" style="5" customWidth="1"/>
    <col min="6916" max="6916" width="6.85546875" style="5" customWidth="1"/>
    <col min="6917" max="6917" width="5.42578125" style="5" customWidth="1"/>
    <col min="6918" max="7112" width="17.85546875" style="5"/>
    <col min="7113" max="7113" width="18.7109375" style="5" customWidth="1"/>
    <col min="7114" max="7114" width="1.7109375" style="5" customWidth="1"/>
    <col min="7115" max="7115" width="0.85546875" style="5" customWidth="1"/>
    <col min="7116" max="7136" width="0" style="5" hidden="1" customWidth="1"/>
    <col min="7137" max="7148" width="8.7109375" style="5" customWidth="1"/>
    <col min="7149" max="7152" width="0" style="5" hidden="1" customWidth="1"/>
    <col min="7153" max="7153" width="45.140625" style="5" customWidth="1"/>
    <col min="7154" max="7157" width="17.85546875" style="5"/>
    <col min="7158" max="7166" width="5.42578125" style="5" customWidth="1"/>
    <col min="7167" max="7171" width="6" style="5" customWidth="1"/>
    <col min="7172" max="7172" width="6.85546875" style="5" customWidth="1"/>
    <col min="7173" max="7173" width="5.42578125" style="5" customWidth="1"/>
    <col min="7174" max="7368" width="17.85546875" style="5"/>
    <col min="7369" max="7369" width="18.7109375" style="5" customWidth="1"/>
    <col min="7370" max="7370" width="1.7109375" style="5" customWidth="1"/>
    <col min="7371" max="7371" width="0.85546875" style="5" customWidth="1"/>
    <col min="7372" max="7392" width="0" style="5" hidden="1" customWidth="1"/>
    <col min="7393" max="7404" width="8.7109375" style="5" customWidth="1"/>
    <col min="7405" max="7408" width="0" style="5" hidden="1" customWidth="1"/>
    <col min="7409" max="7409" width="45.140625" style="5" customWidth="1"/>
    <col min="7410" max="7413" width="17.85546875" style="5"/>
    <col min="7414" max="7422" width="5.42578125" style="5" customWidth="1"/>
    <col min="7423" max="7427" width="6" style="5" customWidth="1"/>
    <col min="7428" max="7428" width="6.85546875" style="5" customWidth="1"/>
    <col min="7429" max="7429" width="5.42578125" style="5" customWidth="1"/>
    <col min="7430" max="7624" width="17.85546875" style="5"/>
    <col min="7625" max="7625" width="18.7109375" style="5" customWidth="1"/>
    <col min="7626" max="7626" width="1.7109375" style="5" customWidth="1"/>
    <col min="7627" max="7627" width="0.85546875" style="5" customWidth="1"/>
    <col min="7628" max="7648" width="0" style="5" hidden="1" customWidth="1"/>
    <col min="7649" max="7660" width="8.7109375" style="5" customWidth="1"/>
    <col min="7661" max="7664" width="0" style="5" hidden="1" customWidth="1"/>
    <col min="7665" max="7665" width="45.140625" style="5" customWidth="1"/>
    <col min="7666" max="7669" width="17.85546875" style="5"/>
    <col min="7670" max="7678" width="5.42578125" style="5" customWidth="1"/>
    <col min="7679" max="7683" width="6" style="5" customWidth="1"/>
    <col min="7684" max="7684" width="6.85546875" style="5" customWidth="1"/>
    <col min="7685" max="7685" width="5.42578125" style="5" customWidth="1"/>
    <col min="7686" max="7880" width="17.85546875" style="5"/>
    <col min="7881" max="7881" width="18.7109375" style="5" customWidth="1"/>
    <col min="7882" max="7882" width="1.7109375" style="5" customWidth="1"/>
    <col min="7883" max="7883" width="0.85546875" style="5" customWidth="1"/>
    <col min="7884" max="7904" width="0" style="5" hidden="1" customWidth="1"/>
    <col min="7905" max="7916" width="8.7109375" style="5" customWidth="1"/>
    <col min="7917" max="7920" width="0" style="5" hidden="1" customWidth="1"/>
    <col min="7921" max="7921" width="45.140625" style="5" customWidth="1"/>
    <col min="7922" max="7925" width="17.85546875" style="5"/>
    <col min="7926" max="7934" width="5.42578125" style="5" customWidth="1"/>
    <col min="7935" max="7939" width="6" style="5" customWidth="1"/>
    <col min="7940" max="7940" width="6.85546875" style="5" customWidth="1"/>
    <col min="7941" max="7941" width="5.42578125" style="5" customWidth="1"/>
    <col min="7942" max="8136" width="17.85546875" style="5"/>
    <col min="8137" max="8137" width="18.7109375" style="5" customWidth="1"/>
    <col min="8138" max="8138" width="1.7109375" style="5" customWidth="1"/>
    <col min="8139" max="8139" width="0.85546875" style="5" customWidth="1"/>
    <col min="8140" max="8160" width="0" style="5" hidden="1" customWidth="1"/>
    <col min="8161" max="8172" width="8.7109375" style="5" customWidth="1"/>
    <col min="8173" max="8176" width="0" style="5" hidden="1" customWidth="1"/>
    <col min="8177" max="8177" width="45.140625" style="5" customWidth="1"/>
    <col min="8178" max="8181" width="17.85546875" style="5"/>
    <col min="8182" max="8190" width="5.42578125" style="5" customWidth="1"/>
    <col min="8191" max="8195" width="6" style="5" customWidth="1"/>
    <col min="8196" max="8196" width="6.85546875" style="5" customWidth="1"/>
    <col min="8197" max="8197" width="5.42578125" style="5" customWidth="1"/>
    <col min="8198" max="8392" width="17.85546875" style="5"/>
    <col min="8393" max="8393" width="18.7109375" style="5" customWidth="1"/>
    <col min="8394" max="8394" width="1.7109375" style="5" customWidth="1"/>
    <col min="8395" max="8395" width="0.85546875" style="5" customWidth="1"/>
    <col min="8396" max="8416" width="0" style="5" hidden="1" customWidth="1"/>
    <col min="8417" max="8428" width="8.7109375" style="5" customWidth="1"/>
    <col min="8429" max="8432" width="0" style="5" hidden="1" customWidth="1"/>
    <col min="8433" max="8433" width="45.140625" style="5" customWidth="1"/>
    <col min="8434" max="8437" width="17.85546875" style="5"/>
    <col min="8438" max="8446" width="5.42578125" style="5" customWidth="1"/>
    <col min="8447" max="8451" width="6" style="5" customWidth="1"/>
    <col min="8452" max="8452" width="6.85546875" style="5" customWidth="1"/>
    <col min="8453" max="8453" width="5.42578125" style="5" customWidth="1"/>
    <col min="8454" max="8648" width="17.85546875" style="5"/>
    <col min="8649" max="8649" width="18.7109375" style="5" customWidth="1"/>
    <col min="8650" max="8650" width="1.7109375" style="5" customWidth="1"/>
    <col min="8651" max="8651" width="0.85546875" style="5" customWidth="1"/>
    <col min="8652" max="8672" width="0" style="5" hidden="1" customWidth="1"/>
    <col min="8673" max="8684" width="8.7109375" style="5" customWidth="1"/>
    <col min="8685" max="8688" width="0" style="5" hidden="1" customWidth="1"/>
    <col min="8689" max="8689" width="45.140625" style="5" customWidth="1"/>
    <col min="8690" max="8693" width="17.85546875" style="5"/>
    <col min="8694" max="8702" width="5.42578125" style="5" customWidth="1"/>
    <col min="8703" max="8707" width="6" style="5" customWidth="1"/>
    <col min="8708" max="8708" width="6.85546875" style="5" customWidth="1"/>
    <col min="8709" max="8709" width="5.42578125" style="5" customWidth="1"/>
    <col min="8710" max="8904" width="17.85546875" style="5"/>
    <col min="8905" max="8905" width="18.7109375" style="5" customWidth="1"/>
    <col min="8906" max="8906" width="1.7109375" style="5" customWidth="1"/>
    <col min="8907" max="8907" width="0.85546875" style="5" customWidth="1"/>
    <col min="8908" max="8928" width="0" style="5" hidden="1" customWidth="1"/>
    <col min="8929" max="8940" width="8.7109375" style="5" customWidth="1"/>
    <col min="8941" max="8944" width="0" style="5" hidden="1" customWidth="1"/>
    <col min="8945" max="8945" width="45.140625" style="5" customWidth="1"/>
    <col min="8946" max="8949" width="17.85546875" style="5"/>
    <col min="8950" max="8958" width="5.42578125" style="5" customWidth="1"/>
    <col min="8959" max="8963" width="6" style="5" customWidth="1"/>
    <col min="8964" max="8964" width="6.85546875" style="5" customWidth="1"/>
    <col min="8965" max="8965" width="5.42578125" style="5" customWidth="1"/>
    <col min="8966" max="9160" width="17.85546875" style="5"/>
    <col min="9161" max="9161" width="18.7109375" style="5" customWidth="1"/>
    <col min="9162" max="9162" width="1.7109375" style="5" customWidth="1"/>
    <col min="9163" max="9163" width="0.85546875" style="5" customWidth="1"/>
    <col min="9164" max="9184" width="0" style="5" hidden="1" customWidth="1"/>
    <col min="9185" max="9196" width="8.7109375" style="5" customWidth="1"/>
    <col min="9197" max="9200" width="0" style="5" hidden="1" customWidth="1"/>
    <col min="9201" max="9201" width="45.140625" style="5" customWidth="1"/>
    <col min="9202" max="9205" width="17.85546875" style="5"/>
    <col min="9206" max="9214" width="5.42578125" style="5" customWidth="1"/>
    <col min="9215" max="9219" width="6" style="5" customWidth="1"/>
    <col min="9220" max="9220" width="6.85546875" style="5" customWidth="1"/>
    <col min="9221" max="9221" width="5.42578125" style="5" customWidth="1"/>
    <col min="9222" max="9416" width="17.85546875" style="5"/>
    <col min="9417" max="9417" width="18.7109375" style="5" customWidth="1"/>
    <col min="9418" max="9418" width="1.7109375" style="5" customWidth="1"/>
    <col min="9419" max="9419" width="0.85546875" style="5" customWidth="1"/>
    <col min="9420" max="9440" width="0" style="5" hidden="1" customWidth="1"/>
    <col min="9441" max="9452" width="8.7109375" style="5" customWidth="1"/>
    <col min="9453" max="9456" width="0" style="5" hidden="1" customWidth="1"/>
    <col min="9457" max="9457" width="45.140625" style="5" customWidth="1"/>
    <col min="9458" max="9461" width="17.85546875" style="5"/>
    <col min="9462" max="9470" width="5.42578125" style="5" customWidth="1"/>
    <col min="9471" max="9475" width="6" style="5" customWidth="1"/>
    <col min="9476" max="9476" width="6.85546875" style="5" customWidth="1"/>
    <col min="9477" max="9477" width="5.42578125" style="5" customWidth="1"/>
    <col min="9478" max="9672" width="17.85546875" style="5"/>
    <col min="9673" max="9673" width="18.7109375" style="5" customWidth="1"/>
    <col min="9674" max="9674" width="1.7109375" style="5" customWidth="1"/>
    <col min="9675" max="9675" width="0.85546875" style="5" customWidth="1"/>
    <col min="9676" max="9696" width="0" style="5" hidden="1" customWidth="1"/>
    <col min="9697" max="9708" width="8.7109375" style="5" customWidth="1"/>
    <col min="9709" max="9712" width="0" style="5" hidden="1" customWidth="1"/>
    <col min="9713" max="9713" width="45.140625" style="5" customWidth="1"/>
    <col min="9714" max="9717" width="17.85546875" style="5"/>
    <col min="9718" max="9726" width="5.42578125" style="5" customWidth="1"/>
    <col min="9727" max="9731" width="6" style="5" customWidth="1"/>
    <col min="9732" max="9732" width="6.85546875" style="5" customWidth="1"/>
    <col min="9733" max="9733" width="5.42578125" style="5" customWidth="1"/>
    <col min="9734" max="9928" width="17.85546875" style="5"/>
    <col min="9929" max="9929" width="18.7109375" style="5" customWidth="1"/>
    <col min="9930" max="9930" width="1.7109375" style="5" customWidth="1"/>
    <col min="9931" max="9931" width="0.85546875" style="5" customWidth="1"/>
    <col min="9932" max="9952" width="0" style="5" hidden="1" customWidth="1"/>
    <col min="9953" max="9964" width="8.7109375" style="5" customWidth="1"/>
    <col min="9965" max="9968" width="0" style="5" hidden="1" customWidth="1"/>
    <col min="9969" max="9969" width="45.140625" style="5" customWidth="1"/>
    <col min="9970" max="9973" width="17.85546875" style="5"/>
    <col min="9974" max="9982" width="5.42578125" style="5" customWidth="1"/>
    <col min="9983" max="9987" width="6" style="5" customWidth="1"/>
    <col min="9988" max="9988" width="6.85546875" style="5" customWidth="1"/>
    <col min="9989" max="9989" width="5.42578125" style="5" customWidth="1"/>
    <col min="9990" max="10184" width="17.85546875" style="5"/>
    <col min="10185" max="10185" width="18.7109375" style="5" customWidth="1"/>
    <col min="10186" max="10186" width="1.7109375" style="5" customWidth="1"/>
    <col min="10187" max="10187" width="0.85546875" style="5" customWidth="1"/>
    <col min="10188" max="10208" width="0" style="5" hidden="1" customWidth="1"/>
    <col min="10209" max="10220" width="8.7109375" style="5" customWidth="1"/>
    <col min="10221" max="10224" width="0" style="5" hidden="1" customWidth="1"/>
    <col min="10225" max="10225" width="45.140625" style="5" customWidth="1"/>
    <col min="10226" max="10229" width="17.85546875" style="5"/>
    <col min="10230" max="10238" width="5.42578125" style="5" customWidth="1"/>
    <col min="10239" max="10243" width="6" style="5" customWidth="1"/>
    <col min="10244" max="10244" width="6.85546875" style="5" customWidth="1"/>
    <col min="10245" max="10245" width="5.42578125" style="5" customWidth="1"/>
    <col min="10246" max="10440" width="17.85546875" style="5"/>
    <col min="10441" max="10441" width="18.7109375" style="5" customWidth="1"/>
    <col min="10442" max="10442" width="1.7109375" style="5" customWidth="1"/>
    <col min="10443" max="10443" width="0.85546875" style="5" customWidth="1"/>
    <col min="10444" max="10464" width="0" style="5" hidden="1" customWidth="1"/>
    <col min="10465" max="10476" width="8.7109375" style="5" customWidth="1"/>
    <col min="10477" max="10480" width="0" style="5" hidden="1" customWidth="1"/>
    <col min="10481" max="10481" width="45.140625" style="5" customWidth="1"/>
    <col min="10482" max="10485" width="17.85546875" style="5"/>
    <col min="10486" max="10494" width="5.42578125" style="5" customWidth="1"/>
    <col min="10495" max="10499" width="6" style="5" customWidth="1"/>
    <col min="10500" max="10500" width="6.85546875" style="5" customWidth="1"/>
    <col min="10501" max="10501" width="5.42578125" style="5" customWidth="1"/>
    <col min="10502" max="10696" width="17.85546875" style="5"/>
    <col min="10697" max="10697" width="18.7109375" style="5" customWidth="1"/>
    <col min="10698" max="10698" width="1.7109375" style="5" customWidth="1"/>
    <col min="10699" max="10699" width="0.85546875" style="5" customWidth="1"/>
    <col min="10700" max="10720" width="0" style="5" hidden="1" customWidth="1"/>
    <col min="10721" max="10732" width="8.7109375" style="5" customWidth="1"/>
    <col min="10733" max="10736" width="0" style="5" hidden="1" customWidth="1"/>
    <col min="10737" max="10737" width="45.140625" style="5" customWidth="1"/>
    <col min="10738" max="10741" width="17.85546875" style="5"/>
    <col min="10742" max="10750" width="5.42578125" style="5" customWidth="1"/>
    <col min="10751" max="10755" width="6" style="5" customWidth="1"/>
    <col min="10756" max="10756" width="6.85546875" style="5" customWidth="1"/>
    <col min="10757" max="10757" width="5.42578125" style="5" customWidth="1"/>
    <col min="10758" max="10952" width="17.85546875" style="5"/>
    <col min="10953" max="10953" width="18.7109375" style="5" customWidth="1"/>
    <col min="10954" max="10954" width="1.7109375" style="5" customWidth="1"/>
    <col min="10955" max="10955" width="0.85546875" style="5" customWidth="1"/>
    <col min="10956" max="10976" width="0" style="5" hidden="1" customWidth="1"/>
    <col min="10977" max="10988" width="8.7109375" style="5" customWidth="1"/>
    <col min="10989" max="10992" width="0" style="5" hidden="1" customWidth="1"/>
    <col min="10993" max="10993" width="45.140625" style="5" customWidth="1"/>
    <col min="10994" max="10997" width="17.85546875" style="5"/>
    <col min="10998" max="11006" width="5.42578125" style="5" customWidth="1"/>
    <col min="11007" max="11011" width="6" style="5" customWidth="1"/>
    <col min="11012" max="11012" width="6.85546875" style="5" customWidth="1"/>
    <col min="11013" max="11013" width="5.42578125" style="5" customWidth="1"/>
    <col min="11014" max="11208" width="17.85546875" style="5"/>
    <col min="11209" max="11209" width="18.7109375" style="5" customWidth="1"/>
    <col min="11210" max="11210" width="1.7109375" style="5" customWidth="1"/>
    <col min="11211" max="11211" width="0.85546875" style="5" customWidth="1"/>
    <col min="11212" max="11232" width="0" style="5" hidden="1" customWidth="1"/>
    <col min="11233" max="11244" width="8.7109375" style="5" customWidth="1"/>
    <col min="11245" max="11248" width="0" style="5" hidden="1" customWidth="1"/>
    <col min="11249" max="11249" width="45.140625" style="5" customWidth="1"/>
    <col min="11250" max="11253" width="17.85546875" style="5"/>
    <col min="11254" max="11262" width="5.42578125" style="5" customWidth="1"/>
    <col min="11263" max="11267" width="6" style="5" customWidth="1"/>
    <col min="11268" max="11268" width="6.85546875" style="5" customWidth="1"/>
    <col min="11269" max="11269" width="5.42578125" style="5" customWidth="1"/>
    <col min="11270" max="11464" width="17.85546875" style="5"/>
    <col min="11465" max="11465" width="18.7109375" style="5" customWidth="1"/>
    <col min="11466" max="11466" width="1.7109375" style="5" customWidth="1"/>
    <col min="11467" max="11467" width="0.85546875" style="5" customWidth="1"/>
    <col min="11468" max="11488" width="0" style="5" hidden="1" customWidth="1"/>
    <col min="11489" max="11500" width="8.7109375" style="5" customWidth="1"/>
    <col min="11501" max="11504" width="0" style="5" hidden="1" customWidth="1"/>
    <col min="11505" max="11505" width="45.140625" style="5" customWidth="1"/>
    <col min="11506" max="11509" width="17.85546875" style="5"/>
    <col min="11510" max="11518" width="5.42578125" style="5" customWidth="1"/>
    <col min="11519" max="11523" width="6" style="5" customWidth="1"/>
    <col min="11524" max="11524" width="6.85546875" style="5" customWidth="1"/>
    <col min="11525" max="11525" width="5.42578125" style="5" customWidth="1"/>
    <col min="11526" max="11720" width="17.85546875" style="5"/>
    <col min="11721" max="11721" width="18.7109375" style="5" customWidth="1"/>
    <col min="11722" max="11722" width="1.7109375" style="5" customWidth="1"/>
    <col min="11723" max="11723" width="0.85546875" style="5" customWidth="1"/>
    <col min="11724" max="11744" width="0" style="5" hidden="1" customWidth="1"/>
    <col min="11745" max="11756" width="8.7109375" style="5" customWidth="1"/>
    <col min="11757" max="11760" width="0" style="5" hidden="1" customWidth="1"/>
    <col min="11761" max="11761" width="45.140625" style="5" customWidth="1"/>
    <col min="11762" max="11765" width="17.85546875" style="5"/>
    <col min="11766" max="11774" width="5.42578125" style="5" customWidth="1"/>
    <col min="11775" max="11779" width="6" style="5" customWidth="1"/>
    <col min="11780" max="11780" width="6.85546875" style="5" customWidth="1"/>
    <col min="11781" max="11781" width="5.42578125" style="5" customWidth="1"/>
    <col min="11782" max="11976" width="17.85546875" style="5"/>
    <col min="11977" max="11977" width="18.7109375" style="5" customWidth="1"/>
    <col min="11978" max="11978" width="1.7109375" style="5" customWidth="1"/>
    <col min="11979" max="11979" width="0.85546875" style="5" customWidth="1"/>
    <col min="11980" max="12000" width="0" style="5" hidden="1" customWidth="1"/>
    <col min="12001" max="12012" width="8.7109375" style="5" customWidth="1"/>
    <col min="12013" max="12016" width="0" style="5" hidden="1" customWidth="1"/>
    <col min="12017" max="12017" width="45.140625" style="5" customWidth="1"/>
    <col min="12018" max="12021" width="17.85546875" style="5"/>
    <col min="12022" max="12030" width="5.42578125" style="5" customWidth="1"/>
    <col min="12031" max="12035" width="6" style="5" customWidth="1"/>
    <col min="12036" max="12036" width="6.85546875" style="5" customWidth="1"/>
    <col min="12037" max="12037" width="5.42578125" style="5" customWidth="1"/>
    <col min="12038" max="12232" width="17.85546875" style="5"/>
    <col min="12233" max="12233" width="18.7109375" style="5" customWidth="1"/>
    <col min="12234" max="12234" width="1.7109375" style="5" customWidth="1"/>
    <col min="12235" max="12235" width="0.85546875" style="5" customWidth="1"/>
    <col min="12236" max="12256" width="0" style="5" hidden="1" customWidth="1"/>
    <col min="12257" max="12268" width="8.7109375" style="5" customWidth="1"/>
    <col min="12269" max="12272" width="0" style="5" hidden="1" customWidth="1"/>
    <col min="12273" max="12273" width="45.140625" style="5" customWidth="1"/>
    <col min="12274" max="12277" width="17.85546875" style="5"/>
    <col min="12278" max="12286" width="5.42578125" style="5" customWidth="1"/>
    <col min="12287" max="12291" width="6" style="5" customWidth="1"/>
    <col min="12292" max="12292" width="6.85546875" style="5" customWidth="1"/>
    <col min="12293" max="12293" width="5.42578125" style="5" customWidth="1"/>
    <col min="12294" max="12488" width="17.85546875" style="5"/>
    <col min="12489" max="12489" width="18.7109375" style="5" customWidth="1"/>
    <col min="12490" max="12490" width="1.7109375" style="5" customWidth="1"/>
    <col min="12491" max="12491" width="0.85546875" style="5" customWidth="1"/>
    <col min="12492" max="12512" width="0" style="5" hidden="1" customWidth="1"/>
    <col min="12513" max="12524" width="8.7109375" style="5" customWidth="1"/>
    <col min="12525" max="12528" width="0" style="5" hidden="1" customWidth="1"/>
    <col min="12529" max="12529" width="45.140625" style="5" customWidth="1"/>
    <col min="12530" max="12533" width="17.85546875" style="5"/>
    <col min="12534" max="12542" width="5.42578125" style="5" customWidth="1"/>
    <col min="12543" max="12547" width="6" style="5" customWidth="1"/>
    <col min="12548" max="12548" width="6.85546875" style="5" customWidth="1"/>
    <col min="12549" max="12549" width="5.42578125" style="5" customWidth="1"/>
    <col min="12550" max="12744" width="17.85546875" style="5"/>
    <col min="12745" max="12745" width="18.7109375" style="5" customWidth="1"/>
    <col min="12746" max="12746" width="1.7109375" style="5" customWidth="1"/>
    <col min="12747" max="12747" width="0.85546875" style="5" customWidth="1"/>
    <col min="12748" max="12768" width="0" style="5" hidden="1" customWidth="1"/>
    <col min="12769" max="12780" width="8.7109375" style="5" customWidth="1"/>
    <col min="12781" max="12784" width="0" style="5" hidden="1" customWidth="1"/>
    <col min="12785" max="12785" width="45.140625" style="5" customWidth="1"/>
    <col min="12786" max="12789" width="17.85546875" style="5"/>
    <col min="12790" max="12798" width="5.42578125" style="5" customWidth="1"/>
    <col min="12799" max="12803" width="6" style="5" customWidth="1"/>
    <col min="12804" max="12804" width="6.85546875" style="5" customWidth="1"/>
    <col min="12805" max="12805" width="5.42578125" style="5" customWidth="1"/>
    <col min="12806" max="13000" width="17.85546875" style="5"/>
    <col min="13001" max="13001" width="18.7109375" style="5" customWidth="1"/>
    <col min="13002" max="13002" width="1.7109375" style="5" customWidth="1"/>
    <col min="13003" max="13003" width="0.85546875" style="5" customWidth="1"/>
    <col min="13004" max="13024" width="0" style="5" hidden="1" customWidth="1"/>
    <col min="13025" max="13036" width="8.7109375" style="5" customWidth="1"/>
    <col min="13037" max="13040" width="0" style="5" hidden="1" customWidth="1"/>
    <col min="13041" max="13041" width="45.140625" style="5" customWidth="1"/>
    <col min="13042" max="13045" width="17.85546875" style="5"/>
    <col min="13046" max="13054" width="5.42578125" style="5" customWidth="1"/>
    <col min="13055" max="13059" width="6" style="5" customWidth="1"/>
    <col min="13060" max="13060" width="6.85546875" style="5" customWidth="1"/>
    <col min="13061" max="13061" width="5.42578125" style="5" customWidth="1"/>
    <col min="13062" max="13256" width="17.85546875" style="5"/>
    <col min="13257" max="13257" width="18.7109375" style="5" customWidth="1"/>
    <col min="13258" max="13258" width="1.7109375" style="5" customWidth="1"/>
    <col min="13259" max="13259" width="0.85546875" style="5" customWidth="1"/>
    <col min="13260" max="13280" width="0" style="5" hidden="1" customWidth="1"/>
    <col min="13281" max="13292" width="8.7109375" style="5" customWidth="1"/>
    <col min="13293" max="13296" width="0" style="5" hidden="1" customWidth="1"/>
    <col min="13297" max="13297" width="45.140625" style="5" customWidth="1"/>
    <col min="13298" max="13301" width="17.85546875" style="5"/>
    <col min="13302" max="13310" width="5.42578125" style="5" customWidth="1"/>
    <col min="13311" max="13315" width="6" style="5" customWidth="1"/>
    <col min="13316" max="13316" width="6.85546875" style="5" customWidth="1"/>
    <col min="13317" max="13317" width="5.42578125" style="5" customWidth="1"/>
    <col min="13318" max="13512" width="17.85546875" style="5"/>
    <col min="13513" max="13513" width="18.7109375" style="5" customWidth="1"/>
    <col min="13514" max="13514" width="1.7109375" style="5" customWidth="1"/>
    <col min="13515" max="13515" width="0.85546875" style="5" customWidth="1"/>
    <col min="13516" max="13536" width="0" style="5" hidden="1" customWidth="1"/>
    <col min="13537" max="13548" width="8.7109375" style="5" customWidth="1"/>
    <col min="13549" max="13552" width="0" style="5" hidden="1" customWidth="1"/>
    <col min="13553" max="13553" width="45.140625" style="5" customWidth="1"/>
    <col min="13554" max="13557" width="17.85546875" style="5"/>
    <col min="13558" max="13566" width="5.42578125" style="5" customWidth="1"/>
    <col min="13567" max="13571" width="6" style="5" customWidth="1"/>
    <col min="13572" max="13572" width="6.85546875" style="5" customWidth="1"/>
    <col min="13573" max="13573" width="5.42578125" style="5" customWidth="1"/>
    <col min="13574" max="13768" width="17.85546875" style="5"/>
    <col min="13769" max="13769" width="18.7109375" style="5" customWidth="1"/>
    <col min="13770" max="13770" width="1.7109375" style="5" customWidth="1"/>
    <col min="13771" max="13771" width="0.85546875" style="5" customWidth="1"/>
    <col min="13772" max="13792" width="0" style="5" hidden="1" customWidth="1"/>
    <col min="13793" max="13804" width="8.7109375" style="5" customWidth="1"/>
    <col min="13805" max="13808" width="0" style="5" hidden="1" customWidth="1"/>
    <col min="13809" max="13809" width="45.140625" style="5" customWidth="1"/>
    <col min="13810" max="13813" width="17.85546875" style="5"/>
    <col min="13814" max="13822" width="5.42578125" style="5" customWidth="1"/>
    <col min="13823" max="13827" width="6" style="5" customWidth="1"/>
    <col min="13828" max="13828" width="6.85546875" style="5" customWidth="1"/>
    <col min="13829" max="13829" width="5.42578125" style="5" customWidth="1"/>
    <col min="13830" max="14024" width="17.85546875" style="5"/>
    <col min="14025" max="14025" width="18.7109375" style="5" customWidth="1"/>
    <col min="14026" max="14026" width="1.7109375" style="5" customWidth="1"/>
    <col min="14027" max="14027" width="0.85546875" style="5" customWidth="1"/>
    <col min="14028" max="14048" width="0" style="5" hidden="1" customWidth="1"/>
    <col min="14049" max="14060" width="8.7109375" style="5" customWidth="1"/>
    <col min="14061" max="14064" width="0" style="5" hidden="1" customWidth="1"/>
    <col min="14065" max="14065" width="45.140625" style="5" customWidth="1"/>
    <col min="14066" max="14069" width="17.85546875" style="5"/>
    <col min="14070" max="14078" width="5.42578125" style="5" customWidth="1"/>
    <col min="14079" max="14083" width="6" style="5" customWidth="1"/>
    <col min="14084" max="14084" width="6.85546875" style="5" customWidth="1"/>
    <col min="14085" max="14085" width="5.42578125" style="5" customWidth="1"/>
    <col min="14086" max="14280" width="17.85546875" style="5"/>
    <col min="14281" max="14281" width="18.7109375" style="5" customWidth="1"/>
    <col min="14282" max="14282" width="1.7109375" style="5" customWidth="1"/>
    <col min="14283" max="14283" width="0.85546875" style="5" customWidth="1"/>
    <col min="14284" max="14304" width="0" style="5" hidden="1" customWidth="1"/>
    <col min="14305" max="14316" width="8.7109375" style="5" customWidth="1"/>
    <col min="14317" max="14320" width="0" style="5" hidden="1" customWidth="1"/>
    <col min="14321" max="14321" width="45.140625" style="5" customWidth="1"/>
    <col min="14322" max="14325" width="17.85546875" style="5"/>
    <col min="14326" max="14334" width="5.42578125" style="5" customWidth="1"/>
    <col min="14335" max="14339" width="6" style="5" customWidth="1"/>
    <col min="14340" max="14340" width="6.85546875" style="5" customWidth="1"/>
    <col min="14341" max="14341" width="5.42578125" style="5" customWidth="1"/>
    <col min="14342" max="14536" width="17.85546875" style="5"/>
    <col min="14537" max="14537" width="18.7109375" style="5" customWidth="1"/>
    <col min="14538" max="14538" width="1.7109375" style="5" customWidth="1"/>
    <col min="14539" max="14539" width="0.85546875" style="5" customWidth="1"/>
    <col min="14540" max="14560" width="0" style="5" hidden="1" customWidth="1"/>
    <col min="14561" max="14572" width="8.7109375" style="5" customWidth="1"/>
    <col min="14573" max="14576" width="0" style="5" hidden="1" customWidth="1"/>
    <col min="14577" max="14577" width="45.140625" style="5" customWidth="1"/>
    <col min="14578" max="14581" width="17.85546875" style="5"/>
    <col min="14582" max="14590" width="5.42578125" style="5" customWidth="1"/>
    <col min="14591" max="14595" width="6" style="5" customWidth="1"/>
    <col min="14596" max="14596" width="6.85546875" style="5" customWidth="1"/>
    <col min="14597" max="14597" width="5.42578125" style="5" customWidth="1"/>
    <col min="14598" max="14792" width="17.85546875" style="5"/>
    <col min="14793" max="14793" width="18.7109375" style="5" customWidth="1"/>
    <col min="14794" max="14794" width="1.7109375" style="5" customWidth="1"/>
    <col min="14795" max="14795" width="0.85546875" style="5" customWidth="1"/>
    <col min="14796" max="14816" width="0" style="5" hidden="1" customWidth="1"/>
    <col min="14817" max="14828" width="8.7109375" style="5" customWidth="1"/>
    <col min="14829" max="14832" width="0" style="5" hidden="1" customWidth="1"/>
    <col min="14833" max="14833" width="45.140625" style="5" customWidth="1"/>
    <col min="14834" max="14837" width="17.85546875" style="5"/>
    <col min="14838" max="14846" width="5.42578125" style="5" customWidth="1"/>
    <col min="14847" max="14851" width="6" style="5" customWidth="1"/>
    <col min="14852" max="14852" width="6.85546875" style="5" customWidth="1"/>
    <col min="14853" max="14853" width="5.42578125" style="5" customWidth="1"/>
    <col min="14854" max="15048" width="17.85546875" style="5"/>
    <col min="15049" max="15049" width="18.7109375" style="5" customWidth="1"/>
    <col min="15050" max="15050" width="1.7109375" style="5" customWidth="1"/>
    <col min="15051" max="15051" width="0.85546875" style="5" customWidth="1"/>
    <col min="15052" max="15072" width="0" style="5" hidden="1" customWidth="1"/>
    <col min="15073" max="15084" width="8.7109375" style="5" customWidth="1"/>
    <col min="15085" max="15088" width="0" style="5" hidden="1" customWidth="1"/>
    <col min="15089" max="15089" width="45.140625" style="5" customWidth="1"/>
    <col min="15090" max="15093" width="17.85546875" style="5"/>
    <col min="15094" max="15102" width="5.42578125" style="5" customWidth="1"/>
    <col min="15103" max="15107" width="6" style="5" customWidth="1"/>
    <col min="15108" max="15108" width="6.85546875" style="5" customWidth="1"/>
    <col min="15109" max="15109" width="5.42578125" style="5" customWidth="1"/>
    <col min="15110" max="15304" width="17.85546875" style="5"/>
    <col min="15305" max="15305" width="18.7109375" style="5" customWidth="1"/>
    <col min="15306" max="15306" width="1.7109375" style="5" customWidth="1"/>
    <col min="15307" max="15307" width="0.85546875" style="5" customWidth="1"/>
    <col min="15308" max="15328" width="0" style="5" hidden="1" customWidth="1"/>
    <col min="15329" max="15340" width="8.7109375" style="5" customWidth="1"/>
    <col min="15341" max="15344" width="0" style="5" hidden="1" customWidth="1"/>
    <col min="15345" max="15345" width="45.140625" style="5" customWidth="1"/>
    <col min="15346" max="15349" width="17.85546875" style="5"/>
    <col min="15350" max="15358" width="5.42578125" style="5" customWidth="1"/>
    <col min="15359" max="15363" width="6" style="5" customWidth="1"/>
    <col min="15364" max="15364" width="6.85546875" style="5" customWidth="1"/>
    <col min="15365" max="15365" width="5.42578125" style="5" customWidth="1"/>
    <col min="15366" max="15560" width="17.85546875" style="5"/>
    <col min="15561" max="15561" width="18.7109375" style="5" customWidth="1"/>
    <col min="15562" max="15562" width="1.7109375" style="5" customWidth="1"/>
    <col min="15563" max="15563" width="0.85546875" style="5" customWidth="1"/>
    <col min="15564" max="15584" width="0" style="5" hidden="1" customWidth="1"/>
    <col min="15585" max="15596" width="8.7109375" style="5" customWidth="1"/>
    <col min="15597" max="15600" width="0" style="5" hidden="1" customWidth="1"/>
    <col min="15601" max="15601" width="45.140625" style="5" customWidth="1"/>
    <col min="15602" max="15605" width="17.85546875" style="5"/>
    <col min="15606" max="15614" width="5.42578125" style="5" customWidth="1"/>
    <col min="15615" max="15619" width="6" style="5" customWidth="1"/>
    <col min="15620" max="15620" width="6.85546875" style="5" customWidth="1"/>
    <col min="15621" max="15621" width="5.42578125" style="5" customWidth="1"/>
    <col min="15622" max="15816" width="17.85546875" style="5"/>
    <col min="15817" max="15817" width="18.7109375" style="5" customWidth="1"/>
    <col min="15818" max="15818" width="1.7109375" style="5" customWidth="1"/>
    <col min="15819" max="15819" width="0.85546875" style="5" customWidth="1"/>
    <col min="15820" max="15840" width="0" style="5" hidden="1" customWidth="1"/>
    <col min="15841" max="15852" width="8.7109375" style="5" customWidth="1"/>
    <col min="15853" max="15856" width="0" style="5" hidden="1" customWidth="1"/>
    <col min="15857" max="15857" width="45.140625" style="5" customWidth="1"/>
    <col min="15858" max="15861" width="17.85546875" style="5"/>
    <col min="15862" max="15870" width="5.42578125" style="5" customWidth="1"/>
    <col min="15871" max="15875" width="6" style="5" customWidth="1"/>
    <col min="15876" max="15876" width="6.85546875" style="5" customWidth="1"/>
    <col min="15877" max="15877" width="5.42578125" style="5" customWidth="1"/>
    <col min="15878" max="16072" width="17.85546875" style="5"/>
    <col min="16073" max="16073" width="18.7109375" style="5" customWidth="1"/>
    <col min="16074" max="16074" width="1.7109375" style="5" customWidth="1"/>
    <col min="16075" max="16075" width="0.85546875" style="5" customWidth="1"/>
    <col min="16076" max="16096" width="0" style="5" hidden="1" customWidth="1"/>
    <col min="16097" max="16108" width="8.7109375" style="5" customWidth="1"/>
    <col min="16109" max="16112" width="0" style="5" hidden="1" customWidth="1"/>
    <col min="16113" max="16113" width="45.140625" style="5" customWidth="1"/>
    <col min="16114" max="16117" width="17.85546875" style="5"/>
    <col min="16118" max="16126" width="5.42578125" style="5" customWidth="1"/>
    <col min="16127" max="16131" width="6" style="5" customWidth="1"/>
    <col min="16132" max="16132" width="6.85546875" style="5" customWidth="1"/>
    <col min="16133" max="16133" width="5.42578125" style="5" customWidth="1"/>
    <col min="16134" max="16384" width="17.85546875" style="5"/>
  </cols>
  <sheetData>
    <row r="1" spans="1:28" ht="15.75" customHeight="1" x14ac:dyDescent="0.2">
      <c r="A1" s="73" t="s">
        <v>21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69"/>
      <c r="V1" s="69"/>
      <c r="W1" s="69"/>
      <c r="X1" s="69"/>
      <c r="Y1" s="69"/>
      <c r="Z1" s="69"/>
      <c r="AA1" s="69"/>
      <c r="AB1" s="69"/>
    </row>
    <row r="2" spans="1:28" ht="21.75" customHeight="1" x14ac:dyDescent="0.2">
      <c r="A2" s="72" t="s">
        <v>22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0"/>
      <c r="V2" s="70"/>
      <c r="W2" s="70"/>
      <c r="X2" s="70"/>
      <c r="Y2" s="70"/>
      <c r="Z2" s="70"/>
      <c r="AA2" s="70"/>
      <c r="AB2" s="70"/>
    </row>
    <row r="3" spans="1:28" s="6" customFormat="1" ht="15" customHeight="1" x14ac:dyDescent="0.25">
      <c r="A3" s="78" t="s">
        <v>4</v>
      </c>
      <c r="B3" s="71"/>
      <c r="C3" s="63"/>
      <c r="D3" s="75">
        <v>2022</v>
      </c>
      <c r="E3" s="75"/>
      <c r="F3" s="75"/>
      <c r="G3" s="80"/>
      <c r="H3" s="74">
        <v>2023</v>
      </c>
      <c r="I3" s="75"/>
      <c r="J3" s="75"/>
      <c r="K3" s="75"/>
      <c r="L3" s="74">
        <v>2024</v>
      </c>
      <c r="M3" s="75"/>
      <c r="N3" s="75"/>
      <c r="O3" s="75"/>
      <c r="P3" s="74">
        <v>2025</v>
      </c>
      <c r="Q3" s="75"/>
      <c r="R3" s="75"/>
      <c r="S3" s="75"/>
      <c r="T3" s="76" t="s">
        <v>14</v>
      </c>
    </row>
    <row r="4" spans="1:28" s="6" customFormat="1" ht="21" customHeight="1" x14ac:dyDescent="0.25">
      <c r="A4" s="79"/>
      <c r="B4" s="64"/>
      <c r="C4" s="64"/>
      <c r="D4" s="56" t="s">
        <v>0</v>
      </c>
      <c r="E4" s="56" t="s">
        <v>2</v>
      </c>
      <c r="F4" s="56" t="s">
        <v>3</v>
      </c>
      <c r="G4" s="57" t="s">
        <v>5</v>
      </c>
      <c r="H4" s="7" t="s">
        <v>0</v>
      </c>
      <c r="I4" s="56" t="s">
        <v>2</v>
      </c>
      <c r="J4" s="56" t="s">
        <v>3</v>
      </c>
      <c r="K4" s="56" t="s">
        <v>5</v>
      </c>
      <c r="L4" s="7" t="s">
        <v>0</v>
      </c>
      <c r="M4" s="56" t="s">
        <v>2</v>
      </c>
      <c r="N4" s="56" t="s">
        <v>3</v>
      </c>
      <c r="O4" s="56" t="s">
        <v>5</v>
      </c>
      <c r="P4" s="7" t="s">
        <v>0</v>
      </c>
      <c r="Q4" s="56" t="s">
        <v>2</v>
      </c>
      <c r="R4" s="56" t="s">
        <v>3</v>
      </c>
      <c r="S4" s="56" t="s">
        <v>5</v>
      </c>
      <c r="T4" s="77"/>
    </row>
    <row r="5" spans="1:28" s="11" customFormat="1" ht="15.75" x14ac:dyDescent="0.25">
      <c r="A5" s="8" t="s">
        <v>6</v>
      </c>
      <c r="B5" s="9"/>
      <c r="C5" s="10"/>
      <c r="D5" s="34">
        <f>SUM(E5:F5)</f>
        <v>5755</v>
      </c>
      <c r="E5" s="34">
        <f>SUM(E6:E7)</f>
        <v>3886</v>
      </c>
      <c r="F5" s="34">
        <f>SUM(F6:F8)</f>
        <v>1869</v>
      </c>
      <c r="G5" s="58">
        <f>SUM(G6:G7)</f>
        <v>168</v>
      </c>
      <c r="H5" s="35">
        <f>SUM(I5:J5)</f>
        <v>5956</v>
      </c>
      <c r="I5" s="34">
        <f>SUM(I6:I7)</f>
        <v>3871</v>
      </c>
      <c r="J5" s="34">
        <f>SUM(J6:J8)</f>
        <v>2085</v>
      </c>
      <c r="K5" s="34">
        <f>SUM(K6:K7)</f>
        <v>235</v>
      </c>
      <c r="L5" s="35">
        <f>SUM(M5:N5)</f>
        <v>5839</v>
      </c>
      <c r="M5" s="34">
        <f>SUM(M6:M7)</f>
        <v>3916</v>
      </c>
      <c r="N5" s="34">
        <f>SUM(N6:N8)</f>
        <v>1923</v>
      </c>
      <c r="O5" s="34">
        <f>SUM(O6:O7)</f>
        <v>236</v>
      </c>
      <c r="P5" s="35">
        <f>SUM(Q5:R5)+1</f>
        <v>5625</v>
      </c>
      <c r="Q5" s="34">
        <f>SUM(Q6:Q7)</f>
        <v>3927</v>
      </c>
      <c r="R5" s="34">
        <f>SUM(R6:R8)</f>
        <v>1697</v>
      </c>
      <c r="S5" s="34">
        <f>SUM(S6:S7)</f>
        <v>195</v>
      </c>
      <c r="T5" s="65" t="s">
        <v>15</v>
      </c>
      <c r="U5" s="3"/>
    </row>
    <row r="6" spans="1:28" s="15" customFormat="1" ht="15.75" x14ac:dyDescent="0.25">
      <c r="A6" s="12" t="s">
        <v>7</v>
      </c>
      <c r="B6" s="13"/>
      <c r="C6" s="14"/>
      <c r="D6" s="51">
        <f>SUM(E6:F6)</f>
        <v>2927</v>
      </c>
      <c r="E6" s="51">
        <v>1979</v>
      </c>
      <c r="F6" s="51">
        <v>948</v>
      </c>
      <c r="G6" s="59">
        <v>86</v>
      </c>
      <c r="H6" s="37">
        <f>SUM(I6:J6)</f>
        <v>3073</v>
      </c>
      <c r="I6" s="51">
        <v>2020</v>
      </c>
      <c r="J6" s="51">
        <v>1053</v>
      </c>
      <c r="K6" s="51">
        <v>113</v>
      </c>
      <c r="L6" s="37">
        <f>SUM(M6:N6)</f>
        <v>2981</v>
      </c>
      <c r="M6" s="51">
        <v>2005</v>
      </c>
      <c r="N6" s="51">
        <v>976</v>
      </c>
      <c r="O6" s="51">
        <v>125</v>
      </c>
      <c r="P6" s="37">
        <f>SUM(Q6:R6)</f>
        <v>2834</v>
      </c>
      <c r="Q6" s="51">
        <v>1964</v>
      </c>
      <c r="R6" s="51">
        <v>870</v>
      </c>
      <c r="S6" s="51">
        <v>86</v>
      </c>
      <c r="T6" s="66" t="s">
        <v>16</v>
      </c>
      <c r="U6" s="3"/>
    </row>
    <row r="7" spans="1:28" s="15" customFormat="1" ht="15.75" x14ac:dyDescent="0.25">
      <c r="A7" s="12" t="s">
        <v>8</v>
      </c>
      <c r="B7" s="13"/>
      <c r="C7" s="14"/>
      <c r="D7" s="51">
        <f>SUM(E7:F7)</f>
        <v>2828</v>
      </c>
      <c r="E7" s="51">
        <v>1907</v>
      </c>
      <c r="F7" s="51">
        <v>921</v>
      </c>
      <c r="G7" s="59">
        <v>82</v>
      </c>
      <c r="H7" s="37">
        <f>SUM(I7:J7)</f>
        <v>2883</v>
      </c>
      <c r="I7" s="51">
        <v>1851</v>
      </c>
      <c r="J7" s="51">
        <v>1032</v>
      </c>
      <c r="K7" s="51">
        <v>122</v>
      </c>
      <c r="L7" s="37">
        <f>SUM(M7:N7)</f>
        <v>2858</v>
      </c>
      <c r="M7" s="51">
        <v>1911</v>
      </c>
      <c r="N7" s="51">
        <v>947</v>
      </c>
      <c r="O7" s="51">
        <v>111</v>
      </c>
      <c r="P7" s="37">
        <f>SUM(Q7:R7)</f>
        <v>2790</v>
      </c>
      <c r="Q7" s="51">
        <v>1963</v>
      </c>
      <c r="R7" s="51">
        <v>827</v>
      </c>
      <c r="S7" s="51">
        <v>109</v>
      </c>
      <c r="T7" s="66" t="s">
        <v>17</v>
      </c>
      <c r="U7" s="3"/>
    </row>
    <row r="8" spans="1:28" s="15" customFormat="1" ht="15.75" x14ac:dyDescent="0.25">
      <c r="A8" s="12" t="s">
        <v>10</v>
      </c>
      <c r="B8" s="13"/>
      <c r="C8" s="14"/>
      <c r="D8" s="41" t="s">
        <v>1</v>
      </c>
      <c r="E8" s="41" t="s">
        <v>1</v>
      </c>
      <c r="F8" s="41" t="s">
        <v>1</v>
      </c>
      <c r="G8" s="60" t="s">
        <v>1</v>
      </c>
      <c r="H8" s="40" t="s">
        <v>1</v>
      </c>
      <c r="I8" s="41" t="s">
        <v>1</v>
      </c>
      <c r="J8" s="41" t="s">
        <v>1</v>
      </c>
      <c r="K8" s="41" t="s">
        <v>1</v>
      </c>
      <c r="L8" s="40" t="s">
        <v>1</v>
      </c>
      <c r="M8" s="41" t="s">
        <v>1</v>
      </c>
      <c r="N8" s="41" t="s">
        <v>1</v>
      </c>
      <c r="O8" s="41" t="s">
        <v>1</v>
      </c>
      <c r="P8" s="40" t="s">
        <v>1</v>
      </c>
      <c r="Q8" s="41" t="s">
        <v>1</v>
      </c>
      <c r="R8" s="41" t="s">
        <v>1</v>
      </c>
      <c r="S8" s="41" t="s">
        <v>1</v>
      </c>
      <c r="T8" s="66"/>
      <c r="U8" s="3"/>
    </row>
    <row r="9" spans="1:28" s="11" customFormat="1" ht="15.75" x14ac:dyDescent="0.25">
      <c r="A9" s="53" t="s">
        <v>9</v>
      </c>
      <c r="B9" s="16"/>
      <c r="C9" s="17"/>
      <c r="D9" s="43">
        <f>SUM(E9:G9)</f>
        <v>61</v>
      </c>
      <c r="E9" s="43">
        <f>SUM(E10:E12)</f>
        <v>48</v>
      </c>
      <c r="F9" s="43">
        <f>SUM(F10:F12)</f>
        <v>13</v>
      </c>
      <c r="G9" s="39" t="s">
        <v>1</v>
      </c>
      <c r="H9" s="42">
        <f>SUM(I9:J9)</f>
        <v>57</v>
      </c>
      <c r="I9" s="43">
        <f>SUM(I10:I12)</f>
        <v>46</v>
      </c>
      <c r="J9" s="43">
        <f>SUM(J10:J12)</f>
        <v>11</v>
      </c>
      <c r="K9" s="38" t="s">
        <v>1</v>
      </c>
      <c r="L9" s="42">
        <f>SUM(M9:O9)</f>
        <v>49</v>
      </c>
      <c r="M9" s="43">
        <f>SUM(M10:M12)</f>
        <v>35</v>
      </c>
      <c r="N9" s="43">
        <f>SUM(N10:N12)</f>
        <v>14</v>
      </c>
      <c r="O9" s="38" t="s">
        <v>1</v>
      </c>
      <c r="P9" s="42">
        <f>SUM(Q9:R9)</f>
        <v>70</v>
      </c>
      <c r="Q9" s="43">
        <f>SUM(Q10:Q12)</f>
        <v>56</v>
      </c>
      <c r="R9" s="43">
        <f>SUM(R10:R12)</f>
        <v>14</v>
      </c>
      <c r="S9" s="43">
        <f>SUM(S10:S12)</f>
        <v>1</v>
      </c>
      <c r="T9" s="65" t="s">
        <v>18</v>
      </c>
      <c r="U9" s="3"/>
    </row>
    <row r="10" spans="1:28" s="11" customFormat="1" ht="15.75" x14ac:dyDescent="0.25">
      <c r="A10" s="12" t="s">
        <v>7</v>
      </c>
      <c r="B10" s="18"/>
      <c r="C10" s="19"/>
      <c r="D10" s="52">
        <f>SUM(E10:G10)</f>
        <v>27</v>
      </c>
      <c r="E10" s="52">
        <v>17</v>
      </c>
      <c r="F10" s="52">
        <v>10</v>
      </c>
      <c r="G10" s="39" t="s">
        <v>1</v>
      </c>
      <c r="H10" s="44">
        <f>SUM(I10:J10)</f>
        <v>25</v>
      </c>
      <c r="I10" s="52">
        <v>20</v>
      </c>
      <c r="J10" s="52">
        <v>5</v>
      </c>
      <c r="K10" s="38" t="s">
        <v>1</v>
      </c>
      <c r="L10" s="44">
        <f>SUM(M10:O10)</f>
        <v>30</v>
      </c>
      <c r="M10" s="52">
        <v>22</v>
      </c>
      <c r="N10" s="52">
        <v>8</v>
      </c>
      <c r="O10" s="38" t="s">
        <v>1</v>
      </c>
      <c r="P10" s="44">
        <f>SUM(Q10:S10)</f>
        <v>41</v>
      </c>
      <c r="Q10" s="52">
        <v>33</v>
      </c>
      <c r="R10" s="52">
        <v>8</v>
      </c>
      <c r="S10" s="52">
        <v>0</v>
      </c>
      <c r="T10" s="66" t="s">
        <v>16</v>
      </c>
      <c r="U10" s="3"/>
    </row>
    <row r="11" spans="1:28" s="11" customFormat="1" ht="15.75" x14ac:dyDescent="0.25">
      <c r="A11" s="12" t="s">
        <v>8</v>
      </c>
      <c r="B11" s="18"/>
      <c r="C11" s="19"/>
      <c r="D11" s="52">
        <f>SUM(E11:G11)</f>
        <v>34</v>
      </c>
      <c r="E11" s="52">
        <v>31</v>
      </c>
      <c r="F11" s="52">
        <v>3</v>
      </c>
      <c r="G11" s="39" t="s">
        <v>1</v>
      </c>
      <c r="H11" s="44">
        <f>SUM(I11:J11)</f>
        <v>31</v>
      </c>
      <c r="I11" s="52">
        <v>25</v>
      </c>
      <c r="J11" s="52">
        <v>6</v>
      </c>
      <c r="K11" s="38" t="s">
        <v>1</v>
      </c>
      <c r="L11" s="44">
        <f>SUM(M11:O11)</f>
        <v>19</v>
      </c>
      <c r="M11" s="52">
        <v>13</v>
      </c>
      <c r="N11" s="52">
        <v>6</v>
      </c>
      <c r="O11" s="38" t="s">
        <v>1</v>
      </c>
      <c r="P11" s="44">
        <f>SUM(Q11:R11)</f>
        <v>28</v>
      </c>
      <c r="Q11" s="52">
        <v>23</v>
      </c>
      <c r="R11" s="52">
        <v>5</v>
      </c>
      <c r="S11" s="52">
        <v>1</v>
      </c>
      <c r="T11" s="66" t="s">
        <v>17</v>
      </c>
      <c r="U11" s="3"/>
    </row>
    <row r="12" spans="1:28" s="11" customFormat="1" ht="15.75" x14ac:dyDescent="0.25">
      <c r="A12" s="12" t="s">
        <v>10</v>
      </c>
      <c r="B12" s="18"/>
      <c r="C12" s="19"/>
      <c r="D12" s="41" t="s">
        <v>1</v>
      </c>
      <c r="E12" s="41" t="s">
        <v>1</v>
      </c>
      <c r="F12" s="41" t="s">
        <v>1</v>
      </c>
      <c r="G12" s="60" t="s">
        <v>1</v>
      </c>
      <c r="H12" s="44">
        <f>SUM(I12:J12)</f>
        <v>1</v>
      </c>
      <c r="I12" s="52">
        <v>1</v>
      </c>
      <c r="J12" s="52">
        <v>0</v>
      </c>
      <c r="K12" s="38" t="s">
        <v>1</v>
      </c>
      <c r="L12" s="44">
        <f>SUM(M12:O12)</f>
        <v>0</v>
      </c>
      <c r="M12" s="52">
        <v>0</v>
      </c>
      <c r="N12" s="52">
        <v>0</v>
      </c>
      <c r="O12" s="52">
        <v>0</v>
      </c>
      <c r="P12" s="44">
        <f>SUM(Q12:S12)</f>
        <v>1</v>
      </c>
      <c r="Q12" s="52">
        <v>0</v>
      </c>
      <c r="R12" s="52">
        <v>1</v>
      </c>
      <c r="S12" s="52">
        <v>0</v>
      </c>
      <c r="T12" s="66"/>
      <c r="U12" s="3"/>
    </row>
    <row r="13" spans="1:28" s="11" customFormat="1" ht="15.75" x14ac:dyDescent="0.25">
      <c r="A13" s="22" t="s">
        <v>11</v>
      </c>
      <c r="B13" s="20"/>
      <c r="C13" s="21"/>
      <c r="D13" s="46"/>
      <c r="E13" s="46"/>
      <c r="F13" s="46"/>
      <c r="G13" s="61"/>
      <c r="H13" s="45"/>
      <c r="I13" s="46"/>
      <c r="J13" s="46"/>
      <c r="K13" s="46"/>
      <c r="L13" s="45"/>
      <c r="M13" s="46"/>
      <c r="N13" s="46"/>
      <c r="O13" s="46"/>
      <c r="P13" s="45"/>
      <c r="Q13" s="46"/>
      <c r="R13" s="46"/>
      <c r="S13" s="46"/>
      <c r="T13" s="65" t="s">
        <v>19</v>
      </c>
      <c r="U13" s="3"/>
    </row>
    <row r="14" spans="1:28" s="11" customFormat="1" ht="15.75" x14ac:dyDescent="0.25">
      <c r="A14" s="22" t="s">
        <v>12</v>
      </c>
      <c r="B14" s="20"/>
      <c r="C14" s="23"/>
      <c r="D14" s="46">
        <f t="shared" ref="D14:F16" si="0">D9/D5*1000</f>
        <v>10.599478714161599</v>
      </c>
      <c r="E14" s="46">
        <f t="shared" si="0"/>
        <v>12.352032938754503</v>
      </c>
      <c r="F14" s="46">
        <f t="shared" si="0"/>
        <v>6.955591225254147</v>
      </c>
      <c r="G14" s="39" t="s">
        <v>1</v>
      </c>
      <c r="H14" s="45">
        <f t="shared" ref="H14:J16" si="1">H9/H5*1000</f>
        <v>9.5701813297515113</v>
      </c>
      <c r="I14" s="46">
        <f t="shared" si="1"/>
        <v>11.88323430638078</v>
      </c>
      <c r="J14" s="46">
        <f t="shared" si="1"/>
        <v>5.275779376498801</v>
      </c>
      <c r="K14" s="38" t="s">
        <v>1</v>
      </c>
      <c r="L14" s="45">
        <f t="shared" ref="L14:N16" si="2">L9/L5*1000</f>
        <v>8.3918479191642401</v>
      </c>
      <c r="M14" s="46">
        <f t="shared" si="2"/>
        <v>8.9376915219611845</v>
      </c>
      <c r="N14" s="46">
        <f t="shared" si="2"/>
        <v>7.2802912116484659</v>
      </c>
      <c r="O14" s="38" t="s">
        <v>1</v>
      </c>
      <c r="P14" s="45">
        <f t="shared" ref="P14:R16" si="3">P9/P5*1000</f>
        <v>12.444444444444443</v>
      </c>
      <c r="Q14" s="46">
        <f t="shared" si="3"/>
        <v>14.260249554367201</v>
      </c>
      <c r="R14" s="46">
        <f t="shared" si="3"/>
        <v>8.2498526812021211</v>
      </c>
      <c r="S14" s="38" t="s">
        <v>1</v>
      </c>
      <c r="T14" s="65" t="s">
        <v>20</v>
      </c>
      <c r="U14" s="4"/>
    </row>
    <row r="15" spans="1:28" s="15" customFormat="1" ht="15.75" x14ac:dyDescent="0.25">
      <c r="A15" s="12" t="s">
        <v>7</v>
      </c>
      <c r="B15" s="24"/>
      <c r="C15" s="25"/>
      <c r="D15" s="48">
        <f t="shared" si="0"/>
        <v>9.2244619063887932</v>
      </c>
      <c r="E15" s="48">
        <f t="shared" si="0"/>
        <v>8.5901970692268819</v>
      </c>
      <c r="F15" s="48">
        <f t="shared" si="0"/>
        <v>10.548523206751055</v>
      </c>
      <c r="G15" s="39" t="s">
        <v>1</v>
      </c>
      <c r="H15" s="47">
        <f t="shared" si="1"/>
        <v>8.1353726000650823</v>
      </c>
      <c r="I15" s="48">
        <f t="shared" si="1"/>
        <v>9.9009900990099009</v>
      </c>
      <c r="J15" s="48">
        <f t="shared" si="1"/>
        <v>4.7483380816714149</v>
      </c>
      <c r="K15" s="38" t="s">
        <v>1</v>
      </c>
      <c r="L15" s="47">
        <f t="shared" si="2"/>
        <v>10.063737001006373</v>
      </c>
      <c r="M15" s="48">
        <f t="shared" si="2"/>
        <v>10.972568578553616</v>
      </c>
      <c r="N15" s="48">
        <f t="shared" si="2"/>
        <v>8.1967213114754109</v>
      </c>
      <c r="O15" s="38" t="s">
        <v>1</v>
      </c>
      <c r="P15" s="47">
        <f t="shared" si="3"/>
        <v>14.467184191954836</v>
      </c>
      <c r="Q15" s="48">
        <f t="shared" si="3"/>
        <v>16.802443991853359</v>
      </c>
      <c r="R15" s="48">
        <f t="shared" si="3"/>
        <v>9.1954022988505741</v>
      </c>
      <c r="S15" s="38" t="s">
        <v>1</v>
      </c>
      <c r="T15" s="66" t="s">
        <v>16</v>
      </c>
      <c r="U15" s="26"/>
    </row>
    <row r="16" spans="1:28" s="15" customFormat="1" ht="15.75" x14ac:dyDescent="0.25">
      <c r="A16" s="27" t="s">
        <v>8</v>
      </c>
      <c r="B16" s="28"/>
      <c r="C16" s="29"/>
      <c r="D16" s="62">
        <f t="shared" si="0"/>
        <v>12.022630834512023</v>
      </c>
      <c r="E16" s="62">
        <f t="shared" si="0"/>
        <v>16.255899318300997</v>
      </c>
      <c r="F16" s="62">
        <f t="shared" si="0"/>
        <v>3.2573289902280131</v>
      </c>
      <c r="G16" s="50" t="s">
        <v>1</v>
      </c>
      <c r="H16" s="49">
        <f t="shared" si="1"/>
        <v>10.752688172043012</v>
      </c>
      <c r="I16" s="62">
        <f t="shared" si="1"/>
        <v>13.50621285791464</v>
      </c>
      <c r="J16" s="62">
        <f t="shared" si="1"/>
        <v>5.8139534883720927</v>
      </c>
      <c r="K16" s="67" t="s">
        <v>1</v>
      </c>
      <c r="L16" s="49">
        <f t="shared" si="2"/>
        <v>6.6480055983205038</v>
      </c>
      <c r="M16" s="62">
        <f t="shared" si="2"/>
        <v>6.8027210884353737</v>
      </c>
      <c r="N16" s="62">
        <f t="shared" si="2"/>
        <v>6.3357972544878569</v>
      </c>
      <c r="O16" s="67" t="s">
        <v>1</v>
      </c>
      <c r="P16" s="49">
        <f t="shared" si="3"/>
        <v>10.035842293906811</v>
      </c>
      <c r="Q16" s="62">
        <f t="shared" si="3"/>
        <v>11.716760061130923</v>
      </c>
      <c r="R16" s="62">
        <f t="shared" si="3"/>
        <v>6.045949214026602</v>
      </c>
      <c r="S16" s="67" t="s">
        <v>1</v>
      </c>
      <c r="T16" s="68" t="s">
        <v>17</v>
      </c>
      <c r="U16" s="4"/>
    </row>
    <row r="17" spans="1:21" s="31" customFormat="1" ht="17.25" x14ac:dyDescent="0.25">
      <c r="A17" s="54" t="s">
        <v>13</v>
      </c>
      <c r="B17" s="30"/>
      <c r="C17" s="30"/>
      <c r="G17" s="36"/>
      <c r="K17" s="36"/>
      <c r="O17" s="4"/>
      <c r="P17" s="4"/>
      <c r="Q17" s="4"/>
      <c r="R17" s="4"/>
      <c r="S17" s="4"/>
      <c r="T17" s="4"/>
      <c r="U17" s="4"/>
    </row>
    <row r="18" spans="1:21" s="33" customFormat="1" ht="15.75" x14ac:dyDescent="0.25">
      <c r="A18" s="81" t="s">
        <v>24</v>
      </c>
      <c r="B18" s="32"/>
      <c r="C18" s="32"/>
      <c r="O18" s="32"/>
      <c r="P18" s="32"/>
      <c r="Q18" s="32"/>
      <c r="R18" s="32"/>
      <c r="S18" s="32"/>
      <c r="T18" s="32"/>
      <c r="U18" s="32"/>
    </row>
    <row r="19" spans="1:21" ht="12.75" x14ac:dyDescent="0.2">
      <c r="A19" s="55" t="s">
        <v>23</v>
      </c>
    </row>
    <row r="20" spans="1:21" ht="12.75" x14ac:dyDescent="0.2">
      <c r="A20" s="2"/>
    </row>
    <row r="21" spans="1:21" ht="12.75" x14ac:dyDescent="0.2"/>
    <row r="22" spans="1:21" ht="12.75" x14ac:dyDescent="0.2"/>
    <row r="23" spans="1:21" ht="12.75" x14ac:dyDescent="0.2"/>
    <row r="24" spans="1:21" ht="16.5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21" ht="16.5" customHeight="1" x14ac:dyDescent="0.2">
      <c r="O25" s="46"/>
      <c r="P25" s="46"/>
      <c r="Q25" s="46"/>
      <c r="R25" s="46"/>
      <c r="S25" s="46"/>
      <c r="T25" s="46"/>
      <c r="U25" s="46"/>
    </row>
    <row r="26" spans="1:21" ht="16.5" customHeight="1" x14ac:dyDescent="0.2">
      <c r="O26" s="46"/>
      <c r="P26" s="46"/>
      <c r="Q26" s="46"/>
      <c r="R26" s="46"/>
      <c r="S26" s="46"/>
      <c r="T26" s="46"/>
      <c r="U26" s="46"/>
    </row>
    <row r="27" spans="1:21" ht="16.5" customHeight="1" x14ac:dyDescent="0.2">
      <c r="O27" s="46"/>
      <c r="P27" s="46"/>
      <c r="Q27" s="46"/>
      <c r="R27" s="46"/>
      <c r="S27" s="46"/>
      <c r="T27" s="46"/>
      <c r="U27" s="46"/>
    </row>
  </sheetData>
  <mergeCells count="8">
    <mergeCell ref="A2:T2"/>
    <mergeCell ref="A1:T1"/>
    <mergeCell ref="L3:O3"/>
    <mergeCell ref="P3:S3"/>
    <mergeCell ref="T3:T4"/>
    <mergeCell ref="A3:A4"/>
    <mergeCell ref="D3:G3"/>
    <mergeCell ref="H3:K3"/>
  </mergeCells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3.11</vt:lpstr>
      <vt:lpstr>'3.11'!Print_Area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2026-08-06T09:49:08Z</cp:lastPrinted>
  <dcterms:created xsi:type="dcterms:W3CDTF">2019-07-22T06:02:33Z</dcterms:created>
  <dcterms:modified xsi:type="dcterms:W3CDTF">2026-08-06T09:51:10Z</dcterms:modified>
</cp:coreProperties>
</file>