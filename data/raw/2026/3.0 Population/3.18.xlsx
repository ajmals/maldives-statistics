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70A97BFA-AB36-42A8-A1AA-37F1C93302BF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8" sheetId="17" r:id="rId1"/>
  </sheets>
  <definedNames>
    <definedName name="_xlnm.Print_Area" localSheetId="0">'3.18'!$A$1:$T$84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7" l="1"/>
  <c r="S10" i="17"/>
  <c r="T9" i="17"/>
  <c r="S9" i="17"/>
  <c r="S12" i="17"/>
  <c r="S13" i="17"/>
  <c r="S14" i="17"/>
  <c r="T14" i="17"/>
  <c r="S15" i="17"/>
  <c r="S16" i="17"/>
  <c r="T16" i="17"/>
  <c r="S17" i="17"/>
  <c r="S18" i="17"/>
  <c r="T18" i="17"/>
  <c r="S19" i="17"/>
  <c r="S20" i="17"/>
  <c r="S21" i="17"/>
  <c r="S22" i="17"/>
  <c r="T22" i="17"/>
  <c r="S23" i="17"/>
  <c r="T23" i="17"/>
  <c r="S24" i="17"/>
  <c r="T24" i="17"/>
  <c r="S25" i="17"/>
  <c r="T25" i="17"/>
  <c r="S26" i="17"/>
  <c r="T26" i="17"/>
  <c r="S27" i="17"/>
  <c r="T27" i="17"/>
  <c r="S28" i="17"/>
  <c r="T28" i="17"/>
  <c r="S29" i="17"/>
  <c r="T29" i="17"/>
  <c r="S30" i="17"/>
  <c r="S31" i="17"/>
  <c r="AW42" i="17" l="1"/>
  <c r="AW43" i="17"/>
  <c r="AV43" i="17"/>
  <c r="AV42" i="17"/>
  <c r="P11" i="17" l="1"/>
  <c r="R11" i="17"/>
  <c r="R8" i="17" s="1"/>
  <c r="Q11" i="17"/>
  <c r="Q8" i="17" s="1"/>
  <c r="O11" i="17"/>
  <c r="AU42" i="17"/>
  <c r="AU43" i="17"/>
  <c r="AT43" i="17"/>
  <c r="AT42" i="17"/>
  <c r="L31" i="17"/>
  <c r="T31" i="17" s="1"/>
  <c r="L30" i="17"/>
  <c r="T30" i="17" s="1"/>
  <c r="L21" i="17"/>
  <c r="T21" i="17" s="1"/>
  <c r="L20" i="17"/>
  <c r="T20" i="17" s="1"/>
  <c r="L19" i="17"/>
  <c r="T19" i="17" s="1"/>
  <c r="L17" i="17"/>
  <c r="T17" i="17" s="1"/>
  <c r="L15" i="17"/>
  <c r="T15" i="17" s="1"/>
  <c r="L13" i="17"/>
  <c r="T13" i="17" s="1"/>
  <c r="L12" i="17"/>
  <c r="T12" i="17" s="1"/>
  <c r="N11" i="17"/>
  <c r="N8" i="17" s="1"/>
  <c r="M11" i="17"/>
  <c r="M8" i="17" s="1"/>
  <c r="K11" i="17"/>
  <c r="K8" i="17" s="1"/>
  <c r="S11" i="17" l="1"/>
  <c r="O8" i="17"/>
  <c r="S8" i="17" s="1"/>
  <c r="AV44" i="17"/>
  <c r="P8" i="17"/>
  <c r="AW44" i="17"/>
  <c r="AT44" i="17"/>
  <c r="L11" i="17"/>
  <c r="T11" i="17" s="1"/>
  <c r="L8" i="17" l="1"/>
  <c r="T8" i="17" s="1"/>
  <c r="AU44" i="17"/>
  <c r="AS43" i="17" l="1"/>
  <c r="AR43" i="17"/>
  <c r="AS42" i="17"/>
  <c r="AR42" i="17"/>
  <c r="J11" i="17"/>
  <c r="J8" i="17" s="1"/>
  <c r="I11" i="17"/>
  <c r="I8" i="17" s="1"/>
  <c r="H11" i="17"/>
  <c r="G11" i="17"/>
  <c r="G8" i="17" l="1"/>
  <c r="H8" i="17"/>
  <c r="AR44" i="17"/>
  <c r="AS44" i="17"/>
  <c r="F11" i="17" l="1"/>
  <c r="F8" i="17" s="1"/>
  <c r="E11" i="17"/>
  <c r="E8" i="17" s="1"/>
  <c r="D11" i="17"/>
  <c r="C11" i="17"/>
  <c r="C8" i="17"/>
  <c r="D8" i="17" l="1"/>
</calcChain>
</file>

<file path=xl/sharedStrings.xml><?xml version="1.0" encoding="utf-8"?>
<sst xmlns="http://schemas.openxmlformats.org/spreadsheetml/2006/main" count="78" uniqueCount="41">
  <si>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</si>
  <si>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</si>
  <si>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</si>
  <si>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</si>
  <si>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</si>
  <si>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</si>
  <si>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</si>
  <si>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</si>
  <si>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</si>
  <si>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</si>
  <si>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</si>
  <si>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</si>
  <si>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</si>
  <si>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</si>
  <si>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</si>
  <si>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</si>
  <si>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</si>
  <si>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</si>
  <si>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</si>
  <si>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</si>
  <si>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</si>
  <si>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</si>
  <si>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</si>
  <si>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</si>
  <si>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</si>
  <si>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% Change over previous year of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</si>
  <si>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</si>
  <si>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</si>
  <si>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</si>
  <si>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</si>
  <si>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</si>
  <si>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</si>
  <si>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</si>
  <si>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</si>
  <si>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</si>
  <si>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</si>
  <si>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Marriages </t>
  </si>
  <si>
    <t xml:space="preserve">Divorces </t>
  </si>
  <si>
    <t xml:space="preserve">(*) - Indicates if the percentage change is greater than 100. </t>
  </si>
  <si>
    <t>Table 3.18 :  MARRIAGES AND DIVORCES IN MALE' AND ATOLLS, 2021 - 2024</t>
  </si>
  <si>
    <t>ތާވަލު 3.18: މާލެ އާއި އަތޮޅުތަކުގައި ކުރެވުނު ކައިވެންޏާއި ވަރި، 2021 - 2024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</si>
</sst>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rgb="FF000000"/>
      <name val="Calibri"/>
      <family val="2"/>
      <scheme val="minor"/>
    </font>
    <font>
      <i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/>
      <top/>
      <bottom style="thin">
        <color auto="1"/>
      </bottom>
      <diagonal/>
    </border>
  </borders>
  <cellStyleXfs count="28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4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9" fillId="0" borderId="0"/>
  </cellStyleXfs>
  <cellXfs count="77">
    <xf numFmtId="0" fontId="0" fillId="0" borderId="0" xfId="0"/>
    <xf numFmtId="167" fontId="12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locked="0"/>
    </xf>
    <xf numFmtId="167" fontId="15" fillId="2" borderId="0" xfId="11" applyNumberFormat="1" applyFont="1" applyFill="1" applyAlignment="1" applyProtection="1">
      <alignment horizontal="center" vertical="center" wrapText="1"/>
      <protection locked="0"/>
    </xf>
    <xf numFmtId="167" fontId="11" fillId="2" borderId="0" xfId="11" applyNumberFormat="1" applyFont="1" applyFill="1" applyAlignment="1" applyProtection="1">
      <alignment horizontal="center" vertical="center" wrapText="1"/>
      <protection locked="0"/>
    </xf>
    <xf numFmtId="1" fontId="11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0" xfId="11" applyNumberFormat="1" applyFont="1" applyFill="1" applyAlignment="1" applyProtection="1">
      <alignment horizontal="center" vertical="center"/>
      <protection locked="0"/>
    </xf>
    <xf numFmtId="167" fontId="6" fillId="2" borderId="0" xfId="11" applyNumberFormat="1" applyFont="1" applyFill="1" applyAlignment="1" applyProtection="1">
      <alignment horizontal="right" vertical="center"/>
      <protection locked="0"/>
    </xf>
    <xf numFmtId="167" fontId="6" fillId="2" borderId="4" xfId="11" applyNumberFormat="1" applyFont="1" applyFill="1" applyBorder="1" applyAlignment="1" applyProtection="1">
      <alignment horizontal="right" vertical="center"/>
      <protection locked="0"/>
    </xf>
    <xf numFmtId="167" fontId="6" fillId="2" borderId="7" xfId="11" applyNumberFormat="1" applyFont="1" applyFill="1" applyBorder="1" applyAlignment="1" applyProtection="1">
      <alignment horizontal="right" vertical="center"/>
      <protection locked="0"/>
    </xf>
    <xf numFmtId="1" fontId="15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5" xfId="11" applyNumberFormat="1" applyFont="1" applyFill="1" applyBorder="1" applyAlignment="1" applyProtection="1">
      <alignment horizontal="right" vertical="center"/>
      <protection locked="0"/>
    </xf>
    <xf numFmtId="1" fontId="11" fillId="2" borderId="1" xfId="11" applyNumberFormat="1" applyFont="1" applyFill="1" applyBorder="1" applyAlignment="1" applyProtection="1">
      <alignment horizontal="right" vertical="center"/>
      <protection locked="0"/>
    </xf>
    <xf numFmtId="1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right" vertical="center"/>
      <protection locked="0"/>
    </xf>
    <xf numFmtId="167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horizontal="right" vertical="center"/>
      <protection hidden="1"/>
    </xf>
    <xf numFmtId="3" fontId="9" fillId="2" borderId="4" xfId="11" applyNumberFormat="1" applyFont="1" applyFill="1" applyBorder="1" applyAlignment="1" applyProtection="1">
      <alignment horizontal="right" vertical="center"/>
      <protection hidden="1"/>
    </xf>
    <xf numFmtId="1" fontId="4" fillId="2" borderId="0" xfId="11" applyNumberFormat="1" applyFont="1" applyFill="1" applyAlignment="1" applyProtection="1">
      <alignment vertical="center"/>
      <protection locked="0"/>
    </xf>
    <xf numFmtId="1" fontId="11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hidden="1"/>
    </xf>
    <xf numFmtId="3" fontId="9" fillId="2" borderId="0" xfId="11" applyNumberFormat="1" applyFont="1" applyFill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" fontId="7" fillId="2" borderId="0" xfId="11" applyNumberFormat="1" applyFont="1" applyFill="1" applyAlignment="1" applyProtection="1">
      <alignment vertical="center"/>
      <protection locked="0"/>
    </xf>
    <xf numFmtId="167" fontId="9" fillId="2" borderId="0" xfId="11" applyNumberFormat="1" applyFont="1" applyFill="1" applyAlignment="1" applyProtection="1">
      <alignment horizontal="left" vertical="center"/>
      <protection locked="0"/>
    </xf>
    <xf numFmtId="1" fontId="12" fillId="2" borderId="0" xfId="11" applyNumberFormat="1" applyFont="1" applyFill="1" applyAlignment="1" applyProtection="1">
      <alignment vertical="center"/>
      <protection locked="0"/>
    </xf>
    <xf numFmtId="167" fontId="10" fillId="2" borderId="0" xfId="11" applyNumberFormat="1" applyFont="1" applyFill="1" applyAlignment="1" applyProtection="1">
      <alignment horizontal="left" vertical="center" indent="1"/>
      <protection locked="0"/>
    </xf>
    <xf numFmtId="3" fontId="10" fillId="2" borderId="0" xfId="11" applyNumberFormat="1" applyFont="1" applyFill="1" applyAlignment="1" applyProtection="1">
      <alignment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3" fontId="10" fillId="2" borderId="4" xfId="11" applyNumberFormat="1" applyFont="1" applyFill="1" applyBorder="1" applyAlignment="1" applyProtection="1">
      <alignment horizontal="right" vertical="center"/>
      <protection locked="0"/>
    </xf>
    <xf numFmtId="167" fontId="12" fillId="2" borderId="0" xfId="11" applyNumberFormat="1" applyFont="1" applyFill="1" applyAlignment="1" applyProtection="1">
      <alignment vertical="center"/>
      <protection hidden="1"/>
    </xf>
    <xf numFmtId="3" fontId="10" fillId="2" borderId="1" xfId="11" applyNumberFormat="1" applyFont="1" applyFill="1" applyBorder="1" applyAlignment="1" applyProtection="1">
      <alignment horizontal="left" vertical="center" indent="1"/>
      <protection locked="0"/>
    </xf>
    <xf numFmtId="3" fontId="10" fillId="2" borderId="1" xfId="11" applyNumberFormat="1" applyFont="1" applyFill="1" applyBorder="1" applyAlignment="1" applyProtection="1">
      <alignment horizontal="right" vertical="center"/>
      <protection locked="0"/>
    </xf>
    <xf numFmtId="3" fontId="10" fillId="2" borderId="5" xfId="11" applyNumberFormat="1" applyFont="1" applyFill="1" applyBorder="1" applyAlignment="1" applyProtection="1">
      <alignment horizontal="right" vertical="center"/>
      <protection locked="0"/>
    </xf>
    <xf numFmtId="167" fontId="17" fillId="2" borderId="0" xfId="11" applyNumberFormat="1" applyFont="1" applyFill="1" applyProtection="1">
      <protection locked="0"/>
    </xf>
    <xf numFmtId="167" fontId="17" fillId="2" borderId="0" xfId="11" applyNumberFormat="1" applyFont="1" applyFill="1" applyProtection="1">
      <protection hidden="1"/>
    </xf>
    <xf numFmtId="167" fontId="16" fillId="2" borderId="2" xfId="11" applyNumberFormat="1" applyFont="1" applyFill="1" applyBorder="1" applyProtection="1">
      <protection hidden="1"/>
    </xf>
    <xf numFmtId="1" fontId="13" fillId="2" borderId="0" xfId="11" applyNumberFormat="1" applyFont="1" applyFill="1" applyProtection="1">
      <protection hidden="1"/>
    </xf>
    <xf numFmtId="0" fontId="18" fillId="2" borderId="0" xfId="0" applyFont="1" applyFill="1"/>
    <xf numFmtId="167" fontId="12" fillId="2" borderId="0" xfId="11" applyNumberFormat="1" applyFont="1" applyFill="1" applyAlignment="1" applyProtection="1">
      <alignment horizontal="left" vertical="center"/>
      <protection locked="0"/>
    </xf>
    <xf numFmtId="167" fontId="12" fillId="2" borderId="0" xfId="11" applyNumberFormat="1" applyFont="1" applyFill="1" applyProtection="1">
      <protection locked="0"/>
    </xf>
    <xf numFmtId="1" fontId="12" fillId="2" borderId="0" xfId="11" applyNumberFormat="1" applyFont="1" applyFill="1" applyProtection="1">
      <protection locked="0"/>
    </xf>
    <xf numFmtId="3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left" vertical="center"/>
      <protection locked="0"/>
    </xf>
    <xf numFmtId="167" fontId="12" fillId="2" borderId="0" xfId="11" applyNumberFormat="1" applyFont="1" applyFill="1" applyProtection="1">
      <protection hidden="1"/>
    </xf>
    <xf numFmtId="1" fontId="12" fillId="2" borderId="0" xfId="11" applyNumberFormat="1" applyFont="1" applyFill="1" applyProtection="1">
      <protection hidden="1"/>
    </xf>
    <xf numFmtId="167" fontId="12" fillId="2" borderId="1" xfId="11" applyNumberFormat="1" applyFont="1" applyFill="1" applyBorder="1" applyAlignment="1" applyProtection="1">
      <alignment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4" fillId="2" borderId="0" xfId="11" applyNumberFormat="1" applyFont="1" applyFill="1" applyAlignment="1" applyProtection="1">
      <alignment horizontal="center" vertical="center" wrapText="1"/>
      <protection locked="0"/>
    </xf>
    <xf numFmtId="1" fontId="15" fillId="2" borderId="8" xfId="11" applyNumberFormat="1" applyFont="1" applyFill="1" applyBorder="1" applyAlignment="1" applyProtection="1">
      <alignment horizontal="right" vertical="center"/>
      <protection locked="0"/>
    </xf>
    <xf numFmtId="0" fontId="20" fillId="3" borderId="0" xfId="0" applyFont="1" applyFill="1" applyAlignment="1">
      <alignment horizontal="left" vertical="center" indent="3"/>
    </xf>
    <xf numFmtId="1" fontId="7" fillId="2" borderId="12" xfId="11" applyNumberFormat="1" applyFont="1" applyFill="1" applyBorder="1" applyAlignment="1" applyProtection="1">
      <alignment vertical="center"/>
      <protection locked="0"/>
    </xf>
    <xf numFmtId="1" fontId="15" fillId="2" borderId="12" xfId="11" applyNumberFormat="1" applyFont="1" applyFill="1" applyBorder="1" applyAlignment="1" applyProtection="1">
      <alignment horizontal="right" vertical="center"/>
      <protection locked="0"/>
    </xf>
    <xf numFmtId="1" fontId="7" fillId="2" borderId="4" xfId="11" applyNumberFormat="1" applyFont="1" applyFill="1" applyBorder="1" applyAlignment="1" applyProtection="1">
      <alignment vertical="center"/>
      <protection locked="0"/>
    </xf>
    <xf numFmtId="1" fontId="7" fillId="2" borderId="5" xfId="11" applyNumberFormat="1" applyFont="1" applyFill="1" applyBorder="1" applyAlignment="1" applyProtection="1">
      <alignment vertical="center"/>
      <protection locked="0"/>
    </xf>
    <xf numFmtId="1" fontId="4" fillId="2" borderId="6" xfId="11" applyNumberFormat="1" applyFont="1" applyFill="1" applyBorder="1" applyAlignment="1" applyProtection="1">
      <alignment vertical="center"/>
      <protection locked="0"/>
    </xf>
    <xf numFmtId="1" fontId="4" fillId="2" borderId="2" xfId="11" applyNumberFormat="1" applyFont="1" applyFill="1" applyBorder="1" applyAlignment="1" applyProtection="1">
      <alignment vertical="center"/>
      <protection locked="0"/>
    </xf>
    <xf numFmtId="1" fontId="4" fillId="2" borderId="4" xfId="11" applyNumberFormat="1" applyFont="1" applyFill="1" applyBorder="1" applyAlignment="1" applyProtection="1">
      <alignment vertical="center"/>
      <protection locked="0"/>
    </xf>
    <xf numFmtId="1" fontId="11" fillId="2" borderId="0" xfId="11" applyNumberFormat="1" applyFont="1" applyFill="1" applyAlignment="1" applyProtection="1">
      <alignment horizontal="center" vertical="center"/>
      <protection locked="0"/>
    </xf>
    <xf numFmtId="167" fontId="12" fillId="2" borderId="0" xfId="11" applyNumberFormat="1" applyFont="1" applyFill="1" applyAlignment="1" applyProtection="1">
      <alignment horizont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9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2" xfId="11" applyNumberFormat="1" applyFont="1" applyFill="1" applyBorder="1" applyAlignment="1" applyProtection="1">
      <alignment horizontal="left" vertical="center"/>
      <protection locked="0"/>
    </xf>
    <xf numFmtId="167" fontId="15" fillId="2" borderId="0" xfId="11" applyNumberFormat="1" applyFont="1" applyFill="1" applyAlignment="1" applyProtection="1">
      <alignment horizontal="left" vertical="center"/>
      <protection locked="0"/>
    </xf>
    <xf numFmtId="167" fontId="15" fillId="2" borderId="1" xfId="11" applyNumberFormat="1" applyFont="1" applyFill="1" applyBorder="1" applyAlignment="1" applyProtection="1">
      <alignment horizontal="left"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15" fillId="2" borderId="3" xfId="11" applyNumberFormat="1" applyFont="1" applyFill="1" applyBorder="1" applyAlignment="1" applyProtection="1">
      <alignment horizontal="center" vertical="center"/>
      <protection locked="0"/>
    </xf>
    <xf numFmtId="167" fontId="15" fillId="2" borderId="6" xfId="11" applyNumberFormat="1" applyFont="1" applyFill="1" applyBorder="1" applyAlignment="1" applyProtection="1">
      <alignment horizontal="center" vertical="center"/>
      <protection locked="0"/>
    </xf>
    <xf numFmtId="167" fontId="15" fillId="2" borderId="10" xfId="11" applyNumberFormat="1" applyFont="1" applyFill="1" applyBorder="1" applyAlignment="1" applyProtection="1">
      <alignment horizontal="center" vertical="center"/>
      <protection locked="0"/>
    </xf>
    <xf numFmtId="1" fontId="15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10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3" xfId="11" applyNumberFormat="1" applyFont="1" applyFill="1" applyBorder="1" applyAlignment="1" applyProtection="1">
      <alignment horizontal="center" vertical="center" wrapText="1"/>
      <protection locked="0"/>
    </xf>
    <xf numFmtId="167" fontId="15" fillId="2" borderId="9" xfId="11" applyNumberFormat="1" applyFont="1" applyFill="1" applyBorder="1" applyAlignment="1" applyProtection="1">
      <alignment horizontal="center" vertical="center"/>
      <protection locked="0"/>
    </xf>
    <xf numFmtId="167" fontId="15" fillId="2" borderId="11" xfId="11" applyNumberFormat="1" applyFont="1" applyFill="1" applyBorder="1" applyAlignment="1" applyProtection="1">
      <alignment horizontal="center" vertical="center"/>
      <protection locked="0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 5 3" xfId="27" xr:uid="{322195DD-DDD2-4FE1-89C3-0612B80BE6DB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2021 - 2024</a:t>
            </a:r>
          </a:p>
        </c:rich>
      </c:tx>
      <c:layout>
        <c:manualLayout>
          <c:xMode val="edge"/>
          <c:yMode val="edge"/>
          <c:x val="0.18862319043834039"/>
          <c:y val="5.3135611266173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'3.18'!$AO$42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multiLvlStrRef>
              <c:f>'3.18'!$AP$40:$AW$41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2021 </c:v>
                  </c:pt>
                  <c:pt idx="2">
                    <c:v>2022 </c:v>
                  </c:pt>
                  <c:pt idx="4">
                    <c:v>2023 </c:v>
                  </c:pt>
                  <c:pt idx="6">
                    <c:v>2024 </c:v>
                  </c:pt>
                </c:lvl>
              </c:multiLvlStrCache>
            </c:multiLvlStrRef>
          </c:cat>
          <c:val>
            <c:numRef>
              <c:f>'3.18'!$AP$42:$AW$42</c:f>
              <c:numCache>
                <c:formatCode>General_)</c:formatCode>
                <c:ptCount val="8"/>
                <c:pt idx="0">
                  <c:v>2396</c:v>
                </c:pt>
                <c:pt idx="1">
                  <c:v>1191</c:v>
                </c:pt>
                <c:pt idx="2">
                  <c:v>2514</c:v>
                </c:pt>
                <c:pt idx="3">
                  <c:v>1297</c:v>
                </c:pt>
                <c:pt idx="4">
                  <c:v>2425</c:v>
                </c:pt>
                <c:pt idx="5">
                  <c:v>1245</c:v>
                </c:pt>
                <c:pt idx="6">
                  <c:v>2485</c:v>
                </c:pt>
                <c:pt idx="7">
                  <c:v>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'3.18'!$AO$43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multiLvlStrRef>
              <c:f>'3.18'!$AP$40:$AW$41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2021 </c:v>
                  </c:pt>
                  <c:pt idx="2">
                    <c:v>2022 </c:v>
                  </c:pt>
                  <c:pt idx="4">
                    <c:v>2023 </c:v>
                  </c:pt>
                  <c:pt idx="6">
                    <c:v>2024 </c:v>
                  </c:pt>
                </c:lvl>
              </c:multiLvlStrCache>
            </c:multiLvlStrRef>
          </c:cat>
          <c:val>
            <c:numRef>
              <c:f>'3.18'!$AP$43:$AW$43</c:f>
              <c:numCache>
                <c:formatCode>General_)</c:formatCode>
                <c:ptCount val="8"/>
                <c:pt idx="0">
                  <c:v>330</c:v>
                </c:pt>
                <c:pt idx="1">
                  <c:v>247</c:v>
                </c:pt>
                <c:pt idx="2">
                  <c:v>441</c:v>
                </c:pt>
                <c:pt idx="3">
                  <c:v>309</c:v>
                </c:pt>
                <c:pt idx="4">
                  <c:v>508</c:v>
                </c:pt>
                <c:pt idx="5">
                  <c:v>351</c:v>
                </c:pt>
                <c:pt idx="6">
                  <c:v>421</c:v>
                </c:pt>
                <c:pt idx="7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'3.18'!$AO$44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multiLvlStrRef>
              <c:f>'3.18'!$AP$40:$AW$41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2021 </c:v>
                  </c:pt>
                  <c:pt idx="2">
                    <c:v>2022 </c:v>
                  </c:pt>
                  <c:pt idx="4">
                    <c:v>2023 </c:v>
                  </c:pt>
                  <c:pt idx="6">
                    <c:v>2024 </c:v>
                  </c:pt>
                </c:lvl>
              </c:multiLvlStrCache>
            </c:multiLvlStrRef>
          </c:cat>
          <c:val>
            <c:numRef>
              <c:f>'3.18'!$AP$44:$AW$44</c:f>
              <c:numCache>
                <c:formatCode>General_)</c:formatCode>
                <c:ptCount val="8"/>
                <c:pt idx="0">
                  <c:v>2688</c:v>
                </c:pt>
                <c:pt idx="1">
                  <c:v>1804</c:v>
                </c:pt>
                <c:pt idx="2">
                  <c:v>2798</c:v>
                </c:pt>
                <c:pt idx="3">
                  <c:v>1705</c:v>
                </c:pt>
                <c:pt idx="4">
                  <c:v>2440</c:v>
                </c:pt>
                <c:pt idx="5">
                  <c:v>1805</c:v>
                </c:pt>
                <c:pt idx="6">
                  <c:v>2264</c:v>
                </c:pt>
                <c:pt idx="7">
                  <c:v>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3480"/>
        <c:axId val="504216224"/>
      </c:barChart>
      <c:catAx>
        <c:axId val="50421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224"/>
        <c:crosses val="autoZero"/>
        <c:auto val="1"/>
        <c:lblAlgn val="ctr"/>
        <c:lblOffset val="100"/>
        <c:noMultiLvlLbl val="0"/>
      </c:catAx>
      <c:valAx>
        <c:axId val="504216224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348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/>
              <a:t>Figure 3.20: Marriages and Divorces by Atolls, 2024</a:t>
            </a:r>
          </a:p>
        </c:rich>
      </c:tx>
      <c:layout>
        <c:manualLayout>
          <c:xMode val="edge"/>
          <c:yMode val="edge"/>
          <c:x val="0.24892840351615703"/>
          <c:y val="4.80721901898892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30214770483917E-2"/>
          <c:y val="0.17163971611049528"/>
          <c:w val="0.91379665618722206"/>
          <c:h val="0.724822356222581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'3.18'!$O$7</c:f>
              <c:strCache>
                <c:ptCount val="1"/>
                <c:pt idx="0">
                  <c:v>Marriages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'3.18'!$A$12:$A$31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'3.18'!$O$12:$O$31</c:f>
              <c:numCache>
                <c:formatCode>#,##0</c:formatCode>
                <c:ptCount val="20"/>
                <c:pt idx="0">
                  <c:v>91</c:v>
                </c:pt>
                <c:pt idx="1">
                  <c:v>223</c:v>
                </c:pt>
                <c:pt idx="2">
                  <c:v>123</c:v>
                </c:pt>
                <c:pt idx="3">
                  <c:v>126</c:v>
                </c:pt>
                <c:pt idx="4">
                  <c:v>154</c:v>
                </c:pt>
                <c:pt idx="5">
                  <c:v>89</c:v>
                </c:pt>
                <c:pt idx="6">
                  <c:v>93</c:v>
                </c:pt>
                <c:pt idx="7">
                  <c:v>159</c:v>
                </c:pt>
                <c:pt idx="8">
                  <c:v>79</c:v>
                </c:pt>
                <c:pt idx="9">
                  <c:v>92</c:v>
                </c:pt>
                <c:pt idx="10">
                  <c:v>19</c:v>
                </c:pt>
                <c:pt idx="11">
                  <c:v>25</c:v>
                </c:pt>
                <c:pt idx="12">
                  <c:v>45</c:v>
                </c:pt>
                <c:pt idx="13">
                  <c:v>35</c:v>
                </c:pt>
                <c:pt idx="14">
                  <c:v>89</c:v>
                </c:pt>
                <c:pt idx="15">
                  <c:v>179</c:v>
                </c:pt>
                <c:pt idx="16">
                  <c:v>107</c:v>
                </c:pt>
                <c:pt idx="17">
                  <c:v>156</c:v>
                </c:pt>
                <c:pt idx="18">
                  <c:v>123</c:v>
                </c:pt>
                <c:pt idx="19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E-4DC1-8E7A-D34232CDBAFB}"/>
            </c:ext>
          </c:extLst>
        </c:ser>
        <c:ser>
          <c:idx val="2"/>
          <c:order val="1"/>
          <c:tx>
            <c:strRef>
              <c:f>'3.18'!$P$7</c:f>
              <c:strCache>
                <c:ptCount val="1"/>
                <c:pt idx="0">
                  <c:v>Divorces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'3.18'!$A$12:$A$31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'3.18'!$P$12:$P$31</c:f>
              <c:numCache>
                <c:formatCode>General_)</c:formatCode>
                <c:ptCount val="20"/>
                <c:pt idx="0">
                  <c:v>70</c:v>
                </c:pt>
                <c:pt idx="1">
                  <c:v>163</c:v>
                </c:pt>
                <c:pt idx="2">
                  <c:v>66</c:v>
                </c:pt>
                <c:pt idx="3">
                  <c:v>88</c:v>
                </c:pt>
                <c:pt idx="4">
                  <c:v>100</c:v>
                </c:pt>
                <c:pt idx="5">
                  <c:v>45</c:v>
                </c:pt>
                <c:pt idx="6">
                  <c:v>75</c:v>
                </c:pt>
                <c:pt idx="7">
                  <c:v>117</c:v>
                </c:pt>
                <c:pt idx="8">
                  <c:v>46</c:v>
                </c:pt>
                <c:pt idx="9">
                  <c:v>65</c:v>
                </c:pt>
                <c:pt idx="10">
                  <c:v>12</c:v>
                </c:pt>
                <c:pt idx="11">
                  <c:v>32</c:v>
                </c:pt>
                <c:pt idx="12">
                  <c:v>41</c:v>
                </c:pt>
                <c:pt idx="13">
                  <c:v>32</c:v>
                </c:pt>
                <c:pt idx="14">
                  <c:v>76</c:v>
                </c:pt>
                <c:pt idx="15">
                  <c:v>143</c:v>
                </c:pt>
                <c:pt idx="16">
                  <c:v>85</c:v>
                </c:pt>
                <c:pt idx="17">
                  <c:v>111</c:v>
                </c:pt>
                <c:pt idx="18">
                  <c:v>87</c:v>
                </c:pt>
                <c:pt idx="19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E-4DC1-8E7A-D34232C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6616"/>
        <c:axId val="504218184"/>
      </c:barChart>
      <c:catAx>
        <c:axId val="50421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8184"/>
        <c:crosses val="autoZero"/>
        <c:auto val="1"/>
        <c:lblAlgn val="ctr"/>
        <c:lblOffset val="100"/>
        <c:noMultiLvlLbl val="0"/>
      </c:catAx>
      <c:valAx>
        <c:axId val="504218184"/>
        <c:scaling>
          <c:orientation val="minMax"/>
          <c:max val="350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616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65760153822871148"/>
          <c:y val="0.23739842446914713"/>
          <c:w val="0.24075626139952849"/>
          <c:h val="0.1379578293891916"/>
        </c:manualLayout>
      </c:layout>
      <c:overlay val="0"/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145167</xdr:rowOff>
    </xdr:from>
    <xdr:to>
      <xdr:col>19</xdr:col>
      <xdr:colOff>247650</xdr:colOff>
      <xdr:row>54</xdr:row>
      <xdr:rowOff>157190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7326</xdr:colOff>
      <xdr:row>54</xdr:row>
      <xdr:rowOff>145221</xdr:rowOff>
    </xdr:from>
    <xdr:to>
      <xdr:col>19</xdr:col>
      <xdr:colOff>285749</xdr:colOff>
      <xdr:row>77</xdr:row>
      <xdr:rowOff>69020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L1039"/>
  <sheetViews>
    <sheetView tabSelected="1" zoomScale="91" zoomScaleNormal="91" zoomScaleSheetLayoutView="91" workbookViewId="0">
      <selection activeCell="V10" sqref="V10"/>
    </sheetView>
  </sheetViews>
  <sheetFormatPr defaultRowHeight="12.75" x14ac:dyDescent="0.2"/>
  <cols>
    <col min="1" max="1" width="16.7109375" style="45" customWidth="1"/>
    <col min="2" max="2" width="1.7109375" style="46" customWidth="1"/>
    <col min="3" max="18" width="8.85546875" style="46" customWidth="1"/>
    <col min="19" max="19" width="11.140625" style="46" customWidth="1"/>
    <col min="20" max="21" width="11.85546875" style="45" customWidth="1"/>
    <col min="22" max="39" width="18" style="41" customWidth="1"/>
    <col min="40" max="40" width="6.28515625" style="41" customWidth="1"/>
    <col min="41" max="41" width="7" style="41" customWidth="1"/>
    <col min="42" max="142" width="9.140625" style="41"/>
    <col min="143" max="230" width="9.140625" style="45"/>
    <col min="231" max="231" width="11.7109375" style="45" customWidth="1"/>
    <col min="232" max="246" width="0" style="45" hidden="1" customWidth="1"/>
    <col min="247" max="250" width="8.85546875" style="45" customWidth="1"/>
    <col min="251" max="251" width="1.85546875" style="45" customWidth="1"/>
    <col min="252" max="255" width="8.85546875" style="45" customWidth="1"/>
    <col min="256" max="256" width="1.85546875" style="45" customWidth="1"/>
    <col min="257" max="260" width="8.85546875" style="45" customWidth="1"/>
    <col min="261" max="261" width="11.140625" style="45" customWidth="1"/>
    <col min="262" max="263" width="11.85546875" style="45" customWidth="1"/>
    <col min="264" max="273" width="18" style="45" customWidth="1"/>
    <col min="274" max="274" width="6.28515625" style="45" customWidth="1"/>
    <col min="275" max="275" width="7" style="45" customWidth="1"/>
    <col min="276" max="281" width="6.28515625" style="45" customWidth="1"/>
    <col min="282" max="486" width="9.140625" style="45"/>
    <col min="487" max="487" width="11.7109375" style="45" customWidth="1"/>
    <col min="488" max="502" width="0" style="45" hidden="1" customWidth="1"/>
    <col min="503" max="506" width="8.85546875" style="45" customWidth="1"/>
    <col min="507" max="507" width="1.85546875" style="45" customWidth="1"/>
    <col min="508" max="511" width="8.85546875" style="45" customWidth="1"/>
    <col min="512" max="512" width="1.85546875" style="45" customWidth="1"/>
    <col min="513" max="516" width="8.85546875" style="45" customWidth="1"/>
    <col min="517" max="517" width="11.140625" style="45" customWidth="1"/>
    <col min="518" max="519" width="11.85546875" style="45" customWidth="1"/>
    <col min="520" max="529" width="18" style="45" customWidth="1"/>
    <col min="530" max="530" width="6.28515625" style="45" customWidth="1"/>
    <col min="531" max="531" width="7" style="45" customWidth="1"/>
    <col min="532" max="537" width="6.28515625" style="45" customWidth="1"/>
    <col min="538" max="742" width="9.140625" style="45"/>
    <col min="743" max="743" width="11.7109375" style="45" customWidth="1"/>
    <col min="744" max="758" width="0" style="45" hidden="1" customWidth="1"/>
    <col min="759" max="762" width="8.85546875" style="45" customWidth="1"/>
    <col min="763" max="763" width="1.85546875" style="45" customWidth="1"/>
    <col min="764" max="767" width="8.85546875" style="45" customWidth="1"/>
    <col min="768" max="768" width="1.85546875" style="45" customWidth="1"/>
    <col min="769" max="772" width="8.85546875" style="45" customWidth="1"/>
    <col min="773" max="773" width="11.140625" style="45" customWidth="1"/>
    <col min="774" max="775" width="11.85546875" style="45" customWidth="1"/>
    <col min="776" max="785" width="18" style="45" customWidth="1"/>
    <col min="786" max="786" width="6.28515625" style="45" customWidth="1"/>
    <col min="787" max="787" width="7" style="45" customWidth="1"/>
    <col min="788" max="793" width="6.28515625" style="45" customWidth="1"/>
    <col min="794" max="998" width="9.140625" style="45"/>
    <col min="999" max="999" width="11.7109375" style="45" customWidth="1"/>
    <col min="1000" max="1014" width="0" style="45" hidden="1" customWidth="1"/>
    <col min="1015" max="1018" width="8.85546875" style="45" customWidth="1"/>
    <col min="1019" max="1019" width="1.85546875" style="45" customWidth="1"/>
    <col min="1020" max="1023" width="8.85546875" style="45" customWidth="1"/>
    <col min="1024" max="1024" width="1.85546875" style="45" customWidth="1"/>
    <col min="1025" max="1028" width="8.85546875" style="45" customWidth="1"/>
    <col min="1029" max="1029" width="11.140625" style="45" customWidth="1"/>
    <col min="1030" max="1031" width="11.85546875" style="45" customWidth="1"/>
    <col min="1032" max="1041" width="18" style="45" customWidth="1"/>
    <col min="1042" max="1042" width="6.28515625" style="45" customWidth="1"/>
    <col min="1043" max="1043" width="7" style="45" customWidth="1"/>
    <col min="1044" max="1049" width="6.28515625" style="45" customWidth="1"/>
    <col min="1050" max="1254" width="9.140625" style="45"/>
    <col min="1255" max="1255" width="11.7109375" style="45" customWidth="1"/>
    <col min="1256" max="1270" width="0" style="45" hidden="1" customWidth="1"/>
    <col min="1271" max="1274" width="8.85546875" style="45" customWidth="1"/>
    <col min="1275" max="1275" width="1.85546875" style="45" customWidth="1"/>
    <col min="1276" max="1279" width="8.85546875" style="45" customWidth="1"/>
    <col min="1280" max="1280" width="1.85546875" style="45" customWidth="1"/>
    <col min="1281" max="1284" width="8.85546875" style="45" customWidth="1"/>
    <col min="1285" max="1285" width="11.140625" style="45" customWidth="1"/>
    <col min="1286" max="1287" width="11.85546875" style="45" customWidth="1"/>
    <col min="1288" max="1297" width="18" style="45" customWidth="1"/>
    <col min="1298" max="1298" width="6.28515625" style="45" customWidth="1"/>
    <col min="1299" max="1299" width="7" style="45" customWidth="1"/>
    <col min="1300" max="1305" width="6.28515625" style="45" customWidth="1"/>
    <col min="1306" max="1510" width="9.140625" style="45"/>
    <col min="1511" max="1511" width="11.7109375" style="45" customWidth="1"/>
    <col min="1512" max="1526" width="0" style="45" hidden="1" customWidth="1"/>
    <col min="1527" max="1530" width="8.85546875" style="45" customWidth="1"/>
    <col min="1531" max="1531" width="1.85546875" style="45" customWidth="1"/>
    <col min="1532" max="1535" width="8.85546875" style="45" customWidth="1"/>
    <col min="1536" max="1536" width="1.85546875" style="45" customWidth="1"/>
    <col min="1537" max="1540" width="8.85546875" style="45" customWidth="1"/>
    <col min="1541" max="1541" width="11.140625" style="45" customWidth="1"/>
    <col min="1542" max="1543" width="11.85546875" style="45" customWidth="1"/>
    <col min="1544" max="1553" width="18" style="45" customWidth="1"/>
    <col min="1554" max="1554" width="6.28515625" style="45" customWidth="1"/>
    <col min="1555" max="1555" width="7" style="45" customWidth="1"/>
    <col min="1556" max="1561" width="6.28515625" style="45" customWidth="1"/>
    <col min="1562" max="1766" width="9.140625" style="45"/>
    <col min="1767" max="1767" width="11.7109375" style="45" customWidth="1"/>
    <col min="1768" max="1782" width="0" style="45" hidden="1" customWidth="1"/>
    <col min="1783" max="1786" width="8.85546875" style="45" customWidth="1"/>
    <col min="1787" max="1787" width="1.85546875" style="45" customWidth="1"/>
    <col min="1788" max="1791" width="8.85546875" style="45" customWidth="1"/>
    <col min="1792" max="1792" width="1.85546875" style="45" customWidth="1"/>
    <col min="1793" max="1796" width="8.85546875" style="45" customWidth="1"/>
    <col min="1797" max="1797" width="11.140625" style="45" customWidth="1"/>
    <col min="1798" max="1799" width="11.85546875" style="45" customWidth="1"/>
    <col min="1800" max="1809" width="18" style="45" customWidth="1"/>
    <col min="1810" max="1810" width="6.28515625" style="45" customWidth="1"/>
    <col min="1811" max="1811" width="7" style="45" customWidth="1"/>
    <col min="1812" max="1817" width="6.28515625" style="45" customWidth="1"/>
    <col min="1818" max="2022" width="9.140625" style="45"/>
    <col min="2023" max="2023" width="11.7109375" style="45" customWidth="1"/>
    <col min="2024" max="2038" width="0" style="45" hidden="1" customWidth="1"/>
    <col min="2039" max="2042" width="8.85546875" style="45" customWidth="1"/>
    <col min="2043" max="2043" width="1.85546875" style="45" customWidth="1"/>
    <col min="2044" max="2047" width="8.85546875" style="45" customWidth="1"/>
    <col min="2048" max="2048" width="1.85546875" style="45" customWidth="1"/>
    <col min="2049" max="2052" width="8.85546875" style="45" customWidth="1"/>
    <col min="2053" max="2053" width="11.140625" style="45" customWidth="1"/>
    <col min="2054" max="2055" width="11.85546875" style="45" customWidth="1"/>
    <col min="2056" max="2065" width="18" style="45" customWidth="1"/>
    <col min="2066" max="2066" width="6.28515625" style="45" customWidth="1"/>
    <col min="2067" max="2067" width="7" style="45" customWidth="1"/>
    <col min="2068" max="2073" width="6.28515625" style="45" customWidth="1"/>
    <col min="2074" max="2278" width="9.140625" style="45"/>
    <col min="2279" max="2279" width="11.7109375" style="45" customWidth="1"/>
    <col min="2280" max="2294" width="0" style="45" hidden="1" customWidth="1"/>
    <col min="2295" max="2298" width="8.85546875" style="45" customWidth="1"/>
    <col min="2299" max="2299" width="1.85546875" style="45" customWidth="1"/>
    <col min="2300" max="2303" width="8.85546875" style="45" customWidth="1"/>
    <col min="2304" max="2304" width="1.85546875" style="45" customWidth="1"/>
    <col min="2305" max="2308" width="8.85546875" style="45" customWidth="1"/>
    <col min="2309" max="2309" width="11.140625" style="45" customWidth="1"/>
    <col min="2310" max="2311" width="11.85546875" style="45" customWidth="1"/>
    <col min="2312" max="2321" width="18" style="45" customWidth="1"/>
    <col min="2322" max="2322" width="6.28515625" style="45" customWidth="1"/>
    <col min="2323" max="2323" width="7" style="45" customWidth="1"/>
    <col min="2324" max="2329" width="6.28515625" style="45" customWidth="1"/>
    <col min="2330" max="2534" width="9.140625" style="45"/>
    <col min="2535" max="2535" width="11.7109375" style="45" customWidth="1"/>
    <col min="2536" max="2550" width="0" style="45" hidden="1" customWidth="1"/>
    <col min="2551" max="2554" width="8.85546875" style="45" customWidth="1"/>
    <col min="2555" max="2555" width="1.85546875" style="45" customWidth="1"/>
    <col min="2556" max="2559" width="8.85546875" style="45" customWidth="1"/>
    <col min="2560" max="2560" width="1.85546875" style="45" customWidth="1"/>
    <col min="2561" max="2564" width="8.85546875" style="45" customWidth="1"/>
    <col min="2565" max="2565" width="11.140625" style="45" customWidth="1"/>
    <col min="2566" max="2567" width="11.85546875" style="45" customWidth="1"/>
    <col min="2568" max="2577" width="18" style="45" customWidth="1"/>
    <col min="2578" max="2578" width="6.28515625" style="45" customWidth="1"/>
    <col min="2579" max="2579" width="7" style="45" customWidth="1"/>
    <col min="2580" max="2585" width="6.28515625" style="45" customWidth="1"/>
    <col min="2586" max="2790" width="9.140625" style="45"/>
    <col min="2791" max="2791" width="11.7109375" style="45" customWidth="1"/>
    <col min="2792" max="2806" width="0" style="45" hidden="1" customWidth="1"/>
    <col min="2807" max="2810" width="8.85546875" style="45" customWidth="1"/>
    <col min="2811" max="2811" width="1.85546875" style="45" customWidth="1"/>
    <col min="2812" max="2815" width="8.85546875" style="45" customWidth="1"/>
    <col min="2816" max="2816" width="1.85546875" style="45" customWidth="1"/>
    <col min="2817" max="2820" width="8.85546875" style="45" customWidth="1"/>
    <col min="2821" max="2821" width="11.140625" style="45" customWidth="1"/>
    <col min="2822" max="2823" width="11.85546875" style="45" customWidth="1"/>
    <col min="2824" max="2833" width="18" style="45" customWidth="1"/>
    <col min="2834" max="2834" width="6.28515625" style="45" customWidth="1"/>
    <col min="2835" max="2835" width="7" style="45" customWidth="1"/>
    <col min="2836" max="2841" width="6.28515625" style="45" customWidth="1"/>
    <col min="2842" max="3046" width="9.140625" style="45"/>
    <col min="3047" max="3047" width="11.7109375" style="45" customWidth="1"/>
    <col min="3048" max="3062" width="0" style="45" hidden="1" customWidth="1"/>
    <col min="3063" max="3066" width="8.85546875" style="45" customWidth="1"/>
    <col min="3067" max="3067" width="1.85546875" style="45" customWidth="1"/>
    <col min="3068" max="3071" width="8.85546875" style="45" customWidth="1"/>
    <col min="3072" max="3072" width="1.85546875" style="45" customWidth="1"/>
    <col min="3073" max="3076" width="8.85546875" style="45" customWidth="1"/>
    <col min="3077" max="3077" width="11.140625" style="45" customWidth="1"/>
    <col min="3078" max="3079" width="11.85546875" style="45" customWidth="1"/>
    <col min="3080" max="3089" width="18" style="45" customWidth="1"/>
    <col min="3090" max="3090" width="6.28515625" style="45" customWidth="1"/>
    <col min="3091" max="3091" width="7" style="45" customWidth="1"/>
    <col min="3092" max="3097" width="6.28515625" style="45" customWidth="1"/>
    <col min="3098" max="3302" width="9.140625" style="45"/>
    <col min="3303" max="3303" width="11.7109375" style="45" customWidth="1"/>
    <col min="3304" max="3318" width="0" style="45" hidden="1" customWidth="1"/>
    <col min="3319" max="3322" width="8.85546875" style="45" customWidth="1"/>
    <col min="3323" max="3323" width="1.85546875" style="45" customWidth="1"/>
    <col min="3324" max="3327" width="8.85546875" style="45" customWidth="1"/>
    <col min="3328" max="3328" width="1.85546875" style="45" customWidth="1"/>
    <col min="3329" max="3332" width="8.85546875" style="45" customWidth="1"/>
    <col min="3333" max="3333" width="11.140625" style="45" customWidth="1"/>
    <col min="3334" max="3335" width="11.85546875" style="45" customWidth="1"/>
    <col min="3336" max="3345" width="18" style="45" customWidth="1"/>
    <col min="3346" max="3346" width="6.28515625" style="45" customWidth="1"/>
    <col min="3347" max="3347" width="7" style="45" customWidth="1"/>
    <col min="3348" max="3353" width="6.28515625" style="45" customWidth="1"/>
    <col min="3354" max="3558" width="9.140625" style="45"/>
    <col min="3559" max="3559" width="11.7109375" style="45" customWidth="1"/>
    <col min="3560" max="3574" width="0" style="45" hidden="1" customWidth="1"/>
    <col min="3575" max="3578" width="8.85546875" style="45" customWidth="1"/>
    <col min="3579" max="3579" width="1.85546875" style="45" customWidth="1"/>
    <col min="3580" max="3583" width="8.85546875" style="45" customWidth="1"/>
    <col min="3584" max="3584" width="1.85546875" style="45" customWidth="1"/>
    <col min="3585" max="3588" width="8.85546875" style="45" customWidth="1"/>
    <col min="3589" max="3589" width="11.140625" style="45" customWidth="1"/>
    <col min="3590" max="3591" width="11.85546875" style="45" customWidth="1"/>
    <col min="3592" max="3601" width="18" style="45" customWidth="1"/>
    <col min="3602" max="3602" width="6.28515625" style="45" customWidth="1"/>
    <col min="3603" max="3603" width="7" style="45" customWidth="1"/>
    <col min="3604" max="3609" width="6.28515625" style="45" customWidth="1"/>
    <col min="3610" max="3814" width="9.140625" style="45"/>
    <col min="3815" max="3815" width="11.7109375" style="45" customWidth="1"/>
    <col min="3816" max="3830" width="0" style="45" hidden="1" customWidth="1"/>
    <col min="3831" max="3834" width="8.85546875" style="45" customWidth="1"/>
    <col min="3835" max="3835" width="1.85546875" style="45" customWidth="1"/>
    <col min="3836" max="3839" width="8.85546875" style="45" customWidth="1"/>
    <col min="3840" max="3840" width="1.85546875" style="45" customWidth="1"/>
    <col min="3841" max="3844" width="8.85546875" style="45" customWidth="1"/>
    <col min="3845" max="3845" width="11.140625" style="45" customWidth="1"/>
    <col min="3846" max="3847" width="11.85546875" style="45" customWidth="1"/>
    <col min="3848" max="3857" width="18" style="45" customWidth="1"/>
    <col min="3858" max="3858" width="6.28515625" style="45" customWidth="1"/>
    <col min="3859" max="3859" width="7" style="45" customWidth="1"/>
    <col min="3860" max="3865" width="6.28515625" style="45" customWidth="1"/>
    <col min="3866" max="4070" width="9.140625" style="45"/>
    <col min="4071" max="4071" width="11.7109375" style="45" customWidth="1"/>
    <col min="4072" max="4086" width="0" style="45" hidden="1" customWidth="1"/>
    <col min="4087" max="4090" width="8.85546875" style="45" customWidth="1"/>
    <col min="4091" max="4091" width="1.85546875" style="45" customWidth="1"/>
    <col min="4092" max="4095" width="8.85546875" style="45" customWidth="1"/>
    <col min="4096" max="4096" width="1.85546875" style="45" customWidth="1"/>
    <col min="4097" max="4100" width="8.85546875" style="45" customWidth="1"/>
    <col min="4101" max="4101" width="11.140625" style="45" customWidth="1"/>
    <col min="4102" max="4103" width="11.85546875" style="45" customWidth="1"/>
    <col min="4104" max="4113" width="18" style="45" customWidth="1"/>
    <col min="4114" max="4114" width="6.28515625" style="45" customWidth="1"/>
    <col min="4115" max="4115" width="7" style="45" customWidth="1"/>
    <col min="4116" max="4121" width="6.28515625" style="45" customWidth="1"/>
    <col min="4122" max="4326" width="9.140625" style="45"/>
    <col min="4327" max="4327" width="11.7109375" style="45" customWidth="1"/>
    <col min="4328" max="4342" width="0" style="45" hidden="1" customWidth="1"/>
    <col min="4343" max="4346" width="8.85546875" style="45" customWidth="1"/>
    <col min="4347" max="4347" width="1.85546875" style="45" customWidth="1"/>
    <col min="4348" max="4351" width="8.85546875" style="45" customWidth="1"/>
    <col min="4352" max="4352" width="1.85546875" style="45" customWidth="1"/>
    <col min="4353" max="4356" width="8.85546875" style="45" customWidth="1"/>
    <col min="4357" max="4357" width="11.140625" style="45" customWidth="1"/>
    <col min="4358" max="4359" width="11.85546875" style="45" customWidth="1"/>
    <col min="4360" max="4369" width="18" style="45" customWidth="1"/>
    <col min="4370" max="4370" width="6.28515625" style="45" customWidth="1"/>
    <col min="4371" max="4371" width="7" style="45" customWidth="1"/>
    <col min="4372" max="4377" width="6.28515625" style="45" customWidth="1"/>
    <col min="4378" max="4582" width="9.140625" style="45"/>
    <col min="4583" max="4583" width="11.7109375" style="45" customWidth="1"/>
    <col min="4584" max="4598" width="0" style="45" hidden="1" customWidth="1"/>
    <col min="4599" max="4602" width="8.85546875" style="45" customWidth="1"/>
    <col min="4603" max="4603" width="1.85546875" style="45" customWidth="1"/>
    <col min="4604" max="4607" width="8.85546875" style="45" customWidth="1"/>
    <col min="4608" max="4608" width="1.85546875" style="45" customWidth="1"/>
    <col min="4609" max="4612" width="8.85546875" style="45" customWidth="1"/>
    <col min="4613" max="4613" width="11.140625" style="45" customWidth="1"/>
    <col min="4614" max="4615" width="11.85546875" style="45" customWidth="1"/>
    <col min="4616" max="4625" width="18" style="45" customWidth="1"/>
    <col min="4626" max="4626" width="6.28515625" style="45" customWidth="1"/>
    <col min="4627" max="4627" width="7" style="45" customWidth="1"/>
    <col min="4628" max="4633" width="6.28515625" style="45" customWidth="1"/>
    <col min="4634" max="4838" width="9.140625" style="45"/>
    <col min="4839" max="4839" width="11.7109375" style="45" customWidth="1"/>
    <col min="4840" max="4854" width="0" style="45" hidden="1" customWidth="1"/>
    <col min="4855" max="4858" width="8.85546875" style="45" customWidth="1"/>
    <col min="4859" max="4859" width="1.85546875" style="45" customWidth="1"/>
    <col min="4860" max="4863" width="8.85546875" style="45" customWidth="1"/>
    <col min="4864" max="4864" width="1.85546875" style="45" customWidth="1"/>
    <col min="4865" max="4868" width="8.85546875" style="45" customWidth="1"/>
    <col min="4869" max="4869" width="11.140625" style="45" customWidth="1"/>
    <col min="4870" max="4871" width="11.85546875" style="45" customWidth="1"/>
    <col min="4872" max="4881" width="18" style="45" customWidth="1"/>
    <col min="4882" max="4882" width="6.28515625" style="45" customWidth="1"/>
    <col min="4883" max="4883" width="7" style="45" customWidth="1"/>
    <col min="4884" max="4889" width="6.28515625" style="45" customWidth="1"/>
    <col min="4890" max="5094" width="9.140625" style="45"/>
    <col min="5095" max="5095" width="11.7109375" style="45" customWidth="1"/>
    <col min="5096" max="5110" width="0" style="45" hidden="1" customWidth="1"/>
    <col min="5111" max="5114" width="8.85546875" style="45" customWidth="1"/>
    <col min="5115" max="5115" width="1.85546875" style="45" customWidth="1"/>
    <col min="5116" max="5119" width="8.85546875" style="45" customWidth="1"/>
    <col min="5120" max="5120" width="1.85546875" style="45" customWidth="1"/>
    <col min="5121" max="5124" width="8.85546875" style="45" customWidth="1"/>
    <col min="5125" max="5125" width="11.140625" style="45" customWidth="1"/>
    <col min="5126" max="5127" width="11.85546875" style="45" customWidth="1"/>
    <col min="5128" max="5137" width="18" style="45" customWidth="1"/>
    <col min="5138" max="5138" width="6.28515625" style="45" customWidth="1"/>
    <col min="5139" max="5139" width="7" style="45" customWidth="1"/>
    <col min="5140" max="5145" width="6.28515625" style="45" customWidth="1"/>
    <col min="5146" max="5350" width="9.140625" style="45"/>
    <col min="5351" max="5351" width="11.7109375" style="45" customWidth="1"/>
    <col min="5352" max="5366" width="0" style="45" hidden="1" customWidth="1"/>
    <col min="5367" max="5370" width="8.85546875" style="45" customWidth="1"/>
    <col min="5371" max="5371" width="1.85546875" style="45" customWidth="1"/>
    <col min="5372" max="5375" width="8.85546875" style="45" customWidth="1"/>
    <col min="5376" max="5376" width="1.85546875" style="45" customWidth="1"/>
    <col min="5377" max="5380" width="8.85546875" style="45" customWidth="1"/>
    <col min="5381" max="5381" width="11.140625" style="45" customWidth="1"/>
    <col min="5382" max="5383" width="11.85546875" style="45" customWidth="1"/>
    <col min="5384" max="5393" width="18" style="45" customWidth="1"/>
    <col min="5394" max="5394" width="6.28515625" style="45" customWidth="1"/>
    <col min="5395" max="5395" width="7" style="45" customWidth="1"/>
    <col min="5396" max="5401" width="6.28515625" style="45" customWidth="1"/>
    <col min="5402" max="5606" width="9.140625" style="45"/>
    <col min="5607" max="5607" width="11.7109375" style="45" customWidth="1"/>
    <col min="5608" max="5622" width="0" style="45" hidden="1" customWidth="1"/>
    <col min="5623" max="5626" width="8.85546875" style="45" customWidth="1"/>
    <col min="5627" max="5627" width="1.85546875" style="45" customWidth="1"/>
    <col min="5628" max="5631" width="8.85546875" style="45" customWidth="1"/>
    <col min="5632" max="5632" width="1.85546875" style="45" customWidth="1"/>
    <col min="5633" max="5636" width="8.85546875" style="45" customWidth="1"/>
    <col min="5637" max="5637" width="11.140625" style="45" customWidth="1"/>
    <col min="5638" max="5639" width="11.85546875" style="45" customWidth="1"/>
    <col min="5640" max="5649" width="18" style="45" customWidth="1"/>
    <col min="5650" max="5650" width="6.28515625" style="45" customWidth="1"/>
    <col min="5651" max="5651" width="7" style="45" customWidth="1"/>
    <col min="5652" max="5657" width="6.28515625" style="45" customWidth="1"/>
    <col min="5658" max="5862" width="9.140625" style="45"/>
    <col min="5863" max="5863" width="11.7109375" style="45" customWidth="1"/>
    <col min="5864" max="5878" width="0" style="45" hidden="1" customWidth="1"/>
    <col min="5879" max="5882" width="8.85546875" style="45" customWidth="1"/>
    <col min="5883" max="5883" width="1.85546875" style="45" customWidth="1"/>
    <col min="5884" max="5887" width="8.85546875" style="45" customWidth="1"/>
    <col min="5888" max="5888" width="1.85546875" style="45" customWidth="1"/>
    <col min="5889" max="5892" width="8.85546875" style="45" customWidth="1"/>
    <col min="5893" max="5893" width="11.140625" style="45" customWidth="1"/>
    <col min="5894" max="5895" width="11.85546875" style="45" customWidth="1"/>
    <col min="5896" max="5905" width="18" style="45" customWidth="1"/>
    <col min="5906" max="5906" width="6.28515625" style="45" customWidth="1"/>
    <col min="5907" max="5907" width="7" style="45" customWidth="1"/>
    <col min="5908" max="5913" width="6.28515625" style="45" customWidth="1"/>
    <col min="5914" max="6118" width="9.140625" style="45"/>
    <col min="6119" max="6119" width="11.7109375" style="45" customWidth="1"/>
    <col min="6120" max="6134" width="0" style="45" hidden="1" customWidth="1"/>
    <col min="6135" max="6138" width="8.85546875" style="45" customWidth="1"/>
    <col min="6139" max="6139" width="1.85546875" style="45" customWidth="1"/>
    <col min="6140" max="6143" width="8.85546875" style="45" customWidth="1"/>
    <col min="6144" max="6144" width="1.85546875" style="45" customWidth="1"/>
    <col min="6145" max="6148" width="8.85546875" style="45" customWidth="1"/>
    <col min="6149" max="6149" width="11.140625" style="45" customWidth="1"/>
    <col min="6150" max="6151" width="11.85546875" style="45" customWidth="1"/>
    <col min="6152" max="6161" width="18" style="45" customWidth="1"/>
    <col min="6162" max="6162" width="6.28515625" style="45" customWidth="1"/>
    <col min="6163" max="6163" width="7" style="45" customWidth="1"/>
    <col min="6164" max="6169" width="6.28515625" style="45" customWidth="1"/>
    <col min="6170" max="6374" width="9.140625" style="45"/>
    <col min="6375" max="6375" width="11.7109375" style="45" customWidth="1"/>
    <col min="6376" max="6390" width="0" style="45" hidden="1" customWidth="1"/>
    <col min="6391" max="6394" width="8.85546875" style="45" customWidth="1"/>
    <col min="6395" max="6395" width="1.85546875" style="45" customWidth="1"/>
    <col min="6396" max="6399" width="8.85546875" style="45" customWidth="1"/>
    <col min="6400" max="6400" width="1.85546875" style="45" customWidth="1"/>
    <col min="6401" max="6404" width="8.85546875" style="45" customWidth="1"/>
    <col min="6405" max="6405" width="11.140625" style="45" customWidth="1"/>
    <col min="6406" max="6407" width="11.85546875" style="45" customWidth="1"/>
    <col min="6408" max="6417" width="18" style="45" customWidth="1"/>
    <col min="6418" max="6418" width="6.28515625" style="45" customWidth="1"/>
    <col min="6419" max="6419" width="7" style="45" customWidth="1"/>
    <col min="6420" max="6425" width="6.28515625" style="45" customWidth="1"/>
    <col min="6426" max="6630" width="9.140625" style="45"/>
    <col min="6631" max="6631" width="11.7109375" style="45" customWidth="1"/>
    <col min="6632" max="6646" width="0" style="45" hidden="1" customWidth="1"/>
    <col min="6647" max="6650" width="8.85546875" style="45" customWidth="1"/>
    <col min="6651" max="6651" width="1.85546875" style="45" customWidth="1"/>
    <col min="6652" max="6655" width="8.85546875" style="45" customWidth="1"/>
    <col min="6656" max="6656" width="1.85546875" style="45" customWidth="1"/>
    <col min="6657" max="6660" width="8.85546875" style="45" customWidth="1"/>
    <col min="6661" max="6661" width="11.140625" style="45" customWidth="1"/>
    <col min="6662" max="6663" width="11.85546875" style="45" customWidth="1"/>
    <col min="6664" max="6673" width="18" style="45" customWidth="1"/>
    <col min="6674" max="6674" width="6.28515625" style="45" customWidth="1"/>
    <col min="6675" max="6675" width="7" style="45" customWidth="1"/>
    <col min="6676" max="6681" width="6.28515625" style="45" customWidth="1"/>
    <col min="6682" max="6886" width="9.140625" style="45"/>
    <col min="6887" max="6887" width="11.7109375" style="45" customWidth="1"/>
    <col min="6888" max="6902" width="0" style="45" hidden="1" customWidth="1"/>
    <col min="6903" max="6906" width="8.85546875" style="45" customWidth="1"/>
    <col min="6907" max="6907" width="1.85546875" style="45" customWidth="1"/>
    <col min="6908" max="6911" width="8.85546875" style="45" customWidth="1"/>
    <col min="6912" max="6912" width="1.85546875" style="45" customWidth="1"/>
    <col min="6913" max="6916" width="8.85546875" style="45" customWidth="1"/>
    <col min="6917" max="6917" width="11.140625" style="45" customWidth="1"/>
    <col min="6918" max="6919" width="11.85546875" style="45" customWidth="1"/>
    <col min="6920" max="6929" width="18" style="45" customWidth="1"/>
    <col min="6930" max="6930" width="6.28515625" style="45" customWidth="1"/>
    <col min="6931" max="6931" width="7" style="45" customWidth="1"/>
    <col min="6932" max="6937" width="6.28515625" style="45" customWidth="1"/>
    <col min="6938" max="7142" width="9.140625" style="45"/>
    <col min="7143" max="7143" width="11.7109375" style="45" customWidth="1"/>
    <col min="7144" max="7158" width="0" style="45" hidden="1" customWidth="1"/>
    <col min="7159" max="7162" width="8.85546875" style="45" customWidth="1"/>
    <col min="7163" max="7163" width="1.85546875" style="45" customWidth="1"/>
    <col min="7164" max="7167" width="8.85546875" style="45" customWidth="1"/>
    <col min="7168" max="7168" width="1.85546875" style="45" customWidth="1"/>
    <col min="7169" max="7172" width="8.85546875" style="45" customWidth="1"/>
    <col min="7173" max="7173" width="11.140625" style="45" customWidth="1"/>
    <col min="7174" max="7175" width="11.85546875" style="45" customWidth="1"/>
    <col min="7176" max="7185" width="18" style="45" customWidth="1"/>
    <col min="7186" max="7186" width="6.28515625" style="45" customWidth="1"/>
    <col min="7187" max="7187" width="7" style="45" customWidth="1"/>
    <col min="7188" max="7193" width="6.28515625" style="45" customWidth="1"/>
    <col min="7194" max="7398" width="9.140625" style="45"/>
    <col min="7399" max="7399" width="11.7109375" style="45" customWidth="1"/>
    <col min="7400" max="7414" width="0" style="45" hidden="1" customWidth="1"/>
    <col min="7415" max="7418" width="8.85546875" style="45" customWidth="1"/>
    <col min="7419" max="7419" width="1.85546875" style="45" customWidth="1"/>
    <col min="7420" max="7423" width="8.85546875" style="45" customWidth="1"/>
    <col min="7424" max="7424" width="1.85546875" style="45" customWidth="1"/>
    <col min="7425" max="7428" width="8.85546875" style="45" customWidth="1"/>
    <col min="7429" max="7429" width="11.140625" style="45" customWidth="1"/>
    <col min="7430" max="7431" width="11.85546875" style="45" customWidth="1"/>
    <col min="7432" max="7441" width="18" style="45" customWidth="1"/>
    <col min="7442" max="7442" width="6.28515625" style="45" customWidth="1"/>
    <col min="7443" max="7443" width="7" style="45" customWidth="1"/>
    <col min="7444" max="7449" width="6.28515625" style="45" customWidth="1"/>
    <col min="7450" max="7654" width="9.140625" style="45"/>
    <col min="7655" max="7655" width="11.7109375" style="45" customWidth="1"/>
    <col min="7656" max="7670" width="0" style="45" hidden="1" customWidth="1"/>
    <col min="7671" max="7674" width="8.85546875" style="45" customWidth="1"/>
    <col min="7675" max="7675" width="1.85546875" style="45" customWidth="1"/>
    <col min="7676" max="7679" width="8.85546875" style="45" customWidth="1"/>
    <col min="7680" max="7680" width="1.85546875" style="45" customWidth="1"/>
    <col min="7681" max="7684" width="8.85546875" style="45" customWidth="1"/>
    <col min="7685" max="7685" width="11.140625" style="45" customWidth="1"/>
    <col min="7686" max="7687" width="11.85546875" style="45" customWidth="1"/>
    <col min="7688" max="7697" width="18" style="45" customWidth="1"/>
    <col min="7698" max="7698" width="6.28515625" style="45" customWidth="1"/>
    <col min="7699" max="7699" width="7" style="45" customWidth="1"/>
    <col min="7700" max="7705" width="6.28515625" style="45" customWidth="1"/>
    <col min="7706" max="7910" width="9.140625" style="45"/>
    <col min="7911" max="7911" width="11.7109375" style="45" customWidth="1"/>
    <col min="7912" max="7926" width="0" style="45" hidden="1" customWidth="1"/>
    <col min="7927" max="7930" width="8.85546875" style="45" customWidth="1"/>
    <col min="7931" max="7931" width="1.85546875" style="45" customWidth="1"/>
    <col min="7932" max="7935" width="8.85546875" style="45" customWidth="1"/>
    <col min="7936" max="7936" width="1.85546875" style="45" customWidth="1"/>
    <col min="7937" max="7940" width="8.85546875" style="45" customWidth="1"/>
    <col min="7941" max="7941" width="11.140625" style="45" customWidth="1"/>
    <col min="7942" max="7943" width="11.85546875" style="45" customWidth="1"/>
    <col min="7944" max="7953" width="18" style="45" customWidth="1"/>
    <col min="7954" max="7954" width="6.28515625" style="45" customWidth="1"/>
    <col min="7955" max="7955" width="7" style="45" customWidth="1"/>
    <col min="7956" max="7961" width="6.28515625" style="45" customWidth="1"/>
    <col min="7962" max="8166" width="9.140625" style="45"/>
    <col min="8167" max="8167" width="11.7109375" style="45" customWidth="1"/>
    <col min="8168" max="8182" width="0" style="45" hidden="1" customWidth="1"/>
    <col min="8183" max="8186" width="8.85546875" style="45" customWidth="1"/>
    <col min="8187" max="8187" width="1.85546875" style="45" customWidth="1"/>
    <col min="8188" max="8191" width="8.85546875" style="45" customWidth="1"/>
    <col min="8192" max="8192" width="1.85546875" style="45" customWidth="1"/>
    <col min="8193" max="8196" width="8.85546875" style="45" customWidth="1"/>
    <col min="8197" max="8197" width="11.140625" style="45" customWidth="1"/>
    <col min="8198" max="8199" width="11.85546875" style="45" customWidth="1"/>
    <col min="8200" max="8209" width="18" style="45" customWidth="1"/>
    <col min="8210" max="8210" width="6.28515625" style="45" customWidth="1"/>
    <col min="8211" max="8211" width="7" style="45" customWidth="1"/>
    <col min="8212" max="8217" width="6.28515625" style="45" customWidth="1"/>
    <col min="8218" max="8422" width="9.140625" style="45"/>
    <col min="8423" max="8423" width="11.7109375" style="45" customWidth="1"/>
    <col min="8424" max="8438" width="0" style="45" hidden="1" customWidth="1"/>
    <col min="8439" max="8442" width="8.85546875" style="45" customWidth="1"/>
    <col min="8443" max="8443" width="1.85546875" style="45" customWidth="1"/>
    <col min="8444" max="8447" width="8.85546875" style="45" customWidth="1"/>
    <col min="8448" max="8448" width="1.85546875" style="45" customWidth="1"/>
    <col min="8449" max="8452" width="8.85546875" style="45" customWidth="1"/>
    <col min="8453" max="8453" width="11.140625" style="45" customWidth="1"/>
    <col min="8454" max="8455" width="11.85546875" style="45" customWidth="1"/>
    <col min="8456" max="8465" width="18" style="45" customWidth="1"/>
    <col min="8466" max="8466" width="6.28515625" style="45" customWidth="1"/>
    <col min="8467" max="8467" width="7" style="45" customWidth="1"/>
    <col min="8468" max="8473" width="6.28515625" style="45" customWidth="1"/>
    <col min="8474" max="8678" width="9.140625" style="45"/>
    <col min="8679" max="8679" width="11.7109375" style="45" customWidth="1"/>
    <col min="8680" max="8694" width="0" style="45" hidden="1" customWidth="1"/>
    <col min="8695" max="8698" width="8.85546875" style="45" customWidth="1"/>
    <col min="8699" max="8699" width="1.85546875" style="45" customWidth="1"/>
    <col min="8700" max="8703" width="8.85546875" style="45" customWidth="1"/>
    <col min="8704" max="8704" width="1.85546875" style="45" customWidth="1"/>
    <col min="8705" max="8708" width="8.85546875" style="45" customWidth="1"/>
    <col min="8709" max="8709" width="11.140625" style="45" customWidth="1"/>
    <col min="8710" max="8711" width="11.85546875" style="45" customWidth="1"/>
    <col min="8712" max="8721" width="18" style="45" customWidth="1"/>
    <col min="8722" max="8722" width="6.28515625" style="45" customWidth="1"/>
    <col min="8723" max="8723" width="7" style="45" customWidth="1"/>
    <col min="8724" max="8729" width="6.28515625" style="45" customWidth="1"/>
    <col min="8730" max="8934" width="9.140625" style="45"/>
    <col min="8935" max="8935" width="11.7109375" style="45" customWidth="1"/>
    <col min="8936" max="8950" width="0" style="45" hidden="1" customWidth="1"/>
    <col min="8951" max="8954" width="8.85546875" style="45" customWidth="1"/>
    <col min="8955" max="8955" width="1.85546875" style="45" customWidth="1"/>
    <col min="8956" max="8959" width="8.85546875" style="45" customWidth="1"/>
    <col min="8960" max="8960" width="1.85546875" style="45" customWidth="1"/>
    <col min="8961" max="8964" width="8.85546875" style="45" customWidth="1"/>
    <col min="8965" max="8965" width="11.140625" style="45" customWidth="1"/>
    <col min="8966" max="8967" width="11.85546875" style="45" customWidth="1"/>
    <col min="8968" max="8977" width="18" style="45" customWidth="1"/>
    <col min="8978" max="8978" width="6.28515625" style="45" customWidth="1"/>
    <col min="8979" max="8979" width="7" style="45" customWidth="1"/>
    <col min="8980" max="8985" width="6.28515625" style="45" customWidth="1"/>
    <col min="8986" max="9190" width="9.140625" style="45"/>
    <col min="9191" max="9191" width="11.7109375" style="45" customWidth="1"/>
    <col min="9192" max="9206" width="0" style="45" hidden="1" customWidth="1"/>
    <col min="9207" max="9210" width="8.85546875" style="45" customWidth="1"/>
    <col min="9211" max="9211" width="1.85546875" style="45" customWidth="1"/>
    <col min="9212" max="9215" width="8.85546875" style="45" customWidth="1"/>
    <col min="9216" max="9216" width="1.85546875" style="45" customWidth="1"/>
    <col min="9217" max="9220" width="8.85546875" style="45" customWidth="1"/>
    <col min="9221" max="9221" width="11.140625" style="45" customWidth="1"/>
    <col min="9222" max="9223" width="11.85546875" style="45" customWidth="1"/>
    <col min="9224" max="9233" width="18" style="45" customWidth="1"/>
    <col min="9234" max="9234" width="6.28515625" style="45" customWidth="1"/>
    <col min="9235" max="9235" width="7" style="45" customWidth="1"/>
    <col min="9236" max="9241" width="6.28515625" style="45" customWidth="1"/>
    <col min="9242" max="9446" width="9.140625" style="45"/>
    <col min="9447" max="9447" width="11.7109375" style="45" customWidth="1"/>
    <col min="9448" max="9462" width="0" style="45" hidden="1" customWidth="1"/>
    <col min="9463" max="9466" width="8.85546875" style="45" customWidth="1"/>
    <col min="9467" max="9467" width="1.85546875" style="45" customWidth="1"/>
    <col min="9468" max="9471" width="8.85546875" style="45" customWidth="1"/>
    <col min="9472" max="9472" width="1.85546875" style="45" customWidth="1"/>
    <col min="9473" max="9476" width="8.85546875" style="45" customWidth="1"/>
    <col min="9477" max="9477" width="11.140625" style="45" customWidth="1"/>
    <col min="9478" max="9479" width="11.85546875" style="45" customWidth="1"/>
    <col min="9480" max="9489" width="18" style="45" customWidth="1"/>
    <col min="9490" max="9490" width="6.28515625" style="45" customWidth="1"/>
    <col min="9491" max="9491" width="7" style="45" customWidth="1"/>
    <col min="9492" max="9497" width="6.28515625" style="45" customWidth="1"/>
    <col min="9498" max="9702" width="9.140625" style="45"/>
    <col min="9703" max="9703" width="11.7109375" style="45" customWidth="1"/>
    <col min="9704" max="9718" width="0" style="45" hidden="1" customWidth="1"/>
    <col min="9719" max="9722" width="8.85546875" style="45" customWidth="1"/>
    <col min="9723" max="9723" width="1.85546875" style="45" customWidth="1"/>
    <col min="9724" max="9727" width="8.85546875" style="45" customWidth="1"/>
    <col min="9728" max="9728" width="1.85546875" style="45" customWidth="1"/>
    <col min="9729" max="9732" width="8.85546875" style="45" customWidth="1"/>
    <col min="9733" max="9733" width="11.140625" style="45" customWidth="1"/>
    <col min="9734" max="9735" width="11.85546875" style="45" customWidth="1"/>
    <col min="9736" max="9745" width="18" style="45" customWidth="1"/>
    <col min="9746" max="9746" width="6.28515625" style="45" customWidth="1"/>
    <col min="9747" max="9747" width="7" style="45" customWidth="1"/>
    <col min="9748" max="9753" width="6.28515625" style="45" customWidth="1"/>
    <col min="9754" max="9958" width="9.140625" style="45"/>
    <col min="9959" max="9959" width="11.7109375" style="45" customWidth="1"/>
    <col min="9960" max="9974" width="0" style="45" hidden="1" customWidth="1"/>
    <col min="9975" max="9978" width="8.85546875" style="45" customWidth="1"/>
    <col min="9979" max="9979" width="1.85546875" style="45" customWidth="1"/>
    <col min="9980" max="9983" width="8.85546875" style="45" customWidth="1"/>
    <col min="9984" max="9984" width="1.85546875" style="45" customWidth="1"/>
    <col min="9985" max="9988" width="8.85546875" style="45" customWidth="1"/>
    <col min="9989" max="9989" width="11.140625" style="45" customWidth="1"/>
    <col min="9990" max="9991" width="11.85546875" style="45" customWidth="1"/>
    <col min="9992" max="10001" width="18" style="45" customWidth="1"/>
    <col min="10002" max="10002" width="6.28515625" style="45" customWidth="1"/>
    <col min="10003" max="10003" width="7" style="45" customWidth="1"/>
    <col min="10004" max="10009" width="6.28515625" style="45" customWidth="1"/>
    <col min="10010" max="10214" width="9.140625" style="45"/>
    <col min="10215" max="10215" width="11.7109375" style="45" customWidth="1"/>
    <col min="10216" max="10230" width="0" style="45" hidden="1" customWidth="1"/>
    <col min="10231" max="10234" width="8.85546875" style="45" customWidth="1"/>
    <col min="10235" max="10235" width="1.85546875" style="45" customWidth="1"/>
    <col min="10236" max="10239" width="8.85546875" style="45" customWidth="1"/>
    <col min="10240" max="10240" width="1.85546875" style="45" customWidth="1"/>
    <col min="10241" max="10244" width="8.85546875" style="45" customWidth="1"/>
    <col min="10245" max="10245" width="11.140625" style="45" customWidth="1"/>
    <col min="10246" max="10247" width="11.85546875" style="45" customWidth="1"/>
    <col min="10248" max="10257" width="18" style="45" customWidth="1"/>
    <col min="10258" max="10258" width="6.28515625" style="45" customWidth="1"/>
    <col min="10259" max="10259" width="7" style="45" customWidth="1"/>
    <col min="10260" max="10265" width="6.28515625" style="45" customWidth="1"/>
    <col min="10266" max="10470" width="9.140625" style="45"/>
    <col min="10471" max="10471" width="11.7109375" style="45" customWidth="1"/>
    <col min="10472" max="10486" width="0" style="45" hidden="1" customWidth="1"/>
    <col min="10487" max="10490" width="8.85546875" style="45" customWidth="1"/>
    <col min="10491" max="10491" width="1.85546875" style="45" customWidth="1"/>
    <col min="10492" max="10495" width="8.85546875" style="45" customWidth="1"/>
    <col min="10496" max="10496" width="1.85546875" style="45" customWidth="1"/>
    <col min="10497" max="10500" width="8.85546875" style="45" customWidth="1"/>
    <col min="10501" max="10501" width="11.140625" style="45" customWidth="1"/>
    <col min="10502" max="10503" width="11.85546875" style="45" customWidth="1"/>
    <col min="10504" max="10513" width="18" style="45" customWidth="1"/>
    <col min="10514" max="10514" width="6.28515625" style="45" customWidth="1"/>
    <col min="10515" max="10515" width="7" style="45" customWidth="1"/>
    <col min="10516" max="10521" width="6.28515625" style="45" customWidth="1"/>
    <col min="10522" max="10726" width="9.140625" style="45"/>
    <col min="10727" max="10727" width="11.7109375" style="45" customWidth="1"/>
    <col min="10728" max="10742" width="0" style="45" hidden="1" customWidth="1"/>
    <col min="10743" max="10746" width="8.85546875" style="45" customWidth="1"/>
    <col min="10747" max="10747" width="1.85546875" style="45" customWidth="1"/>
    <col min="10748" max="10751" width="8.85546875" style="45" customWidth="1"/>
    <col min="10752" max="10752" width="1.85546875" style="45" customWidth="1"/>
    <col min="10753" max="10756" width="8.85546875" style="45" customWidth="1"/>
    <col min="10757" max="10757" width="11.140625" style="45" customWidth="1"/>
    <col min="10758" max="10759" width="11.85546875" style="45" customWidth="1"/>
    <col min="10760" max="10769" width="18" style="45" customWidth="1"/>
    <col min="10770" max="10770" width="6.28515625" style="45" customWidth="1"/>
    <col min="10771" max="10771" width="7" style="45" customWidth="1"/>
    <col min="10772" max="10777" width="6.28515625" style="45" customWidth="1"/>
    <col min="10778" max="10982" width="9.140625" style="45"/>
    <col min="10983" max="10983" width="11.7109375" style="45" customWidth="1"/>
    <col min="10984" max="10998" width="0" style="45" hidden="1" customWidth="1"/>
    <col min="10999" max="11002" width="8.85546875" style="45" customWidth="1"/>
    <col min="11003" max="11003" width="1.85546875" style="45" customWidth="1"/>
    <col min="11004" max="11007" width="8.85546875" style="45" customWidth="1"/>
    <col min="11008" max="11008" width="1.85546875" style="45" customWidth="1"/>
    <col min="11009" max="11012" width="8.85546875" style="45" customWidth="1"/>
    <col min="11013" max="11013" width="11.140625" style="45" customWidth="1"/>
    <col min="11014" max="11015" width="11.85546875" style="45" customWidth="1"/>
    <col min="11016" max="11025" width="18" style="45" customWidth="1"/>
    <col min="11026" max="11026" width="6.28515625" style="45" customWidth="1"/>
    <col min="11027" max="11027" width="7" style="45" customWidth="1"/>
    <col min="11028" max="11033" width="6.28515625" style="45" customWidth="1"/>
    <col min="11034" max="11238" width="9.140625" style="45"/>
    <col min="11239" max="11239" width="11.7109375" style="45" customWidth="1"/>
    <col min="11240" max="11254" width="0" style="45" hidden="1" customWidth="1"/>
    <col min="11255" max="11258" width="8.85546875" style="45" customWidth="1"/>
    <col min="11259" max="11259" width="1.85546875" style="45" customWidth="1"/>
    <col min="11260" max="11263" width="8.85546875" style="45" customWidth="1"/>
    <col min="11264" max="11264" width="1.85546875" style="45" customWidth="1"/>
    <col min="11265" max="11268" width="8.85546875" style="45" customWidth="1"/>
    <col min="11269" max="11269" width="11.140625" style="45" customWidth="1"/>
    <col min="11270" max="11271" width="11.85546875" style="45" customWidth="1"/>
    <col min="11272" max="11281" width="18" style="45" customWidth="1"/>
    <col min="11282" max="11282" width="6.28515625" style="45" customWidth="1"/>
    <col min="11283" max="11283" width="7" style="45" customWidth="1"/>
    <col min="11284" max="11289" width="6.28515625" style="45" customWidth="1"/>
    <col min="11290" max="11494" width="9.140625" style="45"/>
    <col min="11495" max="11495" width="11.7109375" style="45" customWidth="1"/>
    <col min="11496" max="11510" width="0" style="45" hidden="1" customWidth="1"/>
    <col min="11511" max="11514" width="8.85546875" style="45" customWidth="1"/>
    <col min="11515" max="11515" width="1.85546875" style="45" customWidth="1"/>
    <col min="11516" max="11519" width="8.85546875" style="45" customWidth="1"/>
    <col min="11520" max="11520" width="1.85546875" style="45" customWidth="1"/>
    <col min="11521" max="11524" width="8.85546875" style="45" customWidth="1"/>
    <col min="11525" max="11525" width="11.140625" style="45" customWidth="1"/>
    <col min="11526" max="11527" width="11.85546875" style="45" customWidth="1"/>
    <col min="11528" max="11537" width="18" style="45" customWidth="1"/>
    <col min="11538" max="11538" width="6.28515625" style="45" customWidth="1"/>
    <col min="11539" max="11539" width="7" style="45" customWidth="1"/>
    <col min="11540" max="11545" width="6.28515625" style="45" customWidth="1"/>
    <col min="11546" max="11750" width="9.140625" style="45"/>
    <col min="11751" max="11751" width="11.7109375" style="45" customWidth="1"/>
    <col min="11752" max="11766" width="0" style="45" hidden="1" customWidth="1"/>
    <col min="11767" max="11770" width="8.85546875" style="45" customWidth="1"/>
    <col min="11771" max="11771" width="1.85546875" style="45" customWidth="1"/>
    <col min="11772" max="11775" width="8.85546875" style="45" customWidth="1"/>
    <col min="11776" max="11776" width="1.85546875" style="45" customWidth="1"/>
    <col min="11777" max="11780" width="8.85546875" style="45" customWidth="1"/>
    <col min="11781" max="11781" width="11.140625" style="45" customWidth="1"/>
    <col min="11782" max="11783" width="11.85546875" style="45" customWidth="1"/>
    <col min="11784" max="11793" width="18" style="45" customWidth="1"/>
    <col min="11794" max="11794" width="6.28515625" style="45" customWidth="1"/>
    <col min="11795" max="11795" width="7" style="45" customWidth="1"/>
    <col min="11796" max="11801" width="6.28515625" style="45" customWidth="1"/>
    <col min="11802" max="12006" width="9.140625" style="45"/>
    <col min="12007" max="12007" width="11.7109375" style="45" customWidth="1"/>
    <col min="12008" max="12022" width="0" style="45" hidden="1" customWidth="1"/>
    <col min="12023" max="12026" width="8.85546875" style="45" customWidth="1"/>
    <col min="12027" max="12027" width="1.85546875" style="45" customWidth="1"/>
    <col min="12028" max="12031" width="8.85546875" style="45" customWidth="1"/>
    <col min="12032" max="12032" width="1.85546875" style="45" customWidth="1"/>
    <col min="12033" max="12036" width="8.85546875" style="45" customWidth="1"/>
    <col min="12037" max="12037" width="11.140625" style="45" customWidth="1"/>
    <col min="12038" max="12039" width="11.85546875" style="45" customWidth="1"/>
    <col min="12040" max="12049" width="18" style="45" customWidth="1"/>
    <col min="12050" max="12050" width="6.28515625" style="45" customWidth="1"/>
    <col min="12051" max="12051" width="7" style="45" customWidth="1"/>
    <col min="12052" max="12057" width="6.28515625" style="45" customWidth="1"/>
    <col min="12058" max="12262" width="9.140625" style="45"/>
    <col min="12263" max="12263" width="11.7109375" style="45" customWidth="1"/>
    <col min="12264" max="12278" width="0" style="45" hidden="1" customWidth="1"/>
    <col min="12279" max="12282" width="8.85546875" style="45" customWidth="1"/>
    <col min="12283" max="12283" width="1.85546875" style="45" customWidth="1"/>
    <col min="12284" max="12287" width="8.85546875" style="45" customWidth="1"/>
    <col min="12288" max="12288" width="1.85546875" style="45" customWidth="1"/>
    <col min="12289" max="12292" width="8.85546875" style="45" customWidth="1"/>
    <col min="12293" max="12293" width="11.140625" style="45" customWidth="1"/>
    <col min="12294" max="12295" width="11.85546875" style="45" customWidth="1"/>
    <col min="12296" max="12305" width="18" style="45" customWidth="1"/>
    <col min="12306" max="12306" width="6.28515625" style="45" customWidth="1"/>
    <col min="12307" max="12307" width="7" style="45" customWidth="1"/>
    <col min="12308" max="12313" width="6.28515625" style="45" customWidth="1"/>
    <col min="12314" max="12518" width="9.140625" style="45"/>
    <col min="12519" max="12519" width="11.7109375" style="45" customWidth="1"/>
    <col min="12520" max="12534" width="0" style="45" hidden="1" customWidth="1"/>
    <col min="12535" max="12538" width="8.85546875" style="45" customWidth="1"/>
    <col min="12539" max="12539" width="1.85546875" style="45" customWidth="1"/>
    <col min="12540" max="12543" width="8.85546875" style="45" customWidth="1"/>
    <col min="12544" max="12544" width="1.85546875" style="45" customWidth="1"/>
    <col min="12545" max="12548" width="8.85546875" style="45" customWidth="1"/>
    <col min="12549" max="12549" width="11.140625" style="45" customWidth="1"/>
    <col min="12550" max="12551" width="11.85546875" style="45" customWidth="1"/>
    <col min="12552" max="12561" width="18" style="45" customWidth="1"/>
    <col min="12562" max="12562" width="6.28515625" style="45" customWidth="1"/>
    <col min="12563" max="12563" width="7" style="45" customWidth="1"/>
    <col min="12564" max="12569" width="6.28515625" style="45" customWidth="1"/>
    <col min="12570" max="12774" width="9.140625" style="45"/>
    <col min="12775" max="12775" width="11.7109375" style="45" customWidth="1"/>
    <col min="12776" max="12790" width="0" style="45" hidden="1" customWidth="1"/>
    <col min="12791" max="12794" width="8.85546875" style="45" customWidth="1"/>
    <col min="12795" max="12795" width="1.85546875" style="45" customWidth="1"/>
    <col min="12796" max="12799" width="8.85546875" style="45" customWidth="1"/>
    <col min="12800" max="12800" width="1.85546875" style="45" customWidth="1"/>
    <col min="12801" max="12804" width="8.85546875" style="45" customWidth="1"/>
    <col min="12805" max="12805" width="11.140625" style="45" customWidth="1"/>
    <col min="12806" max="12807" width="11.85546875" style="45" customWidth="1"/>
    <col min="12808" max="12817" width="18" style="45" customWidth="1"/>
    <col min="12818" max="12818" width="6.28515625" style="45" customWidth="1"/>
    <col min="12819" max="12819" width="7" style="45" customWidth="1"/>
    <col min="12820" max="12825" width="6.28515625" style="45" customWidth="1"/>
    <col min="12826" max="13030" width="9.140625" style="45"/>
    <col min="13031" max="13031" width="11.7109375" style="45" customWidth="1"/>
    <col min="13032" max="13046" width="0" style="45" hidden="1" customWidth="1"/>
    <col min="13047" max="13050" width="8.85546875" style="45" customWidth="1"/>
    <col min="13051" max="13051" width="1.85546875" style="45" customWidth="1"/>
    <col min="13052" max="13055" width="8.85546875" style="45" customWidth="1"/>
    <col min="13056" max="13056" width="1.85546875" style="45" customWidth="1"/>
    <col min="13057" max="13060" width="8.85546875" style="45" customWidth="1"/>
    <col min="13061" max="13061" width="11.140625" style="45" customWidth="1"/>
    <col min="13062" max="13063" width="11.85546875" style="45" customWidth="1"/>
    <col min="13064" max="13073" width="18" style="45" customWidth="1"/>
    <col min="13074" max="13074" width="6.28515625" style="45" customWidth="1"/>
    <col min="13075" max="13075" width="7" style="45" customWidth="1"/>
    <col min="13076" max="13081" width="6.28515625" style="45" customWidth="1"/>
    <col min="13082" max="13286" width="9.140625" style="45"/>
    <col min="13287" max="13287" width="11.7109375" style="45" customWidth="1"/>
    <col min="13288" max="13302" width="0" style="45" hidden="1" customWidth="1"/>
    <col min="13303" max="13306" width="8.85546875" style="45" customWidth="1"/>
    <col min="13307" max="13307" width="1.85546875" style="45" customWidth="1"/>
    <col min="13308" max="13311" width="8.85546875" style="45" customWidth="1"/>
    <col min="13312" max="13312" width="1.85546875" style="45" customWidth="1"/>
    <col min="13313" max="13316" width="8.85546875" style="45" customWidth="1"/>
    <col min="13317" max="13317" width="11.140625" style="45" customWidth="1"/>
    <col min="13318" max="13319" width="11.85546875" style="45" customWidth="1"/>
    <col min="13320" max="13329" width="18" style="45" customWidth="1"/>
    <col min="13330" max="13330" width="6.28515625" style="45" customWidth="1"/>
    <col min="13331" max="13331" width="7" style="45" customWidth="1"/>
    <col min="13332" max="13337" width="6.28515625" style="45" customWidth="1"/>
    <col min="13338" max="13542" width="9.140625" style="45"/>
    <col min="13543" max="13543" width="11.7109375" style="45" customWidth="1"/>
    <col min="13544" max="13558" width="0" style="45" hidden="1" customWidth="1"/>
    <col min="13559" max="13562" width="8.85546875" style="45" customWidth="1"/>
    <col min="13563" max="13563" width="1.85546875" style="45" customWidth="1"/>
    <col min="13564" max="13567" width="8.85546875" style="45" customWidth="1"/>
    <col min="13568" max="13568" width="1.85546875" style="45" customWidth="1"/>
    <col min="13569" max="13572" width="8.85546875" style="45" customWidth="1"/>
    <col min="13573" max="13573" width="11.140625" style="45" customWidth="1"/>
    <col min="13574" max="13575" width="11.85546875" style="45" customWidth="1"/>
    <col min="13576" max="13585" width="18" style="45" customWidth="1"/>
    <col min="13586" max="13586" width="6.28515625" style="45" customWidth="1"/>
    <col min="13587" max="13587" width="7" style="45" customWidth="1"/>
    <col min="13588" max="13593" width="6.28515625" style="45" customWidth="1"/>
    <col min="13594" max="13798" width="9.140625" style="45"/>
    <col min="13799" max="13799" width="11.7109375" style="45" customWidth="1"/>
    <col min="13800" max="13814" width="0" style="45" hidden="1" customWidth="1"/>
    <col min="13815" max="13818" width="8.85546875" style="45" customWidth="1"/>
    <col min="13819" max="13819" width="1.85546875" style="45" customWidth="1"/>
    <col min="13820" max="13823" width="8.85546875" style="45" customWidth="1"/>
    <col min="13824" max="13824" width="1.85546875" style="45" customWidth="1"/>
    <col min="13825" max="13828" width="8.85546875" style="45" customWidth="1"/>
    <col min="13829" max="13829" width="11.140625" style="45" customWidth="1"/>
    <col min="13830" max="13831" width="11.85546875" style="45" customWidth="1"/>
    <col min="13832" max="13841" width="18" style="45" customWidth="1"/>
    <col min="13842" max="13842" width="6.28515625" style="45" customWidth="1"/>
    <col min="13843" max="13843" width="7" style="45" customWidth="1"/>
    <col min="13844" max="13849" width="6.28515625" style="45" customWidth="1"/>
    <col min="13850" max="14054" width="9.140625" style="45"/>
    <col min="14055" max="14055" width="11.7109375" style="45" customWidth="1"/>
    <col min="14056" max="14070" width="0" style="45" hidden="1" customWidth="1"/>
    <col min="14071" max="14074" width="8.85546875" style="45" customWidth="1"/>
    <col min="14075" max="14075" width="1.85546875" style="45" customWidth="1"/>
    <col min="14076" max="14079" width="8.85546875" style="45" customWidth="1"/>
    <col min="14080" max="14080" width="1.85546875" style="45" customWidth="1"/>
    <col min="14081" max="14084" width="8.85546875" style="45" customWidth="1"/>
    <col min="14085" max="14085" width="11.140625" style="45" customWidth="1"/>
    <col min="14086" max="14087" width="11.85546875" style="45" customWidth="1"/>
    <col min="14088" max="14097" width="18" style="45" customWidth="1"/>
    <col min="14098" max="14098" width="6.28515625" style="45" customWidth="1"/>
    <col min="14099" max="14099" width="7" style="45" customWidth="1"/>
    <col min="14100" max="14105" width="6.28515625" style="45" customWidth="1"/>
    <col min="14106" max="14310" width="9.140625" style="45"/>
    <col min="14311" max="14311" width="11.7109375" style="45" customWidth="1"/>
    <col min="14312" max="14326" width="0" style="45" hidden="1" customWidth="1"/>
    <col min="14327" max="14330" width="8.85546875" style="45" customWidth="1"/>
    <col min="14331" max="14331" width="1.85546875" style="45" customWidth="1"/>
    <col min="14332" max="14335" width="8.85546875" style="45" customWidth="1"/>
    <col min="14336" max="14336" width="1.85546875" style="45" customWidth="1"/>
    <col min="14337" max="14340" width="8.85546875" style="45" customWidth="1"/>
    <col min="14341" max="14341" width="11.140625" style="45" customWidth="1"/>
    <col min="14342" max="14343" width="11.85546875" style="45" customWidth="1"/>
    <col min="14344" max="14353" width="18" style="45" customWidth="1"/>
    <col min="14354" max="14354" width="6.28515625" style="45" customWidth="1"/>
    <col min="14355" max="14355" width="7" style="45" customWidth="1"/>
    <col min="14356" max="14361" width="6.28515625" style="45" customWidth="1"/>
    <col min="14362" max="14566" width="9.140625" style="45"/>
    <col min="14567" max="14567" width="11.7109375" style="45" customWidth="1"/>
    <col min="14568" max="14582" width="0" style="45" hidden="1" customWidth="1"/>
    <col min="14583" max="14586" width="8.85546875" style="45" customWidth="1"/>
    <col min="14587" max="14587" width="1.85546875" style="45" customWidth="1"/>
    <col min="14588" max="14591" width="8.85546875" style="45" customWidth="1"/>
    <col min="14592" max="14592" width="1.85546875" style="45" customWidth="1"/>
    <col min="14593" max="14596" width="8.85546875" style="45" customWidth="1"/>
    <col min="14597" max="14597" width="11.140625" style="45" customWidth="1"/>
    <col min="14598" max="14599" width="11.85546875" style="45" customWidth="1"/>
    <col min="14600" max="14609" width="18" style="45" customWidth="1"/>
    <col min="14610" max="14610" width="6.28515625" style="45" customWidth="1"/>
    <col min="14611" max="14611" width="7" style="45" customWidth="1"/>
    <col min="14612" max="14617" width="6.28515625" style="45" customWidth="1"/>
    <col min="14618" max="14822" width="9.140625" style="45"/>
    <col min="14823" max="14823" width="11.7109375" style="45" customWidth="1"/>
    <col min="14824" max="14838" width="0" style="45" hidden="1" customWidth="1"/>
    <col min="14839" max="14842" width="8.85546875" style="45" customWidth="1"/>
    <col min="14843" max="14843" width="1.85546875" style="45" customWidth="1"/>
    <col min="14844" max="14847" width="8.85546875" style="45" customWidth="1"/>
    <col min="14848" max="14848" width="1.85546875" style="45" customWidth="1"/>
    <col min="14849" max="14852" width="8.85546875" style="45" customWidth="1"/>
    <col min="14853" max="14853" width="11.140625" style="45" customWidth="1"/>
    <col min="14854" max="14855" width="11.85546875" style="45" customWidth="1"/>
    <col min="14856" max="14865" width="18" style="45" customWidth="1"/>
    <col min="14866" max="14866" width="6.28515625" style="45" customWidth="1"/>
    <col min="14867" max="14867" width="7" style="45" customWidth="1"/>
    <col min="14868" max="14873" width="6.28515625" style="45" customWidth="1"/>
    <col min="14874" max="15078" width="9.140625" style="45"/>
    <col min="15079" max="15079" width="11.7109375" style="45" customWidth="1"/>
    <col min="15080" max="15094" width="0" style="45" hidden="1" customWidth="1"/>
    <col min="15095" max="15098" width="8.85546875" style="45" customWidth="1"/>
    <col min="15099" max="15099" width="1.85546875" style="45" customWidth="1"/>
    <col min="15100" max="15103" width="8.85546875" style="45" customWidth="1"/>
    <col min="15104" max="15104" width="1.85546875" style="45" customWidth="1"/>
    <col min="15105" max="15108" width="8.85546875" style="45" customWidth="1"/>
    <col min="15109" max="15109" width="11.140625" style="45" customWidth="1"/>
    <col min="15110" max="15111" width="11.85546875" style="45" customWidth="1"/>
    <col min="15112" max="15121" width="18" style="45" customWidth="1"/>
    <col min="15122" max="15122" width="6.28515625" style="45" customWidth="1"/>
    <col min="15123" max="15123" width="7" style="45" customWidth="1"/>
    <col min="15124" max="15129" width="6.28515625" style="45" customWidth="1"/>
    <col min="15130" max="15334" width="9.140625" style="45"/>
    <col min="15335" max="15335" width="11.7109375" style="45" customWidth="1"/>
    <col min="15336" max="15350" width="0" style="45" hidden="1" customWidth="1"/>
    <col min="15351" max="15354" width="8.85546875" style="45" customWidth="1"/>
    <col min="15355" max="15355" width="1.85546875" style="45" customWidth="1"/>
    <col min="15356" max="15359" width="8.85546875" style="45" customWidth="1"/>
    <col min="15360" max="15360" width="1.85546875" style="45" customWidth="1"/>
    <col min="15361" max="15364" width="8.85546875" style="45" customWidth="1"/>
    <col min="15365" max="15365" width="11.140625" style="45" customWidth="1"/>
    <col min="15366" max="15367" width="11.85546875" style="45" customWidth="1"/>
    <col min="15368" max="15377" width="18" style="45" customWidth="1"/>
    <col min="15378" max="15378" width="6.28515625" style="45" customWidth="1"/>
    <col min="15379" max="15379" width="7" style="45" customWidth="1"/>
    <col min="15380" max="15385" width="6.28515625" style="45" customWidth="1"/>
    <col min="15386" max="15590" width="9.140625" style="45"/>
    <col min="15591" max="15591" width="11.7109375" style="45" customWidth="1"/>
    <col min="15592" max="15606" width="0" style="45" hidden="1" customWidth="1"/>
    <col min="15607" max="15610" width="8.85546875" style="45" customWidth="1"/>
    <col min="15611" max="15611" width="1.85546875" style="45" customWidth="1"/>
    <col min="15612" max="15615" width="8.85546875" style="45" customWidth="1"/>
    <col min="15616" max="15616" width="1.85546875" style="45" customWidth="1"/>
    <col min="15617" max="15620" width="8.85546875" style="45" customWidth="1"/>
    <col min="15621" max="15621" width="11.140625" style="45" customWidth="1"/>
    <col min="15622" max="15623" width="11.85546875" style="45" customWidth="1"/>
    <col min="15624" max="15633" width="18" style="45" customWidth="1"/>
    <col min="15634" max="15634" width="6.28515625" style="45" customWidth="1"/>
    <col min="15635" max="15635" width="7" style="45" customWidth="1"/>
    <col min="15636" max="15641" width="6.28515625" style="45" customWidth="1"/>
    <col min="15642" max="15846" width="9.140625" style="45"/>
    <col min="15847" max="15847" width="11.7109375" style="45" customWidth="1"/>
    <col min="15848" max="15862" width="0" style="45" hidden="1" customWidth="1"/>
    <col min="15863" max="15866" width="8.85546875" style="45" customWidth="1"/>
    <col min="15867" max="15867" width="1.85546875" style="45" customWidth="1"/>
    <col min="15868" max="15871" width="8.85546875" style="45" customWidth="1"/>
    <col min="15872" max="15872" width="1.85546875" style="45" customWidth="1"/>
    <col min="15873" max="15876" width="8.85546875" style="45" customWidth="1"/>
    <col min="15877" max="15877" width="11.140625" style="45" customWidth="1"/>
    <col min="15878" max="15879" width="11.85546875" style="45" customWidth="1"/>
    <col min="15880" max="15889" width="18" style="45" customWidth="1"/>
    <col min="15890" max="15890" width="6.28515625" style="45" customWidth="1"/>
    <col min="15891" max="15891" width="7" style="45" customWidth="1"/>
    <col min="15892" max="15897" width="6.28515625" style="45" customWidth="1"/>
    <col min="15898" max="16102" width="9.140625" style="45"/>
    <col min="16103" max="16103" width="11.7109375" style="45" customWidth="1"/>
    <col min="16104" max="16118" width="0" style="45" hidden="1" customWidth="1"/>
    <col min="16119" max="16122" width="8.85546875" style="45" customWidth="1"/>
    <col min="16123" max="16123" width="1.85546875" style="45" customWidth="1"/>
    <col min="16124" max="16127" width="8.85546875" style="45" customWidth="1"/>
    <col min="16128" max="16128" width="1.85546875" style="45" customWidth="1"/>
    <col min="16129" max="16132" width="8.85546875" style="45" customWidth="1"/>
    <col min="16133" max="16133" width="11.140625" style="45" customWidth="1"/>
    <col min="16134" max="16135" width="11.85546875" style="45" customWidth="1"/>
    <col min="16136" max="16145" width="18" style="45" customWidth="1"/>
    <col min="16146" max="16146" width="6.28515625" style="45" customWidth="1"/>
    <col min="16147" max="16147" width="7" style="45" customWidth="1"/>
    <col min="16148" max="16153" width="6.28515625" style="45" customWidth="1"/>
    <col min="16154" max="16384" width="9.140625" style="45"/>
  </cols>
  <sheetData>
    <row r="1" spans="1:142" s="1" customFormat="1" ht="16.5" customHeight="1" x14ac:dyDescent="0.25">
      <c r="A1" s="62" t="s">
        <v>40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49"/>
    </row>
    <row r="2" spans="1:142" s="2" customFormat="1" ht="14.25" customHeight="1" x14ac:dyDescent="0.25">
      <c r="A2" s="63" t="s">
        <v>39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50"/>
    </row>
    <row r="3" spans="1:142" s="2" customFormat="1" ht="9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142" s="2" customFormat="1" ht="9.75" customHeight="1" x14ac:dyDescent="0.25">
      <c r="A4" s="64" t="s">
        <v>0</v>
      </c>
      <c r="B4" s="48"/>
      <c r="C4" s="69">
        <v>2021</v>
      </c>
      <c r="D4" s="67"/>
      <c r="E4" s="67"/>
      <c r="F4" s="67"/>
      <c r="G4" s="69">
        <v>2022</v>
      </c>
      <c r="H4" s="67"/>
      <c r="I4" s="67"/>
      <c r="J4" s="75"/>
      <c r="K4" s="69">
        <v>2023</v>
      </c>
      <c r="L4" s="67"/>
      <c r="M4" s="67"/>
      <c r="N4" s="75"/>
      <c r="O4" s="69">
        <v>2024</v>
      </c>
      <c r="P4" s="67"/>
      <c r="Q4" s="67"/>
      <c r="R4" s="75"/>
      <c r="S4" s="71" t="s">
        <v>25</v>
      </c>
      <c r="T4" s="72"/>
      <c r="U4" s="5"/>
    </row>
    <row r="5" spans="1:142" s="2" customFormat="1" ht="19.899999999999999" customHeight="1" x14ac:dyDescent="0.25">
      <c r="A5" s="65"/>
      <c r="B5" s="6"/>
      <c r="C5" s="70"/>
      <c r="D5" s="68"/>
      <c r="E5" s="68"/>
      <c r="F5" s="68"/>
      <c r="G5" s="70"/>
      <c r="H5" s="68"/>
      <c r="I5" s="68"/>
      <c r="J5" s="76"/>
      <c r="K5" s="70"/>
      <c r="L5" s="68"/>
      <c r="M5" s="68"/>
      <c r="N5" s="76"/>
      <c r="O5" s="70"/>
      <c r="P5" s="68"/>
      <c r="Q5" s="68"/>
      <c r="R5" s="76"/>
      <c r="S5" s="73"/>
      <c r="T5" s="74"/>
      <c r="U5" s="5"/>
    </row>
    <row r="6" spans="1:142" s="2" customFormat="1" ht="15.75" customHeight="1" x14ac:dyDescent="0.25">
      <c r="A6" s="65"/>
      <c r="B6" s="6"/>
      <c r="C6" s="8" t="s">
        <v>26</v>
      </c>
      <c r="D6" s="7" t="s">
        <v>27</v>
      </c>
      <c r="E6" s="7" t="s">
        <v>28</v>
      </c>
      <c r="F6" s="7" t="s">
        <v>29</v>
      </c>
      <c r="G6" s="8" t="s">
        <v>26</v>
      </c>
      <c r="H6" s="7" t="s">
        <v>27</v>
      </c>
      <c r="I6" s="7" t="s">
        <v>28</v>
      </c>
      <c r="J6" s="9" t="s">
        <v>29</v>
      </c>
      <c r="K6" s="8" t="s">
        <v>26</v>
      </c>
      <c r="L6" s="7" t="s">
        <v>27</v>
      </c>
      <c r="M6" s="7" t="s">
        <v>28</v>
      </c>
      <c r="N6" s="9" t="s">
        <v>29</v>
      </c>
      <c r="O6" s="8" t="s">
        <v>26</v>
      </c>
      <c r="P6" s="7" t="s">
        <v>27</v>
      </c>
      <c r="Q6" s="7" t="s">
        <v>28</v>
      </c>
      <c r="R6" s="9" t="s">
        <v>29</v>
      </c>
      <c r="S6" s="8" t="s">
        <v>26</v>
      </c>
      <c r="T6" s="7" t="s">
        <v>27</v>
      </c>
      <c r="U6" s="7"/>
    </row>
    <row r="7" spans="1:142" s="14" customFormat="1" ht="15" customHeight="1" x14ac:dyDescent="0.25">
      <c r="A7" s="66"/>
      <c r="B7" s="10"/>
      <c r="C7" s="11" t="s">
        <v>30</v>
      </c>
      <c r="D7" s="10" t="s">
        <v>31</v>
      </c>
      <c r="E7" s="10" t="s">
        <v>32</v>
      </c>
      <c r="F7" s="10" t="s">
        <v>33</v>
      </c>
      <c r="G7" s="11" t="s">
        <v>30</v>
      </c>
      <c r="H7" s="10" t="s">
        <v>31</v>
      </c>
      <c r="I7" s="10" t="s">
        <v>32</v>
      </c>
      <c r="J7" s="51" t="s">
        <v>33</v>
      </c>
      <c r="K7" s="11" t="s">
        <v>30</v>
      </c>
      <c r="L7" s="10" t="s">
        <v>31</v>
      </c>
      <c r="M7" s="10" t="s">
        <v>32</v>
      </c>
      <c r="N7" s="51" t="s">
        <v>33</v>
      </c>
      <c r="O7" s="11" t="s">
        <v>30</v>
      </c>
      <c r="P7" s="10" t="s">
        <v>31</v>
      </c>
      <c r="Q7" s="10" t="s">
        <v>32</v>
      </c>
      <c r="R7" s="51" t="s">
        <v>33</v>
      </c>
      <c r="S7" s="11" t="s">
        <v>30</v>
      </c>
      <c r="T7" s="54" t="s">
        <v>31</v>
      </c>
      <c r="U7" s="1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142" s="21" customFormat="1" ht="15" x14ac:dyDescent="0.25">
      <c r="A8" s="15" t="s">
        <v>1</v>
      </c>
      <c r="B8" s="16"/>
      <c r="C8" s="18">
        <f t="shared" ref="C8:F8" si="0">SUM(C9:C11)</f>
        <v>5414</v>
      </c>
      <c r="D8" s="17">
        <f t="shared" si="0"/>
        <v>3242</v>
      </c>
      <c r="E8" s="17">
        <f t="shared" si="0"/>
        <v>1</v>
      </c>
      <c r="F8" s="17">
        <f t="shared" si="0"/>
        <v>97</v>
      </c>
      <c r="G8" s="18">
        <f>SUM(G9:G11)</f>
        <v>5753</v>
      </c>
      <c r="H8" s="17">
        <f>SUM(H9:H11)</f>
        <v>3311</v>
      </c>
      <c r="I8" s="17">
        <f>SUM(I9:I11)</f>
        <v>7</v>
      </c>
      <c r="J8" s="17">
        <f>SUM(J9:J11)</f>
        <v>113</v>
      </c>
      <c r="K8" s="18">
        <f t="shared" ref="K8:N8" si="1">SUM(K9:K11)</f>
        <v>5373</v>
      </c>
      <c r="L8" s="17">
        <f t="shared" si="1"/>
        <v>3401</v>
      </c>
      <c r="M8" s="17">
        <f t="shared" si="1"/>
        <v>14</v>
      </c>
      <c r="N8" s="17">
        <f t="shared" si="1"/>
        <v>95</v>
      </c>
      <c r="O8" s="18">
        <f t="shared" ref="O8:R8" si="2">SUM(O9:O11)</f>
        <v>5170</v>
      </c>
      <c r="P8" s="17">
        <f t="shared" si="2"/>
        <v>3368</v>
      </c>
      <c r="Q8" s="17">
        <f t="shared" si="2"/>
        <v>2</v>
      </c>
      <c r="R8" s="17">
        <f t="shared" si="2"/>
        <v>94</v>
      </c>
      <c r="S8" s="57">
        <f t="shared" ref="S8:T11" si="3">(O8-K8)/K8*100</f>
        <v>-3.7781500093057883</v>
      </c>
      <c r="T8" s="58">
        <f t="shared" si="3"/>
        <v>-0.97030285210232292</v>
      </c>
      <c r="U8" s="20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0"/>
      <c r="AI8" s="20"/>
      <c r="AJ8" s="20"/>
      <c r="AK8" s="20"/>
      <c r="AL8" s="20"/>
      <c r="AM8" s="20"/>
      <c r="AN8" s="20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</row>
    <row r="9" spans="1:142" s="21" customFormat="1" ht="15" x14ac:dyDescent="0.25">
      <c r="A9" s="15" t="s">
        <v>3</v>
      </c>
      <c r="B9" s="22"/>
      <c r="C9" s="23">
        <v>2396</v>
      </c>
      <c r="D9" s="22">
        <v>1191</v>
      </c>
      <c r="E9" s="22">
        <v>0</v>
      </c>
      <c r="F9" s="22">
        <v>45</v>
      </c>
      <c r="G9" s="23">
        <v>2514</v>
      </c>
      <c r="H9" s="22">
        <v>1297</v>
      </c>
      <c r="I9" s="22">
        <v>0</v>
      </c>
      <c r="J9" s="22">
        <v>49</v>
      </c>
      <c r="K9" s="23">
        <v>2425</v>
      </c>
      <c r="L9" s="22">
        <v>1245</v>
      </c>
      <c r="M9" s="22">
        <v>1</v>
      </c>
      <c r="N9" s="22">
        <v>35</v>
      </c>
      <c r="O9" s="23">
        <v>2485</v>
      </c>
      <c r="P9" s="22">
        <v>1298</v>
      </c>
      <c r="Q9" s="22">
        <v>0</v>
      </c>
      <c r="R9" s="22">
        <v>29</v>
      </c>
      <c r="S9" s="59">
        <f t="shared" si="3"/>
        <v>2.4742268041237114</v>
      </c>
      <c r="T9" s="19">
        <f t="shared" si="3"/>
        <v>4.2570281124497988</v>
      </c>
      <c r="U9" s="20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0"/>
      <c r="AI9" s="20"/>
      <c r="AJ9" s="20"/>
      <c r="AK9" s="20"/>
      <c r="AL9" s="20"/>
      <c r="AM9" s="20"/>
      <c r="AN9" s="20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</row>
    <row r="10" spans="1:142" s="21" customFormat="1" ht="15" x14ac:dyDescent="0.25">
      <c r="A10" s="25" t="s">
        <v>2</v>
      </c>
      <c r="B10" s="22"/>
      <c r="C10" s="18">
        <v>330</v>
      </c>
      <c r="D10" s="17">
        <v>247</v>
      </c>
      <c r="E10" s="17">
        <v>0</v>
      </c>
      <c r="F10" s="17">
        <v>1</v>
      </c>
      <c r="G10" s="18">
        <v>441</v>
      </c>
      <c r="H10" s="17">
        <v>309</v>
      </c>
      <c r="I10" s="17">
        <v>0</v>
      </c>
      <c r="J10" s="17">
        <v>2</v>
      </c>
      <c r="K10" s="18">
        <v>508</v>
      </c>
      <c r="L10" s="17">
        <v>351</v>
      </c>
      <c r="M10" s="17">
        <v>0</v>
      </c>
      <c r="N10" s="17">
        <v>4</v>
      </c>
      <c r="O10" s="18">
        <v>421</v>
      </c>
      <c r="P10" s="17">
        <v>422</v>
      </c>
      <c r="Q10" s="17">
        <v>0</v>
      </c>
      <c r="R10" s="17">
        <v>3</v>
      </c>
      <c r="S10" s="59">
        <f t="shared" si="3"/>
        <v>-17.125984251968504</v>
      </c>
      <c r="T10" s="19">
        <f t="shared" si="3"/>
        <v>20.227920227920229</v>
      </c>
      <c r="U10" s="2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0"/>
      <c r="AI10" s="20"/>
      <c r="AJ10" s="20"/>
      <c r="AK10" s="20"/>
      <c r="AL10" s="20"/>
      <c r="AM10" s="20"/>
      <c r="AN10" s="20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</row>
    <row r="11" spans="1:142" s="21" customFormat="1" ht="15" x14ac:dyDescent="0.25">
      <c r="A11" s="15" t="s">
        <v>4</v>
      </c>
      <c r="B11" s="22"/>
      <c r="C11" s="18">
        <f t="shared" ref="C11:N11" si="4">SUM(C12:C31)</f>
        <v>2688</v>
      </c>
      <c r="D11" s="22">
        <f t="shared" si="4"/>
        <v>1804</v>
      </c>
      <c r="E11" s="17">
        <f t="shared" si="4"/>
        <v>1</v>
      </c>
      <c r="F11" s="17">
        <f t="shared" si="4"/>
        <v>51</v>
      </c>
      <c r="G11" s="18">
        <f t="shared" si="4"/>
        <v>2798</v>
      </c>
      <c r="H11" s="22">
        <f t="shared" si="4"/>
        <v>1705</v>
      </c>
      <c r="I11" s="17">
        <f t="shared" si="4"/>
        <v>7</v>
      </c>
      <c r="J11" s="17">
        <f t="shared" si="4"/>
        <v>62</v>
      </c>
      <c r="K11" s="18">
        <f t="shared" si="4"/>
        <v>2440</v>
      </c>
      <c r="L11" s="22">
        <f t="shared" si="4"/>
        <v>1805</v>
      </c>
      <c r="M11" s="17">
        <f t="shared" si="4"/>
        <v>13</v>
      </c>
      <c r="N11" s="17">
        <f t="shared" si="4"/>
        <v>56</v>
      </c>
      <c r="O11" s="18">
        <f t="shared" ref="O11:R11" si="5">SUM(O12:O31)</f>
        <v>2264</v>
      </c>
      <c r="P11" s="22">
        <f t="shared" si="5"/>
        <v>1648</v>
      </c>
      <c r="Q11" s="17">
        <f t="shared" si="5"/>
        <v>2</v>
      </c>
      <c r="R11" s="17">
        <f t="shared" si="5"/>
        <v>62</v>
      </c>
      <c r="S11" s="59">
        <f t="shared" si="3"/>
        <v>-7.2131147540983616</v>
      </c>
      <c r="T11" s="19">
        <f t="shared" si="3"/>
        <v>-8.6980609418282544</v>
      </c>
      <c r="U11" s="20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0"/>
      <c r="AI11" s="20"/>
      <c r="AJ11" s="20"/>
      <c r="AK11" s="20"/>
      <c r="AL11" s="20"/>
      <c r="AM11" s="20"/>
      <c r="AN11" s="20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</row>
    <row r="12" spans="1:142" s="21" customFormat="1" ht="15" x14ac:dyDescent="0.25">
      <c r="A12" s="27" t="s">
        <v>5</v>
      </c>
      <c r="B12" s="28"/>
      <c r="C12" s="30">
        <v>121</v>
      </c>
      <c r="D12" s="1">
        <v>82</v>
      </c>
      <c r="E12" s="29">
        <v>0</v>
      </c>
      <c r="F12" s="29">
        <v>2</v>
      </c>
      <c r="G12" s="30">
        <v>154</v>
      </c>
      <c r="H12" s="1">
        <v>85</v>
      </c>
      <c r="I12" s="29">
        <v>0</v>
      </c>
      <c r="J12" s="29">
        <v>7</v>
      </c>
      <c r="K12" s="30">
        <v>110</v>
      </c>
      <c r="L12" s="1">
        <f>77-6</f>
        <v>71</v>
      </c>
      <c r="M12" s="29">
        <v>0</v>
      </c>
      <c r="N12" s="29">
        <v>6</v>
      </c>
      <c r="O12" s="30">
        <v>91</v>
      </c>
      <c r="P12" s="1">
        <v>70</v>
      </c>
      <c r="Q12" s="29">
        <v>0</v>
      </c>
      <c r="R12" s="29">
        <v>5</v>
      </c>
      <c r="S12" s="55">
        <f t="shared" ref="S12:S31" si="6">(O12-K12)/K12*100</f>
        <v>-17.272727272727273</v>
      </c>
      <c r="T12" s="24">
        <f t="shared" ref="T12:T31" si="7">(P12-L12)/L12*100</f>
        <v>-1.4084507042253522</v>
      </c>
      <c r="U12" s="2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0"/>
      <c r="AI12" s="20"/>
      <c r="AJ12" s="20"/>
      <c r="AK12" s="20"/>
      <c r="AL12" s="20"/>
      <c r="AM12" s="20"/>
      <c r="AN12" s="20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</row>
    <row r="13" spans="1:142" s="21" customFormat="1" ht="15" x14ac:dyDescent="0.25">
      <c r="A13" s="27" t="s">
        <v>6</v>
      </c>
      <c r="B13" s="29"/>
      <c r="C13" s="30">
        <v>242</v>
      </c>
      <c r="D13" s="1">
        <v>158</v>
      </c>
      <c r="E13" s="29">
        <v>1</v>
      </c>
      <c r="F13" s="29">
        <v>8</v>
      </c>
      <c r="G13" s="30">
        <v>312</v>
      </c>
      <c r="H13" s="1">
        <v>111</v>
      </c>
      <c r="I13" s="29">
        <v>0</v>
      </c>
      <c r="J13" s="29">
        <v>6</v>
      </c>
      <c r="K13" s="30">
        <v>234</v>
      </c>
      <c r="L13" s="1">
        <f>176-5</f>
        <v>171</v>
      </c>
      <c r="M13" s="29">
        <v>0</v>
      </c>
      <c r="N13" s="29">
        <v>5</v>
      </c>
      <c r="O13" s="30">
        <v>223</v>
      </c>
      <c r="P13" s="1">
        <v>163</v>
      </c>
      <c r="Q13" s="29">
        <v>0</v>
      </c>
      <c r="R13" s="29">
        <v>7</v>
      </c>
      <c r="S13" s="55">
        <f t="shared" si="6"/>
        <v>-4.700854700854701</v>
      </c>
      <c r="T13" s="24">
        <f t="shared" si="7"/>
        <v>-4.6783625730994149</v>
      </c>
      <c r="U13" s="2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0"/>
      <c r="AI13" s="20"/>
      <c r="AJ13" s="20"/>
      <c r="AK13" s="20"/>
      <c r="AL13" s="20"/>
      <c r="AM13" s="20"/>
      <c r="AN13" s="20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</row>
    <row r="14" spans="1:142" s="21" customFormat="1" ht="15" x14ac:dyDescent="0.25">
      <c r="A14" s="27" t="s">
        <v>7</v>
      </c>
      <c r="B14" s="29"/>
      <c r="C14" s="30">
        <v>141</v>
      </c>
      <c r="D14" s="1">
        <v>99</v>
      </c>
      <c r="E14" s="29">
        <v>0</v>
      </c>
      <c r="F14" s="29">
        <v>3</v>
      </c>
      <c r="G14" s="30">
        <v>164</v>
      </c>
      <c r="H14" s="1">
        <v>106</v>
      </c>
      <c r="I14" s="29">
        <v>1</v>
      </c>
      <c r="J14" s="29">
        <v>5</v>
      </c>
      <c r="K14" s="30">
        <v>112</v>
      </c>
      <c r="L14" s="1">
        <v>88</v>
      </c>
      <c r="M14" s="29">
        <v>0</v>
      </c>
      <c r="N14" s="29">
        <v>1</v>
      </c>
      <c r="O14" s="30">
        <v>123</v>
      </c>
      <c r="P14" s="1">
        <v>66</v>
      </c>
      <c r="Q14" s="29">
        <v>0</v>
      </c>
      <c r="R14" s="29">
        <v>3</v>
      </c>
      <c r="S14" s="55">
        <f t="shared" si="6"/>
        <v>9.8214285714285712</v>
      </c>
      <c r="T14" s="24">
        <f t="shared" si="7"/>
        <v>-25</v>
      </c>
      <c r="U14" s="2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0"/>
      <c r="AI14" s="20"/>
      <c r="AJ14" s="20"/>
      <c r="AK14" s="20"/>
      <c r="AL14" s="20"/>
      <c r="AM14" s="20"/>
      <c r="AN14" s="2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</row>
    <row r="15" spans="1:142" s="21" customFormat="1" ht="15" x14ac:dyDescent="0.25">
      <c r="A15" s="27" t="s">
        <v>9</v>
      </c>
      <c r="B15" s="29"/>
      <c r="C15" s="30">
        <v>146</v>
      </c>
      <c r="D15" s="1">
        <v>133</v>
      </c>
      <c r="E15" s="29">
        <v>0</v>
      </c>
      <c r="F15" s="29">
        <v>6</v>
      </c>
      <c r="G15" s="30">
        <v>145</v>
      </c>
      <c r="H15" s="1">
        <v>107</v>
      </c>
      <c r="I15" s="29">
        <v>0</v>
      </c>
      <c r="J15" s="29">
        <v>6</v>
      </c>
      <c r="K15" s="30">
        <v>139</v>
      </c>
      <c r="L15" s="1">
        <f>119-10-10</f>
        <v>99</v>
      </c>
      <c r="M15" s="29">
        <v>10</v>
      </c>
      <c r="N15" s="29">
        <v>10</v>
      </c>
      <c r="O15" s="30">
        <v>126</v>
      </c>
      <c r="P15" s="1">
        <v>88</v>
      </c>
      <c r="Q15" s="29">
        <v>0</v>
      </c>
      <c r="R15" s="29">
        <v>2</v>
      </c>
      <c r="S15" s="55">
        <f t="shared" si="6"/>
        <v>-9.3525179856115113</v>
      </c>
      <c r="T15" s="24">
        <f t="shared" si="7"/>
        <v>-11.111111111111111</v>
      </c>
      <c r="U15" s="2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0"/>
      <c r="AI15" s="20"/>
      <c r="AJ15" s="20"/>
      <c r="AK15" s="20"/>
      <c r="AL15" s="20"/>
      <c r="AM15" s="20"/>
      <c r="AN15" s="20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</row>
    <row r="16" spans="1:142" s="21" customFormat="1" ht="15" x14ac:dyDescent="0.25">
      <c r="A16" s="27" t="s">
        <v>10</v>
      </c>
      <c r="B16" s="29"/>
      <c r="C16" s="30">
        <v>212</v>
      </c>
      <c r="D16" s="1">
        <v>128</v>
      </c>
      <c r="E16" s="29">
        <v>0</v>
      </c>
      <c r="F16" s="29">
        <v>4</v>
      </c>
      <c r="G16" s="30">
        <v>199</v>
      </c>
      <c r="H16" s="1">
        <v>142</v>
      </c>
      <c r="I16" s="29">
        <v>2</v>
      </c>
      <c r="J16" s="29">
        <v>5</v>
      </c>
      <c r="K16" s="30">
        <v>174</v>
      </c>
      <c r="L16" s="1">
        <v>115</v>
      </c>
      <c r="M16" s="29">
        <v>0</v>
      </c>
      <c r="N16" s="29">
        <v>1</v>
      </c>
      <c r="O16" s="30">
        <v>154</v>
      </c>
      <c r="P16" s="1">
        <v>100</v>
      </c>
      <c r="Q16" s="29">
        <v>0</v>
      </c>
      <c r="R16" s="29">
        <v>5</v>
      </c>
      <c r="S16" s="55">
        <f t="shared" si="6"/>
        <v>-11.494252873563218</v>
      </c>
      <c r="T16" s="24">
        <f t="shared" si="7"/>
        <v>-13.043478260869565</v>
      </c>
      <c r="U16" s="2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0"/>
      <c r="AI16" s="20"/>
      <c r="AJ16" s="20"/>
      <c r="AK16" s="20"/>
      <c r="AL16" s="20"/>
      <c r="AM16" s="20"/>
      <c r="AN16" s="20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</row>
    <row r="17" spans="1:142" s="21" customFormat="1" ht="15" x14ac:dyDescent="0.25">
      <c r="A17" s="27" t="s">
        <v>11</v>
      </c>
      <c r="B17" s="29"/>
      <c r="C17" s="30">
        <v>107</v>
      </c>
      <c r="D17" s="1">
        <v>59</v>
      </c>
      <c r="E17" s="29">
        <v>0</v>
      </c>
      <c r="F17" s="29">
        <v>2</v>
      </c>
      <c r="G17" s="30">
        <v>132</v>
      </c>
      <c r="H17" s="1">
        <v>86</v>
      </c>
      <c r="I17" s="29">
        <v>0</v>
      </c>
      <c r="J17" s="29">
        <v>2</v>
      </c>
      <c r="K17" s="30">
        <v>87</v>
      </c>
      <c r="L17" s="1">
        <f>67-4</f>
        <v>63</v>
      </c>
      <c r="M17" s="29">
        <v>0</v>
      </c>
      <c r="N17" s="29">
        <v>4</v>
      </c>
      <c r="O17" s="30">
        <v>89</v>
      </c>
      <c r="P17" s="1">
        <v>45</v>
      </c>
      <c r="Q17" s="29">
        <v>0</v>
      </c>
      <c r="R17" s="29">
        <v>3</v>
      </c>
      <c r="S17" s="55">
        <f t="shared" si="6"/>
        <v>2.2988505747126435</v>
      </c>
      <c r="T17" s="24">
        <f t="shared" si="7"/>
        <v>-28.571428571428569</v>
      </c>
      <c r="U17" s="2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0"/>
      <c r="AI17" s="20"/>
      <c r="AJ17" s="20"/>
      <c r="AK17" s="20"/>
      <c r="AL17" s="20"/>
      <c r="AM17" s="20"/>
      <c r="AN17" s="2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</row>
    <row r="18" spans="1:142" s="21" customFormat="1" ht="15" x14ac:dyDescent="0.25">
      <c r="A18" s="27" t="s">
        <v>12</v>
      </c>
      <c r="B18" s="29"/>
      <c r="C18" s="30">
        <v>131</v>
      </c>
      <c r="D18" s="1">
        <v>75</v>
      </c>
      <c r="E18" s="29">
        <v>0</v>
      </c>
      <c r="F18" s="29">
        <v>2</v>
      </c>
      <c r="G18" s="30">
        <v>124</v>
      </c>
      <c r="H18" s="1">
        <v>69</v>
      </c>
      <c r="I18" s="29">
        <v>0</v>
      </c>
      <c r="J18" s="29">
        <v>2</v>
      </c>
      <c r="K18" s="30">
        <v>114</v>
      </c>
      <c r="L18" s="1">
        <v>83</v>
      </c>
      <c r="M18" s="29">
        <v>0</v>
      </c>
      <c r="N18" s="29">
        <v>0</v>
      </c>
      <c r="O18" s="30">
        <v>93</v>
      </c>
      <c r="P18" s="1">
        <v>75</v>
      </c>
      <c r="Q18" s="29">
        <v>0</v>
      </c>
      <c r="R18" s="29">
        <v>9</v>
      </c>
      <c r="S18" s="55">
        <f t="shared" si="6"/>
        <v>-18.421052631578945</v>
      </c>
      <c r="T18" s="24">
        <f t="shared" si="7"/>
        <v>-9.6385542168674707</v>
      </c>
      <c r="U18" s="2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0"/>
      <c r="AI18" s="20"/>
      <c r="AJ18" s="20"/>
      <c r="AK18" s="20"/>
      <c r="AL18" s="20"/>
      <c r="AM18" s="20"/>
      <c r="AN18" s="2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</row>
    <row r="19" spans="1:142" s="21" customFormat="1" ht="15" x14ac:dyDescent="0.25">
      <c r="A19" s="27" t="s">
        <v>24</v>
      </c>
      <c r="B19" s="29"/>
      <c r="C19" s="30">
        <v>186</v>
      </c>
      <c r="D19" s="1">
        <v>120</v>
      </c>
      <c r="E19" s="29">
        <v>0</v>
      </c>
      <c r="F19" s="29">
        <v>4</v>
      </c>
      <c r="G19" s="30">
        <v>167</v>
      </c>
      <c r="H19" s="1">
        <v>114</v>
      </c>
      <c r="I19" s="29">
        <v>0</v>
      </c>
      <c r="J19" s="29">
        <v>7</v>
      </c>
      <c r="K19" s="30">
        <v>183</v>
      </c>
      <c r="L19" s="1">
        <f>98-2</f>
        <v>96</v>
      </c>
      <c r="M19" s="29">
        <v>0</v>
      </c>
      <c r="N19" s="29">
        <v>2</v>
      </c>
      <c r="O19" s="30">
        <v>159</v>
      </c>
      <c r="P19" s="1">
        <v>117</v>
      </c>
      <c r="Q19" s="29">
        <v>0</v>
      </c>
      <c r="R19" s="29">
        <v>5</v>
      </c>
      <c r="S19" s="55">
        <f t="shared" si="6"/>
        <v>-13.114754098360656</v>
      </c>
      <c r="T19" s="24">
        <f t="shared" si="7"/>
        <v>21.875</v>
      </c>
      <c r="U19" s="2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0"/>
      <c r="AI19" s="20"/>
      <c r="AJ19" s="20"/>
      <c r="AK19" s="20"/>
      <c r="AL19" s="20"/>
      <c r="AM19" s="20"/>
      <c r="AN19" s="20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</row>
    <row r="20" spans="1:142" s="21" customFormat="1" ht="15" x14ac:dyDescent="0.25">
      <c r="A20" s="27" t="s">
        <v>13</v>
      </c>
      <c r="B20" s="29"/>
      <c r="C20" s="30">
        <v>98</v>
      </c>
      <c r="D20" s="1">
        <v>55</v>
      </c>
      <c r="E20" s="29">
        <v>0</v>
      </c>
      <c r="F20" s="29">
        <v>0</v>
      </c>
      <c r="G20" s="30">
        <v>99</v>
      </c>
      <c r="H20" s="1">
        <v>50</v>
      </c>
      <c r="I20" s="29">
        <v>0</v>
      </c>
      <c r="J20" s="29">
        <v>0</v>
      </c>
      <c r="K20" s="30">
        <v>89</v>
      </c>
      <c r="L20" s="1">
        <f>81-4</f>
        <v>77</v>
      </c>
      <c r="M20" s="29">
        <v>0</v>
      </c>
      <c r="N20" s="29">
        <v>4</v>
      </c>
      <c r="O20" s="30">
        <v>79</v>
      </c>
      <c r="P20" s="1">
        <v>46</v>
      </c>
      <c r="Q20" s="29">
        <v>0</v>
      </c>
      <c r="R20" s="29">
        <v>2</v>
      </c>
      <c r="S20" s="55">
        <f t="shared" si="6"/>
        <v>-11.235955056179774</v>
      </c>
      <c r="T20" s="24">
        <f t="shared" si="7"/>
        <v>-40.259740259740262</v>
      </c>
      <c r="U20" s="2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0"/>
      <c r="AI20" s="20"/>
      <c r="AJ20" s="20"/>
      <c r="AK20" s="20"/>
      <c r="AL20" s="20"/>
      <c r="AM20" s="20"/>
      <c r="AN20" s="20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</row>
    <row r="21" spans="1:142" s="31" customFormat="1" ht="15" x14ac:dyDescent="0.25">
      <c r="A21" s="27" t="s">
        <v>14</v>
      </c>
      <c r="B21" s="29"/>
      <c r="C21" s="30">
        <v>110</v>
      </c>
      <c r="D21" s="1">
        <v>83</v>
      </c>
      <c r="E21" s="29">
        <v>0</v>
      </c>
      <c r="F21" s="29">
        <v>2</v>
      </c>
      <c r="G21" s="30">
        <v>102</v>
      </c>
      <c r="H21" s="1">
        <v>62</v>
      </c>
      <c r="I21" s="29">
        <v>0</v>
      </c>
      <c r="J21" s="29">
        <v>0</v>
      </c>
      <c r="K21" s="30">
        <v>86</v>
      </c>
      <c r="L21" s="1">
        <f>66-2</f>
        <v>64</v>
      </c>
      <c r="M21" s="29">
        <v>0</v>
      </c>
      <c r="N21" s="29">
        <v>2</v>
      </c>
      <c r="O21" s="30">
        <v>92</v>
      </c>
      <c r="P21" s="1">
        <v>65</v>
      </c>
      <c r="Q21" s="29">
        <v>0</v>
      </c>
      <c r="R21" s="29">
        <v>3</v>
      </c>
      <c r="S21" s="55">
        <f t="shared" si="6"/>
        <v>6.9767441860465116</v>
      </c>
      <c r="T21" s="24">
        <f t="shared" si="7"/>
        <v>1.5625</v>
      </c>
      <c r="U21" s="2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0"/>
      <c r="AI21" s="20"/>
      <c r="AJ21" s="20"/>
      <c r="AK21" s="20"/>
      <c r="AL21" s="20"/>
      <c r="AM21" s="20"/>
      <c r="AN21" s="20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</row>
    <row r="22" spans="1:142" s="31" customFormat="1" ht="15" x14ac:dyDescent="0.25">
      <c r="A22" s="27" t="s">
        <v>15</v>
      </c>
      <c r="B22" s="29"/>
      <c r="C22" s="30">
        <v>14</v>
      </c>
      <c r="D22" s="1">
        <v>10</v>
      </c>
      <c r="E22" s="29">
        <v>0</v>
      </c>
      <c r="F22" s="29">
        <v>1</v>
      </c>
      <c r="G22" s="30">
        <v>16</v>
      </c>
      <c r="H22" s="1">
        <v>13</v>
      </c>
      <c r="I22" s="29">
        <v>0</v>
      </c>
      <c r="J22" s="29">
        <v>0</v>
      </c>
      <c r="K22" s="30">
        <v>8</v>
      </c>
      <c r="L22" s="1">
        <v>13</v>
      </c>
      <c r="M22" s="29">
        <v>0</v>
      </c>
      <c r="N22" s="29">
        <v>0</v>
      </c>
      <c r="O22" s="30">
        <v>19</v>
      </c>
      <c r="P22" s="1">
        <v>12</v>
      </c>
      <c r="Q22" s="29">
        <v>0</v>
      </c>
      <c r="R22" s="29">
        <v>0</v>
      </c>
      <c r="S22" s="55">
        <f t="shared" si="6"/>
        <v>137.5</v>
      </c>
      <c r="T22" s="24">
        <f t="shared" si="7"/>
        <v>-7.6923076923076925</v>
      </c>
      <c r="U22" s="2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0"/>
      <c r="AI22" s="20"/>
      <c r="AJ22" s="20"/>
      <c r="AK22" s="20"/>
      <c r="AL22" s="20"/>
      <c r="AM22" s="20"/>
      <c r="AN22" s="20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</row>
    <row r="23" spans="1:142" s="31" customFormat="1" ht="15" x14ac:dyDescent="0.25">
      <c r="A23" s="27" t="s">
        <v>16</v>
      </c>
      <c r="B23" s="29"/>
      <c r="C23" s="30">
        <v>45</v>
      </c>
      <c r="D23" s="1">
        <v>29</v>
      </c>
      <c r="E23" s="29">
        <v>0</v>
      </c>
      <c r="F23" s="29">
        <v>1</v>
      </c>
      <c r="G23" s="30">
        <v>44</v>
      </c>
      <c r="H23" s="1">
        <v>41</v>
      </c>
      <c r="I23" s="29">
        <v>0</v>
      </c>
      <c r="J23" s="29">
        <v>0</v>
      </c>
      <c r="K23" s="30">
        <v>38</v>
      </c>
      <c r="L23" s="1">
        <v>41</v>
      </c>
      <c r="M23" s="29">
        <v>0</v>
      </c>
      <c r="N23" s="29">
        <v>0</v>
      </c>
      <c r="O23" s="30">
        <v>25</v>
      </c>
      <c r="P23" s="1">
        <v>32</v>
      </c>
      <c r="Q23" s="29">
        <v>0</v>
      </c>
      <c r="R23" s="29">
        <v>2</v>
      </c>
      <c r="S23" s="55">
        <f t="shared" si="6"/>
        <v>-34.210526315789473</v>
      </c>
      <c r="T23" s="24">
        <f t="shared" si="7"/>
        <v>-21.951219512195124</v>
      </c>
      <c r="U23" s="2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0"/>
      <c r="AI23" s="20"/>
      <c r="AJ23" s="20"/>
      <c r="AK23" s="20"/>
      <c r="AL23" s="20"/>
      <c r="AM23" s="20"/>
      <c r="AN23" s="20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</row>
    <row r="24" spans="1:142" s="31" customFormat="1" ht="15" x14ac:dyDescent="0.25">
      <c r="A24" s="27" t="s">
        <v>17</v>
      </c>
      <c r="B24" s="29"/>
      <c r="C24" s="30">
        <v>55</v>
      </c>
      <c r="D24" s="1">
        <v>23</v>
      </c>
      <c r="E24" s="29">
        <v>0</v>
      </c>
      <c r="F24" s="29">
        <v>0</v>
      </c>
      <c r="G24" s="30">
        <v>43</v>
      </c>
      <c r="H24" s="1">
        <v>26</v>
      </c>
      <c r="I24" s="29">
        <v>0</v>
      </c>
      <c r="J24" s="29">
        <v>2</v>
      </c>
      <c r="K24" s="30">
        <v>41</v>
      </c>
      <c r="L24" s="1">
        <v>29</v>
      </c>
      <c r="M24" s="29">
        <v>0</v>
      </c>
      <c r="N24" s="29">
        <v>3</v>
      </c>
      <c r="O24" s="30">
        <v>45</v>
      </c>
      <c r="P24" s="1">
        <v>41</v>
      </c>
      <c r="Q24" s="29">
        <v>0</v>
      </c>
      <c r="R24" s="29">
        <v>0</v>
      </c>
      <c r="S24" s="55">
        <f t="shared" si="6"/>
        <v>9.7560975609756095</v>
      </c>
      <c r="T24" s="24">
        <f t="shared" si="7"/>
        <v>41.379310344827587</v>
      </c>
      <c r="U24" s="2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0"/>
      <c r="AI24" s="20"/>
      <c r="AJ24" s="20"/>
      <c r="AK24" s="20"/>
      <c r="AL24" s="20"/>
      <c r="AM24" s="20"/>
      <c r="AN24" s="20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</row>
    <row r="25" spans="1:142" s="31" customFormat="1" ht="15" x14ac:dyDescent="0.25">
      <c r="A25" s="27" t="s">
        <v>18</v>
      </c>
      <c r="B25" s="29"/>
      <c r="C25" s="30">
        <v>60</v>
      </c>
      <c r="D25" s="1">
        <v>41</v>
      </c>
      <c r="E25" s="29">
        <v>0</v>
      </c>
      <c r="F25" s="29">
        <v>2</v>
      </c>
      <c r="G25" s="30">
        <v>58</v>
      </c>
      <c r="H25" s="1">
        <v>36</v>
      </c>
      <c r="I25" s="29">
        <v>0</v>
      </c>
      <c r="J25" s="29">
        <v>3</v>
      </c>
      <c r="K25" s="30">
        <v>58</v>
      </c>
      <c r="L25" s="1">
        <v>40</v>
      </c>
      <c r="M25" s="29">
        <v>0</v>
      </c>
      <c r="N25" s="29">
        <v>0</v>
      </c>
      <c r="O25" s="30">
        <v>35</v>
      </c>
      <c r="P25" s="1">
        <v>32</v>
      </c>
      <c r="Q25" s="29">
        <v>0</v>
      </c>
      <c r="R25" s="29">
        <v>1</v>
      </c>
      <c r="S25" s="55">
        <f t="shared" si="6"/>
        <v>-39.655172413793103</v>
      </c>
      <c r="T25" s="24">
        <f t="shared" si="7"/>
        <v>-20</v>
      </c>
      <c r="U25" s="2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0"/>
      <c r="AI25" s="20"/>
      <c r="AJ25" s="20"/>
      <c r="AK25" s="20"/>
      <c r="AL25" s="20"/>
      <c r="AM25" s="20"/>
      <c r="AN25" s="20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</row>
    <row r="26" spans="1:142" s="31" customFormat="1" ht="15" x14ac:dyDescent="0.25">
      <c r="A26" s="27" t="s">
        <v>19</v>
      </c>
      <c r="B26" s="29"/>
      <c r="C26" s="30">
        <v>122</v>
      </c>
      <c r="D26" s="1">
        <v>76</v>
      </c>
      <c r="E26" s="29">
        <v>0</v>
      </c>
      <c r="F26" s="29">
        <v>2</v>
      </c>
      <c r="G26" s="30">
        <v>126</v>
      </c>
      <c r="H26" s="1">
        <v>79</v>
      </c>
      <c r="I26" s="29">
        <v>0</v>
      </c>
      <c r="J26" s="29">
        <v>0</v>
      </c>
      <c r="K26" s="30">
        <v>78</v>
      </c>
      <c r="L26" s="1">
        <v>87</v>
      </c>
      <c r="M26" s="29">
        <v>0</v>
      </c>
      <c r="N26" s="29">
        <v>5</v>
      </c>
      <c r="O26" s="30">
        <v>89</v>
      </c>
      <c r="P26" s="1">
        <v>76</v>
      </c>
      <c r="Q26" s="29">
        <v>0</v>
      </c>
      <c r="R26" s="29">
        <v>5</v>
      </c>
      <c r="S26" s="55">
        <f t="shared" si="6"/>
        <v>14.102564102564102</v>
      </c>
      <c r="T26" s="24">
        <f t="shared" si="7"/>
        <v>-12.643678160919542</v>
      </c>
      <c r="U26" s="2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0"/>
      <c r="AI26" s="20"/>
      <c r="AJ26" s="20"/>
      <c r="AK26" s="20"/>
      <c r="AL26" s="20"/>
      <c r="AM26" s="20"/>
      <c r="AN26" s="20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</row>
    <row r="27" spans="1:142" s="31" customFormat="1" ht="15" x14ac:dyDescent="0.25">
      <c r="A27" s="27" t="s">
        <v>20</v>
      </c>
      <c r="B27" s="29"/>
      <c r="C27" s="30">
        <v>224</v>
      </c>
      <c r="D27" s="1">
        <v>162</v>
      </c>
      <c r="E27" s="29">
        <v>0</v>
      </c>
      <c r="F27" s="29">
        <v>1</v>
      </c>
      <c r="G27" s="30">
        <v>211</v>
      </c>
      <c r="H27" s="1">
        <v>152</v>
      </c>
      <c r="I27" s="29">
        <v>0</v>
      </c>
      <c r="J27" s="29">
        <v>3</v>
      </c>
      <c r="K27" s="30">
        <v>186</v>
      </c>
      <c r="L27" s="1">
        <v>132</v>
      </c>
      <c r="M27" s="29">
        <v>2</v>
      </c>
      <c r="N27" s="29">
        <v>1</v>
      </c>
      <c r="O27" s="30">
        <v>179</v>
      </c>
      <c r="P27" s="1">
        <v>143</v>
      </c>
      <c r="Q27" s="29">
        <v>0</v>
      </c>
      <c r="R27" s="29">
        <v>2</v>
      </c>
      <c r="S27" s="55">
        <f t="shared" si="6"/>
        <v>-3.763440860215054</v>
      </c>
      <c r="T27" s="24">
        <f t="shared" si="7"/>
        <v>8.3333333333333321</v>
      </c>
      <c r="U27" s="2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0"/>
      <c r="AI27" s="20"/>
      <c r="AJ27" s="20"/>
      <c r="AK27" s="20"/>
      <c r="AL27" s="20"/>
      <c r="AM27" s="20"/>
      <c r="AN27" s="20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</row>
    <row r="28" spans="1:142" s="31" customFormat="1" ht="15" x14ac:dyDescent="0.25">
      <c r="A28" s="27" t="s">
        <v>21</v>
      </c>
      <c r="B28" s="29"/>
      <c r="C28" s="30">
        <v>108</v>
      </c>
      <c r="D28" s="1">
        <v>73</v>
      </c>
      <c r="E28" s="29">
        <v>0</v>
      </c>
      <c r="F28" s="29">
        <v>5</v>
      </c>
      <c r="G28" s="30">
        <v>103</v>
      </c>
      <c r="H28" s="1">
        <v>95</v>
      </c>
      <c r="I28" s="29">
        <v>2</v>
      </c>
      <c r="J28" s="29">
        <v>3</v>
      </c>
      <c r="K28" s="30">
        <v>114</v>
      </c>
      <c r="L28" s="1">
        <v>97</v>
      </c>
      <c r="M28" s="29">
        <v>0</v>
      </c>
      <c r="N28" s="29">
        <v>3</v>
      </c>
      <c r="O28" s="30">
        <v>107</v>
      </c>
      <c r="P28" s="1">
        <v>85</v>
      </c>
      <c r="Q28" s="29">
        <v>2</v>
      </c>
      <c r="R28" s="29">
        <v>0</v>
      </c>
      <c r="S28" s="55">
        <f t="shared" si="6"/>
        <v>-6.140350877192982</v>
      </c>
      <c r="T28" s="24">
        <f t="shared" si="7"/>
        <v>-12.371134020618557</v>
      </c>
      <c r="U28" s="2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0"/>
      <c r="AI28" s="20"/>
      <c r="AJ28" s="20"/>
      <c r="AK28" s="20"/>
      <c r="AL28" s="20"/>
      <c r="AM28" s="20"/>
      <c r="AN28" s="20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</row>
    <row r="29" spans="1:142" s="31" customFormat="1" ht="15" x14ac:dyDescent="0.25">
      <c r="A29" s="27" t="s">
        <v>22</v>
      </c>
      <c r="B29" s="29"/>
      <c r="C29" s="30">
        <v>137</v>
      </c>
      <c r="D29" s="1">
        <v>117</v>
      </c>
      <c r="E29" s="29">
        <v>0</v>
      </c>
      <c r="F29" s="29">
        <v>1</v>
      </c>
      <c r="G29" s="30">
        <v>158</v>
      </c>
      <c r="H29" s="1">
        <v>116</v>
      </c>
      <c r="I29" s="29">
        <v>1</v>
      </c>
      <c r="J29" s="29">
        <v>3</v>
      </c>
      <c r="K29" s="30">
        <v>174</v>
      </c>
      <c r="L29" s="1">
        <v>119</v>
      </c>
      <c r="M29" s="29">
        <v>0</v>
      </c>
      <c r="N29" s="29">
        <v>3</v>
      </c>
      <c r="O29" s="30">
        <v>156</v>
      </c>
      <c r="P29" s="1">
        <v>111</v>
      </c>
      <c r="Q29" s="29">
        <v>0</v>
      </c>
      <c r="R29" s="29">
        <v>0</v>
      </c>
      <c r="S29" s="55">
        <f t="shared" si="6"/>
        <v>-10.344827586206897</v>
      </c>
      <c r="T29" s="24">
        <f t="shared" si="7"/>
        <v>-6.7226890756302522</v>
      </c>
      <c r="U29" s="2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0"/>
      <c r="AI29" s="20"/>
      <c r="AJ29" s="20"/>
      <c r="AK29" s="20"/>
      <c r="AL29" s="20"/>
      <c r="AM29" s="20"/>
      <c r="AN29" s="20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</row>
    <row r="30" spans="1:142" s="31" customFormat="1" ht="15" x14ac:dyDescent="0.25">
      <c r="A30" s="27" t="s">
        <v>23</v>
      </c>
      <c r="B30" s="29"/>
      <c r="C30" s="30">
        <v>143</v>
      </c>
      <c r="D30" s="1">
        <v>101</v>
      </c>
      <c r="E30" s="29">
        <v>0</v>
      </c>
      <c r="F30" s="29">
        <v>0</v>
      </c>
      <c r="G30" s="30">
        <v>145</v>
      </c>
      <c r="H30" s="1">
        <v>46</v>
      </c>
      <c r="I30" s="29">
        <v>1</v>
      </c>
      <c r="J30" s="29">
        <v>2</v>
      </c>
      <c r="K30" s="30">
        <v>117</v>
      </c>
      <c r="L30" s="1">
        <f>104-2-1</f>
        <v>101</v>
      </c>
      <c r="M30" s="29">
        <v>1</v>
      </c>
      <c r="N30" s="29">
        <v>2</v>
      </c>
      <c r="O30" s="30">
        <v>123</v>
      </c>
      <c r="P30" s="1">
        <v>87</v>
      </c>
      <c r="Q30" s="29">
        <v>0</v>
      </c>
      <c r="R30" s="29">
        <v>0</v>
      </c>
      <c r="S30" s="55">
        <f t="shared" si="6"/>
        <v>5.1282051282051277</v>
      </c>
      <c r="T30" s="24">
        <f t="shared" si="7"/>
        <v>-13.861386138613863</v>
      </c>
      <c r="U30" s="26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0"/>
      <c r="AI30" s="20"/>
      <c r="AJ30" s="20"/>
      <c r="AK30" s="20"/>
      <c r="AL30" s="20"/>
      <c r="AM30" s="20"/>
      <c r="AN30" s="20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</row>
    <row r="31" spans="1:142" s="36" customFormat="1" ht="15" x14ac:dyDescent="0.2">
      <c r="A31" s="32" t="s">
        <v>8</v>
      </c>
      <c r="B31" s="33"/>
      <c r="C31" s="34">
        <v>286</v>
      </c>
      <c r="D31" s="47">
        <v>180</v>
      </c>
      <c r="E31" s="33">
        <v>0</v>
      </c>
      <c r="F31" s="33">
        <v>5</v>
      </c>
      <c r="G31" s="34">
        <v>296</v>
      </c>
      <c r="H31" s="47">
        <v>169</v>
      </c>
      <c r="I31" s="33">
        <v>0</v>
      </c>
      <c r="J31" s="33">
        <v>6</v>
      </c>
      <c r="K31" s="34">
        <v>298</v>
      </c>
      <c r="L31" s="47">
        <f>223-4</f>
        <v>219</v>
      </c>
      <c r="M31" s="33">
        <v>0</v>
      </c>
      <c r="N31" s="33">
        <v>4</v>
      </c>
      <c r="O31" s="34">
        <v>257</v>
      </c>
      <c r="P31" s="47">
        <v>194</v>
      </c>
      <c r="Q31" s="33">
        <v>0</v>
      </c>
      <c r="R31" s="33">
        <v>8</v>
      </c>
      <c r="S31" s="56">
        <f t="shared" si="6"/>
        <v>-13.758389261744966</v>
      </c>
      <c r="T31" s="53">
        <f t="shared" si="7"/>
        <v>-11.415525114155251</v>
      </c>
      <c r="U31" s="20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0"/>
      <c r="AI31" s="20"/>
      <c r="AJ31" s="20"/>
      <c r="AK31" s="20"/>
      <c r="AL31" s="20"/>
      <c r="AM31" s="20"/>
      <c r="AN31" s="20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</row>
    <row r="32" spans="1:142" s="1" customFormat="1" ht="17.25" x14ac:dyDescent="0.45">
      <c r="A32" s="37" t="s">
        <v>34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 t="s">
        <v>35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0"/>
      <c r="AI32" s="40"/>
      <c r="AJ32" s="40"/>
      <c r="AK32" s="40"/>
      <c r="AL32" s="40"/>
      <c r="AM32" s="40"/>
      <c r="AN32" s="41"/>
      <c r="AO32" s="41"/>
    </row>
    <row r="33" spans="1:49" s="41" customFormat="1" x14ac:dyDescent="0.2">
      <c r="A33" s="52" t="s">
        <v>38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0"/>
      <c r="AI33" s="40"/>
      <c r="AJ33" s="40"/>
      <c r="AK33" s="40"/>
      <c r="AL33" s="40"/>
      <c r="AM33" s="40"/>
    </row>
    <row r="34" spans="1:49" s="41" customFormat="1" x14ac:dyDescent="0.2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49" s="41" customFormat="1" x14ac:dyDescent="0.2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O35" s="60"/>
    </row>
    <row r="36" spans="1:49" s="41" customFormat="1" x14ac:dyDescent="0.2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O36" s="13"/>
    </row>
    <row r="37" spans="1:49" s="41" customFormat="1" x14ac:dyDescent="0.2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AN37" s="2"/>
      <c r="AO37" s="43"/>
    </row>
    <row r="38" spans="1:49" s="41" customFormat="1" x14ac:dyDescent="0.2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AN38" s="44"/>
      <c r="AO38" s="43"/>
    </row>
    <row r="39" spans="1:49" s="41" customFormat="1" x14ac:dyDescent="0.2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 spans="1:49" s="41" customFormat="1" x14ac:dyDescent="0.2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AP40" s="61">
        <v>2021</v>
      </c>
      <c r="AQ40" s="61"/>
      <c r="AR40" s="61">
        <v>2022</v>
      </c>
      <c r="AS40" s="61"/>
      <c r="AT40" s="61">
        <v>2023</v>
      </c>
      <c r="AU40" s="61"/>
      <c r="AV40" s="61">
        <v>2024</v>
      </c>
      <c r="AW40" s="61"/>
    </row>
    <row r="41" spans="1:49" s="41" customFormat="1" x14ac:dyDescent="0.2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AP41" s="12" t="s">
        <v>36</v>
      </c>
      <c r="AQ41" s="12" t="s">
        <v>37</v>
      </c>
      <c r="AR41" s="12" t="s">
        <v>36</v>
      </c>
      <c r="AS41" s="12" t="s">
        <v>37</v>
      </c>
      <c r="AT41" s="12" t="s">
        <v>36</v>
      </c>
      <c r="AU41" s="12" t="s">
        <v>37</v>
      </c>
      <c r="AV41" s="12" t="s">
        <v>36</v>
      </c>
      <c r="AW41" s="12" t="s">
        <v>37</v>
      </c>
    </row>
    <row r="42" spans="1:49" s="41" customFormat="1" x14ac:dyDescent="0.2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AO42" s="2" t="s">
        <v>3</v>
      </c>
      <c r="AP42" s="41">
        <v>2396</v>
      </c>
      <c r="AQ42" s="41">
        <v>1191</v>
      </c>
      <c r="AR42" s="41">
        <f t="shared" ref="AR42:AS44" si="8">G9</f>
        <v>2514</v>
      </c>
      <c r="AS42" s="41">
        <f t="shared" si="8"/>
        <v>1297</v>
      </c>
      <c r="AT42" s="41">
        <f t="shared" ref="AT42:AU44" si="9">K9</f>
        <v>2425</v>
      </c>
      <c r="AU42" s="41">
        <f t="shared" si="9"/>
        <v>1245</v>
      </c>
      <c r="AV42" s="41">
        <f t="shared" ref="AV42:AW44" si="10">O9</f>
        <v>2485</v>
      </c>
      <c r="AW42" s="41">
        <f t="shared" si="10"/>
        <v>1298</v>
      </c>
    </row>
    <row r="43" spans="1:49" s="41" customFormat="1" ht="15" x14ac:dyDescent="0.2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AO43" s="25" t="s">
        <v>2</v>
      </c>
      <c r="AP43" s="41">
        <v>330</v>
      </c>
      <c r="AQ43" s="41">
        <v>247</v>
      </c>
      <c r="AR43" s="41">
        <f t="shared" si="8"/>
        <v>441</v>
      </c>
      <c r="AS43" s="41">
        <f t="shared" si="8"/>
        <v>309</v>
      </c>
      <c r="AT43" s="41">
        <f t="shared" si="9"/>
        <v>508</v>
      </c>
      <c r="AU43" s="41">
        <f t="shared" si="9"/>
        <v>351</v>
      </c>
      <c r="AV43" s="41">
        <f t="shared" si="10"/>
        <v>421</v>
      </c>
      <c r="AW43" s="41">
        <f t="shared" si="10"/>
        <v>422</v>
      </c>
    </row>
    <row r="44" spans="1:49" s="41" customFormat="1" x14ac:dyDescent="0.2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AO44" s="44" t="s">
        <v>4</v>
      </c>
      <c r="AP44" s="41">
        <v>2688</v>
      </c>
      <c r="AQ44" s="41">
        <v>1804</v>
      </c>
      <c r="AR44" s="41">
        <f t="shared" si="8"/>
        <v>2798</v>
      </c>
      <c r="AS44" s="41">
        <f t="shared" si="8"/>
        <v>1705</v>
      </c>
      <c r="AT44" s="41">
        <f t="shared" si="9"/>
        <v>2440</v>
      </c>
      <c r="AU44" s="41">
        <f t="shared" si="9"/>
        <v>1805</v>
      </c>
      <c r="AV44" s="41">
        <f t="shared" si="10"/>
        <v>2264</v>
      </c>
      <c r="AW44" s="41">
        <f t="shared" si="10"/>
        <v>1648</v>
      </c>
    </row>
    <row r="45" spans="1:49" s="41" customFormat="1" x14ac:dyDescent="0.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</row>
    <row r="46" spans="1:49" s="41" customFormat="1" x14ac:dyDescent="0.2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</row>
    <row r="47" spans="1:49" s="41" customFormat="1" x14ac:dyDescent="0.2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</row>
    <row r="48" spans="1:49" s="41" customFormat="1" x14ac:dyDescent="0.2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</row>
    <row r="49" spans="2:19" s="41" customFormat="1" x14ac:dyDescent="0.2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</row>
    <row r="50" spans="2:19" s="41" customFormat="1" x14ac:dyDescent="0.2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</row>
    <row r="51" spans="2:19" s="41" customFormat="1" x14ac:dyDescent="0.2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</row>
    <row r="52" spans="2:19" s="41" customFormat="1" x14ac:dyDescent="0.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</row>
    <row r="53" spans="2:19" s="41" customFormat="1" x14ac:dyDescent="0.2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</row>
    <row r="54" spans="2:19" s="41" customFormat="1" x14ac:dyDescent="0.2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</row>
    <row r="55" spans="2:19" s="41" customFormat="1" x14ac:dyDescent="0.2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</row>
    <row r="56" spans="2:19" s="41" customFormat="1" x14ac:dyDescent="0.2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</row>
    <row r="57" spans="2:19" s="41" customFormat="1" x14ac:dyDescent="0.2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 spans="2:19" s="41" customFormat="1" x14ac:dyDescent="0.2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</row>
    <row r="59" spans="2:19" s="41" customFormat="1" x14ac:dyDescent="0.2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</row>
    <row r="60" spans="2:19" s="41" customFormat="1" x14ac:dyDescent="0.2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</row>
    <row r="61" spans="2:19" s="41" customFormat="1" x14ac:dyDescent="0.2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</row>
    <row r="62" spans="2:19" s="41" customFormat="1" x14ac:dyDescent="0.2"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</row>
    <row r="63" spans="2:19" s="41" customFormat="1" x14ac:dyDescent="0.2"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</row>
    <row r="64" spans="2:19" s="41" customFormat="1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</row>
    <row r="65" spans="2:19" s="41" customFormat="1" x14ac:dyDescent="0.2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</row>
    <row r="66" spans="2:19" s="41" customFormat="1" x14ac:dyDescent="0.2"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</row>
    <row r="67" spans="2:19" s="41" customFormat="1" x14ac:dyDescent="0.2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 spans="2:19" s="41" customFormat="1" x14ac:dyDescent="0.2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</row>
    <row r="69" spans="2:19" s="41" customFormat="1" x14ac:dyDescent="0.2"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</row>
    <row r="70" spans="2:19" s="41" customFormat="1" x14ac:dyDescent="0.2"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</row>
    <row r="71" spans="2:19" s="41" customFormat="1" x14ac:dyDescent="0.2"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</row>
    <row r="72" spans="2:19" s="41" customFormat="1" x14ac:dyDescent="0.2"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</row>
    <row r="73" spans="2:19" s="41" customFormat="1" x14ac:dyDescent="0.2"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</row>
    <row r="74" spans="2:19" s="41" customFormat="1" x14ac:dyDescent="0.2"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</row>
    <row r="75" spans="2:19" s="41" customFormat="1" x14ac:dyDescent="0.2"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</row>
    <row r="76" spans="2:19" s="41" customFormat="1" x14ac:dyDescent="0.2"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</row>
    <row r="77" spans="2:19" s="41" customFormat="1" x14ac:dyDescent="0.2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</row>
    <row r="78" spans="2:19" s="41" customFormat="1" x14ac:dyDescent="0.2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</row>
    <row r="79" spans="2:19" s="41" customFormat="1" x14ac:dyDescent="0.2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</row>
    <row r="80" spans="2:19" s="41" customFormat="1" x14ac:dyDescent="0.2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</row>
    <row r="81" spans="2:19" s="41" customFormat="1" x14ac:dyDescent="0.2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</row>
    <row r="82" spans="2:19" s="41" customFormat="1" x14ac:dyDescent="0.2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</row>
    <row r="83" spans="2:19" s="41" customFormat="1" x14ac:dyDescent="0.2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</row>
    <row r="84" spans="2:19" s="41" customFormat="1" x14ac:dyDescent="0.2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</row>
    <row r="85" spans="2:19" s="41" customFormat="1" x14ac:dyDescent="0.2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</row>
    <row r="86" spans="2:19" s="41" customFormat="1" x14ac:dyDescent="0.2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</row>
    <row r="87" spans="2:19" s="41" customFormat="1" x14ac:dyDescent="0.2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</row>
    <row r="88" spans="2:19" s="41" customFormat="1" x14ac:dyDescent="0.2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</row>
    <row r="89" spans="2:19" s="41" customFormat="1" x14ac:dyDescent="0.2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</row>
    <row r="90" spans="2:19" s="41" customFormat="1" x14ac:dyDescent="0.2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</row>
    <row r="91" spans="2:19" s="41" customFormat="1" x14ac:dyDescent="0.2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</row>
    <row r="92" spans="2:19" s="41" customFormat="1" x14ac:dyDescent="0.2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</row>
    <row r="93" spans="2:19" s="41" customFormat="1" x14ac:dyDescent="0.2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</row>
    <row r="94" spans="2:19" s="41" customFormat="1" x14ac:dyDescent="0.2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</row>
    <row r="95" spans="2:19" s="41" customFormat="1" x14ac:dyDescent="0.2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</row>
    <row r="96" spans="2:19" s="41" customFormat="1" x14ac:dyDescent="0.2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</row>
    <row r="97" spans="2:19" s="41" customFormat="1" x14ac:dyDescent="0.2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</row>
    <row r="98" spans="2:19" s="41" customFormat="1" x14ac:dyDescent="0.2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</row>
    <row r="99" spans="2:19" s="41" customFormat="1" x14ac:dyDescent="0.2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</row>
    <row r="100" spans="2:19" s="41" customFormat="1" x14ac:dyDescent="0.2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</row>
    <row r="101" spans="2:19" s="41" customFormat="1" x14ac:dyDescent="0.2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</row>
    <row r="102" spans="2:19" s="41" customFormat="1" x14ac:dyDescent="0.2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</row>
    <row r="103" spans="2:19" s="41" customFormat="1" x14ac:dyDescent="0.2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</row>
    <row r="104" spans="2:19" s="41" customFormat="1" x14ac:dyDescent="0.2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</row>
    <row r="105" spans="2:19" s="41" customFormat="1" x14ac:dyDescent="0.2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</row>
    <row r="106" spans="2:19" s="41" customFormat="1" x14ac:dyDescent="0.2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</row>
    <row r="107" spans="2:19" s="41" customFormat="1" x14ac:dyDescent="0.2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</row>
    <row r="108" spans="2:19" s="41" customFormat="1" x14ac:dyDescent="0.2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</row>
    <row r="109" spans="2:19" s="41" customFormat="1" x14ac:dyDescent="0.2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</row>
    <row r="110" spans="2:19" s="41" customFormat="1" x14ac:dyDescent="0.2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</row>
    <row r="111" spans="2:19" s="41" customFormat="1" x14ac:dyDescent="0.2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</row>
    <row r="112" spans="2:19" s="41" customFormat="1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</row>
    <row r="113" spans="2:19" s="41" customFormat="1" x14ac:dyDescent="0.2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</row>
    <row r="114" spans="2:19" s="41" customFormat="1" x14ac:dyDescent="0.2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</row>
    <row r="115" spans="2:19" s="41" customFormat="1" x14ac:dyDescent="0.2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</row>
    <row r="116" spans="2:19" s="41" customFormat="1" x14ac:dyDescent="0.2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</row>
    <row r="117" spans="2:19" s="41" customFormat="1" x14ac:dyDescent="0.2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</row>
    <row r="118" spans="2:19" s="41" customFormat="1" x14ac:dyDescent="0.2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</row>
    <row r="119" spans="2:19" s="41" customFormat="1" x14ac:dyDescent="0.2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</row>
    <row r="120" spans="2:19" s="41" customFormat="1" x14ac:dyDescent="0.2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</row>
    <row r="121" spans="2:19" s="41" customFormat="1" x14ac:dyDescent="0.2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</row>
    <row r="122" spans="2:19" s="41" customFormat="1" x14ac:dyDescent="0.2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</row>
    <row r="123" spans="2:19" s="41" customFormat="1" x14ac:dyDescent="0.2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</row>
    <row r="124" spans="2:19" s="41" customFormat="1" x14ac:dyDescent="0.2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</row>
    <row r="125" spans="2:19" s="41" customFormat="1" x14ac:dyDescent="0.2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</row>
    <row r="126" spans="2:19" s="41" customFormat="1" x14ac:dyDescent="0.2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</row>
    <row r="127" spans="2:19" s="41" customFormat="1" x14ac:dyDescent="0.2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</row>
    <row r="128" spans="2:19" s="41" customFormat="1" x14ac:dyDescent="0.2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</row>
    <row r="129" spans="2:19" s="41" customFormat="1" x14ac:dyDescent="0.2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</row>
    <row r="130" spans="2:19" s="41" customFormat="1" x14ac:dyDescent="0.2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</row>
    <row r="131" spans="2:19" s="41" customFormat="1" x14ac:dyDescent="0.2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</row>
    <row r="132" spans="2:19" s="41" customFormat="1" x14ac:dyDescent="0.2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</row>
    <row r="133" spans="2:19" s="41" customFormat="1" x14ac:dyDescent="0.2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</row>
    <row r="134" spans="2:19" s="41" customFormat="1" x14ac:dyDescent="0.2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</row>
    <row r="135" spans="2:19" s="41" customFormat="1" x14ac:dyDescent="0.2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</row>
    <row r="136" spans="2:19" s="41" customFormat="1" x14ac:dyDescent="0.2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</row>
    <row r="137" spans="2:19" s="41" customFormat="1" x14ac:dyDescent="0.2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</row>
    <row r="138" spans="2:19" s="41" customFormat="1" x14ac:dyDescent="0.2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</row>
    <row r="139" spans="2:19" s="41" customFormat="1" x14ac:dyDescent="0.2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</row>
    <row r="140" spans="2:19" s="41" customFormat="1" x14ac:dyDescent="0.2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</row>
    <row r="141" spans="2:19" s="41" customFormat="1" x14ac:dyDescent="0.2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</row>
    <row r="142" spans="2:19" s="41" customFormat="1" x14ac:dyDescent="0.2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</row>
    <row r="143" spans="2:19" s="41" customFormat="1" x14ac:dyDescent="0.2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</row>
    <row r="144" spans="2:19" s="41" customFormat="1" x14ac:dyDescent="0.2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</row>
    <row r="145" spans="2:19" s="41" customFormat="1" x14ac:dyDescent="0.2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</row>
    <row r="146" spans="2:19" s="41" customFormat="1" x14ac:dyDescent="0.2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</row>
    <row r="147" spans="2:19" s="41" customFormat="1" x14ac:dyDescent="0.2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</row>
    <row r="148" spans="2:19" s="41" customFormat="1" x14ac:dyDescent="0.2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</row>
    <row r="149" spans="2:19" s="41" customFormat="1" x14ac:dyDescent="0.2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</row>
    <row r="150" spans="2:19" s="41" customFormat="1" x14ac:dyDescent="0.2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</row>
    <row r="151" spans="2:19" s="41" customFormat="1" x14ac:dyDescent="0.2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</row>
    <row r="152" spans="2:19" s="41" customFormat="1" x14ac:dyDescent="0.2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</row>
    <row r="153" spans="2:19" s="41" customFormat="1" x14ac:dyDescent="0.2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</row>
    <row r="154" spans="2:19" s="41" customFormat="1" x14ac:dyDescent="0.2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</row>
    <row r="155" spans="2:19" s="41" customFormat="1" x14ac:dyDescent="0.2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</row>
    <row r="156" spans="2:19" s="41" customFormat="1" x14ac:dyDescent="0.2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</row>
    <row r="157" spans="2:19" s="41" customFormat="1" x14ac:dyDescent="0.2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</row>
    <row r="158" spans="2:19" s="41" customFormat="1" x14ac:dyDescent="0.2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</row>
    <row r="159" spans="2:19" s="41" customFormat="1" x14ac:dyDescent="0.2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</row>
    <row r="160" spans="2:19" s="41" customFormat="1" x14ac:dyDescent="0.2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</row>
    <row r="161" spans="2:19" s="41" customFormat="1" x14ac:dyDescent="0.2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</row>
    <row r="162" spans="2:19" s="41" customFormat="1" x14ac:dyDescent="0.2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</row>
    <row r="163" spans="2:19" s="41" customFormat="1" x14ac:dyDescent="0.2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</row>
    <row r="164" spans="2:19" s="41" customFormat="1" x14ac:dyDescent="0.2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</row>
    <row r="165" spans="2:19" s="41" customFormat="1" x14ac:dyDescent="0.2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</row>
    <row r="166" spans="2:19" s="41" customFormat="1" x14ac:dyDescent="0.2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</row>
    <row r="167" spans="2:19" s="41" customFormat="1" x14ac:dyDescent="0.2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</row>
    <row r="168" spans="2:19" s="41" customFormat="1" x14ac:dyDescent="0.2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</row>
    <row r="169" spans="2:19" s="41" customFormat="1" x14ac:dyDescent="0.2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</row>
    <row r="170" spans="2:19" s="41" customFormat="1" x14ac:dyDescent="0.2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</row>
    <row r="171" spans="2:19" s="41" customFormat="1" x14ac:dyDescent="0.2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</row>
    <row r="172" spans="2:19" s="41" customFormat="1" x14ac:dyDescent="0.2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</row>
    <row r="173" spans="2:19" s="41" customFormat="1" x14ac:dyDescent="0.2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</row>
    <row r="174" spans="2:19" s="41" customFormat="1" x14ac:dyDescent="0.2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</row>
    <row r="175" spans="2:19" s="41" customFormat="1" x14ac:dyDescent="0.2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</row>
    <row r="176" spans="2:19" s="41" customFormat="1" x14ac:dyDescent="0.2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</row>
    <row r="177" spans="2:19" s="41" customFormat="1" x14ac:dyDescent="0.2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</row>
    <row r="178" spans="2:19" s="41" customFormat="1" x14ac:dyDescent="0.2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</row>
    <row r="179" spans="2:19" s="41" customFormat="1" x14ac:dyDescent="0.2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</row>
    <row r="180" spans="2:19" s="41" customFormat="1" x14ac:dyDescent="0.2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</row>
    <row r="181" spans="2:19" s="41" customFormat="1" x14ac:dyDescent="0.2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</row>
    <row r="182" spans="2:19" s="41" customFormat="1" x14ac:dyDescent="0.2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</row>
    <row r="183" spans="2:19" s="41" customFormat="1" x14ac:dyDescent="0.2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</row>
    <row r="184" spans="2:19" s="41" customFormat="1" x14ac:dyDescent="0.2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</row>
    <row r="185" spans="2:19" s="41" customFormat="1" x14ac:dyDescent="0.2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</row>
    <row r="186" spans="2:19" s="41" customFormat="1" x14ac:dyDescent="0.2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</row>
    <row r="187" spans="2:19" s="41" customFormat="1" x14ac:dyDescent="0.2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</row>
    <row r="188" spans="2:19" s="41" customFormat="1" x14ac:dyDescent="0.2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</row>
    <row r="189" spans="2:19" s="41" customFormat="1" x14ac:dyDescent="0.2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</row>
    <row r="190" spans="2:19" s="41" customFormat="1" x14ac:dyDescent="0.2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</row>
    <row r="191" spans="2:19" s="41" customFormat="1" x14ac:dyDescent="0.2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</row>
    <row r="192" spans="2:19" s="41" customFormat="1" x14ac:dyDescent="0.2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</row>
    <row r="193" spans="2:19" s="41" customFormat="1" x14ac:dyDescent="0.2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</row>
    <row r="194" spans="2:19" s="41" customFormat="1" x14ac:dyDescent="0.2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</row>
    <row r="195" spans="2:19" s="41" customFormat="1" x14ac:dyDescent="0.2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</row>
    <row r="196" spans="2:19" s="41" customFormat="1" x14ac:dyDescent="0.2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</row>
    <row r="197" spans="2:19" s="41" customFormat="1" x14ac:dyDescent="0.2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</row>
    <row r="198" spans="2:19" s="41" customFormat="1" x14ac:dyDescent="0.2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</row>
    <row r="199" spans="2:19" s="41" customFormat="1" x14ac:dyDescent="0.2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</row>
    <row r="200" spans="2:19" s="41" customFormat="1" x14ac:dyDescent="0.2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</row>
    <row r="201" spans="2:19" s="41" customFormat="1" x14ac:dyDescent="0.2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</row>
    <row r="202" spans="2:19" s="41" customFormat="1" x14ac:dyDescent="0.2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</row>
    <row r="203" spans="2:19" s="41" customFormat="1" x14ac:dyDescent="0.2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</row>
    <row r="204" spans="2:19" s="41" customFormat="1" x14ac:dyDescent="0.2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</row>
    <row r="205" spans="2:19" s="41" customFormat="1" x14ac:dyDescent="0.2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</row>
    <row r="206" spans="2:19" s="41" customFormat="1" x14ac:dyDescent="0.2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</row>
    <row r="207" spans="2:19" s="41" customFormat="1" x14ac:dyDescent="0.2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</row>
    <row r="208" spans="2:19" s="41" customFormat="1" x14ac:dyDescent="0.2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</row>
    <row r="209" spans="2:19" s="41" customFormat="1" x14ac:dyDescent="0.2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</row>
    <row r="210" spans="2:19" s="41" customFormat="1" x14ac:dyDescent="0.2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</row>
    <row r="211" spans="2:19" s="41" customFormat="1" x14ac:dyDescent="0.2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</row>
    <row r="212" spans="2:19" s="41" customFormat="1" x14ac:dyDescent="0.2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</row>
    <row r="213" spans="2:19" s="41" customFormat="1" x14ac:dyDescent="0.2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</row>
    <row r="214" spans="2:19" s="41" customFormat="1" x14ac:dyDescent="0.2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</row>
    <row r="215" spans="2:19" s="41" customFormat="1" x14ac:dyDescent="0.2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</row>
    <row r="216" spans="2:19" s="41" customFormat="1" x14ac:dyDescent="0.2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</row>
    <row r="217" spans="2:19" s="41" customFormat="1" x14ac:dyDescent="0.2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</row>
    <row r="218" spans="2:19" s="41" customFormat="1" x14ac:dyDescent="0.2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</row>
    <row r="219" spans="2:19" s="41" customFormat="1" x14ac:dyDescent="0.2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</row>
    <row r="220" spans="2:19" s="41" customFormat="1" x14ac:dyDescent="0.2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</row>
    <row r="221" spans="2:19" s="41" customFormat="1" x14ac:dyDescent="0.2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</row>
    <row r="222" spans="2:19" s="41" customFormat="1" x14ac:dyDescent="0.2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</row>
    <row r="223" spans="2:19" s="41" customFormat="1" x14ac:dyDescent="0.2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</row>
    <row r="224" spans="2:19" s="41" customFormat="1" x14ac:dyDescent="0.2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</row>
    <row r="225" spans="2:19" s="41" customFormat="1" x14ac:dyDescent="0.2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</row>
    <row r="226" spans="2:19" s="41" customFormat="1" x14ac:dyDescent="0.2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</row>
    <row r="227" spans="2:19" s="41" customFormat="1" x14ac:dyDescent="0.2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</row>
    <row r="228" spans="2:19" s="41" customFormat="1" x14ac:dyDescent="0.2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</row>
    <row r="229" spans="2:19" s="41" customFormat="1" x14ac:dyDescent="0.2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</row>
    <row r="230" spans="2:19" s="41" customFormat="1" x14ac:dyDescent="0.2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</row>
    <row r="231" spans="2:19" s="41" customFormat="1" x14ac:dyDescent="0.2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</row>
    <row r="232" spans="2:19" s="41" customFormat="1" x14ac:dyDescent="0.2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</row>
    <row r="233" spans="2:19" s="41" customFormat="1" x14ac:dyDescent="0.2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</row>
    <row r="234" spans="2:19" s="41" customFormat="1" x14ac:dyDescent="0.2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</row>
    <row r="235" spans="2:19" s="41" customFormat="1" x14ac:dyDescent="0.2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</row>
    <row r="236" spans="2:19" s="41" customFormat="1" x14ac:dyDescent="0.2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</row>
    <row r="237" spans="2:19" s="41" customFormat="1" x14ac:dyDescent="0.2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</row>
    <row r="238" spans="2:19" s="41" customFormat="1" x14ac:dyDescent="0.2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</row>
    <row r="239" spans="2:19" s="41" customFormat="1" x14ac:dyDescent="0.2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</row>
    <row r="240" spans="2:19" s="41" customFormat="1" x14ac:dyDescent="0.2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</row>
    <row r="241" spans="2:19" s="41" customFormat="1" x14ac:dyDescent="0.2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</row>
    <row r="242" spans="2:19" s="41" customFormat="1" x14ac:dyDescent="0.2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</row>
    <row r="243" spans="2:19" s="41" customFormat="1" x14ac:dyDescent="0.2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</row>
    <row r="244" spans="2:19" s="41" customFormat="1" x14ac:dyDescent="0.2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</row>
    <row r="245" spans="2:19" s="41" customFormat="1" x14ac:dyDescent="0.2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</row>
    <row r="246" spans="2:19" s="41" customFormat="1" x14ac:dyDescent="0.2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</row>
    <row r="247" spans="2:19" s="41" customFormat="1" x14ac:dyDescent="0.2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</row>
    <row r="248" spans="2:19" s="41" customFormat="1" x14ac:dyDescent="0.2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</row>
    <row r="249" spans="2:19" s="41" customFormat="1" x14ac:dyDescent="0.2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</row>
    <row r="250" spans="2:19" s="41" customFormat="1" x14ac:dyDescent="0.2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</row>
    <row r="251" spans="2:19" s="41" customFormat="1" x14ac:dyDescent="0.2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</row>
    <row r="252" spans="2:19" s="41" customFormat="1" x14ac:dyDescent="0.2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</row>
    <row r="253" spans="2:19" s="41" customFormat="1" x14ac:dyDescent="0.2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</row>
    <row r="254" spans="2:19" s="41" customFormat="1" x14ac:dyDescent="0.2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</row>
    <row r="255" spans="2:19" s="41" customFormat="1" x14ac:dyDescent="0.2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</row>
    <row r="256" spans="2:19" s="41" customFormat="1" x14ac:dyDescent="0.2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</row>
    <row r="257" spans="2:19" s="41" customFormat="1" x14ac:dyDescent="0.2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</row>
    <row r="258" spans="2:19" s="41" customFormat="1" x14ac:dyDescent="0.2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</row>
    <row r="259" spans="2:19" s="41" customFormat="1" x14ac:dyDescent="0.2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</row>
    <row r="260" spans="2:19" s="41" customFormat="1" x14ac:dyDescent="0.2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</row>
    <row r="261" spans="2:19" s="41" customFormat="1" x14ac:dyDescent="0.2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</row>
    <row r="262" spans="2:19" s="41" customFormat="1" x14ac:dyDescent="0.2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</row>
    <row r="263" spans="2:19" s="41" customFormat="1" x14ac:dyDescent="0.2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</row>
    <row r="264" spans="2:19" s="41" customFormat="1" x14ac:dyDescent="0.2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</row>
    <row r="265" spans="2:19" s="41" customFormat="1" x14ac:dyDescent="0.2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</row>
    <row r="266" spans="2:19" s="41" customFormat="1" x14ac:dyDescent="0.2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</row>
    <row r="267" spans="2:19" s="41" customFormat="1" x14ac:dyDescent="0.2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</row>
    <row r="268" spans="2:19" s="41" customFormat="1" x14ac:dyDescent="0.2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</row>
    <row r="269" spans="2:19" s="41" customFormat="1" x14ac:dyDescent="0.2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</row>
    <row r="270" spans="2:19" s="41" customFormat="1" x14ac:dyDescent="0.2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</row>
    <row r="271" spans="2:19" s="41" customFormat="1" x14ac:dyDescent="0.2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</row>
    <row r="272" spans="2:19" s="41" customFormat="1" x14ac:dyDescent="0.2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</row>
    <row r="273" spans="2:19" s="41" customFormat="1" x14ac:dyDescent="0.2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</row>
    <row r="274" spans="2:19" s="41" customFormat="1" x14ac:dyDescent="0.2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</row>
    <row r="275" spans="2:19" s="41" customFormat="1" x14ac:dyDescent="0.2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</row>
    <row r="276" spans="2:19" s="41" customFormat="1" x14ac:dyDescent="0.2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</row>
    <row r="277" spans="2:19" s="41" customFormat="1" x14ac:dyDescent="0.2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</row>
    <row r="278" spans="2:19" s="41" customFormat="1" x14ac:dyDescent="0.2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</row>
    <row r="279" spans="2:19" s="41" customFormat="1" x14ac:dyDescent="0.2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</row>
    <row r="280" spans="2:19" s="41" customFormat="1" x14ac:dyDescent="0.2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</row>
    <row r="281" spans="2:19" s="41" customFormat="1" x14ac:dyDescent="0.2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</row>
    <row r="282" spans="2:19" s="41" customFormat="1" x14ac:dyDescent="0.2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</row>
    <row r="283" spans="2:19" s="41" customFormat="1" x14ac:dyDescent="0.2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</row>
    <row r="284" spans="2:19" s="41" customFormat="1" x14ac:dyDescent="0.2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</row>
    <row r="285" spans="2:19" s="41" customFormat="1" x14ac:dyDescent="0.2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</row>
    <row r="286" spans="2:19" s="41" customFormat="1" x14ac:dyDescent="0.2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</row>
    <row r="287" spans="2:19" s="41" customFormat="1" x14ac:dyDescent="0.2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</row>
    <row r="288" spans="2:19" s="41" customFormat="1" x14ac:dyDescent="0.2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</row>
    <row r="289" spans="2:19" s="41" customFormat="1" x14ac:dyDescent="0.2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</row>
    <row r="290" spans="2:19" s="41" customFormat="1" x14ac:dyDescent="0.2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</row>
    <row r="291" spans="2:19" s="41" customFormat="1" x14ac:dyDescent="0.2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</row>
    <row r="292" spans="2:19" s="41" customFormat="1" x14ac:dyDescent="0.2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</row>
    <row r="293" spans="2:19" s="41" customFormat="1" x14ac:dyDescent="0.2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</row>
    <row r="294" spans="2:19" s="41" customFormat="1" x14ac:dyDescent="0.2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</row>
    <row r="295" spans="2:19" s="41" customFormat="1" x14ac:dyDescent="0.2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</row>
    <row r="296" spans="2:19" s="41" customFormat="1" x14ac:dyDescent="0.2"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</row>
    <row r="297" spans="2:19" s="41" customFormat="1" x14ac:dyDescent="0.2"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</row>
    <row r="298" spans="2:19" s="41" customFormat="1" x14ac:dyDescent="0.2"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</row>
    <row r="299" spans="2:19" s="41" customFormat="1" x14ac:dyDescent="0.2"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</row>
    <row r="300" spans="2:19" s="41" customFormat="1" x14ac:dyDescent="0.2"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</row>
    <row r="301" spans="2:19" s="41" customFormat="1" x14ac:dyDescent="0.2"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</row>
    <row r="302" spans="2:19" s="41" customFormat="1" x14ac:dyDescent="0.2"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</row>
    <row r="303" spans="2:19" s="41" customFormat="1" x14ac:dyDescent="0.2"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</row>
    <row r="304" spans="2:19" s="41" customFormat="1" x14ac:dyDescent="0.2"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</row>
    <row r="305" spans="2:19" s="41" customFormat="1" x14ac:dyDescent="0.2"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</row>
    <row r="306" spans="2:19" s="41" customFormat="1" x14ac:dyDescent="0.2"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</row>
    <row r="307" spans="2:19" s="41" customFormat="1" x14ac:dyDescent="0.2"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</row>
    <row r="308" spans="2:19" s="41" customFormat="1" x14ac:dyDescent="0.2"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</row>
    <row r="309" spans="2:19" s="41" customFormat="1" x14ac:dyDescent="0.2"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</row>
    <row r="310" spans="2:19" s="41" customFormat="1" x14ac:dyDescent="0.2"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</row>
    <row r="311" spans="2:19" s="41" customFormat="1" x14ac:dyDescent="0.2"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</row>
    <row r="312" spans="2:19" s="41" customFormat="1" x14ac:dyDescent="0.2"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</row>
    <row r="313" spans="2:19" s="41" customFormat="1" x14ac:dyDescent="0.2"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</row>
    <row r="314" spans="2:19" s="41" customFormat="1" x14ac:dyDescent="0.2"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</row>
    <row r="315" spans="2:19" s="41" customFormat="1" x14ac:dyDescent="0.2"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</row>
    <row r="316" spans="2:19" s="41" customFormat="1" x14ac:dyDescent="0.2"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</row>
    <row r="317" spans="2:19" s="41" customFormat="1" x14ac:dyDescent="0.2"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</row>
    <row r="318" spans="2:19" s="41" customFormat="1" x14ac:dyDescent="0.2"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</row>
    <row r="319" spans="2:19" s="41" customFormat="1" x14ac:dyDescent="0.2"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</row>
    <row r="320" spans="2:19" s="41" customFormat="1" x14ac:dyDescent="0.2"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</row>
    <row r="321" spans="2:19" s="41" customFormat="1" x14ac:dyDescent="0.2"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</row>
    <row r="322" spans="2:19" s="41" customFormat="1" x14ac:dyDescent="0.2"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</row>
    <row r="323" spans="2:19" s="41" customFormat="1" x14ac:dyDescent="0.2"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</row>
    <row r="324" spans="2:19" s="41" customFormat="1" x14ac:dyDescent="0.2"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</row>
    <row r="325" spans="2:19" s="41" customFormat="1" x14ac:dyDescent="0.2"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</row>
    <row r="326" spans="2:19" s="41" customFormat="1" x14ac:dyDescent="0.2"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</row>
    <row r="327" spans="2:19" s="41" customFormat="1" x14ac:dyDescent="0.2"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</row>
    <row r="328" spans="2:19" s="41" customFormat="1" x14ac:dyDescent="0.2"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</row>
    <row r="329" spans="2:19" s="41" customFormat="1" x14ac:dyDescent="0.2"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</row>
    <row r="330" spans="2:19" s="41" customFormat="1" x14ac:dyDescent="0.2"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</row>
    <row r="331" spans="2:19" s="41" customFormat="1" x14ac:dyDescent="0.2"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</row>
    <row r="332" spans="2:19" s="41" customFormat="1" x14ac:dyDescent="0.2"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</row>
    <row r="333" spans="2:19" s="41" customFormat="1" x14ac:dyDescent="0.2"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</row>
    <row r="334" spans="2:19" s="41" customFormat="1" x14ac:dyDescent="0.2"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</row>
    <row r="335" spans="2:19" s="41" customFormat="1" x14ac:dyDescent="0.2"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</row>
    <row r="336" spans="2:19" s="41" customFormat="1" x14ac:dyDescent="0.2"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</row>
    <row r="337" spans="2:19" s="41" customFormat="1" x14ac:dyDescent="0.2"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</row>
    <row r="338" spans="2:19" s="41" customFormat="1" x14ac:dyDescent="0.2"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</row>
    <row r="339" spans="2:19" s="41" customFormat="1" x14ac:dyDescent="0.2"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</row>
    <row r="340" spans="2:19" s="41" customFormat="1" x14ac:dyDescent="0.2"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</row>
    <row r="341" spans="2:19" s="41" customFormat="1" x14ac:dyDescent="0.2"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</row>
    <row r="342" spans="2:19" s="41" customFormat="1" x14ac:dyDescent="0.2"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</row>
    <row r="343" spans="2:19" s="41" customFormat="1" x14ac:dyDescent="0.2"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</row>
    <row r="344" spans="2:19" s="41" customFormat="1" x14ac:dyDescent="0.2"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</row>
    <row r="345" spans="2:19" s="41" customFormat="1" x14ac:dyDescent="0.2"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</row>
    <row r="346" spans="2:19" s="41" customFormat="1" x14ac:dyDescent="0.2"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</row>
    <row r="347" spans="2:19" s="41" customFormat="1" x14ac:dyDescent="0.2"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</row>
    <row r="348" spans="2:19" s="41" customFormat="1" x14ac:dyDescent="0.2"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</row>
    <row r="349" spans="2:19" s="41" customFormat="1" x14ac:dyDescent="0.2"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</row>
    <row r="350" spans="2:19" s="41" customFormat="1" x14ac:dyDescent="0.2"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</row>
    <row r="351" spans="2:19" s="41" customFormat="1" x14ac:dyDescent="0.2"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</row>
    <row r="352" spans="2:19" s="41" customFormat="1" x14ac:dyDescent="0.2"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</row>
    <row r="353" spans="2:19" s="41" customFormat="1" x14ac:dyDescent="0.2"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</row>
    <row r="354" spans="2:19" s="41" customFormat="1" x14ac:dyDescent="0.2"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</row>
    <row r="355" spans="2:19" s="41" customFormat="1" x14ac:dyDescent="0.2"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</row>
    <row r="356" spans="2:19" s="41" customFormat="1" x14ac:dyDescent="0.2"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</row>
    <row r="357" spans="2:19" s="41" customFormat="1" x14ac:dyDescent="0.2"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</row>
    <row r="358" spans="2:19" s="41" customFormat="1" x14ac:dyDescent="0.2"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</row>
    <row r="359" spans="2:19" s="41" customFormat="1" x14ac:dyDescent="0.2"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</row>
    <row r="360" spans="2:19" s="41" customFormat="1" x14ac:dyDescent="0.2"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</row>
    <row r="361" spans="2:19" s="41" customFormat="1" x14ac:dyDescent="0.2"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</row>
    <row r="362" spans="2:19" s="41" customFormat="1" x14ac:dyDescent="0.2"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</row>
    <row r="363" spans="2:19" s="41" customFormat="1" x14ac:dyDescent="0.2"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</row>
    <row r="364" spans="2:19" s="41" customFormat="1" x14ac:dyDescent="0.2"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</row>
    <row r="365" spans="2:19" s="41" customFormat="1" x14ac:dyDescent="0.2"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</row>
    <row r="366" spans="2:19" s="41" customFormat="1" x14ac:dyDescent="0.2"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</row>
    <row r="367" spans="2:19" s="41" customFormat="1" x14ac:dyDescent="0.2"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</row>
    <row r="368" spans="2:19" s="41" customFormat="1" x14ac:dyDescent="0.2"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</row>
    <row r="369" spans="2:19" s="41" customFormat="1" x14ac:dyDescent="0.2"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</row>
    <row r="370" spans="2:19" s="41" customFormat="1" x14ac:dyDescent="0.2"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</row>
    <row r="371" spans="2:19" s="41" customFormat="1" x14ac:dyDescent="0.2"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</row>
    <row r="372" spans="2:19" s="41" customFormat="1" x14ac:dyDescent="0.2"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</row>
    <row r="373" spans="2:19" s="41" customFormat="1" x14ac:dyDescent="0.2"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</row>
    <row r="374" spans="2:19" s="41" customFormat="1" x14ac:dyDescent="0.2"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</row>
    <row r="375" spans="2:19" s="41" customFormat="1" x14ac:dyDescent="0.2"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</row>
    <row r="376" spans="2:19" s="41" customFormat="1" x14ac:dyDescent="0.2"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</row>
    <row r="377" spans="2:19" s="41" customFormat="1" x14ac:dyDescent="0.2"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</row>
    <row r="378" spans="2:19" s="41" customFormat="1" x14ac:dyDescent="0.2"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</row>
    <row r="379" spans="2:19" s="41" customFormat="1" x14ac:dyDescent="0.2"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</row>
    <row r="380" spans="2:19" s="41" customFormat="1" x14ac:dyDescent="0.2"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</row>
    <row r="381" spans="2:19" s="41" customFormat="1" x14ac:dyDescent="0.2"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</row>
    <row r="382" spans="2:19" s="41" customFormat="1" x14ac:dyDescent="0.2"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</row>
    <row r="383" spans="2:19" s="41" customFormat="1" x14ac:dyDescent="0.2"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</row>
    <row r="384" spans="2:19" s="41" customFormat="1" x14ac:dyDescent="0.2"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</row>
    <row r="385" spans="2:19" s="41" customFormat="1" x14ac:dyDescent="0.2"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</row>
    <row r="386" spans="2:19" s="41" customFormat="1" x14ac:dyDescent="0.2"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</row>
    <row r="387" spans="2:19" s="41" customFormat="1" x14ac:dyDescent="0.2"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</row>
    <row r="388" spans="2:19" s="41" customFormat="1" x14ac:dyDescent="0.2"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</row>
    <row r="389" spans="2:19" s="41" customFormat="1" x14ac:dyDescent="0.2"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</row>
    <row r="390" spans="2:19" s="41" customFormat="1" x14ac:dyDescent="0.2"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</row>
    <row r="391" spans="2:19" s="41" customFormat="1" x14ac:dyDescent="0.2"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</row>
    <row r="392" spans="2:19" s="41" customFormat="1" x14ac:dyDescent="0.2"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</row>
    <row r="393" spans="2:19" s="41" customFormat="1" x14ac:dyDescent="0.2"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</row>
    <row r="394" spans="2:19" s="41" customFormat="1" x14ac:dyDescent="0.2"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</row>
    <row r="395" spans="2:19" s="41" customFormat="1" x14ac:dyDescent="0.2"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</row>
    <row r="396" spans="2:19" s="41" customFormat="1" x14ac:dyDescent="0.2"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</row>
    <row r="397" spans="2:19" s="41" customFormat="1" x14ac:dyDescent="0.2"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</row>
    <row r="398" spans="2:19" s="41" customFormat="1" x14ac:dyDescent="0.2"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</row>
    <row r="399" spans="2:19" s="41" customFormat="1" x14ac:dyDescent="0.2"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</row>
    <row r="400" spans="2:19" s="41" customFormat="1" x14ac:dyDescent="0.2"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</row>
    <row r="401" spans="2:19" s="41" customFormat="1" x14ac:dyDescent="0.2"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</row>
    <row r="402" spans="2:19" s="41" customFormat="1" x14ac:dyDescent="0.2"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</row>
    <row r="403" spans="2:19" s="41" customFormat="1" x14ac:dyDescent="0.2"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</row>
    <row r="404" spans="2:19" s="41" customFormat="1" x14ac:dyDescent="0.2"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</row>
    <row r="405" spans="2:19" s="41" customFormat="1" x14ac:dyDescent="0.2"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</row>
    <row r="406" spans="2:19" s="41" customFormat="1" x14ac:dyDescent="0.2"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</row>
    <row r="407" spans="2:19" s="41" customFormat="1" x14ac:dyDescent="0.2"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</row>
    <row r="408" spans="2:19" s="41" customFormat="1" x14ac:dyDescent="0.2"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</row>
    <row r="409" spans="2:19" s="41" customFormat="1" x14ac:dyDescent="0.2"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</row>
    <row r="410" spans="2:19" s="41" customFormat="1" x14ac:dyDescent="0.2"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</row>
    <row r="411" spans="2:19" s="41" customFormat="1" x14ac:dyDescent="0.2"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</row>
    <row r="412" spans="2:19" s="41" customFormat="1" x14ac:dyDescent="0.2"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</row>
    <row r="413" spans="2:19" s="41" customFormat="1" x14ac:dyDescent="0.2"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</row>
    <row r="414" spans="2:19" s="41" customFormat="1" x14ac:dyDescent="0.2"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</row>
    <row r="415" spans="2:19" s="41" customFormat="1" x14ac:dyDescent="0.2"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</row>
    <row r="416" spans="2:19" s="41" customFormat="1" x14ac:dyDescent="0.2"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</row>
    <row r="417" spans="2:19" s="41" customFormat="1" x14ac:dyDescent="0.2"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</row>
    <row r="418" spans="2:19" s="41" customFormat="1" x14ac:dyDescent="0.2"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</row>
    <row r="419" spans="2:19" s="41" customFormat="1" x14ac:dyDescent="0.2"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</row>
    <row r="420" spans="2:19" s="41" customFormat="1" x14ac:dyDescent="0.2"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</row>
    <row r="421" spans="2:19" s="41" customFormat="1" x14ac:dyDescent="0.2"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</row>
    <row r="422" spans="2:19" s="41" customFormat="1" x14ac:dyDescent="0.2"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</row>
    <row r="423" spans="2:19" s="41" customFormat="1" x14ac:dyDescent="0.2"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</row>
    <row r="424" spans="2:19" s="41" customFormat="1" x14ac:dyDescent="0.2"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</row>
    <row r="425" spans="2:19" s="41" customFormat="1" x14ac:dyDescent="0.2"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</row>
    <row r="426" spans="2:19" s="41" customFormat="1" x14ac:dyDescent="0.2"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</row>
    <row r="427" spans="2:19" s="41" customFormat="1" x14ac:dyDescent="0.2"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</row>
    <row r="428" spans="2:19" s="41" customFormat="1" x14ac:dyDescent="0.2"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</row>
    <row r="429" spans="2:19" s="41" customFormat="1" x14ac:dyDescent="0.2"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</row>
    <row r="430" spans="2:19" s="41" customFormat="1" x14ac:dyDescent="0.2"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</row>
    <row r="431" spans="2:19" s="41" customFormat="1" x14ac:dyDescent="0.2"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</row>
    <row r="432" spans="2:19" s="41" customFormat="1" x14ac:dyDescent="0.2"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</row>
    <row r="433" spans="2:19" s="41" customFormat="1" x14ac:dyDescent="0.2"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</row>
    <row r="434" spans="2:19" s="41" customFormat="1" x14ac:dyDescent="0.2"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</row>
    <row r="435" spans="2:19" s="41" customFormat="1" x14ac:dyDescent="0.2"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</row>
    <row r="436" spans="2:19" s="41" customFormat="1" x14ac:dyDescent="0.2"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</row>
    <row r="437" spans="2:19" s="41" customFormat="1" x14ac:dyDescent="0.2"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</row>
    <row r="438" spans="2:19" s="41" customFormat="1" x14ac:dyDescent="0.2"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</row>
    <row r="439" spans="2:19" s="41" customFormat="1" x14ac:dyDescent="0.2"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</row>
    <row r="440" spans="2:19" s="41" customFormat="1" x14ac:dyDescent="0.2"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</row>
    <row r="441" spans="2:19" s="41" customFormat="1" x14ac:dyDescent="0.2"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</row>
    <row r="442" spans="2:19" s="41" customFormat="1" x14ac:dyDescent="0.2"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</row>
    <row r="443" spans="2:19" s="41" customFormat="1" x14ac:dyDescent="0.2"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</row>
    <row r="444" spans="2:19" s="41" customFormat="1" x14ac:dyDescent="0.2"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</row>
    <row r="445" spans="2:19" s="41" customFormat="1" x14ac:dyDescent="0.2"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</row>
    <row r="446" spans="2:19" s="41" customFormat="1" x14ac:dyDescent="0.2"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</row>
    <row r="447" spans="2:19" s="41" customFormat="1" x14ac:dyDescent="0.2"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</row>
    <row r="448" spans="2:19" s="41" customFormat="1" x14ac:dyDescent="0.2"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</row>
    <row r="449" spans="2:19" s="41" customFormat="1" x14ac:dyDescent="0.2"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</row>
    <row r="450" spans="2:19" s="41" customFormat="1" x14ac:dyDescent="0.2"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</row>
    <row r="451" spans="2:19" s="41" customFormat="1" x14ac:dyDescent="0.2"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</row>
    <row r="452" spans="2:19" s="41" customFormat="1" x14ac:dyDescent="0.2"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</row>
    <row r="453" spans="2:19" s="41" customFormat="1" x14ac:dyDescent="0.2"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</row>
    <row r="454" spans="2:19" s="41" customFormat="1" x14ac:dyDescent="0.2"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</row>
    <row r="455" spans="2:19" s="41" customFormat="1" x14ac:dyDescent="0.2"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</row>
    <row r="456" spans="2:19" s="41" customFormat="1" x14ac:dyDescent="0.2"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</row>
    <row r="457" spans="2:19" s="41" customFormat="1" x14ac:dyDescent="0.2"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</row>
    <row r="458" spans="2:19" s="41" customFormat="1" x14ac:dyDescent="0.2"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</row>
    <row r="459" spans="2:19" s="41" customFormat="1" x14ac:dyDescent="0.2"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</row>
    <row r="460" spans="2:19" s="41" customFormat="1" x14ac:dyDescent="0.2"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</row>
    <row r="461" spans="2:19" s="41" customFormat="1" x14ac:dyDescent="0.2"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</row>
    <row r="462" spans="2:19" s="41" customFormat="1" x14ac:dyDescent="0.2"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</row>
    <row r="463" spans="2:19" s="41" customFormat="1" x14ac:dyDescent="0.2"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</row>
    <row r="464" spans="2:19" s="41" customFormat="1" x14ac:dyDescent="0.2"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</row>
    <row r="465" spans="2:19" s="41" customFormat="1" x14ac:dyDescent="0.2"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</row>
    <row r="466" spans="2:19" s="41" customFormat="1" x14ac:dyDescent="0.2"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</row>
    <row r="467" spans="2:19" s="41" customFormat="1" x14ac:dyDescent="0.2"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</row>
    <row r="468" spans="2:19" s="41" customFormat="1" x14ac:dyDescent="0.2"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</row>
    <row r="469" spans="2:19" s="41" customFormat="1" x14ac:dyDescent="0.2"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</row>
    <row r="470" spans="2:19" s="41" customFormat="1" x14ac:dyDescent="0.2"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</row>
    <row r="471" spans="2:19" s="41" customFormat="1" x14ac:dyDescent="0.2"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</row>
    <row r="472" spans="2:19" s="41" customFormat="1" x14ac:dyDescent="0.2"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</row>
    <row r="473" spans="2:19" s="41" customFormat="1" x14ac:dyDescent="0.2"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</row>
    <row r="474" spans="2:19" s="41" customFormat="1" x14ac:dyDescent="0.2"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</row>
    <row r="475" spans="2:19" s="41" customFormat="1" x14ac:dyDescent="0.2"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</row>
    <row r="476" spans="2:19" s="41" customFormat="1" x14ac:dyDescent="0.2"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</row>
    <row r="477" spans="2:19" s="41" customFormat="1" x14ac:dyDescent="0.2"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</row>
    <row r="478" spans="2:19" s="41" customFormat="1" x14ac:dyDescent="0.2"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</row>
    <row r="479" spans="2:19" s="41" customFormat="1" x14ac:dyDescent="0.2"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</row>
    <row r="480" spans="2:19" s="41" customFormat="1" x14ac:dyDescent="0.2"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</row>
    <row r="481" spans="2:19" s="41" customFormat="1" x14ac:dyDescent="0.2"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</row>
    <row r="482" spans="2:19" s="41" customFormat="1" x14ac:dyDescent="0.2"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</row>
    <row r="483" spans="2:19" s="41" customFormat="1" x14ac:dyDescent="0.2"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</row>
    <row r="484" spans="2:19" s="41" customFormat="1" x14ac:dyDescent="0.2"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</row>
    <row r="485" spans="2:19" s="41" customFormat="1" x14ac:dyDescent="0.2"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</row>
    <row r="486" spans="2:19" s="41" customFormat="1" x14ac:dyDescent="0.2"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</row>
    <row r="487" spans="2:19" s="41" customFormat="1" x14ac:dyDescent="0.2"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</row>
    <row r="488" spans="2:19" s="41" customFormat="1" x14ac:dyDescent="0.2"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</row>
    <row r="489" spans="2:19" s="41" customFormat="1" x14ac:dyDescent="0.2"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</row>
    <row r="490" spans="2:19" s="41" customFormat="1" x14ac:dyDescent="0.2"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</row>
    <row r="491" spans="2:19" s="41" customFormat="1" x14ac:dyDescent="0.2"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</row>
    <row r="492" spans="2:19" s="41" customFormat="1" x14ac:dyDescent="0.2"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</row>
    <row r="493" spans="2:19" s="41" customFormat="1" x14ac:dyDescent="0.2"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</row>
    <row r="494" spans="2:19" s="41" customFormat="1" x14ac:dyDescent="0.2"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</row>
    <row r="495" spans="2:19" s="41" customFormat="1" x14ac:dyDescent="0.2"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</row>
    <row r="496" spans="2:19" s="41" customFormat="1" x14ac:dyDescent="0.2"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</row>
    <row r="497" spans="2:19" s="41" customFormat="1" x14ac:dyDescent="0.2"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</row>
    <row r="498" spans="2:19" s="41" customFormat="1" x14ac:dyDescent="0.2"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</row>
    <row r="499" spans="2:19" s="41" customFormat="1" x14ac:dyDescent="0.2"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</row>
    <row r="500" spans="2:19" s="41" customFormat="1" x14ac:dyDescent="0.2"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</row>
    <row r="501" spans="2:19" s="41" customFormat="1" x14ac:dyDescent="0.2"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</row>
    <row r="502" spans="2:19" s="41" customFormat="1" x14ac:dyDescent="0.2"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</row>
    <row r="503" spans="2:19" s="41" customFormat="1" x14ac:dyDescent="0.2"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</row>
    <row r="504" spans="2:19" s="41" customFormat="1" x14ac:dyDescent="0.2"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</row>
    <row r="505" spans="2:19" s="41" customFormat="1" x14ac:dyDescent="0.2"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</row>
    <row r="506" spans="2:19" s="41" customFormat="1" x14ac:dyDescent="0.2"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</row>
    <row r="507" spans="2:19" s="41" customFormat="1" x14ac:dyDescent="0.2"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</row>
    <row r="508" spans="2:19" s="41" customFormat="1" x14ac:dyDescent="0.2"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</row>
    <row r="509" spans="2:19" s="41" customFormat="1" x14ac:dyDescent="0.2"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</row>
    <row r="510" spans="2:19" s="41" customFormat="1" x14ac:dyDescent="0.2"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</row>
    <row r="511" spans="2:19" s="41" customFormat="1" x14ac:dyDescent="0.2"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</row>
    <row r="512" spans="2:19" s="41" customFormat="1" x14ac:dyDescent="0.2"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</row>
    <row r="513" spans="2:19" s="41" customFormat="1" x14ac:dyDescent="0.2"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</row>
    <row r="514" spans="2:19" s="41" customFormat="1" x14ac:dyDescent="0.2"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</row>
    <row r="515" spans="2:19" s="41" customFormat="1" x14ac:dyDescent="0.2"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</row>
    <row r="516" spans="2:19" s="41" customFormat="1" x14ac:dyDescent="0.2"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</row>
    <row r="517" spans="2:19" s="41" customFormat="1" x14ac:dyDescent="0.2"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</row>
    <row r="518" spans="2:19" s="41" customFormat="1" x14ac:dyDescent="0.2"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</row>
    <row r="519" spans="2:19" s="41" customFormat="1" x14ac:dyDescent="0.2"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</row>
    <row r="520" spans="2:19" s="41" customFormat="1" x14ac:dyDescent="0.2"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</row>
    <row r="521" spans="2:19" s="41" customFormat="1" x14ac:dyDescent="0.2"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</row>
    <row r="522" spans="2:19" s="41" customFormat="1" x14ac:dyDescent="0.2"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</row>
    <row r="523" spans="2:19" s="41" customFormat="1" x14ac:dyDescent="0.2"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</row>
    <row r="524" spans="2:19" s="41" customFormat="1" x14ac:dyDescent="0.2"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</row>
    <row r="525" spans="2:19" s="41" customFormat="1" x14ac:dyDescent="0.2"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</row>
    <row r="526" spans="2:19" s="41" customFormat="1" x14ac:dyDescent="0.2"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</row>
    <row r="527" spans="2:19" s="41" customFormat="1" x14ac:dyDescent="0.2"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</row>
    <row r="528" spans="2:19" s="41" customFormat="1" x14ac:dyDescent="0.2"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</row>
    <row r="529" spans="2:19" s="41" customFormat="1" x14ac:dyDescent="0.2"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</row>
    <row r="530" spans="2:19" s="41" customFormat="1" x14ac:dyDescent="0.2"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</row>
    <row r="531" spans="2:19" s="41" customFormat="1" x14ac:dyDescent="0.2"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</row>
    <row r="532" spans="2:19" s="41" customFormat="1" x14ac:dyDescent="0.2"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</row>
    <row r="533" spans="2:19" s="41" customFormat="1" x14ac:dyDescent="0.2"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</row>
    <row r="534" spans="2:19" s="41" customFormat="1" x14ac:dyDescent="0.2"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</row>
    <row r="535" spans="2:19" s="41" customFormat="1" x14ac:dyDescent="0.2"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</row>
    <row r="536" spans="2:19" s="41" customFormat="1" x14ac:dyDescent="0.2"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</row>
    <row r="537" spans="2:19" s="41" customFormat="1" x14ac:dyDescent="0.2"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</row>
    <row r="538" spans="2:19" s="41" customFormat="1" x14ac:dyDescent="0.2"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</row>
    <row r="539" spans="2:19" s="41" customFormat="1" x14ac:dyDescent="0.2"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</row>
    <row r="540" spans="2:19" s="41" customFormat="1" x14ac:dyDescent="0.2"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</row>
    <row r="541" spans="2:19" s="41" customFormat="1" x14ac:dyDescent="0.2"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</row>
    <row r="542" spans="2:19" s="41" customFormat="1" x14ac:dyDescent="0.2"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</row>
    <row r="543" spans="2:19" s="41" customFormat="1" x14ac:dyDescent="0.2"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</row>
    <row r="544" spans="2:19" s="41" customFormat="1" x14ac:dyDescent="0.2"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</row>
    <row r="545" spans="2:19" s="41" customFormat="1" x14ac:dyDescent="0.2"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</row>
    <row r="546" spans="2:19" s="41" customFormat="1" x14ac:dyDescent="0.2"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</row>
    <row r="547" spans="2:19" s="41" customFormat="1" x14ac:dyDescent="0.2"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</row>
    <row r="548" spans="2:19" s="41" customFormat="1" x14ac:dyDescent="0.2"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</row>
    <row r="549" spans="2:19" s="41" customFormat="1" x14ac:dyDescent="0.2"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</row>
    <row r="550" spans="2:19" s="41" customFormat="1" x14ac:dyDescent="0.2"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</row>
    <row r="551" spans="2:19" s="41" customFormat="1" x14ac:dyDescent="0.2"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</row>
    <row r="552" spans="2:19" s="41" customFormat="1" x14ac:dyDescent="0.2"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</row>
    <row r="553" spans="2:19" s="41" customFormat="1" x14ac:dyDescent="0.2"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</row>
    <row r="554" spans="2:19" s="41" customFormat="1" x14ac:dyDescent="0.2"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</row>
    <row r="555" spans="2:19" s="41" customFormat="1" x14ac:dyDescent="0.2"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</row>
    <row r="556" spans="2:19" s="41" customFormat="1" x14ac:dyDescent="0.2"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</row>
    <row r="557" spans="2:19" s="41" customFormat="1" x14ac:dyDescent="0.2"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</row>
    <row r="558" spans="2:19" s="41" customFormat="1" x14ac:dyDescent="0.2"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</row>
    <row r="559" spans="2:19" s="41" customFormat="1" x14ac:dyDescent="0.2"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</row>
    <row r="560" spans="2:19" s="41" customFormat="1" x14ac:dyDescent="0.2"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</row>
    <row r="561" spans="2:19" s="41" customFormat="1" x14ac:dyDescent="0.2"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</row>
    <row r="562" spans="2:19" s="41" customFormat="1" x14ac:dyDescent="0.2"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</row>
    <row r="563" spans="2:19" s="41" customFormat="1" x14ac:dyDescent="0.2"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</row>
    <row r="564" spans="2:19" s="41" customFormat="1" x14ac:dyDescent="0.2"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</row>
    <row r="565" spans="2:19" s="41" customFormat="1" x14ac:dyDescent="0.2"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</row>
    <row r="566" spans="2:19" s="41" customFormat="1" x14ac:dyDescent="0.2"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</row>
    <row r="567" spans="2:19" s="41" customFormat="1" x14ac:dyDescent="0.2"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</row>
    <row r="568" spans="2:19" s="41" customFormat="1" x14ac:dyDescent="0.2"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</row>
    <row r="569" spans="2:19" s="41" customFormat="1" x14ac:dyDescent="0.2"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</row>
    <row r="570" spans="2:19" s="41" customFormat="1" x14ac:dyDescent="0.2"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</row>
    <row r="571" spans="2:19" s="41" customFormat="1" x14ac:dyDescent="0.2"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</row>
    <row r="572" spans="2:19" s="41" customFormat="1" x14ac:dyDescent="0.2"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</row>
    <row r="573" spans="2:19" s="41" customFormat="1" x14ac:dyDescent="0.2"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</row>
    <row r="574" spans="2:19" s="41" customFormat="1" x14ac:dyDescent="0.2"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</row>
    <row r="575" spans="2:19" s="41" customFormat="1" x14ac:dyDescent="0.2"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</row>
    <row r="576" spans="2:19" s="41" customFormat="1" x14ac:dyDescent="0.2"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</row>
    <row r="577" spans="2:19" s="41" customFormat="1" x14ac:dyDescent="0.2"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</row>
    <row r="578" spans="2:19" s="41" customFormat="1" x14ac:dyDescent="0.2"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</row>
    <row r="579" spans="2:19" s="41" customFormat="1" x14ac:dyDescent="0.2"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</row>
    <row r="580" spans="2:19" s="41" customFormat="1" x14ac:dyDescent="0.2"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</row>
    <row r="581" spans="2:19" s="41" customFormat="1" x14ac:dyDescent="0.2"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</row>
    <row r="582" spans="2:19" s="41" customFormat="1" x14ac:dyDescent="0.2"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</row>
    <row r="583" spans="2:19" s="41" customFormat="1" x14ac:dyDescent="0.2"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</row>
    <row r="584" spans="2:19" s="41" customFormat="1" x14ac:dyDescent="0.2"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</row>
    <row r="585" spans="2:19" s="41" customFormat="1" x14ac:dyDescent="0.2"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</row>
    <row r="586" spans="2:19" s="41" customFormat="1" x14ac:dyDescent="0.2"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</row>
    <row r="587" spans="2:19" s="41" customFormat="1" x14ac:dyDescent="0.2"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</row>
    <row r="588" spans="2:19" s="41" customFormat="1" x14ac:dyDescent="0.2"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</row>
    <row r="589" spans="2:19" s="41" customFormat="1" x14ac:dyDescent="0.2"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</row>
    <row r="590" spans="2:19" s="41" customFormat="1" x14ac:dyDescent="0.2"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</row>
    <row r="591" spans="2:19" s="41" customFormat="1" x14ac:dyDescent="0.2"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</row>
    <row r="592" spans="2:19" s="41" customFormat="1" x14ac:dyDescent="0.2"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</row>
    <row r="593" spans="2:19" s="41" customFormat="1" x14ac:dyDescent="0.2"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</row>
    <row r="594" spans="2:19" s="41" customFormat="1" x14ac:dyDescent="0.2"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</row>
    <row r="595" spans="2:19" s="41" customFormat="1" x14ac:dyDescent="0.2"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</row>
    <row r="596" spans="2:19" s="41" customFormat="1" x14ac:dyDescent="0.2"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</row>
    <row r="597" spans="2:19" s="41" customFormat="1" x14ac:dyDescent="0.2"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</row>
    <row r="598" spans="2:19" s="41" customFormat="1" x14ac:dyDescent="0.2"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</row>
    <row r="599" spans="2:19" s="41" customFormat="1" x14ac:dyDescent="0.2"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</row>
    <row r="600" spans="2:19" s="41" customFormat="1" x14ac:dyDescent="0.2"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</row>
    <row r="601" spans="2:19" s="41" customFormat="1" x14ac:dyDescent="0.2"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</row>
    <row r="602" spans="2:19" s="41" customFormat="1" x14ac:dyDescent="0.2"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</row>
    <row r="603" spans="2:19" s="41" customFormat="1" x14ac:dyDescent="0.2"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</row>
    <row r="604" spans="2:19" s="41" customFormat="1" x14ac:dyDescent="0.2"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</row>
    <row r="605" spans="2:19" s="41" customFormat="1" x14ac:dyDescent="0.2"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</row>
    <row r="606" spans="2:19" s="41" customFormat="1" x14ac:dyDescent="0.2"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</row>
    <row r="607" spans="2:19" s="41" customFormat="1" x14ac:dyDescent="0.2"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</row>
    <row r="608" spans="2:19" s="41" customFormat="1" x14ac:dyDescent="0.2"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</row>
    <row r="609" spans="2:19" s="41" customFormat="1" x14ac:dyDescent="0.2"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</row>
    <row r="610" spans="2:19" s="41" customFormat="1" x14ac:dyDescent="0.2"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</row>
    <row r="611" spans="2:19" s="41" customFormat="1" x14ac:dyDescent="0.2"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</row>
    <row r="612" spans="2:19" s="41" customFormat="1" x14ac:dyDescent="0.2"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</row>
    <row r="613" spans="2:19" s="41" customFormat="1" x14ac:dyDescent="0.2"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</row>
    <row r="614" spans="2:19" s="41" customFormat="1" x14ac:dyDescent="0.2"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</row>
    <row r="615" spans="2:19" s="41" customFormat="1" x14ac:dyDescent="0.2"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</row>
    <row r="616" spans="2:19" s="41" customFormat="1" x14ac:dyDescent="0.2"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</row>
    <row r="617" spans="2:19" s="41" customFormat="1" x14ac:dyDescent="0.2"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</row>
    <row r="618" spans="2:19" s="41" customFormat="1" x14ac:dyDescent="0.2"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</row>
    <row r="619" spans="2:19" s="41" customFormat="1" x14ac:dyDescent="0.2"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</row>
    <row r="620" spans="2:19" s="41" customFormat="1" x14ac:dyDescent="0.2"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</row>
    <row r="621" spans="2:19" s="41" customFormat="1" x14ac:dyDescent="0.2"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</row>
    <row r="622" spans="2:19" s="41" customFormat="1" x14ac:dyDescent="0.2"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</row>
    <row r="623" spans="2:19" s="41" customFormat="1" x14ac:dyDescent="0.2"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</row>
    <row r="624" spans="2:19" s="41" customFormat="1" x14ac:dyDescent="0.2"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</row>
    <row r="625" spans="2:19" s="41" customFormat="1" x14ac:dyDescent="0.2"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</row>
    <row r="626" spans="2:19" s="41" customFormat="1" x14ac:dyDescent="0.2"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</row>
    <row r="627" spans="2:19" s="41" customFormat="1" x14ac:dyDescent="0.2"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</row>
    <row r="628" spans="2:19" s="41" customFormat="1" x14ac:dyDescent="0.2"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</row>
    <row r="629" spans="2:19" s="41" customFormat="1" x14ac:dyDescent="0.2"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</row>
    <row r="630" spans="2:19" s="41" customFormat="1" x14ac:dyDescent="0.2"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</row>
    <row r="631" spans="2:19" s="41" customFormat="1" x14ac:dyDescent="0.2"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</row>
    <row r="632" spans="2:19" s="41" customFormat="1" x14ac:dyDescent="0.2"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</row>
    <row r="633" spans="2:19" s="41" customFormat="1" x14ac:dyDescent="0.2"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</row>
    <row r="634" spans="2:19" s="41" customFormat="1" x14ac:dyDescent="0.2"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</row>
    <row r="635" spans="2:19" s="41" customFormat="1" x14ac:dyDescent="0.2"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</row>
    <row r="636" spans="2:19" s="41" customFormat="1" x14ac:dyDescent="0.2"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</row>
    <row r="637" spans="2:19" s="41" customFormat="1" x14ac:dyDescent="0.2"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</row>
    <row r="638" spans="2:19" s="41" customFormat="1" x14ac:dyDescent="0.2"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</row>
    <row r="639" spans="2:19" s="41" customFormat="1" x14ac:dyDescent="0.2"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</row>
    <row r="640" spans="2:19" s="41" customFormat="1" x14ac:dyDescent="0.2"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</row>
    <row r="641" spans="2:19" s="41" customFormat="1" x14ac:dyDescent="0.2"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</row>
    <row r="642" spans="2:19" s="41" customFormat="1" x14ac:dyDescent="0.2"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</row>
    <row r="643" spans="2:19" s="41" customFormat="1" x14ac:dyDescent="0.2"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</row>
    <row r="644" spans="2:19" s="41" customFormat="1" x14ac:dyDescent="0.2"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</row>
    <row r="645" spans="2:19" s="41" customFormat="1" x14ac:dyDescent="0.2"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</row>
    <row r="646" spans="2:19" s="41" customFormat="1" x14ac:dyDescent="0.2"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</row>
    <row r="647" spans="2:19" s="41" customFormat="1" x14ac:dyDescent="0.2"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</row>
    <row r="648" spans="2:19" s="41" customFormat="1" x14ac:dyDescent="0.2"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</row>
    <row r="649" spans="2:19" s="41" customFormat="1" x14ac:dyDescent="0.2"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</row>
    <row r="650" spans="2:19" s="41" customFormat="1" x14ac:dyDescent="0.2"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</row>
    <row r="651" spans="2:19" s="41" customFormat="1" x14ac:dyDescent="0.2"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</row>
    <row r="652" spans="2:19" s="41" customFormat="1" x14ac:dyDescent="0.2"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</row>
    <row r="653" spans="2:19" s="41" customFormat="1" x14ac:dyDescent="0.2"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</row>
    <row r="654" spans="2:19" s="41" customFormat="1" x14ac:dyDescent="0.2"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</row>
    <row r="655" spans="2:19" s="41" customFormat="1" x14ac:dyDescent="0.2"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</row>
    <row r="656" spans="2:19" s="41" customFormat="1" x14ac:dyDescent="0.2"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</row>
    <row r="657" spans="2:19" s="41" customFormat="1" x14ac:dyDescent="0.2"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</row>
    <row r="658" spans="2:19" s="41" customFormat="1" x14ac:dyDescent="0.2"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</row>
    <row r="659" spans="2:19" s="41" customFormat="1" x14ac:dyDescent="0.2"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</row>
    <row r="660" spans="2:19" s="41" customFormat="1" x14ac:dyDescent="0.2"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</row>
    <row r="661" spans="2:19" s="41" customFormat="1" x14ac:dyDescent="0.2"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</row>
    <row r="662" spans="2:19" s="41" customFormat="1" x14ac:dyDescent="0.2"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</row>
    <row r="663" spans="2:19" s="41" customFormat="1" x14ac:dyDescent="0.2"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</row>
    <row r="664" spans="2:19" s="41" customFormat="1" x14ac:dyDescent="0.2"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</row>
    <row r="665" spans="2:19" s="41" customFormat="1" x14ac:dyDescent="0.2"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</row>
    <row r="666" spans="2:19" s="41" customFormat="1" x14ac:dyDescent="0.2"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</row>
    <row r="667" spans="2:19" s="41" customFormat="1" x14ac:dyDescent="0.2"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</row>
    <row r="668" spans="2:19" s="41" customFormat="1" x14ac:dyDescent="0.2"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</row>
    <row r="669" spans="2:19" s="41" customFormat="1" x14ac:dyDescent="0.2"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</row>
    <row r="670" spans="2:19" s="41" customFormat="1" x14ac:dyDescent="0.2"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</row>
    <row r="671" spans="2:19" s="41" customFormat="1" x14ac:dyDescent="0.2"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</row>
    <row r="672" spans="2:19" s="41" customFormat="1" x14ac:dyDescent="0.2"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</row>
    <row r="673" spans="2:19" s="41" customFormat="1" x14ac:dyDescent="0.2"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</row>
    <row r="674" spans="2:19" s="41" customFormat="1" x14ac:dyDescent="0.2"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</row>
    <row r="675" spans="2:19" s="41" customFormat="1" x14ac:dyDescent="0.2"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</row>
    <row r="676" spans="2:19" s="41" customFormat="1" x14ac:dyDescent="0.2"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</row>
    <row r="677" spans="2:19" s="41" customFormat="1" x14ac:dyDescent="0.2"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</row>
    <row r="678" spans="2:19" s="41" customFormat="1" x14ac:dyDescent="0.2"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</row>
    <row r="679" spans="2:19" s="41" customFormat="1" x14ac:dyDescent="0.2"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</row>
    <row r="680" spans="2:19" s="41" customFormat="1" x14ac:dyDescent="0.2"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</row>
    <row r="681" spans="2:19" s="41" customFormat="1" x14ac:dyDescent="0.2"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</row>
    <row r="682" spans="2:19" s="41" customFormat="1" x14ac:dyDescent="0.2"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</row>
    <row r="683" spans="2:19" s="41" customFormat="1" x14ac:dyDescent="0.2"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</row>
    <row r="684" spans="2:19" s="41" customFormat="1" x14ac:dyDescent="0.2"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</row>
    <row r="685" spans="2:19" s="41" customFormat="1" x14ac:dyDescent="0.2"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</row>
    <row r="686" spans="2:19" s="41" customFormat="1" x14ac:dyDescent="0.2"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</row>
    <row r="687" spans="2:19" s="41" customFormat="1" x14ac:dyDescent="0.2"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</row>
    <row r="688" spans="2:19" s="41" customFormat="1" x14ac:dyDescent="0.2"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</row>
    <row r="689" spans="2:19" s="41" customFormat="1" x14ac:dyDescent="0.2"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</row>
    <row r="690" spans="2:19" s="41" customFormat="1" x14ac:dyDescent="0.2"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</row>
    <row r="691" spans="2:19" s="41" customFormat="1" x14ac:dyDescent="0.2"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</row>
    <row r="692" spans="2:19" s="41" customFormat="1" x14ac:dyDescent="0.2"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</row>
    <row r="693" spans="2:19" s="41" customFormat="1" x14ac:dyDescent="0.2"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</row>
    <row r="694" spans="2:19" s="41" customFormat="1" x14ac:dyDescent="0.2"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</row>
    <row r="695" spans="2:19" s="41" customFormat="1" x14ac:dyDescent="0.2"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</row>
    <row r="696" spans="2:19" s="41" customFormat="1" x14ac:dyDescent="0.2"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</row>
    <row r="697" spans="2:19" s="41" customFormat="1" x14ac:dyDescent="0.2"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</row>
    <row r="698" spans="2:19" s="41" customFormat="1" x14ac:dyDescent="0.2"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</row>
    <row r="699" spans="2:19" s="41" customFormat="1" x14ac:dyDescent="0.2"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</row>
    <row r="700" spans="2:19" s="41" customFormat="1" x14ac:dyDescent="0.2"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</row>
    <row r="701" spans="2:19" s="41" customFormat="1" x14ac:dyDescent="0.2"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</row>
    <row r="702" spans="2:19" s="41" customFormat="1" x14ac:dyDescent="0.2"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</row>
    <row r="703" spans="2:19" s="41" customFormat="1" x14ac:dyDescent="0.2"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</row>
    <row r="704" spans="2:19" s="41" customFormat="1" x14ac:dyDescent="0.2"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</row>
    <row r="705" spans="2:19" s="41" customFormat="1" x14ac:dyDescent="0.2"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</row>
    <row r="706" spans="2:19" s="41" customFormat="1" x14ac:dyDescent="0.2"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</row>
    <row r="707" spans="2:19" s="41" customFormat="1" x14ac:dyDescent="0.2"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</row>
    <row r="708" spans="2:19" s="41" customFormat="1" x14ac:dyDescent="0.2"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</row>
    <row r="709" spans="2:19" s="41" customFormat="1" x14ac:dyDescent="0.2"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</row>
    <row r="710" spans="2:19" s="41" customFormat="1" x14ac:dyDescent="0.2"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</row>
    <row r="711" spans="2:19" s="41" customFormat="1" x14ac:dyDescent="0.2"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</row>
    <row r="712" spans="2:19" s="41" customFormat="1" x14ac:dyDescent="0.2"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</row>
    <row r="713" spans="2:19" s="41" customFormat="1" x14ac:dyDescent="0.2"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</row>
    <row r="714" spans="2:19" s="41" customFormat="1" x14ac:dyDescent="0.2"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</row>
    <row r="715" spans="2:19" s="41" customFormat="1" x14ac:dyDescent="0.2"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</row>
    <row r="716" spans="2:19" s="41" customFormat="1" x14ac:dyDescent="0.2"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</row>
    <row r="717" spans="2:19" s="41" customFormat="1" x14ac:dyDescent="0.2"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</row>
    <row r="718" spans="2:19" s="41" customFormat="1" x14ac:dyDescent="0.2"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</row>
    <row r="719" spans="2:19" s="41" customFormat="1" x14ac:dyDescent="0.2"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</row>
    <row r="720" spans="2:19" s="41" customFormat="1" x14ac:dyDescent="0.2"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</row>
    <row r="721" spans="2:19" s="41" customFormat="1" x14ac:dyDescent="0.2"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</row>
    <row r="722" spans="2:19" s="41" customFormat="1" x14ac:dyDescent="0.2"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</row>
    <row r="723" spans="2:19" s="41" customFormat="1" x14ac:dyDescent="0.2"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</row>
    <row r="724" spans="2:19" s="41" customFormat="1" x14ac:dyDescent="0.2"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</row>
    <row r="725" spans="2:19" s="41" customFormat="1" x14ac:dyDescent="0.2"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</row>
    <row r="726" spans="2:19" s="41" customFormat="1" x14ac:dyDescent="0.2"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</row>
    <row r="727" spans="2:19" s="41" customFormat="1" x14ac:dyDescent="0.2"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</row>
    <row r="728" spans="2:19" s="41" customFormat="1" x14ac:dyDescent="0.2"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</row>
    <row r="729" spans="2:19" s="41" customFormat="1" x14ac:dyDescent="0.2"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</row>
    <row r="730" spans="2:19" s="41" customFormat="1" x14ac:dyDescent="0.2"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</row>
    <row r="731" spans="2:19" s="41" customFormat="1" x14ac:dyDescent="0.2"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</row>
    <row r="732" spans="2:19" s="41" customFormat="1" x14ac:dyDescent="0.2"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</row>
    <row r="733" spans="2:19" s="41" customFormat="1" x14ac:dyDescent="0.2"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</row>
    <row r="734" spans="2:19" s="41" customFormat="1" x14ac:dyDescent="0.2"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</row>
    <row r="735" spans="2:19" s="41" customFormat="1" x14ac:dyDescent="0.2"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</row>
    <row r="736" spans="2:19" s="41" customFormat="1" x14ac:dyDescent="0.2"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</row>
    <row r="737" spans="2:19" s="41" customFormat="1" x14ac:dyDescent="0.2"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</row>
    <row r="738" spans="2:19" s="41" customFormat="1" x14ac:dyDescent="0.2"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</row>
    <row r="739" spans="2:19" s="41" customFormat="1" x14ac:dyDescent="0.2"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</row>
    <row r="740" spans="2:19" s="41" customFormat="1" x14ac:dyDescent="0.2"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</row>
    <row r="741" spans="2:19" s="41" customFormat="1" x14ac:dyDescent="0.2"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</row>
    <row r="742" spans="2:19" s="41" customFormat="1" x14ac:dyDescent="0.2"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</row>
    <row r="743" spans="2:19" s="41" customFormat="1" x14ac:dyDescent="0.2"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</row>
    <row r="744" spans="2:19" s="41" customFormat="1" x14ac:dyDescent="0.2"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</row>
    <row r="745" spans="2:19" s="41" customFormat="1" x14ac:dyDescent="0.2"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</row>
    <row r="746" spans="2:19" s="41" customFormat="1" x14ac:dyDescent="0.2"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</row>
    <row r="747" spans="2:19" s="41" customFormat="1" x14ac:dyDescent="0.2"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</row>
    <row r="748" spans="2:19" s="41" customFormat="1" x14ac:dyDescent="0.2"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</row>
    <row r="749" spans="2:19" s="41" customFormat="1" x14ac:dyDescent="0.2"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</row>
    <row r="750" spans="2:19" s="41" customFormat="1" x14ac:dyDescent="0.2"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</row>
    <row r="751" spans="2:19" s="41" customFormat="1" x14ac:dyDescent="0.2"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</row>
    <row r="752" spans="2:19" s="41" customFormat="1" x14ac:dyDescent="0.2"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</row>
    <row r="753" spans="2:19" s="41" customFormat="1" x14ac:dyDescent="0.2"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</row>
    <row r="754" spans="2:19" s="41" customFormat="1" x14ac:dyDescent="0.2"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</row>
    <row r="755" spans="2:19" s="41" customFormat="1" x14ac:dyDescent="0.2"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</row>
    <row r="756" spans="2:19" s="41" customFormat="1" x14ac:dyDescent="0.2"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</row>
    <row r="757" spans="2:19" s="41" customFormat="1" x14ac:dyDescent="0.2"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</row>
    <row r="758" spans="2:19" s="41" customFormat="1" x14ac:dyDescent="0.2"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</row>
    <row r="759" spans="2:19" s="41" customFormat="1" x14ac:dyDescent="0.2"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</row>
    <row r="760" spans="2:19" s="41" customFormat="1" x14ac:dyDescent="0.2"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</row>
    <row r="761" spans="2:19" s="41" customFormat="1" x14ac:dyDescent="0.2"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</row>
    <row r="762" spans="2:19" s="41" customFormat="1" x14ac:dyDescent="0.2"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</row>
    <row r="763" spans="2:19" s="41" customFormat="1" x14ac:dyDescent="0.2"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</row>
    <row r="764" spans="2:19" s="41" customFormat="1" x14ac:dyDescent="0.2"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</row>
    <row r="765" spans="2:19" s="41" customFormat="1" x14ac:dyDescent="0.2"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</row>
    <row r="766" spans="2:19" s="41" customFormat="1" x14ac:dyDescent="0.2"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</row>
    <row r="767" spans="2:19" s="41" customFormat="1" x14ac:dyDescent="0.2"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</row>
    <row r="768" spans="2:19" s="41" customFormat="1" x14ac:dyDescent="0.2"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</row>
    <row r="769" spans="2:19" s="41" customFormat="1" x14ac:dyDescent="0.2"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</row>
    <row r="770" spans="2:19" s="41" customFormat="1" x14ac:dyDescent="0.2"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</row>
    <row r="771" spans="2:19" s="41" customFormat="1" x14ac:dyDescent="0.2"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</row>
    <row r="772" spans="2:19" s="41" customFormat="1" x14ac:dyDescent="0.2"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</row>
    <row r="773" spans="2:19" s="41" customFormat="1" x14ac:dyDescent="0.2"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</row>
    <row r="774" spans="2:19" s="41" customFormat="1" x14ac:dyDescent="0.2"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</row>
    <row r="775" spans="2:19" s="41" customFormat="1" x14ac:dyDescent="0.2"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</row>
    <row r="776" spans="2:19" s="41" customFormat="1" x14ac:dyDescent="0.2"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</row>
    <row r="777" spans="2:19" s="41" customFormat="1" x14ac:dyDescent="0.2"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</row>
    <row r="778" spans="2:19" s="41" customFormat="1" x14ac:dyDescent="0.2"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</row>
    <row r="779" spans="2:19" s="41" customFormat="1" x14ac:dyDescent="0.2"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</row>
    <row r="780" spans="2:19" s="41" customFormat="1" x14ac:dyDescent="0.2"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</row>
    <row r="781" spans="2:19" s="41" customFormat="1" x14ac:dyDescent="0.2"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</row>
    <row r="782" spans="2:19" s="41" customFormat="1" x14ac:dyDescent="0.2"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</row>
    <row r="783" spans="2:19" s="41" customFormat="1" x14ac:dyDescent="0.2"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</row>
    <row r="784" spans="2:19" s="41" customFormat="1" x14ac:dyDescent="0.2"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</row>
    <row r="785" spans="2:19" s="41" customFormat="1" x14ac:dyDescent="0.2"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</row>
    <row r="786" spans="2:19" s="41" customFormat="1" x14ac:dyDescent="0.2"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</row>
    <row r="787" spans="2:19" s="41" customFormat="1" x14ac:dyDescent="0.2"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</row>
    <row r="788" spans="2:19" s="41" customFormat="1" x14ac:dyDescent="0.2"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</row>
    <row r="789" spans="2:19" s="41" customFormat="1" x14ac:dyDescent="0.2"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</row>
    <row r="790" spans="2:19" s="41" customFormat="1" x14ac:dyDescent="0.2"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</row>
    <row r="791" spans="2:19" s="41" customFormat="1" x14ac:dyDescent="0.2"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</row>
    <row r="792" spans="2:19" s="41" customFormat="1" x14ac:dyDescent="0.2"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</row>
    <row r="793" spans="2:19" s="41" customFormat="1" x14ac:dyDescent="0.2"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</row>
    <row r="794" spans="2:19" s="41" customFormat="1" x14ac:dyDescent="0.2"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</row>
    <row r="795" spans="2:19" s="41" customFormat="1" x14ac:dyDescent="0.2"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</row>
    <row r="796" spans="2:19" s="41" customFormat="1" x14ac:dyDescent="0.2"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</row>
    <row r="797" spans="2:19" s="41" customFormat="1" x14ac:dyDescent="0.2"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</row>
    <row r="798" spans="2:19" s="41" customFormat="1" x14ac:dyDescent="0.2"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</row>
    <row r="799" spans="2:19" s="41" customFormat="1" x14ac:dyDescent="0.2"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</row>
    <row r="800" spans="2:19" s="41" customFormat="1" x14ac:dyDescent="0.2"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</row>
    <row r="801" spans="2:19" s="41" customFormat="1" x14ac:dyDescent="0.2"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</row>
    <row r="802" spans="2:19" s="41" customFormat="1" x14ac:dyDescent="0.2"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</row>
    <row r="803" spans="2:19" s="41" customFormat="1" x14ac:dyDescent="0.2"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</row>
    <row r="804" spans="2:19" s="41" customFormat="1" x14ac:dyDescent="0.2"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</row>
    <row r="805" spans="2:19" s="41" customFormat="1" x14ac:dyDescent="0.2"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</row>
    <row r="806" spans="2:19" s="41" customFormat="1" x14ac:dyDescent="0.2"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</row>
    <row r="807" spans="2:19" s="41" customFormat="1" x14ac:dyDescent="0.2"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</row>
    <row r="808" spans="2:19" s="41" customFormat="1" x14ac:dyDescent="0.2"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</row>
    <row r="809" spans="2:19" s="41" customFormat="1" x14ac:dyDescent="0.2"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</row>
    <row r="810" spans="2:19" s="41" customFormat="1" x14ac:dyDescent="0.2"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</row>
    <row r="811" spans="2:19" s="41" customFormat="1" x14ac:dyDescent="0.2"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</row>
    <row r="812" spans="2:19" s="41" customFormat="1" x14ac:dyDescent="0.2"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</row>
    <row r="813" spans="2:19" s="41" customFormat="1" x14ac:dyDescent="0.2"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</row>
    <row r="814" spans="2:19" s="41" customFormat="1" x14ac:dyDescent="0.2"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</row>
    <row r="815" spans="2:19" s="41" customFormat="1" x14ac:dyDescent="0.2"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</row>
    <row r="816" spans="2:19" s="41" customFormat="1" x14ac:dyDescent="0.2"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</row>
    <row r="817" spans="2:19" s="41" customFormat="1" x14ac:dyDescent="0.2"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</row>
    <row r="818" spans="2:19" s="41" customFormat="1" x14ac:dyDescent="0.2"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</row>
    <row r="819" spans="2:19" s="41" customFormat="1" x14ac:dyDescent="0.2"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</row>
    <row r="820" spans="2:19" s="41" customFormat="1" x14ac:dyDescent="0.2"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</row>
    <row r="821" spans="2:19" s="41" customFormat="1" x14ac:dyDescent="0.2"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</row>
    <row r="822" spans="2:19" s="41" customFormat="1" x14ac:dyDescent="0.2"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</row>
    <row r="823" spans="2:19" s="41" customFormat="1" x14ac:dyDescent="0.2"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</row>
    <row r="824" spans="2:19" s="41" customFormat="1" x14ac:dyDescent="0.2"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</row>
    <row r="825" spans="2:19" s="41" customFormat="1" x14ac:dyDescent="0.2"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</row>
    <row r="826" spans="2:19" s="41" customFormat="1" x14ac:dyDescent="0.2"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</row>
    <row r="827" spans="2:19" s="41" customFormat="1" x14ac:dyDescent="0.2"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</row>
    <row r="828" spans="2:19" s="41" customFormat="1" x14ac:dyDescent="0.2"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</row>
    <row r="829" spans="2:19" s="41" customFormat="1" x14ac:dyDescent="0.2"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</row>
    <row r="830" spans="2:19" s="41" customFormat="1" x14ac:dyDescent="0.2"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</row>
    <row r="831" spans="2:19" s="41" customFormat="1" x14ac:dyDescent="0.2"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</row>
    <row r="832" spans="2:19" s="41" customFormat="1" x14ac:dyDescent="0.2"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</row>
    <row r="833" spans="2:19" s="41" customFormat="1" x14ac:dyDescent="0.2"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</row>
    <row r="834" spans="2:19" s="41" customFormat="1" x14ac:dyDescent="0.2"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</row>
    <row r="835" spans="2:19" s="41" customFormat="1" x14ac:dyDescent="0.2"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</row>
    <row r="836" spans="2:19" s="41" customFormat="1" x14ac:dyDescent="0.2"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</row>
    <row r="837" spans="2:19" s="41" customFormat="1" x14ac:dyDescent="0.2"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</row>
    <row r="838" spans="2:19" s="41" customFormat="1" x14ac:dyDescent="0.2"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</row>
    <row r="839" spans="2:19" s="41" customFormat="1" x14ac:dyDescent="0.2"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</row>
    <row r="840" spans="2:19" s="41" customFormat="1" x14ac:dyDescent="0.2"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</row>
    <row r="841" spans="2:19" s="41" customFormat="1" x14ac:dyDescent="0.2"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</row>
    <row r="842" spans="2:19" s="41" customFormat="1" x14ac:dyDescent="0.2"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</row>
    <row r="843" spans="2:19" s="41" customFormat="1" x14ac:dyDescent="0.2"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</row>
    <row r="844" spans="2:19" s="41" customFormat="1" x14ac:dyDescent="0.2"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</row>
    <row r="845" spans="2:19" s="41" customFormat="1" x14ac:dyDescent="0.2"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</row>
    <row r="846" spans="2:19" s="41" customFormat="1" x14ac:dyDescent="0.2"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</row>
    <row r="847" spans="2:19" s="41" customFormat="1" x14ac:dyDescent="0.2"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</row>
    <row r="848" spans="2:19" s="41" customFormat="1" x14ac:dyDescent="0.2"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</row>
    <row r="849" spans="2:19" s="41" customFormat="1" x14ac:dyDescent="0.2"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</row>
    <row r="850" spans="2:19" s="41" customFormat="1" x14ac:dyDescent="0.2"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</row>
    <row r="851" spans="2:19" s="41" customFormat="1" x14ac:dyDescent="0.2"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</row>
    <row r="852" spans="2:19" s="41" customFormat="1" x14ac:dyDescent="0.2"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</row>
    <row r="853" spans="2:19" s="41" customFormat="1" x14ac:dyDescent="0.2"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</row>
    <row r="854" spans="2:19" s="41" customFormat="1" x14ac:dyDescent="0.2"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</row>
    <row r="855" spans="2:19" s="41" customFormat="1" x14ac:dyDescent="0.2"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</row>
    <row r="856" spans="2:19" s="41" customFormat="1" x14ac:dyDescent="0.2"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</row>
    <row r="857" spans="2:19" s="41" customFormat="1" x14ac:dyDescent="0.2"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</row>
    <row r="858" spans="2:19" s="41" customFormat="1" x14ac:dyDescent="0.2"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</row>
    <row r="859" spans="2:19" s="41" customFormat="1" x14ac:dyDescent="0.2"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</row>
    <row r="860" spans="2:19" s="41" customFormat="1" x14ac:dyDescent="0.2"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</row>
    <row r="861" spans="2:19" s="41" customFormat="1" x14ac:dyDescent="0.2"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</row>
    <row r="862" spans="2:19" s="41" customFormat="1" x14ac:dyDescent="0.2"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</row>
    <row r="863" spans="2:19" s="41" customFormat="1" x14ac:dyDescent="0.2"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</row>
    <row r="864" spans="2:19" s="41" customFormat="1" x14ac:dyDescent="0.2"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</row>
    <row r="865" spans="2:19" s="41" customFormat="1" x14ac:dyDescent="0.2"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</row>
    <row r="866" spans="2:19" s="41" customFormat="1" x14ac:dyDescent="0.2"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</row>
    <row r="867" spans="2:19" s="41" customFormat="1" x14ac:dyDescent="0.2"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</row>
    <row r="868" spans="2:19" s="41" customFormat="1" x14ac:dyDescent="0.2"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</row>
    <row r="869" spans="2:19" s="41" customFormat="1" x14ac:dyDescent="0.2"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</row>
    <row r="870" spans="2:19" s="41" customFormat="1" x14ac:dyDescent="0.2"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</row>
    <row r="871" spans="2:19" s="41" customFormat="1" x14ac:dyDescent="0.2"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</row>
    <row r="872" spans="2:19" s="41" customFormat="1" x14ac:dyDescent="0.2"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</row>
    <row r="873" spans="2:19" s="41" customFormat="1" x14ac:dyDescent="0.2"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</row>
    <row r="874" spans="2:19" s="41" customFormat="1" x14ac:dyDescent="0.2"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</row>
    <row r="875" spans="2:19" s="41" customFormat="1" x14ac:dyDescent="0.2"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</row>
    <row r="876" spans="2:19" s="41" customFormat="1" x14ac:dyDescent="0.2"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</row>
    <row r="877" spans="2:19" s="41" customFormat="1" x14ac:dyDescent="0.2"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</row>
    <row r="878" spans="2:19" s="41" customFormat="1" x14ac:dyDescent="0.2"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</row>
    <row r="879" spans="2:19" s="41" customFormat="1" x14ac:dyDescent="0.2"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</row>
    <row r="880" spans="2:19" s="41" customFormat="1" x14ac:dyDescent="0.2"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</row>
    <row r="881" spans="2:19" s="41" customFormat="1" x14ac:dyDescent="0.2"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</row>
    <row r="882" spans="2:19" s="41" customFormat="1" x14ac:dyDescent="0.2"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</row>
    <row r="883" spans="2:19" s="41" customFormat="1" x14ac:dyDescent="0.2"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</row>
    <row r="884" spans="2:19" s="41" customFormat="1" x14ac:dyDescent="0.2"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</row>
    <row r="885" spans="2:19" s="41" customFormat="1" x14ac:dyDescent="0.2"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</row>
    <row r="886" spans="2:19" s="41" customFormat="1" x14ac:dyDescent="0.2"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</row>
    <row r="887" spans="2:19" s="41" customFormat="1" x14ac:dyDescent="0.2"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</row>
    <row r="888" spans="2:19" s="41" customFormat="1" x14ac:dyDescent="0.2"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</row>
    <row r="889" spans="2:19" s="41" customFormat="1" x14ac:dyDescent="0.2"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</row>
    <row r="890" spans="2:19" s="41" customFormat="1" x14ac:dyDescent="0.2"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</row>
    <row r="891" spans="2:19" s="41" customFormat="1" x14ac:dyDescent="0.2"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</row>
    <row r="892" spans="2:19" s="41" customFormat="1" x14ac:dyDescent="0.2"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</row>
    <row r="893" spans="2:19" s="41" customFormat="1" x14ac:dyDescent="0.2"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</row>
    <row r="894" spans="2:19" s="41" customFormat="1" x14ac:dyDescent="0.2"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</row>
    <row r="895" spans="2:19" s="41" customFormat="1" x14ac:dyDescent="0.2"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</row>
    <row r="896" spans="2:19" s="41" customFormat="1" x14ac:dyDescent="0.2"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</row>
    <row r="897" spans="2:19" s="41" customFormat="1" x14ac:dyDescent="0.2"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</row>
    <row r="898" spans="2:19" s="41" customFormat="1" x14ac:dyDescent="0.2"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</row>
    <row r="899" spans="2:19" s="41" customFormat="1" x14ac:dyDescent="0.2"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</row>
    <row r="900" spans="2:19" s="41" customFormat="1" x14ac:dyDescent="0.2"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</row>
    <row r="901" spans="2:19" s="41" customFormat="1" x14ac:dyDescent="0.2"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</row>
    <row r="902" spans="2:19" s="41" customFormat="1" x14ac:dyDescent="0.2"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</row>
    <row r="903" spans="2:19" s="41" customFormat="1" x14ac:dyDescent="0.2"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</row>
    <row r="904" spans="2:19" s="41" customFormat="1" x14ac:dyDescent="0.2"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</row>
    <row r="905" spans="2:19" s="41" customFormat="1" x14ac:dyDescent="0.2"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</row>
    <row r="906" spans="2:19" s="41" customFormat="1" x14ac:dyDescent="0.2"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</row>
    <row r="907" spans="2:19" s="41" customFormat="1" x14ac:dyDescent="0.2"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</row>
    <row r="908" spans="2:19" s="41" customFormat="1" x14ac:dyDescent="0.2"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</row>
    <row r="909" spans="2:19" s="41" customFormat="1" x14ac:dyDescent="0.2"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</row>
    <row r="910" spans="2:19" s="41" customFormat="1" x14ac:dyDescent="0.2"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</row>
    <row r="911" spans="2:19" s="41" customFormat="1" x14ac:dyDescent="0.2"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</row>
    <row r="912" spans="2:19" s="41" customFormat="1" x14ac:dyDescent="0.2"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</row>
    <row r="913" spans="2:19" s="41" customFormat="1" x14ac:dyDescent="0.2"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</row>
    <row r="914" spans="2:19" s="41" customFormat="1" x14ac:dyDescent="0.2"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</row>
    <row r="915" spans="2:19" s="41" customFormat="1" x14ac:dyDescent="0.2"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</row>
    <row r="916" spans="2:19" s="41" customFormat="1" x14ac:dyDescent="0.2"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</row>
    <row r="917" spans="2:19" s="41" customFormat="1" x14ac:dyDescent="0.2"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</row>
    <row r="918" spans="2:19" s="41" customFormat="1" x14ac:dyDescent="0.2"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</row>
    <row r="919" spans="2:19" s="41" customFormat="1" x14ac:dyDescent="0.2"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</row>
    <row r="920" spans="2:19" s="41" customFormat="1" x14ac:dyDescent="0.2"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</row>
    <row r="921" spans="2:19" s="41" customFormat="1" x14ac:dyDescent="0.2"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</row>
    <row r="922" spans="2:19" s="41" customFormat="1" x14ac:dyDescent="0.2"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</row>
    <row r="923" spans="2:19" s="41" customFormat="1" x14ac:dyDescent="0.2"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</row>
    <row r="924" spans="2:19" s="41" customFormat="1" x14ac:dyDescent="0.2"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</row>
    <row r="925" spans="2:19" s="41" customFormat="1" x14ac:dyDescent="0.2"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</row>
    <row r="926" spans="2:19" s="41" customFormat="1" x14ac:dyDescent="0.2"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</row>
    <row r="927" spans="2:19" s="41" customFormat="1" x14ac:dyDescent="0.2"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</row>
    <row r="928" spans="2:19" s="41" customFormat="1" x14ac:dyDescent="0.2"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</row>
    <row r="929" spans="2:19" s="41" customFormat="1" x14ac:dyDescent="0.2"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</row>
    <row r="930" spans="2:19" s="41" customFormat="1" x14ac:dyDescent="0.2"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</row>
    <row r="931" spans="2:19" s="41" customFormat="1" x14ac:dyDescent="0.2"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</row>
    <row r="932" spans="2:19" s="41" customFormat="1" x14ac:dyDescent="0.2"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</row>
    <row r="933" spans="2:19" s="41" customFormat="1" x14ac:dyDescent="0.2"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</row>
    <row r="934" spans="2:19" s="41" customFormat="1" x14ac:dyDescent="0.2"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</row>
    <row r="935" spans="2:19" s="41" customFormat="1" x14ac:dyDescent="0.2"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</row>
    <row r="936" spans="2:19" s="41" customFormat="1" x14ac:dyDescent="0.2"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</row>
    <row r="937" spans="2:19" s="41" customFormat="1" x14ac:dyDescent="0.2"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</row>
    <row r="938" spans="2:19" s="41" customFormat="1" x14ac:dyDescent="0.2"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</row>
    <row r="939" spans="2:19" s="41" customFormat="1" x14ac:dyDescent="0.2"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</row>
    <row r="940" spans="2:19" s="41" customFormat="1" x14ac:dyDescent="0.2"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</row>
    <row r="941" spans="2:19" s="41" customFormat="1" x14ac:dyDescent="0.2"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</row>
    <row r="942" spans="2:19" s="41" customFormat="1" x14ac:dyDescent="0.2"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</row>
    <row r="943" spans="2:19" s="41" customFormat="1" x14ac:dyDescent="0.2"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</row>
    <row r="944" spans="2:19" s="41" customFormat="1" x14ac:dyDescent="0.2"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</row>
    <row r="945" spans="2:19" s="41" customFormat="1" x14ac:dyDescent="0.2"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</row>
    <row r="946" spans="2:19" s="41" customFormat="1" x14ac:dyDescent="0.2"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</row>
    <row r="947" spans="2:19" s="41" customFormat="1" x14ac:dyDescent="0.2"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</row>
    <row r="948" spans="2:19" s="41" customFormat="1" x14ac:dyDescent="0.2"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</row>
    <row r="949" spans="2:19" s="41" customFormat="1" x14ac:dyDescent="0.2"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</row>
    <row r="950" spans="2:19" s="41" customFormat="1" x14ac:dyDescent="0.2"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</row>
    <row r="951" spans="2:19" s="41" customFormat="1" x14ac:dyDescent="0.2"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</row>
    <row r="952" spans="2:19" s="41" customFormat="1" x14ac:dyDescent="0.2"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</row>
    <row r="953" spans="2:19" s="41" customFormat="1" x14ac:dyDescent="0.2"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</row>
    <row r="954" spans="2:19" s="41" customFormat="1" x14ac:dyDescent="0.2"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</row>
    <row r="955" spans="2:19" s="41" customFormat="1" x14ac:dyDescent="0.2"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</row>
    <row r="956" spans="2:19" s="41" customFormat="1" x14ac:dyDescent="0.2"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</row>
    <row r="957" spans="2:19" s="41" customFormat="1" x14ac:dyDescent="0.2"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</row>
    <row r="958" spans="2:19" s="41" customFormat="1" x14ac:dyDescent="0.2"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</row>
    <row r="959" spans="2:19" s="41" customFormat="1" x14ac:dyDescent="0.2"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</row>
    <row r="960" spans="2:19" s="41" customFormat="1" x14ac:dyDescent="0.2"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</row>
    <row r="961" spans="2:19" s="41" customFormat="1" x14ac:dyDescent="0.2"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</row>
    <row r="962" spans="2:19" s="41" customFormat="1" x14ac:dyDescent="0.2"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</row>
    <row r="963" spans="2:19" s="41" customFormat="1" x14ac:dyDescent="0.2"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</row>
    <row r="964" spans="2:19" s="41" customFormat="1" x14ac:dyDescent="0.2"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</row>
    <row r="965" spans="2:19" s="41" customFormat="1" x14ac:dyDescent="0.2"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</row>
    <row r="966" spans="2:19" s="41" customFormat="1" x14ac:dyDescent="0.2"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</row>
    <row r="967" spans="2:19" s="41" customFormat="1" x14ac:dyDescent="0.2"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</row>
    <row r="968" spans="2:19" s="41" customFormat="1" x14ac:dyDescent="0.2"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</row>
    <row r="969" spans="2:19" s="41" customFormat="1" x14ac:dyDescent="0.2"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</row>
    <row r="970" spans="2:19" s="41" customFormat="1" x14ac:dyDescent="0.2"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</row>
    <row r="971" spans="2:19" s="41" customFormat="1" x14ac:dyDescent="0.2"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</row>
    <row r="972" spans="2:19" s="41" customFormat="1" x14ac:dyDescent="0.2"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</row>
    <row r="973" spans="2:19" s="41" customFormat="1" x14ac:dyDescent="0.2"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</row>
    <row r="974" spans="2:19" s="41" customFormat="1" x14ac:dyDescent="0.2"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</row>
    <row r="975" spans="2:19" s="41" customFormat="1" x14ac:dyDescent="0.2"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</row>
    <row r="976" spans="2:19" s="41" customFormat="1" x14ac:dyDescent="0.2"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</row>
    <row r="977" spans="2:19" s="41" customFormat="1" x14ac:dyDescent="0.2"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</row>
    <row r="978" spans="2:19" s="41" customFormat="1" x14ac:dyDescent="0.2"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</row>
    <row r="979" spans="2:19" s="41" customFormat="1" x14ac:dyDescent="0.2"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</row>
    <row r="980" spans="2:19" s="41" customFormat="1" x14ac:dyDescent="0.2"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</row>
    <row r="981" spans="2:19" s="41" customFormat="1" x14ac:dyDescent="0.2"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</row>
    <row r="982" spans="2:19" s="41" customFormat="1" x14ac:dyDescent="0.2"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</row>
    <row r="983" spans="2:19" s="41" customFormat="1" x14ac:dyDescent="0.2"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</row>
    <row r="984" spans="2:19" s="41" customFormat="1" x14ac:dyDescent="0.2"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</row>
    <row r="985" spans="2:19" s="41" customFormat="1" x14ac:dyDescent="0.2"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</row>
    <row r="986" spans="2:19" s="41" customFormat="1" x14ac:dyDescent="0.2"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</row>
    <row r="987" spans="2:19" s="41" customFormat="1" x14ac:dyDescent="0.2"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</row>
    <row r="988" spans="2:19" s="41" customFormat="1" x14ac:dyDescent="0.2"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</row>
    <row r="989" spans="2:19" s="41" customFormat="1" x14ac:dyDescent="0.2"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</row>
    <row r="990" spans="2:19" s="41" customFormat="1" x14ac:dyDescent="0.2"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</row>
    <row r="991" spans="2:19" s="41" customFormat="1" x14ac:dyDescent="0.2"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</row>
    <row r="992" spans="2:19" s="41" customFormat="1" x14ac:dyDescent="0.2"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</row>
    <row r="993" spans="2:19" s="41" customFormat="1" x14ac:dyDescent="0.2"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</row>
    <row r="994" spans="2:19" s="41" customFormat="1" x14ac:dyDescent="0.2"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</row>
    <row r="995" spans="2:19" s="41" customFormat="1" x14ac:dyDescent="0.2"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</row>
    <row r="996" spans="2:19" s="41" customFormat="1" x14ac:dyDescent="0.2"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</row>
    <row r="997" spans="2:19" s="41" customFormat="1" x14ac:dyDescent="0.2"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</row>
    <row r="998" spans="2:19" s="41" customFormat="1" x14ac:dyDescent="0.2"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</row>
    <row r="999" spans="2:19" s="41" customFormat="1" x14ac:dyDescent="0.2"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</row>
    <row r="1000" spans="2:19" s="41" customFormat="1" x14ac:dyDescent="0.2"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</row>
    <row r="1001" spans="2:19" s="41" customFormat="1" x14ac:dyDescent="0.2"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</row>
    <row r="1002" spans="2:19" s="41" customFormat="1" x14ac:dyDescent="0.2"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</row>
    <row r="1003" spans="2:19" s="41" customFormat="1" x14ac:dyDescent="0.2"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</row>
    <row r="1004" spans="2:19" s="41" customFormat="1" x14ac:dyDescent="0.2"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</row>
    <row r="1005" spans="2:19" s="41" customFormat="1" x14ac:dyDescent="0.2"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</row>
    <row r="1006" spans="2:19" s="41" customFormat="1" x14ac:dyDescent="0.2"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</row>
    <row r="1007" spans="2:19" s="41" customFormat="1" x14ac:dyDescent="0.2"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</row>
    <row r="1008" spans="2:19" s="41" customFormat="1" x14ac:dyDescent="0.2"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</row>
    <row r="1009" spans="2:19" s="41" customFormat="1" x14ac:dyDescent="0.2"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</row>
    <row r="1010" spans="2:19" s="41" customFormat="1" x14ac:dyDescent="0.2"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</row>
    <row r="1011" spans="2:19" s="41" customFormat="1" x14ac:dyDescent="0.2"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</row>
    <row r="1012" spans="2:19" s="41" customFormat="1" x14ac:dyDescent="0.2"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</row>
    <row r="1013" spans="2:19" s="41" customFormat="1" x14ac:dyDescent="0.2"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</row>
    <row r="1014" spans="2:19" s="41" customFormat="1" x14ac:dyDescent="0.2"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</row>
    <row r="1015" spans="2:19" s="41" customFormat="1" x14ac:dyDescent="0.2"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</row>
    <row r="1016" spans="2:19" s="41" customFormat="1" x14ac:dyDescent="0.2"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</row>
    <row r="1017" spans="2:19" s="41" customFormat="1" x14ac:dyDescent="0.2"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</row>
    <row r="1018" spans="2:19" s="41" customFormat="1" x14ac:dyDescent="0.2"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</row>
    <row r="1019" spans="2:19" s="41" customFormat="1" x14ac:dyDescent="0.2"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</row>
    <row r="1020" spans="2:19" s="41" customFormat="1" x14ac:dyDescent="0.2"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</row>
    <row r="1021" spans="2:19" s="41" customFormat="1" x14ac:dyDescent="0.2"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</row>
    <row r="1022" spans="2:19" s="41" customFormat="1" x14ac:dyDescent="0.2"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</row>
    <row r="1023" spans="2:19" s="41" customFormat="1" x14ac:dyDescent="0.2"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</row>
    <row r="1024" spans="2:19" s="41" customFormat="1" x14ac:dyDescent="0.2"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</row>
    <row r="1025" spans="2:19" s="41" customFormat="1" x14ac:dyDescent="0.2"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</row>
    <row r="1026" spans="2:19" s="41" customFormat="1" x14ac:dyDescent="0.2"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</row>
    <row r="1027" spans="2:19" s="41" customFormat="1" x14ac:dyDescent="0.2"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</row>
    <row r="1028" spans="2:19" s="41" customFormat="1" x14ac:dyDescent="0.2"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</row>
    <row r="1029" spans="2:19" s="41" customFormat="1" x14ac:dyDescent="0.2"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</row>
    <row r="1030" spans="2:19" s="41" customFormat="1" x14ac:dyDescent="0.2"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</row>
    <row r="1031" spans="2:19" s="41" customFormat="1" x14ac:dyDescent="0.2"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</row>
    <row r="1032" spans="2:19" s="41" customFormat="1" x14ac:dyDescent="0.2"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</row>
    <row r="1033" spans="2:19" s="41" customFormat="1" x14ac:dyDescent="0.2"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</row>
    <row r="1034" spans="2:19" s="41" customFormat="1" x14ac:dyDescent="0.2"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</row>
    <row r="1035" spans="2:19" s="41" customFormat="1" x14ac:dyDescent="0.2"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</row>
    <row r="1036" spans="2:19" s="41" customFormat="1" x14ac:dyDescent="0.2"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</row>
    <row r="1037" spans="2:19" s="41" customFormat="1" x14ac:dyDescent="0.2"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</row>
    <row r="1038" spans="2:19" s="41" customFormat="1" x14ac:dyDescent="0.2"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</row>
    <row r="1039" spans="2:19" s="41" customFormat="1" x14ac:dyDescent="0.2"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</row>
  </sheetData>
  <mergeCells count="12">
    <mergeCell ref="A1:T1"/>
    <mergeCell ref="A2:T2"/>
    <mergeCell ref="A4:A7"/>
    <mergeCell ref="S4:T5"/>
    <mergeCell ref="C4:F5"/>
    <mergeCell ref="G4:J5"/>
    <mergeCell ref="K4:N5"/>
    <mergeCell ref="O4:R5"/>
    <mergeCell ref="AT40:AU40"/>
    <mergeCell ref="AV40:AW40"/>
    <mergeCell ref="AR40:AS40"/>
    <mergeCell ref="AP40:AQ40"/>
  </mergeCells>
  <pageMargins left="0.7" right="0.7" top="0.75" bottom="0.75" header="0.3" footer="0.3"/>
  <pageSetup scale="49" orientation="portrait" horizontalDpi="4294967295" verticalDpi="4294967295" r:id="rId1"/>
  <colBreaks count="1" manualBreakCount="1">
    <brk id="20" max="1048575" man="1"/>
  </colBreaks>
  <ignoredErrors>
    <ignoredError sqref="AP45:AS45 L11:L30 S12:T31 AR42:AS44 S8:T1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3.18</vt:lpstr>
      <vt:lpstr>'3.18'!Print_Area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2026-04-30T03:22:42Z</cp:lastPrinted>
  <dcterms:created xsi:type="dcterms:W3CDTF">2019-07-22T06:02:33Z</dcterms:created>
  <dcterms:modified xsi:type="dcterms:W3CDTF">2026-04-30T03:23:11Z</dcterms:modified>
</cp:coreProperties>
</file>