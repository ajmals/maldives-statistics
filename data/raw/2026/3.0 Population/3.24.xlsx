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5DBE1AFB-F01D-48ED-8253-0C6B7815AC81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24" sheetId="23" r:id="rId1"/>
  </sheets>
  <definedNames>
    <definedName name="_xlnm.Print_Area" localSheetId="0">'3.24'!$A$1:$Q$15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3" l="1"/>
  <c r="L10" i="23"/>
  <c r="L9" i="23"/>
  <c r="N8" i="23"/>
  <c r="M8" i="23"/>
  <c r="I11" i="23"/>
  <c r="I10" i="23"/>
  <c r="I9" i="23"/>
  <c r="K8" i="23"/>
  <c r="J8" i="23"/>
  <c r="I8" i="23" l="1"/>
  <c r="L8" i="23"/>
  <c r="H11" i="23" l="1"/>
  <c r="H8" i="23" s="1"/>
  <c r="G11" i="23"/>
  <c r="G8" i="23" s="1"/>
  <c r="C11" i="23"/>
  <c r="F10" i="23"/>
  <c r="C10" i="23"/>
  <c r="F9" i="23"/>
  <c r="C9" i="23"/>
  <c r="E8" i="23"/>
  <c r="D8" i="23"/>
  <c r="F11" i="23" l="1"/>
  <c r="C8" i="23"/>
  <c r="F8" i="23"/>
</calcChain>
</file>

<file path=xl/sharedStrings.xml><?xml version="1.0" encoding="utf-8"?>
<sst xmlns="http://schemas.openxmlformats.org/spreadsheetml/2006/main" count="57" uniqueCount="29">
  <si>
    <t>Total</t>
  </si>
  <si>
    <t>Male'</t>
  </si>
  <si>
    <t>Atolls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</si>
  <si>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</si>
  <si>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</si>
  <si>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</si>
  <si>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Court</t>
  </si>
  <si>
    <t xml:space="preserve">Total </t>
  </si>
  <si>
    <t>ކޯޓް</t>
  </si>
  <si>
    <t>Family court</t>
  </si>
  <si>
    <t>ފެމިލީ ކޯޓު</t>
  </si>
  <si>
    <t>މާލެ</t>
  </si>
  <si>
    <t>Majistrate courts</t>
  </si>
  <si>
    <t xml:space="preserve">މެޖިސްޓްރޭޓް ކޯޓުތައް </t>
  </si>
  <si>
    <t>HulhuMale' court</t>
  </si>
  <si>
    <t>ހުޅުމާލެ ކޯޓު</t>
  </si>
  <si>
    <t>Atoll/island</t>
  </si>
  <si>
    <t>Polygamous</t>
  </si>
  <si>
    <t>އަތޮޅާއި ރަށް</t>
  </si>
  <si>
    <t>ކޯޓުގެ ނަން</t>
  </si>
  <si>
    <t>އެއް އަތްބަށް ކުރާ ކައިވެނި</t>
  </si>
  <si>
    <t xml:space="preserve">އެއް އަތްބަށް ވުރެ ގިނަ </t>
  </si>
  <si>
    <t xml:space="preserve"> ކައިވެނި</t>
  </si>
  <si>
    <t>އަންބާ ކުރާ ކައިވެނި</t>
  </si>
  <si>
    <t xml:space="preserve">އަތޮޅުތައް </t>
  </si>
  <si>
    <r>
      <t xml:space="preserve">Monogamous </t>
    </r>
    <r>
      <rPr>
        <b/>
        <vertAlign val="superscript"/>
        <sz val="11"/>
        <color indexed="8"/>
        <rFont val="Calibri"/>
        <family val="2"/>
      </rPr>
      <t>1_/</t>
    </r>
  </si>
  <si>
    <t>Note: 1_/ : Included Marriages with foreign females and Marriages with foreign males</t>
  </si>
  <si>
    <t xml:space="preserve"> TABLE 3.24: NUMBER OF  MARRIAGES, 2021 -  2024</t>
  </si>
  <si>
    <t>ތާވަލު 3.24: ކައިވެނީގެ އަދަދު، 2021 - 2024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</si>
</sst>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1"/>
      <color indexed="8"/>
      <name val="Faruma"/>
    </font>
    <font>
      <b/>
      <vertAlign val="superscript"/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27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8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5" fillId="0" borderId="0"/>
  </cellStyleXfs>
  <cellXfs count="43">
    <xf numFmtId="0" fontId="0" fillId="0" borderId="0" xfId="0"/>
    <xf numFmtId="0" fontId="0" fillId="2" borderId="0" xfId="0" applyFill="1"/>
    <xf numFmtId="0" fontId="11" fillId="2" borderId="0" xfId="0" applyFont="1" applyFill="1"/>
    <xf numFmtId="0" fontId="10" fillId="2" borderId="0" xfId="0" applyFont="1" applyFill="1"/>
    <xf numFmtId="0" fontId="5" fillId="2" borderId="0" xfId="0" applyFont="1" applyFill="1" applyAlignment="1">
      <alignment vertical="center"/>
    </xf>
    <xf numFmtId="0" fontId="10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left" vertical="center" indent="1"/>
    </xf>
    <xf numFmtId="3" fontId="10" fillId="2" borderId="0" xfId="0" applyNumberFormat="1" applyFont="1" applyFill="1" applyAlignment="1">
      <alignment vertical="center" wrapText="1"/>
    </xf>
    <xf numFmtId="3" fontId="10" fillId="2" borderId="9" xfId="0" applyNumberFormat="1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 indent="1"/>
    </xf>
    <xf numFmtId="3" fontId="5" fillId="2" borderId="0" xfId="0" applyNumberFormat="1" applyFont="1" applyFill="1" applyAlignment="1">
      <alignment vertical="center"/>
    </xf>
    <xf numFmtId="3" fontId="5" fillId="2" borderId="6" xfId="0" applyNumberFormat="1" applyFont="1" applyFill="1" applyBorder="1" applyAlignment="1">
      <alignment vertical="center"/>
    </xf>
    <xf numFmtId="0" fontId="13" fillId="2" borderId="0" xfId="0" applyFont="1" applyFill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vertical="center"/>
    </xf>
    <xf numFmtId="3" fontId="5" fillId="2" borderId="4" xfId="0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 indent="1"/>
    </xf>
    <xf numFmtId="0" fontId="6" fillId="2" borderId="0" xfId="0" applyFont="1" applyFill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3" fontId="16" fillId="2" borderId="1" xfId="0" applyNumberFormat="1" applyFont="1" applyFill="1" applyBorder="1" applyAlignment="1">
      <alignment vertical="center"/>
    </xf>
    <xf numFmtId="0" fontId="10" fillId="2" borderId="10" xfId="0" applyFont="1" applyFill="1" applyBorder="1" applyAlignment="1">
      <alignment horizontal="right" vertical="center" wrapText="1"/>
    </xf>
    <xf numFmtId="0" fontId="10" fillId="2" borderId="11" xfId="0" applyFont="1" applyFill="1" applyBorder="1" applyAlignment="1">
      <alignment horizontal="right" vertical="center" wrapText="1"/>
    </xf>
    <xf numFmtId="3" fontId="10" fillId="2" borderId="12" xfId="0" applyNumberFormat="1" applyFont="1" applyFill="1" applyBorder="1" applyAlignment="1">
      <alignment vertical="center" wrapText="1"/>
    </xf>
    <xf numFmtId="3" fontId="5" fillId="2" borderId="13" xfId="0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right" vertical="center" wrapText="1" indent="3"/>
    </xf>
    <xf numFmtId="0" fontId="6" fillId="2" borderId="0" xfId="0" applyFont="1" applyFill="1" applyAlignment="1">
      <alignment horizontal="right" vertical="center" wrapText="1" indent="3"/>
    </xf>
    <xf numFmtId="0" fontId="6" fillId="2" borderId="1" xfId="0" applyFont="1" applyFill="1" applyBorder="1" applyAlignment="1">
      <alignment horizontal="right" vertical="center" wrapText="1" indent="3"/>
    </xf>
    <xf numFmtId="0" fontId="10" fillId="2" borderId="2" xfId="0" applyFont="1" applyFill="1" applyBorder="1" applyAlignment="1">
      <alignment horizontal="center" vertical="center"/>
    </xf>
  </cellXfs>
  <cellStyles count="27">
    <cellStyle name="1" xfId="13" xr:uid="{00000000-0005-0000-0000-000000000000}"/>
    <cellStyle name="Comma 2" xfId="12" xr:uid="{00000000-0005-0000-0000-000002000000}"/>
    <cellStyle name="Comma 2 2" xfId="22" xr:uid="{00000000-0005-0000-0000-000003000000}"/>
    <cellStyle name="Comma 2 3" xfId="25" xr:uid="{7B97C7B6-45BC-4F87-B021-D2FFE1457BD1}"/>
    <cellStyle name="Comma 3" xfId="5" xr:uid="{00000000-0005-0000-0000-000004000000}"/>
    <cellStyle name="Comma 3 2" xfId="15" xr:uid="{00000000-0005-0000-0000-000005000000}"/>
    <cellStyle name="Comma 3 3" xfId="23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19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0" xr:uid="{00000000-0005-0000-0000-000015000000}"/>
    <cellStyle name="Normal 4" xfId="10" xr:uid="{00000000-0005-0000-0000-000016000000}"/>
    <cellStyle name="Normal 4 2" xfId="24" xr:uid="{C876A118-C7AA-4052-92BB-F37EED3B4522}"/>
    <cellStyle name="Normal 44" xfId="8" xr:uid="{00000000-0005-0000-0000-000017000000}"/>
    <cellStyle name="Normal 44 2" xfId="21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  <cellStyle name="Normal 5 3" xfId="26" xr:uid="{322195DD-DDD2-4FE1-89C3-0612B80BE6DB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P16"/>
  <sheetViews>
    <sheetView tabSelected="1" topLeftCell="B1" zoomScaleNormal="100" workbookViewId="0">
      <selection activeCell="W13" sqref="W13"/>
    </sheetView>
  </sheetViews>
  <sheetFormatPr defaultRowHeight="15" x14ac:dyDescent="0.25"/>
  <cols>
    <col min="1" max="1" width="14.28515625" style="1" customWidth="1"/>
    <col min="2" max="2" width="16.42578125" style="1" customWidth="1"/>
    <col min="3" max="3" width="9.7109375" style="1" customWidth="1"/>
    <col min="4" max="4" width="16.5703125" style="1" customWidth="1"/>
    <col min="5" max="5" width="15.42578125" style="1" customWidth="1"/>
    <col min="6" max="6" width="9.7109375" style="1" customWidth="1"/>
    <col min="7" max="7" width="16.5703125" style="1" customWidth="1"/>
    <col min="8" max="8" width="15.42578125" style="1" customWidth="1"/>
    <col min="9" max="9" width="9.7109375" style="1" customWidth="1"/>
    <col min="10" max="10" width="16.5703125" style="1" customWidth="1"/>
    <col min="11" max="11" width="15.42578125" style="1" customWidth="1"/>
    <col min="12" max="12" width="9.7109375" style="1" customWidth="1"/>
    <col min="13" max="13" width="16.5703125" style="1" customWidth="1"/>
    <col min="14" max="14" width="15.42578125" style="1" customWidth="1"/>
    <col min="15" max="15" width="18.85546875" style="1" customWidth="1"/>
    <col min="16" max="16" width="8.42578125" style="1" customWidth="1"/>
    <col min="17" max="17" width="2" style="1" customWidth="1"/>
    <col min="18" max="16384" width="9.140625" style="1"/>
  </cols>
  <sheetData>
    <row r="2" spans="1:16" ht="21" x14ac:dyDescent="0.25">
      <c r="A2" s="37" t="s">
        <v>28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x14ac:dyDescent="0.25">
      <c r="A3" s="38" t="s">
        <v>27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1:16" s="3" customFormat="1" ht="15" customHeight="1" x14ac:dyDescent="0.25">
      <c r="A4" s="42" t="s">
        <v>16</v>
      </c>
      <c r="B4" s="42" t="s">
        <v>6</v>
      </c>
      <c r="C4" s="32">
        <v>2021</v>
      </c>
      <c r="D4" s="33"/>
      <c r="E4" s="33"/>
      <c r="F4" s="32">
        <v>2022</v>
      </c>
      <c r="G4" s="33"/>
      <c r="H4" s="33"/>
      <c r="I4" s="32">
        <v>2023</v>
      </c>
      <c r="J4" s="33"/>
      <c r="K4" s="33"/>
      <c r="L4" s="32">
        <v>2024</v>
      </c>
      <c r="M4" s="33"/>
      <c r="N4" s="33"/>
      <c r="O4" s="39" t="s">
        <v>8</v>
      </c>
      <c r="P4" s="39"/>
    </row>
    <row r="5" spans="1:16" s="3" customFormat="1" ht="17.25" x14ac:dyDescent="0.25">
      <c r="A5" s="29"/>
      <c r="B5" s="29"/>
      <c r="C5" s="6" t="s">
        <v>7</v>
      </c>
      <c r="D5" s="5" t="s">
        <v>25</v>
      </c>
      <c r="E5" s="5" t="s">
        <v>17</v>
      </c>
      <c r="F5" s="6" t="s">
        <v>7</v>
      </c>
      <c r="G5" s="5" t="s">
        <v>25</v>
      </c>
      <c r="H5" s="5" t="s">
        <v>17</v>
      </c>
      <c r="I5" s="25" t="s">
        <v>7</v>
      </c>
      <c r="J5" s="26" t="s">
        <v>25</v>
      </c>
      <c r="K5" s="26" t="s">
        <v>17</v>
      </c>
      <c r="L5" s="25" t="s">
        <v>7</v>
      </c>
      <c r="M5" s="26" t="s">
        <v>25</v>
      </c>
      <c r="N5" s="26" t="s">
        <v>17</v>
      </c>
      <c r="O5" s="40"/>
      <c r="P5" s="40"/>
    </row>
    <row r="6" spans="1:16" s="3" customFormat="1" ht="37.5" x14ac:dyDescent="0.25">
      <c r="A6" s="31" t="s">
        <v>18</v>
      </c>
      <c r="B6" s="31" t="s">
        <v>19</v>
      </c>
      <c r="C6" s="34" t="s">
        <v>3</v>
      </c>
      <c r="D6" s="20" t="s">
        <v>20</v>
      </c>
      <c r="E6" s="20" t="s">
        <v>21</v>
      </c>
      <c r="F6" s="34" t="s">
        <v>3</v>
      </c>
      <c r="G6" s="20" t="s">
        <v>20</v>
      </c>
      <c r="H6" s="20" t="s">
        <v>21</v>
      </c>
      <c r="I6" s="34" t="s">
        <v>3</v>
      </c>
      <c r="J6" s="20" t="s">
        <v>20</v>
      </c>
      <c r="K6" s="20" t="s">
        <v>21</v>
      </c>
      <c r="L6" s="34" t="s">
        <v>3</v>
      </c>
      <c r="M6" s="20" t="s">
        <v>20</v>
      </c>
      <c r="N6" s="20" t="s">
        <v>21</v>
      </c>
      <c r="O6" s="40"/>
      <c r="P6" s="40"/>
    </row>
    <row r="7" spans="1:16" s="3" customFormat="1" ht="18.75" x14ac:dyDescent="0.25">
      <c r="A7" s="30"/>
      <c r="B7" s="30"/>
      <c r="C7" s="35"/>
      <c r="D7" s="21" t="s">
        <v>22</v>
      </c>
      <c r="E7" s="21" t="s">
        <v>23</v>
      </c>
      <c r="F7" s="35"/>
      <c r="G7" s="21" t="s">
        <v>22</v>
      </c>
      <c r="H7" s="21" t="s">
        <v>23</v>
      </c>
      <c r="I7" s="35"/>
      <c r="J7" s="21" t="s">
        <v>22</v>
      </c>
      <c r="K7" s="21" t="s">
        <v>23</v>
      </c>
      <c r="L7" s="35"/>
      <c r="M7" s="21" t="s">
        <v>22</v>
      </c>
      <c r="N7" s="21" t="s">
        <v>23</v>
      </c>
      <c r="O7" s="41"/>
      <c r="P7" s="41"/>
    </row>
    <row r="8" spans="1:16" ht="21" x14ac:dyDescent="0.25">
      <c r="A8" s="7" t="s">
        <v>0</v>
      </c>
      <c r="B8" s="23" t="s">
        <v>7</v>
      </c>
      <c r="C8" s="9">
        <f>SUM(D8:E8)</f>
        <v>5414</v>
      </c>
      <c r="D8" s="8">
        <f>SUM(D9:D11)</f>
        <v>5248</v>
      </c>
      <c r="E8" s="8">
        <f>SUM(E9:E11)</f>
        <v>166</v>
      </c>
      <c r="F8" s="9">
        <f>SUM(G8:H8)</f>
        <v>5648</v>
      </c>
      <c r="G8" s="8">
        <f>SUM(G9:G11)</f>
        <v>5514</v>
      </c>
      <c r="H8" s="8">
        <f>SUM(H9:H11)</f>
        <v>134</v>
      </c>
      <c r="I8" s="27">
        <f>SUM(J8:K8)</f>
        <v>5373</v>
      </c>
      <c r="J8" s="8">
        <f>SUM(J9:J11)</f>
        <v>5183</v>
      </c>
      <c r="K8" s="8">
        <f>SUM(K9:K11)</f>
        <v>190</v>
      </c>
      <c r="L8" s="27">
        <f>SUM(M8:N8)</f>
        <v>5089</v>
      </c>
      <c r="M8" s="8">
        <f>SUM(M9:M11)</f>
        <v>4962</v>
      </c>
      <c r="N8" s="8">
        <f>SUM(N9:N11)</f>
        <v>127</v>
      </c>
      <c r="O8" s="36" t="s">
        <v>3</v>
      </c>
      <c r="P8" s="36"/>
    </row>
    <row r="9" spans="1:16" ht="21" x14ac:dyDescent="0.25">
      <c r="A9" s="10" t="s">
        <v>1</v>
      </c>
      <c r="B9" s="4" t="s">
        <v>9</v>
      </c>
      <c r="C9" s="12">
        <f>SUM(D9:E9)</f>
        <v>2396</v>
      </c>
      <c r="D9" s="11">
        <v>2335</v>
      </c>
      <c r="E9" s="11">
        <v>61</v>
      </c>
      <c r="F9" s="12">
        <f>SUM(G9:H9)</f>
        <v>2422</v>
      </c>
      <c r="G9" s="11">
        <v>2375</v>
      </c>
      <c r="H9" s="11">
        <v>47</v>
      </c>
      <c r="I9" s="12">
        <f>SUM(J9:K9)</f>
        <v>2425</v>
      </c>
      <c r="J9" s="11">
        <v>2335</v>
      </c>
      <c r="K9" s="11">
        <v>90</v>
      </c>
      <c r="L9" s="12">
        <f>SUM(M9:N9)</f>
        <v>2430</v>
      </c>
      <c r="M9" s="11">
        <v>2388</v>
      </c>
      <c r="N9" s="11">
        <v>42</v>
      </c>
      <c r="O9" s="13" t="s">
        <v>10</v>
      </c>
      <c r="P9" s="13" t="s">
        <v>11</v>
      </c>
    </row>
    <row r="10" spans="1:16" ht="21" x14ac:dyDescent="0.25">
      <c r="A10" s="10" t="s">
        <v>1</v>
      </c>
      <c r="B10" s="4" t="s">
        <v>14</v>
      </c>
      <c r="C10" s="12">
        <f>SUM(D10:E10)</f>
        <v>330</v>
      </c>
      <c r="D10" s="11">
        <v>326</v>
      </c>
      <c r="E10" s="11">
        <v>4</v>
      </c>
      <c r="F10" s="12">
        <f>SUM(G10:H10)</f>
        <v>440</v>
      </c>
      <c r="G10" s="11">
        <v>431</v>
      </c>
      <c r="H10" s="11">
        <v>9</v>
      </c>
      <c r="I10" s="12">
        <f>SUM(J10:K10)</f>
        <v>508</v>
      </c>
      <c r="J10" s="11">
        <v>493</v>
      </c>
      <c r="K10" s="11">
        <v>15</v>
      </c>
      <c r="L10" s="12">
        <f>SUM(M10:N10)</f>
        <v>421</v>
      </c>
      <c r="M10" s="11">
        <v>414</v>
      </c>
      <c r="N10" s="11">
        <v>7</v>
      </c>
      <c r="O10" s="13" t="s">
        <v>15</v>
      </c>
      <c r="P10" s="13" t="s">
        <v>11</v>
      </c>
    </row>
    <row r="11" spans="1:16" ht="21" x14ac:dyDescent="0.25">
      <c r="A11" s="14" t="s">
        <v>2</v>
      </c>
      <c r="B11" s="15" t="s">
        <v>12</v>
      </c>
      <c r="C11" s="16">
        <f>SUM(D11:E11)</f>
        <v>2688</v>
      </c>
      <c r="D11" s="28">
        <v>2587</v>
      </c>
      <c r="E11" s="28">
        <v>101</v>
      </c>
      <c r="F11" s="16">
        <f>SUM(G11:H11)</f>
        <v>2786</v>
      </c>
      <c r="G11" s="24">
        <f>3139-431</f>
        <v>2708</v>
      </c>
      <c r="H11" s="24">
        <f>87-9</f>
        <v>78</v>
      </c>
      <c r="I11" s="16">
        <f>SUM(J11:K11)</f>
        <v>2440</v>
      </c>
      <c r="J11" s="24">
        <v>2355</v>
      </c>
      <c r="K11" s="24">
        <v>85</v>
      </c>
      <c r="L11" s="16">
        <f>SUM(M11:N11)</f>
        <v>2238</v>
      </c>
      <c r="M11" s="24">
        <v>2160</v>
      </c>
      <c r="N11" s="24">
        <v>78</v>
      </c>
      <c r="O11" s="17" t="s">
        <v>13</v>
      </c>
      <c r="P11" s="18" t="s">
        <v>24</v>
      </c>
    </row>
    <row r="12" spans="1:16" ht="18" x14ac:dyDescent="0.45">
      <c r="A12" s="22" t="s">
        <v>26</v>
      </c>
      <c r="P12" s="2" t="s">
        <v>5</v>
      </c>
    </row>
    <row r="13" spans="1:16" x14ac:dyDescent="0.25">
      <c r="A13" s="19" t="s">
        <v>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6" x14ac:dyDescent="0.25">
      <c r="C14" s="11"/>
      <c r="F14" s="11"/>
      <c r="I14" s="11"/>
      <c r="L14" s="11"/>
    </row>
    <row r="15" spans="1:16" x14ac:dyDescent="0.25">
      <c r="C15" s="11"/>
      <c r="F15" s="11"/>
      <c r="I15" s="11"/>
      <c r="L15" s="11"/>
    </row>
    <row r="16" spans="1:16" x14ac:dyDescent="0.25">
      <c r="C16" s="11"/>
      <c r="F16" s="11"/>
      <c r="I16" s="11"/>
      <c r="L16" s="11"/>
    </row>
  </sheetData>
  <mergeCells count="16">
    <mergeCell ref="O8:P8"/>
    <mergeCell ref="A2:P2"/>
    <mergeCell ref="A3:P3"/>
    <mergeCell ref="F4:H4"/>
    <mergeCell ref="O4:P7"/>
    <mergeCell ref="F6:F7"/>
    <mergeCell ref="A4:A5"/>
    <mergeCell ref="B4:B5"/>
    <mergeCell ref="A6:A7"/>
    <mergeCell ref="B6:B7"/>
    <mergeCell ref="C4:E4"/>
    <mergeCell ref="L4:N4"/>
    <mergeCell ref="L6:L7"/>
    <mergeCell ref="I4:K4"/>
    <mergeCell ref="I6:I7"/>
    <mergeCell ref="C6:C7"/>
  </mergeCells>
  <pageMargins left="0.7" right="0.7" top="0.75" bottom="0.75" header="0.3" footer="0.3"/>
  <pageSetup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3.24</vt:lpstr>
      <vt:lpstr>'3.24'!Print_Area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2026-05-03T02:53:37Z</cp:lastPrinted>
  <dcterms:created xsi:type="dcterms:W3CDTF">2019-07-22T06:02:33Z</dcterms:created>
  <dcterms:modified xsi:type="dcterms:W3CDTF">2026-05-03T02:55:43Z</dcterms:modified>
</cp:coreProperties>
</file>