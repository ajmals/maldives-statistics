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Population\"/>
    </mc:Choice>
  </mc:AlternateContent>
  <xr:revisionPtr revIDLastSave="0" documentId="13_ncr:1_{75F50994-1947-4222-A601-ABD3CE7E649B}" xr6:coauthVersionLast="47" xr6:coauthVersionMax="47" xr10:uidLastSave="{00000000-0000-0000-0000-000000000000}"/>
  <bookViews>
    <workbookView xWindow="-120" yWindow="-120" windowWidth="29040" windowHeight="15720" tabRatio="806" xr2:uid="{00000000-000D-0000-FFFF-FFFF00000000}"/>
  </bookViews>
  <sheets>
    <sheet name="3.13" sheetId="11" r:id="rId1"/>
  </sheets>
  <definedNames>
    <definedName name="_xlnm.Print_Area" localSheetId="0">'3.13'!$A$1:$S$28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11" l="1"/>
  <c r="P15" i="11"/>
  <c r="M15" i="11"/>
  <c r="L15" i="11"/>
  <c r="I15" i="11"/>
  <c r="H15" i="11"/>
  <c r="G15" i="11"/>
  <c r="F15" i="11"/>
  <c r="E15" i="11"/>
  <c r="D15" i="11"/>
  <c r="C15" i="11"/>
  <c r="B15" i="11"/>
  <c r="P10" i="11"/>
  <c r="M10" i="11"/>
  <c r="M5" i="11" s="1"/>
  <c r="L10" i="11"/>
  <c r="I10" i="11"/>
  <c r="H10" i="11"/>
  <c r="G10" i="11"/>
  <c r="F10" i="11"/>
  <c r="E10" i="11"/>
  <c r="D10" i="11"/>
  <c r="C10" i="11"/>
  <c r="B10" i="11"/>
  <c r="P9" i="11"/>
  <c r="O9" i="11"/>
  <c r="P8" i="11"/>
  <c r="O8" i="11"/>
  <c r="M8" i="11"/>
  <c r="L8" i="11"/>
  <c r="K8" i="11"/>
  <c r="J8" i="11"/>
  <c r="I8" i="11"/>
  <c r="H8" i="11"/>
  <c r="G8" i="11"/>
  <c r="F8" i="11"/>
  <c r="E8" i="11"/>
  <c r="D8" i="11"/>
  <c r="C8" i="11"/>
  <c r="B8" i="11"/>
  <c r="P7" i="11"/>
  <c r="O7" i="11"/>
  <c r="M7" i="11"/>
  <c r="L7" i="11"/>
  <c r="K7" i="11"/>
  <c r="J7" i="11"/>
  <c r="I7" i="11"/>
  <c r="H7" i="11"/>
  <c r="G7" i="11"/>
  <c r="F7" i="11"/>
  <c r="E7" i="11"/>
  <c r="D7" i="11"/>
  <c r="C7" i="11"/>
  <c r="B7" i="11"/>
  <c r="P6" i="11"/>
  <c r="O6" i="11"/>
  <c r="L6" i="11"/>
  <c r="K6" i="11"/>
  <c r="J6" i="11"/>
  <c r="I6" i="11"/>
  <c r="H6" i="11"/>
  <c r="G6" i="11"/>
  <c r="F6" i="11"/>
  <c r="E6" i="11"/>
  <c r="D6" i="11"/>
  <c r="C6" i="11"/>
  <c r="B6" i="11"/>
  <c r="K5" i="11"/>
  <c r="J5" i="11"/>
  <c r="E5" i="11" l="1"/>
  <c r="F5" i="11"/>
  <c r="H5" i="11"/>
  <c r="L5" i="11"/>
  <c r="C5" i="11"/>
  <c r="D5" i="11"/>
  <c r="B5" i="11"/>
  <c r="G5" i="11"/>
  <c r="I5" i="11"/>
  <c r="P5" i="11"/>
</calcChain>
</file>

<file path=xl/sharedStrings.xml><?xml version="1.0" encoding="utf-8"?>
<sst xmlns="http://schemas.openxmlformats.org/spreadsheetml/2006/main" count="151" uniqueCount="32">
  <si>
    <t>cnehirif</t>
  </si>
  <si>
    <t>cnehcnwa</t>
  </si>
  <si>
    <t>Both Sexes</t>
  </si>
  <si>
    <t>Male</t>
  </si>
  <si>
    <t>Female</t>
  </si>
  <si>
    <t>-</t>
  </si>
  <si>
    <t>Not stated</t>
  </si>
  <si>
    <t>ބަޔާން ނުކުރާ</t>
  </si>
  <si>
    <t xml:space="preserve">Source: Ministry of Health </t>
  </si>
  <si>
    <t xml:space="preserve">މަޢުލޫމާތު ދެއްވީ: މިނިސްޓްރީ އޮފް ހެލްތު </t>
  </si>
  <si>
    <t>caerumua Whiruh</t>
  </si>
  <si>
    <t>Age (in days) and Sex</t>
  </si>
  <si>
    <t>uscnij idwa /(cnuhwvud) urumua</t>
  </si>
  <si>
    <t>Less than 7 days</t>
  </si>
  <si>
    <t>udwm eruvcSwhwvud 7</t>
  </si>
  <si>
    <t>7 - 27 days</t>
  </si>
  <si>
    <t>cswvud 27 - 7</t>
  </si>
  <si>
    <t>28 - 364</t>
  </si>
  <si>
    <t>364 - 28</t>
  </si>
  <si>
    <t>7 - 27</t>
  </si>
  <si>
    <t>27 - 7</t>
  </si>
  <si>
    <t>ޖިންސު ބަޔާންނުކުރާ</t>
  </si>
  <si>
    <t>Data includes Maldivians and foreigners</t>
  </si>
  <si>
    <t>Sex Not Stated</t>
  </si>
  <si>
    <t>Not Stated</t>
  </si>
  <si>
    <t>8 - 27</t>
  </si>
  <si>
    <t>29 - 364</t>
  </si>
  <si>
    <r>
      <t>2021</t>
    </r>
    <r>
      <rPr>
        <b/>
        <vertAlign val="superscript"/>
        <sz val="10"/>
        <color theme="1"/>
        <rFont val="Calibri"/>
        <family val="2"/>
      </rPr>
      <t>1_/</t>
    </r>
  </si>
  <si>
    <r>
      <rPr>
        <sz val="2"/>
        <color theme="1"/>
        <rFont val="Faruma"/>
      </rPr>
      <t>ނ</t>
    </r>
    <r>
      <rPr>
        <sz val="9"/>
        <color theme="1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</si>
  <si>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t>Note: 1_/: 2021 figures are revised and  tentative and is expected to change</t>
  </si>
  <si>
    <t>2021 - 2007 ,cnutogegurumua iaWscnij ,cnidukwDukivurwm : 3.13 ulwvWt</t>
  </si>
  <si>
    <t>Table 3.13 : INFANT DEATHS BY AGE AND SEX, 2007- 2021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</si>
</sst>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71" formatCode="_(* #,##0_);_(* \(#,##0\);_(* &quot;-&quot;??_);_(@_)"/>
    <numFmt numFmtId="174" formatCode="_(* #,##0.0_);_(* \(#,##0.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Faruma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10"/>
      <color theme="1"/>
      <name val="Faruma"/>
    </font>
    <font>
      <i/>
      <sz val="10"/>
      <color theme="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theme="1"/>
      <name val="A_Faseyha"/>
    </font>
    <font>
      <b/>
      <sz val="11"/>
      <color theme="1"/>
      <name val="A_Faseyha"/>
    </font>
    <font>
      <b/>
      <sz val="8"/>
      <color theme="1"/>
      <name val="A_Faseyha"/>
    </font>
    <font>
      <b/>
      <sz val="10"/>
      <color theme="1"/>
      <name val="A_Faseyha"/>
    </font>
    <font>
      <sz val="2"/>
      <color theme="1"/>
      <name val="Faruma"/>
    </font>
    <font>
      <b/>
      <vertAlign val="superscript"/>
      <sz val="10"/>
      <color theme="1"/>
      <name val="Calibri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9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6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23" fillId="0" borderId="0"/>
  </cellStyleXfs>
  <cellXfs count="35">
    <xf numFmtId="0" fontId="0" fillId="0" borderId="0" xfId="0"/>
    <xf numFmtId="0" fontId="0" fillId="2" borderId="0" xfId="0" applyFill="1"/>
    <xf numFmtId="174" fontId="10" fillId="2" borderId="0" xfId="14" applyNumberFormat="1" applyFont="1" applyFill="1" applyBorder="1" applyAlignment="1">
      <alignment horizontal="right" vertical="center"/>
    </xf>
    <xf numFmtId="174" fontId="8" fillId="2" borderId="1" xfId="14" applyNumberFormat="1" applyFont="1" applyFill="1" applyBorder="1" applyAlignment="1">
      <alignment horizontal="right" vertical="center"/>
    </xf>
    <xf numFmtId="167" fontId="6" fillId="2" borderId="0" xfId="0" applyNumberFormat="1" applyFont="1" applyFill="1"/>
    <xf numFmtId="167" fontId="7" fillId="2" borderId="1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9" fillId="2" borderId="2" xfId="0" applyNumberFormat="1" applyFont="1" applyFill="1" applyBorder="1" applyAlignment="1">
      <alignment horizontal="left" vertical="center"/>
    </xf>
    <xf numFmtId="167" fontId="9" fillId="2" borderId="2" xfId="0" applyNumberFormat="1" applyFont="1" applyFill="1" applyBorder="1" applyAlignment="1">
      <alignment horizontal="right" vertical="center"/>
    </xf>
    <xf numFmtId="167" fontId="8" fillId="2" borderId="2" xfId="0" applyNumberFormat="1" applyFont="1" applyFill="1" applyBorder="1" applyAlignment="1">
      <alignment horizontal="right" vertical="center"/>
    </xf>
    <xf numFmtId="167" fontId="19" fillId="2" borderId="2" xfId="0" applyNumberFormat="1" applyFont="1" applyFill="1" applyBorder="1" applyAlignment="1">
      <alignment horizontal="right" vertical="center"/>
    </xf>
    <xf numFmtId="167" fontId="9" fillId="2" borderId="0" xfId="0" applyNumberFormat="1" applyFont="1" applyFill="1" applyAlignment="1">
      <alignment horizontal="left" vertical="center" indent="1"/>
    </xf>
    <xf numFmtId="167" fontId="9" fillId="2" borderId="0" xfId="0" applyNumberFormat="1" applyFont="1" applyFill="1" applyAlignment="1">
      <alignment vertical="center"/>
    </xf>
    <xf numFmtId="167" fontId="20" fillId="2" borderId="0" xfId="0" applyNumberFormat="1" applyFont="1" applyFill="1" applyAlignment="1">
      <alignment horizontal="right" vertical="center" indent="1"/>
    </xf>
    <xf numFmtId="167" fontId="12" fillId="2" borderId="0" xfId="0" applyNumberFormat="1" applyFont="1" applyFill="1" applyAlignment="1">
      <alignment horizontal="left" vertical="center" indent="1"/>
    </xf>
    <xf numFmtId="167" fontId="12" fillId="2" borderId="0" xfId="0" applyNumberFormat="1" applyFont="1" applyFill="1" applyAlignment="1">
      <alignment vertical="center"/>
    </xf>
    <xf numFmtId="167" fontId="17" fillId="2" borderId="0" xfId="0" applyNumberFormat="1" applyFont="1" applyFill="1" applyAlignment="1">
      <alignment horizontal="right" vertical="center" indent="1"/>
    </xf>
    <xf numFmtId="167" fontId="12" fillId="2" borderId="0" xfId="0" quotePrefix="1" applyNumberFormat="1" applyFont="1" applyFill="1" applyAlignment="1">
      <alignment horizontal="left" vertical="center" indent="1"/>
    </xf>
    <xf numFmtId="167" fontId="17" fillId="2" borderId="0" xfId="0" quotePrefix="1" applyNumberFormat="1" applyFont="1" applyFill="1" applyAlignment="1">
      <alignment horizontal="right" vertical="center" indent="1"/>
    </xf>
    <xf numFmtId="167" fontId="14" fillId="2" borderId="0" xfId="0" quotePrefix="1" applyNumberFormat="1" applyFont="1" applyFill="1" applyAlignment="1">
      <alignment horizontal="right" vertical="center" indent="1"/>
    </xf>
    <xf numFmtId="167" fontId="12" fillId="2" borderId="1" xfId="0" quotePrefix="1" applyNumberFormat="1" applyFont="1" applyFill="1" applyBorder="1" applyAlignment="1">
      <alignment horizontal="left" vertical="center" indent="1"/>
    </xf>
    <xf numFmtId="167" fontId="12" fillId="2" borderId="1" xfId="0" applyNumberFormat="1" applyFont="1" applyFill="1" applyBorder="1" applyAlignment="1">
      <alignment vertical="center"/>
    </xf>
    <xf numFmtId="167" fontId="14" fillId="2" borderId="1" xfId="0" quotePrefix="1" applyNumberFormat="1" applyFont="1" applyFill="1" applyBorder="1" applyAlignment="1">
      <alignment horizontal="right" vertical="center" indent="1"/>
    </xf>
    <xf numFmtId="167" fontId="15" fillId="2" borderId="0" xfId="11" applyFont="1" applyFill="1" applyAlignment="1" applyProtection="1">
      <alignment vertical="center"/>
      <protection hidden="1"/>
    </xf>
    <xf numFmtId="167" fontId="11" fillId="2" borderId="0" xfId="10" applyFont="1" applyFill="1" applyAlignment="1" applyProtection="1">
      <alignment horizontal="right" vertical="center" indent="1"/>
      <protection hidden="1"/>
    </xf>
    <xf numFmtId="167" fontId="13" fillId="2" borderId="0" xfId="0" applyNumberFormat="1" applyFont="1" applyFill="1" applyAlignment="1">
      <alignment horizontal="left" vertical="center"/>
    </xf>
    <xf numFmtId="167" fontId="11" fillId="2" borderId="0" xfId="10" applyFont="1" applyFill="1" applyAlignment="1" applyProtection="1">
      <alignment horizontal="right"/>
      <protection hidden="1"/>
    </xf>
    <xf numFmtId="167" fontId="4" fillId="2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vertical="center"/>
    </xf>
    <xf numFmtId="167" fontId="12" fillId="2" borderId="0" xfId="0" applyNumberFormat="1" applyFont="1" applyFill="1" applyAlignment="1">
      <alignment horizontal="right" vertical="center"/>
    </xf>
    <xf numFmtId="171" fontId="10" fillId="2" borderId="1" xfId="14" applyNumberFormat="1" applyFont="1" applyFill="1" applyBorder="1" applyAlignment="1">
      <alignment horizontal="right" vertical="center"/>
    </xf>
    <xf numFmtId="167" fontId="12" fillId="2" borderId="1" xfId="0" applyNumberFormat="1" applyFont="1" applyFill="1" applyBorder="1" applyAlignment="1">
      <alignment horizontal="right" vertical="center"/>
    </xf>
    <xf numFmtId="171" fontId="10" fillId="2" borderId="0" xfId="14" applyNumberFormat="1" applyFont="1" applyFill="1" applyBorder="1" applyAlignment="1">
      <alignment horizontal="right" vertical="center"/>
    </xf>
    <xf numFmtId="167" fontId="18" fillId="2" borderId="0" xfId="0" applyNumberFormat="1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</cellXfs>
  <cellStyles count="29">
    <cellStyle name="1" xfId="15" xr:uid="{00000000-0005-0000-0000-000000000000}"/>
    <cellStyle name="Comma" xfId="14" builtinId="3"/>
    <cellStyle name="Comma 2" xfId="13" xr:uid="{00000000-0005-0000-0000-000002000000}"/>
    <cellStyle name="Comma 2 2" xfId="24" xr:uid="{00000000-0005-0000-0000-000003000000}"/>
    <cellStyle name="Comma 2 3" xfId="27" xr:uid="{7B97C7B6-45BC-4F87-B021-D2FFE1457BD1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2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 2" xfId="26" xr:uid="{C876A118-C7AA-4052-92BB-F37EED3B4522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 5 3" xfId="28" xr:uid="{322195DD-DDD2-4FE1-89C3-0612B80BE6DB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3300"/>
      <color rgb="FFFBFFF7"/>
      <color rgb="FF336600"/>
      <color rgb="FF2F75B5"/>
      <color rgb="FFFF3399"/>
      <color rgb="FFF5DFEA"/>
      <color rgb="FF993366"/>
      <color rgb="FFDA8EB4"/>
      <color rgb="FFE2A8C5"/>
      <color rgb="FFFAF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7"/>
  <sheetViews>
    <sheetView tabSelected="1" zoomScaleNormal="100" workbookViewId="0">
      <selection activeCell="U10" sqref="U10"/>
    </sheetView>
  </sheetViews>
  <sheetFormatPr defaultRowHeight="15" x14ac:dyDescent="0.25"/>
  <cols>
    <col min="1" max="1" width="19.140625" style="1" customWidth="1"/>
    <col min="2" max="10" width="8.140625" style="1" customWidth="1"/>
    <col min="11" max="15" width="8.5703125" style="1" customWidth="1"/>
    <col min="16" max="16" width="10" style="1" customWidth="1"/>
    <col min="17" max="17" width="24" style="1" customWidth="1"/>
    <col min="18" max="18" width="3.42578125" style="1" customWidth="1"/>
    <col min="19" max="254" width="9.140625" style="1"/>
    <col min="255" max="255" width="19.140625" style="1" customWidth="1"/>
    <col min="256" max="258" width="0" style="1" hidden="1" customWidth="1"/>
    <col min="259" max="268" width="8.140625" style="1" customWidth="1"/>
    <col min="269" max="270" width="8.5703125" style="1" customWidth="1"/>
    <col min="271" max="271" width="0" style="1" hidden="1" customWidth="1"/>
    <col min="272" max="272" width="22.7109375" style="1" customWidth="1"/>
    <col min="273" max="510" width="9.140625" style="1"/>
    <col min="511" max="511" width="19.140625" style="1" customWidth="1"/>
    <col min="512" max="514" width="0" style="1" hidden="1" customWidth="1"/>
    <col min="515" max="524" width="8.140625" style="1" customWidth="1"/>
    <col min="525" max="526" width="8.5703125" style="1" customWidth="1"/>
    <col min="527" max="527" width="0" style="1" hidden="1" customWidth="1"/>
    <col min="528" max="528" width="22.7109375" style="1" customWidth="1"/>
    <col min="529" max="766" width="9.140625" style="1"/>
    <col min="767" max="767" width="19.140625" style="1" customWidth="1"/>
    <col min="768" max="770" width="0" style="1" hidden="1" customWidth="1"/>
    <col min="771" max="780" width="8.140625" style="1" customWidth="1"/>
    <col min="781" max="782" width="8.5703125" style="1" customWidth="1"/>
    <col min="783" max="783" width="0" style="1" hidden="1" customWidth="1"/>
    <col min="784" max="784" width="22.7109375" style="1" customWidth="1"/>
    <col min="785" max="1022" width="9.140625" style="1"/>
    <col min="1023" max="1023" width="19.140625" style="1" customWidth="1"/>
    <col min="1024" max="1026" width="0" style="1" hidden="1" customWidth="1"/>
    <col min="1027" max="1036" width="8.140625" style="1" customWidth="1"/>
    <col min="1037" max="1038" width="8.5703125" style="1" customWidth="1"/>
    <col min="1039" max="1039" width="0" style="1" hidden="1" customWidth="1"/>
    <col min="1040" max="1040" width="22.7109375" style="1" customWidth="1"/>
    <col min="1041" max="1278" width="9.140625" style="1"/>
    <col min="1279" max="1279" width="19.140625" style="1" customWidth="1"/>
    <col min="1280" max="1282" width="0" style="1" hidden="1" customWidth="1"/>
    <col min="1283" max="1292" width="8.140625" style="1" customWidth="1"/>
    <col min="1293" max="1294" width="8.5703125" style="1" customWidth="1"/>
    <col min="1295" max="1295" width="0" style="1" hidden="1" customWidth="1"/>
    <col min="1296" max="1296" width="22.7109375" style="1" customWidth="1"/>
    <col min="1297" max="1534" width="9.140625" style="1"/>
    <col min="1535" max="1535" width="19.140625" style="1" customWidth="1"/>
    <col min="1536" max="1538" width="0" style="1" hidden="1" customWidth="1"/>
    <col min="1539" max="1548" width="8.140625" style="1" customWidth="1"/>
    <col min="1549" max="1550" width="8.5703125" style="1" customWidth="1"/>
    <col min="1551" max="1551" width="0" style="1" hidden="1" customWidth="1"/>
    <col min="1552" max="1552" width="22.7109375" style="1" customWidth="1"/>
    <col min="1553" max="1790" width="9.140625" style="1"/>
    <col min="1791" max="1791" width="19.140625" style="1" customWidth="1"/>
    <col min="1792" max="1794" width="0" style="1" hidden="1" customWidth="1"/>
    <col min="1795" max="1804" width="8.140625" style="1" customWidth="1"/>
    <col min="1805" max="1806" width="8.5703125" style="1" customWidth="1"/>
    <col min="1807" max="1807" width="0" style="1" hidden="1" customWidth="1"/>
    <col min="1808" max="1808" width="22.7109375" style="1" customWidth="1"/>
    <col min="1809" max="2046" width="9.140625" style="1"/>
    <col min="2047" max="2047" width="19.140625" style="1" customWidth="1"/>
    <col min="2048" max="2050" width="0" style="1" hidden="1" customWidth="1"/>
    <col min="2051" max="2060" width="8.140625" style="1" customWidth="1"/>
    <col min="2061" max="2062" width="8.5703125" style="1" customWidth="1"/>
    <col min="2063" max="2063" width="0" style="1" hidden="1" customWidth="1"/>
    <col min="2064" max="2064" width="22.7109375" style="1" customWidth="1"/>
    <col min="2065" max="2302" width="9.140625" style="1"/>
    <col min="2303" max="2303" width="19.140625" style="1" customWidth="1"/>
    <col min="2304" max="2306" width="0" style="1" hidden="1" customWidth="1"/>
    <col min="2307" max="2316" width="8.140625" style="1" customWidth="1"/>
    <col min="2317" max="2318" width="8.5703125" style="1" customWidth="1"/>
    <col min="2319" max="2319" width="0" style="1" hidden="1" customWidth="1"/>
    <col min="2320" max="2320" width="22.7109375" style="1" customWidth="1"/>
    <col min="2321" max="2558" width="9.140625" style="1"/>
    <col min="2559" max="2559" width="19.140625" style="1" customWidth="1"/>
    <col min="2560" max="2562" width="0" style="1" hidden="1" customWidth="1"/>
    <col min="2563" max="2572" width="8.140625" style="1" customWidth="1"/>
    <col min="2573" max="2574" width="8.5703125" style="1" customWidth="1"/>
    <col min="2575" max="2575" width="0" style="1" hidden="1" customWidth="1"/>
    <col min="2576" max="2576" width="22.7109375" style="1" customWidth="1"/>
    <col min="2577" max="2814" width="9.140625" style="1"/>
    <col min="2815" max="2815" width="19.140625" style="1" customWidth="1"/>
    <col min="2816" max="2818" width="0" style="1" hidden="1" customWidth="1"/>
    <col min="2819" max="2828" width="8.140625" style="1" customWidth="1"/>
    <col min="2829" max="2830" width="8.5703125" style="1" customWidth="1"/>
    <col min="2831" max="2831" width="0" style="1" hidden="1" customWidth="1"/>
    <col min="2832" max="2832" width="22.7109375" style="1" customWidth="1"/>
    <col min="2833" max="3070" width="9.140625" style="1"/>
    <col min="3071" max="3071" width="19.140625" style="1" customWidth="1"/>
    <col min="3072" max="3074" width="0" style="1" hidden="1" customWidth="1"/>
    <col min="3075" max="3084" width="8.140625" style="1" customWidth="1"/>
    <col min="3085" max="3086" width="8.5703125" style="1" customWidth="1"/>
    <col min="3087" max="3087" width="0" style="1" hidden="1" customWidth="1"/>
    <col min="3088" max="3088" width="22.7109375" style="1" customWidth="1"/>
    <col min="3089" max="3326" width="9.140625" style="1"/>
    <col min="3327" max="3327" width="19.140625" style="1" customWidth="1"/>
    <col min="3328" max="3330" width="0" style="1" hidden="1" customWidth="1"/>
    <col min="3331" max="3340" width="8.140625" style="1" customWidth="1"/>
    <col min="3341" max="3342" width="8.5703125" style="1" customWidth="1"/>
    <col min="3343" max="3343" width="0" style="1" hidden="1" customWidth="1"/>
    <col min="3344" max="3344" width="22.7109375" style="1" customWidth="1"/>
    <col min="3345" max="3582" width="9.140625" style="1"/>
    <col min="3583" max="3583" width="19.140625" style="1" customWidth="1"/>
    <col min="3584" max="3586" width="0" style="1" hidden="1" customWidth="1"/>
    <col min="3587" max="3596" width="8.140625" style="1" customWidth="1"/>
    <col min="3597" max="3598" width="8.5703125" style="1" customWidth="1"/>
    <col min="3599" max="3599" width="0" style="1" hidden="1" customWidth="1"/>
    <col min="3600" max="3600" width="22.7109375" style="1" customWidth="1"/>
    <col min="3601" max="3838" width="9.140625" style="1"/>
    <col min="3839" max="3839" width="19.140625" style="1" customWidth="1"/>
    <col min="3840" max="3842" width="0" style="1" hidden="1" customWidth="1"/>
    <col min="3843" max="3852" width="8.140625" style="1" customWidth="1"/>
    <col min="3853" max="3854" width="8.5703125" style="1" customWidth="1"/>
    <col min="3855" max="3855" width="0" style="1" hidden="1" customWidth="1"/>
    <col min="3856" max="3856" width="22.7109375" style="1" customWidth="1"/>
    <col min="3857" max="4094" width="9.140625" style="1"/>
    <col min="4095" max="4095" width="19.140625" style="1" customWidth="1"/>
    <col min="4096" max="4098" width="0" style="1" hidden="1" customWidth="1"/>
    <col min="4099" max="4108" width="8.140625" style="1" customWidth="1"/>
    <col min="4109" max="4110" width="8.5703125" style="1" customWidth="1"/>
    <col min="4111" max="4111" width="0" style="1" hidden="1" customWidth="1"/>
    <col min="4112" max="4112" width="22.7109375" style="1" customWidth="1"/>
    <col min="4113" max="4350" width="9.140625" style="1"/>
    <col min="4351" max="4351" width="19.140625" style="1" customWidth="1"/>
    <col min="4352" max="4354" width="0" style="1" hidden="1" customWidth="1"/>
    <col min="4355" max="4364" width="8.140625" style="1" customWidth="1"/>
    <col min="4365" max="4366" width="8.5703125" style="1" customWidth="1"/>
    <col min="4367" max="4367" width="0" style="1" hidden="1" customWidth="1"/>
    <col min="4368" max="4368" width="22.7109375" style="1" customWidth="1"/>
    <col min="4369" max="4606" width="9.140625" style="1"/>
    <col min="4607" max="4607" width="19.140625" style="1" customWidth="1"/>
    <col min="4608" max="4610" width="0" style="1" hidden="1" customWidth="1"/>
    <col min="4611" max="4620" width="8.140625" style="1" customWidth="1"/>
    <col min="4621" max="4622" width="8.5703125" style="1" customWidth="1"/>
    <col min="4623" max="4623" width="0" style="1" hidden="1" customWidth="1"/>
    <col min="4624" max="4624" width="22.7109375" style="1" customWidth="1"/>
    <col min="4625" max="4862" width="9.140625" style="1"/>
    <col min="4863" max="4863" width="19.140625" style="1" customWidth="1"/>
    <col min="4864" max="4866" width="0" style="1" hidden="1" customWidth="1"/>
    <col min="4867" max="4876" width="8.140625" style="1" customWidth="1"/>
    <col min="4877" max="4878" width="8.5703125" style="1" customWidth="1"/>
    <col min="4879" max="4879" width="0" style="1" hidden="1" customWidth="1"/>
    <col min="4880" max="4880" width="22.7109375" style="1" customWidth="1"/>
    <col min="4881" max="5118" width="9.140625" style="1"/>
    <col min="5119" max="5119" width="19.140625" style="1" customWidth="1"/>
    <col min="5120" max="5122" width="0" style="1" hidden="1" customWidth="1"/>
    <col min="5123" max="5132" width="8.140625" style="1" customWidth="1"/>
    <col min="5133" max="5134" width="8.5703125" style="1" customWidth="1"/>
    <col min="5135" max="5135" width="0" style="1" hidden="1" customWidth="1"/>
    <col min="5136" max="5136" width="22.7109375" style="1" customWidth="1"/>
    <col min="5137" max="5374" width="9.140625" style="1"/>
    <col min="5375" max="5375" width="19.140625" style="1" customWidth="1"/>
    <col min="5376" max="5378" width="0" style="1" hidden="1" customWidth="1"/>
    <col min="5379" max="5388" width="8.140625" style="1" customWidth="1"/>
    <col min="5389" max="5390" width="8.5703125" style="1" customWidth="1"/>
    <col min="5391" max="5391" width="0" style="1" hidden="1" customWidth="1"/>
    <col min="5392" max="5392" width="22.7109375" style="1" customWidth="1"/>
    <col min="5393" max="5630" width="9.140625" style="1"/>
    <col min="5631" max="5631" width="19.140625" style="1" customWidth="1"/>
    <col min="5632" max="5634" width="0" style="1" hidden="1" customWidth="1"/>
    <col min="5635" max="5644" width="8.140625" style="1" customWidth="1"/>
    <col min="5645" max="5646" width="8.5703125" style="1" customWidth="1"/>
    <col min="5647" max="5647" width="0" style="1" hidden="1" customWidth="1"/>
    <col min="5648" max="5648" width="22.7109375" style="1" customWidth="1"/>
    <col min="5649" max="5886" width="9.140625" style="1"/>
    <col min="5887" max="5887" width="19.140625" style="1" customWidth="1"/>
    <col min="5888" max="5890" width="0" style="1" hidden="1" customWidth="1"/>
    <col min="5891" max="5900" width="8.140625" style="1" customWidth="1"/>
    <col min="5901" max="5902" width="8.5703125" style="1" customWidth="1"/>
    <col min="5903" max="5903" width="0" style="1" hidden="1" customWidth="1"/>
    <col min="5904" max="5904" width="22.7109375" style="1" customWidth="1"/>
    <col min="5905" max="6142" width="9.140625" style="1"/>
    <col min="6143" max="6143" width="19.140625" style="1" customWidth="1"/>
    <col min="6144" max="6146" width="0" style="1" hidden="1" customWidth="1"/>
    <col min="6147" max="6156" width="8.140625" style="1" customWidth="1"/>
    <col min="6157" max="6158" width="8.5703125" style="1" customWidth="1"/>
    <col min="6159" max="6159" width="0" style="1" hidden="1" customWidth="1"/>
    <col min="6160" max="6160" width="22.7109375" style="1" customWidth="1"/>
    <col min="6161" max="6398" width="9.140625" style="1"/>
    <col min="6399" max="6399" width="19.140625" style="1" customWidth="1"/>
    <col min="6400" max="6402" width="0" style="1" hidden="1" customWidth="1"/>
    <col min="6403" max="6412" width="8.140625" style="1" customWidth="1"/>
    <col min="6413" max="6414" width="8.5703125" style="1" customWidth="1"/>
    <col min="6415" max="6415" width="0" style="1" hidden="1" customWidth="1"/>
    <col min="6416" max="6416" width="22.7109375" style="1" customWidth="1"/>
    <col min="6417" max="6654" width="9.140625" style="1"/>
    <col min="6655" max="6655" width="19.140625" style="1" customWidth="1"/>
    <col min="6656" max="6658" width="0" style="1" hidden="1" customWidth="1"/>
    <col min="6659" max="6668" width="8.140625" style="1" customWidth="1"/>
    <col min="6669" max="6670" width="8.5703125" style="1" customWidth="1"/>
    <col min="6671" max="6671" width="0" style="1" hidden="1" customWidth="1"/>
    <col min="6672" max="6672" width="22.7109375" style="1" customWidth="1"/>
    <col min="6673" max="6910" width="9.140625" style="1"/>
    <col min="6911" max="6911" width="19.140625" style="1" customWidth="1"/>
    <col min="6912" max="6914" width="0" style="1" hidden="1" customWidth="1"/>
    <col min="6915" max="6924" width="8.140625" style="1" customWidth="1"/>
    <col min="6925" max="6926" width="8.5703125" style="1" customWidth="1"/>
    <col min="6927" max="6927" width="0" style="1" hidden="1" customWidth="1"/>
    <col min="6928" max="6928" width="22.7109375" style="1" customWidth="1"/>
    <col min="6929" max="7166" width="9.140625" style="1"/>
    <col min="7167" max="7167" width="19.140625" style="1" customWidth="1"/>
    <col min="7168" max="7170" width="0" style="1" hidden="1" customWidth="1"/>
    <col min="7171" max="7180" width="8.140625" style="1" customWidth="1"/>
    <col min="7181" max="7182" width="8.5703125" style="1" customWidth="1"/>
    <col min="7183" max="7183" width="0" style="1" hidden="1" customWidth="1"/>
    <col min="7184" max="7184" width="22.7109375" style="1" customWidth="1"/>
    <col min="7185" max="7422" width="9.140625" style="1"/>
    <col min="7423" max="7423" width="19.140625" style="1" customWidth="1"/>
    <col min="7424" max="7426" width="0" style="1" hidden="1" customWidth="1"/>
    <col min="7427" max="7436" width="8.140625" style="1" customWidth="1"/>
    <col min="7437" max="7438" width="8.5703125" style="1" customWidth="1"/>
    <col min="7439" max="7439" width="0" style="1" hidden="1" customWidth="1"/>
    <col min="7440" max="7440" width="22.7109375" style="1" customWidth="1"/>
    <col min="7441" max="7678" width="9.140625" style="1"/>
    <col min="7679" max="7679" width="19.140625" style="1" customWidth="1"/>
    <col min="7680" max="7682" width="0" style="1" hidden="1" customWidth="1"/>
    <col min="7683" max="7692" width="8.140625" style="1" customWidth="1"/>
    <col min="7693" max="7694" width="8.5703125" style="1" customWidth="1"/>
    <col min="7695" max="7695" width="0" style="1" hidden="1" customWidth="1"/>
    <col min="7696" max="7696" width="22.7109375" style="1" customWidth="1"/>
    <col min="7697" max="7934" width="9.140625" style="1"/>
    <col min="7935" max="7935" width="19.140625" style="1" customWidth="1"/>
    <col min="7936" max="7938" width="0" style="1" hidden="1" customWidth="1"/>
    <col min="7939" max="7948" width="8.140625" style="1" customWidth="1"/>
    <col min="7949" max="7950" width="8.5703125" style="1" customWidth="1"/>
    <col min="7951" max="7951" width="0" style="1" hidden="1" customWidth="1"/>
    <col min="7952" max="7952" width="22.7109375" style="1" customWidth="1"/>
    <col min="7953" max="8190" width="9.140625" style="1"/>
    <col min="8191" max="8191" width="19.140625" style="1" customWidth="1"/>
    <col min="8192" max="8194" width="0" style="1" hidden="1" customWidth="1"/>
    <col min="8195" max="8204" width="8.140625" style="1" customWidth="1"/>
    <col min="8205" max="8206" width="8.5703125" style="1" customWidth="1"/>
    <col min="8207" max="8207" width="0" style="1" hidden="1" customWidth="1"/>
    <col min="8208" max="8208" width="22.7109375" style="1" customWidth="1"/>
    <col min="8209" max="8446" width="9.140625" style="1"/>
    <col min="8447" max="8447" width="19.140625" style="1" customWidth="1"/>
    <col min="8448" max="8450" width="0" style="1" hidden="1" customWidth="1"/>
    <col min="8451" max="8460" width="8.140625" style="1" customWidth="1"/>
    <col min="8461" max="8462" width="8.5703125" style="1" customWidth="1"/>
    <col min="8463" max="8463" width="0" style="1" hidden="1" customWidth="1"/>
    <col min="8464" max="8464" width="22.7109375" style="1" customWidth="1"/>
    <col min="8465" max="8702" width="9.140625" style="1"/>
    <col min="8703" max="8703" width="19.140625" style="1" customWidth="1"/>
    <col min="8704" max="8706" width="0" style="1" hidden="1" customWidth="1"/>
    <col min="8707" max="8716" width="8.140625" style="1" customWidth="1"/>
    <col min="8717" max="8718" width="8.5703125" style="1" customWidth="1"/>
    <col min="8719" max="8719" width="0" style="1" hidden="1" customWidth="1"/>
    <col min="8720" max="8720" width="22.7109375" style="1" customWidth="1"/>
    <col min="8721" max="8958" width="9.140625" style="1"/>
    <col min="8959" max="8959" width="19.140625" style="1" customWidth="1"/>
    <col min="8960" max="8962" width="0" style="1" hidden="1" customWidth="1"/>
    <col min="8963" max="8972" width="8.140625" style="1" customWidth="1"/>
    <col min="8973" max="8974" width="8.5703125" style="1" customWidth="1"/>
    <col min="8975" max="8975" width="0" style="1" hidden="1" customWidth="1"/>
    <col min="8976" max="8976" width="22.7109375" style="1" customWidth="1"/>
    <col min="8977" max="9214" width="9.140625" style="1"/>
    <col min="9215" max="9215" width="19.140625" style="1" customWidth="1"/>
    <col min="9216" max="9218" width="0" style="1" hidden="1" customWidth="1"/>
    <col min="9219" max="9228" width="8.140625" style="1" customWidth="1"/>
    <col min="9229" max="9230" width="8.5703125" style="1" customWidth="1"/>
    <col min="9231" max="9231" width="0" style="1" hidden="1" customWidth="1"/>
    <col min="9232" max="9232" width="22.7109375" style="1" customWidth="1"/>
    <col min="9233" max="9470" width="9.140625" style="1"/>
    <col min="9471" max="9471" width="19.140625" style="1" customWidth="1"/>
    <col min="9472" max="9474" width="0" style="1" hidden="1" customWidth="1"/>
    <col min="9475" max="9484" width="8.140625" style="1" customWidth="1"/>
    <col min="9485" max="9486" width="8.5703125" style="1" customWidth="1"/>
    <col min="9487" max="9487" width="0" style="1" hidden="1" customWidth="1"/>
    <col min="9488" max="9488" width="22.7109375" style="1" customWidth="1"/>
    <col min="9489" max="9726" width="9.140625" style="1"/>
    <col min="9727" max="9727" width="19.140625" style="1" customWidth="1"/>
    <col min="9728" max="9730" width="0" style="1" hidden="1" customWidth="1"/>
    <col min="9731" max="9740" width="8.140625" style="1" customWidth="1"/>
    <col min="9741" max="9742" width="8.5703125" style="1" customWidth="1"/>
    <col min="9743" max="9743" width="0" style="1" hidden="1" customWidth="1"/>
    <col min="9744" max="9744" width="22.7109375" style="1" customWidth="1"/>
    <col min="9745" max="9982" width="9.140625" style="1"/>
    <col min="9983" max="9983" width="19.140625" style="1" customWidth="1"/>
    <col min="9984" max="9986" width="0" style="1" hidden="1" customWidth="1"/>
    <col min="9987" max="9996" width="8.140625" style="1" customWidth="1"/>
    <col min="9997" max="9998" width="8.5703125" style="1" customWidth="1"/>
    <col min="9999" max="9999" width="0" style="1" hidden="1" customWidth="1"/>
    <col min="10000" max="10000" width="22.7109375" style="1" customWidth="1"/>
    <col min="10001" max="10238" width="9.140625" style="1"/>
    <col min="10239" max="10239" width="19.140625" style="1" customWidth="1"/>
    <col min="10240" max="10242" width="0" style="1" hidden="1" customWidth="1"/>
    <col min="10243" max="10252" width="8.140625" style="1" customWidth="1"/>
    <col min="10253" max="10254" width="8.5703125" style="1" customWidth="1"/>
    <col min="10255" max="10255" width="0" style="1" hidden="1" customWidth="1"/>
    <col min="10256" max="10256" width="22.7109375" style="1" customWidth="1"/>
    <col min="10257" max="10494" width="9.140625" style="1"/>
    <col min="10495" max="10495" width="19.140625" style="1" customWidth="1"/>
    <col min="10496" max="10498" width="0" style="1" hidden="1" customWidth="1"/>
    <col min="10499" max="10508" width="8.140625" style="1" customWidth="1"/>
    <col min="10509" max="10510" width="8.5703125" style="1" customWidth="1"/>
    <col min="10511" max="10511" width="0" style="1" hidden="1" customWidth="1"/>
    <col min="10512" max="10512" width="22.7109375" style="1" customWidth="1"/>
    <col min="10513" max="10750" width="9.140625" style="1"/>
    <col min="10751" max="10751" width="19.140625" style="1" customWidth="1"/>
    <col min="10752" max="10754" width="0" style="1" hidden="1" customWidth="1"/>
    <col min="10755" max="10764" width="8.140625" style="1" customWidth="1"/>
    <col min="10765" max="10766" width="8.5703125" style="1" customWidth="1"/>
    <col min="10767" max="10767" width="0" style="1" hidden="1" customWidth="1"/>
    <col min="10768" max="10768" width="22.7109375" style="1" customWidth="1"/>
    <col min="10769" max="11006" width="9.140625" style="1"/>
    <col min="11007" max="11007" width="19.140625" style="1" customWidth="1"/>
    <col min="11008" max="11010" width="0" style="1" hidden="1" customWidth="1"/>
    <col min="11011" max="11020" width="8.140625" style="1" customWidth="1"/>
    <col min="11021" max="11022" width="8.5703125" style="1" customWidth="1"/>
    <col min="11023" max="11023" width="0" style="1" hidden="1" customWidth="1"/>
    <col min="11024" max="11024" width="22.7109375" style="1" customWidth="1"/>
    <col min="11025" max="11262" width="9.140625" style="1"/>
    <col min="11263" max="11263" width="19.140625" style="1" customWidth="1"/>
    <col min="11264" max="11266" width="0" style="1" hidden="1" customWidth="1"/>
    <col min="11267" max="11276" width="8.140625" style="1" customWidth="1"/>
    <col min="11277" max="11278" width="8.5703125" style="1" customWidth="1"/>
    <col min="11279" max="11279" width="0" style="1" hidden="1" customWidth="1"/>
    <col min="11280" max="11280" width="22.7109375" style="1" customWidth="1"/>
    <col min="11281" max="11518" width="9.140625" style="1"/>
    <col min="11519" max="11519" width="19.140625" style="1" customWidth="1"/>
    <col min="11520" max="11522" width="0" style="1" hidden="1" customWidth="1"/>
    <col min="11523" max="11532" width="8.140625" style="1" customWidth="1"/>
    <col min="11533" max="11534" width="8.5703125" style="1" customWidth="1"/>
    <col min="11535" max="11535" width="0" style="1" hidden="1" customWidth="1"/>
    <col min="11536" max="11536" width="22.7109375" style="1" customWidth="1"/>
    <col min="11537" max="11774" width="9.140625" style="1"/>
    <col min="11775" max="11775" width="19.140625" style="1" customWidth="1"/>
    <col min="11776" max="11778" width="0" style="1" hidden="1" customWidth="1"/>
    <col min="11779" max="11788" width="8.140625" style="1" customWidth="1"/>
    <col min="11789" max="11790" width="8.5703125" style="1" customWidth="1"/>
    <col min="11791" max="11791" width="0" style="1" hidden="1" customWidth="1"/>
    <col min="11792" max="11792" width="22.7109375" style="1" customWidth="1"/>
    <col min="11793" max="12030" width="9.140625" style="1"/>
    <col min="12031" max="12031" width="19.140625" style="1" customWidth="1"/>
    <col min="12032" max="12034" width="0" style="1" hidden="1" customWidth="1"/>
    <col min="12035" max="12044" width="8.140625" style="1" customWidth="1"/>
    <col min="12045" max="12046" width="8.5703125" style="1" customWidth="1"/>
    <col min="12047" max="12047" width="0" style="1" hidden="1" customWidth="1"/>
    <col min="12048" max="12048" width="22.7109375" style="1" customWidth="1"/>
    <col min="12049" max="12286" width="9.140625" style="1"/>
    <col min="12287" max="12287" width="19.140625" style="1" customWidth="1"/>
    <col min="12288" max="12290" width="0" style="1" hidden="1" customWidth="1"/>
    <col min="12291" max="12300" width="8.140625" style="1" customWidth="1"/>
    <col min="12301" max="12302" width="8.5703125" style="1" customWidth="1"/>
    <col min="12303" max="12303" width="0" style="1" hidden="1" customWidth="1"/>
    <col min="12304" max="12304" width="22.7109375" style="1" customWidth="1"/>
    <col min="12305" max="12542" width="9.140625" style="1"/>
    <col min="12543" max="12543" width="19.140625" style="1" customWidth="1"/>
    <col min="12544" max="12546" width="0" style="1" hidden="1" customWidth="1"/>
    <col min="12547" max="12556" width="8.140625" style="1" customWidth="1"/>
    <col min="12557" max="12558" width="8.5703125" style="1" customWidth="1"/>
    <col min="12559" max="12559" width="0" style="1" hidden="1" customWidth="1"/>
    <col min="12560" max="12560" width="22.7109375" style="1" customWidth="1"/>
    <col min="12561" max="12798" width="9.140625" style="1"/>
    <col min="12799" max="12799" width="19.140625" style="1" customWidth="1"/>
    <col min="12800" max="12802" width="0" style="1" hidden="1" customWidth="1"/>
    <col min="12803" max="12812" width="8.140625" style="1" customWidth="1"/>
    <col min="12813" max="12814" width="8.5703125" style="1" customWidth="1"/>
    <col min="12815" max="12815" width="0" style="1" hidden="1" customWidth="1"/>
    <col min="12816" max="12816" width="22.7109375" style="1" customWidth="1"/>
    <col min="12817" max="13054" width="9.140625" style="1"/>
    <col min="13055" max="13055" width="19.140625" style="1" customWidth="1"/>
    <col min="13056" max="13058" width="0" style="1" hidden="1" customWidth="1"/>
    <col min="13059" max="13068" width="8.140625" style="1" customWidth="1"/>
    <col min="13069" max="13070" width="8.5703125" style="1" customWidth="1"/>
    <col min="13071" max="13071" width="0" style="1" hidden="1" customWidth="1"/>
    <col min="13072" max="13072" width="22.7109375" style="1" customWidth="1"/>
    <col min="13073" max="13310" width="9.140625" style="1"/>
    <col min="13311" max="13311" width="19.140625" style="1" customWidth="1"/>
    <col min="13312" max="13314" width="0" style="1" hidden="1" customWidth="1"/>
    <col min="13315" max="13324" width="8.140625" style="1" customWidth="1"/>
    <col min="13325" max="13326" width="8.5703125" style="1" customWidth="1"/>
    <col min="13327" max="13327" width="0" style="1" hidden="1" customWidth="1"/>
    <col min="13328" max="13328" width="22.7109375" style="1" customWidth="1"/>
    <col min="13329" max="13566" width="9.140625" style="1"/>
    <col min="13567" max="13567" width="19.140625" style="1" customWidth="1"/>
    <col min="13568" max="13570" width="0" style="1" hidden="1" customWidth="1"/>
    <col min="13571" max="13580" width="8.140625" style="1" customWidth="1"/>
    <col min="13581" max="13582" width="8.5703125" style="1" customWidth="1"/>
    <col min="13583" max="13583" width="0" style="1" hidden="1" customWidth="1"/>
    <col min="13584" max="13584" width="22.7109375" style="1" customWidth="1"/>
    <col min="13585" max="13822" width="9.140625" style="1"/>
    <col min="13823" max="13823" width="19.140625" style="1" customWidth="1"/>
    <col min="13824" max="13826" width="0" style="1" hidden="1" customWidth="1"/>
    <col min="13827" max="13836" width="8.140625" style="1" customWidth="1"/>
    <col min="13837" max="13838" width="8.5703125" style="1" customWidth="1"/>
    <col min="13839" max="13839" width="0" style="1" hidden="1" customWidth="1"/>
    <col min="13840" max="13840" width="22.7109375" style="1" customWidth="1"/>
    <col min="13841" max="14078" width="9.140625" style="1"/>
    <col min="14079" max="14079" width="19.140625" style="1" customWidth="1"/>
    <col min="14080" max="14082" width="0" style="1" hidden="1" customWidth="1"/>
    <col min="14083" max="14092" width="8.140625" style="1" customWidth="1"/>
    <col min="14093" max="14094" width="8.5703125" style="1" customWidth="1"/>
    <col min="14095" max="14095" width="0" style="1" hidden="1" customWidth="1"/>
    <col min="14096" max="14096" width="22.7109375" style="1" customWidth="1"/>
    <col min="14097" max="14334" width="9.140625" style="1"/>
    <col min="14335" max="14335" width="19.140625" style="1" customWidth="1"/>
    <col min="14336" max="14338" width="0" style="1" hidden="1" customWidth="1"/>
    <col min="14339" max="14348" width="8.140625" style="1" customWidth="1"/>
    <col min="14349" max="14350" width="8.5703125" style="1" customWidth="1"/>
    <col min="14351" max="14351" width="0" style="1" hidden="1" customWidth="1"/>
    <col min="14352" max="14352" width="22.7109375" style="1" customWidth="1"/>
    <col min="14353" max="14590" width="9.140625" style="1"/>
    <col min="14591" max="14591" width="19.140625" style="1" customWidth="1"/>
    <col min="14592" max="14594" width="0" style="1" hidden="1" customWidth="1"/>
    <col min="14595" max="14604" width="8.140625" style="1" customWidth="1"/>
    <col min="14605" max="14606" width="8.5703125" style="1" customWidth="1"/>
    <col min="14607" max="14607" width="0" style="1" hidden="1" customWidth="1"/>
    <col min="14608" max="14608" width="22.7109375" style="1" customWidth="1"/>
    <col min="14609" max="14846" width="9.140625" style="1"/>
    <col min="14847" max="14847" width="19.140625" style="1" customWidth="1"/>
    <col min="14848" max="14850" width="0" style="1" hidden="1" customWidth="1"/>
    <col min="14851" max="14860" width="8.140625" style="1" customWidth="1"/>
    <col min="14861" max="14862" width="8.5703125" style="1" customWidth="1"/>
    <col min="14863" max="14863" width="0" style="1" hidden="1" customWidth="1"/>
    <col min="14864" max="14864" width="22.7109375" style="1" customWidth="1"/>
    <col min="14865" max="15102" width="9.140625" style="1"/>
    <col min="15103" max="15103" width="19.140625" style="1" customWidth="1"/>
    <col min="15104" max="15106" width="0" style="1" hidden="1" customWidth="1"/>
    <col min="15107" max="15116" width="8.140625" style="1" customWidth="1"/>
    <col min="15117" max="15118" width="8.5703125" style="1" customWidth="1"/>
    <col min="15119" max="15119" width="0" style="1" hidden="1" customWidth="1"/>
    <col min="15120" max="15120" width="22.7109375" style="1" customWidth="1"/>
    <col min="15121" max="15358" width="9.140625" style="1"/>
    <col min="15359" max="15359" width="19.140625" style="1" customWidth="1"/>
    <col min="15360" max="15362" width="0" style="1" hidden="1" customWidth="1"/>
    <col min="15363" max="15372" width="8.140625" style="1" customWidth="1"/>
    <col min="15373" max="15374" width="8.5703125" style="1" customWidth="1"/>
    <col min="15375" max="15375" width="0" style="1" hidden="1" customWidth="1"/>
    <col min="15376" max="15376" width="22.7109375" style="1" customWidth="1"/>
    <col min="15377" max="15614" width="9.140625" style="1"/>
    <col min="15615" max="15615" width="19.140625" style="1" customWidth="1"/>
    <col min="15616" max="15618" width="0" style="1" hidden="1" customWidth="1"/>
    <col min="15619" max="15628" width="8.140625" style="1" customWidth="1"/>
    <col min="15629" max="15630" width="8.5703125" style="1" customWidth="1"/>
    <col min="15631" max="15631" width="0" style="1" hidden="1" customWidth="1"/>
    <col min="15632" max="15632" width="22.7109375" style="1" customWidth="1"/>
    <col min="15633" max="15870" width="9.140625" style="1"/>
    <col min="15871" max="15871" width="19.140625" style="1" customWidth="1"/>
    <col min="15872" max="15874" width="0" style="1" hidden="1" customWidth="1"/>
    <col min="15875" max="15884" width="8.140625" style="1" customWidth="1"/>
    <col min="15885" max="15886" width="8.5703125" style="1" customWidth="1"/>
    <col min="15887" max="15887" width="0" style="1" hidden="1" customWidth="1"/>
    <col min="15888" max="15888" width="22.7109375" style="1" customWidth="1"/>
    <col min="15889" max="16126" width="9.140625" style="1"/>
    <col min="16127" max="16127" width="19.140625" style="1" customWidth="1"/>
    <col min="16128" max="16130" width="0" style="1" hidden="1" customWidth="1"/>
    <col min="16131" max="16140" width="8.140625" style="1" customWidth="1"/>
    <col min="16141" max="16142" width="8.5703125" style="1" customWidth="1"/>
    <col min="16143" max="16143" width="0" style="1" hidden="1" customWidth="1"/>
    <col min="16144" max="16144" width="22.7109375" style="1" customWidth="1"/>
    <col min="16145" max="16384" width="9.140625" style="1"/>
  </cols>
  <sheetData>
    <row r="1" spans="1:18" ht="18" x14ac:dyDescent="0.25">
      <c r="A1" s="33" t="s">
        <v>30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4"/>
    </row>
    <row r="2" spans="1:18" x14ac:dyDescent="0.25">
      <c r="A2" s="34" t="s">
        <v>31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4"/>
    </row>
    <row r="3" spans="1:18" x14ac:dyDescent="0.25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5"/>
      <c r="R3" s="4"/>
    </row>
    <row r="4" spans="1:18" x14ac:dyDescent="0.25">
      <c r="A4" s="7" t="s">
        <v>11</v>
      </c>
      <c r="B4" s="8">
        <v>2007</v>
      </c>
      <c r="C4" s="8">
        <v>2008</v>
      </c>
      <c r="D4" s="8">
        <v>2009</v>
      </c>
      <c r="E4" s="8">
        <v>2010</v>
      </c>
      <c r="F4" s="8">
        <v>2011</v>
      </c>
      <c r="G4" s="8">
        <v>2012</v>
      </c>
      <c r="H4" s="8">
        <v>2013</v>
      </c>
      <c r="I4" s="8">
        <v>2014</v>
      </c>
      <c r="J4" s="8">
        <v>2015</v>
      </c>
      <c r="K4" s="8">
        <v>2016</v>
      </c>
      <c r="L4" s="8">
        <v>2017</v>
      </c>
      <c r="M4" s="9">
        <v>2018</v>
      </c>
      <c r="N4" s="9">
        <v>2019</v>
      </c>
      <c r="O4" s="9">
        <v>2020</v>
      </c>
      <c r="P4" s="9" t="s">
        <v>27</v>
      </c>
      <c r="Q4" s="10" t="s">
        <v>12</v>
      </c>
      <c r="R4" s="4"/>
    </row>
    <row r="5" spans="1:18" ht="15.75" x14ac:dyDescent="0.25">
      <c r="A5" s="11" t="s">
        <v>2</v>
      </c>
      <c r="B5" s="12">
        <f t="shared" ref="B5:L5" si="0">B10+B15</f>
        <v>66</v>
      </c>
      <c r="C5" s="12">
        <f t="shared" si="0"/>
        <v>76</v>
      </c>
      <c r="D5" s="12">
        <f t="shared" si="0"/>
        <v>81</v>
      </c>
      <c r="E5" s="12">
        <f t="shared" si="0"/>
        <v>78</v>
      </c>
      <c r="F5" s="12">
        <f t="shared" si="0"/>
        <v>65</v>
      </c>
      <c r="G5" s="12">
        <f t="shared" si="0"/>
        <v>66</v>
      </c>
      <c r="H5" s="12">
        <f t="shared" si="0"/>
        <v>46</v>
      </c>
      <c r="I5" s="12">
        <f t="shared" si="0"/>
        <v>59</v>
      </c>
      <c r="J5" s="12">
        <f t="shared" si="0"/>
        <v>63</v>
      </c>
      <c r="K5" s="12">
        <f t="shared" si="0"/>
        <v>53</v>
      </c>
      <c r="L5" s="12">
        <f t="shared" si="0"/>
        <v>64</v>
      </c>
      <c r="M5" s="12">
        <f>M10+M15</f>
        <v>45</v>
      </c>
      <c r="N5" s="12">
        <v>43</v>
      </c>
      <c r="O5" s="12">
        <v>45</v>
      </c>
      <c r="P5" s="12">
        <f>SUM(P6:P9)</f>
        <v>58</v>
      </c>
      <c r="Q5" s="13" t="s">
        <v>10</v>
      </c>
      <c r="R5" s="4"/>
    </row>
    <row r="6" spans="1:18" ht="15.75" x14ac:dyDescent="0.25">
      <c r="A6" s="14" t="s">
        <v>13</v>
      </c>
      <c r="B6" s="15">
        <f t="shared" ref="B6:L6" si="1">B11+B16</f>
        <v>41</v>
      </c>
      <c r="C6" s="15">
        <f t="shared" si="1"/>
        <v>41</v>
      </c>
      <c r="D6" s="15">
        <f t="shared" si="1"/>
        <v>51</v>
      </c>
      <c r="E6" s="15">
        <f t="shared" si="1"/>
        <v>44</v>
      </c>
      <c r="F6" s="15">
        <f t="shared" si="1"/>
        <v>41</v>
      </c>
      <c r="G6" s="15">
        <f t="shared" si="1"/>
        <v>33</v>
      </c>
      <c r="H6" s="15">
        <f t="shared" si="1"/>
        <v>22</v>
      </c>
      <c r="I6" s="15">
        <f t="shared" si="1"/>
        <v>33</v>
      </c>
      <c r="J6" s="15">
        <f t="shared" si="1"/>
        <v>29</v>
      </c>
      <c r="K6" s="15">
        <f t="shared" si="1"/>
        <v>28</v>
      </c>
      <c r="L6" s="15">
        <f t="shared" si="1"/>
        <v>45</v>
      </c>
      <c r="M6" s="15">
        <v>30</v>
      </c>
      <c r="N6" s="15">
        <v>14</v>
      </c>
      <c r="O6" s="15">
        <f t="shared" ref="O6:P9" si="2">O11+O16+O21</f>
        <v>17</v>
      </c>
      <c r="P6" s="15">
        <f t="shared" si="2"/>
        <v>25</v>
      </c>
      <c r="Q6" s="16" t="s">
        <v>14</v>
      </c>
      <c r="R6" s="4"/>
    </row>
    <row r="7" spans="1:18" ht="15.75" x14ac:dyDescent="0.25">
      <c r="A7" s="17" t="s">
        <v>15</v>
      </c>
      <c r="B7" s="15">
        <f t="shared" ref="B7:L7" si="3">B12+B17</f>
        <v>6</v>
      </c>
      <c r="C7" s="15">
        <f t="shared" si="3"/>
        <v>15</v>
      </c>
      <c r="D7" s="15">
        <f t="shared" si="3"/>
        <v>8</v>
      </c>
      <c r="E7" s="15">
        <f t="shared" si="3"/>
        <v>14</v>
      </c>
      <c r="F7" s="15">
        <f t="shared" si="3"/>
        <v>8</v>
      </c>
      <c r="G7" s="15">
        <f t="shared" si="3"/>
        <v>11</v>
      </c>
      <c r="H7" s="15">
        <f t="shared" si="3"/>
        <v>7</v>
      </c>
      <c r="I7" s="15">
        <f t="shared" si="3"/>
        <v>4</v>
      </c>
      <c r="J7" s="15">
        <f t="shared" si="3"/>
        <v>8</v>
      </c>
      <c r="K7" s="15">
        <f t="shared" si="3"/>
        <v>8</v>
      </c>
      <c r="L7" s="15">
        <f t="shared" si="3"/>
        <v>6</v>
      </c>
      <c r="M7" s="15">
        <f>M12+M17</f>
        <v>3</v>
      </c>
      <c r="N7" s="15">
        <v>4</v>
      </c>
      <c r="O7" s="15">
        <f t="shared" si="2"/>
        <v>6</v>
      </c>
      <c r="P7" s="15">
        <f t="shared" si="2"/>
        <v>9</v>
      </c>
      <c r="Q7" s="16" t="s">
        <v>16</v>
      </c>
      <c r="R7" s="4"/>
    </row>
    <row r="8" spans="1:18" ht="15.75" x14ac:dyDescent="0.25">
      <c r="A8" s="17" t="s">
        <v>17</v>
      </c>
      <c r="B8" s="15">
        <f t="shared" ref="B8:L8" si="4">B13+B18</f>
        <v>19</v>
      </c>
      <c r="C8" s="15">
        <f t="shared" si="4"/>
        <v>20</v>
      </c>
      <c r="D8" s="15">
        <f t="shared" si="4"/>
        <v>22</v>
      </c>
      <c r="E8" s="15">
        <f t="shared" si="4"/>
        <v>20</v>
      </c>
      <c r="F8" s="15">
        <f t="shared" si="4"/>
        <v>16</v>
      </c>
      <c r="G8" s="15">
        <f t="shared" si="4"/>
        <v>22</v>
      </c>
      <c r="H8" s="15">
        <f t="shared" si="4"/>
        <v>17</v>
      </c>
      <c r="I8" s="15">
        <f t="shared" si="4"/>
        <v>22</v>
      </c>
      <c r="J8" s="15">
        <f t="shared" si="4"/>
        <v>26</v>
      </c>
      <c r="K8" s="15">
        <f t="shared" si="4"/>
        <v>17</v>
      </c>
      <c r="L8" s="15">
        <f t="shared" si="4"/>
        <v>13</v>
      </c>
      <c r="M8" s="15">
        <f>M13+M18</f>
        <v>13</v>
      </c>
      <c r="N8" s="15">
        <v>15</v>
      </c>
      <c r="O8" s="15">
        <f t="shared" si="2"/>
        <v>15</v>
      </c>
      <c r="P8" s="15">
        <f t="shared" si="2"/>
        <v>23</v>
      </c>
      <c r="Q8" s="18" t="s">
        <v>18</v>
      </c>
      <c r="R8" s="4"/>
    </row>
    <row r="9" spans="1:18" ht="18.75" x14ac:dyDescent="0.25">
      <c r="A9" s="17" t="s">
        <v>6</v>
      </c>
      <c r="B9" s="2" t="s">
        <v>5</v>
      </c>
      <c r="C9" s="2" t="s">
        <v>5</v>
      </c>
      <c r="D9" s="2" t="s">
        <v>5</v>
      </c>
      <c r="E9" s="2" t="s">
        <v>5</v>
      </c>
      <c r="F9" s="2" t="s">
        <v>5</v>
      </c>
      <c r="G9" s="2" t="s">
        <v>5</v>
      </c>
      <c r="H9" s="2" t="s">
        <v>5</v>
      </c>
      <c r="I9" s="2" t="s">
        <v>5</v>
      </c>
      <c r="J9" s="2" t="s">
        <v>5</v>
      </c>
      <c r="K9" s="2" t="s">
        <v>5</v>
      </c>
      <c r="L9" s="2" t="s">
        <v>5</v>
      </c>
      <c r="M9" s="2" t="s">
        <v>5</v>
      </c>
      <c r="N9" s="32">
        <v>10</v>
      </c>
      <c r="O9" s="32">
        <f t="shared" si="2"/>
        <v>7</v>
      </c>
      <c r="P9" s="32">
        <f t="shared" si="2"/>
        <v>1</v>
      </c>
      <c r="Q9" s="19" t="s">
        <v>7</v>
      </c>
      <c r="R9" s="4"/>
    </row>
    <row r="10" spans="1:18" ht="15.75" x14ac:dyDescent="0.25">
      <c r="A10" s="11" t="s">
        <v>3</v>
      </c>
      <c r="B10" s="12">
        <f t="shared" ref="B10:F10" si="5">SUM(B11:B13)</f>
        <v>47</v>
      </c>
      <c r="C10" s="12">
        <f t="shared" si="5"/>
        <v>38</v>
      </c>
      <c r="D10" s="12">
        <f t="shared" si="5"/>
        <v>42</v>
      </c>
      <c r="E10" s="12">
        <f t="shared" si="5"/>
        <v>45</v>
      </c>
      <c r="F10" s="12">
        <f t="shared" si="5"/>
        <v>37</v>
      </c>
      <c r="G10" s="12">
        <f>SUM(G11:G13)</f>
        <v>40</v>
      </c>
      <c r="H10" s="12">
        <f>SUM(H11:H13)</f>
        <v>29</v>
      </c>
      <c r="I10" s="12">
        <f>SUM(I11:I13)</f>
        <v>32</v>
      </c>
      <c r="J10" s="12">
        <v>34</v>
      </c>
      <c r="K10" s="12">
        <v>21</v>
      </c>
      <c r="L10" s="12">
        <f>SUM(L11:L13)</f>
        <v>42</v>
      </c>
      <c r="M10" s="12">
        <f>SUM(M11:M13)</f>
        <v>24</v>
      </c>
      <c r="N10" s="12">
        <v>23</v>
      </c>
      <c r="O10" s="12">
        <v>12</v>
      </c>
      <c r="P10" s="12">
        <f>SUM(P11:P14)</f>
        <v>35</v>
      </c>
      <c r="Q10" s="13" t="s">
        <v>0</v>
      </c>
      <c r="R10" s="4"/>
    </row>
    <row r="11" spans="1:18" ht="15.75" x14ac:dyDescent="0.25">
      <c r="A11" s="14" t="s">
        <v>13</v>
      </c>
      <c r="B11" s="15">
        <v>26</v>
      </c>
      <c r="C11" s="15">
        <v>22</v>
      </c>
      <c r="D11" s="15">
        <v>25</v>
      </c>
      <c r="E11" s="15">
        <v>25</v>
      </c>
      <c r="F11" s="15">
        <v>23</v>
      </c>
      <c r="G11" s="15">
        <v>19</v>
      </c>
      <c r="H11" s="15">
        <v>14</v>
      </c>
      <c r="I11" s="15">
        <v>21</v>
      </c>
      <c r="J11" s="15">
        <v>21</v>
      </c>
      <c r="K11" s="15">
        <v>9</v>
      </c>
      <c r="L11" s="15">
        <v>29</v>
      </c>
      <c r="M11" s="15">
        <v>14</v>
      </c>
      <c r="N11" s="15">
        <v>8</v>
      </c>
      <c r="O11" s="15">
        <v>0</v>
      </c>
      <c r="P11" s="15">
        <v>15</v>
      </c>
      <c r="Q11" s="16" t="s">
        <v>14</v>
      </c>
      <c r="R11" s="4"/>
    </row>
    <row r="12" spans="1:18" ht="15.75" x14ac:dyDescent="0.25">
      <c r="A12" s="17" t="s">
        <v>19</v>
      </c>
      <c r="B12" s="15">
        <v>5</v>
      </c>
      <c r="C12" s="15">
        <v>6</v>
      </c>
      <c r="D12" s="15">
        <v>4</v>
      </c>
      <c r="E12" s="15">
        <v>9</v>
      </c>
      <c r="F12" s="15">
        <v>3</v>
      </c>
      <c r="G12" s="15">
        <v>8</v>
      </c>
      <c r="H12" s="15">
        <v>4</v>
      </c>
      <c r="I12" s="15">
        <v>1</v>
      </c>
      <c r="J12" s="15">
        <v>4</v>
      </c>
      <c r="K12" s="15">
        <v>3</v>
      </c>
      <c r="L12" s="15">
        <v>3</v>
      </c>
      <c r="M12" s="15">
        <v>2</v>
      </c>
      <c r="N12" s="15">
        <v>1</v>
      </c>
      <c r="O12" s="15">
        <v>2</v>
      </c>
      <c r="P12" s="15">
        <v>4</v>
      </c>
      <c r="Q12" s="18" t="s">
        <v>20</v>
      </c>
      <c r="R12" s="4"/>
    </row>
    <row r="13" spans="1:18" ht="15.75" x14ac:dyDescent="0.25">
      <c r="A13" s="17" t="s">
        <v>17</v>
      </c>
      <c r="B13" s="15">
        <v>16</v>
      </c>
      <c r="C13" s="15">
        <v>10</v>
      </c>
      <c r="D13" s="15">
        <v>13</v>
      </c>
      <c r="E13" s="15">
        <v>11</v>
      </c>
      <c r="F13" s="15">
        <v>11</v>
      </c>
      <c r="G13" s="15">
        <v>13</v>
      </c>
      <c r="H13" s="15">
        <v>11</v>
      </c>
      <c r="I13" s="15">
        <v>10</v>
      </c>
      <c r="J13" s="15">
        <v>9</v>
      </c>
      <c r="K13" s="15">
        <v>9</v>
      </c>
      <c r="L13" s="15">
        <v>10</v>
      </c>
      <c r="M13" s="15">
        <v>8</v>
      </c>
      <c r="N13" s="15">
        <v>9</v>
      </c>
      <c r="O13" s="15">
        <v>9</v>
      </c>
      <c r="P13" s="15">
        <v>15</v>
      </c>
      <c r="Q13" s="18" t="s">
        <v>18</v>
      </c>
      <c r="R13" s="4"/>
    </row>
    <row r="14" spans="1:18" ht="18.75" x14ac:dyDescent="0.25">
      <c r="A14" s="17" t="s">
        <v>6</v>
      </c>
      <c r="B14" s="2" t="s">
        <v>5</v>
      </c>
      <c r="C14" s="2" t="s">
        <v>5</v>
      </c>
      <c r="D14" s="2" t="s">
        <v>5</v>
      </c>
      <c r="E14" s="2" t="s">
        <v>5</v>
      </c>
      <c r="F14" s="2" t="s">
        <v>5</v>
      </c>
      <c r="G14" s="2" t="s">
        <v>5</v>
      </c>
      <c r="H14" s="2" t="s">
        <v>5</v>
      </c>
      <c r="I14" s="2" t="s">
        <v>5</v>
      </c>
      <c r="J14" s="2" t="s">
        <v>5</v>
      </c>
      <c r="K14" s="2" t="s">
        <v>5</v>
      </c>
      <c r="L14" s="2" t="s">
        <v>5</v>
      </c>
      <c r="M14" s="2" t="s">
        <v>5</v>
      </c>
      <c r="N14" s="32">
        <v>5</v>
      </c>
      <c r="O14" s="32">
        <v>1</v>
      </c>
      <c r="P14" s="32">
        <v>1</v>
      </c>
      <c r="Q14" s="19" t="s">
        <v>7</v>
      </c>
      <c r="R14" s="4"/>
    </row>
    <row r="15" spans="1:18" ht="15.75" x14ac:dyDescent="0.25">
      <c r="A15" s="11" t="s">
        <v>4</v>
      </c>
      <c r="B15" s="12">
        <f t="shared" ref="B15:F15" si="6">SUM(B16:B18)</f>
        <v>19</v>
      </c>
      <c r="C15" s="12">
        <f t="shared" si="6"/>
        <v>38</v>
      </c>
      <c r="D15" s="12">
        <f t="shared" si="6"/>
        <v>39</v>
      </c>
      <c r="E15" s="12">
        <f t="shared" si="6"/>
        <v>33</v>
      </c>
      <c r="F15" s="12">
        <f t="shared" si="6"/>
        <v>28</v>
      </c>
      <c r="G15" s="12">
        <f>SUM(G16:G18)</f>
        <v>26</v>
      </c>
      <c r="H15" s="12">
        <f>SUM(H16:H18)</f>
        <v>17</v>
      </c>
      <c r="I15" s="12">
        <f>SUM(I16:I18)</f>
        <v>27</v>
      </c>
      <c r="J15" s="12">
        <v>29</v>
      </c>
      <c r="K15" s="12">
        <v>32</v>
      </c>
      <c r="L15" s="12">
        <f>SUM(L16:L18)</f>
        <v>22</v>
      </c>
      <c r="M15" s="12">
        <f>SUM(M16:M18)</f>
        <v>21</v>
      </c>
      <c r="N15" s="12">
        <v>20</v>
      </c>
      <c r="O15" s="12">
        <v>11</v>
      </c>
      <c r="P15" s="12">
        <f>SUM(P16:P19)</f>
        <v>23</v>
      </c>
      <c r="Q15" s="13" t="s">
        <v>1</v>
      </c>
      <c r="R15" s="4"/>
    </row>
    <row r="16" spans="1:18" ht="15.75" x14ac:dyDescent="0.25">
      <c r="A16" s="14" t="s">
        <v>13</v>
      </c>
      <c r="B16" s="15">
        <v>15</v>
      </c>
      <c r="C16" s="15">
        <v>19</v>
      </c>
      <c r="D16" s="15">
        <v>26</v>
      </c>
      <c r="E16" s="15">
        <v>19</v>
      </c>
      <c r="F16" s="15">
        <v>18</v>
      </c>
      <c r="G16" s="15">
        <v>14</v>
      </c>
      <c r="H16" s="15">
        <v>8</v>
      </c>
      <c r="I16" s="15">
        <v>12</v>
      </c>
      <c r="J16" s="15">
        <v>8</v>
      </c>
      <c r="K16" s="15">
        <v>19</v>
      </c>
      <c r="L16" s="15">
        <v>16</v>
      </c>
      <c r="M16" s="15">
        <v>15</v>
      </c>
      <c r="N16" s="15">
        <v>6</v>
      </c>
      <c r="O16" s="15">
        <v>3</v>
      </c>
      <c r="P16" s="15">
        <v>10</v>
      </c>
      <c r="Q16" s="16" t="s">
        <v>14</v>
      </c>
      <c r="R16" s="4"/>
    </row>
    <row r="17" spans="1:18" ht="15.75" x14ac:dyDescent="0.25">
      <c r="A17" s="17" t="s">
        <v>19</v>
      </c>
      <c r="B17" s="15">
        <v>1</v>
      </c>
      <c r="C17" s="15">
        <v>9</v>
      </c>
      <c r="D17" s="15">
        <v>4</v>
      </c>
      <c r="E17" s="15">
        <v>5</v>
      </c>
      <c r="F17" s="15">
        <v>5</v>
      </c>
      <c r="G17" s="15">
        <v>3</v>
      </c>
      <c r="H17" s="15">
        <v>3</v>
      </c>
      <c r="I17" s="15">
        <v>3</v>
      </c>
      <c r="J17" s="15">
        <v>4</v>
      </c>
      <c r="K17" s="15">
        <v>5</v>
      </c>
      <c r="L17" s="15">
        <v>3</v>
      </c>
      <c r="M17" s="15">
        <v>1</v>
      </c>
      <c r="N17" s="15">
        <v>3</v>
      </c>
      <c r="O17" s="15">
        <v>2</v>
      </c>
      <c r="P17" s="15">
        <v>5</v>
      </c>
      <c r="Q17" s="18" t="s">
        <v>20</v>
      </c>
      <c r="R17" s="4"/>
    </row>
    <row r="18" spans="1:18" ht="15.75" x14ac:dyDescent="0.25">
      <c r="A18" s="17" t="s">
        <v>17</v>
      </c>
      <c r="B18" s="15">
        <v>3</v>
      </c>
      <c r="C18" s="15">
        <v>10</v>
      </c>
      <c r="D18" s="15">
        <v>9</v>
      </c>
      <c r="E18" s="15">
        <v>9</v>
      </c>
      <c r="F18" s="15">
        <v>5</v>
      </c>
      <c r="G18" s="15">
        <v>9</v>
      </c>
      <c r="H18" s="15">
        <v>6</v>
      </c>
      <c r="I18" s="15">
        <v>12</v>
      </c>
      <c r="J18" s="15">
        <v>17</v>
      </c>
      <c r="K18" s="15">
        <v>8</v>
      </c>
      <c r="L18" s="15">
        <v>3</v>
      </c>
      <c r="M18" s="15">
        <v>5</v>
      </c>
      <c r="N18" s="15">
        <v>6</v>
      </c>
      <c r="O18" s="15">
        <v>6</v>
      </c>
      <c r="P18" s="15">
        <v>8</v>
      </c>
      <c r="Q18" s="18" t="s">
        <v>18</v>
      </c>
      <c r="R18" s="4"/>
    </row>
    <row r="19" spans="1:18" ht="18.75" x14ac:dyDescent="0.25">
      <c r="A19" s="20" t="s">
        <v>6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">
        <v>5</v>
      </c>
      <c r="L19" s="3" t="s">
        <v>5</v>
      </c>
      <c r="M19" s="3" t="s">
        <v>5</v>
      </c>
      <c r="N19" s="21">
        <v>5</v>
      </c>
      <c r="O19" s="21">
        <v>0</v>
      </c>
      <c r="P19" s="21">
        <v>0</v>
      </c>
      <c r="Q19" s="22" t="s">
        <v>7</v>
      </c>
      <c r="R19" s="4"/>
    </row>
    <row r="20" spans="1:18" ht="15.75" x14ac:dyDescent="0.25">
      <c r="A20" s="11" t="s">
        <v>23</v>
      </c>
      <c r="B20" s="28" t="s">
        <v>5</v>
      </c>
      <c r="C20" s="28" t="s">
        <v>5</v>
      </c>
      <c r="D20" s="28" t="s">
        <v>5</v>
      </c>
      <c r="E20" s="28" t="s">
        <v>5</v>
      </c>
      <c r="F20" s="28" t="s">
        <v>5</v>
      </c>
      <c r="G20" s="28" t="s">
        <v>5</v>
      </c>
      <c r="H20" s="28" t="s">
        <v>5</v>
      </c>
      <c r="I20" s="28" t="s">
        <v>5</v>
      </c>
      <c r="J20" s="28" t="s">
        <v>5</v>
      </c>
      <c r="K20" s="28" t="s">
        <v>5</v>
      </c>
      <c r="L20" s="28" t="s">
        <v>5</v>
      </c>
      <c r="M20" s="28" t="s">
        <v>5</v>
      </c>
      <c r="N20" s="28" t="s">
        <v>5</v>
      </c>
      <c r="O20" s="12">
        <v>22</v>
      </c>
      <c r="P20" s="12">
        <f>SUM(P21:P24)</f>
        <v>0</v>
      </c>
      <c r="Q20" s="13" t="s">
        <v>21</v>
      </c>
      <c r="R20" s="4"/>
    </row>
    <row r="21" spans="1:18" ht="15.75" x14ac:dyDescent="0.25">
      <c r="A21" s="14" t="s">
        <v>13</v>
      </c>
      <c r="B21" s="29" t="s">
        <v>5</v>
      </c>
      <c r="C21" s="29" t="s">
        <v>5</v>
      </c>
      <c r="D21" s="29" t="s">
        <v>5</v>
      </c>
      <c r="E21" s="29" t="s">
        <v>5</v>
      </c>
      <c r="F21" s="29" t="s">
        <v>5</v>
      </c>
      <c r="G21" s="29" t="s">
        <v>5</v>
      </c>
      <c r="H21" s="29" t="s">
        <v>5</v>
      </c>
      <c r="I21" s="29" t="s">
        <v>5</v>
      </c>
      <c r="J21" s="29" t="s">
        <v>5</v>
      </c>
      <c r="K21" s="29" t="s">
        <v>5</v>
      </c>
      <c r="L21" s="29" t="s">
        <v>5</v>
      </c>
      <c r="M21" s="29" t="s">
        <v>5</v>
      </c>
      <c r="N21" s="29" t="s">
        <v>5</v>
      </c>
      <c r="O21" s="15">
        <v>14</v>
      </c>
      <c r="P21" s="15">
        <v>0</v>
      </c>
      <c r="Q21" s="16" t="s">
        <v>14</v>
      </c>
      <c r="R21" s="4"/>
    </row>
    <row r="22" spans="1:18" ht="15.75" x14ac:dyDescent="0.25">
      <c r="A22" s="17" t="s">
        <v>25</v>
      </c>
      <c r="B22" s="29" t="s">
        <v>5</v>
      </c>
      <c r="C22" s="29" t="s">
        <v>5</v>
      </c>
      <c r="D22" s="29" t="s">
        <v>5</v>
      </c>
      <c r="E22" s="29" t="s">
        <v>5</v>
      </c>
      <c r="F22" s="29" t="s">
        <v>5</v>
      </c>
      <c r="G22" s="29" t="s">
        <v>5</v>
      </c>
      <c r="H22" s="29" t="s">
        <v>5</v>
      </c>
      <c r="I22" s="29" t="s">
        <v>5</v>
      </c>
      <c r="J22" s="29" t="s">
        <v>5</v>
      </c>
      <c r="K22" s="29" t="s">
        <v>5</v>
      </c>
      <c r="L22" s="29" t="s">
        <v>5</v>
      </c>
      <c r="M22" s="29" t="s">
        <v>5</v>
      </c>
      <c r="N22" s="29" t="s">
        <v>5</v>
      </c>
      <c r="O22" s="15">
        <v>2</v>
      </c>
      <c r="P22" s="15">
        <v>0</v>
      </c>
      <c r="Q22" s="18" t="s">
        <v>20</v>
      </c>
      <c r="R22" s="4"/>
    </row>
    <row r="23" spans="1:18" ht="15.75" x14ac:dyDescent="0.25">
      <c r="A23" s="17" t="s">
        <v>26</v>
      </c>
      <c r="B23" s="29" t="s">
        <v>5</v>
      </c>
      <c r="C23" s="29" t="s">
        <v>5</v>
      </c>
      <c r="D23" s="29" t="s">
        <v>5</v>
      </c>
      <c r="E23" s="29" t="s">
        <v>5</v>
      </c>
      <c r="F23" s="29" t="s">
        <v>5</v>
      </c>
      <c r="G23" s="29" t="s">
        <v>5</v>
      </c>
      <c r="H23" s="29" t="s">
        <v>5</v>
      </c>
      <c r="I23" s="29" t="s">
        <v>5</v>
      </c>
      <c r="J23" s="29" t="s">
        <v>5</v>
      </c>
      <c r="K23" s="29" t="s">
        <v>5</v>
      </c>
      <c r="L23" s="29" t="s">
        <v>5</v>
      </c>
      <c r="M23" s="29" t="s">
        <v>5</v>
      </c>
      <c r="N23" s="29" t="s">
        <v>5</v>
      </c>
      <c r="O23" s="15">
        <v>0</v>
      </c>
      <c r="P23" s="15">
        <v>0</v>
      </c>
      <c r="Q23" s="18" t="s">
        <v>18</v>
      </c>
      <c r="R23" s="4"/>
    </row>
    <row r="24" spans="1:18" ht="18.75" x14ac:dyDescent="0.25">
      <c r="A24" s="20" t="s">
        <v>24</v>
      </c>
      <c r="B24" s="31" t="s">
        <v>5</v>
      </c>
      <c r="C24" s="31" t="s">
        <v>5</v>
      </c>
      <c r="D24" s="31" t="s">
        <v>5</v>
      </c>
      <c r="E24" s="31" t="s">
        <v>5</v>
      </c>
      <c r="F24" s="31" t="s">
        <v>5</v>
      </c>
      <c r="G24" s="31" t="s">
        <v>5</v>
      </c>
      <c r="H24" s="31" t="s">
        <v>5</v>
      </c>
      <c r="I24" s="31" t="s">
        <v>5</v>
      </c>
      <c r="J24" s="31" t="s">
        <v>5</v>
      </c>
      <c r="K24" s="31" t="s">
        <v>5</v>
      </c>
      <c r="L24" s="31" t="s">
        <v>5</v>
      </c>
      <c r="M24" s="31" t="s">
        <v>5</v>
      </c>
      <c r="N24" s="31" t="s">
        <v>5</v>
      </c>
      <c r="O24" s="30">
        <v>6</v>
      </c>
      <c r="P24" s="21">
        <v>0</v>
      </c>
      <c r="Q24" s="22" t="s">
        <v>7</v>
      </c>
      <c r="R24" s="4"/>
    </row>
    <row r="25" spans="1:18" ht="17.25" x14ac:dyDescent="0.25">
      <c r="A25" s="23" t="s">
        <v>29</v>
      </c>
      <c r="Q25" s="24" t="s">
        <v>28</v>
      </c>
    </row>
    <row r="26" spans="1:18" ht="18" x14ac:dyDescent="0.45">
      <c r="A26" s="27" t="s">
        <v>22</v>
      </c>
      <c r="Q26" s="26" t="s">
        <v>9</v>
      </c>
    </row>
    <row r="27" spans="1:18" x14ac:dyDescent="0.25">
      <c r="A27" s="25" t="s">
        <v>8</v>
      </c>
    </row>
  </sheetData>
  <mergeCells count="2">
    <mergeCell ref="A1:Q1"/>
    <mergeCell ref="A2:Q2"/>
  </mergeCells>
  <pageMargins left="0.7" right="0.7" top="0.75" bottom="0.75" header="0.3" footer="0.3"/>
  <pageSetup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3.13</vt:lpstr>
      <vt:lpstr>'3.13'!Print_Area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2026-04-29T03:11:45Z</cp:lastPrinted>
  <dcterms:created xsi:type="dcterms:W3CDTF">2019-07-22T06:02:33Z</dcterms:created>
  <dcterms:modified xsi:type="dcterms:W3CDTF">2026-04-29T03:11:53Z</dcterms:modified>
</cp:coreProperties>
</file>