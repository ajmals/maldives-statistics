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5- FOREIGN TRADE AND BOP\"/>
    </mc:Choice>
  </mc:AlternateContent>
  <xr:revisionPtr revIDLastSave="0" documentId="13_ncr:1_{2DE7D0F2-57D7-4152-BE1A-8DFB8964AA36}" xr6:coauthVersionLast="47" xr6:coauthVersionMax="47" xr10:uidLastSave="{00000000-0000-0000-0000-000000000000}"/>
  <bookViews>
    <workbookView xWindow="-120" yWindow="-120" windowWidth="29040" windowHeight="15720" tabRatio="865" xr2:uid="{00000000-000D-0000-FFFF-FFFF00000000}"/>
  </bookViews>
  <sheets>
    <sheet name="15.10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0" l="1"/>
  <c r="C5" i="10" l="1"/>
  <c r="D5" i="10"/>
  <c r="E5" i="10"/>
  <c r="F5" i="10"/>
  <c r="B5" i="10"/>
</calcChain>
</file>

<file path=xl/sharedStrings.xml><?xml version="1.0" encoding="utf-8"?>
<sst xmlns="http://schemas.openxmlformats.org/spreadsheetml/2006/main" count="15" uniqueCount="15">
  <si>
    <t>Total</t>
  </si>
  <si>
    <t>Source:  Maldives Customs Services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</si>
  <si>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</si>
  <si>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</si>
  <si>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</si>
  <si>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</si>
  <si>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</si>
  <si>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</si>
  <si>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</si>
  <si>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</si>
  <si>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</si>
  <si>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</si>
  <si>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</si>
  <si>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</si>
  <si>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Table 15.10: Monthly imports, CIF MVR millions, 2020 - 2025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</si>
</sst>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9" formatCode="_(* #,##0.0_);_(* \(#,##0.0\);_(* &quot;-&quot;??_);_(@_)"/>
    <numFmt numFmtId="172" formatCode="_-* #,##0.00\ _ރ_._-;_-* #,##0.00\ _ރ_.\-;_-* &quot;-&quot;??\ _ރ_._-;_-@_-"/>
    <numFmt numFmtId="173" formatCode="0.00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6" applyNumberFormat="0" applyAlignment="0" applyProtection="0"/>
    <xf numFmtId="0" fontId="12" fillId="7" borderId="7" applyNumberFormat="0" applyAlignment="0" applyProtection="0"/>
    <xf numFmtId="0" fontId="13" fillId="7" borderId="6" applyNumberFormat="0" applyAlignment="0" applyProtection="0"/>
    <xf numFmtId="0" fontId="14" fillId="0" borderId="8" applyNumberFormat="0" applyFill="0" applyAlignment="0" applyProtection="0"/>
    <xf numFmtId="0" fontId="15" fillId="8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" fillId="0" borderId="11" applyNumberFormat="0" applyFill="0" applyAlignment="0" applyProtection="0"/>
    <xf numFmtId="0" fontId="1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Border="0" applyAlignment="0" applyProtection="0"/>
    <xf numFmtId="0" fontId="19" fillId="0" borderId="0"/>
    <xf numFmtId="0" fontId="3" fillId="0" borderId="0"/>
    <xf numFmtId="172" fontId="3" fillId="0" borderId="0" applyFont="0" applyFill="0" applyBorder="0" applyAlignment="0" applyProtection="0"/>
    <xf numFmtId="173" fontId="20" fillId="0" borderId="0"/>
    <xf numFmtId="0" fontId="21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0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0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34" borderId="0" applyNumberFormat="0" applyBorder="0" applyAlignment="0" applyProtection="0"/>
  </cellStyleXfs>
  <cellXfs count="11">
    <xf numFmtId="0" fontId="0" fillId="0" borderId="0" xfId="0"/>
    <xf numFmtId="0" fontId="4" fillId="2" borderId="0" xfId="0" applyFont="1" applyFill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2" xfId="0" applyFill="1" applyBorder="1"/>
    <xf numFmtId="0" fontId="0" fillId="2" borderId="1" xfId="0" applyFill="1" applyBorder="1" applyAlignment="1">
      <alignment vertical="center"/>
    </xf>
    <xf numFmtId="0" fontId="2" fillId="2" borderId="2" xfId="0" applyFont="1" applyFill="1" applyBorder="1"/>
    <xf numFmtId="169" fontId="2" fillId="2" borderId="0" xfId="1" applyNumberFormat="1" applyFont="1" applyFill="1" applyAlignment="1">
      <alignment vertical="center"/>
    </xf>
    <xf numFmtId="169" fontId="0" fillId="2" borderId="0" xfId="1" applyNumberFormat="1" applyFont="1" applyFill="1" applyAlignment="1">
      <alignment vertical="center"/>
    </xf>
    <xf numFmtId="169" fontId="0" fillId="2" borderId="1" xfId="1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/>
    </xf>
  </cellXfs>
  <cellStyles count="70">
    <cellStyle name="1" xfId="46" xr:uid="{00000000-0005-0000-0000-000000000000}"/>
    <cellStyle name="20% - Accent1" xfId="22" builtinId="30" customBuiltin="1"/>
    <cellStyle name="20% - Accent1 2" xfId="57" xr:uid="{00000000-0005-0000-0000-000002000000}"/>
    <cellStyle name="20% - Accent2" xfId="26" builtinId="34" customBuiltin="1"/>
    <cellStyle name="20% - Accent2 2" xfId="59" xr:uid="{00000000-0005-0000-0000-000004000000}"/>
    <cellStyle name="20% - Accent3" xfId="30" builtinId="38" customBuiltin="1"/>
    <cellStyle name="20% - Accent3 2" xfId="61" xr:uid="{00000000-0005-0000-0000-000006000000}"/>
    <cellStyle name="20% - Accent4" xfId="34" builtinId="42" customBuiltin="1"/>
    <cellStyle name="20% - Accent4 2" xfId="63" xr:uid="{00000000-0005-0000-0000-000008000000}"/>
    <cellStyle name="20% - Accent5" xfId="38" builtinId="46" customBuiltin="1"/>
    <cellStyle name="20% - Accent5 2" xfId="65" xr:uid="{00000000-0005-0000-0000-00000A000000}"/>
    <cellStyle name="20% - Accent6" xfId="42" builtinId="50" customBuiltin="1"/>
    <cellStyle name="20% - Accent6 2" xfId="67" xr:uid="{00000000-0005-0000-0000-00000C000000}"/>
    <cellStyle name="40% - Accent1" xfId="23" builtinId="31" customBuiltin="1"/>
    <cellStyle name="40% - Accent1 2" xfId="58" xr:uid="{00000000-0005-0000-0000-00000E000000}"/>
    <cellStyle name="40% - Accent2" xfId="27" builtinId="35" customBuiltin="1"/>
    <cellStyle name="40% - Accent2 2" xfId="60" xr:uid="{00000000-0005-0000-0000-000010000000}"/>
    <cellStyle name="40% - Accent3" xfId="31" builtinId="39" customBuiltin="1"/>
    <cellStyle name="40% - Accent3 2" xfId="62" xr:uid="{00000000-0005-0000-0000-000012000000}"/>
    <cellStyle name="40% - Accent4" xfId="35" builtinId="43" customBuiltin="1"/>
    <cellStyle name="40% - Accent4 2" xfId="64" xr:uid="{00000000-0005-0000-0000-000014000000}"/>
    <cellStyle name="40% - Accent5" xfId="39" builtinId="47" customBuiltin="1"/>
    <cellStyle name="40% - Accent5 2" xfId="66" xr:uid="{00000000-0005-0000-0000-000016000000}"/>
    <cellStyle name="40% - Accent6" xfId="43" builtinId="51" customBuiltin="1"/>
    <cellStyle name="40% - Accent6 2" xfId="68" xr:uid="{00000000-0005-0000-0000-000018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 xr:uid="{00000000-0005-0000-0000-000020000000}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Comma 2" xfId="47" xr:uid="{00000000-0005-0000-0000-00002A000000}"/>
    <cellStyle name="Comma 3" xfId="2" xr:uid="{00000000-0005-0000-0000-00002B000000}"/>
    <cellStyle name="Comma 4" xfId="51" xr:uid="{00000000-0005-0000-0000-00002C000000}"/>
    <cellStyle name="Comma 5" xfId="54" xr:uid="{00000000-0005-0000-0000-00002D000000}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 xr:uid="{00000000-0005-0000-0000-00003A000000}"/>
    <cellStyle name="Normal 2" xfId="4" xr:uid="{00000000-0005-0000-0000-00003B000000}"/>
    <cellStyle name="Normal 3" xfId="50" xr:uid="{00000000-0005-0000-0000-00003C000000}"/>
    <cellStyle name="Normal 4" xfId="53" xr:uid="{00000000-0005-0000-0000-00003D000000}"/>
    <cellStyle name="Normal 5" xfId="3" xr:uid="{00000000-0005-0000-0000-00003E000000}"/>
    <cellStyle name="Normal 6" xfId="56" xr:uid="{00000000-0005-0000-0000-00003F000000}"/>
    <cellStyle name="Normal 7" xfId="45" xr:uid="{00000000-0005-0000-0000-000040000000}"/>
    <cellStyle name="Note 2" xfId="52" xr:uid="{00000000-0005-0000-0000-000044000000}"/>
    <cellStyle name="Note 3" xfId="55" xr:uid="{00000000-0005-0000-0000-000045000000}"/>
    <cellStyle name="Output" xfId="14" builtinId="21" customBuiltin="1"/>
    <cellStyle name="Percent 2" xfId="5" xr:uid="{00000000-0005-0000-0000-000048000000}"/>
    <cellStyle name="Title 2" xfId="49" xr:uid="{00000000-0005-0000-0000-000049000000}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336600"/>
      <color rgb="FFF9FFF3"/>
      <color rgb="FF003300"/>
      <color rgb="FFFF3399"/>
      <color rgb="FF2F75B5"/>
      <color rgb="FF9BC2E6"/>
      <color rgb="FF003399"/>
      <color rgb="FF33CCCC"/>
      <color rgb="FF7E5400"/>
      <color rgb="FFFFD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Figure 15.7: Monthly Imports (in MVR), 2022</a:t>
            </a:r>
            <a:r>
              <a:rPr lang="en-US" b="1" baseline="0"/>
              <a:t> - 2025</a:t>
            </a:r>
            <a:endParaRPr lang="en-US" b="1"/>
          </a:p>
        </c:rich>
      </c:tx>
      <c:layout>
        <c:manualLayout>
          <c:xMode val="edge"/>
          <c:yMode val="edge"/>
          <c:x val="0.23915485914642143"/>
          <c:y val="3.07692307692307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163727146480658E-2"/>
          <c:y val="0.1272930244926174"/>
          <c:w val="0.91220850065788783"/>
          <c:h val="0.77979100987930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'15.10'!$D$4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'15.10'!$A$6:$A$17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'15.10'!$D$6:$D$17</c:f>
              <c:numCache>
                <c:formatCode>_(* #,##0.0_);_(* \(#,##0.0\);_(* "-"??_);_(@_)</c:formatCode>
                <c:ptCount val="12"/>
                <c:pt idx="0">
                  <c:v>4128.4318136899801</c:v>
                </c:pt>
                <c:pt idx="1">
                  <c:v>3782.4274938100002</c:v>
                </c:pt>
                <c:pt idx="2">
                  <c:v>3925.6484067300498</c:v>
                </c:pt>
                <c:pt idx="3">
                  <c:v>4711.4845825299799</c:v>
                </c:pt>
                <c:pt idx="4">
                  <c:v>4404.7549541300396</c:v>
                </c:pt>
                <c:pt idx="5">
                  <c:v>5214.0210365200201</c:v>
                </c:pt>
                <c:pt idx="6">
                  <c:v>4242.7147707600197</c:v>
                </c:pt>
                <c:pt idx="7">
                  <c:v>4757.1897466699602</c:v>
                </c:pt>
                <c:pt idx="8">
                  <c:v>4404.2873826300402</c:v>
                </c:pt>
                <c:pt idx="9">
                  <c:v>4232.5976142300096</c:v>
                </c:pt>
                <c:pt idx="10">
                  <c:v>4432.4382167699896</c:v>
                </c:pt>
                <c:pt idx="11">
                  <c:v>5612.6330002899704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9-45EC-AAE3-7150D0B65458}"/>
            </c:ext>
          </c:extLst>
        </c:ser>
        <c:ser>
          <c:idx val="1"/>
          <c:order val="1"/>
          <c:tx>
            <c:strRef>
              <c:f>'15.10'!$E$4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'15.10'!$A$6:$A$17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'15.10'!$E$6:$E$17</c:f>
              <c:numCache>
                <c:formatCode>_(* #,##0.0_);_(* \(#,##0.0\);_(* "-"??_);_(@_)</c:formatCode>
                <c:ptCount val="12"/>
                <c:pt idx="0">
                  <c:v>3910.9020010500399</c:v>
                </c:pt>
                <c:pt idx="1">
                  <c:v>4190.3200804300004</c:v>
                </c:pt>
                <c:pt idx="2">
                  <c:v>4214.6762996700199</c:v>
                </c:pt>
                <c:pt idx="3">
                  <c:v>4467.26321749006</c:v>
                </c:pt>
                <c:pt idx="4">
                  <c:v>4611.2493984100101</c:v>
                </c:pt>
                <c:pt idx="5">
                  <c:v>3944.49021368999</c:v>
                </c:pt>
                <c:pt idx="6">
                  <c:v>4722.2377734799702</c:v>
                </c:pt>
                <c:pt idx="7">
                  <c:v>4993.8159335200198</c:v>
                </c:pt>
                <c:pt idx="8">
                  <c:v>4209.5035909299904</c:v>
                </c:pt>
                <c:pt idx="9">
                  <c:v>4932.1605800000298</c:v>
                </c:pt>
                <c:pt idx="10">
                  <c:v>4338.4223489599799</c:v>
                </c:pt>
                <c:pt idx="11">
                  <c:v>5118.0167632899802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29-45EC-AAE3-7150D0B65458}"/>
            </c:ext>
          </c:extLst>
        </c:ser>
        <c:ser>
          <c:idx val="2"/>
          <c:order val="2"/>
          <c:tx>
            <c:strRef>
              <c:f>'15.10'!$F$4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'15.10'!$A$6:$A$17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'15.10'!$F$6:$F$17</c:f>
              <c:numCache>
                <c:formatCode>_(* #,##0.0_);_(* \(#,##0.0\);_(* "-"??_);_(@_)</c:formatCode>
                <c:ptCount val="12"/>
                <c:pt idx="0">
                  <c:v>5091.5570353499998</c:v>
                </c:pt>
                <c:pt idx="1">
                  <c:v>4330.1124193799897</c:v>
                </c:pt>
                <c:pt idx="2">
                  <c:v>4384.3255762700301</c:v>
                </c:pt>
                <c:pt idx="3">
                  <c:v>4720.2130920200098</c:v>
                </c:pt>
                <c:pt idx="4">
                  <c:v>4441.9386692300204</c:v>
                </c:pt>
                <c:pt idx="5">
                  <c:v>4024.40405852</c:v>
                </c:pt>
                <c:pt idx="6">
                  <c:v>4462.4917216100002</c:v>
                </c:pt>
                <c:pt idx="7">
                  <c:v>4556.4985263800299</c:v>
                </c:pt>
                <c:pt idx="8">
                  <c:v>5081.7889412499899</c:v>
                </c:pt>
                <c:pt idx="9">
                  <c:v>5060.5893378699902</c:v>
                </c:pt>
                <c:pt idx="10">
                  <c:v>4000.0528866199802</c:v>
                </c:pt>
                <c:pt idx="11">
                  <c:v>5776.4467642299196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29-45EC-AAE3-7150D0B65458}"/>
            </c:ext>
          </c:extLst>
        </c:ser>
        <c:ser>
          <c:idx val="3"/>
          <c:order val="3"/>
          <c:tx>
            <c:strRef>
              <c:f>'15.10'!$G$4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336600"/>
            </a:solidFill>
            <a:ln>
              <a:noFill/>
            </a:ln>
            <a:effectLst/>
          </c:spPr>
          <c:invertIfNegative val="0"/>
          <c:cat>
            <c:strRef>
              <c:f>'15.10'!$A$6:$A$17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'15.10'!$G$6:$G$17</c:f>
              <c:numCache>
                <c:formatCode>_(* #,##0.0_);_(* \(#,##0.0\);_(* "-"??_);_(@_)</c:formatCode>
                <c:ptCount val="12"/>
                <c:pt idx="0">
                  <c:v>4784.3432432501004</c:v>
                </c:pt>
                <c:pt idx="1">
                  <c:v>4384.6037708897802</c:v>
                </c:pt>
                <c:pt idx="2">
                  <c:v>4388.0939084000402</c:v>
                </c:pt>
                <c:pt idx="3">
                  <c:v>4630.7957256600102</c:v>
                </c:pt>
                <c:pt idx="4">
                  <c:v>4372.0538729400196</c:v>
                </c:pt>
                <c:pt idx="5">
                  <c:v>3938.7012698100398</c:v>
                </c:pt>
                <c:pt idx="6">
                  <c:v>4477.0637459700001</c:v>
                </c:pt>
                <c:pt idx="7">
                  <c:v>4880.7478970096699</c:v>
                </c:pt>
                <c:pt idx="8">
                  <c:v>4569.60726900998</c:v>
                </c:pt>
                <c:pt idx="9">
                  <c:v>4826.4381207900897</c:v>
                </c:pt>
                <c:pt idx="10">
                  <c:v>5188.7077643000202</c:v>
                </c:pt>
                <c:pt idx="11">
                  <c:v>5334.1293465497802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B-4E5D-BA31-45385D1DF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0577279"/>
        <c:axId val="650577759"/>
      </c:barChart>
      <c:catAx>
        <c:axId val="65057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77759"/>
        <c:crosses val="autoZero"/>
        <c:auto val="1"/>
        <c:lblAlgn val="ctr"/>
        <c:lblOffset val="100"/>
        <c:noMultiLvlLbl val="0"/>
      </c:catAx>
      <c:valAx>
        <c:axId val="65057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77279"/>
        <c:crosses val="autoZero"/>
        <c:crossBetween val="between"/>
      </c:valAx>
      <c:spPr>
        <a:solidFill>
          <a:srgbClr val="F9FFF3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8328159840486602"/>
          <c:y val="0.17321004105256074"/>
          <c:w val="0.23763656951514792"/>
          <c:h val="5.76927114879870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100010</xdr:colOff>
      <xdr:row>19</xdr:row>
      <xdr:rowOff>19050</xdr:rowOff>
    </xdr:from>
    <xdr:to>
      <xdr:col>11</xdr:col>
      <xdr:colOff>142875</xdr:colOff>
      <xdr:row>38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2564C-E059-3D84-4857-609AF6D07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2:G18"/>
  <sheetViews>
    <sheetView tabSelected="1" zoomScaleNormal="100" workbookViewId="0">
      <selection activeCell="N20" sqref="N20"/>
    </sheetView>
  </sheetViews>
  <sheetFormatPr defaultRowHeight="15" x14ac:dyDescent="0.25"/>
  <cols>
    <col min="1" max="1" width="14" style="2" customWidth="1"/>
    <col min="2" max="6" width="10.5703125" style="2" bestFit="1" customWidth="1"/>
    <col min="7" max="7" width="12" style="2" bestFit="1" customWidth="1"/>
    <col min="8" max="16384" width="9.140625" style="2"/>
  </cols>
  <sheetData>
    <row r="2" spans="1:7" x14ac:dyDescent="0.25">
      <c r="A2" s="10" t="s">
        <v>14</v>
      </c>
      <c r="B2" s="10"/>
      <c r="C2" s="10"/>
      <c r="D2" s="10"/>
      <c r="E2" s="10"/>
      <c r="F2" s="10"/>
      <c r="G2" s="10"/>
    </row>
    <row r="4" spans="1:7" x14ac:dyDescent="0.25">
      <c r="A4" s="4"/>
      <c r="B4" s="6">
        <v>2020</v>
      </c>
      <c r="C4" s="6">
        <v>2021</v>
      </c>
      <c r="D4" s="6">
        <v>2022</v>
      </c>
      <c r="E4" s="6">
        <v>2023</v>
      </c>
      <c r="F4" s="6">
        <v>2024</v>
      </c>
      <c r="G4" s="6">
        <v>2025</v>
      </c>
    </row>
    <row r="5" spans="1:7" s="3" customFormat="1" ht="26.25" customHeight="1" x14ac:dyDescent="0.25">
      <c r="A5" s="3" t="s">
        <v>0</v>
      </c>
      <c r="B5" s="7">
        <f t="shared" ref="B5:G5" si="0">SUM(B6:B17)</f>
        <v>28185.611745900005</v>
      </c>
      <c r="C5" s="7">
        <f t="shared" si="0"/>
        <v>39329.170781219989</v>
      </c>
      <c r="D5" s="7">
        <f t="shared" si="0"/>
        <v>53848.629018760068</v>
      </c>
      <c r="E5" s="7">
        <f t="shared" si="0"/>
        <v>53653.058200920103</v>
      </c>
      <c r="F5" s="7">
        <f t="shared" si="0"/>
        <v>55930.419028729964</v>
      </c>
      <c r="G5" s="7">
        <f t="shared" si="0"/>
        <v>55775.285934579537</v>
      </c>
    </row>
    <row r="6" spans="1:7" s="3" customFormat="1" ht="26.25" customHeight="1" x14ac:dyDescent="0.25">
      <c r="A6" s="3" t="s">
        <v>2</v>
      </c>
      <c r="B6" s="8">
        <v>3694.2379638399998</v>
      </c>
      <c r="C6" s="8">
        <v>2780.8183335000099</v>
      </c>
      <c r="D6" s="8">
        <v>4128.4318136899801</v>
      </c>
      <c r="E6" s="8">
        <v>3910.9020010500399</v>
      </c>
      <c r="F6" s="8">
        <v>5091.5570353499998</v>
      </c>
      <c r="G6" s="8">
        <v>4784.3432432501004</v>
      </c>
    </row>
    <row r="7" spans="1:7" s="3" customFormat="1" ht="26.25" customHeight="1" x14ac:dyDescent="0.25">
      <c r="A7" s="3" t="s">
        <v>3</v>
      </c>
      <c r="B7" s="8">
        <v>3465.95642413</v>
      </c>
      <c r="C7" s="8">
        <v>2755.3873637199899</v>
      </c>
      <c r="D7" s="8">
        <v>3782.4274938100002</v>
      </c>
      <c r="E7" s="8">
        <v>4190.3200804300004</v>
      </c>
      <c r="F7" s="8">
        <v>4330.1124193799897</v>
      </c>
      <c r="G7" s="8">
        <v>4384.6037708897802</v>
      </c>
    </row>
    <row r="8" spans="1:7" s="3" customFormat="1" ht="26.25" customHeight="1" x14ac:dyDescent="0.25">
      <c r="A8" s="3" t="s">
        <v>4</v>
      </c>
      <c r="B8" s="8">
        <v>3099.9730254399801</v>
      </c>
      <c r="C8" s="8">
        <v>3430.9948589399901</v>
      </c>
      <c r="D8" s="8">
        <v>3925.6484067300498</v>
      </c>
      <c r="E8" s="8">
        <v>4214.6762996700199</v>
      </c>
      <c r="F8" s="8">
        <v>4384.3255762700301</v>
      </c>
      <c r="G8" s="8">
        <v>4388.0939084000402</v>
      </c>
    </row>
    <row r="9" spans="1:7" s="3" customFormat="1" ht="26.25" customHeight="1" x14ac:dyDescent="0.25">
      <c r="A9" s="3" t="s">
        <v>5</v>
      </c>
      <c r="B9" s="8">
        <v>1767.63864638</v>
      </c>
      <c r="C9" s="8">
        <v>2899.9458533500001</v>
      </c>
      <c r="D9" s="8">
        <v>4711.4845825299799</v>
      </c>
      <c r="E9" s="8">
        <v>4467.26321749006</v>
      </c>
      <c r="F9" s="8">
        <v>4720.2130920200098</v>
      </c>
      <c r="G9" s="8">
        <v>4630.7957256600102</v>
      </c>
    </row>
    <row r="10" spans="1:7" s="3" customFormat="1" ht="26.25" customHeight="1" x14ac:dyDescent="0.25">
      <c r="A10" s="3" t="s">
        <v>6</v>
      </c>
      <c r="B10" s="8">
        <v>1535.8872804500099</v>
      </c>
      <c r="C10" s="8">
        <v>2925.1109741099999</v>
      </c>
      <c r="D10" s="8">
        <v>4404.7549541300396</v>
      </c>
      <c r="E10" s="8">
        <v>4611.2493984100101</v>
      </c>
      <c r="F10" s="8">
        <v>4441.9386692300204</v>
      </c>
      <c r="G10" s="8">
        <v>4372.0538729400196</v>
      </c>
    </row>
    <row r="11" spans="1:7" s="3" customFormat="1" ht="26.25" customHeight="1" x14ac:dyDescent="0.25">
      <c r="A11" s="3" t="s">
        <v>7</v>
      </c>
      <c r="B11" s="8">
        <v>2077.52476755</v>
      </c>
      <c r="C11" s="8">
        <v>2945.5297925600198</v>
      </c>
      <c r="D11" s="8">
        <v>5214.0210365200201</v>
      </c>
      <c r="E11" s="8">
        <v>3944.49021368999</v>
      </c>
      <c r="F11" s="8">
        <v>4024.40405852</v>
      </c>
      <c r="G11" s="8">
        <v>3938.7012698100398</v>
      </c>
    </row>
    <row r="12" spans="1:7" s="3" customFormat="1" ht="26.25" customHeight="1" x14ac:dyDescent="0.25">
      <c r="A12" s="3" t="s">
        <v>8</v>
      </c>
      <c r="B12" s="8">
        <v>1888.26012531999</v>
      </c>
      <c r="C12" s="8">
        <v>2736.1451764900198</v>
      </c>
      <c r="D12" s="8">
        <v>4242.7147707600197</v>
      </c>
      <c r="E12" s="8">
        <v>4722.2377734799702</v>
      </c>
      <c r="F12" s="8">
        <v>4462.4917216100002</v>
      </c>
      <c r="G12" s="8">
        <v>4477.0637459700001</v>
      </c>
    </row>
    <row r="13" spans="1:7" s="3" customFormat="1" ht="26.25" customHeight="1" x14ac:dyDescent="0.25">
      <c r="A13" s="3" t="s">
        <v>9</v>
      </c>
      <c r="B13" s="8">
        <v>2125.99821195001</v>
      </c>
      <c r="C13" s="8">
        <v>3270.4407534699899</v>
      </c>
      <c r="D13" s="8">
        <v>4757.1897466699602</v>
      </c>
      <c r="E13" s="8">
        <v>4993.8159335200198</v>
      </c>
      <c r="F13" s="8">
        <v>4556.4985263800299</v>
      </c>
      <c r="G13" s="8">
        <v>4880.7478970096699</v>
      </c>
    </row>
    <row r="14" spans="1:7" s="3" customFormat="1" ht="26.25" customHeight="1" x14ac:dyDescent="0.25">
      <c r="A14" s="3" t="s">
        <v>10</v>
      </c>
      <c r="B14" s="8">
        <v>1918.69889276</v>
      </c>
      <c r="C14" s="8">
        <v>3465.26011959998</v>
      </c>
      <c r="D14" s="8">
        <v>4404.2873826300402</v>
      </c>
      <c r="E14" s="8">
        <v>4209.5035909299904</v>
      </c>
      <c r="F14" s="8">
        <v>5081.7889412499899</v>
      </c>
      <c r="G14" s="8">
        <v>4569.60726900998</v>
      </c>
    </row>
    <row r="15" spans="1:7" s="3" customFormat="1" ht="26.25" customHeight="1" x14ac:dyDescent="0.25">
      <c r="A15" s="3" t="s">
        <v>11</v>
      </c>
      <c r="B15" s="8">
        <v>2021.18588559</v>
      </c>
      <c r="C15" s="8">
        <v>3729.2382840299902</v>
      </c>
      <c r="D15" s="8">
        <v>4232.5976142300096</v>
      </c>
      <c r="E15" s="8">
        <v>4932.1605800000298</v>
      </c>
      <c r="F15" s="8">
        <v>5060.5893378699902</v>
      </c>
      <c r="G15" s="8">
        <v>4826.4381207900897</v>
      </c>
    </row>
    <row r="16" spans="1:7" s="3" customFormat="1" ht="26.25" customHeight="1" x14ac:dyDescent="0.25">
      <c r="A16" s="3" t="s">
        <v>12</v>
      </c>
      <c r="B16" s="8">
        <v>2070.9635002200198</v>
      </c>
      <c r="C16" s="8">
        <v>3956.2649354099899</v>
      </c>
      <c r="D16" s="8">
        <v>4432.4382167699896</v>
      </c>
      <c r="E16" s="8">
        <v>4338.4223489599799</v>
      </c>
      <c r="F16" s="8">
        <v>4000.0528866199802</v>
      </c>
      <c r="G16" s="8">
        <v>5188.7077643000202</v>
      </c>
    </row>
    <row r="17" spans="1:7" s="3" customFormat="1" ht="26.25" customHeight="1" x14ac:dyDescent="0.25">
      <c r="A17" s="5" t="s">
        <v>13</v>
      </c>
      <c r="B17" s="9">
        <v>2519.2870222699999</v>
      </c>
      <c r="C17" s="9">
        <v>4434.0343360400102</v>
      </c>
      <c r="D17" s="9">
        <v>5612.6330002899704</v>
      </c>
      <c r="E17" s="9">
        <v>5118.0167632899802</v>
      </c>
      <c r="F17" s="9">
        <v>5776.4467642299196</v>
      </c>
      <c r="G17" s="9">
        <v>5334.1293465497802</v>
      </c>
    </row>
    <row r="18" spans="1:7" x14ac:dyDescent="0.25">
      <c r="A18" s="1" t="s">
        <v>1</v>
      </c>
    </row>
  </sheetData>
  <mergeCells count="1">
    <mergeCell ref="A2:G2"/>
  </mergeCells>
  <phoneticPr fontId="23" type="noConversion"/>
  <pageMargins left="0.7" right="0.7" top="0.75" bottom="0.75" header="0.3" footer="0.3"/>
  <pageSetup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2026-06-23T03:47:44Z</cp:lastPrinted>
  <dcterms:created xsi:type="dcterms:W3CDTF">2019-12-05T04:01:34Z</dcterms:created>
  <dcterms:modified xsi:type="dcterms:W3CDTF">2026-06-23T03:47:48Z</dcterms:modified>
</cp:coreProperties>
</file>