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5- FOREIGN TRADE AND BOP\"/>
    </mc:Choice>
  </mc:AlternateContent>
  <xr:revisionPtr revIDLastSave="0" documentId="13_ncr:1_{91071432-241B-4B99-B506-8CD6A235908E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15.4" sheetId="4" r:id="rId1"/>
  </sheets>
  <definedNames>
    <definedName name="_xlnm.Print_Area" localSheetId="0">'15.4'!$A$1:$H$109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4" l="1"/>
  <c r="E31" i="4"/>
  <c r="E29" i="4"/>
  <c r="E27" i="4"/>
  <c r="E26" i="4"/>
  <c r="F26" i="4"/>
  <c r="E28" i="4"/>
  <c r="E30" i="4"/>
  <c r="E32" i="4"/>
  <c r="E34" i="4"/>
  <c r="F7" i="4"/>
  <c r="F8" i="4"/>
  <c r="F9" i="4"/>
  <c r="F10" i="4"/>
  <c r="F11" i="4"/>
  <c r="F12" i="4"/>
  <c r="F13" i="4"/>
  <c r="F14" i="4"/>
  <c r="F15" i="4"/>
  <c r="F16" i="4"/>
  <c r="E16" i="4"/>
  <c r="E15" i="4"/>
  <c r="E14" i="4"/>
  <c r="E13" i="4"/>
  <c r="E12" i="4"/>
  <c r="E11" i="4"/>
  <c r="E10" i="4"/>
  <c r="E9" i="4"/>
  <c r="E8" i="4"/>
  <c r="E7" i="4"/>
  <c r="F6" i="4"/>
  <c r="E6" i="4"/>
  <c r="B16" i="4" l="1"/>
  <c r="B15" i="4"/>
  <c r="B14" i="4"/>
  <c r="B13" i="4"/>
  <c r="B12" i="4"/>
  <c r="B11" i="4"/>
  <c r="B10" i="4"/>
  <c r="B9" i="4"/>
  <c r="B8" i="4"/>
  <c r="B7" i="4"/>
  <c r="D6" i="4"/>
  <c r="C6" i="4"/>
  <c r="F5" i="4"/>
  <c r="E5" i="4"/>
  <c r="B6" i="4" l="1"/>
  <c r="D24" i="4"/>
  <c r="B34" i="4"/>
  <c r="F34" i="4" s="1"/>
  <c r="B33" i="4"/>
  <c r="F33" i="4" s="1"/>
  <c r="B32" i="4"/>
  <c r="F32" i="4" s="1"/>
  <c r="B31" i="4"/>
  <c r="B29" i="4"/>
  <c r="F29" i="4" s="1"/>
  <c r="B28" i="4"/>
  <c r="B27" i="4"/>
  <c r="B26" i="4"/>
  <c r="B25" i="4"/>
  <c r="E25" i="4" s="1"/>
  <c r="F23" i="4"/>
  <c r="E23" i="4"/>
  <c r="B52" i="4"/>
  <c r="E52" i="4" s="1"/>
  <c r="F27" i="4" l="1"/>
  <c r="F31" i="4"/>
  <c r="F28" i="4"/>
  <c r="F25" i="4"/>
  <c r="F52" i="4"/>
  <c r="C42" i="4" l="1"/>
  <c r="B50" i="4"/>
  <c r="B51" i="4"/>
  <c r="B49" i="4"/>
  <c r="B48" i="4"/>
  <c r="B47" i="4"/>
  <c r="B46" i="4"/>
  <c r="B45" i="4"/>
  <c r="B44" i="4"/>
  <c r="B43" i="4"/>
  <c r="D42" i="4"/>
  <c r="F41" i="4"/>
  <c r="E41" i="4"/>
  <c r="B83" i="4"/>
  <c r="E44" i="4" l="1"/>
  <c r="F44" i="4"/>
  <c r="F49" i="4"/>
  <c r="E49" i="4"/>
  <c r="E46" i="4"/>
  <c r="F46" i="4"/>
  <c r="F48" i="4"/>
  <c r="E48" i="4"/>
  <c r="E51" i="4"/>
  <c r="F51" i="4"/>
  <c r="F43" i="4"/>
  <c r="E43" i="4"/>
  <c r="E47" i="4"/>
  <c r="F47" i="4"/>
  <c r="E45" i="4"/>
  <c r="F45" i="4"/>
  <c r="F50" i="4"/>
  <c r="E50" i="4"/>
  <c r="B42" i="4"/>
  <c r="F42" i="4" s="1"/>
  <c r="E42" i="4" l="1"/>
  <c r="B71" i="4"/>
  <c r="B70" i="4"/>
  <c r="B69" i="4"/>
  <c r="B68" i="4"/>
  <c r="E68" i="4" s="1"/>
  <c r="B67" i="4"/>
  <c r="B66" i="4"/>
  <c r="B65" i="4"/>
  <c r="E65" i="4" s="1"/>
  <c r="B64" i="4"/>
  <c r="B63" i="4"/>
  <c r="B62" i="4"/>
  <c r="D61" i="4"/>
  <c r="C61" i="4"/>
  <c r="F60" i="4"/>
  <c r="E60" i="4"/>
  <c r="F68" i="4" l="1"/>
  <c r="E69" i="4"/>
  <c r="F69" i="4"/>
  <c r="E62" i="4"/>
  <c r="F62" i="4"/>
  <c r="F64" i="4"/>
  <c r="E64" i="4"/>
  <c r="E70" i="4"/>
  <c r="F70" i="4"/>
  <c r="E71" i="4"/>
  <c r="F71" i="4"/>
  <c r="F65" i="4"/>
  <c r="F66" i="4"/>
  <c r="E66" i="4"/>
  <c r="E67" i="4"/>
  <c r="F67" i="4"/>
  <c r="E63" i="4"/>
  <c r="F63" i="4"/>
  <c r="B61" i="4"/>
  <c r="E61" i="4" s="1"/>
  <c r="B90" i="4"/>
  <c r="F90" i="4" s="1"/>
  <c r="B89" i="4"/>
  <c r="F89" i="4" s="1"/>
  <c r="B88" i="4"/>
  <c r="E88" i="4" s="1"/>
  <c r="B87" i="4"/>
  <c r="F87" i="4" s="1"/>
  <c r="B86" i="4"/>
  <c r="E86" i="4" s="1"/>
  <c r="B85" i="4"/>
  <c r="E85" i="4" s="1"/>
  <c r="B84" i="4"/>
  <c r="E84" i="4" s="1"/>
  <c r="F83" i="4"/>
  <c r="B82" i="4"/>
  <c r="E82" i="4" s="1"/>
  <c r="B81" i="4"/>
  <c r="F81" i="4" s="1"/>
  <c r="D80" i="4"/>
  <c r="C80" i="4"/>
  <c r="F79" i="4"/>
  <c r="E79" i="4"/>
  <c r="F61" i="4" l="1"/>
  <c r="E90" i="4"/>
  <c r="E81" i="4"/>
  <c r="B80" i="4"/>
  <c r="E80" i="4" s="1"/>
  <c r="F88" i="4"/>
  <c r="E89" i="4"/>
  <c r="E83" i="4"/>
  <c r="E87" i="4"/>
  <c r="F80" i="4" l="1"/>
  <c r="C24" i="4" l="1"/>
  <c r="B30" i="4"/>
  <c r="F30" i="4" l="1"/>
  <c r="B24" i="4"/>
  <c r="F24" i="4" s="1"/>
  <c r="E24" i="4" l="1"/>
</calcChain>
</file>

<file path=xl/sharedStrings.xml><?xml version="1.0" encoding="utf-8"?>
<sst xmlns="http://schemas.openxmlformats.org/spreadsheetml/2006/main" count="202" uniqueCount="45">
  <si>
    <t>Total</t>
  </si>
  <si>
    <t>Source:  Maldives Customs Services</t>
  </si>
  <si>
    <t>wlcmuj</t>
  </si>
  <si>
    <t>Items</t>
  </si>
  <si>
    <t xml:space="preserve">        Value (in MVR. '000)</t>
  </si>
  <si>
    <t>(cniaWyifur '000) ugwa</t>
  </si>
  <si>
    <t>wlcaimwa</t>
  </si>
  <si>
    <t>urWkurws</t>
  </si>
  <si>
    <t>Private</t>
  </si>
  <si>
    <t>Government</t>
  </si>
  <si>
    <t>Fresh or Chilled Tuna</t>
  </si>
  <si>
    <t>Fresh or Chilled Reef Fish</t>
  </si>
  <si>
    <t>Frozen Fish</t>
  </si>
  <si>
    <t>Dried Fish</t>
  </si>
  <si>
    <t>Salted Dried Fish</t>
  </si>
  <si>
    <t>Sea Cucumber</t>
  </si>
  <si>
    <t>Canned Fish</t>
  </si>
  <si>
    <t>Live Reef Fish</t>
  </si>
  <si>
    <t>Fish Meal</t>
  </si>
  <si>
    <t>Other Marine Products</t>
  </si>
  <si>
    <t xml:space="preserve">wlcmuj  </t>
  </si>
  <si>
    <t xml:space="preserve">cswmwncnuh iawfcaokinif wtwvun WzWt    </t>
  </si>
  <si>
    <t xml:space="preserve">cswmurwfwncnuh iawfcaokinif wtwvun WzWt    </t>
  </si>
  <si>
    <t xml:space="preserve">cswmirukinif  </t>
  </si>
  <si>
    <t xml:space="preserve">cswmikihiLeaunol   </t>
  </si>
  <si>
    <t xml:space="preserve">Wdnwlifiauh  </t>
  </si>
  <si>
    <t xml:space="preserve">cswmirukudcnwb iawguLwd  </t>
  </si>
  <si>
    <t xml:space="preserve">cswmurwfErid  </t>
  </si>
  <si>
    <t xml:space="preserve">cawtctwvWbeguDnwkcnehinehea        </t>
  </si>
  <si>
    <t>% share</t>
  </si>
  <si>
    <t>ބާވަތް</t>
  </si>
  <si>
    <t>cswmikih</t>
  </si>
  <si>
    <t>WnWk uhwm</t>
  </si>
  <si>
    <t xml:space="preserve">cswsivrWs ccscmwTcswk cscviDclOm :ctWrwfivcaed utWmUluAwm     </t>
  </si>
  <si>
    <t>2020 ,WsWluh egukwtctwvWb eguDnwk unuverukurEb cnEjcaWr : 15.4 ulwvWt</t>
  </si>
  <si>
    <t>Table  15.4 :  SUMMARY OF MARINE PRODUCT EXPORTS BY COMMODITY, 2020</t>
  </si>
  <si>
    <t>Data Compile: Maldives Bureau of Statistics</t>
  </si>
  <si>
    <t>Table  15.4 :  SUMMARY OF MARINE PRODUCT EXPORTS BY COMMODITY, 2022</t>
  </si>
  <si>
    <t>2022 ,WsWluh egukwtctwvWb eguDnwk unuverukurEb cnEjcaWr : 15.4 ulwvWt</t>
  </si>
  <si>
    <t>Table  15.4 :  SUMMARY OF MARINE PRODUCT EXPORTS BY COMMODITY, 2023</t>
  </si>
  <si>
    <t>2023 ,WsWluh egukwtctwvWb eguDnwk unuverukurEb cnEjcaWr : 15.4 ulwvWt</t>
  </si>
  <si>
    <t>Table  15.4 :  SUMMARY OF MARINE PRODUCT EXPORTS BY COMMODITY, 2024</t>
  </si>
  <si>
    <t>2024 ,WsWluh egukwtctwvWb eguDnwk unuverukurEb cnEjcaWr : 15.4 ulwvWt</t>
  </si>
  <si>
    <t>Table  15.4 :  SUMMARY OF MARINE PRODUCT EXPORTS BY COMMODITY, 2025</t>
  </si>
  <si>
    <t>2025 ,WsWluh egukwtctwvWb eguDnwk unuverukurEb cnEjcaWr : 15.4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</si>
</sst>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8" formatCode="_(* #,##0_);_(* \(#,##0\);_(* &quot;-&quot;??_);_(@_)"/>
    <numFmt numFmtId="169" formatCode="_(* #,##0.0_);_(* \(#,##0.0\);_(* &quot;-&quot;??_);_(@_)"/>
    <numFmt numFmtId="172" formatCode="_-* #,##0.00\ _ރ_._-;_-* #,##0.00\ _ރ_.\-;_-* &quot;-&quot;??\ _ރ_._-;_-@_-"/>
    <numFmt numFmtId="173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b/>
      <sz val="11"/>
      <color theme="1"/>
      <name val="Calibri"/>
      <family val="2"/>
    </font>
    <font>
      <b/>
      <sz val="9"/>
      <name val="Faruma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sz val="10"/>
      <name val="A_Faseyha"/>
    </font>
    <font>
      <sz val="9"/>
      <name val="A_Faseyha"/>
    </font>
    <font>
      <b/>
      <sz val="11"/>
      <color theme="1"/>
      <name val="A_Faseyha"/>
    </font>
    <font>
      <i/>
      <sz val="10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12" applyNumberFormat="0" applyAlignment="0" applyProtection="0"/>
    <xf numFmtId="0" fontId="21" fillId="7" borderId="13" applyNumberFormat="0" applyAlignment="0" applyProtection="0"/>
    <xf numFmtId="0" fontId="22" fillId="7" borderId="12" applyNumberFormat="0" applyAlignment="0" applyProtection="0"/>
    <xf numFmtId="0" fontId="23" fillId="0" borderId="14" applyNumberFormat="0" applyFill="0" applyAlignment="0" applyProtection="0"/>
    <xf numFmtId="0" fontId="24" fillId="8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3" borderId="0" applyNumberFormat="0" applyBorder="0" applyAlignment="0" applyProtection="0"/>
    <xf numFmtId="0" fontId="28" fillId="0" borderId="0"/>
    <xf numFmtId="0" fontId="5" fillId="0" borderId="0"/>
    <xf numFmtId="172" fontId="5" fillId="0" borderId="0" applyFont="0" applyFill="0" applyBorder="0" applyAlignment="0" applyProtection="0"/>
    <xf numFmtId="173" fontId="29" fillId="0" borderId="0"/>
    <xf numFmtId="0" fontId="3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4" borderId="0" applyNumberFormat="0" applyBorder="0" applyAlignment="0" applyProtection="0"/>
  </cellStyleXfs>
  <cellXfs count="47">
    <xf numFmtId="0" fontId="0" fillId="0" borderId="0" xfId="0"/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168" fontId="8" fillId="2" borderId="0" xfId="2" applyNumberFormat="1" applyFont="1" applyFill="1" applyBorder="1" applyAlignment="1">
      <alignment horizontal="right" vertical="center"/>
    </xf>
    <xf numFmtId="0" fontId="0" fillId="2" borderId="0" xfId="0" applyFill="1"/>
    <xf numFmtId="0" fontId="7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68" fontId="6" fillId="2" borderId="0" xfId="2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 wrapText="1" indent="2"/>
    </xf>
    <xf numFmtId="0" fontId="8" fillId="2" borderId="2" xfId="0" applyFont="1" applyFill="1" applyBorder="1" applyAlignment="1">
      <alignment horizontal="left" vertical="center" wrapText="1" indent="2"/>
    </xf>
    <xf numFmtId="168" fontId="6" fillId="2" borderId="2" xfId="2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 wrapText="1" indent="2"/>
    </xf>
    <xf numFmtId="169" fontId="3" fillId="2" borderId="0" xfId="0" applyNumberFormat="1" applyFont="1" applyFill="1" applyAlignment="1">
      <alignment vertical="center"/>
    </xf>
    <xf numFmtId="1" fontId="8" fillId="2" borderId="5" xfId="2" applyNumberFormat="1" applyFont="1" applyFill="1" applyBorder="1" applyAlignment="1">
      <alignment horizontal="right" vertical="center"/>
    </xf>
    <xf numFmtId="1" fontId="8" fillId="2" borderId="0" xfId="2" applyNumberFormat="1" applyFont="1" applyFill="1" applyBorder="1" applyAlignment="1">
      <alignment horizontal="right" vertical="center"/>
    </xf>
    <xf numFmtId="1" fontId="8" fillId="2" borderId="4" xfId="2" applyNumberFormat="1" applyFont="1" applyFill="1" applyBorder="1" applyAlignment="1">
      <alignment horizontal="right" vertical="center"/>
    </xf>
    <xf numFmtId="1" fontId="8" fillId="2" borderId="2" xfId="2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horizontal="right" vertical="center" wrapText="1"/>
    </xf>
    <xf numFmtId="0" fontId="33" fillId="2" borderId="0" xfId="0" applyFont="1" applyFill="1" applyAlignment="1">
      <alignment horizontal="right" vertical="center" wrapText="1" indent="2"/>
    </xf>
    <xf numFmtId="0" fontId="36" fillId="2" borderId="0" xfId="0" applyFont="1" applyFill="1" applyAlignment="1">
      <alignment horizontal="right" vertical="center" wrapText="1" indent="2"/>
    </xf>
    <xf numFmtId="0" fontId="33" fillId="2" borderId="2" xfId="0" applyFont="1" applyFill="1" applyBorder="1" applyAlignment="1">
      <alignment horizontal="right" vertical="center" wrapText="1" indent="2" readingOrder="1"/>
    </xf>
    <xf numFmtId="0" fontId="34" fillId="2" borderId="3" xfId="0" applyFont="1" applyFill="1" applyBorder="1" applyAlignment="1">
      <alignment horizontal="right" vertical="center" readingOrder="2"/>
    </xf>
    <xf numFmtId="0" fontId="32" fillId="2" borderId="5" xfId="0" applyFont="1" applyFill="1" applyBorder="1" applyAlignment="1">
      <alignment horizontal="right" vertical="center"/>
    </xf>
    <xf numFmtId="37" fontId="8" fillId="2" borderId="0" xfId="2" applyNumberFormat="1" applyFont="1" applyFill="1" applyBorder="1" applyAlignment="1">
      <alignment horizontal="right" vertical="center"/>
    </xf>
    <xf numFmtId="168" fontId="8" fillId="2" borderId="2" xfId="2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horizontal="right" vertical="center"/>
    </xf>
    <xf numFmtId="1" fontId="8" fillId="2" borderId="1" xfId="2" applyNumberFormat="1" applyFont="1" applyFill="1" applyBorder="1" applyAlignment="1">
      <alignment horizontal="right" vertical="center"/>
    </xf>
    <xf numFmtId="168" fontId="0" fillId="2" borderId="0" xfId="0" applyNumberFormat="1" applyFill="1"/>
    <xf numFmtId="0" fontId="0" fillId="2" borderId="2" xfId="0" applyFill="1" applyBorder="1"/>
    <xf numFmtId="43" fontId="0" fillId="2" borderId="2" xfId="1" applyFont="1" applyFill="1" applyBorder="1"/>
    <xf numFmtId="43" fontId="0" fillId="2" borderId="0" xfId="1" applyFont="1" applyFill="1"/>
    <xf numFmtId="0" fontId="34" fillId="2" borderId="18" xfId="0" applyFont="1" applyFill="1" applyBorder="1" applyAlignment="1">
      <alignment horizontal="right" vertical="center" readingOrder="2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3" fontId="35" fillId="2" borderId="0" xfId="0" applyNumberFormat="1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2F75B5"/>
      <color rgb="FFFF3399"/>
      <color rgb="FF003300"/>
      <color rgb="FF336600"/>
      <color rgb="FFF9FFF3"/>
      <color rgb="FF9BC2E6"/>
      <color rgb="FF003399"/>
      <color rgb="FF33CCCC"/>
      <color rgb="FF7E5400"/>
      <color rgb="FFFFD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Figure 15.3:  Percentage distribution of marine product exports by product, 2025</a:t>
            </a:r>
          </a:p>
        </c:rich>
      </c:tx>
      <c:layout>
        <c:manualLayout>
          <c:xMode val="edge"/>
          <c:yMode val="edge"/>
          <c:x val="0.13145947729904212"/>
          <c:y val="3.56317857345272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515754381425213"/>
          <c:y val="0.21439432851806001"/>
          <c:w val="0.39512730912950422"/>
          <c:h val="0.832352422337689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7FA8-415C-9C26-3242FDB4EBE4}"/>
              </c:ext>
            </c:extLst>
          </c:dPt>
          <c:dPt>
            <c:idx val="1"/>
            <c:bubble3D val="0"/>
            <c:spPr>
              <a:solidFill>
                <a:srgbClr val="2F75B5"/>
              </a:solidFill>
            </c:spPr>
            <c:extLst>
              <c:ext xmlns:c16="http://schemas.microsoft.com/office/drawing/2014/chart" uri="{C3380CC4-5D6E-409C-BE32-E72D297353CC}">
                <c16:uniqueId val="{0000000A-7FA8-415C-9C26-3242FDB4EBE4}"/>
              </c:ext>
            </c:extLst>
          </c:dPt>
          <c:dPt>
            <c:idx val="2"/>
            <c:bubble3D val="0"/>
            <c:spPr>
              <a:solidFill>
                <a:srgbClr val="003300"/>
              </a:solidFill>
            </c:spPr>
            <c:extLst>
              <c:ext xmlns:c16="http://schemas.microsoft.com/office/drawing/2014/chart" uri="{C3380CC4-5D6E-409C-BE32-E72D297353CC}">
                <c16:uniqueId val="{00000002-BF98-4661-AA3D-6AAD97BCBFE7}"/>
              </c:ext>
            </c:extLst>
          </c:dPt>
          <c:dPt>
            <c:idx val="3"/>
            <c:bubble3D val="0"/>
            <c:spPr>
              <a:solidFill>
                <a:srgbClr val="FF3399"/>
              </a:solidFill>
            </c:spPr>
            <c:extLst>
              <c:ext xmlns:c16="http://schemas.microsoft.com/office/drawing/2014/chart" uri="{C3380CC4-5D6E-409C-BE32-E72D297353CC}">
                <c16:uniqueId val="{00000009-7FA8-415C-9C26-3242FDB4EBE4}"/>
              </c:ext>
            </c:extLst>
          </c:dPt>
          <c:dPt>
            <c:idx val="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BF98-4661-AA3D-6AAD97BCBFE7}"/>
              </c:ext>
            </c:extLst>
          </c:dPt>
          <c:dPt>
            <c:idx val="7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BF98-4661-AA3D-6AAD97BCBFE7}"/>
              </c:ext>
            </c:extLst>
          </c:dPt>
          <c:dPt>
            <c:idx val="9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6-AA98-49A1-BB82-E00FA38A4D37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BF98-4661-AA3D-6AAD97BCBFE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'15.4'!$A$7:$A$16</c:f>
              <c:strCache>
                <c:ptCount val="10"/>
                <c:pt idx="0">
                  <c:v>Fresh or Chilled Tuna</c:v>
                </c:pt>
                <c:pt idx="1">
                  <c:v>Fresh or Chilled Reef Fish</c:v>
                </c:pt>
                <c:pt idx="2">
                  <c:v>Frozen Fish</c:v>
                </c:pt>
                <c:pt idx="3">
                  <c:v>Dried Fish</c:v>
                </c:pt>
                <c:pt idx="4">
                  <c:v>Salted Dried Fish</c:v>
                </c:pt>
                <c:pt idx="5">
                  <c:v>Sea Cucumber</c:v>
                </c:pt>
                <c:pt idx="6">
                  <c:v>Canned Fish</c:v>
                </c:pt>
                <c:pt idx="7">
                  <c:v>Fish Meal</c:v>
                </c:pt>
                <c:pt idx="8">
                  <c:v>Live Reef Fish</c:v>
                </c:pt>
                <c:pt idx="9">
                  <c:v>Other Marine Products</c:v>
                </c:pt>
              </c:strCache>
            </c:strRef>
          </c:cat>
          <c:val>
            <c:numRef>
              <c:f>'15.4'!$B$7:$B$16</c:f>
              <c:numCache>
                <c:formatCode>_(* #,##0_);_(* \(#,##0\);_(* "-"??_);_(@_)</c:formatCode>
                <c:ptCount val="10"/>
                <c:pt idx="0">
                  <c:v>111421.05833</c:v>
                </c:pt>
                <c:pt idx="1">
                  <c:v>21593.184659999999</c:v>
                </c:pt>
                <c:pt idx="2">
                  <c:v>1338871.0116900001</c:v>
                </c:pt>
                <c:pt idx="3">
                  <c:v>57036.047629999899</c:v>
                </c:pt>
                <c:pt idx="4">
                  <c:v>3143.8574600000006</c:v>
                </c:pt>
                <c:pt idx="5">
                  <c:v>2972.46002</c:v>
                </c:pt>
                <c:pt idx="6">
                  <c:v>544525.81440000201</c:v>
                </c:pt>
                <c:pt idx="7">
                  <c:v>64800.121680000004</c:v>
                </c:pt>
                <c:pt idx="8">
                  <c:v>10353.198890000189</c:v>
                </c:pt>
                <c:pt idx="9">
                  <c:v>73745.852289999995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2BB-44E9-956A-4D79B477CB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1016000</xdr:colOff>
      <xdr:row>94</xdr:row>
      <xdr:rowOff>142422</xdr:rowOff>
    </xdr:from>
    <xdr:to>
      <xdr:col>6</xdr:col>
      <xdr:colOff>1487131</xdr:colOff>
      <xdr:row>107</xdr:row>
      <xdr:rowOff>193465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113"/>
  <sheetViews>
    <sheetView tabSelected="1" zoomScaleNormal="100" zoomScaleSheetLayoutView="98" workbookViewId="0">
      <selection activeCell="K10" sqref="K10"/>
    </sheetView>
  </sheetViews>
  <sheetFormatPr defaultColWidth="9.140625" defaultRowHeight="15" x14ac:dyDescent="0.25"/>
  <cols>
    <col min="1" max="1" width="28.28515625" style="4" customWidth="1"/>
    <col min="2" max="2" width="20.5703125" style="4" bestFit="1" customWidth="1"/>
    <col min="3" max="3" width="13.7109375" style="4" customWidth="1"/>
    <col min="4" max="4" width="13.85546875" style="4" customWidth="1"/>
    <col min="5" max="6" width="11.85546875" style="4" customWidth="1"/>
    <col min="7" max="7" width="32.140625" style="4" customWidth="1"/>
    <col min="8" max="8" width="8.28515625" style="4" customWidth="1"/>
    <col min="9" max="10" width="9.140625" style="4"/>
    <col min="11" max="11" width="22.140625" style="4" customWidth="1"/>
    <col min="12" max="12" width="9.140625" style="4"/>
    <col min="13" max="13" width="25.7109375" style="4" customWidth="1"/>
    <col min="14" max="16384" width="9.140625" style="4"/>
  </cols>
  <sheetData>
    <row r="1" spans="1:8" ht="18" x14ac:dyDescent="0.25">
      <c r="A1" s="42" t="s">
        <v>44</v>
      </c>
      <c r="B1" s="42"/>
      <c r="C1" s="42"/>
      <c r="D1" s="42"/>
      <c r="E1" s="42"/>
      <c r="F1" s="42"/>
      <c r="G1" s="42"/>
    </row>
    <row r="2" spans="1:8" x14ac:dyDescent="0.25">
      <c r="A2" s="43" t="s">
        <v>43</v>
      </c>
      <c r="B2" s="43"/>
      <c r="C2" s="43"/>
      <c r="D2" s="43"/>
      <c r="E2" s="43"/>
      <c r="F2" s="43"/>
      <c r="G2" s="43"/>
    </row>
    <row r="3" spans="1:8" ht="15.75" x14ac:dyDescent="0.25">
      <c r="A3" s="39" t="s">
        <v>3</v>
      </c>
      <c r="B3" s="9" t="s">
        <v>4</v>
      </c>
      <c r="C3" s="5"/>
      <c r="D3" s="6" t="s">
        <v>5</v>
      </c>
      <c r="E3" s="10" t="s">
        <v>29</v>
      </c>
      <c r="F3" s="11" t="s">
        <v>29</v>
      </c>
      <c r="G3" s="44" t="s">
        <v>30</v>
      </c>
    </row>
    <row r="4" spans="1:8" x14ac:dyDescent="0.25">
      <c r="A4" s="40"/>
      <c r="B4" s="32" t="s">
        <v>2</v>
      </c>
      <c r="C4" s="32" t="s">
        <v>6</v>
      </c>
      <c r="D4" s="32" t="s">
        <v>7</v>
      </c>
      <c r="E4" s="29" t="s">
        <v>6</v>
      </c>
      <c r="F4" s="32" t="s">
        <v>7</v>
      </c>
      <c r="G4" s="45"/>
    </row>
    <row r="5" spans="1:8" x14ac:dyDescent="0.25">
      <c r="A5" s="41"/>
      <c r="B5" s="8" t="s">
        <v>0</v>
      </c>
      <c r="C5" s="8" t="s">
        <v>8</v>
      </c>
      <c r="D5" s="8" t="s">
        <v>9</v>
      </c>
      <c r="E5" s="12" t="str">
        <f>C5</f>
        <v>Private</v>
      </c>
      <c r="F5" s="8" t="str">
        <f>D5</f>
        <v>Government</v>
      </c>
      <c r="G5" s="46"/>
    </row>
    <row r="6" spans="1:8" x14ac:dyDescent="0.25">
      <c r="A6" s="13" t="s">
        <v>0</v>
      </c>
      <c r="B6" s="14">
        <f>SUM(B7:B16)</f>
        <v>2228462.6070500021</v>
      </c>
      <c r="C6" s="14">
        <f>SUM(C7:C16)</f>
        <v>1107967.1704200022</v>
      </c>
      <c r="D6" s="14">
        <f>SUM(D7:D16)</f>
        <v>1120495.4366299999</v>
      </c>
      <c r="E6" s="20">
        <f t="shared" ref="E6:E16" si="0">C6/B6*100</f>
        <v>49.718903378267079</v>
      </c>
      <c r="F6" s="33">
        <f t="shared" ref="F6:F16" si="1">D6/B6*100</f>
        <v>50.281096621732914</v>
      </c>
      <c r="G6" s="24" t="s">
        <v>20</v>
      </c>
    </row>
    <row r="7" spans="1:8" ht="15.75" x14ac:dyDescent="0.25">
      <c r="A7" s="15" t="s">
        <v>10</v>
      </c>
      <c r="B7" s="14">
        <f>SUM(C7:C7)</f>
        <v>111421.05833</v>
      </c>
      <c r="C7" s="3">
        <v>111421.05833</v>
      </c>
      <c r="D7" s="3">
        <v>0</v>
      </c>
      <c r="E7" s="20">
        <f t="shared" si="0"/>
        <v>100</v>
      </c>
      <c r="F7" s="21">
        <f t="shared" si="1"/>
        <v>0</v>
      </c>
      <c r="G7" s="25" t="s">
        <v>21</v>
      </c>
    </row>
    <row r="8" spans="1:8" ht="15.75" x14ac:dyDescent="0.25">
      <c r="A8" s="15" t="s">
        <v>11</v>
      </c>
      <c r="B8" s="14">
        <f t="shared" ref="B8:B16" si="2">SUM(C8:D8)</f>
        <v>21593.184659999999</v>
      </c>
      <c r="C8" s="3">
        <v>21593.184659999999</v>
      </c>
      <c r="D8" s="3">
        <v>0</v>
      </c>
      <c r="E8" s="20">
        <f t="shared" si="0"/>
        <v>100</v>
      </c>
      <c r="F8" s="21">
        <f t="shared" si="1"/>
        <v>0</v>
      </c>
      <c r="G8" s="25" t="s">
        <v>22</v>
      </c>
    </row>
    <row r="9" spans="1:8" ht="15.75" x14ac:dyDescent="0.25">
      <c r="A9" s="15" t="s">
        <v>12</v>
      </c>
      <c r="B9" s="14">
        <f t="shared" si="2"/>
        <v>1338871.0116900001</v>
      </c>
      <c r="C9" s="3">
        <v>330030.28159999999</v>
      </c>
      <c r="D9" s="3">
        <v>1008840.73009</v>
      </c>
      <c r="E9" s="20">
        <f t="shared" si="0"/>
        <v>24.649893732736565</v>
      </c>
      <c r="F9" s="21">
        <f t="shared" si="1"/>
        <v>75.350106267263428</v>
      </c>
      <c r="G9" s="25" t="s">
        <v>23</v>
      </c>
      <c r="H9" s="34"/>
    </row>
    <row r="10" spans="1:8" ht="15.75" x14ac:dyDescent="0.25">
      <c r="A10" s="15" t="s">
        <v>13</v>
      </c>
      <c r="B10" s="14">
        <f t="shared" si="2"/>
        <v>57036.047629999899</v>
      </c>
      <c r="C10" s="37">
        <v>57036.047629999899</v>
      </c>
      <c r="D10" s="3">
        <v>0</v>
      </c>
      <c r="E10" s="20">
        <f t="shared" si="0"/>
        <v>100</v>
      </c>
      <c r="F10" s="21">
        <f t="shared" si="1"/>
        <v>0</v>
      </c>
      <c r="G10" s="25" t="s">
        <v>31</v>
      </c>
    </row>
    <row r="11" spans="1:8" ht="15.75" x14ac:dyDescent="0.25">
      <c r="A11" s="15" t="s">
        <v>14</v>
      </c>
      <c r="B11" s="14">
        <f t="shared" si="2"/>
        <v>3143.8574600000006</v>
      </c>
      <c r="C11" s="3">
        <v>3143.8574600000006</v>
      </c>
      <c r="D11" s="3">
        <v>0</v>
      </c>
      <c r="E11" s="20">
        <f t="shared" si="0"/>
        <v>100</v>
      </c>
      <c r="F11" s="21">
        <f t="shared" si="1"/>
        <v>0</v>
      </c>
      <c r="G11" s="25" t="s">
        <v>24</v>
      </c>
    </row>
    <row r="12" spans="1:8" ht="15.75" x14ac:dyDescent="0.25">
      <c r="A12" s="15" t="s">
        <v>15</v>
      </c>
      <c r="B12" s="14">
        <f t="shared" si="2"/>
        <v>2972.46002</v>
      </c>
      <c r="C12" s="3">
        <v>2972.46002</v>
      </c>
      <c r="D12" s="3">
        <v>0</v>
      </c>
      <c r="E12" s="20">
        <f t="shared" si="0"/>
        <v>100</v>
      </c>
      <c r="F12" s="21">
        <f t="shared" si="1"/>
        <v>0</v>
      </c>
      <c r="G12" s="26" t="s">
        <v>25</v>
      </c>
    </row>
    <row r="13" spans="1:8" ht="15.75" x14ac:dyDescent="0.25">
      <c r="A13" s="15" t="s">
        <v>16</v>
      </c>
      <c r="B13" s="14">
        <f t="shared" si="2"/>
        <v>544525.81440000201</v>
      </c>
      <c r="C13" s="3">
        <v>467541.85766000196</v>
      </c>
      <c r="D13" s="3">
        <v>76983.956740000009</v>
      </c>
      <c r="E13" s="20">
        <f t="shared" si="0"/>
        <v>85.862202543174831</v>
      </c>
      <c r="F13" s="21">
        <f t="shared" si="1"/>
        <v>14.137797456825165</v>
      </c>
      <c r="G13" s="25" t="s">
        <v>26</v>
      </c>
    </row>
    <row r="14" spans="1:8" ht="15.75" x14ac:dyDescent="0.25">
      <c r="A14" s="15" t="s">
        <v>18</v>
      </c>
      <c r="B14" s="14">
        <f t="shared" si="2"/>
        <v>64800.121680000004</v>
      </c>
      <c r="C14" s="3">
        <v>30156.274550000002</v>
      </c>
      <c r="D14" s="37">
        <v>34643.847130000002</v>
      </c>
      <c r="E14" s="20">
        <f t="shared" si="0"/>
        <v>46.537373338463148</v>
      </c>
      <c r="F14" s="21">
        <f t="shared" si="1"/>
        <v>53.462626661536852</v>
      </c>
      <c r="G14" s="25" t="s">
        <v>32</v>
      </c>
    </row>
    <row r="15" spans="1:8" ht="15.75" x14ac:dyDescent="0.25">
      <c r="A15" s="15" t="s">
        <v>17</v>
      </c>
      <c r="B15" s="14">
        <f t="shared" si="2"/>
        <v>10353.198890000189</v>
      </c>
      <c r="C15" s="3">
        <v>10353.198890000189</v>
      </c>
      <c r="D15" s="3">
        <v>0</v>
      </c>
      <c r="E15" s="20">
        <f t="shared" si="0"/>
        <v>100</v>
      </c>
      <c r="F15" s="21">
        <f t="shared" si="1"/>
        <v>0</v>
      </c>
      <c r="G15" s="25" t="s">
        <v>27</v>
      </c>
    </row>
    <row r="16" spans="1:8" ht="15.75" x14ac:dyDescent="0.25">
      <c r="A16" s="16" t="s">
        <v>19</v>
      </c>
      <c r="B16" s="17">
        <f t="shared" si="2"/>
        <v>73745.852289999995</v>
      </c>
      <c r="C16" s="36">
        <v>73718.949619999999</v>
      </c>
      <c r="D16" s="31">
        <v>26.902669999999997</v>
      </c>
      <c r="E16" s="22">
        <f t="shared" si="0"/>
        <v>99.963519751735731</v>
      </c>
      <c r="F16" s="23">
        <f t="shared" si="1"/>
        <v>3.6480248264278349E-2</v>
      </c>
      <c r="G16" s="27" t="s">
        <v>28</v>
      </c>
    </row>
    <row r="17" spans="1:8" x14ac:dyDescent="0.25">
      <c r="A17" s="2" t="s">
        <v>1</v>
      </c>
      <c r="B17" s="1"/>
      <c r="C17" s="1"/>
      <c r="D17" s="7"/>
      <c r="E17" s="7"/>
      <c r="F17" s="7"/>
      <c r="G17" s="38" t="s">
        <v>33</v>
      </c>
    </row>
    <row r="18" spans="1:8" x14ac:dyDescent="0.25">
      <c r="A18" s="2"/>
      <c r="B18" s="1"/>
      <c r="C18" s="1"/>
      <c r="D18" s="7"/>
      <c r="E18" s="7"/>
      <c r="F18" s="7"/>
      <c r="G18" s="7"/>
    </row>
    <row r="19" spans="1:8" ht="18" x14ac:dyDescent="0.25">
      <c r="A19" s="42" t="s">
        <v>42</v>
      </c>
      <c r="B19" s="42"/>
      <c r="C19" s="42"/>
      <c r="D19" s="42"/>
      <c r="E19" s="42"/>
      <c r="F19" s="42"/>
      <c r="G19" s="42"/>
    </row>
    <row r="20" spans="1:8" x14ac:dyDescent="0.25">
      <c r="A20" s="43" t="s">
        <v>41</v>
      </c>
      <c r="B20" s="43"/>
      <c r="C20" s="43"/>
      <c r="D20" s="43"/>
      <c r="E20" s="43"/>
      <c r="F20" s="43"/>
      <c r="G20" s="43"/>
    </row>
    <row r="21" spans="1:8" ht="15.75" x14ac:dyDescent="0.25">
      <c r="A21" s="39" t="s">
        <v>3</v>
      </c>
      <c r="B21" s="9" t="s">
        <v>4</v>
      </c>
      <c r="C21" s="5"/>
      <c r="D21" s="6" t="s">
        <v>5</v>
      </c>
      <c r="E21" s="10" t="s">
        <v>29</v>
      </c>
      <c r="F21" s="11" t="s">
        <v>29</v>
      </c>
      <c r="G21" s="44" t="s">
        <v>30</v>
      </c>
    </row>
    <row r="22" spans="1:8" x14ac:dyDescent="0.25">
      <c r="A22" s="40"/>
      <c r="B22" s="32" t="s">
        <v>2</v>
      </c>
      <c r="C22" s="32" t="s">
        <v>6</v>
      </c>
      <c r="D22" s="32" t="s">
        <v>7</v>
      </c>
      <c r="E22" s="29" t="s">
        <v>6</v>
      </c>
      <c r="F22" s="32" t="s">
        <v>7</v>
      </c>
      <c r="G22" s="45"/>
    </row>
    <row r="23" spans="1:8" x14ac:dyDescent="0.25">
      <c r="A23" s="41"/>
      <c r="B23" s="8" t="s">
        <v>0</v>
      </c>
      <c r="C23" s="8" t="s">
        <v>8</v>
      </c>
      <c r="D23" s="8" t="s">
        <v>9</v>
      </c>
      <c r="E23" s="12" t="str">
        <f>C23</f>
        <v>Private</v>
      </c>
      <c r="F23" s="8" t="str">
        <f>D23</f>
        <v>Government</v>
      </c>
      <c r="G23" s="46"/>
    </row>
    <row r="24" spans="1:8" x14ac:dyDescent="0.25">
      <c r="A24" s="13" t="s">
        <v>0</v>
      </c>
      <c r="B24" s="14">
        <f>SUM(B25:B34)</f>
        <v>1340447.9127900002</v>
      </c>
      <c r="C24" s="14">
        <f>SUM(C25:C34)</f>
        <v>726309.78201999993</v>
      </c>
      <c r="D24" s="14">
        <f>SUM(D25:D34)</f>
        <v>615278.74636000011</v>
      </c>
      <c r="E24" s="20">
        <f>C24/B24*100</f>
        <v>54.184110780422877</v>
      </c>
      <c r="F24" s="33">
        <f>D24/B24*100</f>
        <v>45.90098134282313</v>
      </c>
      <c r="G24" s="24" t="s">
        <v>20</v>
      </c>
    </row>
    <row r="25" spans="1:8" ht="15.75" x14ac:dyDescent="0.25">
      <c r="A25" s="15" t="s">
        <v>10</v>
      </c>
      <c r="B25" s="14">
        <f>SUM(C25:C25)</f>
        <v>21069.072479999999</v>
      </c>
      <c r="C25" s="3">
        <v>21069.072479999999</v>
      </c>
      <c r="D25" s="3">
        <v>1140.6155900000001</v>
      </c>
      <c r="E25" s="20">
        <f>C25/B25*100</f>
        <v>100</v>
      </c>
      <c r="F25" s="21">
        <f>D25/B25*100</f>
        <v>5.4136962653801657</v>
      </c>
      <c r="G25" s="25" t="s">
        <v>21</v>
      </c>
    </row>
    <row r="26" spans="1:8" ht="15.75" x14ac:dyDescent="0.25">
      <c r="A26" s="15" t="s">
        <v>11</v>
      </c>
      <c r="B26" s="14">
        <f t="shared" ref="B26:B34" si="3">SUM(C26:D26)</f>
        <v>10.07769</v>
      </c>
      <c r="C26" s="3">
        <v>10.07769</v>
      </c>
      <c r="D26" s="3">
        <v>0</v>
      </c>
      <c r="E26" s="20">
        <f>C26/B26*100</f>
        <v>100</v>
      </c>
      <c r="F26" s="21">
        <f>D26/B26*100</f>
        <v>0</v>
      </c>
      <c r="G26" s="25" t="s">
        <v>22</v>
      </c>
    </row>
    <row r="27" spans="1:8" ht="15.75" x14ac:dyDescent="0.25">
      <c r="A27" s="15" t="s">
        <v>12</v>
      </c>
      <c r="B27" s="14">
        <f t="shared" si="3"/>
        <v>590148.55223000003</v>
      </c>
      <c r="C27" s="3">
        <v>135490.21008000002</v>
      </c>
      <c r="D27" s="3">
        <v>454658.34214999998</v>
      </c>
      <c r="E27" s="20">
        <f>C27/B27*100</f>
        <v>22.958661775585462</v>
      </c>
      <c r="F27" s="21">
        <f t="shared" ref="F27:F34" si="4">D27/B27*100</f>
        <v>77.041338224414531</v>
      </c>
      <c r="G27" s="25" t="s">
        <v>23</v>
      </c>
      <c r="H27" s="34"/>
    </row>
    <row r="28" spans="1:8" ht="15.75" x14ac:dyDescent="0.25">
      <c r="A28" s="15" t="s">
        <v>13</v>
      </c>
      <c r="B28" s="14">
        <f t="shared" si="3"/>
        <v>14400.221520000001</v>
      </c>
      <c r="C28" s="37">
        <v>14398.315320000002</v>
      </c>
      <c r="D28" s="3">
        <v>1.9062000000000001</v>
      </c>
      <c r="E28" s="20">
        <f t="shared" ref="E28:E34" si="5">C28/B28*100</f>
        <v>99.986762703633744</v>
      </c>
      <c r="F28" s="21">
        <f t="shared" si="4"/>
        <v>1.3237296366257567E-2</v>
      </c>
      <c r="G28" s="25" t="s">
        <v>31</v>
      </c>
    </row>
    <row r="29" spans="1:8" ht="15.75" x14ac:dyDescent="0.25">
      <c r="A29" s="15" t="s">
        <v>14</v>
      </c>
      <c r="B29" s="14">
        <f t="shared" si="3"/>
        <v>1976.1086</v>
      </c>
      <c r="C29" s="3">
        <v>1976.1086</v>
      </c>
      <c r="D29" s="3">
        <v>0</v>
      </c>
      <c r="E29" s="20">
        <f>C29/B29*100</f>
        <v>100</v>
      </c>
      <c r="F29" s="21">
        <f t="shared" si="4"/>
        <v>0</v>
      </c>
      <c r="G29" s="25" t="s">
        <v>24</v>
      </c>
    </row>
    <row r="30" spans="1:8" ht="15.75" x14ac:dyDescent="0.25">
      <c r="A30" s="15" t="s">
        <v>15</v>
      </c>
      <c r="B30" s="14">
        <f t="shared" si="3"/>
        <v>4350.5277400000004</v>
      </c>
      <c r="C30" s="3">
        <v>4350.5277400000004</v>
      </c>
      <c r="D30" s="3">
        <v>0</v>
      </c>
      <c r="E30" s="20">
        <f t="shared" si="5"/>
        <v>100</v>
      </c>
      <c r="F30" s="21">
        <f t="shared" si="4"/>
        <v>0</v>
      </c>
      <c r="G30" s="26" t="s">
        <v>25</v>
      </c>
    </row>
    <row r="31" spans="1:8" ht="15.75" x14ac:dyDescent="0.25">
      <c r="A31" s="15" t="s">
        <v>16</v>
      </c>
      <c r="B31" s="14">
        <f t="shared" si="3"/>
        <v>470471.07791000005</v>
      </c>
      <c r="C31" s="3">
        <v>121648.58722999999</v>
      </c>
      <c r="D31" s="3">
        <v>348822.49068000005</v>
      </c>
      <c r="E31" s="20">
        <f>C31/B31*100</f>
        <v>25.856762071412824</v>
      </c>
      <c r="F31" s="21">
        <f t="shared" si="4"/>
        <v>74.143237928587169</v>
      </c>
      <c r="G31" s="25" t="s">
        <v>26</v>
      </c>
    </row>
    <row r="32" spans="1:8" ht="15.75" x14ac:dyDescent="0.25">
      <c r="A32" s="15" t="s">
        <v>18</v>
      </c>
      <c r="B32" s="14">
        <f t="shared" si="3"/>
        <v>58626.468820000009</v>
      </c>
      <c r="C32" s="3">
        <v>23208.275470000004</v>
      </c>
      <c r="D32" s="37">
        <v>35418.193350000001</v>
      </c>
      <c r="E32" s="20">
        <f t="shared" si="5"/>
        <v>39.586684883334925</v>
      </c>
      <c r="F32" s="21">
        <f t="shared" si="4"/>
        <v>60.413315116665075</v>
      </c>
      <c r="G32" s="25" t="s">
        <v>32</v>
      </c>
    </row>
    <row r="33" spans="1:8" ht="15.75" x14ac:dyDescent="0.25">
      <c r="A33" s="15" t="s">
        <v>17</v>
      </c>
      <c r="B33" s="14">
        <f t="shared" si="3"/>
        <v>10366.682229999999</v>
      </c>
      <c r="C33" s="3">
        <v>10366.682229999999</v>
      </c>
      <c r="D33" s="3">
        <v>0</v>
      </c>
      <c r="E33" s="20">
        <f>C33/B33*100</f>
        <v>100</v>
      </c>
      <c r="F33" s="21">
        <f t="shared" si="4"/>
        <v>0</v>
      </c>
      <c r="G33" s="25" t="s">
        <v>27</v>
      </c>
    </row>
    <row r="34" spans="1:8" ht="15.75" x14ac:dyDescent="0.25">
      <c r="A34" s="16" t="s">
        <v>19</v>
      </c>
      <c r="B34" s="17">
        <f t="shared" si="3"/>
        <v>169029.12356999997</v>
      </c>
      <c r="C34" s="36">
        <v>393791.92517999996</v>
      </c>
      <c r="D34" s="31">
        <v>-224762.80160999999</v>
      </c>
      <c r="E34" s="22">
        <f t="shared" si="5"/>
        <v>232.97282554797079</v>
      </c>
      <c r="F34" s="23">
        <f t="shared" si="4"/>
        <v>-132.97282554797076</v>
      </c>
      <c r="G34" s="27" t="s">
        <v>28</v>
      </c>
    </row>
    <row r="35" spans="1:8" x14ac:dyDescent="0.25">
      <c r="A35" s="2" t="s">
        <v>1</v>
      </c>
      <c r="B35" s="1"/>
      <c r="C35" s="1"/>
      <c r="D35" s="7"/>
      <c r="E35" s="7"/>
      <c r="F35" s="7"/>
      <c r="G35" s="28" t="s">
        <v>33</v>
      </c>
    </row>
    <row r="36" spans="1:8" x14ac:dyDescent="0.25">
      <c r="A36" s="2"/>
      <c r="B36" s="1"/>
      <c r="C36" s="1"/>
      <c r="D36" s="7"/>
      <c r="E36" s="7"/>
      <c r="F36" s="7"/>
      <c r="G36" s="7"/>
    </row>
    <row r="37" spans="1:8" ht="18" x14ac:dyDescent="0.25">
      <c r="A37" s="42" t="s">
        <v>40</v>
      </c>
      <c r="B37" s="42"/>
      <c r="C37" s="42"/>
      <c r="D37" s="42"/>
      <c r="E37" s="42"/>
      <c r="F37" s="42"/>
      <c r="G37" s="42"/>
    </row>
    <row r="38" spans="1:8" x14ac:dyDescent="0.25">
      <c r="A38" s="43" t="s">
        <v>39</v>
      </c>
      <c r="B38" s="43"/>
      <c r="C38" s="43"/>
      <c r="D38" s="43"/>
      <c r="E38" s="43"/>
      <c r="F38" s="43"/>
      <c r="G38" s="43"/>
    </row>
    <row r="39" spans="1:8" ht="15.75" x14ac:dyDescent="0.25">
      <c r="A39" s="39" t="s">
        <v>3</v>
      </c>
      <c r="B39" s="9" t="s">
        <v>4</v>
      </c>
      <c r="C39" s="5"/>
      <c r="D39" s="6" t="s">
        <v>5</v>
      </c>
      <c r="E39" s="10" t="s">
        <v>29</v>
      </c>
      <c r="F39" s="11" t="s">
        <v>29</v>
      </c>
      <c r="G39" s="44" t="s">
        <v>30</v>
      </c>
    </row>
    <row r="40" spans="1:8" x14ac:dyDescent="0.25">
      <c r="A40" s="40"/>
      <c r="B40" s="32" t="s">
        <v>2</v>
      </c>
      <c r="C40" s="32" t="s">
        <v>6</v>
      </c>
      <c r="D40" s="32" t="s">
        <v>7</v>
      </c>
      <c r="E40" s="29" t="s">
        <v>6</v>
      </c>
      <c r="F40" s="32" t="s">
        <v>7</v>
      </c>
      <c r="G40" s="45"/>
    </row>
    <row r="41" spans="1:8" x14ac:dyDescent="0.25">
      <c r="A41" s="41"/>
      <c r="B41" s="8" t="s">
        <v>0</v>
      </c>
      <c r="C41" s="8" t="s">
        <v>8</v>
      </c>
      <c r="D41" s="8" t="s">
        <v>9</v>
      </c>
      <c r="E41" s="12" t="str">
        <f>C41</f>
        <v>Private</v>
      </c>
      <c r="F41" s="8" t="str">
        <f>D41</f>
        <v>Government</v>
      </c>
      <c r="G41" s="46"/>
    </row>
    <row r="42" spans="1:8" x14ac:dyDescent="0.25">
      <c r="A42" s="13" t="s">
        <v>0</v>
      </c>
      <c r="B42" s="14">
        <f>SUM(B43:B52)</f>
        <v>2171049155.3799996</v>
      </c>
      <c r="C42" s="14">
        <f>SUM(C43:C52)</f>
        <v>665427674.2299999</v>
      </c>
      <c r="D42" s="14">
        <f>SUM(D43:D52)</f>
        <v>1505621481.1499999</v>
      </c>
      <c r="E42" s="20">
        <f>C42/B42*100</f>
        <v>30.650051040117042</v>
      </c>
      <c r="F42" s="33">
        <f>D42/B42*100</f>
        <v>69.349948959882951</v>
      </c>
      <c r="G42" s="24" t="s">
        <v>20</v>
      </c>
    </row>
    <row r="43" spans="1:8" ht="15.75" x14ac:dyDescent="0.25">
      <c r="A43" s="15" t="s">
        <v>10</v>
      </c>
      <c r="B43" s="14">
        <f>SUM(C43:C43)</f>
        <v>53305217.759999998</v>
      </c>
      <c r="C43" s="3">
        <v>53305217.759999998</v>
      </c>
      <c r="D43" s="3">
        <v>0</v>
      </c>
      <c r="E43" s="20">
        <f t="shared" ref="E43:E52" si="6">C43/B43*100</f>
        <v>100</v>
      </c>
      <c r="F43" s="21">
        <f t="shared" ref="F43:F51" si="7">D43/B43*100</f>
        <v>0</v>
      </c>
      <c r="G43" s="25" t="s">
        <v>21</v>
      </c>
    </row>
    <row r="44" spans="1:8" ht="15.75" x14ac:dyDescent="0.25">
      <c r="A44" s="15" t="s">
        <v>11</v>
      </c>
      <c r="B44" s="14">
        <f t="shared" ref="B44:B52" si="8">SUM(C44:D44)</f>
        <v>1184.46</v>
      </c>
      <c r="C44" s="3">
        <v>0</v>
      </c>
      <c r="D44" s="3">
        <v>1184.46</v>
      </c>
      <c r="E44" s="20">
        <f t="shared" si="6"/>
        <v>0</v>
      </c>
      <c r="F44" s="21">
        <f t="shared" si="7"/>
        <v>100</v>
      </c>
      <c r="G44" s="25" t="s">
        <v>22</v>
      </c>
    </row>
    <row r="45" spans="1:8" ht="15.75" x14ac:dyDescent="0.25">
      <c r="A45" s="15" t="s">
        <v>12</v>
      </c>
      <c r="B45" s="14">
        <f t="shared" si="8"/>
        <v>1440035057.9699998</v>
      </c>
      <c r="C45" s="3">
        <v>103644169.05</v>
      </c>
      <c r="D45" s="3">
        <v>1336390888.9199998</v>
      </c>
      <c r="E45" s="20">
        <f t="shared" si="6"/>
        <v>7.1973365145780512</v>
      </c>
      <c r="F45" s="21">
        <f t="shared" si="7"/>
        <v>92.802663485421959</v>
      </c>
      <c r="G45" s="25" t="s">
        <v>23</v>
      </c>
      <c r="H45" s="34"/>
    </row>
    <row r="46" spans="1:8" ht="15.75" x14ac:dyDescent="0.25">
      <c r="A46" s="15" t="s">
        <v>13</v>
      </c>
      <c r="B46" s="14">
        <f t="shared" si="8"/>
        <v>11565898.85</v>
      </c>
      <c r="C46" s="3">
        <v>11565898.85</v>
      </c>
      <c r="D46" s="3">
        <v>0</v>
      </c>
      <c r="E46" s="20">
        <f t="shared" si="6"/>
        <v>100</v>
      </c>
      <c r="F46" s="21">
        <f t="shared" si="7"/>
        <v>0</v>
      </c>
      <c r="G46" s="25" t="s">
        <v>31</v>
      </c>
    </row>
    <row r="47" spans="1:8" ht="15.75" x14ac:dyDescent="0.25">
      <c r="A47" s="15" t="s">
        <v>14</v>
      </c>
      <c r="B47" s="14">
        <f t="shared" si="8"/>
        <v>1357608.44</v>
      </c>
      <c r="C47" s="3">
        <v>1357608.44</v>
      </c>
      <c r="D47" s="3">
        <v>0</v>
      </c>
      <c r="E47" s="20">
        <f t="shared" si="6"/>
        <v>100</v>
      </c>
      <c r="F47" s="21">
        <f t="shared" si="7"/>
        <v>0</v>
      </c>
      <c r="G47" s="25" t="s">
        <v>24</v>
      </c>
    </row>
    <row r="48" spans="1:8" ht="15.75" x14ac:dyDescent="0.25">
      <c r="A48" s="15" t="s">
        <v>15</v>
      </c>
      <c r="B48" s="14">
        <f t="shared" si="8"/>
        <v>2808232.8700000006</v>
      </c>
      <c r="C48" s="3">
        <v>2808232.8700000006</v>
      </c>
      <c r="D48" s="3">
        <v>0</v>
      </c>
      <c r="E48" s="20">
        <f t="shared" si="6"/>
        <v>100</v>
      </c>
      <c r="F48" s="21">
        <f t="shared" si="7"/>
        <v>0</v>
      </c>
      <c r="G48" s="26" t="s">
        <v>25</v>
      </c>
    </row>
    <row r="49" spans="1:8" ht="15.75" x14ac:dyDescent="0.25">
      <c r="A49" s="15" t="s">
        <v>16</v>
      </c>
      <c r="B49" s="14">
        <f t="shared" si="8"/>
        <v>594898700.80999994</v>
      </c>
      <c r="C49" s="3">
        <v>457643126.12999994</v>
      </c>
      <c r="D49" s="3">
        <v>137255574.67999998</v>
      </c>
      <c r="E49" s="20">
        <f t="shared" si="6"/>
        <v>76.927908147535689</v>
      </c>
      <c r="F49" s="21">
        <f t="shared" si="7"/>
        <v>23.0720918524643</v>
      </c>
      <c r="G49" s="25" t="s">
        <v>26</v>
      </c>
    </row>
    <row r="50" spans="1:8" ht="15.75" x14ac:dyDescent="0.25">
      <c r="A50" s="15" t="s">
        <v>18</v>
      </c>
      <c r="B50" s="14">
        <f t="shared" si="8"/>
        <v>67062740.5</v>
      </c>
      <c r="C50" s="3">
        <v>35088907.410000004</v>
      </c>
      <c r="D50" s="4">
        <v>31973833.09</v>
      </c>
      <c r="E50" s="20">
        <f t="shared" si="6"/>
        <v>52.322507473430804</v>
      </c>
      <c r="F50" s="21">
        <f t="shared" si="7"/>
        <v>47.677492526569203</v>
      </c>
      <c r="G50" s="25" t="s">
        <v>32</v>
      </c>
    </row>
    <row r="51" spans="1:8" ht="15.75" x14ac:dyDescent="0.25">
      <c r="A51" s="15" t="s">
        <v>17</v>
      </c>
      <c r="B51" s="14">
        <f t="shared" si="8"/>
        <v>900.75</v>
      </c>
      <c r="C51" s="3">
        <v>900.75</v>
      </c>
      <c r="D51" s="3">
        <v>0</v>
      </c>
      <c r="E51" s="20">
        <f t="shared" si="6"/>
        <v>100</v>
      </c>
      <c r="F51" s="21">
        <f t="shared" si="7"/>
        <v>0</v>
      </c>
      <c r="G51" s="25" t="s">
        <v>27</v>
      </c>
    </row>
    <row r="52" spans="1:8" ht="15.75" x14ac:dyDescent="0.25">
      <c r="A52" s="16" t="s">
        <v>19</v>
      </c>
      <c r="B52" s="17">
        <f t="shared" si="8"/>
        <v>13612.970000000001</v>
      </c>
      <c r="C52" s="35">
        <v>13612.970000000001</v>
      </c>
      <c r="D52" s="31">
        <v>0</v>
      </c>
      <c r="E52" s="22">
        <f t="shared" si="6"/>
        <v>100</v>
      </c>
      <c r="F52" s="23">
        <f>D52/B52*100</f>
        <v>0</v>
      </c>
      <c r="G52" s="27" t="s">
        <v>28</v>
      </c>
    </row>
    <row r="53" spans="1:8" x14ac:dyDescent="0.25">
      <c r="A53" s="2" t="s">
        <v>1</v>
      </c>
      <c r="B53" s="1"/>
      <c r="C53" s="1"/>
      <c r="D53" s="7"/>
      <c r="E53" s="7"/>
      <c r="F53" s="7"/>
      <c r="G53" s="28" t="s">
        <v>33</v>
      </c>
    </row>
    <row r="54" spans="1:8" x14ac:dyDescent="0.25">
      <c r="A54" s="2"/>
      <c r="B54" s="1"/>
      <c r="C54" s="1"/>
      <c r="D54" s="7"/>
      <c r="E54" s="7"/>
      <c r="F54" s="7"/>
      <c r="G54" s="7"/>
    </row>
    <row r="55" spans="1:8" x14ac:dyDescent="0.25">
      <c r="A55" s="2"/>
      <c r="B55" s="1"/>
      <c r="C55" s="1"/>
      <c r="D55" s="7"/>
      <c r="E55" s="7"/>
      <c r="F55" s="7"/>
      <c r="G55" s="7"/>
    </row>
    <row r="56" spans="1:8" ht="18" x14ac:dyDescent="0.25">
      <c r="A56" s="42" t="s">
        <v>38</v>
      </c>
      <c r="B56" s="42"/>
      <c r="C56" s="42"/>
      <c r="D56" s="42"/>
      <c r="E56" s="42"/>
      <c r="F56" s="42"/>
      <c r="G56" s="42"/>
    </row>
    <row r="57" spans="1:8" x14ac:dyDescent="0.25">
      <c r="A57" s="43" t="s">
        <v>37</v>
      </c>
      <c r="B57" s="43"/>
      <c r="C57" s="43"/>
      <c r="D57" s="43"/>
      <c r="E57" s="43"/>
      <c r="F57" s="43"/>
      <c r="G57" s="43"/>
    </row>
    <row r="58" spans="1:8" ht="15.75" x14ac:dyDescent="0.25">
      <c r="A58" s="39" t="s">
        <v>3</v>
      </c>
      <c r="B58" s="9" t="s">
        <v>4</v>
      </c>
      <c r="C58" s="5"/>
      <c r="D58" s="6" t="s">
        <v>5</v>
      </c>
      <c r="E58" s="10" t="s">
        <v>29</v>
      </c>
      <c r="F58" s="11" t="s">
        <v>29</v>
      </c>
      <c r="G58" s="44" t="s">
        <v>30</v>
      </c>
    </row>
    <row r="59" spans="1:8" x14ac:dyDescent="0.25">
      <c r="A59" s="40"/>
      <c r="B59" s="32" t="s">
        <v>2</v>
      </c>
      <c r="C59" s="32" t="s">
        <v>6</v>
      </c>
      <c r="D59" s="32" t="s">
        <v>7</v>
      </c>
      <c r="E59" s="29" t="s">
        <v>6</v>
      </c>
      <c r="F59" s="32" t="s">
        <v>7</v>
      </c>
      <c r="G59" s="45"/>
    </row>
    <row r="60" spans="1:8" x14ac:dyDescent="0.25">
      <c r="A60" s="41"/>
      <c r="B60" s="8" t="s">
        <v>0</v>
      </c>
      <c r="C60" s="8" t="s">
        <v>8</v>
      </c>
      <c r="D60" s="8" t="s">
        <v>9</v>
      </c>
      <c r="E60" s="12" t="str">
        <f>C60</f>
        <v>Private</v>
      </c>
      <c r="F60" s="8" t="str">
        <f>D60</f>
        <v>Government</v>
      </c>
      <c r="G60" s="46"/>
    </row>
    <row r="61" spans="1:8" x14ac:dyDescent="0.25">
      <c r="A61" s="13" t="s">
        <v>0</v>
      </c>
      <c r="B61" s="14">
        <f>SUM(B62:B71)</f>
        <v>2305124.3121199999</v>
      </c>
      <c r="C61" s="14">
        <f>SUM(C62:C71)</f>
        <v>836187.95269000018</v>
      </c>
      <c r="D61" s="14">
        <f>SUM(D62:D71)</f>
        <v>1468936.3594300002</v>
      </c>
      <c r="E61" s="20">
        <f>C61/B61*100</f>
        <v>36.275178231969903</v>
      </c>
      <c r="F61" s="33">
        <f>D61/B61*100</f>
        <v>63.724821768030118</v>
      </c>
      <c r="G61" s="24" t="s">
        <v>20</v>
      </c>
    </row>
    <row r="62" spans="1:8" ht="15.75" x14ac:dyDescent="0.25">
      <c r="A62" s="15" t="s">
        <v>10</v>
      </c>
      <c r="B62" s="14">
        <f>SUM(C62:C62)</f>
        <v>247810.41765000008</v>
      </c>
      <c r="C62" s="3">
        <v>247810.41765000008</v>
      </c>
      <c r="D62" s="3">
        <v>0</v>
      </c>
      <c r="E62" s="20">
        <f t="shared" ref="E62:E71" si="9">C62/B62*100</f>
        <v>100</v>
      </c>
      <c r="F62" s="21">
        <f t="shared" ref="F62:F71" si="10">D62/B62*100</f>
        <v>0</v>
      </c>
      <c r="G62" s="25" t="s">
        <v>21</v>
      </c>
    </row>
    <row r="63" spans="1:8" ht="15.75" x14ac:dyDescent="0.25">
      <c r="A63" s="15" t="s">
        <v>11</v>
      </c>
      <c r="B63" s="14">
        <f t="shared" ref="B63:B71" si="11">SUM(C63:D63)</f>
        <v>20366.13809</v>
      </c>
      <c r="C63" s="3">
        <v>20366.13809</v>
      </c>
      <c r="D63" s="3">
        <v>0</v>
      </c>
      <c r="E63" s="20">
        <f t="shared" si="9"/>
        <v>100</v>
      </c>
      <c r="F63" s="21">
        <f t="shared" si="10"/>
        <v>0</v>
      </c>
      <c r="G63" s="25" t="s">
        <v>22</v>
      </c>
    </row>
    <row r="64" spans="1:8" ht="15.75" x14ac:dyDescent="0.25">
      <c r="A64" s="15" t="s">
        <v>12</v>
      </c>
      <c r="B64" s="14">
        <f t="shared" si="11"/>
        <v>1405819.2879100002</v>
      </c>
      <c r="C64" s="3">
        <v>356646.95374000008</v>
      </c>
      <c r="D64" s="3">
        <v>1049172.3341700002</v>
      </c>
      <c r="E64" s="20">
        <f t="shared" si="9"/>
        <v>25.369331379015225</v>
      </c>
      <c r="F64" s="21">
        <f t="shared" si="10"/>
        <v>74.630668620984778</v>
      </c>
      <c r="G64" s="25" t="s">
        <v>23</v>
      </c>
      <c r="H64" s="34"/>
    </row>
    <row r="65" spans="1:7" ht="15.75" x14ac:dyDescent="0.25">
      <c r="A65" s="15" t="s">
        <v>13</v>
      </c>
      <c r="B65" s="14">
        <f t="shared" si="11"/>
        <v>42457.552339999973</v>
      </c>
      <c r="C65" s="3">
        <v>42457.552339999973</v>
      </c>
      <c r="D65" s="3">
        <v>0</v>
      </c>
      <c r="E65" s="20">
        <f>C65/B65*100</f>
        <v>100</v>
      </c>
      <c r="F65" s="21">
        <f t="shared" si="10"/>
        <v>0</v>
      </c>
      <c r="G65" s="25" t="s">
        <v>31</v>
      </c>
    </row>
    <row r="66" spans="1:7" ht="15.75" x14ac:dyDescent="0.25">
      <c r="A66" s="15" t="s">
        <v>14</v>
      </c>
      <c r="B66" s="14">
        <f t="shared" si="11"/>
        <v>1833.47669</v>
      </c>
      <c r="C66" s="3">
        <v>1833.47669</v>
      </c>
      <c r="D66" s="3">
        <v>0</v>
      </c>
      <c r="E66" s="20">
        <f t="shared" si="9"/>
        <v>100</v>
      </c>
      <c r="F66" s="21">
        <f t="shared" si="10"/>
        <v>0</v>
      </c>
      <c r="G66" s="25" t="s">
        <v>24</v>
      </c>
    </row>
    <row r="67" spans="1:7" ht="15.75" x14ac:dyDescent="0.25">
      <c r="A67" s="15" t="s">
        <v>15</v>
      </c>
      <c r="B67" s="14">
        <f t="shared" si="11"/>
        <v>2886.8728200000005</v>
      </c>
      <c r="C67" s="3">
        <v>2886.8728200000005</v>
      </c>
      <c r="D67" s="3">
        <v>0</v>
      </c>
      <c r="E67" s="20">
        <f t="shared" si="9"/>
        <v>100</v>
      </c>
      <c r="F67" s="21">
        <f t="shared" si="10"/>
        <v>0</v>
      </c>
      <c r="G67" s="26" t="s">
        <v>25</v>
      </c>
    </row>
    <row r="68" spans="1:7" ht="15.75" x14ac:dyDescent="0.25">
      <c r="A68" s="15" t="s">
        <v>16</v>
      </c>
      <c r="B68" s="14">
        <f t="shared" si="11"/>
        <v>507776.06140000001</v>
      </c>
      <c r="C68" s="3">
        <v>120646.25521999999</v>
      </c>
      <c r="D68" s="3">
        <v>387129.80618000001</v>
      </c>
      <c r="E68" s="20">
        <f>C68/B68*100</f>
        <v>23.759736701128382</v>
      </c>
      <c r="F68" s="21">
        <f t="shared" si="10"/>
        <v>76.240263298871611</v>
      </c>
      <c r="G68" s="25" t="s">
        <v>26</v>
      </c>
    </row>
    <row r="69" spans="1:7" ht="15.75" x14ac:dyDescent="0.25">
      <c r="A69" s="15" t="s">
        <v>18</v>
      </c>
      <c r="B69" s="14">
        <f t="shared" si="11"/>
        <v>64102.998949999994</v>
      </c>
      <c r="C69" s="3">
        <v>31468.779869999998</v>
      </c>
      <c r="D69" s="3">
        <v>32634.219079999999</v>
      </c>
      <c r="E69" s="20">
        <f t="shared" si="9"/>
        <v>49.090963582757624</v>
      </c>
      <c r="F69" s="21">
        <f t="shared" si="10"/>
        <v>50.909036417242383</v>
      </c>
      <c r="G69" s="25" t="s">
        <v>32</v>
      </c>
    </row>
    <row r="70" spans="1:7" ht="15.75" x14ac:dyDescent="0.25">
      <c r="A70" s="15" t="s">
        <v>17</v>
      </c>
      <c r="B70" s="14">
        <f t="shared" si="11"/>
        <v>10490.227649999981</v>
      </c>
      <c r="C70" s="3">
        <v>10490.227649999981</v>
      </c>
      <c r="D70" s="3">
        <v>0</v>
      </c>
      <c r="E70" s="20">
        <f t="shared" si="9"/>
        <v>100</v>
      </c>
      <c r="F70" s="21">
        <f t="shared" si="10"/>
        <v>0</v>
      </c>
      <c r="G70" s="25" t="s">
        <v>27</v>
      </c>
    </row>
    <row r="71" spans="1:7" ht="15.75" x14ac:dyDescent="0.25">
      <c r="A71" s="16" t="s">
        <v>19</v>
      </c>
      <c r="B71" s="17">
        <f t="shared" si="11"/>
        <v>1581.2786199999996</v>
      </c>
      <c r="C71" s="31">
        <v>1581.2786199999996</v>
      </c>
      <c r="D71" s="31">
        <v>0</v>
      </c>
      <c r="E71" s="22">
        <f t="shared" si="9"/>
        <v>100</v>
      </c>
      <c r="F71" s="23">
        <f t="shared" si="10"/>
        <v>0</v>
      </c>
      <c r="G71" s="27" t="s">
        <v>28</v>
      </c>
    </row>
    <row r="72" spans="1:7" x14ac:dyDescent="0.25">
      <c r="A72" s="2" t="s">
        <v>1</v>
      </c>
      <c r="B72" s="1"/>
      <c r="C72" s="1"/>
      <c r="D72" s="7"/>
      <c r="E72" s="7"/>
      <c r="F72" s="7"/>
      <c r="G72" s="28" t="s">
        <v>33</v>
      </c>
    </row>
    <row r="73" spans="1:7" x14ac:dyDescent="0.25">
      <c r="A73" s="2" t="s">
        <v>36</v>
      </c>
      <c r="B73" s="1"/>
      <c r="C73" s="1"/>
      <c r="D73" s="7"/>
      <c r="E73" s="7"/>
      <c r="F73" s="7"/>
      <c r="G73" s="7"/>
    </row>
    <row r="74" spans="1:7" x14ac:dyDescent="0.25">
      <c r="A74" s="2"/>
      <c r="B74" s="1"/>
      <c r="C74" s="1"/>
      <c r="D74" s="7"/>
      <c r="E74" s="7"/>
      <c r="F74" s="7"/>
      <c r="G74" s="7"/>
    </row>
    <row r="75" spans="1:7" ht="18" x14ac:dyDescent="0.25">
      <c r="A75" s="42" t="s">
        <v>34</v>
      </c>
      <c r="B75" s="42"/>
      <c r="C75" s="42"/>
      <c r="D75" s="42"/>
      <c r="E75" s="42"/>
      <c r="F75" s="42"/>
      <c r="G75" s="42"/>
    </row>
    <row r="76" spans="1:7" x14ac:dyDescent="0.25">
      <c r="A76" s="43" t="s">
        <v>35</v>
      </c>
      <c r="B76" s="43"/>
      <c r="C76" s="43"/>
      <c r="D76" s="43"/>
      <c r="E76" s="43"/>
      <c r="F76" s="43"/>
      <c r="G76" s="43"/>
    </row>
    <row r="77" spans="1:7" ht="15.75" x14ac:dyDescent="0.25">
      <c r="A77" s="39" t="s">
        <v>3</v>
      </c>
      <c r="B77" s="9" t="s">
        <v>4</v>
      </c>
      <c r="C77" s="5"/>
      <c r="D77" s="6" t="s">
        <v>5</v>
      </c>
      <c r="E77" s="10" t="s">
        <v>29</v>
      </c>
      <c r="F77" s="11" t="s">
        <v>29</v>
      </c>
      <c r="G77" s="44" t="s">
        <v>30</v>
      </c>
    </row>
    <row r="78" spans="1:7" x14ac:dyDescent="0.25">
      <c r="A78" s="40"/>
      <c r="B78" s="32" t="s">
        <v>2</v>
      </c>
      <c r="C78" s="32" t="s">
        <v>6</v>
      </c>
      <c r="D78" s="32" t="s">
        <v>7</v>
      </c>
      <c r="E78" s="29" t="s">
        <v>6</v>
      </c>
      <c r="F78" s="32" t="s">
        <v>7</v>
      </c>
      <c r="G78" s="45"/>
    </row>
    <row r="79" spans="1:7" x14ac:dyDescent="0.25">
      <c r="A79" s="41"/>
      <c r="B79" s="8" t="s">
        <v>0</v>
      </c>
      <c r="C79" s="8" t="s">
        <v>8</v>
      </c>
      <c r="D79" s="8" t="s">
        <v>9</v>
      </c>
      <c r="E79" s="12" t="str">
        <f>C79</f>
        <v>Private</v>
      </c>
      <c r="F79" s="8" t="str">
        <f>D79</f>
        <v>Government</v>
      </c>
      <c r="G79" s="46"/>
    </row>
    <row r="80" spans="1:7" x14ac:dyDescent="0.25">
      <c r="A80" s="13" t="s">
        <v>0</v>
      </c>
      <c r="B80" s="14">
        <f>SUM(B81:B90)</f>
        <v>2447687.0994800003</v>
      </c>
      <c r="C80" s="14">
        <f>SUM(C81:C90)</f>
        <v>1360124.7077200003</v>
      </c>
      <c r="D80" s="14">
        <f>SUM(D81:D90)</f>
        <v>1087562.39176</v>
      </c>
      <c r="E80" s="20">
        <f>C80/B80*100</f>
        <v>55.567752430813258</v>
      </c>
      <c r="F80" s="21">
        <f>D80/B80*100</f>
        <v>44.432247569186742</v>
      </c>
      <c r="G80" s="24" t="s">
        <v>20</v>
      </c>
    </row>
    <row r="81" spans="1:8" ht="15.75" x14ac:dyDescent="0.25">
      <c r="A81" s="15" t="s">
        <v>10</v>
      </c>
      <c r="B81" s="14">
        <f>SUM(C81:D81)</f>
        <v>85406.790069999988</v>
      </c>
      <c r="C81" s="3">
        <v>85406.790069999988</v>
      </c>
      <c r="D81" s="3">
        <v>0</v>
      </c>
      <c r="E81" s="20">
        <f>C81/B81*100</f>
        <v>100</v>
      </c>
      <c r="F81" s="21">
        <f>D81/B81*100</f>
        <v>0</v>
      </c>
      <c r="G81" s="25" t="s">
        <v>21</v>
      </c>
    </row>
    <row r="82" spans="1:8" ht="15.75" x14ac:dyDescent="0.25">
      <c r="A82" s="15" t="s">
        <v>11</v>
      </c>
      <c r="B82" s="14">
        <f t="shared" ref="B82:B87" si="12">SUM(C82:D82)</f>
        <v>31287.388759999994</v>
      </c>
      <c r="C82" s="3">
        <v>31287.388759999994</v>
      </c>
      <c r="D82" s="3">
        <v>0</v>
      </c>
      <c r="E82" s="20">
        <f>C82/B82*100</f>
        <v>100</v>
      </c>
      <c r="F82" s="21">
        <v>0</v>
      </c>
      <c r="G82" s="25" t="s">
        <v>22</v>
      </c>
    </row>
    <row r="83" spans="1:8" ht="15.75" x14ac:dyDescent="0.25">
      <c r="A83" s="15" t="s">
        <v>12</v>
      </c>
      <c r="B83" s="14">
        <f>SUM(C83:D83)</f>
        <v>1220756.5455899998</v>
      </c>
      <c r="C83" s="3">
        <v>290078.22980999993</v>
      </c>
      <c r="D83" s="3">
        <v>930678.31577999995</v>
      </c>
      <c r="E83" s="20">
        <f>C83/B83*100</f>
        <v>23.762168702507608</v>
      </c>
      <c r="F83" s="21">
        <f>D83/B83*100</f>
        <v>76.237831297492392</v>
      </c>
      <c r="G83" s="25" t="s">
        <v>23</v>
      </c>
    </row>
    <row r="84" spans="1:8" ht="15.75" x14ac:dyDescent="0.25">
      <c r="A84" s="15" t="s">
        <v>13</v>
      </c>
      <c r="B84" s="14">
        <f t="shared" si="12"/>
        <v>49514.226059999994</v>
      </c>
      <c r="C84" s="3">
        <v>49514.226059999994</v>
      </c>
      <c r="D84" s="3">
        <v>0</v>
      </c>
      <c r="E84" s="20">
        <f t="shared" ref="E84:E90" si="13">C84/B84*100</f>
        <v>100</v>
      </c>
      <c r="F84" s="21">
        <v>0</v>
      </c>
      <c r="G84" s="25" t="s">
        <v>31</v>
      </c>
    </row>
    <row r="85" spans="1:8" ht="15.75" x14ac:dyDescent="0.25">
      <c r="A85" s="15" t="s">
        <v>14</v>
      </c>
      <c r="B85" s="14">
        <f t="shared" si="12"/>
        <v>9137.2130000000034</v>
      </c>
      <c r="C85" s="3">
        <v>9137.2130000000034</v>
      </c>
      <c r="D85" s="3">
        <v>0</v>
      </c>
      <c r="E85" s="20">
        <f t="shared" si="13"/>
        <v>100</v>
      </c>
      <c r="F85" s="21">
        <v>0</v>
      </c>
      <c r="G85" s="25" t="s">
        <v>24</v>
      </c>
    </row>
    <row r="86" spans="1:8" ht="15.75" x14ac:dyDescent="0.25">
      <c r="A86" s="15" t="s">
        <v>15</v>
      </c>
      <c r="B86" s="14">
        <f t="shared" si="12"/>
        <v>5255.87201</v>
      </c>
      <c r="C86" s="3">
        <v>5255.87201</v>
      </c>
      <c r="D86" s="3">
        <v>0</v>
      </c>
      <c r="E86" s="20">
        <f t="shared" si="13"/>
        <v>100</v>
      </c>
      <c r="F86" s="21">
        <v>0</v>
      </c>
      <c r="G86" s="26" t="s">
        <v>25</v>
      </c>
    </row>
    <row r="87" spans="1:8" ht="15.75" x14ac:dyDescent="0.25">
      <c r="A87" s="15" t="s">
        <v>16</v>
      </c>
      <c r="B87" s="14">
        <f t="shared" si="12"/>
        <v>76653.018630000006</v>
      </c>
      <c r="C87" s="3">
        <v>67112.610160000011</v>
      </c>
      <c r="D87" s="30">
        <v>9540.4084700000003</v>
      </c>
      <c r="E87" s="20">
        <f t="shared" si="13"/>
        <v>87.553773301412903</v>
      </c>
      <c r="F87" s="21">
        <f>D87/B87*100</f>
        <v>12.446226698587095</v>
      </c>
      <c r="G87" s="25" t="s">
        <v>26</v>
      </c>
    </row>
    <row r="88" spans="1:8" ht="15.75" x14ac:dyDescent="0.25">
      <c r="A88" s="15" t="s">
        <v>18</v>
      </c>
      <c r="B88" s="14">
        <f>SUM(C88:D88)</f>
        <v>525.99599999999998</v>
      </c>
      <c r="C88" s="3">
        <v>525.99599999999998</v>
      </c>
      <c r="D88" s="3">
        <v>0</v>
      </c>
      <c r="E88" s="20">
        <f t="shared" si="13"/>
        <v>100</v>
      </c>
      <c r="F88" s="21">
        <f>D88/B88*100</f>
        <v>0</v>
      </c>
      <c r="G88" s="25" t="s">
        <v>32</v>
      </c>
    </row>
    <row r="89" spans="1:8" ht="15.75" x14ac:dyDescent="0.25">
      <c r="A89" s="15" t="s">
        <v>17</v>
      </c>
      <c r="B89" s="14">
        <f>SUM(C89:D89)</f>
        <v>8891.0308599999989</v>
      </c>
      <c r="C89" s="3">
        <v>8891.0308599999989</v>
      </c>
      <c r="D89" s="3">
        <v>0</v>
      </c>
      <c r="E89" s="20">
        <f t="shared" si="13"/>
        <v>100</v>
      </c>
      <c r="F89" s="21">
        <f>D89/B89*100</f>
        <v>0</v>
      </c>
      <c r="G89" s="25" t="s">
        <v>27</v>
      </c>
    </row>
    <row r="90" spans="1:8" ht="15.75" x14ac:dyDescent="0.25">
      <c r="A90" s="16" t="s">
        <v>19</v>
      </c>
      <c r="B90" s="17">
        <f>SUM(C90:D90)</f>
        <v>960259.01850000047</v>
      </c>
      <c r="C90" s="31">
        <v>812915.35099000053</v>
      </c>
      <c r="D90" s="31">
        <v>147343.66751</v>
      </c>
      <c r="E90" s="22">
        <f t="shared" si="13"/>
        <v>84.655841322879496</v>
      </c>
      <c r="F90" s="23">
        <f>D90/B90*100</f>
        <v>15.344158677120504</v>
      </c>
      <c r="G90" s="27" t="s">
        <v>28</v>
      </c>
    </row>
    <row r="91" spans="1:8" x14ac:dyDescent="0.25">
      <c r="A91" s="2" t="s">
        <v>1</v>
      </c>
      <c r="B91" s="1"/>
      <c r="C91" s="1"/>
      <c r="D91" s="7"/>
      <c r="E91" s="7"/>
      <c r="F91" s="7"/>
      <c r="G91" s="28" t="s">
        <v>33</v>
      </c>
    </row>
    <row r="92" spans="1:8" x14ac:dyDescent="0.25">
      <c r="A92" s="2" t="s">
        <v>36</v>
      </c>
      <c r="B92" s="1"/>
      <c r="C92" s="1"/>
      <c r="D92" s="7"/>
      <c r="E92" s="7"/>
      <c r="F92" s="7"/>
      <c r="G92" s="7"/>
    </row>
    <row r="94" spans="1:8" ht="12" customHeight="1" x14ac:dyDescent="0.25">
      <c r="A94" s="2"/>
      <c r="B94" s="1"/>
      <c r="C94" s="1"/>
      <c r="D94" s="7"/>
      <c r="E94" s="7"/>
      <c r="F94" s="7"/>
      <c r="G94" s="7"/>
      <c r="H94" s="1"/>
    </row>
    <row r="95" spans="1:8" ht="12" customHeight="1" x14ac:dyDescent="0.25">
      <c r="A95" s="2"/>
      <c r="B95" s="1"/>
      <c r="C95" s="1"/>
      <c r="D95" s="7"/>
      <c r="E95" s="7"/>
      <c r="F95" s="7"/>
      <c r="G95" s="7"/>
      <c r="H95" s="1"/>
    </row>
    <row r="96" spans="1:8" ht="12" customHeight="1" x14ac:dyDescent="0.25">
      <c r="A96" s="2"/>
      <c r="B96" s="1"/>
      <c r="C96" s="1"/>
      <c r="D96" s="7"/>
      <c r="E96" s="7"/>
      <c r="F96" s="7"/>
      <c r="G96" s="7"/>
      <c r="H96" s="1"/>
    </row>
    <row r="97" spans="1:8" ht="26.25" customHeight="1" x14ac:dyDescent="0.25">
      <c r="B97" s="1"/>
      <c r="C97" s="1"/>
      <c r="D97" s="7"/>
      <c r="E97" s="7"/>
      <c r="F97" s="7"/>
    </row>
    <row r="98" spans="1:8" ht="26.25" customHeight="1" x14ac:dyDescent="0.25"/>
    <row r="99" spans="1:8" ht="26.25" customHeight="1" x14ac:dyDescent="0.25"/>
    <row r="100" spans="1:8" ht="26.25" customHeight="1" x14ac:dyDescent="0.25"/>
    <row r="101" spans="1:8" ht="26.25" customHeight="1" x14ac:dyDescent="0.25">
      <c r="B101" s="1"/>
      <c r="C101" s="1"/>
      <c r="D101" s="7"/>
      <c r="E101" s="7"/>
      <c r="F101" s="7"/>
    </row>
    <row r="102" spans="1:8" ht="26.25" customHeight="1" x14ac:dyDescent="0.25"/>
    <row r="103" spans="1:8" ht="26.25" customHeight="1" x14ac:dyDescent="0.25"/>
    <row r="104" spans="1:8" ht="26.25" customHeight="1" x14ac:dyDescent="0.25"/>
    <row r="105" spans="1:8" ht="26.25" customHeight="1" x14ac:dyDescent="0.25"/>
    <row r="106" spans="1:8" ht="26.25" customHeight="1" x14ac:dyDescent="0.25"/>
    <row r="107" spans="1:8" ht="26.25" customHeight="1" x14ac:dyDescent="0.25"/>
    <row r="108" spans="1:8" ht="26.25" customHeight="1" x14ac:dyDescent="0.25"/>
    <row r="109" spans="1:8" ht="26.25" customHeight="1" x14ac:dyDescent="0.25">
      <c r="A109" s="18"/>
      <c r="B109" s="1"/>
      <c r="C109" s="1"/>
      <c r="D109" s="7"/>
      <c r="E109" s="7"/>
      <c r="F109" s="7"/>
      <c r="G109" s="7"/>
      <c r="H109" s="19"/>
    </row>
    <row r="110" spans="1:8" ht="26.25" customHeight="1" x14ac:dyDescent="0.25">
      <c r="B110" s="1"/>
      <c r="C110" s="1"/>
      <c r="D110" s="7"/>
      <c r="E110" s="7"/>
      <c r="F110" s="7"/>
    </row>
    <row r="111" spans="1:8" ht="26.25" customHeight="1" x14ac:dyDescent="0.25"/>
    <row r="112" spans="1:8" ht="26.25" customHeight="1" x14ac:dyDescent="0.25"/>
    <row r="113" s="4" customFormat="1" ht="26.25" customHeight="1" x14ac:dyDescent="0.25"/>
  </sheetData>
  <mergeCells count="20">
    <mergeCell ref="A39:A41"/>
    <mergeCell ref="G39:G41"/>
    <mergeCell ref="A56:G56"/>
    <mergeCell ref="A77:A79"/>
    <mergeCell ref="G77:G79"/>
    <mergeCell ref="A57:G57"/>
    <mergeCell ref="A58:A60"/>
    <mergeCell ref="G58:G60"/>
    <mergeCell ref="A75:G75"/>
    <mergeCell ref="A76:G76"/>
    <mergeCell ref="A1:G1"/>
    <mergeCell ref="A2:G2"/>
    <mergeCell ref="A3:A5"/>
    <mergeCell ref="G3:G5"/>
    <mergeCell ref="A38:G38"/>
    <mergeCell ref="A19:G19"/>
    <mergeCell ref="A20:G20"/>
    <mergeCell ref="A21:A23"/>
    <mergeCell ref="G21:G23"/>
    <mergeCell ref="A37:G37"/>
  </mergeCells>
  <pageMargins left="0.7" right="0.7" top="0.75" bottom="0.75" header="0.3" footer="0.3"/>
  <pageSetup scale="54" orientation="portrait" r:id="rId1"/>
  <rowBreaks count="1" manualBreakCount="1">
    <brk id="73" max="7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15.4</vt:lpstr>
      <vt:lpstr>'15.4'!Print_Area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2026-06-23T03:22:42Z</cp:lastPrinted>
  <dcterms:created xsi:type="dcterms:W3CDTF">2019-12-05T04:01:34Z</dcterms:created>
  <dcterms:modified xsi:type="dcterms:W3CDTF">2026-06-23T03:23:12Z</dcterms:modified>
</cp:coreProperties>
</file>