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5- FOREIGN TRADE AND BOP\"/>
    </mc:Choice>
  </mc:AlternateContent>
  <xr:revisionPtr revIDLastSave="0" documentId="13_ncr:1_{8B43D1EA-5AB8-408B-B0C1-499E8915FF91}" xr6:coauthVersionLast="47" xr6:coauthVersionMax="47" xr10:uidLastSave="{00000000-0000-0000-0000-000000000000}"/>
  <bookViews>
    <workbookView xWindow="-120" yWindow="-120" windowWidth="29040" windowHeight="15720" tabRatio="865" xr2:uid="{00000000-000D-0000-FFFF-FFFF00000000}"/>
  </bookViews>
  <sheets>
    <sheet name="15.2" sheetId="2" r:id="rId1"/>
  </sheets>
  <definedNames>
    <definedName name="_xlnm.Print_Area" localSheetId="0">'15.2'!$A$1:$AE$31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2" l="1"/>
  <c r="K6" i="2" l="1"/>
  <c r="S6" i="2" l="1"/>
  <c r="S11" i="2"/>
  <c r="S7" i="2"/>
  <c r="S8" i="2"/>
  <c r="S9" i="2"/>
  <c r="S10" i="2"/>
  <c r="S12" i="2"/>
  <c r="S14" i="2"/>
  <c r="S16" i="2"/>
  <c r="S17" i="2"/>
  <c r="S18" i="2"/>
  <c r="S19" i="2"/>
  <c r="S20" i="2"/>
  <c r="S21" i="2"/>
  <c r="S22" i="2"/>
  <c r="S24" i="2"/>
  <c r="S25" i="2"/>
  <c r="S26" i="2"/>
  <c r="S27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6" i="2"/>
  <c r="AA27" i="2"/>
  <c r="S15" i="2" l="1"/>
  <c r="S13" i="2"/>
  <c r="S23" i="2"/>
  <c r="Y22" i="2"/>
  <c r="Z22" i="2"/>
  <c r="Y23" i="2"/>
  <c r="Z23" i="2"/>
  <c r="Y24" i="2"/>
  <c r="Z24" i="2"/>
  <c r="Y26" i="2"/>
  <c r="Z26" i="2"/>
  <c r="Y27" i="2"/>
  <c r="Z27" i="2"/>
  <c r="Z21" i="2"/>
  <c r="Y21" i="2"/>
  <c r="Z17" i="2"/>
  <c r="Z18" i="2"/>
  <c r="Z19" i="2"/>
  <c r="Z20" i="2"/>
  <c r="Y17" i="2"/>
  <c r="Y18" i="2"/>
  <c r="Y19" i="2"/>
  <c r="Y20" i="2"/>
  <c r="Z16" i="2"/>
  <c r="Y16" i="2"/>
  <c r="Z15" i="2"/>
  <c r="Y15" i="2"/>
  <c r="Y14" i="2"/>
  <c r="Z14" i="2"/>
  <c r="Y10" i="2"/>
  <c r="Z10" i="2"/>
  <c r="Y11" i="2"/>
  <c r="Z11" i="2"/>
  <c r="Y12" i="2"/>
  <c r="Z12" i="2"/>
  <c r="Y13" i="2"/>
  <c r="Z13" i="2"/>
  <c r="Y7" i="2"/>
  <c r="Z7" i="2"/>
  <c r="Y8" i="2"/>
  <c r="Z8" i="2"/>
  <c r="Y9" i="2"/>
  <c r="Z9" i="2"/>
  <c r="H6" i="2"/>
  <c r="I6" i="2"/>
  <c r="Q27" i="2" s="1"/>
  <c r="J6" i="2"/>
  <c r="AA6" i="2" s="1"/>
  <c r="R10" i="2" l="1"/>
  <c r="Q12" i="2"/>
  <c r="Q7" i="2"/>
  <c r="Q13" i="2"/>
  <c r="Q26" i="2"/>
  <c r="Q25" i="2"/>
  <c r="Q14" i="2"/>
  <c r="Q11" i="2"/>
  <c r="Q24" i="2"/>
  <c r="Q10" i="2"/>
  <c r="Q23" i="2"/>
  <c r="Q9" i="2"/>
  <c r="Q22" i="2"/>
  <c r="Q8" i="2"/>
  <c r="Q21" i="2"/>
  <c r="Q17" i="2"/>
  <c r="Q15" i="2"/>
  <c r="Q20" i="2"/>
  <c r="Q16" i="2"/>
  <c r="Q19" i="2"/>
  <c r="Y6" i="2"/>
  <c r="Q18" i="2"/>
  <c r="Q6" i="2"/>
  <c r="R18" i="2"/>
  <c r="R25" i="2"/>
  <c r="R15" i="2"/>
  <c r="R20" i="2"/>
  <c r="R24" i="2"/>
  <c r="R16" i="2"/>
  <c r="R17" i="2"/>
  <c r="Z6" i="2"/>
  <c r="R23" i="2"/>
  <c r="R19" i="2"/>
  <c r="R22" i="2"/>
  <c r="R13" i="2"/>
  <c r="R21" i="2"/>
  <c r="R27" i="2"/>
  <c r="R26" i="2"/>
  <c r="R8" i="2"/>
  <c r="R12" i="2"/>
  <c r="R9" i="2"/>
  <c r="R7" i="2"/>
  <c r="R14" i="2"/>
  <c r="R6" i="2"/>
  <c r="R11" i="2"/>
  <c r="V25" i="2" l="1"/>
  <c r="W17" i="2" l="1"/>
  <c r="X17" i="2"/>
  <c r="W18" i="2"/>
  <c r="X18" i="2"/>
  <c r="W19" i="2"/>
  <c r="X19" i="2"/>
  <c r="W20" i="2"/>
  <c r="X20" i="2"/>
  <c r="W21" i="2"/>
  <c r="X21" i="2"/>
  <c r="W22" i="2"/>
  <c r="X22" i="2"/>
  <c r="W23" i="2"/>
  <c r="X23" i="2"/>
  <c r="W24" i="2"/>
  <c r="X24" i="2"/>
  <c r="W26" i="2"/>
  <c r="X26" i="2"/>
  <c r="W27" i="2"/>
  <c r="X27" i="2"/>
  <c r="X16" i="2"/>
  <c r="W16" i="2"/>
  <c r="X15" i="2"/>
  <c r="W15" i="2"/>
  <c r="W14" i="2"/>
  <c r="X14" i="2"/>
  <c r="W7" i="2"/>
  <c r="X7" i="2"/>
  <c r="W8" i="2"/>
  <c r="X8" i="2"/>
  <c r="W9" i="2"/>
  <c r="X9" i="2"/>
  <c r="W10" i="2"/>
  <c r="X10" i="2"/>
  <c r="W11" i="2"/>
  <c r="X11" i="2"/>
  <c r="W12" i="2"/>
  <c r="X12" i="2"/>
  <c r="W13" i="2"/>
  <c r="X13" i="2"/>
  <c r="G6" i="2"/>
  <c r="O25" i="2" s="1"/>
  <c r="P7" i="2" l="1"/>
  <c r="O23" i="2"/>
  <c r="O15" i="2"/>
  <c r="O7" i="2"/>
  <c r="O27" i="2"/>
  <c r="O22" i="2"/>
  <c r="O18" i="2"/>
  <c r="O14" i="2"/>
  <c r="O10" i="2"/>
  <c r="O6" i="2"/>
  <c r="O26" i="2"/>
  <c r="O21" i="2"/>
  <c r="O17" i="2"/>
  <c r="O13" i="2"/>
  <c r="O9" i="2"/>
  <c r="O19" i="2"/>
  <c r="O11" i="2"/>
  <c r="O24" i="2"/>
  <c r="O20" i="2"/>
  <c r="O16" i="2"/>
  <c r="O12" i="2"/>
  <c r="O8" i="2"/>
  <c r="P19" i="2"/>
  <c r="P6" i="2"/>
  <c r="P27" i="2"/>
  <c r="P25" i="2"/>
  <c r="P11" i="2"/>
  <c r="P22" i="2"/>
  <c r="P10" i="2"/>
  <c r="P21" i="2"/>
  <c r="P17" i="2"/>
  <c r="P9" i="2"/>
  <c r="P24" i="2"/>
  <c r="P20" i="2"/>
  <c r="P16" i="2"/>
  <c r="P12" i="2"/>
  <c r="P8" i="2"/>
  <c r="P23" i="2"/>
  <c r="P15" i="2"/>
  <c r="P18" i="2"/>
  <c r="P14" i="2"/>
  <c r="P26" i="2"/>
  <c r="P13" i="2"/>
  <c r="X6" i="2"/>
  <c r="V7" i="2" l="1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6" i="2"/>
  <c r="V27" i="2"/>
  <c r="F6" i="2"/>
  <c r="N25" i="2" s="1"/>
  <c r="N7" i="2" l="1"/>
  <c r="W6" i="2"/>
  <c r="N22" i="2"/>
  <c r="N21" i="2"/>
  <c r="N14" i="2"/>
  <c r="N13" i="2"/>
  <c r="N6" i="2"/>
  <c r="N20" i="2"/>
  <c r="N12" i="2"/>
  <c r="N27" i="2"/>
  <c r="N18" i="2"/>
  <c r="N10" i="2"/>
  <c r="N26" i="2"/>
  <c r="N17" i="2"/>
  <c r="N9" i="2"/>
  <c r="N11" i="2"/>
  <c r="N24" i="2"/>
  <c r="N16" i="2"/>
  <c r="N8" i="2"/>
  <c r="N19" i="2"/>
  <c r="N23" i="2"/>
  <c r="N15" i="2"/>
  <c r="U27" i="2" l="1"/>
  <c r="U26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E6" i="2"/>
  <c r="V6" i="2" l="1"/>
  <c r="M25" i="2"/>
  <c r="M26" i="2"/>
  <c r="M6" i="2"/>
  <c r="M14" i="2"/>
  <c r="M12" i="2"/>
  <c r="M20" i="2"/>
  <c r="M7" i="2"/>
  <c r="M15" i="2"/>
  <c r="M23" i="2"/>
  <c r="M13" i="2"/>
  <c r="M8" i="2"/>
  <c r="M16" i="2"/>
  <c r="M24" i="2"/>
  <c r="M9" i="2"/>
  <c r="M17" i="2"/>
  <c r="M10" i="2"/>
  <c r="M18" i="2"/>
  <c r="M27" i="2"/>
  <c r="M21" i="2"/>
  <c r="M22" i="2"/>
  <c r="M11" i="2"/>
  <c r="M19" i="2"/>
  <c r="T27" i="2" l="1"/>
  <c r="T26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D6" i="2"/>
  <c r="U6" i="2" l="1"/>
  <c r="L25" i="2"/>
  <c r="L27" i="2"/>
  <c r="L16" i="2"/>
  <c r="L18" i="2"/>
  <c r="L20" i="2"/>
  <c r="L22" i="2"/>
  <c r="L24" i="2"/>
  <c r="L15" i="2"/>
  <c r="L6" i="2"/>
  <c r="L8" i="2"/>
  <c r="L10" i="2"/>
  <c r="L12" i="2"/>
  <c r="L14" i="2"/>
  <c r="L9" i="2"/>
  <c r="L11" i="2"/>
  <c r="T6" i="2"/>
  <c r="L26" i="2"/>
  <c r="L7" i="2"/>
  <c r="L13" i="2"/>
  <c r="L17" i="2"/>
  <c r="L19" i="2"/>
  <c r="L21" i="2"/>
  <c r="L23" i="2"/>
</calcChain>
</file>

<file path=xl/sharedStrings.xml><?xml version="1.0" encoding="utf-8"?>
<sst xmlns="http://schemas.openxmlformats.org/spreadsheetml/2006/main" count="108" uniqueCount="103">
  <si>
    <t>(cnuhWh Wyifur) ugwa .cfea.iawa.Is</t>
  </si>
  <si>
    <t>cniawtcaws ctogWviawfiheb</t>
  </si>
  <si>
    <t>% urwvcnim ivurutia eruvcSwrwhwa Iruk</t>
  </si>
  <si>
    <t>Percentage  Share</t>
  </si>
  <si>
    <t>% Change Over Previous Year</t>
  </si>
  <si>
    <t>Source:  Maldives Customs Services</t>
  </si>
  <si>
    <t xml:space="preserve">cswsivrWs cscmwTcswk cscviDclOm :ctWrwfivcaed utWmUluAwm     </t>
  </si>
  <si>
    <t>Harmonized System</t>
  </si>
  <si>
    <t>cmwTcsis cDcziawnomWh</t>
  </si>
  <si>
    <t xml:space="preserve">C.I.F. Value (in MVR. '000) </t>
  </si>
  <si>
    <t>TOTAL</t>
  </si>
  <si>
    <t>wlcmuj</t>
  </si>
  <si>
    <t>Section I</t>
  </si>
  <si>
    <t>cnudcaefua egutwvWbedim ;inUd iaWrWvwnwjErid</t>
  </si>
  <si>
    <t>Section II</t>
  </si>
  <si>
    <t>cawtctwvWb egIrWkurwt iaWscaeg Whwgcswg</t>
  </si>
  <si>
    <t>Section III</t>
  </si>
  <si>
    <t>...cawtctwvWbim iaWkwtctwvWb egIburws ,oyet egIrWkurwt iaWrWvwnwj</t>
  </si>
  <si>
    <t>Section IV</t>
  </si>
  <si>
    <t>....Wrugnwb iaWtwvWb egukwtcniaubinif ,cawtwvWb egWnWk IrWycawt</t>
  </si>
  <si>
    <t>Section V</t>
  </si>
  <si>
    <t>cawtcnudcaefua egunwdcAwm</t>
  </si>
  <si>
    <t>Section VI</t>
  </si>
  <si>
    <t>WviawfiLug iaWmwkea csevcnUnea idwa iaWncnutwkcawswmclwkimek</t>
  </si>
  <si>
    <t>Section VII</t>
  </si>
  <si>
    <t>cawtctwvWb egurwbwr iaWkiTcsWlcp</t>
  </si>
  <si>
    <t>Section VIII</t>
  </si>
  <si>
    <t>.....iawfcSokurWycawt cSwmudehitekwt ,iaWmwhOr egurWvwnwj egutwvWbikea</t>
  </si>
  <si>
    <t>Section IX</t>
  </si>
  <si>
    <t>Section X</t>
  </si>
  <si>
    <t>cawtctwvWb Wdcawfua csWdurwk</t>
  </si>
  <si>
    <t>Section XI</t>
  </si>
  <si>
    <t>cawtctwvWb wncnuh iawfWdwhcnitof iaWCcaof</t>
  </si>
  <si>
    <t>Section XII</t>
  </si>
  <si>
    <t>.......wDuk ,cawturwtcawv egIfot iaWlwhikWt ,cawtctwvWb egunWviawf</t>
  </si>
  <si>
    <t>Section XIII</t>
  </si>
  <si>
    <t>Wlifitcnemis ,itcnemis ,wvua  ,wlih iaWlwg</t>
  </si>
  <si>
    <t>Section XIV</t>
  </si>
  <si>
    <t>....cnwdcAwm Itwmugwa ,urihWvwj wncnuhugwa cSwrwvcnimikea ,ctum</t>
  </si>
  <si>
    <t>Section XV</t>
  </si>
  <si>
    <t>......wncnuhiawfWdwh cnukwtctwvWbea iaWkwtWdcaWm ,cnwduawmulcswa</t>
  </si>
  <si>
    <t>Section XVI</t>
  </si>
  <si>
    <t>WrukcnunEb iawgutwkcawswmegcnixem iaWnixem ikeaikea</t>
  </si>
  <si>
    <t>Section XVII</t>
  </si>
  <si>
    <t>.....iaWkwtctwvWb eguTObWdcnitwm ,iaWdnwLua Wvcaud iawgumwgcaea</t>
  </si>
  <si>
    <t>Section XVIII</t>
  </si>
  <si>
    <t>.....iawgumudeh umclif iaWycawgumugenOTof ,cawtctwvWb egImurud iaWniawa</t>
  </si>
  <si>
    <t>Section XIX</t>
  </si>
  <si>
    <t>-</t>
  </si>
  <si>
    <t xml:space="preserve">na </t>
  </si>
  <si>
    <t>unWmWs itekwtim idwa ,cnwzwv iaWrWyitwh</t>
  </si>
  <si>
    <t>Section XX</t>
  </si>
  <si>
    <t>itekwtcnehea WviawfcSokurWycawt</t>
  </si>
  <si>
    <t>Section  XXI</t>
  </si>
  <si>
    <t>.egumurukcaeaiteCcaea ,iaWCcaekwt EverukwgwhWf iawgugnor egumwkirevuDWf</t>
  </si>
  <si>
    <t>VEGETABLE PRODUCTS</t>
  </si>
  <si>
    <t>MINERAL PRODUCTS</t>
  </si>
  <si>
    <t>(*)</t>
  </si>
  <si>
    <t xml:space="preserve">Note: (*) - Indicates if the percentage change is greater than 100. </t>
  </si>
  <si>
    <t>ތާވަލު އެކުލަވާލީ: މޯލްޑިވްސް ބިއުރޯ އޮފް ސްޓެޓިސްޓިކްސް</t>
  </si>
  <si>
    <r>
      <rPr>
        <sz val="9"/>
        <rFont val="Calibri"/>
        <family val="2"/>
        <scheme val="minor"/>
      </rPr>
      <t xml:space="preserve">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</si>
  <si>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III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</si>
  <si>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</si>
  <si>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>IV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</si>
  <si>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>V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</si>
  <si>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 xml:space="preserve">VI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</si>
  <si>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VII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</si>
  <si>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VIII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</si>
  <si>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IX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</si>
  <si>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X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</si>
  <si>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XI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</si>
  <si>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XII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</si>
  <si>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XIII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</si>
  <si>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>XIV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</si>
  <si>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>XV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</si>
  <si>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 xml:space="preserve">XVI </t>
    </r>
    <r>
      <rPr>
        <sz val="9"/>
        <rFont val="A_Faseyha"/>
      </rPr>
      <t xml:space="preserve">cnwxckes    </t>
    </r>
  </si>
  <si>
    <r>
      <rPr>
        <sz val="9"/>
        <rFont val="Calibri"/>
        <family val="2"/>
        <scheme val="minor"/>
      </rPr>
      <t xml:space="preserve">XVII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</si>
  <si>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XVIII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</si>
  <si>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>XIX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</si>
  <si>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>XX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</si>
  <si>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 xml:space="preserve">XXI </t>
    </r>
    <r>
      <rPr>
        <sz val="9"/>
        <rFont val="A_Faseyha"/>
      </rPr>
      <t>cnwxckes</t>
    </r>
  </si>
  <si>
    <t>LIVE ANIMALS; ANIMAL PRODUCTS</t>
  </si>
  <si>
    <t xml:space="preserve">ANIMAL AND VEGETABLE FATS AND OILS </t>
  </si>
  <si>
    <t>PREPARED FOODSTUFFS; BEVERAGES, SPIRITS AND VINEGAR; TOBACCO AND MANUFACTURED TOBACCO PRODUCTS</t>
  </si>
  <si>
    <t>PRODUCTS OF THE CHEMICAL OR ALLIED INDUSTRIES</t>
  </si>
  <si>
    <t>PLASTIC &amp; ARTICLES THEREOF; RUBBER &amp; ARTICLE THERE OF</t>
  </si>
  <si>
    <t>RAW HIDE &amp; SKINS, LEATHER, FUR SKINS &amp; ARTICLES..</t>
  </si>
  <si>
    <t>WOOD; ARTICLES OF WOOD; WOOD CHARCOAL; CORK &amp; ARTICLES</t>
  </si>
  <si>
    <t>PULP OF WOOD OR OF OTHER FIBROUS CELLULOSIC MATERIAL</t>
  </si>
  <si>
    <t>TEXTILES AND TEXTILE ARTICLES</t>
  </si>
  <si>
    <t>FOOTWEAR, HEADGEAR, UMBRELLAS, SUNSHADES,…</t>
  </si>
  <si>
    <t>ARTICLES OF STONE, PLASTER, CEMENT, ASBESTOS</t>
  </si>
  <si>
    <t>PEARLS, PRECIOUS AND SEMI-PRECIOUS STONES,…</t>
  </si>
  <si>
    <t>BASE METAL AND ARTICLES OF BASE METAL</t>
  </si>
  <si>
    <t>MACHINERY &amp; MECHANICAL APPLIANCE; ELECTRICAL</t>
  </si>
  <si>
    <t>VEHICLES, AIRCRAFT &amp; PARTS THEREOF;</t>
  </si>
  <si>
    <t>OPTICAL, PHOTOGRAPHIC, CINEMATOGRAPHIC,…</t>
  </si>
  <si>
    <t>ARMS &amp; AMMUNITION; PARTS &amp; ACCESSORIES THEREOF</t>
  </si>
  <si>
    <t>MISCELLANEOUS MANUFACTURED ARTICLES</t>
  </si>
  <si>
    <t>WORK OF ART, COLLECTORS PIECES &amp; ANTIQUES</t>
  </si>
  <si>
    <t>2025 - 2018 ,WsWluh egukwtctwvWbegulwdum uDnwgiawm unuverukeretea cSwaejcaWr ,cnutog egukwtiawb egcmwTcsis cDcziawnomWh : 15:2 clwvWt</t>
  </si>
  <si>
    <t>Table 15:2  : SUMMARY OF IMPORTS CLASSIFIED BY HARMONIZED SYSTEM, 2018 - 2025</t>
  </si>
  <si>
    <t>itekwtcncnuhiawfWdwh cnudwmiLufiaWdwmiLuf,ilediDukwl ,itekwtwncnuhiawfWdwh cniDukwliaWaiDukwl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</si>
</sst>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6" formatCode="#,##0.0"/>
    <numFmt numFmtId="168" formatCode="_(* #,##0_);_(* \(#,##0\);_(* &quot;-&quot;??_);_(@_)"/>
    <numFmt numFmtId="170" formatCode="0.0%"/>
    <numFmt numFmtId="172" formatCode="_-* #,##0.00\ _ރ_._-;_-* #,##0.00\ _ރ_.\-;_-* &quot;-&quot;??\ _ރ_._-;_-@_-"/>
    <numFmt numFmtId="173" formatCode="0.0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rial"/>
      <family val="2"/>
    </font>
    <font>
      <b/>
      <sz val="11"/>
      <name val="Arial"/>
      <family val="2"/>
    </font>
    <font>
      <b/>
      <sz val="9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color indexed="10"/>
      <name val="Calibri"/>
      <family val="2"/>
    </font>
    <font>
      <sz val="9"/>
      <name val="A_Haleem Gadhooni"/>
      <family val="2"/>
    </font>
    <font>
      <sz val="10"/>
      <name val="Faruma"/>
      <charset val="1"/>
    </font>
    <font>
      <sz val="10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b/>
      <sz val="12"/>
      <name val="A_Faseyha"/>
    </font>
    <font>
      <sz val="10"/>
      <name val="A_Faseyha"/>
    </font>
    <font>
      <sz val="9"/>
      <name val="A_Faseyha"/>
    </font>
    <font>
      <i/>
      <sz val="9"/>
      <name val="Calibri Light"/>
      <family val="2"/>
      <scheme val="major"/>
    </font>
    <font>
      <sz val="9"/>
      <name val="A_Faseyha"/>
      <family val="2"/>
    </font>
    <font>
      <sz val="9"/>
      <name val="Times New Roman"/>
      <family val="1"/>
    </font>
    <font>
      <sz val="9"/>
      <color indexed="8"/>
      <name val="Times New Roman"/>
      <family val="1"/>
    </font>
    <font>
      <b/>
      <sz val="1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71">
    <xf numFmtId="0" fontId="0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21" fillId="0" borderId="14" applyNumberFormat="0" applyFill="0" applyAlignment="0" applyProtection="0"/>
    <xf numFmtId="0" fontId="22" fillId="0" borderId="15" applyNumberFormat="0" applyFill="0" applyAlignment="0" applyProtection="0"/>
    <xf numFmtId="0" fontId="23" fillId="0" borderId="16" applyNumberFormat="0" applyFill="0" applyAlignment="0" applyProtection="0"/>
    <xf numFmtId="0" fontId="23" fillId="0" borderId="0" applyNumberFormat="0" applyFill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0" applyNumberFormat="0" applyBorder="0" applyAlignment="0" applyProtection="0"/>
    <xf numFmtId="0" fontId="27" fillId="6" borderId="17" applyNumberFormat="0" applyAlignment="0" applyProtection="0"/>
    <xf numFmtId="0" fontId="28" fillId="7" borderId="18" applyNumberFormat="0" applyAlignment="0" applyProtection="0"/>
    <xf numFmtId="0" fontId="29" fillId="7" borderId="17" applyNumberFormat="0" applyAlignment="0" applyProtection="0"/>
    <xf numFmtId="0" fontId="30" fillId="0" borderId="19" applyNumberFormat="0" applyFill="0" applyAlignment="0" applyProtection="0"/>
    <xf numFmtId="0" fontId="31" fillId="8" borderId="20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3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4" fillId="29" borderId="0" applyNumberFormat="0" applyBorder="0" applyAlignment="0" applyProtection="0"/>
    <xf numFmtId="0" fontId="3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4" fillId="33" borderId="0" applyNumberFormat="0" applyBorder="0" applyAlignment="0" applyProtection="0"/>
    <xf numFmtId="0" fontId="35" fillId="0" borderId="0"/>
    <xf numFmtId="0" fontId="3" fillId="0" borderId="0"/>
    <xf numFmtId="172" fontId="3" fillId="0" borderId="0" applyFont="0" applyFill="0" applyBorder="0" applyAlignment="0" applyProtection="0"/>
    <xf numFmtId="173" fontId="36" fillId="0" borderId="0"/>
    <xf numFmtId="0" fontId="37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1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8" fillId="34" borderId="0" applyNumberFormat="0" applyBorder="0" applyAlignment="0" applyProtection="0"/>
    <xf numFmtId="0" fontId="3" fillId="0" borderId="0"/>
  </cellStyleXfs>
  <cellXfs count="88">
    <xf numFmtId="0" fontId="0" fillId="0" borderId="0" xfId="0"/>
    <xf numFmtId="0" fontId="6" fillId="2" borderId="0" xfId="0" applyFont="1" applyFill="1" applyAlignment="1">
      <alignment vertical="center"/>
    </xf>
    <xf numFmtId="0" fontId="4" fillId="2" borderId="3" xfId="0" applyFont="1" applyFill="1" applyBorder="1" applyAlignment="1">
      <alignment horizontal="right" vertical="center"/>
    </xf>
    <xf numFmtId="166" fontId="4" fillId="2" borderId="0" xfId="0" applyNumberFormat="1" applyFont="1" applyFill="1" applyAlignment="1">
      <alignment horizontal="right" vertical="center"/>
    </xf>
    <xf numFmtId="0" fontId="7" fillId="2" borderId="0" xfId="0" applyFont="1" applyFill="1"/>
    <xf numFmtId="166" fontId="8" fillId="2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43" fontId="6" fillId="2" borderId="0" xfId="2" applyFont="1" applyFill="1" applyBorder="1" applyAlignment="1" applyProtection="1">
      <alignment vertical="center"/>
    </xf>
    <xf numFmtId="0" fontId="14" fillId="2" borderId="0" xfId="0" applyFont="1" applyFill="1"/>
    <xf numFmtId="0" fontId="4" fillId="2" borderId="10" xfId="0" applyFont="1" applyFill="1" applyBorder="1" applyAlignment="1">
      <alignment horizontal="right" vertical="center"/>
    </xf>
    <xf numFmtId="170" fontId="14" fillId="2" borderId="0" xfId="1" applyNumberFormat="1" applyFont="1" applyFill="1"/>
    <xf numFmtId="0" fontId="8" fillId="2" borderId="0" xfId="0" applyFont="1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168" fontId="4" fillId="2" borderId="0" xfId="2" applyNumberFormat="1" applyFont="1" applyFill="1" applyBorder="1" applyAlignment="1" applyProtection="1">
      <alignment horizontal="right" vertical="center"/>
    </xf>
    <xf numFmtId="168" fontId="4" fillId="2" borderId="1" xfId="2" applyNumberFormat="1" applyFont="1" applyFill="1" applyBorder="1" applyAlignment="1" applyProtection="1">
      <alignment horizontal="right" vertical="center"/>
    </xf>
    <xf numFmtId="3" fontId="4" fillId="2" borderId="1" xfId="0" applyNumberFormat="1" applyFont="1" applyFill="1" applyBorder="1" applyAlignment="1">
      <alignment horizontal="right" vertical="center"/>
    </xf>
    <xf numFmtId="43" fontId="14" fillId="2" borderId="0" xfId="0" applyNumberFormat="1" applyFont="1" applyFill="1"/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170" fontId="14" fillId="2" borderId="0" xfId="1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168" fontId="8" fillId="2" borderId="0" xfId="2" applyNumberFormat="1" applyFont="1" applyFill="1" applyBorder="1" applyAlignment="1">
      <alignment horizontal="right" vertical="center"/>
    </xf>
    <xf numFmtId="0" fontId="15" fillId="2" borderId="3" xfId="0" applyFont="1" applyFill="1" applyBorder="1" applyAlignment="1">
      <alignment horizontal="left" vertical="center"/>
    </xf>
    <xf numFmtId="168" fontId="8" fillId="2" borderId="3" xfId="2" applyNumberFormat="1" applyFont="1" applyFill="1" applyBorder="1" applyAlignment="1" applyProtection="1">
      <alignment horizontal="right" vertical="center"/>
    </xf>
    <xf numFmtId="0" fontId="16" fillId="2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top"/>
    </xf>
    <xf numFmtId="0" fontId="14" fillId="2" borderId="0" xfId="0" applyFont="1" applyFill="1" applyAlignment="1">
      <alignment vertical="top"/>
    </xf>
    <xf numFmtId="43" fontId="7" fillId="2" borderId="0" xfId="2" applyFont="1" applyFill="1"/>
    <xf numFmtId="0" fontId="17" fillId="2" borderId="0" xfId="0" applyFont="1" applyFill="1" applyAlignment="1">
      <alignment vertical="top"/>
    </xf>
    <xf numFmtId="43" fontId="7" fillId="2" borderId="0" xfId="2" applyFont="1" applyFill="1" applyBorder="1"/>
    <xf numFmtId="0" fontId="0" fillId="2" borderId="0" xfId="0" applyFill="1"/>
    <xf numFmtId="0" fontId="19" fillId="2" borderId="0" xfId="0" applyFont="1" applyFill="1" applyAlignment="1">
      <alignment horizontal="right"/>
    </xf>
    <xf numFmtId="0" fontId="5" fillId="2" borderId="0" xfId="0" applyFont="1" applyFill="1" applyAlignment="1">
      <alignment horizontal="right" vertical="center"/>
    </xf>
    <xf numFmtId="0" fontId="42" fillId="2" borderId="4" xfId="0" applyFont="1" applyFill="1" applyBorder="1" applyAlignment="1">
      <alignment horizontal="right" readingOrder="2"/>
    </xf>
    <xf numFmtId="0" fontId="39" fillId="2" borderId="0" xfId="0" applyFont="1" applyFill="1"/>
    <xf numFmtId="0" fontId="42" fillId="2" borderId="3" xfId="0" applyFont="1" applyFill="1" applyBorder="1" applyAlignment="1">
      <alignment horizontal="right" vertical="center"/>
    </xf>
    <xf numFmtId="0" fontId="42" fillId="2" borderId="0" xfId="0" applyFont="1" applyFill="1" applyAlignment="1">
      <alignment vertical="center"/>
    </xf>
    <xf numFmtId="0" fontId="41" fillId="2" borderId="0" xfId="0" applyFont="1" applyFill="1" applyAlignment="1">
      <alignment vertical="center"/>
    </xf>
    <xf numFmtId="0" fontId="41" fillId="2" borderId="0" xfId="0" applyFont="1" applyFill="1"/>
    <xf numFmtId="0" fontId="39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center" vertical="center"/>
    </xf>
    <xf numFmtId="166" fontId="8" fillId="2" borderId="0" xfId="0" applyNumberFormat="1" applyFont="1" applyFill="1" applyAlignment="1">
      <alignment horizontal="right" vertical="center"/>
    </xf>
    <xf numFmtId="0" fontId="42" fillId="2" borderId="0" xfId="0" applyFont="1" applyFill="1" applyAlignment="1">
      <alignment horizontal="right" vertical="center"/>
    </xf>
    <xf numFmtId="168" fontId="8" fillId="2" borderId="0" xfId="2" applyNumberFormat="1" applyFont="1" applyFill="1" applyBorder="1" applyAlignment="1" applyProtection="1">
      <alignment horizontal="right" vertical="center"/>
    </xf>
    <xf numFmtId="166" fontId="20" fillId="2" borderId="13" xfId="0" applyNumberFormat="1" applyFont="1" applyFill="1" applyBorder="1" applyAlignment="1">
      <alignment horizontal="right" vertical="center"/>
    </xf>
    <xf numFmtId="0" fontId="43" fillId="2" borderId="0" xfId="70" applyFont="1" applyFill="1" applyAlignment="1">
      <alignment horizontal="left" vertical="center"/>
    </xf>
    <xf numFmtId="0" fontId="44" fillId="2" borderId="0" xfId="0" applyFont="1" applyFill="1" applyAlignment="1">
      <alignment horizontal="right" vertical="center"/>
    </xf>
    <xf numFmtId="0" fontId="44" fillId="2" borderId="3" xfId="0" applyFont="1" applyFill="1" applyBorder="1" applyAlignment="1">
      <alignment horizontal="right" vertical="center"/>
    </xf>
    <xf numFmtId="168" fontId="8" fillId="2" borderId="0" xfId="2" applyNumberFormat="1" applyFont="1" applyFill="1" applyBorder="1" applyAlignment="1" applyProtection="1">
      <alignment horizontal="center" vertical="center"/>
    </xf>
    <xf numFmtId="0" fontId="4" fillId="2" borderId="11" xfId="0" applyFont="1" applyFill="1" applyBorder="1" applyAlignment="1">
      <alignment horizontal="right" vertical="center"/>
    </xf>
    <xf numFmtId="3" fontId="4" fillId="2" borderId="5" xfId="0" applyNumberFormat="1" applyFont="1" applyFill="1" applyBorder="1" applyAlignment="1">
      <alignment horizontal="right" vertical="center"/>
    </xf>
    <xf numFmtId="168" fontId="8" fillId="2" borderId="0" xfId="2" applyNumberFormat="1" applyFont="1" applyFill="1" applyBorder="1" applyAlignment="1" applyProtection="1">
      <alignment vertical="center"/>
    </xf>
    <xf numFmtId="0" fontId="45" fillId="2" borderId="0" xfId="0" applyFont="1" applyFill="1" applyAlignment="1">
      <alignment vertical="center"/>
    </xf>
    <xf numFmtId="0" fontId="45" fillId="2" borderId="0" xfId="0" applyFont="1" applyFill="1" applyAlignment="1">
      <alignment vertical="center" wrapText="1"/>
    </xf>
    <xf numFmtId="0" fontId="46" fillId="2" borderId="0" xfId="0" applyFont="1" applyFill="1" applyAlignment="1">
      <alignment vertical="center" wrapText="1"/>
    </xf>
    <xf numFmtId="0" fontId="46" fillId="2" borderId="0" xfId="0" applyFont="1" applyFill="1" applyAlignment="1">
      <alignment vertical="center"/>
    </xf>
    <xf numFmtId="0" fontId="45" fillId="2" borderId="3" xfId="0" applyFont="1" applyFill="1" applyBorder="1" applyAlignment="1">
      <alignment vertical="center"/>
    </xf>
    <xf numFmtId="166" fontId="8" fillId="2" borderId="23" xfId="0" applyNumberFormat="1" applyFont="1" applyFill="1" applyBorder="1" applyAlignment="1">
      <alignment horizontal="right" vertical="center"/>
    </xf>
    <xf numFmtId="168" fontId="8" fillId="2" borderId="23" xfId="2" applyNumberFormat="1" applyFont="1" applyFill="1" applyBorder="1" applyAlignment="1" applyProtection="1">
      <alignment horizontal="right" vertical="center"/>
    </xf>
    <xf numFmtId="168" fontId="4" fillId="2" borderId="5" xfId="2" applyNumberFormat="1" applyFont="1" applyFill="1" applyBorder="1" applyAlignment="1" applyProtection="1">
      <alignment horizontal="right" vertical="center"/>
    </xf>
    <xf numFmtId="168" fontId="8" fillId="2" borderId="12" xfId="2" applyNumberFormat="1" applyFont="1" applyFill="1" applyBorder="1" applyAlignment="1" applyProtection="1">
      <alignment horizontal="right" vertical="center"/>
    </xf>
    <xf numFmtId="166" fontId="8" fillId="2" borderId="12" xfId="0" applyNumberFormat="1" applyFont="1" applyFill="1" applyBorder="1" applyAlignment="1">
      <alignment horizontal="right" vertical="center"/>
    </xf>
    <xf numFmtId="168" fontId="8" fillId="2" borderId="12" xfId="2" applyNumberFormat="1" applyFont="1" applyFill="1" applyBorder="1" applyAlignment="1" applyProtection="1">
      <alignment vertical="center"/>
    </xf>
    <xf numFmtId="168" fontId="8" fillId="2" borderId="12" xfId="2" applyNumberFormat="1" applyFont="1" applyFill="1" applyBorder="1" applyAlignment="1" applyProtection="1">
      <alignment horizontal="center" vertical="center"/>
    </xf>
    <xf numFmtId="168" fontId="8" fillId="2" borderId="9" xfId="2" applyNumberFormat="1" applyFont="1" applyFill="1" applyBorder="1" applyAlignment="1" applyProtection="1">
      <alignment horizontal="right" vertical="center"/>
    </xf>
    <xf numFmtId="166" fontId="8" fillId="2" borderId="9" xfId="0" applyNumberFormat="1" applyFont="1" applyFill="1" applyBorder="1" applyAlignment="1">
      <alignment horizontal="right" vertical="center"/>
    </xf>
    <xf numFmtId="0" fontId="40" fillId="2" borderId="0" xfId="0" applyFont="1" applyFill="1" applyAlignment="1">
      <alignment horizontal="center" vertical="center"/>
    </xf>
    <xf numFmtId="0" fontId="39" fillId="2" borderId="1" xfId="0" applyFont="1" applyFill="1" applyBorder="1" applyAlignment="1">
      <alignment horizontal="right" vertical="center"/>
    </xf>
    <xf numFmtId="0" fontId="39" fillId="2" borderId="0" xfId="0" applyFont="1" applyFill="1" applyAlignment="1">
      <alignment horizontal="right" vertical="center"/>
    </xf>
    <xf numFmtId="0" fontId="39" fillId="2" borderId="3" xfId="0" applyFont="1" applyFill="1" applyBorder="1" applyAlignment="1">
      <alignment horizontal="right" vertical="center"/>
    </xf>
    <xf numFmtId="0" fontId="39" fillId="2" borderId="1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39" fillId="2" borderId="5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39" fillId="2" borderId="6" xfId="0" applyFont="1" applyFill="1" applyBorder="1" applyAlignment="1">
      <alignment horizontal="center" vertical="center" wrapText="1"/>
    </xf>
    <xf numFmtId="0" fontId="47" fillId="2" borderId="8" xfId="0" applyFont="1" applyFill="1" applyBorder="1" applyAlignment="1">
      <alignment horizontal="center" vertical="center" wrapText="1"/>
    </xf>
    <xf numFmtId="0" fontId="47" fillId="2" borderId="2" xfId="0" applyFont="1" applyFill="1" applyBorder="1" applyAlignment="1">
      <alignment horizontal="center" vertical="center" wrapText="1"/>
    </xf>
    <xf numFmtId="0" fontId="47" fillId="2" borderId="7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top"/>
    </xf>
    <xf numFmtId="0" fontId="11" fillId="2" borderId="23" xfId="0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39" fillId="2" borderId="1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/>
    </xf>
  </cellXfs>
  <cellStyles count="71">
    <cellStyle name="1" xfId="46" xr:uid="{00000000-0005-0000-0000-000000000000}"/>
    <cellStyle name="20% - Accent1" xfId="22" builtinId="30" customBuiltin="1"/>
    <cellStyle name="20% - Accent1 2" xfId="57" xr:uid="{00000000-0005-0000-0000-000002000000}"/>
    <cellStyle name="20% - Accent2" xfId="26" builtinId="34" customBuiltin="1"/>
    <cellStyle name="20% - Accent2 2" xfId="59" xr:uid="{00000000-0005-0000-0000-000004000000}"/>
    <cellStyle name="20% - Accent3" xfId="30" builtinId="38" customBuiltin="1"/>
    <cellStyle name="20% - Accent3 2" xfId="61" xr:uid="{00000000-0005-0000-0000-000006000000}"/>
    <cellStyle name="20% - Accent4" xfId="34" builtinId="42" customBuiltin="1"/>
    <cellStyle name="20% - Accent4 2" xfId="63" xr:uid="{00000000-0005-0000-0000-000008000000}"/>
    <cellStyle name="20% - Accent5" xfId="38" builtinId="46" customBuiltin="1"/>
    <cellStyle name="20% - Accent5 2" xfId="65" xr:uid="{00000000-0005-0000-0000-00000A000000}"/>
    <cellStyle name="20% - Accent6" xfId="42" builtinId="50" customBuiltin="1"/>
    <cellStyle name="20% - Accent6 2" xfId="67" xr:uid="{00000000-0005-0000-0000-00000C000000}"/>
    <cellStyle name="40% - Accent1" xfId="23" builtinId="31" customBuiltin="1"/>
    <cellStyle name="40% - Accent1 2" xfId="58" xr:uid="{00000000-0005-0000-0000-00000E000000}"/>
    <cellStyle name="40% - Accent2" xfId="27" builtinId="35" customBuiltin="1"/>
    <cellStyle name="40% - Accent2 2" xfId="60" xr:uid="{00000000-0005-0000-0000-000010000000}"/>
    <cellStyle name="40% - Accent3" xfId="31" builtinId="39" customBuiltin="1"/>
    <cellStyle name="40% - Accent3 2" xfId="62" xr:uid="{00000000-0005-0000-0000-000012000000}"/>
    <cellStyle name="40% - Accent4" xfId="35" builtinId="43" customBuiltin="1"/>
    <cellStyle name="40% - Accent4 2" xfId="64" xr:uid="{00000000-0005-0000-0000-000014000000}"/>
    <cellStyle name="40% - Accent5" xfId="39" builtinId="47" customBuiltin="1"/>
    <cellStyle name="40% - Accent5 2" xfId="66" xr:uid="{00000000-0005-0000-0000-000016000000}"/>
    <cellStyle name="40% - Accent6" xfId="43" builtinId="51" customBuiltin="1"/>
    <cellStyle name="40% - Accent6 2" xfId="68" xr:uid="{00000000-0005-0000-0000-000018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 xr:uid="{00000000-0005-0000-0000-000020000000}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 2" xfId="47" xr:uid="{00000000-0005-0000-0000-00002A000000}"/>
    <cellStyle name="Comma 3" xfId="2" xr:uid="{00000000-0005-0000-0000-00002B000000}"/>
    <cellStyle name="Comma 4" xfId="51" xr:uid="{00000000-0005-0000-0000-00002C000000}"/>
    <cellStyle name="Comma 5" xfId="54" xr:uid="{00000000-0005-0000-0000-00002D000000}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 xr:uid="{00000000-0005-0000-0000-00003A000000}"/>
    <cellStyle name="Normal 2" xfId="4" xr:uid="{00000000-0005-0000-0000-00003B000000}"/>
    <cellStyle name="Normal 3" xfId="50" xr:uid="{00000000-0005-0000-0000-00003C000000}"/>
    <cellStyle name="Normal 4" xfId="53" xr:uid="{00000000-0005-0000-0000-00003D000000}"/>
    <cellStyle name="Normal 5" xfId="3" xr:uid="{00000000-0005-0000-0000-00003E000000}"/>
    <cellStyle name="Normal 6" xfId="56" xr:uid="{00000000-0005-0000-0000-00003F000000}"/>
    <cellStyle name="Normal 7" xfId="45" xr:uid="{00000000-0005-0000-0000-000040000000}"/>
    <cellStyle name="Normal_Quick data" xfId="70" xr:uid="{00000000-0005-0000-0000-000042000000}"/>
    <cellStyle name="Note 2" xfId="52" xr:uid="{00000000-0005-0000-0000-000044000000}"/>
    <cellStyle name="Note 3" xfId="55" xr:uid="{00000000-0005-0000-0000-000045000000}"/>
    <cellStyle name="Output" xfId="14" builtinId="21" customBuiltin="1"/>
    <cellStyle name="Percent" xfId="1" builtinId="5"/>
    <cellStyle name="Percent 2" xfId="5" xr:uid="{00000000-0005-0000-0000-000048000000}"/>
    <cellStyle name="Title 2" xfId="49" xr:uid="{00000000-0005-0000-0000-000049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336600"/>
      <color rgb="FFF9FFF3"/>
      <color rgb="FF003300"/>
      <color rgb="FFFF3399"/>
      <color rgb="FF2F75B5"/>
      <color rgb="FF9BC2E6"/>
      <color rgb="FF003399"/>
      <color rgb="FF33CCCC"/>
      <color rgb="FF7E5400"/>
      <color rgb="FFFFD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F44"/>
  <sheetViews>
    <sheetView tabSelected="1" zoomScale="86" zoomScaleNormal="86" zoomScaleSheetLayoutView="71" workbookViewId="0">
      <selection activeCell="Z6" sqref="Z6"/>
    </sheetView>
  </sheetViews>
  <sheetFormatPr defaultColWidth="9.140625" defaultRowHeight="15.75" x14ac:dyDescent="0.4"/>
  <cols>
    <col min="1" max="1" width="14.42578125" style="27" customWidth="1"/>
    <col min="2" max="2" width="64" style="28" customWidth="1"/>
    <col min="3" max="3" width="11.140625" style="4" hidden="1" customWidth="1"/>
    <col min="4" max="11" width="11" style="4" customWidth="1"/>
    <col min="12" max="18" width="7.85546875" style="4" customWidth="1"/>
    <col min="19" max="19" width="7.5703125" style="4" customWidth="1"/>
    <col min="20" max="27" width="8.28515625" style="4" customWidth="1"/>
    <col min="28" max="28" width="65" style="40" customWidth="1"/>
    <col min="29" max="29" width="10.7109375" style="29" customWidth="1"/>
    <col min="30" max="30" width="3.42578125" style="29" customWidth="1"/>
    <col min="31" max="31" width="6.5703125" style="4" customWidth="1"/>
    <col min="32" max="16384" width="9.140625" style="4"/>
  </cols>
  <sheetData>
    <row r="1" spans="1:32" ht="18.75" x14ac:dyDescent="0.2">
      <c r="A1" s="68" t="s">
        <v>100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1"/>
    </row>
    <row r="2" spans="1:32" ht="20.25" customHeight="1" x14ac:dyDescent="0.2">
      <c r="A2" s="81" t="s">
        <v>101</v>
      </c>
      <c r="B2" s="81"/>
      <c r="C2" s="81"/>
      <c r="D2" s="81"/>
      <c r="E2" s="81"/>
      <c r="F2" s="81"/>
      <c r="G2" s="81"/>
      <c r="H2" s="81"/>
      <c r="I2" s="81"/>
      <c r="J2" s="81"/>
      <c r="K2" s="82"/>
      <c r="L2" s="81"/>
      <c r="M2" s="81"/>
      <c r="N2" s="81"/>
      <c r="O2" s="81"/>
      <c r="P2" s="81"/>
      <c r="Q2" s="81"/>
      <c r="R2" s="81"/>
      <c r="S2" s="82"/>
      <c r="T2" s="81"/>
      <c r="U2" s="81"/>
      <c r="V2" s="81"/>
      <c r="W2" s="81"/>
      <c r="X2" s="81"/>
      <c r="Y2" s="81"/>
      <c r="Z2" s="81"/>
      <c r="AA2" s="82"/>
      <c r="AB2" s="81"/>
      <c r="AC2" s="81"/>
      <c r="AD2" s="7"/>
      <c r="AE2" s="1"/>
    </row>
    <row r="3" spans="1:32" s="36" customFormat="1" ht="30.75" customHeight="1" x14ac:dyDescent="0.35">
      <c r="A3" s="83" t="s">
        <v>7</v>
      </c>
      <c r="B3" s="83"/>
      <c r="C3" s="86"/>
      <c r="D3" s="72" t="s">
        <v>0</v>
      </c>
      <c r="E3" s="72"/>
      <c r="F3" s="72"/>
      <c r="G3" s="72"/>
      <c r="H3" s="72"/>
      <c r="I3" s="72"/>
      <c r="J3" s="72"/>
      <c r="K3" s="74"/>
      <c r="L3" s="77" t="s">
        <v>1</v>
      </c>
      <c r="M3" s="72"/>
      <c r="N3" s="72"/>
      <c r="O3" s="72"/>
      <c r="P3" s="72"/>
      <c r="Q3" s="72"/>
      <c r="R3" s="72"/>
      <c r="S3" s="74"/>
      <c r="T3" s="77" t="s">
        <v>2</v>
      </c>
      <c r="U3" s="72"/>
      <c r="V3" s="72"/>
      <c r="W3" s="72"/>
      <c r="X3" s="72"/>
      <c r="Y3" s="72"/>
      <c r="Z3" s="72"/>
      <c r="AA3" s="72"/>
      <c r="AB3" s="69" t="s">
        <v>8</v>
      </c>
      <c r="AC3" s="69"/>
      <c r="AD3" s="69"/>
    </row>
    <row r="4" spans="1:32" s="8" customFormat="1" ht="17.25" customHeight="1" x14ac:dyDescent="0.2">
      <c r="A4" s="84"/>
      <c r="B4" s="84"/>
      <c r="C4" s="87"/>
      <c r="D4" s="75" t="s">
        <v>9</v>
      </c>
      <c r="E4" s="75"/>
      <c r="F4" s="75"/>
      <c r="G4" s="75"/>
      <c r="H4" s="75"/>
      <c r="I4" s="75"/>
      <c r="J4" s="75"/>
      <c r="K4" s="76"/>
      <c r="L4" s="78" t="s">
        <v>3</v>
      </c>
      <c r="M4" s="79"/>
      <c r="N4" s="79"/>
      <c r="O4" s="79"/>
      <c r="P4" s="79"/>
      <c r="Q4" s="79"/>
      <c r="R4" s="79"/>
      <c r="S4" s="80"/>
      <c r="T4" s="78" t="s">
        <v>4</v>
      </c>
      <c r="U4" s="79"/>
      <c r="V4" s="79"/>
      <c r="W4" s="79"/>
      <c r="X4" s="79"/>
      <c r="Y4" s="79"/>
      <c r="Z4" s="79"/>
      <c r="AA4" s="79"/>
      <c r="AB4" s="70"/>
      <c r="AC4" s="70"/>
      <c r="AD4" s="70"/>
    </row>
    <row r="5" spans="1:32" s="8" customFormat="1" ht="12.75" x14ac:dyDescent="0.2">
      <c r="A5" s="85"/>
      <c r="B5" s="85"/>
      <c r="C5" s="2">
        <v>2017</v>
      </c>
      <c r="D5" s="2">
        <v>2018</v>
      </c>
      <c r="E5" s="9">
        <v>2019</v>
      </c>
      <c r="F5" s="2">
        <v>2020</v>
      </c>
      <c r="G5" s="9">
        <v>2021</v>
      </c>
      <c r="H5" s="2">
        <v>2022</v>
      </c>
      <c r="I5" s="2">
        <v>2023</v>
      </c>
      <c r="J5" s="2">
        <v>2024</v>
      </c>
      <c r="K5" s="51">
        <v>2025</v>
      </c>
      <c r="L5" s="9">
        <v>2018</v>
      </c>
      <c r="M5" s="9">
        <v>2019</v>
      </c>
      <c r="N5" s="9">
        <v>2020</v>
      </c>
      <c r="O5" s="9">
        <v>2021</v>
      </c>
      <c r="P5" s="9">
        <v>2022</v>
      </c>
      <c r="Q5" s="9">
        <v>2023</v>
      </c>
      <c r="R5" s="9">
        <v>2024</v>
      </c>
      <c r="S5" s="51">
        <v>2025</v>
      </c>
      <c r="T5" s="2">
        <v>2018</v>
      </c>
      <c r="U5" s="2">
        <v>2019</v>
      </c>
      <c r="V5" s="2">
        <v>2020</v>
      </c>
      <c r="W5" s="2">
        <v>2021</v>
      </c>
      <c r="X5" s="2">
        <v>2022</v>
      </c>
      <c r="Y5" s="2">
        <v>2023</v>
      </c>
      <c r="Z5" s="2">
        <v>2024</v>
      </c>
      <c r="AA5" s="2">
        <v>2025</v>
      </c>
      <c r="AB5" s="71"/>
      <c r="AC5" s="71"/>
      <c r="AD5" s="71"/>
      <c r="AE5" s="10"/>
    </row>
    <row r="6" spans="1:32" s="8" customFormat="1" ht="19.5" customHeight="1" x14ac:dyDescent="0.2">
      <c r="A6" s="11"/>
      <c r="B6" s="12" t="s">
        <v>10</v>
      </c>
      <c r="C6" s="14">
        <f t="shared" ref="C6" si="0">SUM(C7:C28)</f>
        <v>36319895.400504656</v>
      </c>
      <c r="D6" s="14">
        <f t="shared" ref="D6:K6" si="1">SUM(D7:D27)</f>
        <v>45572679.692879997</v>
      </c>
      <c r="E6" s="14">
        <f t="shared" si="1"/>
        <v>44419161.239239931</v>
      </c>
      <c r="F6" s="14">
        <f t="shared" si="1"/>
        <v>28255524.517000012</v>
      </c>
      <c r="G6" s="14">
        <f t="shared" si="1"/>
        <v>38244243.662690014</v>
      </c>
      <c r="H6" s="14">
        <f t="shared" si="1"/>
        <v>53660565.95765996</v>
      </c>
      <c r="I6" s="14">
        <f t="shared" si="1"/>
        <v>53811154.530110031</v>
      </c>
      <c r="J6" s="13">
        <f t="shared" si="1"/>
        <v>55930419.028730027</v>
      </c>
      <c r="K6" s="61">
        <f t="shared" si="1"/>
        <v>55775269.051560014</v>
      </c>
      <c r="L6" s="15">
        <f t="shared" ref="L6:L15" si="2">(D6/D$6)*100</f>
        <v>100</v>
      </c>
      <c r="M6" s="15">
        <f t="shared" ref="M6:M15" si="3">(E6/E$6)*100</f>
        <v>100</v>
      </c>
      <c r="N6" s="15">
        <f t="shared" ref="N6:N15" si="4">(F6/F$6)*100</f>
        <v>100</v>
      </c>
      <c r="O6" s="15">
        <f>(G6/G$6)*100</f>
        <v>100</v>
      </c>
      <c r="P6" s="15">
        <f>(H6/H$6)*100</f>
        <v>100</v>
      </c>
      <c r="Q6" s="15">
        <f>(I6/I$6)*100</f>
        <v>100</v>
      </c>
      <c r="R6" s="15">
        <f>(J6/J$6)*100</f>
        <v>100</v>
      </c>
      <c r="S6" s="52">
        <f>(K6/K$6)*100</f>
        <v>100</v>
      </c>
      <c r="T6" s="3">
        <f>((D6-C6)/C6)*100</f>
        <v>25.475801046075635</v>
      </c>
      <c r="U6" s="3">
        <f t="shared" ref="U6:Z6" si="5">((E6-D6)/D6)*100</f>
        <v>-2.5311622257321087</v>
      </c>
      <c r="V6" s="3">
        <f t="shared" si="5"/>
        <v>-36.388883246090984</v>
      </c>
      <c r="W6" s="3">
        <f t="shared" si="5"/>
        <v>35.351384610398092</v>
      </c>
      <c r="X6" s="3">
        <f t="shared" si="5"/>
        <v>40.310176953531098</v>
      </c>
      <c r="Y6" s="3">
        <f t="shared" si="5"/>
        <v>0.28063172604048037</v>
      </c>
      <c r="Z6" s="3">
        <f t="shared" si="5"/>
        <v>3.9383367949003238</v>
      </c>
      <c r="AA6" s="3">
        <f>((K6-J6)/J6)*100</f>
        <v>-0.2773982027388644</v>
      </c>
      <c r="AB6" s="41" t="s">
        <v>11</v>
      </c>
      <c r="AC6" s="34"/>
      <c r="AD6" s="34"/>
      <c r="AE6" s="10"/>
      <c r="AF6" s="16"/>
    </row>
    <row r="7" spans="1:32" s="20" customFormat="1" ht="17.25" customHeight="1" x14ac:dyDescent="0.25">
      <c r="A7" s="17" t="s">
        <v>12</v>
      </c>
      <c r="B7" s="54" t="s">
        <v>81</v>
      </c>
      <c r="C7" s="45">
        <v>2143496.4560899935</v>
      </c>
      <c r="D7" s="45">
        <v>2356170.8097600038</v>
      </c>
      <c r="E7" s="45">
        <v>2603063.8518500063</v>
      </c>
      <c r="F7" s="45">
        <v>1591172.9614499977</v>
      </c>
      <c r="G7" s="45">
        <v>2619930.4366799961</v>
      </c>
      <c r="H7" s="45">
        <v>3322902.578720002</v>
      </c>
      <c r="I7" s="45">
        <v>3313668.8045899984</v>
      </c>
      <c r="J7" s="45">
        <v>3763971.1735400003</v>
      </c>
      <c r="K7" s="62">
        <v>3867474.5551299998</v>
      </c>
      <c r="L7" s="43">
        <f t="shared" si="2"/>
        <v>5.1701388323849597</v>
      </c>
      <c r="M7" s="43">
        <f t="shared" si="3"/>
        <v>5.8602273866226389</v>
      </c>
      <c r="N7" s="43">
        <f t="shared" si="4"/>
        <v>5.6313693999651795</v>
      </c>
      <c r="O7" s="43">
        <f t="shared" ref="O7:O15" si="6">(G7/G$6)*100</f>
        <v>6.8505222898052107</v>
      </c>
      <c r="P7" s="43">
        <f t="shared" ref="P7:P15" si="7">(H7/H$6)*100</f>
        <v>6.1924478794015831</v>
      </c>
      <c r="Q7" s="43">
        <f t="shared" ref="Q7:Q13" si="8">(I7/I$6)*100</f>
        <v>6.1579589464779749</v>
      </c>
      <c r="R7" s="43">
        <f t="shared" ref="R7:S13" si="9">(J7/J$6)*100</f>
        <v>6.7297389129277656</v>
      </c>
      <c r="S7" s="63">
        <f t="shared" si="9"/>
        <v>6.9340311949993687</v>
      </c>
      <c r="T7" s="43">
        <f>((D7-C7)/C7)*100</f>
        <v>9.9218430273477125</v>
      </c>
      <c r="U7" s="43">
        <f t="shared" ref="U7:U15" si="10">((E7-D7)/D7)*100</f>
        <v>10.478571462955633</v>
      </c>
      <c r="V7" s="43">
        <f t="shared" ref="V7:V15" si="11">((F7-E7)/E7)*100</f>
        <v>-38.873072194554666</v>
      </c>
      <c r="W7" s="43">
        <f t="shared" ref="W7:W13" si="12">((G7-F7)/F7)*100</f>
        <v>64.65403197227009</v>
      </c>
      <c r="X7" s="43">
        <f t="shared" ref="X7:X15" si="13">((H7-G7)/G7)*100</f>
        <v>26.831710193451535</v>
      </c>
      <c r="Y7" s="43">
        <f t="shared" ref="Y7:Y15" si="14">((I7-H7)/H7)*100</f>
        <v>-0.27788278203330358</v>
      </c>
      <c r="Z7" s="43">
        <f t="shared" ref="Z7:AA10" si="15">((J7-I7)/I7)*100</f>
        <v>13.589238861960377</v>
      </c>
      <c r="AA7" s="43">
        <f t="shared" si="15"/>
        <v>2.7498452251071543</v>
      </c>
      <c r="AB7" s="44" t="s">
        <v>13</v>
      </c>
      <c r="AC7" s="48" t="s">
        <v>60</v>
      </c>
      <c r="AD7" s="42">
        <v>1</v>
      </c>
      <c r="AE7" s="19"/>
    </row>
    <row r="8" spans="1:32" s="20" customFormat="1" ht="19.5" customHeight="1" x14ac:dyDescent="0.25">
      <c r="A8" s="17" t="s">
        <v>14</v>
      </c>
      <c r="B8" s="54" t="s">
        <v>55</v>
      </c>
      <c r="C8" s="45">
        <v>2428930.5326746912</v>
      </c>
      <c r="D8" s="45">
        <v>2688480.3675900102</v>
      </c>
      <c r="E8" s="45">
        <v>2940826.6718500261</v>
      </c>
      <c r="F8" s="45">
        <v>2178534.8222399959</v>
      </c>
      <c r="G8" s="45">
        <v>2821434.9248900013</v>
      </c>
      <c r="H8" s="45">
        <v>3334408.7723699943</v>
      </c>
      <c r="I8" s="45">
        <v>3365705.1475900034</v>
      </c>
      <c r="J8" s="45">
        <v>3798661.5364000066</v>
      </c>
      <c r="K8" s="62">
        <v>3939645.0612499989</v>
      </c>
      <c r="L8" s="43">
        <f t="shared" si="2"/>
        <v>5.899324739532581</v>
      </c>
      <c r="M8" s="43">
        <f t="shared" si="3"/>
        <v>6.6206263013631528</v>
      </c>
      <c r="N8" s="43">
        <f t="shared" si="4"/>
        <v>7.7101199127599802</v>
      </c>
      <c r="O8" s="43">
        <f t="shared" si="6"/>
        <v>7.3774107020516455</v>
      </c>
      <c r="P8" s="43">
        <f t="shared" si="7"/>
        <v>6.2138904293349384</v>
      </c>
      <c r="Q8" s="43">
        <f t="shared" si="8"/>
        <v>6.2546607241194261</v>
      </c>
      <c r="R8" s="43">
        <f t="shared" si="9"/>
        <v>6.7917630555364354</v>
      </c>
      <c r="S8" s="63">
        <f t="shared" si="9"/>
        <v>7.0634263684288019</v>
      </c>
      <c r="T8" s="43">
        <f>((D8-C8)/C8)*100</f>
        <v>10.685766077859284</v>
      </c>
      <c r="U8" s="43">
        <f t="shared" si="10"/>
        <v>9.3862059512163221</v>
      </c>
      <c r="V8" s="43">
        <f t="shared" si="11"/>
        <v>-25.921005712672102</v>
      </c>
      <c r="W8" s="43">
        <f t="shared" si="12"/>
        <v>29.510664511158364</v>
      </c>
      <c r="X8" s="43">
        <f t="shared" si="13"/>
        <v>18.181310614491391</v>
      </c>
      <c r="Y8" s="43">
        <f t="shared" si="14"/>
        <v>0.93858843820653193</v>
      </c>
      <c r="Z8" s="43">
        <f t="shared" si="15"/>
        <v>12.863764644387206</v>
      </c>
      <c r="AA8" s="43">
        <f t="shared" si="15"/>
        <v>3.7114000154802524</v>
      </c>
      <c r="AB8" s="44" t="s">
        <v>15</v>
      </c>
      <c r="AC8" s="48" t="s">
        <v>62</v>
      </c>
      <c r="AD8" s="42">
        <v>2</v>
      </c>
      <c r="AE8" s="19"/>
    </row>
    <row r="9" spans="1:32" s="20" customFormat="1" ht="14.25" x14ac:dyDescent="0.25">
      <c r="A9" s="17" t="s">
        <v>16</v>
      </c>
      <c r="B9" s="55" t="s">
        <v>82</v>
      </c>
      <c r="C9" s="45">
        <v>218073.53435000018</v>
      </c>
      <c r="D9" s="45">
        <v>235805.20949999994</v>
      </c>
      <c r="E9" s="45">
        <v>224097.96992000018</v>
      </c>
      <c r="F9" s="45">
        <v>210211.80439000003</v>
      </c>
      <c r="G9" s="45">
        <v>343133.87659000012</v>
      </c>
      <c r="H9" s="45">
        <v>435893.04565999977</v>
      </c>
      <c r="I9" s="45">
        <v>359556.02153999964</v>
      </c>
      <c r="J9" s="45">
        <v>367378.57198999985</v>
      </c>
      <c r="K9" s="62">
        <v>441721.80881000008</v>
      </c>
      <c r="L9" s="43">
        <f t="shared" si="2"/>
        <v>0.5174266931177206</v>
      </c>
      <c r="M9" s="43">
        <f t="shared" si="3"/>
        <v>0.50450743253123798</v>
      </c>
      <c r="N9" s="43">
        <f t="shared" si="4"/>
        <v>0.74396709310253828</v>
      </c>
      <c r="O9" s="43">
        <f t="shared" si="6"/>
        <v>0.89721705471914381</v>
      </c>
      <c r="P9" s="43">
        <f t="shared" si="7"/>
        <v>0.81231540868192575</v>
      </c>
      <c r="Q9" s="43">
        <f t="shared" si="8"/>
        <v>0.66818120644263457</v>
      </c>
      <c r="R9" s="43">
        <f t="shared" si="9"/>
        <v>0.65684931092915089</v>
      </c>
      <c r="S9" s="63">
        <f t="shared" si="9"/>
        <v>0.79196715017485919</v>
      </c>
      <c r="T9" s="43">
        <f>((D9-C9)/C9)*100</f>
        <v>8.1310532260833916</v>
      </c>
      <c r="U9" s="43">
        <f t="shared" si="10"/>
        <v>-4.9647925950506888</v>
      </c>
      <c r="V9" s="43">
        <f t="shared" si="11"/>
        <v>-6.196470916250294</v>
      </c>
      <c r="W9" s="43">
        <f t="shared" si="12"/>
        <v>63.23244909376902</v>
      </c>
      <c r="X9" s="43">
        <f t="shared" si="13"/>
        <v>27.032938278150446</v>
      </c>
      <c r="Y9" s="43">
        <f t="shared" si="14"/>
        <v>-17.512787799680488</v>
      </c>
      <c r="Z9" s="43">
        <f t="shared" si="15"/>
        <v>2.1756138074105307</v>
      </c>
      <c r="AA9" s="43">
        <f t="shared" si="15"/>
        <v>20.236138547030954</v>
      </c>
      <c r="AB9" s="44" t="s">
        <v>17</v>
      </c>
      <c r="AC9" s="48" t="s">
        <v>61</v>
      </c>
      <c r="AD9" s="42">
        <v>3</v>
      </c>
      <c r="AE9" s="19"/>
    </row>
    <row r="10" spans="1:32" s="20" customFormat="1" ht="24" x14ac:dyDescent="0.25">
      <c r="A10" s="17" t="s">
        <v>18</v>
      </c>
      <c r="B10" s="55" t="s">
        <v>83</v>
      </c>
      <c r="C10" s="45">
        <v>2577125.4142600088</v>
      </c>
      <c r="D10" s="45">
        <v>2694268.578550003</v>
      </c>
      <c r="E10" s="45">
        <v>2972782.968260006</v>
      </c>
      <c r="F10" s="45">
        <v>2159406.7399600004</v>
      </c>
      <c r="G10" s="45">
        <v>3069285.5213800045</v>
      </c>
      <c r="H10" s="45">
        <v>3650314.998239994</v>
      </c>
      <c r="I10" s="45">
        <v>3661408.933309997</v>
      </c>
      <c r="J10" s="45">
        <v>4042361.1240299991</v>
      </c>
      <c r="K10" s="62">
        <v>4135899.9561799988</v>
      </c>
      <c r="L10" s="43">
        <f t="shared" si="2"/>
        <v>5.9120257941973495</v>
      </c>
      <c r="M10" s="43">
        <f t="shared" si="3"/>
        <v>6.6925688944208304</v>
      </c>
      <c r="N10" s="43">
        <f t="shared" si="4"/>
        <v>7.642423125646765</v>
      </c>
      <c r="O10" s="43">
        <f t="shared" si="6"/>
        <v>8.0254836478157667</v>
      </c>
      <c r="P10" s="43">
        <f t="shared" si="7"/>
        <v>6.8026024942044376</v>
      </c>
      <c r="Q10" s="43">
        <f t="shared" si="8"/>
        <v>6.804182079500368</v>
      </c>
      <c r="R10" s="43">
        <f t="shared" si="9"/>
        <v>7.2274822792826594</v>
      </c>
      <c r="S10" s="63">
        <f t="shared" si="9"/>
        <v>7.4152935996716973</v>
      </c>
      <c r="T10" s="43">
        <f>((D10-C10)/C10)*100</f>
        <v>4.5454972288816782</v>
      </c>
      <c r="U10" s="43">
        <f t="shared" si="10"/>
        <v>10.337291238421875</v>
      </c>
      <c r="V10" s="43">
        <f t="shared" si="11"/>
        <v>-27.3607672334076</v>
      </c>
      <c r="W10" s="43">
        <f t="shared" si="12"/>
        <v>42.13559051116318</v>
      </c>
      <c r="X10" s="43">
        <f t="shared" si="13"/>
        <v>18.93044725922887</v>
      </c>
      <c r="Y10" s="43">
        <f t="shared" si="14"/>
        <v>0.30391719825143521</v>
      </c>
      <c r="Z10" s="43">
        <f t="shared" si="15"/>
        <v>10.404524533008464</v>
      </c>
      <c r="AA10" s="43">
        <f t="shared" si="15"/>
        <v>2.3139652613902761</v>
      </c>
      <c r="AB10" s="44" t="s">
        <v>19</v>
      </c>
      <c r="AC10" s="48" t="s">
        <v>63</v>
      </c>
      <c r="AD10" s="42">
        <v>4</v>
      </c>
      <c r="AE10" s="19"/>
    </row>
    <row r="11" spans="1:32" s="20" customFormat="1" ht="19.5" customHeight="1" x14ac:dyDescent="0.25">
      <c r="A11" s="17" t="s">
        <v>20</v>
      </c>
      <c r="B11" s="54" t="s">
        <v>56</v>
      </c>
      <c r="C11" s="45">
        <v>6723146.614579998</v>
      </c>
      <c r="D11" s="45">
        <v>9854282.6076299883</v>
      </c>
      <c r="E11" s="45">
        <v>8813276.1820899993</v>
      </c>
      <c r="F11" s="45">
        <v>5190653.5381400017</v>
      </c>
      <c r="G11" s="45">
        <v>7987242.5961999996</v>
      </c>
      <c r="H11" s="45">
        <v>14387905.749579998</v>
      </c>
      <c r="I11" s="45">
        <v>14061172.384359995</v>
      </c>
      <c r="J11" s="45">
        <v>13487367.475899998</v>
      </c>
      <c r="K11" s="62">
        <v>13200141.039490003</v>
      </c>
      <c r="L11" s="43">
        <f t="shared" si="2"/>
        <v>21.623223988668723</v>
      </c>
      <c r="M11" s="43">
        <f t="shared" si="3"/>
        <v>19.841158491539328</v>
      </c>
      <c r="N11" s="43">
        <f t="shared" si="4"/>
        <v>18.370402343856796</v>
      </c>
      <c r="O11" s="43">
        <f t="shared" si="6"/>
        <v>20.884822998845507</v>
      </c>
      <c r="P11" s="43">
        <f t="shared" si="7"/>
        <v>26.812810287786665</v>
      </c>
      <c r="Q11" s="43">
        <f t="shared" si="8"/>
        <v>26.13059040852221</v>
      </c>
      <c r="R11" s="43">
        <f t="shared" si="9"/>
        <v>24.114547521934142</v>
      </c>
      <c r="S11" s="63">
        <f t="shared" si="9"/>
        <v>23.666655964111033</v>
      </c>
      <c r="T11" s="43">
        <f>((D11-C11)/C11)*100</f>
        <v>46.572478224106021</v>
      </c>
      <c r="U11" s="43">
        <f t="shared" si="10"/>
        <v>-10.564000110306933</v>
      </c>
      <c r="V11" s="43">
        <f t="shared" si="11"/>
        <v>-41.104154336065761</v>
      </c>
      <c r="W11" s="43">
        <f t="shared" si="12"/>
        <v>53.87739785580289</v>
      </c>
      <c r="X11" s="43">
        <f t="shared" si="13"/>
        <v>80.136080459421237</v>
      </c>
      <c r="Y11" s="43">
        <f t="shared" si="14"/>
        <v>-2.2708889737447757</v>
      </c>
      <c r="Z11" s="43">
        <f t="shared" ref="Z11:AA14" si="16">((J11-I11)/I11)*100</f>
        <v>-4.0807757189452447</v>
      </c>
      <c r="AA11" s="43">
        <f t="shared" si="16"/>
        <v>-2.1295959861939529</v>
      </c>
      <c r="AB11" s="44" t="s">
        <v>21</v>
      </c>
      <c r="AC11" s="48" t="s">
        <v>64</v>
      </c>
      <c r="AD11" s="42">
        <v>5</v>
      </c>
      <c r="AE11" s="19"/>
    </row>
    <row r="12" spans="1:32" s="20" customFormat="1" ht="19.5" customHeight="1" x14ac:dyDescent="0.25">
      <c r="A12" s="17" t="s">
        <v>22</v>
      </c>
      <c r="B12" s="54" t="s">
        <v>84</v>
      </c>
      <c r="C12" s="45">
        <v>1915072.1585100037</v>
      </c>
      <c r="D12" s="45">
        <v>2207909.9094800157</v>
      </c>
      <c r="E12" s="45">
        <v>2553688.590189985</v>
      </c>
      <c r="F12" s="45">
        <v>2336053.343789997</v>
      </c>
      <c r="G12" s="45">
        <v>2931155.4189900043</v>
      </c>
      <c r="H12" s="45">
        <v>3034464.5007300125</v>
      </c>
      <c r="I12" s="45">
        <v>2996682.5198900085</v>
      </c>
      <c r="J12" s="45">
        <v>3077751.8690800043</v>
      </c>
      <c r="K12" s="62">
        <v>3486908.2008999954</v>
      </c>
      <c r="L12" s="43">
        <f t="shared" si="2"/>
        <v>4.8448103652438208</v>
      </c>
      <c r="M12" s="43">
        <f t="shared" si="3"/>
        <v>5.7490698134436045</v>
      </c>
      <c r="N12" s="43">
        <f t="shared" si="4"/>
        <v>8.2675985801803265</v>
      </c>
      <c r="O12" s="43">
        <f t="shared" si="6"/>
        <v>7.6643048424292815</v>
      </c>
      <c r="P12" s="43">
        <f t="shared" si="7"/>
        <v>5.6549245178001106</v>
      </c>
      <c r="Q12" s="43">
        <f t="shared" si="8"/>
        <v>5.5688872429102307</v>
      </c>
      <c r="R12" s="43">
        <f t="shared" si="9"/>
        <v>5.502822833311944</v>
      </c>
      <c r="S12" s="63">
        <f t="shared" si="9"/>
        <v>6.2517102296299321</v>
      </c>
      <c r="T12" s="43">
        <f>((D12-C12)/C12)*100</f>
        <v>15.291212379059937</v>
      </c>
      <c r="U12" s="43">
        <f t="shared" si="10"/>
        <v>15.660905330661951</v>
      </c>
      <c r="V12" s="43">
        <f t="shared" si="11"/>
        <v>-8.5223878602910119</v>
      </c>
      <c r="W12" s="43">
        <f t="shared" si="12"/>
        <v>25.474678340800118</v>
      </c>
      <c r="X12" s="43">
        <f t="shared" si="13"/>
        <v>3.5245173650875761</v>
      </c>
      <c r="Y12" s="43">
        <f t="shared" si="14"/>
        <v>-1.2450954964513408</v>
      </c>
      <c r="Z12" s="43">
        <f t="shared" si="16"/>
        <v>2.7053032362257512</v>
      </c>
      <c r="AA12" s="43">
        <f t="shared" si="16"/>
        <v>13.293999946210588</v>
      </c>
      <c r="AB12" s="44" t="s">
        <v>23</v>
      </c>
      <c r="AC12" s="48" t="s">
        <v>65</v>
      </c>
      <c r="AD12" s="42">
        <v>6</v>
      </c>
      <c r="AE12" s="19"/>
    </row>
    <row r="13" spans="1:32" s="20" customFormat="1" ht="19.5" customHeight="1" x14ac:dyDescent="0.25">
      <c r="A13" s="17" t="s">
        <v>24</v>
      </c>
      <c r="B13" s="54" t="s">
        <v>85</v>
      </c>
      <c r="C13" s="45">
        <v>1366985.4138200067</v>
      </c>
      <c r="D13" s="45">
        <v>1681104.446719985</v>
      </c>
      <c r="E13" s="45">
        <v>1509322.4911999973</v>
      </c>
      <c r="F13" s="45">
        <v>1121103.261980006</v>
      </c>
      <c r="G13" s="45">
        <v>1299027.5234099966</v>
      </c>
      <c r="H13" s="45">
        <v>1798781.4736599978</v>
      </c>
      <c r="I13" s="45">
        <v>1639632.494080002</v>
      </c>
      <c r="J13" s="45">
        <v>1597518.168809999</v>
      </c>
      <c r="K13" s="62">
        <v>1698624.3845899981</v>
      </c>
      <c r="L13" s="43">
        <f t="shared" si="2"/>
        <v>3.6888426532061724</v>
      </c>
      <c r="M13" s="43">
        <f t="shared" si="3"/>
        <v>3.397908580647985</v>
      </c>
      <c r="N13" s="43">
        <f t="shared" si="4"/>
        <v>3.9677311999835334</v>
      </c>
      <c r="O13" s="43">
        <f t="shared" si="6"/>
        <v>3.3966615600174372</v>
      </c>
      <c r="P13" s="43">
        <f t="shared" si="7"/>
        <v>3.3521477859165678</v>
      </c>
      <c r="Q13" s="43">
        <f t="shared" si="8"/>
        <v>3.0470122940078261</v>
      </c>
      <c r="R13" s="43">
        <f t="shared" si="9"/>
        <v>2.8562599682820089</v>
      </c>
      <c r="S13" s="63">
        <f t="shared" si="9"/>
        <v>3.045479499201964</v>
      </c>
      <c r="T13" s="43">
        <f>((D13-C13)/C13)*100</f>
        <v>22.978960106251648</v>
      </c>
      <c r="U13" s="43">
        <f t="shared" si="10"/>
        <v>-10.218398735138246</v>
      </c>
      <c r="V13" s="43">
        <f t="shared" si="11"/>
        <v>-25.721423452143412</v>
      </c>
      <c r="W13" s="43">
        <f t="shared" si="12"/>
        <v>15.870461487709397</v>
      </c>
      <c r="X13" s="43">
        <f t="shared" si="13"/>
        <v>38.471390424286625</v>
      </c>
      <c r="Y13" s="43">
        <f t="shared" si="14"/>
        <v>-8.8475994394235062</v>
      </c>
      <c r="Z13" s="43">
        <f t="shared" si="16"/>
        <v>-2.5685222403227193</v>
      </c>
      <c r="AA13" s="43">
        <f t="shared" si="16"/>
        <v>6.3289556108969744</v>
      </c>
      <c r="AB13" s="44" t="s">
        <v>25</v>
      </c>
      <c r="AC13" s="48" t="s">
        <v>66</v>
      </c>
      <c r="AD13" s="42">
        <v>7</v>
      </c>
      <c r="AE13" s="19"/>
    </row>
    <row r="14" spans="1:32" s="20" customFormat="1" ht="41.25" customHeight="1" x14ac:dyDescent="0.25">
      <c r="A14" s="17" t="s">
        <v>26</v>
      </c>
      <c r="B14" s="55" t="s">
        <v>86</v>
      </c>
      <c r="C14" s="45">
        <v>61743.707270000064</v>
      </c>
      <c r="D14" s="45">
        <v>65750.864800000039</v>
      </c>
      <c r="E14" s="45">
        <v>79632.210600000035</v>
      </c>
      <c r="F14" s="45">
        <v>35701.211560000003</v>
      </c>
      <c r="G14" s="45">
        <v>69221.757690000013</v>
      </c>
      <c r="H14" s="45">
        <v>103160.21446000006</v>
      </c>
      <c r="I14" s="45">
        <v>128629.19989000013</v>
      </c>
      <c r="J14" s="45">
        <v>111482.49444999991</v>
      </c>
      <c r="K14" s="62">
        <v>126332.74598000052</v>
      </c>
      <c r="L14" s="43">
        <f t="shared" si="2"/>
        <v>0.14427693355559373</v>
      </c>
      <c r="M14" s="43">
        <f t="shared" si="3"/>
        <v>0.17927445809051626</v>
      </c>
      <c r="N14" s="43">
        <f t="shared" si="4"/>
        <v>0.12635126110831979</v>
      </c>
      <c r="O14" s="43">
        <f t="shared" si="6"/>
        <v>0.18099915454081988</v>
      </c>
      <c r="P14" s="43">
        <f t="shared" si="7"/>
        <v>0.19224585618682635</v>
      </c>
      <c r="Q14" s="43">
        <f t="shared" ref="Q14:S15" si="17">(I14/I$6)*100</f>
        <v>0.23903817157096244</v>
      </c>
      <c r="R14" s="43">
        <f t="shared" si="17"/>
        <v>0.19932354590930959</v>
      </c>
      <c r="S14" s="63">
        <f t="shared" si="17"/>
        <v>0.22650315835001253</v>
      </c>
      <c r="T14" s="43">
        <f>((D14-C14)/C14)*100</f>
        <v>6.4899853072913336</v>
      </c>
      <c r="U14" s="43">
        <f t="shared" si="10"/>
        <v>21.112035320332375</v>
      </c>
      <c r="V14" s="43">
        <f t="shared" si="11"/>
        <v>-55.167373489943039</v>
      </c>
      <c r="W14" s="43">
        <f>((G14-F14)/F14)*100</f>
        <v>93.891900765510059</v>
      </c>
      <c r="X14" s="43">
        <f t="shared" si="13"/>
        <v>49.028597225150932</v>
      </c>
      <c r="Y14" s="43">
        <f t="shared" si="14"/>
        <v>24.68876743162992</v>
      </c>
      <c r="Z14" s="43">
        <f t="shared" si="16"/>
        <v>-13.330336700114417</v>
      </c>
      <c r="AA14" s="43">
        <f t="shared" si="16"/>
        <v>13.320702593949374</v>
      </c>
      <c r="AB14" s="44" t="s">
        <v>27</v>
      </c>
      <c r="AC14" s="48" t="s">
        <v>67</v>
      </c>
      <c r="AD14" s="42">
        <v>8</v>
      </c>
      <c r="AE14" s="19"/>
    </row>
    <row r="15" spans="1:32" s="20" customFormat="1" ht="22.5" customHeight="1" x14ac:dyDescent="0.25">
      <c r="A15" s="17" t="s">
        <v>28</v>
      </c>
      <c r="B15" s="55" t="s">
        <v>87</v>
      </c>
      <c r="C15" s="45">
        <v>1751019.8070699973</v>
      </c>
      <c r="D15" s="50">
        <v>2145220.6940100044</v>
      </c>
      <c r="E15" s="50">
        <v>1944782.7540599911</v>
      </c>
      <c r="F15" s="50">
        <v>1102367.8219099983</v>
      </c>
      <c r="G15" s="50">
        <v>940219.97757000057</v>
      </c>
      <c r="H15" s="50">
        <v>1459436.9387300005</v>
      </c>
      <c r="I15" s="53">
        <v>1144630.2451700007</v>
      </c>
      <c r="J15" s="53">
        <v>1387499.0569900009</v>
      </c>
      <c r="K15" s="64">
        <v>1407383.8767999986</v>
      </c>
      <c r="L15" s="43">
        <f t="shared" si="2"/>
        <v>4.7072516000088553</v>
      </c>
      <c r="M15" s="43">
        <f t="shared" si="3"/>
        <v>4.3782518620409432</v>
      </c>
      <c r="N15" s="43">
        <f t="shared" si="4"/>
        <v>3.9014240250495291</v>
      </c>
      <c r="O15" s="43">
        <f t="shared" si="6"/>
        <v>2.4584614245810075</v>
      </c>
      <c r="P15" s="43">
        <f t="shared" si="7"/>
        <v>2.7197568879194205</v>
      </c>
      <c r="Q15" s="43">
        <f t="shared" si="17"/>
        <v>2.1271244877853772</v>
      </c>
      <c r="R15" s="43">
        <f t="shared" si="17"/>
        <v>2.4807592739065267</v>
      </c>
      <c r="S15" s="63">
        <f t="shared" si="17"/>
        <v>2.5233116768992701</v>
      </c>
      <c r="T15" s="43">
        <f>((D15-C15)/C15)*100</f>
        <v>22.512645793517791</v>
      </c>
      <c r="U15" s="43">
        <f t="shared" si="10"/>
        <v>-9.343464777758598</v>
      </c>
      <c r="V15" s="43">
        <f t="shared" si="11"/>
        <v>-43.316659940105914</v>
      </c>
      <c r="W15" s="43">
        <f>((G15-F15)/F15)*100</f>
        <v>-14.709050928124437</v>
      </c>
      <c r="X15" s="43">
        <f t="shared" si="13"/>
        <v>55.222923735562048</v>
      </c>
      <c r="Y15" s="43">
        <f t="shared" si="14"/>
        <v>-21.570421112812454</v>
      </c>
      <c r="Z15" s="43">
        <f>((J15-I15)/I15)*100</f>
        <v>21.218101901887913</v>
      </c>
      <c r="AA15" s="43">
        <f>((K15-J15)/J15)*100</f>
        <v>1.433141140516176</v>
      </c>
      <c r="AB15" s="44" t="s">
        <v>102</v>
      </c>
      <c r="AC15" s="48" t="s">
        <v>68</v>
      </c>
      <c r="AD15" s="18">
        <v>9</v>
      </c>
      <c r="AE15" s="19"/>
    </row>
    <row r="16" spans="1:32" s="20" customFormat="1" ht="14.25" x14ac:dyDescent="0.25">
      <c r="A16" s="17" t="s">
        <v>29</v>
      </c>
      <c r="B16" s="55" t="s">
        <v>88</v>
      </c>
      <c r="C16" s="21">
        <v>462322.00358000078</v>
      </c>
      <c r="D16" s="21">
        <v>480319.25514000043</v>
      </c>
      <c r="E16" s="21">
        <v>570319.70002999937</v>
      </c>
      <c r="F16" s="21">
        <v>286693.42520000023</v>
      </c>
      <c r="G16" s="21">
        <v>500843.52227000007</v>
      </c>
      <c r="H16" s="45">
        <v>552528.0787500001</v>
      </c>
      <c r="I16" s="45">
        <v>613070.70119000156</v>
      </c>
      <c r="J16" s="45">
        <v>557112.5042199993</v>
      </c>
      <c r="K16" s="62">
        <v>605881.093869998</v>
      </c>
      <c r="L16" s="43">
        <f t="shared" ref="L16:L25" si="18">(D16/D$6)*100</f>
        <v>1.0539631603340689</v>
      </c>
      <c r="M16" s="43">
        <f t="shared" ref="M16:M26" si="19">(E16/E$6)*100</f>
        <v>1.2839497282676702</v>
      </c>
      <c r="N16" s="43">
        <f t="shared" ref="N16:N25" si="20">(F16/F$6)*100</f>
        <v>1.0146455608265574</v>
      </c>
      <c r="O16" s="43">
        <f t="shared" ref="O16:S17" si="21">(G16/G$6)*100</f>
        <v>1.309591913197145</v>
      </c>
      <c r="P16" s="43">
        <f t="shared" si="21"/>
        <v>1.0296724771519625</v>
      </c>
      <c r="Q16" s="43">
        <f t="shared" si="21"/>
        <v>1.1393004044300108</v>
      </c>
      <c r="R16" s="43">
        <f t="shared" si="21"/>
        <v>0.99608140595875905</v>
      </c>
      <c r="S16" s="63">
        <f t="shared" si="21"/>
        <v>1.0862898631827429</v>
      </c>
      <c r="T16" s="43">
        <f>((D16-C16)/C16)*100</f>
        <v>3.8927958047935278</v>
      </c>
      <c r="U16" s="43">
        <f t="shared" ref="U16:AA16" si="22">((E16-D16)/D16)*100</f>
        <v>18.737630008975213</v>
      </c>
      <c r="V16" s="43">
        <f t="shared" si="22"/>
        <v>-49.731102540396222</v>
      </c>
      <c r="W16" s="43">
        <f t="shared" si="22"/>
        <v>74.696549779823712</v>
      </c>
      <c r="X16" s="43">
        <f t="shared" si="22"/>
        <v>10.31950183677076</v>
      </c>
      <c r="Y16" s="43">
        <f t="shared" si="22"/>
        <v>10.957383844992775</v>
      </c>
      <c r="Z16" s="43">
        <f t="shared" si="22"/>
        <v>-9.1275275202981554</v>
      </c>
      <c r="AA16" s="43">
        <f t="shared" si="22"/>
        <v>8.7538135081492214</v>
      </c>
      <c r="AB16" s="44" t="s">
        <v>30</v>
      </c>
      <c r="AC16" s="48" t="s">
        <v>69</v>
      </c>
      <c r="AD16" s="42">
        <v>10</v>
      </c>
      <c r="AE16" s="19"/>
    </row>
    <row r="17" spans="1:31" s="20" customFormat="1" ht="14.25" x14ac:dyDescent="0.25">
      <c r="A17" s="17" t="s">
        <v>31</v>
      </c>
      <c r="B17" s="54" t="s">
        <v>89</v>
      </c>
      <c r="C17" s="45">
        <v>836940.10445000115</v>
      </c>
      <c r="D17" s="45">
        <v>1026687.9543199999</v>
      </c>
      <c r="E17" s="45">
        <v>1027103.0225600052</v>
      </c>
      <c r="F17" s="45">
        <v>717999.87025999953</v>
      </c>
      <c r="G17" s="45">
        <v>1068058.8184199992</v>
      </c>
      <c r="H17" s="45">
        <v>1269790.3624499978</v>
      </c>
      <c r="I17" s="45">
        <v>1362607.701790004</v>
      </c>
      <c r="J17" s="45">
        <v>1197133.1857699987</v>
      </c>
      <c r="K17" s="62">
        <v>1234721.5774700011</v>
      </c>
      <c r="L17" s="43">
        <f t="shared" si="18"/>
        <v>2.2528584257914583</v>
      </c>
      <c r="M17" s="43">
        <f t="shared" si="19"/>
        <v>2.3122972021647752</v>
      </c>
      <c r="N17" s="43">
        <f t="shared" si="20"/>
        <v>2.5410955292230124</v>
      </c>
      <c r="O17" s="43">
        <f t="shared" si="21"/>
        <v>2.7927309213908362</v>
      </c>
      <c r="P17" s="43">
        <f t="shared" si="21"/>
        <v>2.3663379984696884</v>
      </c>
      <c r="Q17" s="43">
        <f t="shared" si="21"/>
        <v>2.5322030602921872</v>
      </c>
      <c r="R17" s="43">
        <f t="shared" si="21"/>
        <v>2.1403973125162215</v>
      </c>
      <c r="S17" s="63">
        <f t="shared" si="21"/>
        <v>2.2137438303141028</v>
      </c>
      <c r="T17" s="43">
        <f>((D17-C17)/C17)*100</f>
        <v>22.671616387016414</v>
      </c>
      <c r="U17" s="43">
        <f t="shared" ref="U17:V22" si="23">((E17-D17)/D17)*100</f>
        <v>4.0427886414640929E-2</v>
      </c>
      <c r="V17" s="43">
        <f t="shared" si="23"/>
        <v>-30.094659007971842</v>
      </c>
      <c r="W17" s="43">
        <f t="shared" ref="W17:W27" si="24">((G17-F17)/F17)*100</f>
        <v>48.754736965793263</v>
      </c>
      <c r="X17" s="43">
        <f t="shared" ref="X17:AA21" si="25">((H17-G17)/G17)*100</f>
        <v>18.887681141795554</v>
      </c>
      <c r="Y17" s="43">
        <f t="shared" si="25"/>
        <v>7.3096585140967489</v>
      </c>
      <c r="Z17" s="43">
        <f t="shared" si="25"/>
        <v>-12.143958661222007</v>
      </c>
      <c r="AA17" s="43">
        <f t="shared" si="25"/>
        <v>3.1398671548667685</v>
      </c>
      <c r="AB17" s="44" t="s">
        <v>32</v>
      </c>
      <c r="AC17" s="48" t="s">
        <v>70</v>
      </c>
      <c r="AD17" s="42">
        <v>11</v>
      </c>
      <c r="AE17" s="19"/>
    </row>
    <row r="18" spans="1:31" s="20" customFormat="1" ht="30" customHeight="1" x14ac:dyDescent="0.25">
      <c r="A18" s="17" t="s">
        <v>33</v>
      </c>
      <c r="B18" s="55" t="s">
        <v>90</v>
      </c>
      <c r="C18" s="45">
        <v>197339.36860000002</v>
      </c>
      <c r="D18" s="45">
        <v>223891.15717000054</v>
      </c>
      <c r="E18" s="45">
        <v>264569.16437000048</v>
      </c>
      <c r="F18" s="45">
        <v>116120.74980999998</v>
      </c>
      <c r="G18" s="45">
        <v>207320.03025000027</v>
      </c>
      <c r="H18" s="45">
        <v>273479.83019999962</v>
      </c>
      <c r="I18" s="50">
        <v>289507.96074000024</v>
      </c>
      <c r="J18" s="50">
        <v>246624.0620799998</v>
      </c>
      <c r="K18" s="65">
        <v>249309.27191999988</v>
      </c>
      <c r="L18" s="43">
        <f t="shared" si="18"/>
        <v>0.4912837223503887</v>
      </c>
      <c r="M18" s="43">
        <f t="shared" si="19"/>
        <v>0.59561945113065262</v>
      </c>
      <c r="N18" s="43">
        <f t="shared" si="20"/>
        <v>0.41096653413790146</v>
      </c>
      <c r="O18" s="43">
        <f t="shared" ref="O18:O27" si="26">(G18/G$6)*100</f>
        <v>0.54209473216032178</v>
      </c>
      <c r="P18" s="43">
        <f t="shared" ref="P18:P27" si="27">(H18/H$6)*100</f>
        <v>0.50964768134533778</v>
      </c>
      <c r="Q18" s="43">
        <f>(I18/I$6)*100</f>
        <v>0.53800733931104572</v>
      </c>
      <c r="R18" s="43">
        <f t="shared" ref="R18:S21" si="28">(J18/J$6)*100</f>
        <v>0.44094799639050675</v>
      </c>
      <c r="S18" s="63">
        <f t="shared" si="28"/>
        <v>0.44698891849276845</v>
      </c>
      <c r="T18" s="43">
        <f>((D18-C18)/C18)*100</f>
        <v>13.454886755931641</v>
      </c>
      <c r="U18" s="43">
        <f t="shared" si="23"/>
        <v>18.168652891062205</v>
      </c>
      <c r="V18" s="43">
        <f t="shared" si="23"/>
        <v>-56.109492167573663</v>
      </c>
      <c r="W18" s="43">
        <f t="shared" si="24"/>
        <v>78.538315149723985</v>
      </c>
      <c r="X18" s="43">
        <f t="shared" si="25"/>
        <v>31.911918915996424</v>
      </c>
      <c r="Y18" s="43">
        <f t="shared" si="25"/>
        <v>5.8608090140611209</v>
      </c>
      <c r="Z18" s="43">
        <f t="shared" si="25"/>
        <v>-14.812683751557831</v>
      </c>
      <c r="AA18" s="43">
        <f t="shared" si="25"/>
        <v>1.0887866404248325</v>
      </c>
      <c r="AB18" s="44" t="s">
        <v>34</v>
      </c>
      <c r="AC18" s="48" t="s">
        <v>71</v>
      </c>
      <c r="AD18" s="42">
        <v>12</v>
      </c>
      <c r="AE18" s="19"/>
    </row>
    <row r="19" spans="1:31" s="20" customFormat="1" ht="32.25" customHeight="1" x14ac:dyDescent="0.25">
      <c r="A19" s="17" t="s">
        <v>35</v>
      </c>
      <c r="B19" s="56" t="s">
        <v>91</v>
      </c>
      <c r="C19" s="45">
        <v>1130688.7164900019</v>
      </c>
      <c r="D19" s="45">
        <v>1371509.1904800048</v>
      </c>
      <c r="E19" s="45">
        <v>1280780.8174600024</v>
      </c>
      <c r="F19" s="45">
        <v>672569.20977999922</v>
      </c>
      <c r="G19" s="45">
        <v>797100.0133399996</v>
      </c>
      <c r="H19" s="45">
        <v>996535.8226899982</v>
      </c>
      <c r="I19" s="45">
        <v>1037619.1441599982</v>
      </c>
      <c r="J19" s="45">
        <v>994275.84351000166</v>
      </c>
      <c r="K19" s="62">
        <v>1070116.0372700009</v>
      </c>
      <c r="L19" s="43">
        <f t="shared" si="18"/>
        <v>3.009498672719658</v>
      </c>
      <c r="M19" s="43">
        <f t="shared" si="19"/>
        <v>2.8833971235111018</v>
      </c>
      <c r="N19" s="43">
        <f t="shared" si="20"/>
        <v>2.3803104747722741</v>
      </c>
      <c r="O19" s="43">
        <f t="shared" si="26"/>
        <v>2.0842352652345104</v>
      </c>
      <c r="P19" s="43">
        <f t="shared" si="27"/>
        <v>1.85711016070218</v>
      </c>
      <c r="Q19" s="43">
        <f>(I19/I$6)*100</f>
        <v>1.9282603267309537</v>
      </c>
      <c r="R19" s="43">
        <f t="shared" si="28"/>
        <v>1.7777014025217075</v>
      </c>
      <c r="S19" s="63">
        <f t="shared" si="28"/>
        <v>1.9186210223042752</v>
      </c>
      <c r="T19" s="43">
        <f>((D19-C19)/C19)*100</f>
        <v>21.29856524416217</v>
      </c>
      <c r="U19" s="43">
        <f t="shared" si="23"/>
        <v>-6.6152216587224615</v>
      </c>
      <c r="V19" s="43">
        <f t="shared" si="23"/>
        <v>-47.487563788329226</v>
      </c>
      <c r="W19" s="43">
        <f t="shared" si="24"/>
        <v>18.515686080951436</v>
      </c>
      <c r="X19" s="43">
        <f t="shared" si="25"/>
        <v>25.020173881860181</v>
      </c>
      <c r="Y19" s="43">
        <f t="shared" si="25"/>
        <v>4.1226136115309666</v>
      </c>
      <c r="Z19" s="43">
        <f t="shared" si="25"/>
        <v>-4.1771878337002883</v>
      </c>
      <c r="AA19" s="43">
        <f t="shared" si="25"/>
        <v>7.6276814180929406</v>
      </c>
      <c r="AB19" s="44" t="s">
        <v>36</v>
      </c>
      <c r="AC19" s="48" t="s">
        <v>72</v>
      </c>
      <c r="AD19" s="42">
        <v>13</v>
      </c>
      <c r="AE19" s="19"/>
    </row>
    <row r="20" spans="1:31" s="20" customFormat="1" ht="44.25" customHeight="1" x14ac:dyDescent="0.25">
      <c r="A20" s="17" t="s">
        <v>37</v>
      </c>
      <c r="B20" s="56" t="s">
        <v>92</v>
      </c>
      <c r="C20" s="45">
        <v>10434.367360000002</v>
      </c>
      <c r="D20" s="45">
        <v>13897.489099999979</v>
      </c>
      <c r="E20" s="45">
        <v>18651.156210000005</v>
      </c>
      <c r="F20" s="45">
        <v>12176.756660000017</v>
      </c>
      <c r="G20" s="45">
        <v>21920.566869999999</v>
      </c>
      <c r="H20" s="45">
        <v>26141.622799999986</v>
      </c>
      <c r="I20" s="45">
        <v>36029.549309999988</v>
      </c>
      <c r="J20" s="45">
        <v>33186.262229999986</v>
      </c>
      <c r="K20" s="62">
        <v>29539.463159999999</v>
      </c>
      <c r="L20" s="43">
        <f t="shared" si="18"/>
        <v>3.0495220368117262E-2</v>
      </c>
      <c r="M20" s="43">
        <f t="shared" si="19"/>
        <v>4.1988987836905738E-2</v>
      </c>
      <c r="N20" s="43">
        <f t="shared" si="20"/>
        <v>4.3095135794325244E-2</v>
      </c>
      <c r="O20" s="43">
        <f t="shared" si="26"/>
        <v>5.7317297377709873E-2</v>
      </c>
      <c r="P20" s="43">
        <f t="shared" si="27"/>
        <v>4.8716636385510041E-2</v>
      </c>
      <c r="Q20" s="43">
        <f>(I20/I$6)*100</f>
        <v>6.6955540397929295E-2</v>
      </c>
      <c r="R20" s="43">
        <f t="shared" si="28"/>
        <v>5.9334907204884428E-2</v>
      </c>
      <c r="S20" s="63">
        <f t="shared" si="28"/>
        <v>5.2961578961982239E-2</v>
      </c>
      <c r="T20" s="43">
        <f>((D20-C20)/C20)*100</f>
        <v>33.189570776238959</v>
      </c>
      <c r="U20" s="43">
        <f t="shared" si="23"/>
        <v>34.205222798124254</v>
      </c>
      <c r="V20" s="43">
        <f t="shared" si="23"/>
        <v>-34.713127042111594</v>
      </c>
      <c r="W20" s="43">
        <f t="shared" si="24"/>
        <v>80.019749774649497</v>
      </c>
      <c r="X20" s="43">
        <f t="shared" si="25"/>
        <v>19.256144036023226</v>
      </c>
      <c r="Y20" s="43">
        <f t="shared" si="25"/>
        <v>37.82445560342186</v>
      </c>
      <c r="Z20" s="43">
        <f t="shared" si="25"/>
        <v>-7.8915421770509031</v>
      </c>
      <c r="AA20" s="43">
        <f t="shared" si="25"/>
        <v>-10.988881618320136</v>
      </c>
      <c r="AB20" s="44" t="s">
        <v>38</v>
      </c>
      <c r="AC20" s="48" t="s">
        <v>73</v>
      </c>
      <c r="AD20" s="42">
        <v>14</v>
      </c>
      <c r="AE20" s="19"/>
    </row>
    <row r="21" spans="1:31" s="20" customFormat="1" ht="14.25" x14ac:dyDescent="0.25">
      <c r="A21" s="17" t="s">
        <v>39</v>
      </c>
      <c r="B21" s="54" t="s">
        <v>93</v>
      </c>
      <c r="C21" s="45">
        <v>2868827.1141700028</v>
      </c>
      <c r="D21" s="45">
        <v>4039401.274309996</v>
      </c>
      <c r="E21" s="45">
        <v>3759745.2674399605</v>
      </c>
      <c r="F21" s="45">
        <v>1843482.5763799991</v>
      </c>
      <c r="G21" s="45">
        <v>2175451.7305299942</v>
      </c>
      <c r="H21" s="45">
        <v>3710365.895559994</v>
      </c>
      <c r="I21" s="45">
        <v>3917038.630010013</v>
      </c>
      <c r="J21" s="45">
        <v>3563966.6860799971</v>
      </c>
      <c r="K21" s="62">
        <v>3890647.7059000079</v>
      </c>
      <c r="L21" s="43">
        <f t="shared" si="18"/>
        <v>8.8636466004018803</v>
      </c>
      <c r="M21" s="43">
        <f t="shared" si="19"/>
        <v>8.4642419229622856</v>
      </c>
      <c r="N21" s="43">
        <f t="shared" si="20"/>
        <v>6.524326155300578</v>
      </c>
      <c r="O21" s="43">
        <f t="shared" si="26"/>
        <v>5.6883115527587291</v>
      </c>
      <c r="P21" s="43">
        <f t="shared" si="27"/>
        <v>6.9145112977146024</v>
      </c>
      <c r="Q21" s="43">
        <f>(I21/I$6)*100</f>
        <v>7.2792317210332929</v>
      </c>
      <c r="R21" s="43">
        <f t="shared" si="28"/>
        <v>6.3721437242393595</v>
      </c>
      <c r="S21" s="63">
        <f t="shared" si="28"/>
        <v>6.9755785531099788</v>
      </c>
      <c r="T21" s="43">
        <f>((D21-C21)/C21)*100</f>
        <v>40.803231200589757</v>
      </c>
      <c r="U21" s="43">
        <f t="shared" si="23"/>
        <v>-6.9232044028061051</v>
      </c>
      <c r="V21" s="43">
        <f t="shared" si="23"/>
        <v>-50.967886246313689</v>
      </c>
      <c r="W21" s="43">
        <f t="shared" si="24"/>
        <v>18.007718565036551</v>
      </c>
      <c r="X21" s="43">
        <f t="shared" si="25"/>
        <v>70.556112254260711</v>
      </c>
      <c r="Y21" s="43">
        <f t="shared" si="25"/>
        <v>5.5701443002517275</v>
      </c>
      <c r="Z21" s="43">
        <f t="shared" si="25"/>
        <v>-9.0137467939424774</v>
      </c>
      <c r="AA21" s="43">
        <f t="shared" si="25"/>
        <v>9.1662197936908001</v>
      </c>
      <c r="AB21" s="44" t="s">
        <v>40</v>
      </c>
      <c r="AC21" s="48" t="s">
        <v>74</v>
      </c>
      <c r="AD21" s="42">
        <v>15</v>
      </c>
      <c r="AE21" s="19"/>
    </row>
    <row r="22" spans="1:31" s="20" customFormat="1" ht="39" customHeight="1" x14ac:dyDescent="0.25">
      <c r="A22" s="17" t="s">
        <v>41</v>
      </c>
      <c r="B22" s="56" t="s">
        <v>94</v>
      </c>
      <c r="C22" s="45">
        <v>7309675.9209199464</v>
      </c>
      <c r="D22" s="45">
        <v>8516076.0582299754</v>
      </c>
      <c r="E22" s="45">
        <v>7613620.8815099495</v>
      </c>
      <c r="F22" s="45">
        <v>5507974.3365500225</v>
      </c>
      <c r="G22" s="45">
        <v>7313562.4776200103</v>
      </c>
      <c r="H22" s="45">
        <v>9126045.7139999773</v>
      </c>
      <c r="I22" s="50">
        <v>9353368.3254000191</v>
      </c>
      <c r="J22" s="50">
        <v>10237994.292660024</v>
      </c>
      <c r="K22" s="65">
        <v>9676540.4380400088</v>
      </c>
      <c r="L22" s="43">
        <f t="shared" si="18"/>
        <v>18.686801205504878</v>
      </c>
      <c r="M22" s="43">
        <f t="shared" si="19"/>
        <v>17.140397677712269</v>
      </c>
      <c r="N22" s="43">
        <f t="shared" si="20"/>
        <v>19.493442187690178</v>
      </c>
      <c r="O22" s="43">
        <f t="shared" si="26"/>
        <v>19.123302691314333</v>
      </c>
      <c r="P22" s="43">
        <f t="shared" si="27"/>
        <v>17.006987442511772</v>
      </c>
      <c r="Q22" s="43">
        <f t="shared" ref="Q22:Q27" si="29">(I22/I$6)*100</f>
        <v>17.381839150405781</v>
      </c>
      <c r="R22" s="43">
        <f t="shared" ref="R22:S27" si="30">(J22/J$6)*100</f>
        <v>18.304876792360574</v>
      </c>
      <c r="S22" s="63">
        <f t="shared" si="30"/>
        <v>17.349159587369769</v>
      </c>
      <c r="T22" s="43">
        <f>((D22-C22)/C22)*100</f>
        <v>16.504153540615512</v>
      </c>
      <c r="U22" s="43">
        <f t="shared" si="23"/>
        <v>-10.597077463251271</v>
      </c>
      <c r="V22" s="43">
        <f t="shared" si="23"/>
        <v>-27.656309366199107</v>
      </c>
      <c r="W22" s="43">
        <f t="shared" si="24"/>
        <v>32.781346294379013</v>
      </c>
      <c r="X22" s="43">
        <f>((H22-G22)/G22)*100</f>
        <v>24.782494740781758</v>
      </c>
      <c r="Y22" s="43">
        <f t="shared" ref="Y22:Y27" si="31">((I22-H22)/H22)*100</f>
        <v>2.4909212437026618</v>
      </c>
      <c r="Z22" s="43">
        <f t="shared" ref="Z22:AA27" si="32">((J22-I22)/I22)*100</f>
        <v>9.4578331194091181</v>
      </c>
      <c r="AA22" s="43">
        <f t="shared" si="32"/>
        <v>-5.4840219536217285</v>
      </c>
      <c r="AB22" s="44" t="s">
        <v>42</v>
      </c>
      <c r="AC22" s="48" t="s">
        <v>75</v>
      </c>
      <c r="AD22" s="42">
        <v>16</v>
      </c>
      <c r="AE22" s="19"/>
    </row>
    <row r="23" spans="1:31" s="20" customFormat="1" ht="14.25" x14ac:dyDescent="0.25">
      <c r="A23" s="17" t="s">
        <v>43</v>
      </c>
      <c r="B23" s="57" t="s">
        <v>95</v>
      </c>
      <c r="C23" s="45">
        <v>1980260.7954800008</v>
      </c>
      <c r="D23" s="45">
        <v>2645381.8053399972</v>
      </c>
      <c r="E23" s="45">
        <v>3122825.3144200053</v>
      </c>
      <c r="F23" s="45">
        <v>856736.49488000001</v>
      </c>
      <c r="G23" s="45">
        <v>1644144.259039999</v>
      </c>
      <c r="H23" s="45">
        <v>3382270.8453000006</v>
      </c>
      <c r="I23" s="45">
        <v>3502485.5971300039</v>
      </c>
      <c r="J23" s="45">
        <v>4327859.3115200028</v>
      </c>
      <c r="K23" s="62">
        <v>3240179.3532199925</v>
      </c>
      <c r="L23" s="43">
        <f t="shared" si="18"/>
        <v>5.8047536883228217</v>
      </c>
      <c r="M23" s="43">
        <f t="shared" si="19"/>
        <v>7.0303563311350832</v>
      </c>
      <c r="N23" s="43">
        <f t="shared" si="20"/>
        <v>3.0321026048004955</v>
      </c>
      <c r="O23" s="43">
        <f t="shared" si="26"/>
        <v>4.2990633402013883</v>
      </c>
      <c r="P23" s="43">
        <f t="shared" si="27"/>
        <v>6.3030845555537551</v>
      </c>
      <c r="Q23" s="43">
        <f t="shared" si="29"/>
        <v>6.5088467766849121</v>
      </c>
      <c r="R23" s="43">
        <f t="shared" si="30"/>
        <v>7.7379347172365947</v>
      </c>
      <c r="S23" s="63">
        <f t="shared" si="30"/>
        <v>5.8093477778201157</v>
      </c>
      <c r="T23" s="43">
        <f>((D23-C23)/C23)*100</f>
        <v>33.58754621503153</v>
      </c>
      <c r="U23" s="43">
        <f t="shared" ref="U23:V24" si="33">((E23-D23)/D23)*100</f>
        <v>18.048189040849806</v>
      </c>
      <c r="V23" s="43">
        <f t="shared" si="33"/>
        <v>-72.565340401081016</v>
      </c>
      <c r="W23" s="43">
        <f t="shared" si="24"/>
        <v>91.907811662708312</v>
      </c>
      <c r="X23" s="43">
        <f>((H23-G23)/G23)*100</f>
        <v>105.71618498214251</v>
      </c>
      <c r="Y23" s="43">
        <f t="shared" si="31"/>
        <v>3.5542615399075301</v>
      </c>
      <c r="Z23" s="43">
        <f t="shared" si="32"/>
        <v>23.565370691783119</v>
      </c>
      <c r="AA23" s="43">
        <f t="shared" si="32"/>
        <v>-25.132054440974937</v>
      </c>
      <c r="AB23" s="44" t="s">
        <v>44</v>
      </c>
      <c r="AC23" s="48" t="s">
        <v>76</v>
      </c>
      <c r="AD23" s="42">
        <v>17</v>
      </c>
      <c r="AE23" s="19"/>
    </row>
    <row r="24" spans="1:31" s="20" customFormat="1" ht="26.25" customHeight="1" x14ac:dyDescent="0.25">
      <c r="A24" s="17" t="s">
        <v>45</v>
      </c>
      <c r="B24" s="56" t="s">
        <v>96</v>
      </c>
      <c r="C24" s="45">
        <v>717631.50783999928</v>
      </c>
      <c r="D24" s="45">
        <v>927524.86933000269</v>
      </c>
      <c r="E24" s="45">
        <v>536804.22122999944</v>
      </c>
      <c r="F24" s="45">
        <v>805996.15995000093</v>
      </c>
      <c r="G24" s="45">
        <v>806612.77253000264</v>
      </c>
      <c r="H24" s="45">
        <v>776949.10153999901</v>
      </c>
      <c r="I24" s="45">
        <v>1076520.3734699967</v>
      </c>
      <c r="J24" s="45">
        <v>850665.53988000052</v>
      </c>
      <c r="K24" s="62">
        <v>959947.78512000095</v>
      </c>
      <c r="L24" s="43">
        <f t="shared" si="18"/>
        <v>2.0352651535540791</v>
      </c>
      <c r="M24" s="43">
        <f t="shared" si="19"/>
        <v>1.2084969780018855</v>
      </c>
      <c r="N24" s="43">
        <f t="shared" si="20"/>
        <v>2.8525259174186317</v>
      </c>
      <c r="O24" s="43">
        <f t="shared" si="26"/>
        <v>2.1091089672062489</v>
      </c>
      <c r="P24" s="43">
        <f t="shared" si="27"/>
        <v>1.4478958387301371</v>
      </c>
      <c r="Q24" s="43">
        <f t="shared" si="29"/>
        <v>2.0005524558437595</v>
      </c>
      <c r="R24" s="43">
        <f t="shared" si="30"/>
        <v>1.5209353955367926</v>
      </c>
      <c r="S24" s="63">
        <f t="shared" si="30"/>
        <v>1.7210993356797648</v>
      </c>
      <c r="T24" s="43">
        <f>((D24-C24)/C24)*100</f>
        <v>29.248069405670595</v>
      </c>
      <c r="U24" s="43">
        <f t="shared" si="33"/>
        <v>-42.125085916266613</v>
      </c>
      <c r="V24" s="43">
        <f t="shared" si="33"/>
        <v>50.147135226170917</v>
      </c>
      <c r="W24" s="43">
        <f t="shared" si="24"/>
        <v>7.6503165975375653E-2</v>
      </c>
      <c r="X24" s="43">
        <f>((H24-G24)/G24)*100</f>
        <v>-3.6775602866988146</v>
      </c>
      <c r="Y24" s="43">
        <f t="shared" si="31"/>
        <v>38.557387007233082</v>
      </c>
      <c r="Z24" s="43">
        <f t="shared" si="32"/>
        <v>-20.980079816045478</v>
      </c>
      <c r="AA24" s="43">
        <f t="shared" si="32"/>
        <v>12.846675939807833</v>
      </c>
      <c r="AB24" s="44" t="s">
        <v>46</v>
      </c>
      <c r="AC24" s="48" t="s">
        <v>77</v>
      </c>
      <c r="AD24" s="42">
        <v>18</v>
      </c>
      <c r="AE24" s="19"/>
    </row>
    <row r="25" spans="1:31" s="20" customFormat="1" ht="18.75" customHeight="1" x14ac:dyDescent="0.25">
      <c r="A25" s="17" t="s">
        <v>47</v>
      </c>
      <c r="B25" s="54" t="s">
        <v>97</v>
      </c>
      <c r="C25" s="45" t="s">
        <v>48</v>
      </c>
      <c r="D25" s="45">
        <v>950.5609300000001</v>
      </c>
      <c r="E25" s="45">
        <v>39264.400130000009</v>
      </c>
      <c r="F25" s="45">
        <v>71.888890000000004</v>
      </c>
      <c r="G25" s="45">
        <v>7499.2061399999993</v>
      </c>
      <c r="H25" s="45">
        <v>22014.524320000004</v>
      </c>
      <c r="I25" s="45">
        <v>6339.4885699999995</v>
      </c>
      <c r="J25" s="45">
        <v>110489.81471999999</v>
      </c>
      <c r="K25" s="62">
        <v>6558.5994199999986</v>
      </c>
      <c r="L25" s="43">
        <f t="shared" si="18"/>
        <v>2.0858131152391066E-3</v>
      </c>
      <c r="M25" s="43">
        <f t="shared" si="19"/>
        <v>8.839518584901554E-2</v>
      </c>
      <c r="N25" s="43">
        <f t="shared" si="20"/>
        <v>2.5442419218495789E-4</v>
      </c>
      <c r="O25" s="43">
        <f t="shared" si="26"/>
        <v>1.9608718650948272E-2</v>
      </c>
      <c r="P25" s="43">
        <f t="shared" si="27"/>
        <v>4.1025516460952399E-2</v>
      </c>
      <c r="Q25" s="43">
        <f t="shared" si="29"/>
        <v>1.1780993411789257E-2</v>
      </c>
      <c r="R25" s="43">
        <f t="shared" si="30"/>
        <v>0.19754869825531648</v>
      </c>
      <c r="S25" s="63">
        <f t="shared" si="30"/>
        <v>1.1758974060594974E-2</v>
      </c>
      <c r="T25" s="43" t="s">
        <v>49</v>
      </c>
      <c r="U25" s="46" t="s">
        <v>57</v>
      </c>
      <c r="V25" s="43">
        <f>((F25-E25)/E25)*100</f>
        <v>-99.816910764555203</v>
      </c>
      <c r="W25" s="46" t="s">
        <v>57</v>
      </c>
      <c r="X25" s="46" t="s">
        <v>57</v>
      </c>
      <c r="Y25" s="46" t="s">
        <v>57</v>
      </c>
      <c r="Z25" s="46" t="s">
        <v>57</v>
      </c>
      <c r="AA25" s="46" t="s">
        <v>57</v>
      </c>
      <c r="AB25" s="44" t="s">
        <v>50</v>
      </c>
      <c r="AC25" s="48" t="s">
        <v>78</v>
      </c>
      <c r="AD25" s="42">
        <v>19</v>
      </c>
      <c r="AE25" s="19"/>
    </row>
    <row r="26" spans="1:31" s="20" customFormat="1" ht="18.75" customHeight="1" x14ac:dyDescent="0.25">
      <c r="A26" s="17" t="s">
        <v>51</v>
      </c>
      <c r="B26" s="54" t="s">
        <v>98</v>
      </c>
      <c r="C26" s="45">
        <v>1618551.7482499976</v>
      </c>
      <c r="D26" s="45">
        <v>2396664.2369499994</v>
      </c>
      <c r="E26" s="45">
        <v>2540540.6909399917</v>
      </c>
      <c r="F26" s="45">
        <v>1509539.1007399985</v>
      </c>
      <c r="G26" s="45">
        <v>1620055.3521699957</v>
      </c>
      <c r="H26" s="45">
        <v>1995299.6208499973</v>
      </c>
      <c r="I26" s="45">
        <v>1943745.3621799983</v>
      </c>
      <c r="J26" s="45">
        <v>2172484.9710000092</v>
      </c>
      <c r="K26" s="62">
        <v>2505645.7273200015</v>
      </c>
      <c r="L26" s="43">
        <f>(D26/D$6)*100</f>
        <v>5.2589934432239227</v>
      </c>
      <c r="M26" s="43">
        <f t="shared" si="19"/>
        <v>5.7194702017373427</v>
      </c>
      <c r="N26" s="43">
        <f>(F26/F$6)*100</f>
        <v>5.3424564807911468</v>
      </c>
      <c r="O26" s="43">
        <f t="shared" si="26"/>
        <v>4.2360763268289583</v>
      </c>
      <c r="P26" s="43">
        <f t="shared" si="27"/>
        <v>3.7183723004791966</v>
      </c>
      <c r="Q26" s="43">
        <f t="shared" si="29"/>
        <v>3.61216067403344</v>
      </c>
      <c r="R26" s="43">
        <f t="shared" si="30"/>
        <v>3.8842637132470959</v>
      </c>
      <c r="S26" s="63">
        <f t="shared" si="30"/>
        <v>4.4923955902457804</v>
      </c>
      <c r="T26" s="43">
        <f>((D26-C26)/C26)*100</f>
        <v>48.074612970596</v>
      </c>
      <c r="U26" s="43">
        <f t="shared" ref="U26:V27" si="34">((E26-D26)/D26)*100</f>
        <v>6.0031960994707338</v>
      </c>
      <c r="V26" s="43">
        <f t="shared" si="34"/>
        <v>-40.581975084151317</v>
      </c>
      <c r="W26" s="43">
        <f t="shared" si="24"/>
        <v>7.3211917051913682</v>
      </c>
      <c r="X26" s="43">
        <f>((H26-G26)/G26)*100</f>
        <v>23.162435047504875</v>
      </c>
      <c r="Y26" s="43">
        <f t="shared" si="31"/>
        <v>-2.5837853188202811</v>
      </c>
      <c r="Z26" s="43">
        <f t="shared" si="32"/>
        <v>11.767982230114191</v>
      </c>
      <c r="AA26" s="43">
        <f t="shared" si="32"/>
        <v>15.335468864792015</v>
      </c>
      <c r="AB26" s="44" t="s">
        <v>52</v>
      </c>
      <c r="AC26" s="48" t="s">
        <v>79</v>
      </c>
      <c r="AD26" s="42">
        <v>20</v>
      </c>
      <c r="AE26" s="19"/>
    </row>
    <row r="27" spans="1:31" s="20" customFormat="1" ht="18.75" customHeight="1" x14ac:dyDescent="0.25">
      <c r="A27" s="22" t="s">
        <v>53</v>
      </c>
      <c r="B27" s="58" t="s">
        <v>99</v>
      </c>
      <c r="C27" s="23">
        <v>1630.1147400000007</v>
      </c>
      <c r="D27" s="23">
        <v>1382.3535399999998</v>
      </c>
      <c r="E27" s="23">
        <v>3462.9129199999988</v>
      </c>
      <c r="F27" s="23">
        <v>958.44248000000005</v>
      </c>
      <c r="G27" s="23">
        <v>1022.8801099999998</v>
      </c>
      <c r="H27" s="23">
        <v>1876.2670500000002</v>
      </c>
      <c r="I27" s="23">
        <v>1735.9457399999999</v>
      </c>
      <c r="J27" s="60">
        <v>4635.0838700000013</v>
      </c>
      <c r="K27" s="66">
        <v>2050.3697200000001</v>
      </c>
      <c r="L27" s="5">
        <f>(D27/D$6)*100</f>
        <v>3.0332943976870653E-3</v>
      </c>
      <c r="M27" s="5">
        <f>(E27/E$6)*100</f>
        <v>7.7959889907620724E-3</v>
      </c>
      <c r="N27" s="5">
        <f>(F27/F$6)*100</f>
        <v>3.3920533997638248E-3</v>
      </c>
      <c r="O27" s="5">
        <f t="shared" si="26"/>
        <v>2.6745988730269813E-3</v>
      </c>
      <c r="P27" s="5">
        <f t="shared" si="27"/>
        <v>3.4965472624355837E-3</v>
      </c>
      <c r="Q27" s="5">
        <f t="shared" si="29"/>
        <v>3.2259960879089697E-3</v>
      </c>
      <c r="R27" s="59">
        <f t="shared" si="30"/>
        <v>8.287232512274003E-3</v>
      </c>
      <c r="S27" s="67">
        <f t="shared" si="30"/>
        <v>3.6761269911662615E-3</v>
      </c>
      <c r="T27" s="5">
        <f>((D27-C27)/C27)*100</f>
        <v>-15.199003721664447</v>
      </c>
      <c r="U27" s="5">
        <f t="shared" si="34"/>
        <v>150.50848569462187</v>
      </c>
      <c r="V27" s="5">
        <f t="shared" si="34"/>
        <v>-72.32265141683088</v>
      </c>
      <c r="W27" s="5">
        <f t="shared" si="24"/>
        <v>6.7231608932859261</v>
      </c>
      <c r="X27" s="5">
        <f>((H27-G27)/G27)*100</f>
        <v>83.429810752699112</v>
      </c>
      <c r="Y27" s="5">
        <f t="shared" si="31"/>
        <v>-7.4787493603322748</v>
      </c>
      <c r="Z27" s="5">
        <f t="shared" si="32"/>
        <v>167.00626426261465</v>
      </c>
      <c r="AA27" s="5">
        <f t="shared" si="32"/>
        <v>-55.764129031822684</v>
      </c>
      <c r="AB27" s="37" t="s">
        <v>54</v>
      </c>
      <c r="AC27" s="49" t="s">
        <v>80</v>
      </c>
      <c r="AD27" s="24">
        <v>21</v>
      </c>
      <c r="AE27" s="19"/>
    </row>
    <row r="28" spans="1:31" s="26" customFormat="1" x14ac:dyDescent="0.35">
      <c r="A28" s="47" t="s">
        <v>58</v>
      </c>
      <c r="B28" s="18"/>
      <c r="C28" s="20"/>
      <c r="D28" s="20"/>
      <c r="E28" s="20"/>
      <c r="F28" s="14"/>
      <c r="G28" s="14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38"/>
      <c r="AC28" s="39"/>
      <c r="AD28" s="35" t="s">
        <v>6</v>
      </c>
    </row>
    <row r="29" spans="1:31" s="26" customFormat="1" ht="18.75" x14ac:dyDescent="0.5">
      <c r="A29" s="6" t="s">
        <v>5</v>
      </c>
      <c r="B29" s="20"/>
      <c r="F29" s="32"/>
      <c r="G29" s="32"/>
      <c r="H29" s="32"/>
      <c r="I29" s="32"/>
      <c r="J29" s="32"/>
      <c r="K29" s="32"/>
      <c r="AB29" s="39"/>
      <c r="AC29" s="25"/>
      <c r="AD29" s="33" t="s">
        <v>59</v>
      </c>
    </row>
    <row r="31" spans="1:31" x14ac:dyDescent="0.4">
      <c r="B31" s="30"/>
    </row>
    <row r="32" spans="1:31" x14ac:dyDescent="0.4">
      <c r="AC32" s="31"/>
      <c r="AD32" s="31"/>
    </row>
    <row r="33" spans="20:30" x14ac:dyDescent="0.4">
      <c r="AC33" s="31"/>
      <c r="AD33" s="31"/>
    </row>
    <row r="34" spans="20:30" x14ac:dyDescent="0.4">
      <c r="AC34" s="31"/>
      <c r="AD34" s="31"/>
    </row>
    <row r="35" spans="20:30" ht="12.75" x14ac:dyDescent="0.2"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31"/>
    </row>
    <row r="36" spans="20:30" x14ac:dyDescent="0.4">
      <c r="AC36" s="31"/>
      <c r="AD36" s="31"/>
    </row>
    <row r="37" spans="20:30" x14ac:dyDescent="0.4">
      <c r="AC37" s="31"/>
      <c r="AD37" s="31"/>
    </row>
    <row r="38" spans="20:30" x14ac:dyDescent="0.4">
      <c r="AC38" s="31"/>
      <c r="AD38" s="31"/>
    </row>
    <row r="39" spans="20:30" x14ac:dyDescent="0.4">
      <c r="AC39" s="31"/>
      <c r="AD39" s="31"/>
    </row>
    <row r="40" spans="20:30" x14ac:dyDescent="0.4">
      <c r="AC40" s="31"/>
      <c r="AD40" s="31"/>
    </row>
    <row r="41" spans="20:30" x14ac:dyDescent="0.4">
      <c r="AC41" s="31"/>
      <c r="AD41" s="31"/>
    </row>
    <row r="42" spans="20:30" x14ac:dyDescent="0.4">
      <c r="AC42" s="31"/>
      <c r="AD42" s="31"/>
    </row>
    <row r="43" spans="20:30" x14ac:dyDescent="0.4">
      <c r="AC43" s="31"/>
      <c r="AD43" s="31"/>
    </row>
    <row r="44" spans="20:30" x14ac:dyDescent="0.4">
      <c r="AC44" s="31"/>
      <c r="AD44" s="31"/>
    </row>
  </sheetData>
  <mergeCells count="11">
    <mergeCell ref="T3:AA3"/>
    <mergeCell ref="T4:AA4"/>
    <mergeCell ref="D3:K3"/>
    <mergeCell ref="D4:K4"/>
    <mergeCell ref="A1:AD1"/>
    <mergeCell ref="A2:AC2"/>
    <mergeCell ref="A3:B5"/>
    <mergeCell ref="AB3:AD5"/>
    <mergeCell ref="L3:S3"/>
    <mergeCell ref="L4:S4"/>
    <mergeCell ref="T35:AC35"/>
  </mergeCells>
  <pageMargins left="0.7" right="0.7" top="0.75" bottom="0.75" header="0.3" footer="0.3"/>
  <pageSetup scale="23" orientation="portrait" r:id="rId1"/>
  <colBreaks count="1" manualBreakCount="1">
    <brk id="31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15.2</vt:lpstr>
      <vt:lpstr>'15.2'!Print_Area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2026-06-23T03:16:27Z</cp:lastPrinted>
  <dcterms:created xsi:type="dcterms:W3CDTF">2019-12-05T04:01:34Z</dcterms:created>
  <dcterms:modified xsi:type="dcterms:W3CDTF">2026-06-23T03:16:58Z</dcterms:modified>
</cp:coreProperties>
</file>