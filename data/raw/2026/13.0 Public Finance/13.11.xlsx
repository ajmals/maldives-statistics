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6\Final\Public Finance\"/>
    </mc:Choice>
  </mc:AlternateContent>
  <xr:revisionPtr revIDLastSave="0" documentId="13_ncr:1_{11D52E24-893F-4B06-85B2-04364562FD64}" xr6:coauthVersionLast="47" xr6:coauthVersionMax="47" xr10:uidLastSave="{00000000-0000-0000-0000-000000000000}"/>
  <bookViews>
    <workbookView xWindow="-120" yWindow="-120" windowWidth="29040" windowHeight="15720" tabRatio="572" xr2:uid="{00000000-000D-0000-FFFF-FFFF00000000}"/>
  </bookViews>
  <sheets>
    <sheet name="13.11" sheetId="37" r:id="rId1"/>
  </sheets>
  <definedNames>
    <definedName name="aas">#REF!</definedName>
    <definedName name="BACODE">#REF!</definedName>
    <definedName name="BAList">#REF!</definedName>
    <definedName name="bcodelist">#REF!</definedName>
    <definedName name="capital">#REF!</definedName>
    <definedName name="Code">#REF!</definedName>
    <definedName name="Code2">#REF!</definedName>
    <definedName name="Location">#REF!</definedName>
    <definedName name="m">#REF!</definedName>
    <definedName name="namelookup">#REF!</definedName>
    <definedName name="Office">#REF!</definedName>
    <definedName name="PLIST">#REF!</definedName>
    <definedName name="policylist">#REF!</definedName>
    <definedName name="_xlnm.Print_Area" localSheetId="0">'13.11'!$A$1:$Q$59</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6" i="37" l="1"/>
  <c r="O32" i="37"/>
  <c r="O33" i="37"/>
  <c r="O34" i="37"/>
  <c r="O28" i="37"/>
  <c r="O27" i="37"/>
  <c r="O11" i="37"/>
  <c r="O9" i="37"/>
  <c r="O8" i="37"/>
  <c r="O12" i="37"/>
  <c r="O19" i="37"/>
  <c r="O30" i="37"/>
  <c r="O29" i="37"/>
  <c r="O24" i="37"/>
  <c r="O23" i="37"/>
  <c r="O20" i="37"/>
  <c r="O16" i="37"/>
  <c r="O15" i="37"/>
  <c r="O13" i="37"/>
  <c r="O10" i="37"/>
  <c r="H35" i="37"/>
  <c r="N31" i="37" l="1"/>
  <c r="N11" i="37"/>
  <c r="N12" i="37"/>
  <c r="N13" i="37"/>
  <c r="N14" i="37"/>
  <c r="N15" i="37"/>
  <c r="N16" i="37"/>
  <c r="N18" i="37"/>
  <c r="N19" i="37"/>
  <c r="N20" i="37"/>
  <c r="N21" i="37"/>
  <c r="N22" i="37"/>
  <c r="N23" i="37"/>
  <c r="N24" i="37"/>
  <c r="N25" i="37"/>
  <c r="N26" i="37"/>
  <c r="N27" i="37"/>
  <c r="N28" i="37"/>
  <c r="N29" i="37"/>
  <c r="N30" i="37"/>
  <c r="N32" i="37"/>
  <c r="N33" i="37"/>
  <c r="N34" i="37"/>
  <c r="N35" i="37"/>
  <c r="N9" i="37"/>
  <c r="N8" i="37"/>
  <c r="N10" i="37"/>
  <c r="N17" i="37"/>
  <c r="G35" i="37"/>
  <c r="F35" i="37"/>
  <c r="E35" i="37"/>
  <c r="D35" i="37"/>
  <c r="C35" i="37"/>
  <c r="B35" i="37"/>
  <c r="O35" i="37" l="1"/>
  <c r="M16" i="37"/>
  <c r="M8" i="37"/>
  <c r="L17" i="37"/>
  <c r="L24" i="37"/>
  <c r="K35" i="37"/>
  <c r="K27" i="37"/>
  <c r="J30" i="37"/>
  <c r="J29" i="37"/>
  <c r="I33" i="37"/>
  <c r="I9" i="37"/>
  <c r="I8" i="37"/>
  <c r="J19" i="37"/>
  <c r="J21" i="37"/>
  <c r="J17" i="37"/>
  <c r="I11" i="37"/>
  <c r="J20" i="37"/>
  <c r="I23" i="37"/>
  <c r="I26" i="37"/>
  <c r="I14" i="37"/>
  <c r="I17" i="37"/>
  <c r="J16" i="37"/>
  <c r="J31" i="37"/>
  <c r="J32" i="37"/>
  <c r="I20" i="37"/>
  <c r="J8" i="37"/>
  <c r="I29" i="37"/>
  <c r="I32" i="37"/>
  <c r="K10" i="37"/>
  <c r="J23" i="37"/>
  <c r="J26" i="37"/>
  <c r="K23" i="37"/>
  <c r="J10" i="37"/>
  <c r="J15" i="37"/>
  <c r="J13" i="37"/>
  <c r="K8" i="37"/>
  <c r="K32" i="37"/>
  <c r="K19" i="37"/>
  <c r="J25" i="37"/>
  <c r="J14" i="37"/>
  <c r="K16" i="37"/>
  <c r="J11" i="37"/>
  <c r="K14" i="37"/>
  <c r="K29" i="37"/>
  <c r="J9" i="37"/>
  <c r="K26" i="37"/>
  <c r="K13" i="37"/>
  <c r="K22" i="37"/>
  <c r="K17" i="37"/>
  <c r="K11" i="37"/>
  <c r="K20" i="37"/>
  <c r="K34" i="37"/>
  <c r="K25" i="37"/>
  <c r="K28" i="37"/>
  <c r="K31" i="37"/>
  <c r="L35" i="37"/>
  <c r="L8" i="37"/>
  <c r="L25" i="37"/>
  <c r="L12" i="37"/>
  <c r="L21" i="37"/>
  <c r="L9" i="37"/>
  <c r="L14" i="37"/>
  <c r="L20" i="37"/>
  <c r="L31" i="37"/>
  <c r="L33" i="37"/>
  <c r="L27" i="37"/>
  <c r="L30" i="37"/>
  <c r="L11" i="37"/>
  <c r="L23" i="37"/>
  <c r="L29" i="37"/>
  <c r="L18" i="37"/>
  <c r="L16" i="37"/>
  <c r="L19" i="37"/>
  <c r="L26" i="37"/>
  <c r="L32" i="37"/>
  <c r="L34" i="37"/>
  <c r="L22" i="37"/>
  <c r="L28" i="37"/>
  <c r="L15" i="37"/>
  <c r="L10" i="37"/>
  <c r="L13" i="37"/>
  <c r="M12" i="37"/>
  <c r="M24" i="37"/>
  <c r="J27" i="37"/>
  <c r="J33" i="37"/>
  <c r="K9" i="37"/>
  <c r="I10" i="37"/>
  <c r="M14" i="37"/>
  <c r="K15" i="37"/>
  <c r="I16" i="37"/>
  <c r="M20" i="37"/>
  <c r="K21" i="37"/>
  <c r="I22" i="37"/>
  <c r="M26" i="37"/>
  <c r="I28" i="37"/>
  <c r="M32" i="37"/>
  <c r="K33" i="37"/>
  <c r="I34" i="37"/>
  <c r="M18" i="37"/>
  <c r="J22" i="37"/>
  <c r="J28" i="37"/>
  <c r="J34" i="37"/>
  <c r="M9" i="37"/>
  <c r="M21" i="37"/>
  <c r="M27" i="37"/>
  <c r="M33" i="37"/>
  <c r="M10" i="37"/>
  <c r="I12" i="37"/>
  <c r="M22" i="37"/>
  <c r="I24" i="37"/>
  <c r="M34" i="37"/>
  <c r="I35" i="37"/>
  <c r="J35" i="37"/>
  <c r="M15" i="37"/>
  <c r="I18" i="37"/>
  <c r="M28" i="37"/>
  <c r="I30" i="37"/>
  <c r="J12" i="37"/>
  <c r="J18" i="37"/>
  <c r="J24" i="37"/>
  <c r="M11" i="37"/>
  <c r="K12" i="37"/>
  <c r="I13" i="37"/>
  <c r="M17" i="37"/>
  <c r="K18" i="37"/>
  <c r="I19" i="37"/>
  <c r="M23" i="37"/>
  <c r="K24" i="37"/>
  <c r="I25" i="37"/>
  <c r="M29" i="37"/>
  <c r="K30" i="37"/>
  <c r="I31" i="37"/>
  <c r="M30" i="37"/>
  <c r="M35" i="37"/>
  <c r="M13" i="37"/>
  <c r="I15" i="37"/>
  <c r="M19" i="37"/>
  <c r="I21" i="37"/>
  <c r="M25" i="37"/>
  <c r="I27" i="37"/>
  <c r="M31"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Mariyam Jaidha</author>
  </authors>
  <commentList>
    <comment ref="A44" authorId="0" shapeId="0" xr:uid="{E1889765-76F3-41C7-BD1D-3A84C9D13096}">
      <text>
        <r>
          <rPr>
            <sz val="9"/>
            <color indexed="81"/>
            <rFont val="Tahoma"/>
            <family val="2"/>
          </rPr>
          <t xml:space="preserve">
highlighted royalties were not taken from 2013 - 2018</t>
        </r>
      </text>
    </comment>
    <comment ref="A45" authorId="0" shapeId="0" xr:uid="{878FF825-DF41-4647-8BF9-8D1F4371E903}">
      <text>
        <r>
          <rPr>
            <sz val="9"/>
            <color indexed="81"/>
            <rFont val="Tahoma"/>
            <family val="2"/>
          </rPr>
          <t xml:space="preserve">
nothing auctioned from 2012 - 2018</t>
        </r>
      </text>
    </comment>
  </commentList>
</comments>
</file>

<file path=xl/sharedStrings.xml><?xml version="1.0" encoding="utf-8"?>
<sst xmlns="http://schemas.openxmlformats.org/spreadsheetml/2006/main" count="100" uniqueCount="95">
  <si>
    <t xml:space="preserve">(*) - Indicates if the percentage change is greater than 100. </t>
  </si>
  <si>
    <t>ޖޫރިމަނާ</t>
  </si>
  <si>
    <t>އެހެނިހެން</t>
  </si>
  <si>
    <t>ތަފްސީލު</t>
  </si>
  <si>
    <t>Description</t>
  </si>
  <si>
    <t>Revenue collected (MVR)</t>
  </si>
  <si>
    <t>Percentage shares</t>
  </si>
  <si>
    <t>ލިބުނު އާމްދަނީ (ރުފިޔާއިން)</t>
  </si>
  <si>
    <t>cniawtcaws ctogWviawfiheb</t>
  </si>
  <si>
    <t>2019*</t>
  </si>
  <si>
    <t>އެއަރޕޯޓް ސަރވިސް ޗާޖް</t>
  </si>
  <si>
    <t>Airport Development Fee***</t>
  </si>
  <si>
    <t>އެއަރޕޯޓް ޑިވެލޮޕްމަންޓް ފީ</t>
  </si>
  <si>
    <t xml:space="preserve">Bank Profit Tax
</t>
  </si>
  <si>
    <t>ބެންކް ޕްރޮފިޓް ޓެކްސް</t>
  </si>
  <si>
    <t xml:space="preserve">Business Profit Tax/ Income Tax - Companies and Non-Individuals
</t>
  </si>
  <si>
    <t>ވިޔަފާރި ފައިދާއިން ނެގޭ ޓެކްސް</t>
  </si>
  <si>
    <t>Construction Period Extension Fee***</t>
  </si>
  <si>
    <t>ކޮންސްޓްރަކްޝަން ޕީރިއަޑް އިތުރުކުރުމުގެ ފީ</t>
  </si>
  <si>
    <t>Corporate Social Responsibility Fee***</t>
  </si>
  <si>
    <t>ކޯޕްރޭޓް ސޯޝަލް ރެސްޕޮންސިބިލިޓީ ފީ</t>
  </si>
  <si>
    <t xml:space="preserve">Fines
</t>
  </si>
  <si>
    <t xml:space="preserve">Goods and Services Tax
</t>
  </si>
  <si>
    <t>މުދަލާއި ޚިދުމަތުގެ އަގުން ނެގޭ ޓެކްސް</t>
  </si>
  <si>
    <t>Green Tax</t>
  </si>
  <si>
    <t>ގްރީން ޓެކްސް</t>
  </si>
  <si>
    <t>Remittance Tax**</t>
  </si>
  <si>
    <t>ރެމިޓެންސް ޓެކްސް</t>
  </si>
  <si>
    <t>Land Acquisition and Conversion Fee</t>
  </si>
  <si>
    <t>ބިން ވިއްކުމާއި ބިން ބަދަލުކުރުމުގެ ފީ</t>
  </si>
  <si>
    <t xml:space="preserve">Land Sales Tax
</t>
  </si>
  <si>
    <t>ބިން ވިއްކުމަށް ނެގޭ ޓެކްސް</t>
  </si>
  <si>
    <t xml:space="preserve">Lease  Period Extension Fee
</t>
  </si>
  <si>
    <t>ކުލީގެ މުއްދަތު އިތުރުކުރުން</t>
  </si>
  <si>
    <t>Ownership Transfer Tax***</t>
  </si>
  <si>
    <t>އޯނަރޝިޕް ޓްރާންސްފަރ ޓެކްސް</t>
  </si>
  <si>
    <t xml:space="preserve">Resident Permit
</t>
  </si>
  <si>
    <t>ރެސިޑެންޓް ޕަރމިޓް</t>
  </si>
  <si>
    <t xml:space="preserve">Revenue Stamp
</t>
  </si>
  <si>
    <t>ރެވެނިއު ސްޓޭމްޕް</t>
  </si>
  <si>
    <t>Tourism Administration Fee***</t>
  </si>
  <si>
    <t>ޓޫރިޒަމް އެޑްމިނިސްޓްރޭޝަން ފީ</t>
  </si>
  <si>
    <t xml:space="preserve">Tourism Land Rent
</t>
  </si>
  <si>
    <t>ޓޫރިޒަމް ލޭންޑް ރެންޓް</t>
  </si>
  <si>
    <t xml:space="preserve">Tourism Tax
</t>
  </si>
  <si>
    <t>ޓޫރިޒަމް ޓެކްސް</t>
  </si>
  <si>
    <t xml:space="preserve">Vehicle Fee
</t>
  </si>
  <si>
    <t xml:space="preserve"> އުޅަނދުފަހަރުގެ ފީ</t>
  </si>
  <si>
    <t xml:space="preserve">Vessels Fee
</t>
  </si>
  <si>
    <t xml:space="preserve"> ކަނޑުގައި ދުއްވާ އުޅަނދުފަހަރުގެ ފީ</t>
  </si>
  <si>
    <t>Work permit Fee</t>
  </si>
  <si>
    <t>ވޯކް ޕާމިޓް ފީ</t>
  </si>
  <si>
    <t>Total</t>
  </si>
  <si>
    <t>ޖުމްލަ</t>
  </si>
  <si>
    <t>Note:</t>
  </si>
  <si>
    <t>*** Airport Development Fee, Construction Period Extension Fee, Corporate Social Responsibility Fee, Tourism Administration Fee, Ownership Transfer Tax added</t>
  </si>
  <si>
    <t>** Remittance Tax added by MIRA</t>
  </si>
  <si>
    <t>* 2017 figures are revised by MIRA</t>
  </si>
  <si>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</si>
  <si>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Loan Repayment and National Student Loan  (latter part added by MIRA)</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</si>
  <si>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</si>
  <si>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</si>
  <si>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</si>
  <si>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t>އެހެނިހެން: ކުރީ އަހަރުގެ ބަޖެޓުން އަނބުރާ ލިބޭ ފައިސާ، އެހެނިހެން ފީ އަދި ޗާޖު</t>
  </si>
  <si>
    <t>2019*: 2019 Figures revised as per Internal Audit reconciliation on 31s March 2020</t>
  </si>
  <si>
    <t>2020 Figures reconciled as of 11.02.2021</t>
  </si>
  <si>
    <t>Airport Service Charge / Departure Tax</t>
  </si>
  <si>
    <t>Collection of Vehicle and Vessel fee by Transport Authority as of 31st December 2022 (Only USD transactions are taken to MIRA)</t>
  </si>
  <si>
    <t>Business Profit Tax Act has been repealed with the enactment of Income Tax in 2019. From 2020 onwards, taxpayers ought to pay their taxes under Income Tax Act</t>
  </si>
  <si>
    <t>2021 Figures are updated as per the Internal Audit Reconciliation on 15th May 2022</t>
  </si>
  <si>
    <t>2022 Figures are updated as per the Internal Audit Reconciliation on 19th June 2023</t>
  </si>
  <si>
    <t>2023 Figures are updated as per the Internal Audit Reconciliation on 29th May 2024</t>
  </si>
  <si>
    <t>2024 Figures are updated as per the Internal Audit Reconciliation on 19th March 2025</t>
  </si>
  <si>
    <t>Percentage change over 2024</t>
  </si>
  <si>
    <t>2024 އާއި އަޅާބަލާއިރު 2025 ގައި އިތުރުވި މިންވަރު (%)</t>
  </si>
  <si>
    <t>Table 13.11: REVENUE COLLECTED BY MAJOR CATEGORIES, 2020 - 2025</t>
  </si>
  <si>
    <t>ތާވަލު 13.11: ޢާމްދަނީގެ ގޮތުގައި ލިބުނު ފައިސާ އެކި ބައިތަކަށް، 2020 - 2025</t>
  </si>
  <si>
    <t>2025 Figures are updated as per the Reconciliation done on 08th March 2026</t>
  </si>
  <si>
    <t>na</t>
  </si>
  <si>
    <t>(*)</t>
  </si>
  <si>
    <t>na - Not applicable / Not available</t>
  </si>
  <si>
    <r>
      <t>Business Permits</t>
    </r>
    <r>
      <rPr>
        <vertAlign val="superscript"/>
        <sz val="10"/>
        <color theme="1"/>
        <rFont val="Calibri"/>
        <family val="2"/>
        <scheme val="minor"/>
      </rPr>
      <t>1</t>
    </r>
    <r>
      <rPr>
        <sz val="10"/>
        <color theme="1"/>
        <rFont val="Calibri"/>
        <family val="2"/>
        <scheme val="minor"/>
      </rPr>
      <t xml:space="preserve">
</t>
    </r>
  </si>
  <si>
    <r>
      <t>ބިމުގެ ކުލި</t>
    </r>
    <r>
      <rPr>
        <vertAlign val="superscript"/>
        <sz val="10"/>
        <color theme="1"/>
        <rFont val="Faruma"/>
      </rPr>
      <t>1</t>
    </r>
  </si>
  <si>
    <r>
      <t>Land Rent</t>
    </r>
    <r>
      <rPr>
        <vertAlign val="superscript"/>
        <sz val="10"/>
        <color theme="1"/>
        <rFont val="Calibri"/>
        <family val="2"/>
        <scheme val="minor"/>
      </rPr>
      <t>2</t>
    </r>
    <r>
      <rPr>
        <sz val="10"/>
        <color theme="1"/>
        <rFont val="Calibri"/>
        <family val="2"/>
        <scheme val="minor"/>
      </rPr>
      <t xml:space="preserve">
</t>
    </r>
  </si>
  <si>
    <r>
      <t>ބިމުގެ ކުލި</t>
    </r>
    <r>
      <rPr>
        <vertAlign val="superscript"/>
        <sz val="9.5"/>
        <color theme="1"/>
        <rFont val="Faruma"/>
      </rPr>
      <t>2</t>
    </r>
  </si>
  <si>
    <r>
      <t>Royalties</t>
    </r>
    <r>
      <rPr>
        <vertAlign val="superscript"/>
        <sz val="10"/>
        <color theme="1"/>
        <rFont val="Calibri"/>
        <family val="2"/>
        <scheme val="minor"/>
      </rPr>
      <t>3</t>
    </r>
    <r>
      <rPr>
        <sz val="10"/>
        <color theme="1"/>
        <rFont val="Calibri"/>
        <family val="2"/>
        <scheme val="minor"/>
      </rPr>
      <t xml:space="preserve">
</t>
    </r>
  </si>
  <si>
    <r>
      <t>ރޯޔަލްޓީ</t>
    </r>
    <r>
      <rPr>
        <vertAlign val="superscript"/>
        <sz val="9.5"/>
        <color theme="1"/>
        <rFont val="Faruma"/>
      </rPr>
      <t>3</t>
    </r>
  </si>
  <si>
    <r>
      <t>Sale of Capital Assets</t>
    </r>
    <r>
      <rPr>
        <vertAlign val="superscript"/>
        <sz val="10"/>
        <color theme="1"/>
        <rFont val="Calibri"/>
        <family val="2"/>
        <scheme val="minor"/>
      </rPr>
      <t>4</t>
    </r>
    <r>
      <rPr>
        <sz val="10"/>
        <color theme="1"/>
        <rFont val="Calibri"/>
        <family val="2"/>
        <scheme val="minor"/>
      </rPr>
      <t xml:space="preserve">
</t>
    </r>
  </si>
  <si>
    <r>
      <t>ހަރުމުދާ ވިއްކައިގެން ލިބޭ ފައިސާ</t>
    </r>
    <r>
      <rPr>
        <vertAlign val="superscript"/>
        <sz val="9.5"/>
        <color theme="1"/>
        <rFont val="Faruma"/>
      </rPr>
      <t>4</t>
    </r>
  </si>
  <si>
    <r>
      <t>Others</t>
    </r>
    <r>
      <rPr>
        <vertAlign val="superscript"/>
        <sz val="10"/>
        <color theme="1"/>
        <rFont val="Calibri"/>
        <family val="2"/>
        <scheme val="minor"/>
      </rPr>
      <t>5</t>
    </r>
  </si>
  <si>
    <r>
      <rPr>
        <vertAlign val="superscript"/>
        <sz val="10"/>
        <color theme="1"/>
        <rFont val="Calibri"/>
        <family val="2"/>
        <scheme val="minor"/>
      </rPr>
      <t xml:space="preserve">1 </t>
    </r>
    <r>
      <rPr>
        <sz val="10"/>
        <color theme="1"/>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</si>
  <si>
    <r>
      <rPr>
        <vertAlign val="superscript"/>
        <sz val="10"/>
        <color theme="1"/>
        <rFont val="Calibri"/>
        <family val="2"/>
        <scheme val="minor"/>
      </rPr>
      <t>3</t>
    </r>
    <r>
      <rPr>
        <sz val="10"/>
        <color theme="1"/>
        <rFont val="Calibri"/>
        <family val="2"/>
        <scheme val="minor"/>
      </rPr>
      <t xml:space="preserve"> Royalties: Duty Free Royalty, Foreign Investment Royalty, Fishing Royalty, Fuel re-export Royalty, Re-Export Royalty, Yellowfin Tuna Export Royalty, Skipjack Industry Royalty</t>
    </r>
  </si>
  <si>
    <r>
      <rPr>
        <vertAlign val="superscript"/>
        <sz val="10"/>
        <color theme="1"/>
        <rFont val="Calibri"/>
        <family val="2"/>
        <scheme val="minor"/>
      </rPr>
      <t>4</t>
    </r>
    <r>
      <rPr>
        <sz val="10"/>
        <color theme="1"/>
        <rFont val="Calibri"/>
        <family val="2"/>
        <scheme val="minor"/>
      </rPr>
      <t xml:space="preserve"> Sale of Capital Assets: Sale of Items At Auction, Sale of Government Buildings, Sale of Government Lands</t>
    </r>
  </si>
  <si>
    <t>ރޯޔަލްޓީ: ޑިއުޓީ ފްރީ ޝޮޕްގެ ރޯޔަލްޓީ، ބިދޭސީން ކުރާ ވިޔަފާރިގެ ރޯޔަލްޓީ، ބިދޭސީން ކުރާ މަސްވެރިކަމުގެ ރޯޔަލްޓީ، ގާމެންޓް އިންޑަސްޓްރީގެ ރޯޔަލްޓީ، ބުލިއަން ރޯޔަލްޓީ، ފިއުލް ރީއެކްސްޕޯޓް ރޯޔަލްޓީ، ރީއެކްސްޕޯޓް ރޯޔަލްޓީ، ބޮޑު ކަންނެލީގެ އެކްސްޕޯޓް ރޯޔަލްޓީ، މަސް އެކްސްޕޯޓް ކުރުމުގެ ރޯޔަލްޓީ</t>
  </si>
  <si>
    <t>ހަރުމުދާ ވިއްކައިގެން ލިބޭ ފައިސާ: ނީލަމުގައި ތަކެތި ވިއްކައިގެން ލިބޭ، ސަރުކާރުގެ އިމާރާތް ވިއްކި، ސަރުކާރުގެ ބިން ވިއްކި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</si>
</sst>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00\ _ރ_._-;_-* #,##0.00\ _ރ_.\-;_-* &quot;-&quot;??\ _ރ_._-;_-@_-"/>
    <numFmt numFmtId="166" formatCode="#,##0.0"/>
    <numFmt numFmtId="167" formatCode="0.0"/>
    <numFmt numFmtId="168" formatCode="#,##0.00\ ;&quot; (&quot;#,##0.00\);&quot; -&quot;#\ ;@\ "/>
    <numFmt numFmtId="169" formatCode="0.00_)"/>
    <numFmt numFmtId="170" formatCode="_(* #,##0_);_(* \(#,##0\);_(* &quot;-&quot;??_);_(@_)"/>
    <numFmt numFmtId="171" formatCode="#,##0_);\-#,##0"/>
  </numFmts>
  <fonts count="33">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sz val="10"/>
      <color theme="1"/>
      <name val="Faruma"/>
    </font>
    <font>
      <sz val="9.5"/>
      <color theme="1"/>
      <name val="Faruma"/>
    </font>
    <font>
      <i/>
      <sz val="10"/>
      <color theme="1"/>
      <name val="Calibri"/>
      <family val="2"/>
      <scheme val="minor"/>
    </font>
    <font>
      <sz val="10"/>
      <color indexed="8"/>
      <name val="Arial"/>
      <family val="2"/>
    </font>
    <font>
      <sz val="10"/>
      <name val="Courier"/>
    </font>
    <font>
      <sz val="10"/>
      <name val="Helv"/>
    </font>
    <font>
      <b/>
      <sz val="10"/>
      <color theme="1"/>
      <name val="Faruma"/>
    </font>
    <font>
      <sz val="12"/>
      <color theme="1"/>
      <name val="Century Gothic"/>
      <family val="2"/>
    </font>
    <font>
      <b/>
      <i/>
      <sz val="16"/>
      <name val="Helv"/>
    </font>
    <font>
      <b/>
      <sz val="10"/>
      <name val="TimesNewRomanPS"/>
    </font>
    <font>
      <sz val="10"/>
      <color rgb="FF000000"/>
      <name val="Arial"/>
      <family val="2"/>
    </font>
    <font>
      <b/>
      <sz val="10"/>
      <color rgb="FF000000"/>
      <name val="Times"/>
      <family val="1"/>
    </font>
    <font>
      <b/>
      <sz val="11"/>
      <color theme="1"/>
      <name val="Faruma"/>
    </font>
    <font>
      <vertAlign val="superscript"/>
      <sz val="10"/>
      <color theme="1"/>
      <name val="Calibri"/>
      <family val="2"/>
      <scheme val="minor"/>
    </font>
    <font>
      <sz val="9"/>
      <color indexed="81"/>
      <name val="Tahoma"/>
      <family val="2"/>
    </font>
    <font>
      <b/>
      <sz val="12"/>
      <color theme="1"/>
      <name val="Calibri"/>
      <family val="2"/>
      <scheme val="minor"/>
    </font>
    <font>
      <b/>
      <sz val="9"/>
      <color theme="1"/>
      <name val="Faruma"/>
    </font>
    <font>
      <b/>
      <sz val="9"/>
      <color theme="1"/>
      <name val="A_Faseyha"/>
    </font>
    <font>
      <sz val="10.5"/>
      <color theme="1"/>
      <name val="Calibri"/>
      <family val="2"/>
      <scheme val="minor"/>
    </font>
    <font>
      <vertAlign val="superscript"/>
      <sz val="10"/>
      <color theme="1"/>
      <name val="Faruma"/>
    </font>
    <font>
      <sz val="10"/>
      <color theme="1"/>
      <name val="Arial"/>
      <family val="2"/>
    </font>
    <font>
      <vertAlign val="superscript"/>
      <sz val="9.5"/>
      <color theme="1"/>
      <name val="Faruma"/>
    </font>
    <font>
      <i/>
      <sz val="10"/>
      <color theme="1"/>
      <name val="Cambria"/>
      <family val="2"/>
      <scheme val="major"/>
    </font>
  </fonts>
  <fills count="3">
    <fill>
      <patternFill patternType="none"/>
    </fill>
    <fill>
      <patternFill patternType="gray125"/>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diagonal/>
    </border>
    <border>
      <left/>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top/>
      <bottom style="thin">
        <color auto="1"/>
      </bottom>
      <diagonal/>
    </border>
    <border>
      <left/>
      <right/>
      <top style="thin">
        <color auto="1"/>
      </top>
      <bottom style="hair">
        <color theme="1"/>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theme="1"/>
      </top>
      <bottom/>
      <diagonal/>
    </border>
  </borders>
  <cellStyleXfs count="58">
    <xf numFmtId="0" fontId="0"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0" fontId="6" fillId="0" borderId="0"/>
    <xf numFmtId="168"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3" fillId="0" borderId="0" applyNumberFormat="0" applyFill="0" applyBorder="0" applyAlignment="0" applyProtection="0"/>
    <xf numFmtId="167" fontId="14" fillId="0" borderId="0"/>
    <xf numFmtId="4" fontId="15" fillId="0" borderId="0" applyFont="0" applyFill="0" applyBorder="0" applyAlignment="0" applyProtection="0"/>
    <xf numFmtId="0" fontId="1" fillId="0" borderId="0"/>
    <xf numFmtId="43" fontId="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43" fontId="1"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169" fontId="18" fillId="0" borderId="0"/>
    <xf numFmtId="1" fontId="19" fillId="0" borderId="4" applyNumberFormat="0"/>
    <xf numFmtId="0" fontId="2" fillId="0" borderId="0"/>
    <xf numFmtId="0" fontId="1" fillId="0" borderId="0"/>
    <xf numFmtId="0" fontId="2" fillId="0" borderId="0"/>
    <xf numFmtId="9" fontId="2" fillId="0" borderId="0" applyFont="0" applyFill="0" applyBorder="0" applyAlignment="0" applyProtection="0"/>
    <xf numFmtId="0" fontId="2" fillId="0" borderId="0"/>
    <xf numFmtId="0" fontId="2" fillId="0" borderId="0"/>
    <xf numFmtId="0" fontId="1" fillId="0" borderId="0"/>
    <xf numFmtId="0" fontId="2" fillId="0" borderId="0"/>
    <xf numFmtId="0" fontId="2" fillId="0" borderId="0"/>
    <xf numFmtId="0" fontId="15" fillId="0" borderId="0"/>
    <xf numFmtId="40" fontId="15" fillId="0" borderId="0" applyFont="0" applyFill="0" applyBorder="0" applyAlignment="0" applyProtection="0"/>
    <xf numFmtId="0" fontId="15" fillId="0" borderId="0"/>
    <xf numFmtId="0" fontId="2" fillId="0" borderId="0"/>
    <xf numFmtId="0" fontId="2" fillId="0" borderId="0"/>
    <xf numFmtId="1" fontId="19" fillId="0" borderId="4" applyNumberFormat="0"/>
    <xf numFmtId="0" fontId="1" fillId="0" borderId="0"/>
    <xf numFmtId="0" fontId="15" fillId="0" borderId="0"/>
    <xf numFmtId="0" fontId="6" fillId="0" borderId="0" applyFill="0" applyProtection="0"/>
    <xf numFmtId="1" fontId="19" fillId="0" borderId="4" applyNumberFormat="0"/>
    <xf numFmtId="43" fontId="1" fillId="0" borderId="0" applyFont="0" applyFill="0" applyBorder="0" applyAlignment="0" applyProtection="0"/>
    <xf numFmtId="0" fontId="1" fillId="0" borderId="0"/>
    <xf numFmtId="0" fontId="20" fillId="0" borderId="0"/>
    <xf numFmtId="0" fontId="21" fillId="0" borderId="0"/>
    <xf numFmtId="0" fontId="20" fillId="0" borderId="0"/>
    <xf numFmtId="0" fontId="1" fillId="0" borderId="0"/>
    <xf numFmtId="0" fontId="15" fillId="0" borderId="0"/>
    <xf numFmtId="0" fontId="6" fillId="0" borderId="0" applyFill="0" applyProtection="0"/>
  </cellStyleXfs>
  <cellXfs count="67">
    <xf numFmtId="0" fontId="0" fillId="0" borderId="0" xfId="0"/>
    <xf numFmtId="166" fontId="11" fillId="2" borderId="0" xfId="2" applyNumberFormat="1" applyFont="1" applyFill="1" applyAlignment="1">
      <alignment horizontal="right" vertical="center"/>
    </xf>
    <xf numFmtId="0" fontId="12" fillId="2" borderId="0" xfId="0" applyFont="1" applyFill="1" applyAlignment="1">
      <alignment horizontal="left" vertical="center"/>
    </xf>
    <xf numFmtId="0" fontId="5" fillId="2" borderId="9" xfId="0" applyFont="1" applyFill="1" applyBorder="1" applyAlignment="1">
      <alignment horizontal="right" vertical="center" wrapText="1"/>
    </xf>
    <xf numFmtId="170" fontId="5" fillId="2" borderId="0" xfId="1" applyNumberFormat="1" applyFont="1" applyFill="1" applyBorder="1" applyAlignment="1">
      <alignment horizontal="left" vertical="center"/>
    </xf>
    <xf numFmtId="0" fontId="9" fillId="2" borderId="0" xfId="0" applyFont="1" applyFill="1" applyAlignment="1">
      <alignment horizontal="left" vertical="center"/>
    </xf>
    <xf numFmtId="0" fontId="9" fillId="2" borderId="0" xfId="0" applyFont="1" applyFill="1" applyAlignment="1">
      <alignment vertical="top"/>
    </xf>
    <xf numFmtId="171" fontId="12" fillId="2" borderId="0" xfId="0" applyNumberFormat="1" applyFont="1" applyFill="1" applyAlignment="1">
      <alignment horizontal="left" vertical="top"/>
    </xf>
    <xf numFmtId="0" fontId="23" fillId="2" borderId="0" xfId="0" applyFont="1" applyFill="1" applyAlignment="1">
      <alignment horizontal="center" vertical="top"/>
    </xf>
    <xf numFmtId="0" fontId="9" fillId="2" borderId="0" xfId="0" applyFont="1" applyFill="1" applyAlignment="1">
      <alignment vertical="top" wrapText="1"/>
    </xf>
    <xf numFmtId="0" fontId="10" fillId="2" borderId="0" xfId="0" applyFont="1" applyFill="1" applyAlignment="1">
      <alignment horizontal="right" vertical="top" wrapText="1"/>
    </xf>
    <xf numFmtId="170" fontId="0" fillId="2" borderId="0" xfId="1" applyNumberFormat="1" applyFont="1" applyFill="1" applyBorder="1" applyAlignment="1">
      <alignment horizontal="right" vertical="center"/>
    </xf>
    <xf numFmtId="0" fontId="10" fillId="2" borderId="0" xfId="0" applyFont="1" applyFill="1" applyAlignment="1">
      <alignment vertical="center"/>
    </xf>
    <xf numFmtId="0" fontId="10" fillId="2" borderId="0" xfId="0" applyFont="1" applyFill="1" applyAlignment="1">
      <alignment vertical="top"/>
    </xf>
    <xf numFmtId="0" fontId="9" fillId="2" borderId="0" xfId="0" applyFont="1" applyFill="1" applyAlignment="1">
      <alignment horizontal="left" vertical="top" wrapText="1"/>
    </xf>
    <xf numFmtId="170" fontId="0" fillId="2" borderId="0" xfId="1" applyNumberFormat="1" applyFont="1" applyFill="1" applyAlignment="1">
      <alignment vertical="center"/>
    </xf>
    <xf numFmtId="170" fontId="0" fillId="2" borderId="0" xfId="1" applyNumberFormat="1" applyFont="1" applyFill="1" applyBorder="1" applyAlignment="1">
      <alignment vertical="center"/>
    </xf>
    <xf numFmtId="0" fontId="0" fillId="2" borderId="0" xfId="0" applyFill="1"/>
    <xf numFmtId="0" fontId="5" fillId="2" borderId="6" xfId="0" applyFont="1" applyFill="1" applyBorder="1" applyAlignment="1">
      <alignment horizontal="center" vertical="center" wrapText="1"/>
    </xf>
    <xf numFmtId="0" fontId="5" fillId="2" borderId="11" xfId="0" applyFont="1" applyFill="1" applyBorder="1" applyAlignment="1">
      <alignment horizontal="right" vertical="center" wrapText="1"/>
    </xf>
    <xf numFmtId="0" fontId="5" fillId="2" borderId="10" xfId="0" applyFont="1" applyFill="1" applyBorder="1" applyAlignment="1">
      <alignment horizontal="right" vertical="center" wrapText="1"/>
    </xf>
    <xf numFmtId="0" fontId="28" fillId="2" borderId="0" xfId="0" applyFont="1" applyFill="1" applyAlignment="1">
      <alignment horizontal="left" vertical="top"/>
    </xf>
    <xf numFmtId="167" fontId="0" fillId="2" borderId="13" xfId="0" applyNumberFormat="1" applyFill="1" applyBorder="1" applyAlignment="1">
      <alignment horizontal="right" vertical="center" wrapText="1"/>
    </xf>
    <xf numFmtId="167" fontId="0" fillId="2" borderId="0" xfId="0" applyNumberFormat="1" applyFill="1" applyAlignment="1">
      <alignment horizontal="right" vertical="center" wrapText="1"/>
    </xf>
    <xf numFmtId="167" fontId="0" fillId="2" borderId="12" xfId="0" applyNumberFormat="1" applyFill="1" applyBorder="1" applyAlignment="1">
      <alignment horizontal="right" vertical="center" wrapText="1"/>
    </xf>
    <xf numFmtId="0" fontId="10" fillId="2" borderId="0" xfId="0" applyFont="1" applyFill="1" applyAlignment="1">
      <alignment vertical="top" wrapText="1"/>
    </xf>
    <xf numFmtId="0" fontId="28" fillId="2" borderId="0" xfId="0" applyFont="1" applyFill="1" applyAlignment="1">
      <alignment vertical="center" wrapText="1"/>
    </xf>
    <xf numFmtId="171" fontId="5" fillId="2" borderId="9" xfId="0" applyNumberFormat="1" applyFont="1" applyFill="1" applyBorder="1" applyAlignment="1">
      <alignment horizontal="left" vertical="top"/>
    </xf>
    <xf numFmtId="170" fontId="8" fillId="2" borderId="9" xfId="1" applyNumberFormat="1" applyFont="1" applyFill="1" applyBorder="1" applyAlignment="1">
      <alignment horizontal="right" vertical="center"/>
    </xf>
    <xf numFmtId="1" fontId="8" fillId="2" borderId="9" xfId="0" applyNumberFormat="1" applyFont="1" applyFill="1" applyBorder="1" applyAlignment="1">
      <alignment horizontal="right" vertical="center" wrapText="1"/>
    </xf>
    <xf numFmtId="1" fontId="8" fillId="2" borderId="11" xfId="0" applyNumberFormat="1" applyFont="1" applyFill="1" applyBorder="1" applyAlignment="1">
      <alignment horizontal="right" vertical="center" wrapText="1"/>
    </xf>
    <xf numFmtId="0" fontId="16" fillId="2" borderId="9" xfId="0" applyFont="1" applyFill="1" applyBorder="1" applyAlignment="1">
      <alignment vertical="top" wrapText="1"/>
    </xf>
    <xf numFmtId="0" fontId="5" fillId="2" borderId="0" xfId="0" applyFont="1" applyFill="1" applyAlignment="1">
      <alignment vertical="top"/>
    </xf>
    <xf numFmtId="170" fontId="5" fillId="2" borderId="2" xfId="1" applyNumberFormat="1" applyFont="1" applyFill="1" applyBorder="1" applyAlignment="1">
      <alignment horizontal="right" vertical="center"/>
    </xf>
    <xf numFmtId="170" fontId="9" fillId="2" borderId="0" xfId="0" applyNumberFormat="1" applyFont="1" applyFill="1" applyAlignment="1">
      <alignment vertical="top"/>
    </xf>
    <xf numFmtId="170" fontId="5" fillId="2" borderId="0" xfId="1" applyNumberFormat="1" applyFont="1" applyFill="1" applyBorder="1" applyAlignment="1">
      <alignment horizontal="right" vertical="center"/>
    </xf>
    <xf numFmtId="0" fontId="10" fillId="2" borderId="0" xfId="0" applyFont="1" applyFill="1" applyAlignment="1">
      <alignment horizontal="right" vertical="top"/>
    </xf>
    <xf numFmtId="171" fontId="12" fillId="2" borderId="0" xfId="0" applyNumberFormat="1" applyFont="1" applyFill="1" applyAlignment="1">
      <alignment horizontal="left" vertical="center"/>
    </xf>
    <xf numFmtId="0" fontId="32" fillId="2" borderId="0" xfId="43" applyFont="1" applyFill="1" applyAlignment="1">
      <alignment horizontal="left" vertical="center"/>
    </xf>
    <xf numFmtId="0" fontId="5" fillId="2" borderId="14" xfId="0" applyFont="1" applyFill="1" applyBorder="1" applyAlignment="1">
      <alignment vertical="center"/>
    </xf>
    <xf numFmtId="0" fontId="26" fillId="2" borderId="1" xfId="0" applyFont="1" applyFill="1" applyBorder="1" applyAlignment="1">
      <alignment vertical="center" wrapText="1"/>
    </xf>
    <xf numFmtId="166" fontId="0" fillId="2" borderId="0" xfId="1" applyNumberFormat="1" applyFont="1" applyFill="1" applyAlignment="1">
      <alignment horizontal="right" vertical="center" wrapText="1" indent="5"/>
    </xf>
    <xf numFmtId="0" fontId="30" fillId="2" borderId="0" xfId="0" applyFont="1" applyFill="1" applyAlignment="1">
      <alignment horizontal="right" vertical="center" indent="5"/>
    </xf>
    <xf numFmtId="166" fontId="8" fillId="2" borderId="11" xfId="1" applyNumberFormat="1" applyFont="1" applyFill="1" applyBorder="1" applyAlignment="1">
      <alignment horizontal="right" vertical="center" wrapText="1" indent="5"/>
    </xf>
    <xf numFmtId="0" fontId="5" fillId="2" borderId="2"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0" fontId="9" fillId="2" borderId="0" xfId="0" applyFont="1" applyFill="1" applyAlignment="1">
      <alignment horizontal="left" vertical="center" wrapText="1"/>
    </xf>
    <xf numFmtId="0" fontId="22" fillId="2" borderId="0" xfId="0" applyFont="1" applyFill="1" applyAlignment="1">
      <alignment horizontal="center" vertical="top" wrapText="1"/>
    </xf>
    <xf numFmtId="0" fontId="25" fillId="2" borderId="0" xfId="0" applyFont="1" applyFill="1" applyAlignment="1">
      <alignment horizontal="center" vertical="top"/>
    </xf>
    <xf numFmtId="0" fontId="16" fillId="2" borderId="2" xfId="0" applyFont="1" applyFill="1" applyBorder="1" applyAlignment="1">
      <alignment horizontal="righ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wrapText="1"/>
    </xf>
    <xf numFmtId="0" fontId="12" fillId="2" borderId="0" xfId="0" applyFont="1" applyFill="1" applyAlignment="1">
      <alignment horizontal="left" vertical="center" wrapText="1"/>
    </xf>
    <xf numFmtId="0" fontId="26" fillId="2" borderId="18" xfId="0" applyFont="1" applyFill="1" applyBorder="1" applyAlignment="1">
      <alignment horizontal="center" vertical="center" wrapText="1" readingOrder="2"/>
    </xf>
    <xf numFmtId="0" fontId="26" fillId="2" borderId="8" xfId="0" applyFont="1" applyFill="1" applyBorder="1" applyAlignment="1">
      <alignment horizontal="center" vertical="center" wrapText="1" readingOrder="2"/>
    </xf>
    <xf numFmtId="0" fontId="5" fillId="2" borderId="16"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27" fillId="2" borderId="8" xfId="0" applyFont="1" applyFill="1" applyBorder="1" applyAlignment="1">
      <alignment horizontal="center" vertical="center" wrapText="1" readingOrder="2"/>
    </xf>
    <xf numFmtId="0" fontId="27" fillId="2" borderId="5" xfId="0" applyFont="1" applyFill="1" applyBorder="1" applyAlignment="1">
      <alignment horizontal="center" vertical="center" wrapText="1" readingOrder="2"/>
    </xf>
    <xf numFmtId="0" fontId="27" fillId="2" borderId="7" xfId="0" applyFont="1" applyFill="1" applyBorder="1" applyAlignment="1">
      <alignment horizontal="center" vertical="center" wrapText="1" readingOrder="2"/>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26" fillId="2" borderId="3" xfId="0" applyFont="1" applyFill="1" applyBorder="1" applyAlignment="1">
      <alignment horizontal="center" vertical="center" wrapText="1"/>
    </xf>
    <xf numFmtId="0" fontId="26" fillId="2" borderId="17" xfId="0" applyFont="1" applyFill="1" applyBorder="1" applyAlignment="1">
      <alignment horizontal="center" vertical="center" wrapText="1"/>
    </xf>
    <xf numFmtId="0" fontId="10" fillId="2" borderId="0" xfId="0" applyFont="1" applyFill="1" applyAlignment="1">
      <alignment horizontal="right" vertical="center" wrapText="1"/>
    </xf>
  </cellXfs>
  <cellStyles count="58">
    <cellStyle name="1" xfId="27" xr:uid="{00000000-0005-0000-0000-000000000000}"/>
    <cellStyle name="Comma" xfId="1" builtinId="3"/>
    <cellStyle name="Comma 12" xfId="22" xr:uid="{00000000-0005-0000-0000-000002000000}"/>
    <cellStyle name="Comma 2" xfId="6" xr:uid="{00000000-0005-0000-0000-000003000000}"/>
    <cellStyle name="Comma 2 2" xfId="41" xr:uid="{00000000-0005-0000-0000-000004000000}"/>
    <cellStyle name="Comma 2 2 2 5" xfId="50" xr:uid="{00000000-0005-0000-0000-000005000000}"/>
    <cellStyle name="Comma 3" xfId="7" xr:uid="{00000000-0005-0000-0000-000006000000}"/>
    <cellStyle name="Comma 3 2" xfId="17" xr:uid="{00000000-0005-0000-0000-000007000000}"/>
    <cellStyle name="Comma 3 3" xfId="28" xr:uid="{00000000-0005-0000-0000-000008000000}"/>
    <cellStyle name="Comma 4" xfId="3" xr:uid="{00000000-0005-0000-0000-000009000000}"/>
    <cellStyle name="Comma 4 2" xfId="14" xr:uid="{00000000-0005-0000-0000-00000A000000}"/>
    <cellStyle name="Comma 5" xfId="12" xr:uid="{00000000-0005-0000-0000-00000B000000}"/>
    <cellStyle name="Comma 6" xfId="9" xr:uid="{00000000-0005-0000-0000-00000C000000}"/>
    <cellStyle name="Comma 6 2" xfId="18" xr:uid="{00000000-0005-0000-0000-00000D000000}"/>
    <cellStyle name="Comma 7" xfId="16" xr:uid="{00000000-0005-0000-0000-00000E000000}"/>
    <cellStyle name="Comma 8" xfId="20" xr:uid="{00000000-0005-0000-0000-00000F000000}"/>
    <cellStyle name="Excel Built-in Comma" xfId="5" xr:uid="{00000000-0005-0000-0000-000010000000}"/>
    <cellStyle name="Excel Built-in Normal" xfId="4" xr:uid="{00000000-0005-0000-0000-000011000000}"/>
    <cellStyle name="Normal" xfId="0" builtinId="0"/>
    <cellStyle name="Normal - Style1" xfId="29" xr:uid="{00000000-0005-0000-0000-000013000000}"/>
    <cellStyle name="Normal 10" xfId="35" xr:uid="{00000000-0005-0000-0000-000014000000}"/>
    <cellStyle name="Normal 11" xfId="47" xr:uid="{00000000-0005-0000-0000-000015000000}"/>
    <cellStyle name="Normal 12" xfId="49" xr:uid="{00000000-0005-0000-0000-000016000000}"/>
    <cellStyle name="Normal 2" xfId="10" xr:uid="{00000000-0005-0000-0000-000017000000}"/>
    <cellStyle name="Normal 2 2" xfId="13" xr:uid="{00000000-0005-0000-0000-000018000000}"/>
    <cellStyle name="Normal 2 2 2" xfId="42" xr:uid="{00000000-0005-0000-0000-000019000000}"/>
    <cellStyle name="Normal 2 2 3" xfId="44" xr:uid="{00000000-0005-0000-0000-00001A000000}"/>
    <cellStyle name="Normal 2 2 4" xfId="30" xr:uid="{00000000-0005-0000-0000-00001B000000}"/>
    <cellStyle name="Normal 2 3" xfId="46" xr:uid="{00000000-0005-0000-0000-00001C000000}"/>
    <cellStyle name="Normal 2 3 2" xfId="57" xr:uid="{00000000-0005-0000-0000-00001D000000}"/>
    <cellStyle name="Normal 2 4" xfId="48" xr:uid="{00000000-0005-0000-0000-00001E000000}"/>
    <cellStyle name="Normal 2 5" xfId="52" xr:uid="{00000000-0005-0000-0000-00001F000000}"/>
    <cellStyle name="Normal 2 6" xfId="23" xr:uid="{00000000-0005-0000-0000-000020000000}"/>
    <cellStyle name="Normal 3" xfId="11" xr:uid="{00000000-0005-0000-0000-000021000000}"/>
    <cellStyle name="Normal 3 2" xfId="45" xr:uid="{00000000-0005-0000-0000-000022000000}"/>
    <cellStyle name="Normal 3 2 2" xfId="54" xr:uid="{00000000-0005-0000-0000-000023000000}"/>
    <cellStyle name="Normal 3 3" xfId="31" xr:uid="{00000000-0005-0000-0000-000024000000}"/>
    <cellStyle name="Normal 4" xfId="8" xr:uid="{00000000-0005-0000-0000-000025000000}"/>
    <cellStyle name="Normal 4 2" xfId="32" xr:uid="{00000000-0005-0000-0000-000026000000}"/>
    <cellStyle name="Normal 4 2 2" xfId="37" xr:uid="{00000000-0005-0000-0000-000027000000}"/>
    <cellStyle name="Normal 4 3" xfId="53" xr:uid="{00000000-0005-0000-0000-000028000000}"/>
    <cellStyle name="Normal 4 4" xfId="36" xr:uid="{00000000-0005-0000-0000-000029000000}"/>
    <cellStyle name="Normal 5" xfId="19" xr:uid="{00000000-0005-0000-0000-00002A000000}"/>
    <cellStyle name="Normal 5 2" xfId="25" xr:uid="{00000000-0005-0000-0000-00002B000000}"/>
    <cellStyle name="Normal 5 3" xfId="51" xr:uid="{00000000-0005-0000-0000-00002C000000}"/>
    <cellStyle name="Normal 5 4" xfId="33" xr:uid="{00000000-0005-0000-0000-00002D000000}"/>
    <cellStyle name="Normal 6" xfId="38" xr:uid="{00000000-0005-0000-0000-00002E000000}"/>
    <cellStyle name="Normal 6 2" xfId="55" xr:uid="{00000000-0005-0000-0000-00002F000000}"/>
    <cellStyle name="Normal 7" xfId="39" xr:uid="{00000000-0005-0000-0000-000030000000}"/>
    <cellStyle name="Normal 7 2" xfId="56" xr:uid="{00000000-0005-0000-0000-000031000000}"/>
    <cellStyle name="Normal 8" xfId="40" xr:uid="{00000000-0005-0000-0000-000032000000}"/>
    <cellStyle name="Normal 9" xfId="26" xr:uid="{00000000-0005-0000-0000-000033000000}"/>
    <cellStyle name="Normal_13 Public Finance_done" xfId="2" xr:uid="{00000000-0005-0000-0000-000034000000}"/>
    <cellStyle name="Normal_Quick data" xfId="43" xr:uid="{00000000-0005-0000-0000-000035000000}"/>
    <cellStyle name="Percent 2" xfId="15" xr:uid="{00000000-0005-0000-0000-000038000000}"/>
    <cellStyle name="Percent 2 2" xfId="24" xr:uid="{00000000-0005-0000-0000-000039000000}"/>
    <cellStyle name="Percent 2 3" xfId="34" xr:uid="{00000000-0005-0000-0000-00003A000000}"/>
    <cellStyle name="Percent 3" xfId="21" xr:uid="{00000000-0005-0000-0000-00003B000000}"/>
  </cellStyles>
  <dxfs count="0"/>
  <tableStyles count="0" defaultTableStyle="TableStyleMedium9" defaultPivotStyle="PivotStyleLight16"/>
  <colors>
    <mruColors>
      <color rgb="FFFDEADA"/>
      <color rgb="FFEBF1DE"/>
      <color rgb="FFFBC99F"/>
      <color rgb="FFF5EADF"/>
      <color rgb="FFFAC090"/>
      <color rgb="FF996633"/>
      <color rgb="FFCC6600"/>
      <color rgb="FF6C3600"/>
      <color rgb="FFFCD5B5"/>
      <color rgb="FF7DD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8916-00C1-49A2-88E5-19C0820A6F02}">
  <dimension ref="A1:AQ69"/>
  <sheetViews>
    <sheetView tabSelected="1" zoomScaleNormal="100" workbookViewId="0">
      <selection activeCell="O8" sqref="O8:O36"/>
    </sheetView>
  </sheetViews>
  <sheetFormatPr defaultRowHeight="15"/>
  <cols>
    <col min="1" max="1" width="38.42578125" style="17" customWidth="1"/>
    <col min="2" max="2" width="18" style="17" hidden="1" customWidth="1"/>
    <col min="3" max="7" width="15.5703125" style="17" customWidth="1"/>
    <col min="8" max="8" width="15.140625" style="17" customWidth="1"/>
    <col min="9" max="14" width="10" style="17" customWidth="1"/>
    <col min="15" max="15" width="18.28515625" style="17" customWidth="1"/>
    <col min="16" max="16" width="29.28515625" style="17" customWidth="1"/>
    <col min="17" max="17" width="1.85546875" style="17" customWidth="1"/>
    <col min="18" max="16384" width="9.140625" style="17"/>
  </cols>
  <sheetData>
    <row r="1" spans="1:16" s="9" customFormat="1" ht="18.75" customHeight="1">
      <c r="A1" s="48" t="s">
        <v>76</v>
      </c>
      <c r="B1" s="48"/>
      <c r="C1" s="48"/>
      <c r="D1" s="48"/>
      <c r="E1" s="48"/>
      <c r="F1" s="48"/>
      <c r="G1" s="48"/>
      <c r="H1" s="48"/>
      <c r="I1" s="48"/>
      <c r="J1" s="48"/>
      <c r="K1" s="48"/>
      <c r="L1" s="48"/>
      <c r="M1" s="48"/>
      <c r="N1" s="48"/>
      <c r="O1" s="48"/>
      <c r="P1" s="48"/>
    </row>
    <row r="2" spans="1:16" s="9" customFormat="1" ht="15.75" customHeight="1">
      <c r="A2" s="49" t="s">
        <v>75</v>
      </c>
      <c r="B2" s="49"/>
      <c r="C2" s="49"/>
      <c r="D2" s="49"/>
      <c r="E2" s="49"/>
      <c r="F2" s="49"/>
      <c r="G2" s="49"/>
      <c r="H2" s="49"/>
      <c r="I2" s="49"/>
      <c r="J2" s="49"/>
      <c r="K2" s="49"/>
      <c r="L2" s="49"/>
      <c r="M2" s="49"/>
      <c r="N2" s="49"/>
      <c r="O2" s="49"/>
      <c r="P2" s="49"/>
    </row>
    <row r="3" spans="1:16" hidden="1"/>
    <row r="4" spans="1:16" ht="8.25" customHeight="1"/>
    <row r="5" spans="1:16" ht="29.25" customHeight="1">
      <c r="A5" s="44" t="s">
        <v>4</v>
      </c>
      <c r="B5" s="39"/>
      <c r="C5" s="62" t="s">
        <v>5</v>
      </c>
      <c r="D5" s="62"/>
      <c r="E5" s="62"/>
      <c r="F5" s="62"/>
      <c r="G5" s="62"/>
      <c r="H5" s="63"/>
      <c r="I5" s="56" t="s">
        <v>6</v>
      </c>
      <c r="J5" s="57"/>
      <c r="K5" s="57"/>
      <c r="L5" s="57"/>
      <c r="M5" s="57"/>
      <c r="N5" s="58"/>
      <c r="O5" s="18" t="s">
        <v>73</v>
      </c>
      <c r="P5" s="50" t="s">
        <v>3</v>
      </c>
    </row>
    <row r="6" spans="1:16" ht="35.25" customHeight="1">
      <c r="A6" s="45"/>
      <c r="B6" s="40"/>
      <c r="C6" s="64" t="s">
        <v>7</v>
      </c>
      <c r="D6" s="64"/>
      <c r="E6" s="64"/>
      <c r="F6" s="64"/>
      <c r="G6" s="64"/>
      <c r="H6" s="65"/>
      <c r="I6" s="59" t="s">
        <v>8</v>
      </c>
      <c r="J6" s="60"/>
      <c r="K6" s="60"/>
      <c r="L6" s="60"/>
      <c r="M6" s="60"/>
      <c r="N6" s="61"/>
      <c r="O6" s="54" t="s">
        <v>74</v>
      </c>
      <c r="P6" s="51"/>
    </row>
    <row r="7" spans="1:16">
      <c r="A7" s="46"/>
      <c r="B7" s="3" t="s">
        <v>9</v>
      </c>
      <c r="C7" s="3">
        <v>2020</v>
      </c>
      <c r="D7" s="3">
        <v>2021</v>
      </c>
      <c r="E7" s="3">
        <v>2022</v>
      </c>
      <c r="F7" s="3">
        <v>2023</v>
      </c>
      <c r="G7" s="3">
        <v>2024</v>
      </c>
      <c r="H7" s="3">
        <v>2025</v>
      </c>
      <c r="I7" s="19">
        <v>2020</v>
      </c>
      <c r="J7" s="3">
        <v>2021</v>
      </c>
      <c r="K7" s="3">
        <v>2022</v>
      </c>
      <c r="L7" s="3">
        <v>2023</v>
      </c>
      <c r="M7" s="3">
        <v>2024</v>
      </c>
      <c r="N7" s="20">
        <v>2025</v>
      </c>
      <c r="O7" s="55"/>
      <c r="P7" s="52"/>
    </row>
    <row r="8" spans="1:16" ht="21.75" customHeight="1">
      <c r="A8" s="21" t="s">
        <v>66</v>
      </c>
      <c r="B8" s="11">
        <v>731095991.43890047</v>
      </c>
      <c r="C8" s="11">
        <v>283339591.02079999</v>
      </c>
      <c r="D8" s="11">
        <v>473428443.87150002</v>
      </c>
      <c r="E8" s="11">
        <v>830558836.34319997</v>
      </c>
      <c r="F8" s="15">
        <v>988994156.58330011</v>
      </c>
      <c r="G8" s="16">
        <v>1137309043.9941001</v>
      </c>
      <c r="H8" s="16">
        <v>1909470189.5327997</v>
      </c>
      <c r="I8" s="22">
        <f t="shared" ref="I8:I35" si="0">C8/$C$35*100</f>
        <v>2.7192177118608933</v>
      </c>
      <c r="J8" s="23">
        <f t="shared" ref="J8:J35" si="1">D8/$D$35*100</f>
        <v>3.0228330407787243</v>
      </c>
      <c r="K8" s="23">
        <f t="shared" ref="K8:K35" si="2">E8/$E$35*100</f>
        <v>3.7712600860788599</v>
      </c>
      <c r="L8" s="23">
        <f t="shared" ref="L8:L35" si="3">F8/$F$35*100</f>
        <v>3.9783750614351945</v>
      </c>
      <c r="M8" s="23">
        <f t="shared" ref="M8:M35" si="4">G8/$G$35*100</f>
        <v>4.0473340020885651</v>
      </c>
      <c r="N8" s="24">
        <f t="shared" ref="N8:N35" si="5">H8/$H$35*100</f>
        <v>5.7783867973207608</v>
      </c>
      <c r="O8" s="41">
        <f t="shared" ref="O8:O13" si="6">((H8/G8)-1)*100</f>
        <v>67.893696055291826</v>
      </c>
      <c r="P8" s="25" t="s">
        <v>10</v>
      </c>
    </row>
    <row r="9" spans="1:16" ht="21.75" customHeight="1">
      <c r="A9" s="21" t="s">
        <v>11</v>
      </c>
      <c r="B9" s="11">
        <v>733697538.34759951</v>
      </c>
      <c r="C9" s="11">
        <v>285888291.4224</v>
      </c>
      <c r="D9" s="11">
        <v>483012009.42839998</v>
      </c>
      <c r="E9" s="11">
        <v>849314523.76380002</v>
      </c>
      <c r="F9" s="15">
        <v>1016365837.6506002</v>
      </c>
      <c r="G9" s="16">
        <v>1159387359.2255998</v>
      </c>
      <c r="H9" s="16">
        <v>1930066335.1799998</v>
      </c>
      <c r="I9" s="22">
        <f t="shared" si="0"/>
        <v>2.7436776584899154</v>
      </c>
      <c r="J9" s="23">
        <f t="shared" si="1"/>
        <v>3.0840239535531353</v>
      </c>
      <c r="K9" s="23">
        <f t="shared" si="2"/>
        <v>3.8564227166610627</v>
      </c>
      <c r="L9" s="23">
        <f t="shared" si="3"/>
        <v>4.0884816911082211</v>
      </c>
      <c r="M9" s="23">
        <f t="shared" si="4"/>
        <v>4.1259039531648902</v>
      </c>
      <c r="N9" s="24">
        <f t="shared" si="5"/>
        <v>5.8407142935738419</v>
      </c>
      <c r="O9" s="41">
        <f t="shared" si="6"/>
        <v>66.472949685182584</v>
      </c>
      <c r="P9" s="25" t="s">
        <v>12</v>
      </c>
    </row>
    <row r="10" spans="1:16" ht="21.75" customHeight="1">
      <c r="A10" s="21" t="s">
        <v>13</v>
      </c>
      <c r="B10" s="11">
        <v>613969839.03999996</v>
      </c>
      <c r="C10" s="11">
        <v>953699643.38</v>
      </c>
      <c r="D10" s="11">
        <v>675071083.45000005</v>
      </c>
      <c r="E10" s="11">
        <v>901259956.67999995</v>
      </c>
      <c r="F10" s="15">
        <v>967668297.61999989</v>
      </c>
      <c r="G10" s="16">
        <v>1470309985.6200001</v>
      </c>
      <c r="H10" s="16">
        <v>737383653.33010006</v>
      </c>
      <c r="I10" s="22">
        <f t="shared" si="0"/>
        <v>9.1526812498431891</v>
      </c>
      <c r="J10" s="23">
        <f t="shared" si="1"/>
        <v>4.3103180688501839</v>
      </c>
      <c r="K10" s="23">
        <f t="shared" si="2"/>
        <v>4.092287690024615</v>
      </c>
      <c r="L10" s="23">
        <f t="shared" si="3"/>
        <v>3.8925886440953947</v>
      </c>
      <c r="M10" s="23">
        <f t="shared" si="4"/>
        <v>5.2323822006299343</v>
      </c>
      <c r="N10" s="24">
        <f t="shared" si="5"/>
        <v>2.2314503731557771</v>
      </c>
      <c r="O10" s="41">
        <f t="shared" si="6"/>
        <v>-49.848422404669975</v>
      </c>
      <c r="P10" s="25" t="s">
        <v>14</v>
      </c>
    </row>
    <row r="11" spans="1:16" ht="21.75" customHeight="1">
      <c r="A11" s="21" t="s">
        <v>81</v>
      </c>
      <c r="B11" s="11">
        <v>46866204.730000004</v>
      </c>
      <c r="C11" s="11">
        <v>38389556.316399999</v>
      </c>
      <c r="D11" s="11">
        <v>50800095.238700002</v>
      </c>
      <c r="E11" s="11">
        <v>50137302.653999999</v>
      </c>
      <c r="F11" s="15">
        <v>54322781.491999991</v>
      </c>
      <c r="G11" s="16">
        <v>34052397.574200004</v>
      </c>
      <c r="H11" s="16">
        <v>32938422.800000004</v>
      </c>
      <c r="I11" s="22">
        <f t="shared" si="0"/>
        <v>0.36842560938959235</v>
      </c>
      <c r="J11" s="23">
        <f t="shared" si="1"/>
        <v>0.32435779546006388</v>
      </c>
      <c r="K11" s="23">
        <f t="shared" si="2"/>
        <v>0.22765492346716149</v>
      </c>
      <c r="L11" s="23">
        <f t="shared" si="3"/>
        <v>0.2185214115947744</v>
      </c>
      <c r="M11" s="23">
        <f t="shared" si="4"/>
        <v>0.12118203691644329</v>
      </c>
      <c r="N11" s="24">
        <f t="shared" si="5"/>
        <v>9.9677359968975712E-2</v>
      </c>
      <c r="O11" s="41">
        <f t="shared" si="6"/>
        <v>-3.2713548929195202</v>
      </c>
      <c r="P11" s="25" t="s">
        <v>82</v>
      </c>
    </row>
    <row r="12" spans="1:16" ht="39.75" customHeight="1">
      <c r="A12" s="26" t="s">
        <v>15</v>
      </c>
      <c r="B12" s="11">
        <v>2899307645.7716002</v>
      </c>
      <c r="C12" s="11">
        <v>2701575018.4759002</v>
      </c>
      <c r="D12" s="11">
        <v>2135302216.5644002</v>
      </c>
      <c r="E12" s="11">
        <v>3580679006.5325999</v>
      </c>
      <c r="F12" s="15">
        <v>4344192601.2245998</v>
      </c>
      <c r="G12" s="16">
        <v>4542756466.8767996</v>
      </c>
      <c r="H12" s="16">
        <v>4497453366.0067997</v>
      </c>
      <c r="I12" s="22">
        <f t="shared" si="0"/>
        <v>25.927088458390923</v>
      </c>
      <c r="J12" s="23">
        <f t="shared" si="1"/>
        <v>13.633870494758165</v>
      </c>
      <c r="K12" s="23">
        <f t="shared" si="2"/>
        <v>16.258537297431111</v>
      </c>
      <c r="L12" s="23">
        <f t="shared" si="3"/>
        <v>17.47515634115635</v>
      </c>
      <c r="M12" s="23">
        <f t="shared" si="4"/>
        <v>16.166276711410347</v>
      </c>
      <c r="N12" s="24">
        <f t="shared" si="5"/>
        <v>13.610071156993625</v>
      </c>
      <c r="O12" s="41">
        <f t="shared" si="6"/>
        <v>-0.99726017012631285</v>
      </c>
      <c r="P12" s="1" t="s">
        <v>16</v>
      </c>
    </row>
    <row r="13" spans="1:16" ht="21.75" hidden="1" customHeight="1">
      <c r="A13" s="21" t="s">
        <v>17</v>
      </c>
      <c r="B13" s="11">
        <v>33813250</v>
      </c>
      <c r="C13" s="11">
        <v>0</v>
      </c>
      <c r="D13" s="11">
        <v>0</v>
      </c>
      <c r="E13" s="11">
        <v>0</v>
      </c>
      <c r="F13" s="11">
        <v>0</v>
      </c>
      <c r="G13" s="11">
        <v>0</v>
      </c>
      <c r="H13" s="11"/>
      <c r="I13" s="22">
        <f t="shared" si="0"/>
        <v>0</v>
      </c>
      <c r="J13" s="23">
        <f t="shared" si="1"/>
        <v>0</v>
      </c>
      <c r="K13" s="23">
        <f t="shared" si="2"/>
        <v>0</v>
      </c>
      <c r="L13" s="23">
        <f t="shared" si="3"/>
        <v>0</v>
      </c>
      <c r="M13" s="23">
        <f t="shared" si="4"/>
        <v>0</v>
      </c>
      <c r="N13" s="24">
        <f t="shared" si="5"/>
        <v>0</v>
      </c>
      <c r="O13" s="41" t="e">
        <f t="shared" si="6"/>
        <v>#DIV/0!</v>
      </c>
      <c r="P13" s="1" t="s">
        <v>18</v>
      </c>
    </row>
    <row r="14" spans="1:16" ht="21.75" customHeight="1">
      <c r="A14" s="21" t="s">
        <v>19</v>
      </c>
      <c r="B14" s="11">
        <v>43975220</v>
      </c>
      <c r="C14" s="11">
        <v>21566315</v>
      </c>
      <c r="D14" s="11">
        <v>6232955</v>
      </c>
      <c r="E14" s="11">
        <v>8036535</v>
      </c>
      <c r="F14" s="15">
        <v>688814.94870000007</v>
      </c>
      <c r="G14" s="16">
        <v>30545169.897600003</v>
      </c>
      <c r="H14" s="16">
        <v>88181141.276700005</v>
      </c>
      <c r="I14" s="22">
        <f t="shared" si="0"/>
        <v>0.20697250785283386</v>
      </c>
      <c r="J14" s="23">
        <f t="shared" si="1"/>
        <v>3.9797317967656606E-2</v>
      </c>
      <c r="K14" s="23">
        <f t="shared" si="2"/>
        <v>3.649092917885962E-2</v>
      </c>
      <c r="L14" s="23">
        <f t="shared" si="3"/>
        <v>2.7708598636406907E-3</v>
      </c>
      <c r="M14" s="23">
        <f t="shared" si="4"/>
        <v>0.10870088950666069</v>
      </c>
      <c r="N14" s="24">
        <f t="shared" si="5"/>
        <v>0.26685137339097875</v>
      </c>
      <c r="O14" s="42" t="s">
        <v>79</v>
      </c>
      <c r="P14" s="1" t="s">
        <v>20</v>
      </c>
    </row>
    <row r="15" spans="1:16" ht="21.75" customHeight="1">
      <c r="A15" s="21" t="s">
        <v>21</v>
      </c>
      <c r="B15" s="11">
        <v>197358978.90477699</v>
      </c>
      <c r="C15" s="11">
        <v>129047369.70370001</v>
      </c>
      <c r="D15" s="11">
        <v>181397419.44339997</v>
      </c>
      <c r="E15" s="11">
        <v>137560943.80849999</v>
      </c>
      <c r="F15" s="15">
        <v>69324452.208299994</v>
      </c>
      <c r="G15" s="16">
        <v>83913002.663000003</v>
      </c>
      <c r="H15" s="16">
        <v>86423388.880100012</v>
      </c>
      <c r="I15" s="22">
        <f t="shared" si="0"/>
        <v>1.2384710943611184</v>
      </c>
      <c r="J15" s="23">
        <f t="shared" si="1"/>
        <v>1.1582196213676117</v>
      </c>
      <c r="K15" s="23">
        <f t="shared" si="2"/>
        <v>0.62461330141572968</v>
      </c>
      <c r="L15" s="23">
        <f t="shared" si="3"/>
        <v>0.27886784767866013</v>
      </c>
      <c r="M15" s="23">
        <f t="shared" si="4"/>
        <v>0.29862063498817132</v>
      </c>
      <c r="N15" s="24">
        <f t="shared" si="5"/>
        <v>0.26153211085566913</v>
      </c>
      <c r="O15" s="41">
        <f>((H15/G15)-1)*100</f>
        <v>2.9916534237034442</v>
      </c>
      <c r="P15" s="25" t="s">
        <v>1</v>
      </c>
    </row>
    <row r="16" spans="1:16" ht="21.75" customHeight="1">
      <c r="A16" s="21" t="s">
        <v>22</v>
      </c>
      <c r="B16" s="11">
        <v>7748561111.9536209</v>
      </c>
      <c r="C16" s="11">
        <v>4306485317.9263</v>
      </c>
      <c r="D16" s="11">
        <v>7830165885.9279003</v>
      </c>
      <c r="E16" s="11">
        <v>9794802791.8334999</v>
      </c>
      <c r="F16" s="15">
        <v>13320202020.650501</v>
      </c>
      <c r="G16" s="16">
        <v>14535960837.768</v>
      </c>
      <c r="H16" s="16">
        <v>16432723130.130798</v>
      </c>
      <c r="I16" s="22">
        <f t="shared" si="0"/>
        <v>41.329455972548615</v>
      </c>
      <c r="J16" s="23">
        <f t="shared" si="1"/>
        <v>49.995483924040876</v>
      </c>
      <c r="K16" s="23">
        <f t="shared" si="2"/>
        <v>44.474572063419465</v>
      </c>
      <c r="L16" s="23">
        <f t="shared" si="3"/>
        <v>53.58247991606936</v>
      </c>
      <c r="M16" s="23">
        <f t="shared" si="4"/>
        <v>51.729025511935887</v>
      </c>
      <c r="N16" s="24">
        <f t="shared" si="5"/>
        <v>49.72826017378587</v>
      </c>
      <c r="O16" s="41">
        <f>((H16/G16)-1)*100</f>
        <v>13.048757584944394</v>
      </c>
      <c r="P16" s="25" t="s">
        <v>23</v>
      </c>
    </row>
    <row r="17" spans="1:16" ht="21.75" customHeight="1">
      <c r="A17" s="21" t="s">
        <v>24</v>
      </c>
      <c r="B17" s="11">
        <v>850615153.91795635</v>
      </c>
      <c r="C17" s="11">
        <v>351898223.08999997</v>
      </c>
      <c r="D17" s="11">
        <v>802115145.903</v>
      </c>
      <c r="E17" s="11">
        <v>972994664.45899999</v>
      </c>
      <c r="F17" s="15">
        <v>999070898.00409997</v>
      </c>
      <c r="G17" s="16">
        <v>1080712329.2858</v>
      </c>
      <c r="H17" s="16">
        <v>2251597496.4767995</v>
      </c>
      <c r="I17" s="22">
        <f t="shared" si="0"/>
        <v>3.3771767565248538</v>
      </c>
      <c r="J17" s="23">
        <f t="shared" si="1"/>
        <v>5.1214923753139496</v>
      </c>
      <c r="K17" s="23">
        <f t="shared" si="2"/>
        <v>4.4180084317658856</v>
      </c>
      <c r="L17" s="23">
        <f t="shared" si="3"/>
        <v>4.0189102420550054</v>
      </c>
      <c r="M17" s="23">
        <f t="shared" si="4"/>
        <v>3.8459236562770558</v>
      </c>
      <c r="N17" s="24">
        <f t="shared" si="5"/>
        <v>6.8137231562150697</v>
      </c>
      <c r="O17" s="42" t="s">
        <v>79</v>
      </c>
      <c r="P17" s="1" t="s">
        <v>25</v>
      </c>
    </row>
    <row r="18" spans="1:16" ht="21.75" customHeight="1">
      <c r="A18" s="21" t="s">
        <v>26</v>
      </c>
      <c r="B18" s="11">
        <v>102523494</v>
      </c>
      <c r="C18" s="11">
        <v>8970164</v>
      </c>
      <c r="D18" s="11">
        <v>101221.35</v>
      </c>
      <c r="E18" s="11">
        <v>13885.439999999999</v>
      </c>
      <c r="F18" s="11">
        <v>0</v>
      </c>
      <c r="G18" s="11">
        <v>0</v>
      </c>
      <c r="H18" s="11">
        <v>0</v>
      </c>
      <c r="I18" s="22">
        <f t="shared" si="0"/>
        <v>8.6086906313443332E-2</v>
      </c>
      <c r="J18" s="23">
        <f t="shared" si="1"/>
        <v>6.4629670053216459E-4</v>
      </c>
      <c r="K18" s="23">
        <f t="shared" si="2"/>
        <v>6.3048640696183685E-5</v>
      </c>
      <c r="L18" s="23">
        <f t="shared" si="3"/>
        <v>0</v>
      </c>
      <c r="M18" s="23">
        <f t="shared" si="4"/>
        <v>0</v>
      </c>
      <c r="N18" s="24">
        <f t="shared" si="5"/>
        <v>0</v>
      </c>
      <c r="O18" s="41" t="s">
        <v>78</v>
      </c>
      <c r="P18" s="1" t="s">
        <v>27</v>
      </c>
    </row>
    <row r="19" spans="1:16" ht="21.75" customHeight="1">
      <c r="A19" s="21" t="s">
        <v>83</v>
      </c>
      <c r="B19" s="11">
        <v>131065210.64999993</v>
      </c>
      <c r="C19" s="11">
        <v>67761362.219999999</v>
      </c>
      <c r="D19" s="11">
        <v>109825795.39999999</v>
      </c>
      <c r="E19" s="11">
        <v>111957151.66000003</v>
      </c>
      <c r="F19" s="15">
        <v>112220276.78819999</v>
      </c>
      <c r="G19" s="16">
        <v>96240802.679999992</v>
      </c>
      <c r="H19" s="16">
        <v>89302519.309999987</v>
      </c>
      <c r="I19" s="22">
        <f t="shared" si="0"/>
        <v>0.6503076243761472</v>
      </c>
      <c r="J19" s="23">
        <f t="shared" si="1"/>
        <v>0.70123594676756007</v>
      </c>
      <c r="K19" s="23">
        <f t="shared" si="2"/>
        <v>0.50835596339615352</v>
      </c>
      <c r="L19" s="23">
        <f t="shared" si="3"/>
        <v>0.45142263742376937</v>
      </c>
      <c r="M19" s="23">
        <f t="shared" si="4"/>
        <v>0.34249149352326874</v>
      </c>
      <c r="N19" s="24">
        <f t="shared" si="5"/>
        <v>0.27024485712167345</v>
      </c>
      <c r="O19" s="41">
        <f>((H19/G19)-1)*100</f>
        <v>-7.2092949942133666</v>
      </c>
      <c r="P19" s="1" t="s">
        <v>84</v>
      </c>
    </row>
    <row r="20" spans="1:16" ht="21.75" customHeight="1">
      <c r="A20" s="21" t="s">
        <v>28</v>
      </c>
      <c r="B20" s="11">
        <v>34822119.628899999</v>
      </c>
      <c r="C20" s="11">
        <v>3933797.7640999998</v>
      </c>
      <c r="D20" s="11">
        <v>28475739.920000002</v>
      </c>
      <c r="E20" s="11">
        <v>158906185.6913</v>
      </c>
      <c r="F20" s="15">
        <v>60327482.072099999</v>
      </c>
      <c r="G20" s="16">
        <v>372052414</v>
      </c>
      <c r="H20" s="16">
        <v>195638353.19999999</v>
      </c>
      <c r="I20" s="22">
        <f t="shared" si="0"/>
        <v>3.7752763447146509E-2</v>
      </c>
      <c r="J20" s="23">
        <f t="shared" si="1"/>
        <v>0.18181714386844319</v>
      </c>
      <c r="K20" s="23">
        <f t="shared" si="2"/>
        <v>0.72153413979332448</v>
      </c>
      <c r="L20" s="23">
        <f t="shared" si="3"/>
        <v>0.24267620652479202</v>
      </c>
      <c r="M20" s="23">
        <f t="shared" si="4"/>
        <v>1.3240204091344088</v>
      </c>
      <c r="N20" s="24">
        <f t="shared" si="5"/>
        <v>0.59203546794153139</v>
      </c>
      <c r="O20" s="41">
        <f>((H20/G20)-1)*100</f>
        <v>-47.416453747293794</v>
      </c>
      <c r="P20" s="1" t="s">
        <v>29</v>
      </c>
    </row>
    <row r="21" spans="1:16" ht="21.75" customHeight="1">
      <c r="A21" s="21" t="s">
        <v>30</v>
      </c>
      <c r="B21" s="11">
        <v>26036075.540000007</v>
      </c>
      <c r="C21" s="11">
        <v>1064712.8500000001</v>
      </c>
      <c r="D21" s="11">
        <v>37500</v>
      </c>
      <c r="E21" s="11">
        <v>0</v>
      </c>
      <c r="F21" s="11">
        <v>0</v>
      </c>
      <c r="G21" s="11">
        <v>0</v>
      </c>
      <c r="H21" s="11">
        <v>0</v>
      </c>
      <c r="I21" s="22">
        <f t="shared" si="0"/>
        <v>1.0218077993743397E-2</v>
      </c>
      <c r="J21" s="23">
        <f t="shared" si="1"/>
        <v>2.3943690011994675E-4</v>
      </c>
      <c r="K21" s="23">
        <f t="shared" si="2"/>
        <v>0</v>
      </c>
      <c r="L21" s="23">
        <f t="shared" si="3"/>
        <v>0</v>
      </c>
      <c r="M21" s="23">
        <f t="shared" si="4"/>
        <v>0</v>
      </c>
      <c r="N21" s="24">
        <f t="shared" si="5"/>
        <v>0</v>
      </c>
      <c r="O21" s="41" t="s">
        <v>78</v>
      </c>
      <c r="P21" s="1" t="s">
        <v>31</v>
      </c>
    </row>
    <row r="22" spans="1:16" ht="21.75" customHeight="1">
      <c r="A22" s="21" t="s">
        <v>32</v>
      </c>
      <c r="B22" s="11">
        <v>306800000</v>
      </c>
      <c r="C22" s="11">
        <v>153500000</v>
      </c>
      <c r="D22" s="11">
        <v>230200000</v>
      </c>
      <c r="E22" s="11">
        <v>1956325000</v>
      </c>
      <c r="F22" s="15">
        <v>0</v>
      </c>
      <c r="G22" s="16">
        <v>306600000</v>
      </c>
      <c r="H22" s="16">
        <v>1226568125</v>
      </c>
      <c r="I22" s="22">
        <f t="shared" si="0"/>
        <v>1.4731436481109546</v>
      </c>
      <c r="J22" s="23">
        <f t="shared" si="1"/>
        <v>1.4698233175363129</v>
      </c>
      <c r="K22" s="23">
        <f t="shared" si="2"/>
        <v>8.8829473181952867</v>
      </c>
      <c r="L22" s="23">
        <f t="shared" si="3"/>
        <v>0</v>
      </c>
      <c r="M22" s="23">
        <f t="shared" si="4"/>
        <v>1.0910953461535926</v>
      </c>
      <c r="N22" s="24">
        <f t="shared" si="5"/>
        <v>3.7118071276350415</v>
      </c>
      <c r="O22" s="42" t="s">
        <v>79</v>
      </c>
      <c r="P22" s="25" t="s">
        <v>33</v>
      </c>
    </row>
    <row r="23" spans="1:16" ht="21.75" customHeight="1">
      <c r="A23" s="21" t="s">
        <v>34</v>
      </c>
      <c r="B23" s="11">
        <v>5139700</v>
      </c>
      <c r="C23" s="11">
        <v>0</v>
      </c>
      <c r="D23" s="11">
        <v>6514450</v>
      </c>
      <c r="E23" s="11">
        <v>4451050</v>
      </c>
      <c r="F23" s="15">
        <v>3372000</v>
      </c>
      <c r="G23" s="16">
        <v>3988650</v>
      </c>
      <c r="H23" s="16">
        <v>4916200</v>
      </c>
      <c r="I23" s="22">
        <f t="shared" si="0"/>
        <v>0</v>
      </c>
      <c r="J23" s="23">
        <f t="shared" si="1"/>
        <v>4.1594659039636987E-2</v>
      </c>
      <c r="K23" s="23">
        <f t="shared" si="2"/>
        <v>2.0210569644948117E-2</v>
      </c>
      <c r="L23" s="23">
        <f t="shared" si="3"/>
        <v>1.3564368017607759E-2</v>
      </c>
      <c r="M23" s="23">
        <f t="shared" si="4"/>
        <v>1.4194381775719267E-2</v>
      </c>
      <c r="N23" s="24">
        <f t="shared" si="5"/>
        <v>1.4877270841258321E-2</v>
      </c>
      <c r="O23" s="41">
        <f>((H23/G23)-1)*100</f>
        <v>23.25473531144624</v>
      </c>
      <c r="P23" s="25" t="s">
        <v>35</v>
      </c>
    </row>
    <row r="24" spans="1:16" ht="21.75" customHeight="1">
      <c r="A24" s="21" t="s">
        <v>36</v>
      </c>
      <c r="B24" s="11">
        <v>319378590</v>
      </c>
      <c r="C24" s="11">
        <v>243419160</v>
      </c>
      <c r="D24" s="11">
        <v>50155620</v>
      </c>
      <c r="E24" s="11">
        <v>7078000</v>
      </c>
      <c r="F24" s="15">
        <v>6315540</v>
      </c>
      <c r="G24" s="16">
        <v>12600500</v>
      </c>
      <c r="H24" s="16">
        <v>7256500</v>
      </c>
      <c r="I24" s="22">
        <f t="shared" si="0"/>
        <v>2.3361002565635447</v>
      </c>
      <c r="J24" s="23">
        <f t="shared" si="1"/>
        <v>0.32024283137050674</v>
      </c>
      <c r="K24" s="23">
        <f t="shared" si="2"/>
        <v>3.2138576728399537E-2</v>
      </c>
      <c r="L24" s="23">
        <f t="shared" si="3"/>
        <v>2.5405192405077846E-2</v>
      </c>
      <c r="M24" s="23">
        <f t="shared" si="4"/>
        <v>4.4841314120053308E-2</v>
      </c>
      <c r="N24" s="24">
        <f t="shared" si="5"/>
        <v>2.1959423103126603E-2</v>
      </c>
      <c r="O24" s="41">
        <f>((H24/G24)-1)*100</f>
        <v>-42.411015435895408</v>
      </c>
      <c r="P24" s="25" t="s">
        <v>37</v>
      </c>
    </row>
    <row r="25" spans="1:16" ht="21.75" customHeight="1">
      <c r="A25" s="21" t="s">
        <v>38</v>
      </c>
      <c r="B25" s="11">
        <v>17580224.899999999</v>
      </c>
      <c r="C25" s="11">
        <v>3527158</v>
      </c>
      <c r="D25" s="11">
        <v>2321504.25</v>
      </c>
      <c r="E25" s="11">
        <v>0</v>
      </c>
      <c r="F25" s="11">
        <v>0</v>
      </c>
      <c r="G25" s="11">
        <v>0</v>
      </c>
      <c r="H25" s="11">
        <v>0</v>
      </c>
      <c r="I25" s="22">
        <f t="shared" si="0"/>
        <v>3.3850230642239333E-2</v>
      </c>
      <c r="J25" s="23">
        <f t="shared" si="1"/>
        <v>1.4822767499607516E-2</v>
      </c>
      <c r="K25" s="23">
        <f t="shared" si="2"/>
        <v>0</v>
      </c>
      <c r="L25" s="23">
        <f t="shared" si="3"/>
        <v>0</v>
      </c>
      <c r="M25" s="23">
        <f t="shared" si="4"/>
        <v>0</v>
      </c>
      <c r="N25" s="24">
        <f t="shared" si="5"/>
        <v>0</v>
      </c>
      <c r="O25" s="41" t="s">
        <v>78</v>
      </c>
      <c r="P25" s="1" t="s">
        <v>39</v>
      </c>
    </row>
    <row r="26" spans="1:16" ht="21.75" customHeight="1">
      <c r="A26" s="21" t="s">
        <v>85</v>
      </c>
      <c r="B26" s="11">
        <v>90232766.538500026</v>
      </c>
      <c r="C26" s="11">
        <v>25936275.254099999</v>
      </c>
      <c r="D26" s="11">
        <v>45717211.787999995</v>
      </c>
      <c r="E26" s="11">
        <v>54901609.490000002</v>
      </c>
      <c r="F26" s="15">
        <v>73684962.449999988</v>
      </c>
      <c r="G26" s="16">
        <v>84165885.189999983</v>
      </c>
      <c r="H26" s="16">
        <v>100329432.8</v>
      </c>
      <c r="I26" s="22">
        <f t="shared" si="0"/>
        <v>0.24891113450315794</v>
      </c>
      <c r="J26" s="23">
        <f t="shared" si="1"/>
        <v>0.2919036659372215</v>
      </c>
      <c r="K26" s="23">
        <f t="shared" si="2"/>
        <v>0.24928787639262412</v>
      </c>
      <c r="L26" s="23">
        <f t="shared" si="3"/>
        <v>0.29640864413861456</v>
      </c>
      <c r="M26" s="23">
        <f t="shared" si="4"/>
        <v>0.29952056632650542</v>
      </c>
      <c r="N26" s="24">
        <f t="shared" si="5"/>
        <v>0.30361420306647946</v>
      </c>
      <c r="O26" s="41">
        <f>((H26/G26)-1)*100</f>
        <v>19.2043932924981</v>
      </c>
      <c r="P26" s="1" t="s">
        <v>86</v>
      </c>
    </row>
    <row r="27" spans="1:16" ht="21.75" customHeight="1">
      <c r="A27" s="21" t="s">
        <v>87</v>
      </c>
      <c r="B27" s="11">
        <v>18077724.470000006</v>
      </c>
      <c r="C27" s="11">
        <v>9232382.6600000001</v>
      </c>
      <c r="D27" s="11">
        <v>12071836.210000001</v>
      </c>
      <c r="E27" s="11">
        <v>15441486.48</v>
      </c>
      <c r="F27" s="15">
        <v>3520675.97</v>
      </c>
      <c r="G27" s="16">
        <v>1397791.3900000001</v>
      </c>
      <c r="H27" s="16">
        <v>1397792.51</v>
      </c>
      <c r="I27" s="22">
        <f t="shared" si="0"/>
        <v>8.8603425879535624E-2</v>
      </c>
      <c r="J27" s="23">
        <f t="shared" si="1"/>
        <v>7.7078481090083376E-2</v>
      </c>
      <c r="K27" s="23">
        <f t="shared" si="2"/>
        <v>7.0114071494493377E-2</v>
      </c>
      <c r="L27" s="23">
        <f t="shared" si="3"/>
        <v>1.4162439065192222E-2</v>
      </c>
      <c r="M27" s="23">
        <f t="shared" si="4"/>
        <v>4.9743107649137686E-3</v>
      </c>
      <c r="N27" s="24">
        <f t="shared" si="5"/>
        <v>4.2299617084643184E-3</v>
      </c>
      <c r="O27" s="41">
        <f>((H27/G27)-1)*100</f>
        <v>8.0126405688218938E-5</v>
      </c>
      <c r="P27" s="1" t="s">
        <v>88</v>
      </c>
    </row>
    <row r="28" spans="1:16" ht="21.75" customHeight="1">
      <c r="A28" s="21" t="s">
        <v>40</v>
      </c>
      <c r="B28" s="11">
        <v>6136000</v>
      </c>
      <c r="C28" s="11">
        <v>0</v>
      </c>
      <c r="D28" s="11">
        <v>0</v>
      </c>
      <c r="E28" s="11">
        <v>16862000</v>
      </c>
      <c r="F28" s="15">
        <v>1530999.9999999998</v>
      </c>
      <c r="G28" s="16">
        <v>15330000</v>
      </c>
      <c r="H28" s="16">
        <v>0</v>
      </c>
      <c r="I28" s="22">
        <f t="shared" si="0"/>
        <v>0</v>
      </c>
      <c r="J28" s="23">
        <f t="shared" si="1"/>
        <v>0</v>
      </c>
      <c r="K28" s="23">
        <f t="shared" si="2"/>
        <v>7.6564097314816768E-2</v>
      </c>
      <c r="L28" s="23">
        <f t="shared" si="3"/>
        <v>6.158673616535432E-3</v>
      </c>
      <c r="M28" s="23">
        <f t="shared" si="4"/>
        <v>5.4554767307679629E-2</v>
      </c>
      <c r="N28" s="24">
        <f t="shared" si="5"/>
        <v>0</v>
      </c>
      <c r="O28" s="41">
        <f>((H28/G28)-1)*100</f>
        <v>-100</v>
      </c>
      <c r="P28" s="1" t="s">
        <v>41</v>
      </c>
    </row>
    <row r="29" spans="1:16" ht="21.75" customHeight="1">
      <c r="A29" s="21" t="s">
        <v>42</v>
      </c>
      <c r="B29" s="11">
        <v>1646551366.4556053</v>
      </c>
      <c r="C29" s="11">
        <v>702177427.79410005</v>
      </c>
      <c r="D29" s="11">
        <v>2072265268.9057002</v>
      </c>
      <c r="E29" s="11">
        <v>1921185842.3618999</v>
      </c>
      <c r="F29" s="15">
        <v>1764632124.0801997</v>
      </c>
      <c r="G29" s="16">
        <v>1883543104.6684999</v>
      </c>
      <c r="H29" s="16">
        <v>2066968516.4863997</v>
      </c>
      <c r="I29" s="22">
        <f t="shared" si="0"/>
        <v>6.7388157498486434</v>
      </c>
      <c r="J29" s="23">
        <f t="shared" si="1"/>
        <v>13.231380592346898</v>
      </c>
      <c r="K29" s="23">
        <f t="shared" si="2"/>
        <v>8.7233934168215335</v>
      </c>
      <c r="L29" s="23">
        <f t="shared" si="3"/>
        <v>7.0984933412564368</v>
      </c>
      <c r="M29" s="23">
        <f t="shared" si="4"/>
        <v>6.7029521062736119</v>
      </c>
      <c r="N29" s="24">
        <f t="shared" si="5"/>
        <v>6.2550039542984592</v>
      </c>
      <c r="O29" s="41">
        <f>((H29/G29)-1)*100</f>
        <v>9.7383177142729807</v>
      </c>
      <c r="P29" s="1" t="s">
        <v>43</v>
      </c>
    </row>
    <row r="30" spans="1:16" ht="21.75" hidden="1" customHeight="1">
      <c r="A30" s="21" t="s">
        <v>44</v>
      </c>
      <c r="B30" s="11">
        <v>0</v>
      </c>
      <c r="C30" s="11">
        <v>0</v>
      </c>
      <c r="D30" s="11">
        <v>0</v>
      </c>
      <c r="E30" s="11">
        <v>0</v>
      </c>
      <c r="F30" s="15">
        <v>0</v>
      </c>
      <c r="G30" s="16">
        <v>0</v>
      </c>
      <c r="H30" s="16">
        <v>0</v>
      </c>
      <c r="I30" s="22">
        <f t="shared" si="0"/>
        <v>0</v>
      </c>
      <c r="J30" s="23">
        <f t="shared" si="1"/>
        <v>0</v>
      </c>
      <c r="K30" s="23">
        <f t="shared" si="2"/>
        <v>0</v>
      </c>
      <c r="L30" s="23">
        <f t="shared" si="3"/>
        <v>0</v>
      </c>
      <c r="M30" s="23">
        <f t="shared" si="4"/>
        <v>0</v>
      </c>
      <c r="N30" s="24">
        <f t="shared" si="5"/>
        <v>0</v>
      </c>
      <c r="O30" s="41" t="e">
        <f>((H30/G30)-1)*100</f>
        <v>#DIV/0!</v>
      </c>
      <c r="P30" s="1" t="s">
        <v>45</v>
      </c>
    </row>
    <row r="31" spans="1:16" ht="21.75" customHeight="1">
      <c r="A31" s="21" t="s">
        <v>46</v>
      </c>
      <c r="B31" s="11">
        <v>107432467.20999999</v>
      </c>
      <c r="C31" s="11">
        <v>102966321.18999998</v>
      </c>
      <c r="D31" s="11">
        <v>112957794.64</v>
      </c>
      <c r="E31" s="11">
        <v>129870432.02000001</v>
      </c>
      <c r="F31" s="15">
        <v>0</v>
      </c>
      <c r="G31" s="16">
        <v>0</v>
      </c>
      <c r="H31" s="16">
        <v>0</v>
      </c>
      <c r="I31" s="22">
        <f t="shared" si="0"/>
        <v>0.98817056697329542</v>
      </c>
      <c r="J31" s="23">
        <f t="shared" si="1"/>
        <v>0.72123371181299023</v>
      </c>
      <c r="K31" s="23">
        <f t="shared" si="2"/>
        <v>0.58969353549380721</v>
      </c>
      <c r="L31" s="23">
        <f t="shared" si="3"/>
        <v>0</v>
      </c>
      <c r="M31" s="23">
        <f t="shared" si="4"/>
        <v>0</v>
      </c>
      <c r="N31" s="24">
        <f t="shared" si="5"/>
        <v>0</v>
      </c>
      <c r="O31" s="41" t="s">
        <v>78</v>
      </c>
      <c r="P31" s="25" t="s">
        <v>47</v>
      </c>
    </row>
    <row r="32" spans="1:16" ht="21.75" customHeight="1">
      <c r="A32" s="21" t="s">
        <v>48</v>
      </c>
      <c r="B32" s="11">
        <v>27258582.329999998</v>
      </c>
      <c r="C32" s="11">
        <v>25058472.93</v>
      </c>
      <c r="D32" s="11">
        <v>26417397.909999996</v>
      </c>
      <c r="E32" s="11">
        <v>26969076.540000003</v>
      </c>
      <c r="F32" s="15">
        <v>2469558.75</v>
      </c>
      <c r="G32" s="16">
        <v>1580250</v>
      </c>
      <c r="H32" s="16">
        <v>1613115</v>
      </c>
      <c r="I32" s="22">
        <f t="shared" si="0"/>
        <v>0.24048684187745797</v>
      </c>
      <c r="J32" s="23">
        <f t="shared" si="1"/>
        <v>0.16867466306148157</v>
      </c>
      <c r="K32" s="23">
        <f t="shared" si="2"/>
        <v>0.12245658882097628</v>
      </c>
      <c r="L32" s="23">
        <f t="shared" si="3"/>
        <v>9.9341648060804841E-3</v>
      </c>
      <c r="M32" s="23">
        <f t="shared" si="4"/>
        <v>5.6236249861683456E-3</v>
      </c>
      <c r="N32" s="24">
        <f t="shared" si="5"/>
        <v>4.8815647762695613E-3</v>
      </c>
      <c r="O32" s="41">
        <f>((H32/G32)-1)*100</f>
        <v>2.0797342192691026</v>
      </c>
      <c r="P32" s="25" t="s">
        <v>49</v>
      </c>
    </row>
    <row r="33" spans="1:43" ht="21.75" customHeight="1">
      <c r="A33" s="21" t="s">
        <v>50</v>
      </c>
      <c r="B33" s="11">
        <v>0</v>
      </c>
      <c r="C33" s="11">
        <v>0</v>
      </c>
      <c r="D33" s="11">
        <v>325423600</v>
      </c>
      <c r="E33" s="11">
        <v>486563100</v>
      </c>
      <c r="F33" s="15">
        <v>573307350</v>
      </c>
      <c r="G33" s="16">
        <v>670932300</v>
      </c>
      <c r="H33" s="16">
        <v>783500950</v>
      </c>
      <c r="I33" s="22">
        <f t="shared" si="0"/>
        <v>0</v>
      </c>
      <c r="J33" s="23">
        <f t="shared" si="1"/>
        <v>2.0778244802632932</v>
      </c>
      <c r="K33" s="23">
        <f t="shared" si="2"/>
        <v>2.2093028429723001</v>
      </c>
      <c r="L33" s="23">
        <f t="shared" si="3"/>
        <v>2.3062134883153789</v>
      </c>
      <c r="M33" s="23">
        <f t="shared" si="4"/>
        <v>2.3876422378151534</v>
      </c>
      <c r="N33" s="24">
        <f t="shared" si="5"/>
        <v>2.3710092830912481</v>
      </c>
      <c r="O33" s="41">
        <f>((H33/G33)-1)*100</f>
        <v>16.777944659990297</v>
      </c>
      <c r="P33" s="25" t="s">
        <v>51</v>
      </c>
    </row>
    <row r="34" spans="1:43" ht="21.75" customHeight="1">
      <c r="A34" s="21" t="s">
        <v>89</v>
      </c>
      <c r="B34" s="11">
        <v>3608957.32</v>
      </c>
      <c r="C34" s="11">
        <v>456990.92</v>
      </c>
      <c r="D34" s="11">
        <v>1736169.3795000166</v>
      </c>
      <c r="E34" s="11">
        <v>7507882.6960000247</v>
      </c>
      <c r="F34" s="15">
        <v>497038016.35999995</v>
      </c>
      <c r="G34" s="16">
        <v>576824049.94700003</v>
      </c>
      <c r="H34" s="16">
        <v>601310697.21010005</v>
      </c>
      <c r="I34" s="22">
        <f t="shared" si="0"/>
        <v>4.3857542087451552E-3</v>
      </c>
      <c r="J34" s="23">
        <f t="shared" si="1"/>
        <v>1.1085413714950809E-2</v>
      </c>
      <c r="K34" s="23">
        <f t="shared" si="2"/>
        <v>3.4090514847869451E-2</v>
      </c>
      <c r="L34" s="23">
        <f t="shared" si="3"/>
        <v>1.9994088293738981</v>
      </c>
      <c r="M34" s="23">
        <f t="shared" si="4"/>
        <v>2.0527398449009757</v>
      </c>
      <c r="N34" s="24">
        <f t="shared" si="5"/>
        <v>1.8196700911558794</v>
      </c>
      <c r="O34" s="41">
        <f>((H34/G34)-1)*100</f>
        <v>4.2450808466377055</v>
      </c>
      <c r="P34" s="25" t="s">
        <v>2</v>
      </c>
    </row>
    <row r="35" spans="1:43" ht="18.75">
      <c r="A35" s="27" t="s">
        <v>52</v>
      </c>
      <c r="B35" s="28">
        <f t="shared" ref="B35:H35" si="7">SUM(B8:B34)</f>
        <v>16741904213.147457</v>
      </c>
      <c r="C35" s="28">
        <f t="shared" si="7"/>
        <v>10419893551.917801</v>
      </c>
      <c r="D35" s="28">
        <f t="shared" si="7"/>
        <v>15661746364.5805</v>
      </c>
      <c r="E35" s="28">
        <f t="shared" si="7"/>
        <v>22023377263.453804</v>
      </c>
      <c r="F35" s="28">
        <f t="shared" si="7"/>
        <v>24859248846.852604</v>
      </c>
      <c r="G35" s="28">
        <f t="shared" si="7"/>
        <v>28100202340.780598</v>
      </c>
      <c r="H35" s="28">
        <f t="shared" si="7"/>
        <v>33045039325.130596</v>
      </c>
      <c r="I35" s="30">
        <f t="shared" si="0"/>
        <v>100</v>
      </c>
      <c r="J35" s="29">
        <f t="shared" si="1"/>
        <v>100</v>
      </c>
      <c r="K35" s="29">
        <f t="shared" si="2"/>
        <v>100</v>
      </c>
      <c r="L35" s="29">
        <f t="shared" si="3"/>
        <v>100</v>
      </c>
      <c r="M35" s="29">
        <f t="shared" si="4"/>
        <v>100</v>
      </c>
      <c r="N35" s="29">
        <f t="shared" si="5"/>
        <v>100</v>
      </c>
      <c r="O35" s="43">
        <f>((H35/G35)-1)*100</f>
        <v>17.597157929264352</v>
      </c>
      <c r="P35" s="31" t="s">
        <v>53</v>
      </c>
    </row>
    <row r="36" spans="1:43">
      <c r="A36" s="32" t="s">
        <v>54</v>
      </c>
      <c r="B36" s="33"/>
      <c r="C36" s="33"/>
      <c r="D36" s="33"/>
      <c r="E36" s="33"/>
      <c r="F36" s="6"/>
      <c r="G36" s="34"/>
      <c r="H36" s="34"/>
      <c r="I36" s="6"/>
      <c r="J36" s="6"/>
      <c r="K36" s="6"/>
      <c r="L36" s="6"/>
    </row>
    <row r="37" spans="1:43">
      <c r="A37" s="2" t="s">
        <v>67</v>
      </c>
      <c r="B37" s="35"/>
      <c r="C37" s="35"/>
      <c r="D37" s="35"/>
      <c r="E37" s="35"/>
      <c r="F37" s="6"/>
      <c r="G37" s="34"/>
      <c r="H37" s="34"/>
      <c r="I37" s="6"/>
      <c r="J37" s="6"/>
      <c r="K37" s="6"/>
      <c r="L37" s="6"/>
    </row>
    <row r="38" spans="1:43">
      <c r="A38" s="2" t="s">
        <v>55</v>
      </c>
      <c r="B38" s="4"/>
      <c r="C38" s="4"/>
      <c r="D38" s="4"/>
      <c r="E38" s="4"/>
      <c r="F38" s="5"/>
      <c r="G38" s="5"/>
      <c r="H38" s="5"/>
      <c r="I38" s="5"/>
      <c r="J38" s="5"/>
      <c r="K38" s="5"/>
      <c r="L38" s="5"/>
    </row>
    <row r="39" spans="1:43">
      <c r="A39" s="2" t="s">
        <v>56</v>
      </c>
      <c r="B39" s="4"/>
      <c r="C39" s="4"/>
      <c r="D39" s="4"/>
      <c r="E39" s="4"/>
      <c r="F39" s="5"/>
      <c r="G39" s="5"/>
      <c r="H39" s="5"/>
      <c r="I39" s="5"/>
      <c r="J39" s="5"/>
      <c r="K39" s="5"/>
      <c r="L39" s="5"/>
    </row>
    <row r="40" spans="1:43">
      <c r="A40" s="2" t="s">
        <v>57</v>
      </c>
      <c r="B40" s="4"/>
      <c r="C40" s="4"/>
      <c r="D40" s="4"/>
      <c r="E40" s="4"/>
      <c r="F40" s="5"/>
      <c r="G40" s="5"/>
      <c r="H40" s="5"/>
      <c r="I40" s="5"/>
      <c r="J40" s="5"/>
      <c r="K40" s="5"/>
      <c r="L40" s="5"/>
    </row>
    <row r="41" spans="1:43">
      <c r="A41" s="53" t="s">
        <v>68</v>
      </c>
      <c r="B41" s="53"/>
      <c r="C41" s="53"/>
      <c r="D41" s="53"/>
      <c r="E41" s="53"/>
      <c r="F41" s="53"/>
      <c r="G41" s="53"/>
      <c r="H41" s="53"/>
      <c r="I41" s="53"/>
      <c r="J41" s="53"/>
      <c r="K41" s="53"/>
      <c r="L41" s="53"/>
    </row>
    <row r="42" spans="1:43">
      <c r="A42" s="47" t="s">
        <v>90</v>
      </c>
      <c r="B42" s="47"/>
      <c r="C42" s="47"/>
      <c r="D42" s="47"/>
      <c r="E42" s="47"/>
      <c r="F42" s="47"/>
      <c r="G42" s="47"/>
      <c r="H42" s="47"/>
      <c r="I42" s="47"/>
      <c r="J42" s="47"/>
      <c r="K42" s="47"/>
      <c r="L42" s="47"/>
    </row>
    <row r="43" spans="1:43">
      <c r="A43" s="47" t="s">
        <v>58</v>
      </c>
      <c r="B43" s="47"/>
      <c r="C43" s="47"/>
      <c r="D43" s="47"/>
      <c r="E43" s="47"/>
      <c r="F43" s="47"/>
      <c r="G43" s="47"/>
      <c r="H43" s="47"/>
      <c r="I43" s="47"/>
      <c r="J43" s="47"/>
      <c r="K43" s="47"/>
      <c r="L43" s="47"/>
    </row>
    <row r="44" spans="1:43">
      <c r="A44" s="47" t="s">
        <v>91</v>
      </c>
      <c r="B44" s="47"/>
      <c r="C44" s="47"/>
      <c r="D44" s="47"/>
      <c r="E44" s="47"/>
      <c r="F44" s="47"/>
      <c r="G44" s="47"/>
      <c r="H44" s="47"/>
      <c r="I44" s="47"/>
      <c r="J44" s="47"/>
      <c r="K44" s="47"/>
      <c r="L44" s="47"/>
    </row>
    <row r="45" spans="1:43">
      <c r="A45" s="47" t="s">
        <v>92</v>
      </c>
      <c r="B45" s="47"/>
      <c r="C45" s="47"/>
      <c r="D45" s="47"/>
      <c r="E45" s="47"/>
      <c r="F45" s="47"/>
      <c r="G45" s="47"/>
      <c r="H45" s="47"/>
      <c r="I45" s="47"/>
      <c r="J45" s="47"/>
      <c r="K45" s="47"/>
      <c r="L45" s="47"/>
    </row>
    <row r="46" spans="1:43">
      <c r="A46" s="47" t="s">
        <v>59</v>
      </c>
      <c r="B46" s="47"/>
      <c r="C46" s="47"/>
      <c r="D46" s="47"/>
      <c r="E46" s="47"/>
      <c r="F46" s="47"/>
      <c r="G46" s="47"/>
      <c r="H46" s="47"/>
      <c r="I46" s="47"/>
      <c r="J46" s="47"/>
      <c r="K46" s="47"/>
      <c r="L46" s="47"/>
    </row>
    <row r="47" spans="1:43" ht="48" customHeight="1">
      <c r="B47" s="12"/>
      <c r="C47" s="12"/>
      <c r="D47" s="66" t="s">
        <v>61</v>
      </c>
      <c r="E47" s="66"/>
      <c r="F47" s="66"/>
      <c r="G47" s="66"/>
      <c r="H47" s="66"/>
      <c r="I47" s="66"/>
      <c r="J47" s="66"/>
      <c r="K47" s="66"/>
      <c r="L47" s="66"/>
      <c r="M47" s="66"/>
      <c r="N47" s="66"/>
      <c r="O47" s="66"/>
      <c r="P47" s="66"/>
      <c r="Q47" s="8">
        <v>1</v>
      </c>
    </row>
    <row r="48" spans="1:43" ht="18.75" customHeight="1">
      <c r="A48" s="36"/>
      <c r="B48" s="36"/>
      <c r="C48" s="36"/>
      <c r="D48" s="36"/>
      <c r="E48" s="36"/>
      <c r="F48" s="36"/>
      <c r="G48" s="36"/>
      <c r="H48" s="36"/>
      <c r="I48" s="13"/>
      <c r="J48" s="13"/>
      <c r="K48" s="13"/>
      <c r="L48" s="13"/>
      <c r="P48" s="6" t="s">
        <v>62</v>
      </c>
      <c r="Q48" s="8">
        <v>2</v>
      </c>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row>
    <row r="49" spans="1:43" ht="15" customHeight="1">
      <c r="A49" s="36"/>
      <c r="B49" s="9"/>
      <c r="C49" s="9"/>
      <c r="D49" s="9"/>
      <c r="E49" s="9"/>
      <c r="F49" s="9"/>
      <c r="G49" s="9"/>
      <c r="H49" s="9"/>
      <c r="I49" s="9"/>
      <c r="J49" s="9"/>
      <c r="K49" s="9"/>
      <c r="L49" s="9"/>
      <c r="P49" s="13" t="s">
        <v>93</v>
      </c>
      <c r="Q49" s="8">
        <v>3</v>
      </c>
      <c r="S49" s="6"/>
      <c r="T49" s="6"/>
      <c r="U49" s="6"/>
      <c r="V49" s="6"/>
      <c r="W49" s="6"/>
      <c r="X49" s="6"/>
      <c r="Y49" s="6"/>
      <c r="Z49" s="6"/>
      <c r="AA49" s="6"/>
      <c r="AB49" s="6"/>
      <c r="AC49" s="6"/>
      <c r="AD49" s="6"/>
      <c r="AE49" s="6"/>
      <c r="AF49" s="6"/>
      <c r="AG49" s="6"/>
      <c r="AH49" s="6"/>
      <c r="AI49" s="6"/>
      <c r="AJ49" s="6"/>
      <c r="AK49" s="6"/>
      <c r="AL49" s="6"/>
      <c r="AM49" s="6"/>
      <c r="AN49" s="6"/>
      <c r="AO49" s="6"/>
      <c r="AP49" s="6"/>
      <c r="AQ49" s="6"/>
    </row>
    <row r="50" spans="1:43" ht="18.75" customHeight="1">
      <c r="A50" s="37" t="s">
        <v>64</v>
      </c>
      <c r="B50" s="9"/>
      <c r="C50" s="9"/>
      <c r="D50" s="9"/>
      <c r="E50" s="9"/>
      <c r="F50" s="9"/>
      <c r="G50" s="9"/>
      <c r="H50" s="9"/>
      <c r="I50" s="9"/>
      <c r="J50" s="9"/>
      <c r="K50" s="9"/>
      <c r="L50" s="9"/>
      <c r="P50" s="13" t="s">
        <v>94</v>
      </c>
      <c r="Q50" s="8">
        <v>4</v>
      </c>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row>
    <row r="51" spans="1:43" ht="18.75" customHeight="1">
      <c r="A51" s="37" t="s">
        <v>65</v>
      </c>
      <c r="B51" s="9"/>
      <c r="C51" s="9"/>
      <c r="D51" s="9"/>
      <c r="E51" s="9"/>
      <c r="F51" s="9"/>
      <c r="G51" s="9"/>
      <c r="H51" s="9"/>
      <c r="I51" s="9"/>
      <c r="J51" s="9"/>
      <c r="K51" s="9"/>
      <c r="L51" s="9"/>
      <c r="P51" s="13" t="s">
        <v>63</v>
      </c>
      <c r="Q51" s="8">
        <v>5</v>
      </c>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row>
    <row r="52" spans="1:43" ht="18.75" customHeight="1">
      <c r="A52" s="2" t="s">
        <v>69</v>
      </c>
      <c r="B52" s="9"/>
      <c r="C52" s="9"/>
      <c r="D52" s="9"/>
      <c r="E52" s="9"/>
      <c r="F52" s="9"/>
      <c r="G52" s="9"/>
      <c r="H52" s="9"/>
      <c r="I52" s="9"/>
      <c r="J52" s="9"/>
      <c r="K52" s="9"/>
      <c r="L52" s="9"/>
      <c r="S52" s="10"/>
      <c r="T52" s="10"/>
      <c r="U52" s="10"/>
      <c r="V52" s="10"/>
      <c r="W52" s="10"/>
      <c r="X52" s="10"/>
      <c r="Y52" s="10"/>
      <c r="Z52" s="10"/>
      <c r="AA52" s="10"/>
      <c r="AB52" s="10"/>
      <c r="AC52" s="10"/>
      <c r="AD52" s="10"/>
      <c r="AE52" s="10"/>
      <c r="AG52" s="13"/>
      <c r="AH52" s="13"/>
      <c r="AI52" s="13"/>
      <c r="AJ52" s="13"/>
      <c r="AK52" s="13"/>
      <c r="AL52" s="13"/>
      <c r="AM52" s="13"/>
      <c r="AN52" s="13"/>
      <c r="AO52" s="13"/>
      <c r="AP52" s="13"/>
      <c r="AQ52" s="13"/>
    </row>
    <row r="53" spans="1:43">
      <c r="A53" s="37" t="s">
        <v>70</v>
      </c>
      <c r="B53" s="9"/>
      <c r="C53" s="9"/>
      <c r="D53" s="9"/>
      <c r="E53" s="9"/>
      <c r="F53" s="9"/>
      <c r="G53" s="9"/>
      <c r="H53" s="9"/>
      <c r="I53" s="9"/>
      <c r="J53" s="9"/>
      <c r="K53" s="9"/>
      <c r="L53" s="9"/>
    </row>
    <row r="54" spans="1:43" ht="18.75" customHeight="1">
      <c r="A54" s="2" t="s">
        <v>71</v>
      </c>
      <c r="B54" s="9"/>
      <c r="C54" s="9"/>
      <c r="D54" s="9"/>
      <c r="E54" s="9"/>
      <c r="F54" s="9"/>
      <c r="G54" s="9"/>
      <c r="H54" s="9"/>
      <c r="I54" s="9"/>
      <c r="J54" s="9"/>
      <c r="K54" s="9"/>
      <c r="L54" s="9"/>
      <c r="S54" s="10"/>
      <c r="T54" s="10"/>
      <c r="U54" s="10"/>
      <c r="V54" s="10"/>
      <c r="W54" s="10"/>
      <c r="X54" s="10"/>
      <c r="Y54" s="10"/>
      <c r="Z54" s="10"/>
      <c r="AA54" s="10"/>
      <c r="AB54" s="10"/>
      <c r="AC54" s="10"/>
      <c r="AD54" s="10"/>
      <c r="AE54" s="10"/>
      <c r="AG54" s="13"/>
      <c r="AH54" s="13"/>
      <c r="AI54" s="13"/>
      <c r="AJ54" s="13"/>
      <c r="AK54" s="13"/>
      <c r="AL54" s="13"/>
      <c r="AM54" s="13"/>
      <c r="AN54" s="13"/>
      <c r="AO54" s="13"/>
      <c r="AP54" s="13"/>
      <c r="AQ54" s="13"/>
    </row>
    <row r="55" spans="1:43">
      <c r="A55" s="37" t="s">
        <v>72</v>
      </c>
      <c r="B55" s="9"/>
      <c r="C55" s="9"/>
      <c r="D55" s="9"/>
      <c r="E55" s="9"/>
      <c r="F55" s="9"/>
      <c r="G55" s="9"/>
      <c r="H55" s="9"/>
      <c r="I55" s="9"/>
      <c r="J55" s="9"/>
      <c r="K55" s="9"/>
      <c r="L55" s="9"/>
    </row>
    <row r="56" spans="1:43">
      <c r="A56" s="37" t="s">
        <v>77</v>
      </c>
      <c r="B56" s="9"/>
      <c r="C56" s="9"/>
      <c r="D56" s="9"/>
      <c r="E56" s="9"/>
      <c r="F56" s="9"/>
      <c r="G56" s="9"/>
      <c r="H56" s="9"/>
      <c r="I56" s="9"/>
      <c r="J56" s="9"/>
      <c r="K56" s="9"/>
      <c r="L56" s="9"/>
    </row>
    <row r="57" spans="1:43">
      <c r="A57" s="38" t="s">
        <v>0</v>
      </c>
      <c r="B57" s="9"/>
      <c r="C57" s="9"/>
      <c r="D57" s="9"/>
      <c r="E57" s="9"/>
      <c r="F57" s="9"/>
      <c r="G57" s="9"/>
      <c r="H57" s="9"/>
      <c r="I57" s="9"/>
      <c r="J57" s="9"/>
      <c r="K57" s="9"/>
      <c r="L57" s="9"/>
    </row>
    <row r="58" spans="1:43">
      <c r="A58" s="9" t="s">
        <v>80</v>
      </c>
    </row>
    <row r="59" spans="1:43">
      <c r="A59" s="7" t="s">
        <v>60</v>
      </c>
      <c r="B59" s="9"/>
      <c r="C59" s="9"/>
      <c r="D59" s="9"/>
      <c r="E59" s="9"/>
      <c r="F59" s="9"/>
      <c r="G59" s="9"/>
      <c r="H59" s="9"/>
      <c r="I59" s="9"/>
      <c r="J59" s="9"/>
      <c r="K59" s="9"/>
      <c r="L59" s="9"/>
    </row>
    <row r="60" spans="1:43">
      <c r="B60" s="9"/>
      <c r="C60" s="9"/>
      <c r="D60" s="9"/>
      <c r="E60" s="9"/>
      <c r="F60" s="9"/>
      <c r="G60" s="9"/>
      <c r="H60" s="9"/>
      <c r="I60" s="9"/>
      <c r="J60" s="9"/>
      <c r="K60" s="9"/>
      <c r="L60" s="9"/>
    </row>
    <row r="61" spans="1:43">
      <c r="A61" s="9"/>
      <c r="B61" s="9"/>
      <c r="C61" s="9"/>
      <c r="D61" s="9"/>
      <c r="E61" s="9"/>
      <c r="F61" s="9"/>
      <c r="G61" s="9"/>
      <c r="H61" s="9"/>
      <c r="I61" s="9"/>
      <c r="J61" s="9"/>
      <c r="K61" s="9"/>
      <c r="L61" s="9"/>
    </row>
    <row r="62" spans="1:43">
      <c r="A62" s="9"/>
      <c r="B62" s="9"/>
      <c r="C62" s="9"/>
      <c r="D62" s="9"/>
      <c r="E62" s="9"/>
      <c r="F62" s="9"/>
      <c r="G62" s="9"/>
      <c r="H62" s="9"/>
      <c r="I62" s="9"/>
      <c r="J62" s="9"/>
      <c r="K62" s="9"/>
      <c r="L62" s="9"/>
    </row>
    <row r="63" spans="1:43">
      <c r="A63" s="9"/>
      <c r="B63" s="9"/>
      <c r="C63" s="9"/>
      <c r="D63" s="9"/>
      <c r="E63" s="9"/>
      <c r="F63" s="9"/>
      <c r="G63" s="9"/>
      <c r="H63" s="9"/>
      <c r="I63" s="9"/>
      <c r="J63" s="9"/>
      <c r="K63" s="9"/>
      <c r="L63" s="9"/>
    </row>
    <row r="64" spans="1:43">
      <c r="A64" s="9"/>
      <c r="B64" s="9"/>
      <c r="C64" s="9"/>
      <c r="D64" s="9"/>
      <c r="E64" s="9"/>
      <c r="F64" s="9"/>
      <c r="G64" s="9"/>
      <c r="H64" s="9"/>
      <c r="I64" s="9"/>
      <c r="J64" s="9"/>
      <c r="K64" s="9"/>
      <c r="L64" s="9"/>
    </row>
    <row r="65" spans="1:12">
      <c r="A65" s="9"/>
      <c r="B65" s="9"/>
      <c r="C65" s="9"/>
      <c r="D65" s="9"/>
      <c r="E65" s="9"/>
      <c r="F65" s="9"/>
      <c r="G65" s="9"/>
      <c r="H65" s="9"/>
      <c r="I65" s="9"/>
      <c r="J65" s="9"/>
      <c r="K65" s="9"/>
      <c r="L65" s="9"/>
    </row>
    <row r="66" spans="1:12">
      <c r="A66" s="9"/>
      <c r="B66" s="9"/>
      <c r="C66" s="9"/>
      <c r="D66" s="9"/>
      <c r="E66" s="9"/>
      <c r="F66" s="9"/>
      <c r="G66" s="9"/>
      <c r="H66" s="9"/>
      <c r="I66" s="9"/>
      <c r="J66" s="9"/>
      <c r="K66" s="9"/>
      <c r="L66" s="9"/>
    </row>
    <row r="67" spans="1:12">
      <c r="A67" s="9"/>
      <c r="B67" s="14"/>
      <c r="C67" s="14"/>
      <c r="D67" s="14"/>
      <c r="E67" s="14"/>
      <c r="F67" s="14"/>
      <c r="G67" s="14"/>
      <c r="H67" s="14"/>
      <c r="I67" s="14"/>
      <c r="J67" s="14"/>
      <c r="K67" s="14"/>
      <c r="L67" s="14"/>
    </row>
    <row r="68" spans="1:12">
      <c r="A68" s="14"/>
      <c r="B68" s="14"/>
      <c r="C68" s="14"/>
      <c r="D68" s="14"/>
      <c r="E68" s="14"/>
      <c r="F68" s="14"/>
      <c r="G68" s="14"/>
      <c r="H68" s="14"/>
      <c r="I68" s="14"/>
      <c r="J68" s="14"/>
      <c r="K68" s="14"/>
      <c r="L68" s="14"/>
    </row>
    <row r="69" spans="1:12">
      <c r="A69" s="14"/>
    </row>
  </sheetData>
  <mergeCells count="16">
    <mergeCell ref="D47:P47"/>
    <mergeCell ref="A5:A7"/>
    <mergeCell ref="A46:L46"/>
    <mergeCell ref="A1:P1"/>
    <mergeCell ref="A2:P2"/>
    <mergeCell ref="P5:P7"/>
    <mergeCell ref="A41:L41"/>
    <mergeCell ref="A42:L42"/>
    <mergeCell ref="A43:L43"/>
    <mergeCell ref="A44:L44"/>
    <mergeCell ref="A45:L45"/>
    <mergeCell ref="O6:O7"/>
    <mergeCell ref="I5:N5"/>
    <mergeCell ref="I6:N6"/>
    <mergeCell ref="C5:H5"/>
    <mergeCell ref="C6:H6"/>
  </mergeCells>
  <pageMargins left="0.7" right="0.7" top="0.75" bottom="0.75" header="0.3" footer="0.3"/>
  <pageSetup scale="37" orientation="portrait" r:id="rId1"/>
  <colBreaks count="1" manualBreakCount="1">
    <brk id="17" max="1048575" man="1"/>
  </colBreaks>
  <ignoredErrors>
    <ignoredError sqref="P35 C35:G35 I35:M35" formulaRange="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650295-2D2D-4185-9F87-A8013C75F15B}">
  <ds:schemaRefs>
    <ds:schemaRef ds:uri="http://purl.org/dc/terms/"/>
    <ds:schemaRef ds:uri="1593d9c1-a9f6-478d-a576-b0943b39c604"/>
    <ds:schemaRef ds:uri="http://schemas.microsoft.com/office/infopath/2007/PartnerControls"/>
    <ds:schemaRef ds:uri="http://www.w3.org/XML/1998/namespace"/>
    <ds:schemaRef ds:uri="http://purl.org/dc/elements/1.1/"/>
    <ds:schemaRef ds:uri="1916c6aa-fa20-4fca-8349-5fbeea1bc483"/>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EB4048A6-D847-4D7F-8D3A-6E928B052D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13.11</vt:lpstr>
      <vt:lpstr>'13.11'!Print_Area</vt:lpstr>
    </vt:vector>
  </TitlesOfParts>
  <Manager/>
  <Company>Department of National Planning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Fathimath Shifaza</cp:lastModifiedBy>
  <cp:revision/>
  <cp:lastPrinted>2026-07-07T03:12:55Z</cp:lastPrinted>
  <dcterms:created xsi:type="dcterms:W3CDTF">2014-03-06T08:38:12Z</dcterms:created>
  <dcterms:modified xsi:type="dcterms:W3CDTF">2026-07-07T03:13:28Z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