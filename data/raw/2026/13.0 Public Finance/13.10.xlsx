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ublic Finance\"/>
    </mc:Choice>
  </mc:AlternateContent>
  <xr:revisionPtr revIDLastSave="0" documentId="13_ncr:1_{B9FA8E61-A131-410D-AA44-EB430FD94711}" xr6:coauthVersionLast="47" xr6:coauthVersionMax="47" xr10:uidLastSave="{00000000-0000-0000-0000-000000000000}"/>
  <bookViews>
    <workbookView xWindow="-120" yWindow="-120" windowWidth="29040" windowHeight="15720" tabRatio="572" xr2:uid="{00000000-000D-0000-FFFF-FFFF00000000}"/>
  </bookViews>
  <sheets>
    <sheet name="13.10" sheetId="41" r:id="rId1"/>
  </sheets>
  <definedNames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41" l="1"/>
  <c r="L11" i="41"/>
</calcChain>
</file>

<file path=xl/sharedStrings.xml><?xml version="1.0" encoding="utf-8"?>
<sst xmlns="http://schemas.openxmlformats.org/spreadsheetml/2006/main" count="38" uniqueCount="38">
  <si>
    <t>ތަފްސީލު</t>
  </si>
  <si>
    <t>(މިލިޔަން ރުފިޔާއިން)</t>
  </si>
  <si>
    <t>(In millions of Rufiyaa)</t>
  </si>
  <si>
    <t>Particular</t>
  </si>
  <si>
    <r>
      <t xml:space="preserve">Debt outstanding disbursement. (DOD) </t>
    </r>
    <r>
      <rPr>
        <vertAlign val="superscript"/>
        <sz val="10"/>
        <rFont val="Calibri"/>
        <family val="2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</si>
  <si>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</si>
  <si>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</si>
  <si>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</si>
  <si>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</si>
  <si>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</si>
  <si>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</rPr>
      <t>4_/</t>
    </r>
  </si>
  <si>
    <t xml:space="preserve">4_/ ugwa egutwmudiK egunOl  </t>
  </si>
  <si>
    <r>
      <t xml:space="preserve">Total debt service (TDS) </t>
    </r>
    <r>
      <rPr>
        <vertAlign val="superscript"/>
        <sz val="10"/>
        <rFont val="Calibri"/>
        <family val="2"/>
      </rPr>
      <t>5_/</t>
    </r>
  </si>
  <si>
    <t xml:space="preserve">5_/ utWfwtegumuruk ctwmcdiK egunOl iaWdwdwA unugen cniaeretegunOl  </t>
  </si>
  <si>
    <t>Selected ratios</t>
  </si>
  <si>
    <t>ctwbcsin caeawb WviawfivelWvoh</t>
  </si>
  <si>
    <t>Gross Domestic Product (GDP)</t>
  </si>
  <si>
    <t>ޤައުމީ އުފެއްދުންތެރިކަމުގެ މިންގަނޑު (ޖީ.ޑީ.ޕީ)</t>
  </si>
  <si>
    <t>DOD as a percentage of GDP</t>
  </si>
  <si>
    <t xml:space="preserve"> Ip.ID.Ij / ID .Oa .ID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</si>
  <si>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</si>
  <si>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</si>
  <si>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</si>
  <si>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</si>
  <si>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</si>
  <si>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</si>
  <si>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</si>
  <si>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</si>
  <si>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</si>
  <si>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</si>
  <si>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</si>
  <si>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</si>
  <si>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 xml:space="preserve"> cscnEnif cfoa IrcTcsinim :ctWrwf ivcaedutWmUluAwm    </t>
  </si>
  <si>
    <t>Additonal Notes:</t>
  </si>
  <si>
    <t>1/ Data Source: Ministry of Finance and Planning</t>
  </si>
  <si>
    <t>2/ Difference in historical data due to reconciliations</t>
  </si>
  <si>
    <t>ތާވަލު 13.10: ސަރުކާރުން ގެރެންޓީކޮށްދީފައިވާ ބޭރުގެ ދަރަނި ތާވަލު، 2015 - 2025</t>
  </si>
  <si>
    <t>Table 13.10 : SUMMARY OF PUBLICLY GUARANTEED EXTERNAL DEBT, 2015 - 2025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</si>
</sst>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7" formatCode="0.0"/>
    <numFmt numFmtId="168" formatCode="#,##0.00\ ;&quot; (&quot;#,##0.00\);&quot; -&quot;#\ ;@\ "/>
    <numFmt numFmtId="169" formatCode="0.00_)"/>
    <numFmt numFmtId="170" formatCode="_(* #,##0_);_(* \(#,##0\);_(* &quot;-&quot;??_);_(@_)"/>
    <numFmt numFmtId="172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11"/>
      <color indexed="8"/>
      <name val="Times New Roman"/>
      <family val="1"/>
    </font>
    <font>
      <b/>
      <sz val="9"/>
      <color indexed="8"/>
      <name val="Faruma"/>
    </font>
    <font>
      <b/>
      <sz val="9"/>
      <color indexed="8"/>
      <name val="Times New Roman"/>
      <family val="1"/>
    </font>
    <font>
      <sz val="8"/>
      <color indexed="8"/>
      <name val="Arial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10"/>
      <name val="A_Faseyha"/>
    </font>
    <font>
      <sz val="11"/>
      <name val="Calibri"/>
      <family val="2"/>
    </font>
    <font>
      <b/>
      <u/>
      <sz val="10"/>
      <color indexed="8"/>
      <name val="Calibri"/>
      <family val="2"/>
    </font>
    <font>
      <sz val="9.5"/>
      <color indexed="8"/>
      <name val="Calibri"/>
      <family val="2"/>
    </font>
    <font>
      <sz val="9.5"/>
      <name val="Calibri"/>
      <family val="2"/>
    </font>
    <font>
      <sz val="10"/>
      <color indexed="8"/>
      <name val="Calibri"/>
      <family val="2"/>
    </font>
    <font>
      <sz val="10"/>
      <color indexed="8"/>
      <name val="Faruma"/>
    </font>
    <font>
      <sz val="10"/>
      <color indexed="8"/>
      <name val="A_Faseyha"/>
    </font>
    <font>
      <sz val="9"/>
      <color indexed="8"/>
      <name val="Calibri"/>
      <family val="2"/>
    </font>
    <font>
      <b/>
      <u/>
      <sz val="9"/>
      <color indexed="8"/>
      <name val="Calibri"/>
      <family val="2"/>
    </font>
    <font>
      <sz val="9"/>
      <name val="Calibri"/>
      <family val="2"/>
    </font>
    <font>
      <sz val="8"/>
      <color indexed="8"/>
      <name val="Calibri"/>
      <family val="2"/>
    </font>
    <font>
      <b/>
      <sz val="11"/>
      <color indexed="8"/>
      <name val="Faruma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rgb="FF595959"/>
      </bottom>
      <diagonal/>
    </border>
  </borders>
  <cellStyleXfs count="5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168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7" fontId="8" fillId="0" borderId="0"/>
    <xf numFmtId="4" fontId="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9" fontId="11" fillId="0" borderId="0"/>
    <xf numFmtId="1" fontId="12" fillId="0" borderId="1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9" fillId="0" borderId="0"/>
    <xf numFmtId="40" fontId="9" fillId="0" borderId="0" applyFont="0" applyFill="0" applyBorder="0" applyAlignment="0" applyProtection="0"/>
    <xf numFmtId="0" fontId="9" fillId="0" borderId="0"/>
    <xf numFmtId="0" fontId="2" fillId="0" borderId="0"/>
    <xf numFmtId="1" fontId="12" fillId="0" borderId="1" applyNumberFormat="0"/>
    <xf numFmtId="0" fontId="1" fillId="0" borderId="0"/>
    <xf numFmtId="0" fontId="9" fillId="0" borderId="0"/>
    <xf numFmtId="0" fontId="5" fillId="0" borderId="0" applyFill="0" applyProtection="0"/>
    <xf numFmtId="1" fontId="12" fillId="0" borderId="1" applyNumberFormat="0"/>
    <xf numFmtId="43" fontId="1" fillId="0" borderId="0" applyFont="0" applyFill="0" applyBorder="0" applyAlignment="0" applyProtection="0"/>
    <xf numFmtId="0" fontId="1" fillId="0" borderId="0"/>
    <xf numFmtId="0" fontId="13" fillId="0" borderId="0"/>
    <xf numFmtId="0" fontId="14" fillId="0" borderId="0"/>
    <xf numFmtId="0" fontId="13" fillId="0" borderId="0"/>
    <xf numFmtId="0" fontId="1" fillId="0" borderId="0"/>
    <xf numFmtId="0" fontId="9" fillId="0" borderId="0"/>
    <xf numFmtId="0" fontId="5" fillId="0" borderId="0" applyFill="0" applyProtection="0"/>
  </cellStyleXfs>
  <cellXfs count="42">
    <xf numFmtId="0" fontId="0" fillId="0" borderId="0" xfId="0"/>
    <xf numFmtId="0" fontId="0" fillId="2" borderId="0" xfId="0" applyFill="1"/>
    <xf numFmtId="0" fontId="5" fillId="2" borderId="0" xfId="0" applyFont="1" applyFill="1"/>
    <xf numFmtId="0" fontId="18" fillId="2" borderId="0" xfId="0" applyFont="1" applyFill="1"/>
    <xf numFmtId="0" fontId="19" fillId="2" borderId="0" xfId="0" applyFont="1" applyFill="1" applyAlignment="1">
      <alignment vertical="center"/>
    </xf>
    <xf numFmtId="172" fontId="19" fillId="2" borderId="0" xfId="0" applyNumberFormat="1" applyFont="1" applyFill="1" applyAlignment="1">
      <alignment horizontal="right"/>
    </xf>
    <xf numFmtId="172" fontId="19" fillId="2" borderId="0" xfId="0" applyNumberFormat="1" applyFont="1" applyFill="1" applyAlignment="1">
      <alignment horizontal="right" wrapText="1"/>
    </xf>
    <xf numFmtId="0" fontId="16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170" fontId="21" fillId="2" borderId="0" xfId="0" applyNumberFormat="1" applyFont="1" applyFill="1" applyAlignment="1">
      <alignment horizontal="right" vertical="center"/>
    </xf>
    <xf numFmtId="172" fontId="23" fillId="2" borderId="0" xfId="0" applyNumberFormat="1" applyFont="1" applyFill="1" applyAlignment="1">
      <alignment horizontal="right" vertical="center"/>
    </xf>
    <xf numFmtId="0" fontId="24" fillId="2" borderId="0" xfId="0" applyFont="1" applyFill="1"/>
    <xf numFmtId="0" fontId="21" fillId="2" borderId="3" xfId="0" applyFont="1" applyFill="1" applyBorder="1" applyAlignment="1">
      <alignment vertical="center"/>
    </xf>
    <xf numFmtId="170" fontId="21" fillId="2" borderId="3" xfId="0" applyNumberFormat="1" applyFont="1" applyFill="1" applyBorder="1" applyAlignment="1">
      <alignment horizontal="right" vertical="center"/>
    </xf>
    <xf numFmtId="172" fontId="23" fillId="2" borderId="3" xfId="0" applyNumberFormat="1" applyFont="1" applyFill="1" applyBorder="1" applyAlignment="1">
      <alignment horizontal="right" vertical="center"/>
    </xf>
    <xf numFmtId="0" fontId="25" fillId="2" borderId="0" xfId="0" applyFont="1" applyFill="1"/>
    <xf numFmtId="167" fontId="26" fillId="2" borderId="0" xfId="0" applyNumberFormat="1" applyFont="1" applyFill="1" applyAlignment="1">
      <alignment horizontal="right" vertical="center"/>
    </xf>
    <xf numFmtId="167" fontId="27" fillId="2" borderId="0" xfId="0" applyNumberFormat="1" applyFont="1" applyFill="1" applyAlignment="1">
      <alignment horizontal="right" vertical="center"/>
    </xf>
    <xf numFmtId="0" fontId="28" fillId="2" borderId="0" xfId="0" applyFont="1" applyFill="1"/>
    <xf numFmtId="170" fontId="26" fillId="2" borderId="0" xfId="0" applyNumberFormat="1" applyFont="1" applyFill="1" applyAlignment="1">
      <alignment horizontal="right" vertical="center"/>
    </xf>
    <xf numFmtId="170" fontId="27" fillId="2" borderId="0" xfId="0" applyNumberFormat="1" applyFont="1" applyFill="1" applyAlignment="1">
      <alignment horizontal="right" vertical="center"/>
    </xf>
    <xf numFmtId="172" fontId="29" fillId="2" borderId="0" xfId="0" applyNumberFormat="1" applyFont="1" applyFill="1" applyAlignment="1">
      <alignment horizontal="right" vertical="center" indent="1"/>
    </xf>
    <xf numFmtId="0" fontId="28" fillId="2" borderId="2" xfId="0" applyFont="1" applyFill="1" applyBorder="1"/>
    <xf numFmtId="9" fontId="27" fillId="2" borderId="2" xfId="0" applyNumberFormat="1" applyFont="1" applyFill="1" applyBorder="1" applyAlignment="1">
      <alignment horizontal="right" vertical="center"/>
    </xf>
    <xf numFmtId="2" fontId="26" fillId="2" borderId="0" xfId="0" applyNumberFormat="1" applyFont="1" applyFill="1" applyAlignment="1">
      <alignment horizontal="right" vertical="center"/>
    </xf>
    <xf numFmtId="172" fontId="30" fillId="2" borderId="0" xfId="0" applyNumberFormat="1" applyFont="1" applyFill="1" applyAlignment="1">
      <alignment horizontal="right" vertical="center"/>
    </xf>
    <xf numFmtId="0" fontId="31" fillId="2" borderId="0" xfId="0" applyFont="1" applyFill="1" applyAlignment="1">
      <alignment horizontal="left"/>
    </xf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 applyAlignment="1">
      <alignment horizontal="left" vertical="center"/>
    </xf>
    <xf numFmtId="0" fontId="34" fillId="2" borderId="0" xfId="0" applyFont="1" applyFill="1"/>
    <xf numFmtId="0" fontId="19" fillId="2" borderId="2" xfId="0" applyFont="1" applyFill="1" applyBorder="1" applyAlignment="1">
      <alignment vertical="center"/>
    </xf>
    <xf numFmtId="0" fontId="19" fillId="2" borderId="2" xfId="0" applyFont="1" applyFill="1" applyBorder="1" applyAlignment="1">
      <alignment horizontal="right" vertical="center"/>
    </xf>
    <xf numFmtId="0" fontId="20" fillId="2" borderId="2" xfId="0" applyFont="1" applyFill="1" applyBorder="1" applyAlignment="1">
      <alignment horizontal="right" vertical="center"/>
    </xf>
    <xf numFmtId="0" fontId="16" fillId="2" borderId="2" xfId="0" applyFont="1" applyFill="1" applyBorder="1" applyAlignment="1">
      <alignment vertical="center"/>
    </xf>
    <xf numFmtId="172" fontId="36" fillId="2" borderId="0" xfId="0" applyNumberFormat="1" applyFont="1" applyFill="1" applyAlignment="1">
      <alignment horizontal="right" vertical="center"/>
    </xf>
    <xf numFmtId="0" fontId="30" fillId="2" borderId="2" xfId="0" applyFont="1" applyFill="1" applyBorder="1" applyAlignment="1">
      <alignment horizontal="right" vertical="center"/>
    </xf>
    <xf numFmtId="0" fontId="30" fillId="2" borderId="0" xfId="0" applyFont="1" applyFill="1"/>
    <xf numFmtId="0" fontId="3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172" fontId="16" fillId="2" borderId="0" xfId="0" applyNumberFormat="1" applyFont="1" applyFill="1" applyAlignment="1">
      <alignment horizontal="center" vertical="center" wrapText="1"/>
    </xf>
    <xf numFmtId="0" fontId="17" fillId="2" borderId="2" xfId="0" applyFont="1" applyFill="1" applyBorder="1" applyAlignment="1">
      <alignment horizontal="center"/>
    </xf>
  </cellXfs>
  <cellStyles count="55">
    <cellStyle name="1" xfId="25" xr:uid="{00000000-0005-0000-0000-000000000000}"/>
    <cellStyle name="Comma 12" xfId="20" xr:uid="{00000000-0005-0000-0000-000002000000}"/>
    <cellStyle name="Comma 2" xfId="4" xr:uid="{00000000-0005-0000-0000-000003000000}"/>
    <cellStyle name="Comma 2 2" xfId="39" xr:uid="{00000000-0005-0000-0000-000004000000}"/>
    <cellStyle name="Comma 2 2 2 5" xfId="47" xr:uid="{00000000-0005-0000-0000-000005000000}"/>
    <cellStyle name="Comma 3" xfId="5" xr:uid="{00000000-0005-0000-0000-000006000000}"/>
    <cellStyle name="Comma 3 2" xfId="15" xr:uid="{00000000-0005-0000-0000-000007000000}"/>
    <cellStyle name="Comma 3 3" xfId="26" xr:uid="{00000000-0005-0000-0000-000008000000}"/>
    <cellStyle name="Comma 4" xfId="1" xr:uid="{00000000-0005-0000-0000-000009000000}"/>
    <cellStyle name="Comma 4 2" xfId="12" xr:uid="{00000000-0005-0000-0000-00000A000000}"/>
    <cellStyle name="Comma 5" xfId="10" xr:uid="{00000000-0005-0000-0000-00000B000000}"/>
    <cellStyle name="Comma 6" xfId="7" xr:uid="{00000000-0005-0000-0000-00000C000000}"/>
    <cellStyle name="Comma 6 2" xfId="16" xr:uid="{00000000-0005-0000-0000-00000D000000}"/>
    <cellStyle name="Comma 7" xfId="14" xr:uid="{00000000-0005-0000-0000-00000E000000}"/>
    <cellStyle name="Comma 8" xfId="18" xr:uid="{00000000-0005-0000-0000-00000F000000}"/>
    <cellStyle name="Excel Built-in Comma" xfId="3" xr:uid="{00000000-0005-0000-0000-000010000000}"/>
    <cellStyle name="Excel Built-in Normal" xfId="2" xr:uid="{00000000-0005-0000-0000-000011000000}"/>
    <cellStyle name="Normal" xfId="0" builtinId="0"/>
    <cellStyle name="Normal - Style1" xfId="27" xr:uid="{00000000-0005-0000-0000-000013000000}"/>
    <cellStyle name="Normal 10" xfId="33" xr:uid="{00000000-0005-0000-0000-000014000000}"/>
    <cellStyle name="Normal 11" xfId="44" xr:uid="{00000000-0005-0000-0000-000015000000}"/>
    <cellStyle name="Normal 12" xfId="46" xr:uid="{00000000-0005-0000-0000-000016000000}"/>
    <cellStyle name="Normal 2" xfId="8" xr:uid="{00000000-0005-0000-0000-000017000000}"/>
    <cellStyle name="Normal 2 2" xfId="11" xr:uid="{00000000-0005-0000-0000-000018000000}"/>
    <cellStyle name="Normal 2 2 2" xfId="40" xr:uid="{00000000-0005-0000-0000-000019000000}"/>
    <cellStyle name="Normal 2 2 3" xfId="41" xr:uid="{00000000-0005-0000-0000-00001A000000}"/>
    <cellStyle name="Normal 2 2 4" xfId="28" xr:uid="{00000000-0005-0000-0000-00001B000000}"/>
    <cellStyle name="Normal 2 3" xfId="43" xr:uid="{00000000-0005-0000-0000-00001C000000}"/>
    <cellStyle name="Normal 2 3 2" xfId="54" xr:uid="{00000000-0005-0000-0000-00001D000000}"/>
    <cellStyle name="Normal 2 4" xfId="45" xr:uid="{00000000-0005-0000-0000-00001E000000}"/>
    <cellStyle name="Normal 2 5" xfId="49" xr:uid="{00000000-0005-0000-0000-00001F000000}"/>
    <cellStyle name="Normal 2 6" xfId="21" xr:uid="{00000000-0005-0000-0000-000020000000}"/>
    <cellStyle name="Normal 3" xfId="9" xr:uid="{00000000-0005-0000-0000-000021000000}"/>
    <cellStyle name="Normal 3 2" xfId="42" xr:uid="{00000000-0005-0000-0000-000022000000}"/>
    <cellStyle name="Normal 3 2 2" xfId="51" xr:uid="{00000000-0005-0000-0000-000023000000}"/>
    <cellStyle name="Normal 3 3" xfId="29" xr:uid="{00000000-0005-0000-0000-000024000000}"/>
    <cellStyle name="Normal 4" xfId="6" xr:uid="{00000000-0005-0000-0000-000025000000}"/>
    <cellStyle name="Normal 4 2" xfId="30" xr:uid="{00000000-0005-0000-0000-000026000000}"/>
    <cellStyle name="Normal 4 2 2" xfId="35" xr:uid="{00000000-0005-0000-0000-000027000000}"/>
    <cellStyle name="Normal 4 3" xfId="50" xr:uid="{00000000-0005-0000-0000-000028000000}"/>
    <cellStyle name="Normal 4 4" xfId="34" xr:uid="{00000000-0005-0000-0000-000029000000}"/>
    <cellStyle name="Normal 5" xfId="17" xr:uid="{00000000-0005-0000-0000-00002A000000}"/>
    <cellStyle name="Normal 5 2" xfId="23" xr:uid="{00000000-0005-0000-0000-00002B000000}"/>
    <cellStyle name="Normal 5 3" xfId="48" xr:uid="{00000000-0005-0000-0000-00002C000000}"/>
    <cellStyle name="Normal 5 4" xfId="31" xr:uid="{00000000-0005-0000-0000-00002D000000}"/>
    <cellStyle name="Normal 6" xfId="36" xr:uid="{00000000-0005-0000-0000-00002E000000}"/>
    <cellStyle name="Normal 6 2" xfId="52" xr:uid="{00000000-0005-0000-0000-00002F000000}"/>
    <cellStyle name="Normal 7" xfId="37" xr:uid="{00000000-0005-0000-0000-000030000000}"/>
    <cellStyle name="Normal 7 2" xfId="53" xr:uid="{00000000-0005-0000-0000-000031000000}"/>
    <cellStyle name="Normal 8" xfId="38" xr:uid="{00000000-0005-0000-0000-000032000000}"/>
    <cellStyle name="Normal 9" xfId="24" xr:uid="{00000000-0005-0000-0000-000033000000}"/>
    <cellStyle name="Percent 2" xfId="13" xr:uid="{00000000-0005-0000-0000-000038000000}"/>
    <cellStyle name="Percent 2 2" xfId="22" xr:uid="{00000000-0005-0000-0000-000039000000}"/>
    <cellStyle name="Percent 2 3" xfId="32" xr:uid="{00000000-0005-0000-0000-00003A000000}"/>
    <cellStyle name="Percent 3" xfId="19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0D94-8009-4A0E-8CF2-CE7EB36FECBC}">
  <dimension ref="A1:N25"/>
  <sheetViews>
    <sheetView tabSelected="1" zoomScaleNormal="100" workbookViewId="0">
      <selection activeCell="A2" sqref="A2:M2"/>
    </sheetView>
  </sheetViews>
  <sheetFormatPr defaultRowHeight="15"/>
  <cols>
    <col min="1" max="1" width="37" style="1" customWidth="1"/>
    <col min="2" max="12" width="9.140625" style="1"/>
    <col min="13" max="13" width="66.85546875" style="1" customWidth="1"/>
    <col min="14" max="14" width="4.5703125" style="1" customWidth="1"/>
    <col min="15" max="16384" width="9.140625" style="1"/>
  </cols>
  <sheetData>
    <row r="1" spans="1:14" ht="21">
      <c r="A1" s="38" t="s">
        <v>36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2"/>
    </row>
    <row r="2" spans="1:14">
      <c r="A2" s="39" t="s">
        <v>37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2"/>
    </row>
    <row r="3" spans="1:14" ht="17.25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2"/>
    </row>
    <row r="4" spans="1:14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3"/>
    </row>
    <row r="5" spans="1:14" ht="17.25">
      <c r="A5" s="4"/>
      <c r="B5" s="5"/>
      <c r="C5" s="6"/>
      <c r="D5" s="5"/>
      <c r="E5" s="5"/>
      <c r="F5" s="5"/>
      <c r="G5" s="5"/>
      <c r="H5" s="5"/>
      <c r="I5" s="5"/>
      <c r="J5" s="5"/>
      <c r="K5" s="5"/>
      <c r="L5" s="5"/>
      <c r="M5" s="7"/>
      <c r="N5" s="3"/>
    </row>
    <row r="6" spans="1:14" ht="17.25">
      <c r="A6" s="31" t="s">
        <v>3</v>
      </c>
      <c r="B6" s="32">
        <v>2015</v>
      </c>
      <c r="C6" s="32">
        <v>2016</v>
      </c>
      <c r="D6" s="32">
        <v>2017</v>
      </c>
      <c r="E6" s="32">
        <v>2018</v>
      </c>
      <c r="F6" s="32">
        <v>2019</v>
      </c>
      <c r="G6" s="33">
        <v>2020</v>
      </c>
      <c r="H6" s="32">
        <v>2021</v>
      </c>
      <c r="I6" s="32">
        <v>2022</v>
      </c>
      <c r="J6" s="32">
        <v>2023</v>
      </c>
      <c r="K6" s="32">
        <v>2024</v>
      </c>
      <c r="L6" s="32">
        <v>2025</v>
      </c>
      <c r="M6" s="34" t="s">
        <v>0</v>
      </c>
      <c r="N6" s="2"/>
    </row>
    <row r="7" spans="1:14" ht="15.75">
      <c r="A7" s="8" t="s">
        <v>4</v>
      </c>
      <c r="B7" s="9">
        <v>439.1</v>
      </c>
      <c r="C7" s="9">
        <v>2117.1</v>
      </c>
      <c r="D7" s="9">
        <v>778.2</v>
      </c>
      <c r="E7" s="9">
        <v>10348.4</v>
      </c>
      <c r="F7" s="9">
        <v>12728.3</v>
      </c>
      <c r="G7" s="9">
        <v>19078.5</v>
      </c>
      <c r="H7" s="9">
        <v>13545.9</v>
      </c>
      <c r="I7" s="9">
        <v>14876.1</v>
      </c>
      <c r="J7" s="9">
        <v>14146.6</v>
      </c>
      <c r="K7" s="9">
        <v>20048.099999999999</v>
      </c>
      <c r="L7" s="9">
        <v>19539.400000000001</v>
      </c>
      <c r="M7" s="10" t="s">
        <v>5</v>
      </c>
      <c r="N7" s="11"/>
    </row>
    <row r="8" spans="1:14" ht="15.75">
      <c r="A8" s="8" t="s">
        <v>6</v>
      </c>
      <c r="B8" s="9">
        <v>110.3</v>
      </c>
      <c r="C8" s="9">
        <v>1842.5</v>
      </c>
      <c r="D8" s="9">
        <v>713.5</v>
      </c>
      <c r="E8" s="9">
        <v>12270</v>
      </c>
      <c r="F8" s="9">
        <v>7864.2</v>
      </c>
      <c r="G8" s="9">
        <v>10548.6</v>
      </c>
      <c r="H8" s="9">
        <v>3589.5</v>
      </c>
      <c r="I8" s="9">
        <v>3188.4</v>
      </c>
      <c r="J8" s="9">
        <v>3104.5</v>
      </c>
      <c r="K8" s="9">
        <v>8164.4</v>
      </c>
      <c r="L8" s="9">
        <v>1483.5</v>
      </c>
      <c r="M8" s="10" t="s">
        <v>7</v>
      </c>
      <c r="N8" s="11"/>
    </row>
    <row r="9" spans="1:14" ht="15.75">
      <c r="A9" s="8" t="s">
        <v>8</v>
      </c>
      <c r="B9" s="9">
        <v>260.2</v>
      </c>
      <c r="C9" s="9">
        <v>163.30000000000001</v>
      </c>
      <c r="D9" s="9">
        <v>2057.1</v>
      </c>
      <c r="E9" s="9">
        <v>2706.1</v>
      </c>
      <c r="F9" s="9">
        <v>5465.6</v>
      </c>
      <c r="G9" s="9">
        <v>4229</v>
      </c>
      <c r="H9" s="9">
        <v>9171.9</v>
      </c>
      <c r="I9" s="9">
        <v>1866.2</v>
      </c>
      <c r="J9" s="9">
        <v>3833.9</v>
      </c>
      <c r="K9" s="9">
        <v>2281.6999999999998</v>
      </c>
      <c r="L9" s="9">
        <v>2027.7</v>
      </c>
      <c r="M9" s="10" t="s">
        <v>9</v>
      </c>
      <c r="N9" s="11"/>
    </row>
    <row r="10" spans="1:14" ht="15.75">
      <c r="A10" s="8" t="s">
        <v>10</v>
      </c>
      <c r="B10" s="9">
        <v>26</v>
      </c>
      <c r="C10" s="9">
        <v>33.799999999999997</v>
      </c>
      <c r="D10" s="9">
        <v>46</v>
      </c>
      <c r="E10" s="9">
        <v>248.2</v>
      </c>
      <c r="F10" s="9">
        <v>555.5</v>
      </c>
      <c r="G10" s="9">
        <v>596.79999999999995</v>
      </c>
      <c r="H10" s="9">
        <v>309.8</v>
      </c>
      <c r="I10" s="9">
        <v>510</v>
      </c>
      <c r="J10" s="9">
        <v>1053.5</v>
      </c>
      <c r="K10" s="9">
        <v>874.9</v>
      </c>
      <c r="L10" s="9">
        <v>1043.5</v>
      </c>
      <c r="M10" s="10" t="s">
        <v>11</v>
      </c>
      <c r="N10" s="11"/>
    </row>
    <row r="11" spans="1:14" ht="15.75">
      <c r="A11" s="12" t="s">
        <v>12</v>
      </c>
      <c r="B11" s="13">
        <v>286.2</v>
      </c>
      <c r="C11" s="13">
        <v>197.1</v>
      </c>
      <c r="D11" s="13">
        <v>2103.1</v>
      </c>
      <c r="E11" s="13">
        <v>2954.3</v>
      </c>
      <c r="F11" s="13">
        <v>6021.1</v>
      </c>
      <c r="G11" s="13">
        <v>4825.8</v>
      </c>
      <c r="H11" s="13">
        <v>9481.7000000000007</v>
      </c>
      <c r="I11" s="13">
        <v>2376.1999999999998</v>
      </c>
      <c r="J11" s="13">
        <v>4887.3999999999996</v>
      </c>
      <c r="K11" s="13">
        <v>3156.6</v>
      </c>
      <c r="L11" s="13">
        <f>L9+L10</f>
        <v>3071.2</v>
      </c>
      <c r="M11" s="14" t="s">
        <v>13</v>
      </c>
      <c r="N11" s="11"/>
    </row>
    <row r="12" spans="1:14" ht="15.75">
      <c r="A12" s="15" t="s">
        <v>14</v>
      </c>
      <c r="B12" s="16"/>
      <c r="C12" s="16"/>
      <c r="D12" s="16"/>
      <c r="E12" s="16"/>
      <c r="F12" s="16"/>
      <c r="G12" s="16"/>
      <c r="H12" s="17"/>
      <c r="I12" s="17"/>
      <c r="J12" s="17"/>
      <c r="K12" s="17"/>
      <c r="L12" s="17"/>
      <c r="M12" s="35" t="s">
        <v>15</v>
      </c>
      <c r="N12" s="2"/>
    </row>
    <row r="13" spans="1:14" ht="18.75">
      <c r="A13" s="18" t="s">
        <v>16</v>
      </c>
      <c r="B13" s="19">
        <v>63455.345610595097</v>
      </c>
      <c r="C13" s="19">
        <v>67773.797492797894</v>
      </c>
      <c r="D13" s="19">
        <v>74110.201545923599</v>
      </c>
      <c r="E13" s="19">
        <v>83177.380050760199</v>
      </c>
      <c r="F13" s="19">
        <v>88079.030673816203</v>
      </c>
      <c r="G13" s="19">
        <v>57104.573453151199</v>
      </c>
      <c r="H13" s="20">
        <v>80744.440880281996</v>
      </c>
      <c r="I13" s="20">
        <v>95045.000034683006</v>
      </c>
      <c r="J13" s="20">
        <v>101876.1</v>
      </c>
      <c r="K13" s="20">
        <v>108672.5</v>
      </c>
      <c r="L13" s="20">
        <v>116359.8</v>
      </c>
      <c r="M13" s="21" t="s">
        <v>17</v>
      </c>
      <c r="N13" s="2"/>
    </row>
    <row r="14" spans="1:14" ht="15.75">
      <c r="A14" s="22" t="s">
        <v>18</v>
      </c>
      <c r="B14" s="23">
        <v>6.9198267817279701E-3</v>
      </c>
      <c r="C14" s="23">
        <v>3.1237736091517899E-2</v>
      </c>
      <c r="D14" s="23">
        <v>1.05005786486463E-2</v>
      </c>
      <c r="E14" s="23">
        <v>0.124413632572759</v>
      </c>
      <c r="F14" s="23">
        <v>0.14450999179517299</v>
      </c>
      <c r="G14" s="23">
        <v>0.334097583543848</v>
      </c>
      <c r="H14" s="23">
        <v>0.16776263297289001</v>
      </c>
      <c r="I14" s="23">
        <v>0.15651638691747599</v>
      </c>
      <c r="J14" s="23">
        <v>0.13949530398982701</v>
      </c>
      <c r="K14" s="23">
        <v>0.184011440431323</v>
      </c>
      <c r="L14" s="23">
        <f>L7/L13</f>
        <v>0.16792225493684246</v>
      </c>
      <c r="M14" s="36" t="s">
        <v>19</v>
      </c>
      <c r="N14" s="2"/>
    </row>
    <row r="15" spans="1:14" ht="15.75">
      <c r="A15" s="18" t="s">
        <v>20</v>
      </c>
      <c r="B15" s="2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25" t="s">
        <v>21</v>
      </c>
      <c r="N15" s="2"/>
    </row>
    <row r="16" spans="1:14" ht="15.75">
      <c r="A16" s="26" t="s">
        <v>22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5" t="s">
        <v>23</v>
      </c>
      <c r="N16" s="2"/>
    </row>
    <row r="17" spans="1:14" ht="15.75">
      <c r="A17" s="26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5" t="s">
        <v>25</v>
      </c>
      <c r="N17" s="2"/>
    </row>
    <row r="18" spans="1:14" ht="15.75">
      <c r="A18" s="26" t="s">
        <v>26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5" t="s">
        <v>27</v>
      </c>
      <c r="N18" s="2"/>
    </row>
    <row r="19" spans="1:14" ht="15.75">
      <c r="A19" s="26" t="s">
        <v>28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5" t="s">
        <v>29</v>
      </c>
      <c r="N19" s="2"/>
    </row>
    <row r="20" spans="1:14" ht="15.75">
      <c r="A20" s="26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5" t="s">
        <v>31</v>
      </c>
      <c r="N20" s="2"/>
    </row>
    <row r="21" spans="1:14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5" t="s">
        <v>32</v>
      </c>
      <c r="N21" s="2"/>
    </row>
    <row r="22" spans="1:14" ht="17.25">
      <c r="A22" s="28" t="s">
        <v>33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7"/>
      <c r="N22" s="2"/>
    </row>
    <row r="23" spans="1:14">
      <c r="A23" s="29" t="s">
        <v>34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9" t="s">
        <v>35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3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</sheetData>
  <mergeCells count="4">
    <mergeCell ref="A1:M1"/>
    <mergeCell ref="A2:M2"/>
    <mergeCell ref="A3:M3"/>
    <mergeCell ref="A4:M4"/>
  </mergeCells>
  <pageMargins left="0.7" right="0.7" top="0.75" bottom="0.75" header="0.3" footer="0.3"/>
  <pageSetup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13.10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2026-07-07T08:24:51Z</cp:lastPrinted>
  <dcterms:created xsi:type="dcterms:W3CDTF">2014-03-06T08:38:12Z</dcterms:created>
  <dcterms:modified xsi:type="dcterms:W3CDTF">2026-07-07T08:25:05Z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