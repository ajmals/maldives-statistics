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ublic Finance\"/>
    </mc:Choice>
  </mc:AlternateContent>
  <xr:revisionPtr revIDLastSave="0" documentId="13_ncr:1_{67DB3CEB-66FF-43FE-858E-BD21E2F2E4E2}" xr6:coauthVersionLast="47" xr6:coauthVersionMax="47" xr10:uidLastSave="{00000000-0000-0000-0000-000000000000}"/>
  <bookViews>
    <workbookView xWindow="-120" yWindow="-120" windowWidth="29040" windowHeight="15720" tabRatio="572" xr2:uid="{00000000-000D-0000-FFFF-FFFF00000000}"/>
  </bookViews>
  <sheets>
    <sheet name="13.9" sheetId="41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41" l="1"/>
  <c r="K14" i="41"/>
  <c r="J14" i="41"/>
  <c r="L11" i="41"/>
  <c r="K11" i="41"/>
</calcChain>
</file>

<file path=xl/sharedStrings.xml><?xml version="1.0" encoding="utf-8"?>
<sst xmlns="http://schemas.openxmlformats.org/spreadsheetml/2006/main" count="38" uniqueCount="38">
  <si>
    <t>ތަފްސީލު</t>
  </si>
  <si>
    <r>
      <t>2023- 2015, (</t>
    </r>
    <r>
      <rPr>
        <b/>
        <sz val="12"/>
        <color indexed="8"/>
        <rFont val="Faruma"/>
      </rPr>
      <t>ބަޖެޓަރީ ސެންޓްރަލް ގަވަރންމަންޓް)</t>
    </r>
    <r>
      <rPr>
        <b/>
        <sz val="12"/>
        <color indexed="8"/>
        <rFont val="A_Faseyha"/>
      </rPr>
      <t xml:space="preserve"> inwrwd egurEb egEjcaWr : 13.9 ulwvWt</t>
    </r>
  </si>
  <si>
    <t>Table 13.9 : SUMMARY OF BUDGETARY CENTRAL GOVERNMENT EXTERNAL DEBT, 2015 - 2025</t>
  </si>
  <si>
    <t>(މިލިޔަން ރުފިޔާއިން)</t>
  </si>
  <si>
    <t>(In millions of Rufiyaa)</t>
  </si>
  <si>
    <t>Particular</t>
  </si>
  <si>
    <r>
      <t xml:space="preserve">Debt outstanding disbursement. (DOD) </t>
    </r>
    <r>
      <rPr>
        <vertAlign val="superscript"/>
        <sz val="10"/>
        <rFont val="Calibri"/>
        <family val="2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</si>
  <si>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</si>
  <si>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</si>
  <si>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</si>
  <si>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</si>
  <si>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</si>
  <si>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</rPr>
      <t>4_/</t>
    </r>
  </si>
  <si>
    <t xml:space="preserve">4_/ ugwa egutwmudiK egunOl  </t>
  </si>
  <si>
    <r>
      <t xml:space="preserve">Total debt service (TDS) </t>
    </r>
    <r>
      <rPr>
        <vertAlign val="superscript"/>
        <sz val="10"/>
        <rFont val="Calibri"/>
        <family val="2"/>
      </rPr>
      <t>5_/</t>
    </r>
  </si>
  <si>
    <t xml:space="preserve">5_/ utWfwtegumuruk ctwmcdiK egunOl iaWdwdwA unugen cniaeretegunOl  </t>
  </si>
  <si>
    <t>Selected ratios</t>
  </si>
  <si>
    <t>ctwbcsin caeawb WviawfivelWvoh</t>
  </si>
  <si>
    <t>Gross Domestic Product (GDP)</t>
  </si>
  <si>
    <t>ޤައުމީ އުފެއްދުންތެރިކަމުގެ މިންގަނޑު (ޖީ.ޑީ.ޕީ)</t>
  </si>
  <si>
    <t>DOD as a percentage of GDP</t>
  </si>
  <si>
    <t xml:space="preserve"> Ip.ID.Ij / ID .Oa .ID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</si>
  <si>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</si>
  <si>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</si>
  <si>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</si>
  <si>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</si>
  <si>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</si>
  <si>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</si>
  <si>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</si>
  <si>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</si>
  <si>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</si>
  <si>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</si>
  <si>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</si>
  <si>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</si>
  <si>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 xml:space="preserve"> cscnEnif cfoa IrcTcsinim :ctWrwf ivcaedutWmUluAwm    </t>
  </si>
  <si>
    <t>Additonal Notes:</t>
  </si>
  <si>
    <t>1/ Data Source: Ministry of Finance and Planning</t>
  </si>
  <si>
    <t>2/ Difference in historical data due to reconciliations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</si>
</sst>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#,##0.00\ ;&quot; (&quot;#,##0.00\);&quot; -&quot;#\ ;@\ "/>
    <numFmt numFmtId="168" formatCode="0.00_)"/>
    <numFmt numFmtId="170" formatCode="General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2"/>
      <color indexed="8"/>
      <name val="A_Faseyha"/>
    </font>
    <font>
      <b/>
      <sz val="12"/>
      <color indexed="8"/>
      <name val="Faruma"/>
    </font>
    <font>
      <b/>
      <sz val="11"/>
      <color indexed="8"/>
      <name val="Times New Roman"/>
      <family val="1"/>
    </font>
    <font>
      <b/>
      <sz val="9"/>
      <color indexed="8"/>
      <name val="Faruma"/>
    </font>
    <font>
      <b/>
      <sz val="9"/>
      <color indexed="8"/>
      <name val="Times New Roman"/>
      <family val="1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0"/>
      <name val="A_Faseyha"/>
    </font>
    <font>
      <b/>
      <u/>
      <sz val="10"/>
      <color indexed="8"/>
      <name val="Calibri"/>
      <family val="2"/>
    </font>
    <font>
      <sz val="9.5"/>
      <color indexed="8"/>
      <name val="Calibri"/>
      <family val="2"/>
    </font>
    <font>
      <sz val="9.5"/>
      <name val="Calibri"/>
      <family val="2"/>
    </font>
    <font>
      <b/>
      <sz val="10"/>
      <name val="A_Faseyha"/>
    </font>
    <font>
      <sz val="10"/>
      <color indexed="8"/>
      <name val="Calibri"/>
      <family val="2"/>
    </font>
    <font>
      <sz val="10"/>
      <color indexed="8"/>
      <name val="Faruma"/>
    </font>
    <font>
      <sz val="10"/>
      <color indexed="8"/>
      <name val="A_Faseyha"/>
    </font>
    <font>
      <sz val="9"/>
      <color indexed="8"/>
      <name val="Calibri"/>
      <family val="2"/>
    </font>
    <font>
      <b/>
      <u/>
      <sz val="9"/>
      <color indexed="8"/>
      <name val="Calibri"/>
      <family val="2"/>
    </font>
    <font>
      <sz val="9"/>
      <name val="Calibri"/>
      <family val="2"/>
    </font>
    <font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595959"/>
      </bottom>
      <diagonal/>
    </border>
  </borders>
  <cellStyleXfs count="5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167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6" fontId="8" fillId="0" borderId="0"/>
    <xf numFmtId="4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8" fontId="11" fillId="0" borderId="0"/>
    <xf numFmtId="1" fontId="12" fillId="0" borderId="1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9" fillId="0" borderId="0"/>
    <xf numFmtId="40" fontId="9" fillId="0" borderId="0" applyFont="0" applyFill="0" applyBorder="0" applyAlignment="0" applyProtection="0"/>
    <xf numFmtId="0" fontId="9" fillId="0" borderId="0"/>
    <xf numFmtId="0" fontId="2" fillId="0" borderId="0"/>
    <xf numFmtId="1" fontId="12" fillId="0" borderId="1" applyNumberFormat="0"/>
    <xf numFmtId="0" fontId="1" fillId="0" borderId="0"/>
    <xf numFmtId="0" fontId="9" fillId="0" borderId="0"/>
    <xf numFmtId="0" fontId="5" fillId="0" borderId="0" applyFill="0" applyProtection="0"/>
    <xf numFmtId="1" fontId="12" fillId="0" borderId="1" applyNumberFormat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/>
    <xf numFmtId="0" fontId="13" fillId="0" borderId="0"/>
    <xf numFmtId="0" fontId="1" fillId="0" borderId="0"/>
    <xf numFmtId="0" fontId="9" fillId="0" borderId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5" fillId="2" borderId="0" xfId="0" applyFont="1" applyFill="1"/>
    <xf numFmtId="0" fontId="20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20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170" fontId="24" fillId="2" borderId="0" xfId="0" applyNumberFormat="1" applyFont="1" applyFill="1" applyAlignment="1">
      <alignment horizontal="right" vertical="center"/>
    </xf>
    <xf numFmtId="0" fontId="22" fillId="2" borderId="4" xfId="0" applyFont="1" applyFill="1" applyBorder="1" applyAlignment="1">
      <alignment vertical="center"/>
    </xf>
    <xf numFmtId="170" fontId="24" fillId="2" borderId="4" xfId="0" applyNumberFormat="1" applyFont="1" applyFill="1" applyBorder="1" applyAlignment="1">
      <alignment horizontal="right" vertical="center"/>
    </xf>
    <xf numFmtId="0" fontId="25" fillId="2" borderId="0" xfId="0" applyFont="1" applyFill="1"/>
    <xf numFmtId="170" fontId="28" fillId="2" borderId="0" xfId="0" applyNumberFormat="1" applyFont="1" applyFill="1" applyAlignment="1">
      <alignment horizontal="right" vertical="center"/>
    </xf>
    <xf numFmtId="0" fontId="29" fillId="2" borderId="0" xfId="0" applyFont="1" applyFill="1"/>
    <xf numFmtId="170" fontId="30" fillId="2" borderId="0" xfId="0" applyNumberFormat="1" applyFont="1" applyFill="1" applyAlignment="1">
      <alignment horizontal="right" vertical="center" indent="1"/>
    </xf>
    <xf numFmtId="0" fontId="29" fillId="2" borderId="2" xfId="0" applyFont="1" applyFill="1" applyBorder="1"/>
    <xf numFmtId="0" fontId="24" fillId="2" borderId="2" xfId="0" applyFont="1" applyFill="1" applyBorder="1" applyAlignment="1">
      <alignment horizontal="right" vertical="center"/>
    </xf>
    <xf numFmtId="170" fontId="31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0" fontId="33" fillId="2" borderId="0" xfId="0" applyFont="1" applyFill="1"/>
    <xf numFmtId="0" fontId="34" fillId="2" borderId="0" xfId="0" applyFont="1" applyFill="1" applyAlignment="1">
      <alignment horizontal="left" vertical="center"/>
    </xf>
    <xf numFmtId="0" fontId="35" fillId="2" borderId="0" xfId="0" applyFont="1" applyFill="1"/>
    <xf numFmtId="0" fontId="3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70" fontId="20" fillId="2" borderId="0" xfId="0" applyNumberFormat="1" applyFont="1" applyFill="1" applyAlignment="1">
      <alignment vertical="center"/>
    </xf>
    <xf numFmtId="170" fontId="20" fillId="2" borderId="0" xfId="0" applyNumberFormat="1" applyFont="1" applyFill="1" applyAlignment="1">
      <alignment vertical="center" wrapText="1"/>
    </xf>
    <xf numFmtId="0" fontId="21" fillId="2" borderId="3" xfId="0" applyFont="1" applyFill="1" applyBorder="1" applyAlignment="1">
      <alignment vertical="center"/>
    </xf>
    <xf numFmtId="166" fontId="26" fillId="2" borderId="0" xfId="0" applyNumberFormat="1" applyFont="1" applyFill="1" applyAlignment="1">
      <alignment vertical="center"/>
    </xf>
    <xf numFmtId="9" fontId="27" fillId="2" borderId="2" xfId="0" applyNumberFormat="1" applyFont="1" applyFill="1" applyBorder="1" applyAlignment="1">
      <alignment vertical="center"/>
    </xf>
    <xf numFmtId="2" fontId="26" fillId="2" borderId="0" xfId="0" applyNumberFormat="1" applyFont="1" applyFill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22" fillId="2" borderId="4" xfId="0" applyNumberFormat="1" applyFont="1" applyFill="1" applyBorder="1" applyAlignment="1">
      <alignment vertical="center"/>
    </xf>
    <xf numFmtId="3" fontId="26" fillId="2" borderId="0" xfId="0" applyNumberFormat="1" applyFont="1" applyFill="1" applyAlignment="1">
      <alignment vertical="center"/>
    </xf>
    <xf numFmtId="3" fontId="27" fillId="2" borderId="0" xfId="0" applyNumberFormat="1" applyFont="1" applyFill="1" applyAlignment="1">
      <alignment vertical="center"/>
    </xf>
    <xf numFmtId="170" fontId="15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170" fontId="18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/>
    </xf>
  </cellXfs>
  <cellStyles count="55">
    <cellStyle name="1" xfId="25" xr:uid="{00000000-0005-0000-0000-000000000000}"/>
    <cellStyle name="Comma 12" xfId="20" xr:uid="{00000000-0005-0000-0000-000002000000}"/>
    <cellStyle name="Comma 2" xfId="4" xr:uid="{00000000-0005-0000-0000-000003000000}"/>
    <cellStyle name="Comma 2 2" xfId="39" xr:uid="{00000000-0005-0000-0000-000004000000}"/>
    <cellStyle name="Comma 2 2 2 5" xfId="47" xr:uid="{00000000-0005-0000-0000-000005000000}"/>
    <cellStyle name="Comma 3" xfId="5" xr:uid="{00000000-0005-0000-0000-000006000000}"/>
    <cellStyle name="Comma 3 2" xfId="15" xr:uid="{00000000-0005-0000-0000-000007000000}"/>
    <cellStyle name="Comma 3 3" xfId="26" xr:uid="{00000000-0005-0000-0000-000008000000}"/>
    <cellStyle name="Comma 4" xfId="1" xr:uid="{00000000-0005-0000-0000-000009000000}"/>
    <cellStyle name="Comma 4 2" xfId="12" xr:uid="{00000000-0005-0000-0000-00000A000000}"/>
    <cellStyle name="Comma 5" xfId="10" xr:uid="{00000000-0005-0000-0000-00000B000000}"/>
    <cellStyle name="Comma 6" xfId="7" xr:uid="{00000000-0005-0000-0000-00000C000000}"/>
    <cellStyle name="Comma 6 2" xfId="16" xr:uid="{00000000-0005-0000-0000-00000D000000}"/>
    <cellStyle name="Comma 7" xfId="14" xr:uid="{00000000-0005-0000-0000-00000E000000}"/>
    <cellStyle name="Comma 8" xfId="18" xr:uid="{00000000-0005-0000-0000-00000F000000}"/>
    <cellStyle name="Excel Built-in Comma" xfId="3" xr:uid="{00000000-0005-0000-0000-000010000000}"/>
    <cellStyle name="Excel Built-in Normal" xfId="2" xr:uid="{00000000-0005-0000-0000-000011000000}"/>
    <cellStyle name="Normal" xfId="0" builtinId="0"/>
    <cellStyle name="Normal - Style1" xfId="27" xr:uid="{00000000-0005-0000-0000-000013000000}"/>
    <cellStyle name="Normal 10" xfId="33" xr:uid="{00000000-0005-0000-0000-000014000000}"/>
    <cellStyle name="Normal 11" xfId="44" xr:uid="{00000000-0005-0000-0000-000015000000}"/>
    <cellStyle name="Normal 12" xfId="46" xr:uid="{00000000-0005-0000-0000-000016000000}"/>
    <cellStyle name="Normal 2" xfId="8" xr:uid="{00000000-0005-0000-0000-000017000000}"/>
    <cellStyle name="Normal 2 2" xfId="11" xr:uid="{00000000-0005-0000-0000-000018000000}"/>
    <cellStyle name="Normal 2 2 2" xfId="40" xr:uid="{00000000-0005-0000-0000-000019000000}"/>
    <cellStyle name="Normal 2 2 3" xfId="41" xr:uid="{00000000-0005-0000-0000-00001A000000}"/>
    <cellStyle name="Normal 2 2 4" xfId="28" xr:uid="{00000000-0005-0000-0000-00001B000000}"/>
    <cellStyle name="Normal 2 3" xfId="43" xr:uid="{00000000-0005-0000-0000-00001C000000}"/>
    <cellStyle name="Normal 2 3 2" xfId="54" xr:uid="{00000000-0005-0000-0000-00001D000000}"/>
    <cellStyle name="Normal 2 4" xfId="45" xr:uid="{00000000-0005-0000-0000-00001E000000}"/>
    <cellStyle name="Normal 2 5" xfId="49" xr:uid="{00000000-0005-0000-0000-00001F000000}"/>
    <cellStyle name="Normal 2 6" xfId="21" xr:uid="{00000000-0005-0000-0000-000020000000}"/>
    <cellStyle name="Normal 3" xfId="9" xr:uid="{00000000-0005-0000-0000-000021000000}"/>
    <cellStyle name="Normal 3 2" xfId="42" xr:uid="{00000000-0005-0000-0000-000022000000}"/>
    <cellStyle name="Normal 3 2 2" xfId="51" xr:uid="{00000000-0005-0000-0000-000023000000}"/>
    <cellStyle name="Normal 3 3" xfId="29" xr:uid="{00000000-0005-0000-0000-000024000000}"/>
    <cellStyle name="Normal 4" xfId="6" xr:uid="{00000000-0005-0000-0000-000025000000}"/>
    <cellStyle name="Normal 4 2" xfId="30" xr:uid="{00000000-0005-0000-0000-000026000000}"/>
    <cellStyle name="Normal 4 2 2" xfId="35" xr:uid="{00000000-0005-0000-0000-000027000000}"/>
    <cellStyle name="Normal 4 3" xfId="50" xr:uid="{00000000-0005-0000-0000-000028000000}"/>
    <cellStyle name="Normal 4 4" xfId="34" xr:uid="{00000000-0005-0000-0000-000029000000}"/>
    <cellStyle name="Normal 5" xfId="17" xr:uid="{00000000-0005-0000-0000-00002A000000}"/>
    <cellStyle name="Normal 5 2" xfId="23" xr:uid="{00000000-0005-0000-0000-00002B000000}"/>
    <cellStyle name="Normal 5 3" xfId="48" xr:uid="{00000000-0005-0000-0000-00002C000000}"/>
    <cellStyle name="Normal 5 4" xfId="31" xr:uid="{00000000-0005-0000-0000-00002D000000}"/>
    <cellStyle name="Normal 6" xfId="36" xr:uid="{00000000-0005-0000-0000-00002E000000}"/>
    <cellStyle name="Normal 6 2" xfId="52" xr:uid="{00000000-0005-0000-0000-00002F000000}"/>
    <cellStyle name="Normal 7" xfId="37" xr:uid="{00000000-0005-0000-0000-000030000000}"/>
    <cellStyle name="Normal 7 2" xfId="53" xr:uid="{00000000-0005-0000-0000-000031000000}"/>
    <cellStyle name="Normal 8" xfId="38" xr:uid="{00000000-0005-0000-0000-000032000000}"/>
    <cellStyle name="Normal 9" xfId="24" xr:uid="{00000000-0005-0000-0000-000033000000}"/>
    <cellStyle name="Percent 2" xfId="13" xr:uid="{00000000-0005-0000-0000-000038000000}"/>
    <cellStyle name="Percent 2 2" xfId="22" xr:uid="{00000000-0005-0000-0000-000039000000}"/>
    <cellStyle name="Percent 2 3" xfId="32" xr:uid="{00000000-0005-0000-0000-00003A000000}"/>
    <cellStyle name="Percent 3" xfId="19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0ED7-C148-4DD3-B853-08340645F55C}">
  <dimension ref="A1:M25"/>
  <sheetViews>
    <sheetView tabSelected="1" zoomScaleNormal="100" workbookViewId="0">
      <selection activeCell="D30" sqref="D30"/>
    </sheetView>
  </sheetViews>
  <sheetFormatPr defaultRowHeight="15"/>
  <cols>
    <col min="1" max="1" width="35.85546875" style="1" customWidth="1"/>
    <col min="2" max="12" width="9.140625" style="1"/>
    <col min="13" max="13" width="72" style="1" customWidth="1"/>
    <col min="14" max="16384" width="9.140625" style="1"/>
  </cols>
  <sheetData>
    <row r="1" spans="1:13" ht="21.75">
      <c r="A1" s="34" t="s">
        <v>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>
      <c r="A2" s="35" t="s">
        <v>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7.25">
      <c r="A3" s="36" t="s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>
      <c r="A4" s="37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ht="17.25">
      <c r="A5" s="3"/>
      <c r="B5" s="24"/>
      <c r="C5" s="25"/>
      <c r="D5" s="24"/>
      <c r="E5" s="24"/>
      <c r="F5" s="24"/>
      <c r="G5" s="24"/>
      <c r="H5" s="24"/>
      <c r="I5" s="24"/>
      <c r="J5" s="24"/>
      <c r="K5" s="24"/>
      <c r="L5" s="24"/>
      <c r="M5" s="4"/>
    </row>
    <row r="6" spans="1:13" ht="17.25">
      <c r="A6" s="5" t="s">
        <v>5</v>
      </c>
      <c r="B6" s="5">
        <v>2015</v>
      </c>
      <c r="C6" s="5">
        <v>2016</v>
      </c>
      <c r="D6" s="5">
        <v>2017</v>
      </c>
      <c r="E6" s="5">
        <v>2018</v>
      </c>
      <c r="F6" s="5">
        <v>2019</v>
      </c>
      <c r="G6" s="26">
        <v>2020</v>
      </c>
      <c r="H6" s="5">
        <v>2021</v>
      </c>
      <c r="I6" s="5">
        <v>2022</v>
      </c>
      <c r="J6" s="5">
        <v>2023</v>
      </c>
      <c r="K6" s="5">
        <v>2024</v>
      </c>
      <c r="L6" s="5">
        <v>2025</v>
      </c>
      <c r="M6" s="6" t="s">
        <v>0</v>
      </c>
    </row>
    <row r="7" spans="1:13" ht="15.75">
      <c r="A7" s="7" t="s">
        <v>6</v>
      </c>
      <c r="B7" s="30">
        <v>10225.6</v>
      </c>
      <c r="C7" s="30">
        <v>11851.6</v>
      </c>
      <c r="D7" s="30">
        <v>16863.3</v>
      </c>
      <c r="E7" s="30">
        <v>20573.900000000001</v>
      </c>
      <c r="F7" s="30">
        <v>22047.7</v>
      </c>
      <c r="G7" s="30">
        <v>24971.9</v>
      </c>
      <c r="H7" s="30">
        <v>31823.599999999999</v>
      </c>
      <c r="I7" s="30">
        <v>33098.699999999997</v>
      </c>
      <c r="J7" s="30">
        <v>38105.4</v>
      </c>
      <c r="K7" s="30">
        <v>42272.9</v>
      </c>
      <c r="L7" s="30">
        <v>43599.199999999997</v>
      </c>
      <c r="M7" s="8" t="s">
        <v>7</v>
      </c>
    </row>
    <row r="8" spans="1:13" ht="15.75">
      <c r="A8" s="7" t="s">
        <v>8</v>
      </c>
      <c r="B8" s="30">
        <v>860.9</v>
      </c>
      <c r="C8" s="30">
        <v>3023.2</v>
      </c>
      <c r="D8" s="30">
        <v>5454.9</v>
      </c>
      <c r="E8" s="30">
        <v>5095.1000000000004</v>
      </c>
      <c r="F8" s="30">
        <v>2563.1999999999998</v>
      </c>
      <c r="G8" s="30">
        <v>3090.2</v>
      </c>
      <c r="H8" s="30">
        <v>10597.5</v>
      </c>
      <c r="I8" s="30">
        <v>4392.2</v>
      </c>
      <c r="J8" s="30">
        <v>6713.1</v>
      </c>
      <c r="K8" s="30">
        <v>6268.5</v>
      </c>
      <c r="L8" s="30">
        <v>4311.8</v>
      </c>
      <c r="M8" s="8" t="s">
        <v>9</v>
      </c>
    </row>
    <row r="9" spans="1:13" ht="15.75">
      <c r="A9" s="7" t="s">
        <v>10</v>
      </c>
      <c r="B9" s="30">
        <v>960.2</v>
      </c>
      <c r="C9" s="30">
        <v>1041.9000000000001</v>
      </c>
      <c r="D9" s="30">
        <v>1048.8</v>
      </c>
      <c r="E9" s="30">
        <v>1074.4000000000001</v>
      </c>
      <c r="F9" s="30">
        <v>939.4</v>
      </c>
      <c r="G9" s="30">
        <v>813.9</v>
      </c>
      <c r="H9" s="30">
        <v>3788.8</v>
      </c>
      <c r="I9" s="30">
        <v>2433</v>
      </c>
      <c r="J9" s="30">
        <v>1630.3</v>
      </c>
      <c r="K9" s="30">
        <v>1794.2</v>
      </c>
      <c r="L9" s="30">
        <v>3631.5</v>
      </c>
      <c r="M9" s="8" t="s">
        <v>11</v>
      </c>
    </row>
    <row r="10" spans="1:13" ht="15.75">
      <c r="A10" s="7" t="s">
        <v>12</v>
      </c>
      <c r="B10" s="30">
        <v>149.1</v>
      </c>
      <c r="C10" s="30">
        <v>147.9</v>
      </c>
      <c r="D10" s="30">
        <v>303.8</v>
      </c>
      <c r="E10" s="30">
        <v>516.6</v>
      </c>
      <c r="F10" s="30">
        <v>611.9</v>
      </c>
      <c r="G10" s="30">
        <v>542</v>
      </c>
      <c r="H10" s="30">
        <v>584</v>
      </c>
      <c r="I10" s="30">
        <v>1319.7</v>
      </c>
      <c r="J10" s="30">
        <v>1469.3</v>
      </c>
      <c r="K10" s="30">
        <v>1644.1</v>
      </c>
      <c r="L10" s="30">
        <v>1612.9</v>
      </c>
      <c r="M10" s="8" t="s">
        <v>13</v>
      </c>
    </row>
    <row r="11" spans="1:13" ht="15.75">
      <c r="A11" s="9" t="s">
        <v>14</v>
      </c>
      <c r="B11" s="31">
        <v>1109.3</v>
      </c>
      <c r="C11" s="31">
        <v>1189.8</v>
      </c>
      <c r="D11" s="31">
        <v>1352.6</v>
      </c>
      <c r="E11" s="31">
        <v>1591</v>
      </c>
      <c r="F11" s="31">
        <v>1551.3</v>
      </c>
      <c r="G11" s="31">
        <v>1355.9</v>
      </c>
      <c r="H11" s="31">
        <v>4372.8</v>
      </c>
      <c r="I11" s="31">
        <v>3752.7</v>
      </c>
      <c r="J11" s="31">
        <v>3099.6</v>
      </c>
      <c r="K11" s="31">
        <f>K10+K9</f>
        <v>3438.3</v>
      </c>
      <c r="L11" s="31">
        <f>L10+L9</f>
        <v>5244.4</v>
      </c>
      <c r="M11" s="10" t="s">
        <v>15</v>
      </c>
    </row>
    <row r="12" spans="1:13" ht="15.75">
      <c r="A12" s="11" t="s">
        <v>16</v>
      </c>
      <c r="B12" s="32"/>
      <c r="C12" s="32"/>
      <c r="D12" s="32"/>
      <c r="E12" s="32"/>
      <c r="F12" s="32"/>
      <c r="G12" s="32"/>
      <c r="H12" s="33"/>
      <c r="I12" s="33"/>
      <c r="J12" s="33"/>
      <c r="K12" s="33"/>
      <c r="L12" s="33"/>
      <c r="M12" s="12" t="s">
        <v>17</v>
      </c>
    </row>
    <row r="13" spans="1:13" ht="18.75">
      <c r="A13" s="13" t="s">
        <v>18</v>
      </c>
      <c r="B13" s="32">
        <v>63455.345610595097</v>
      </c>
      <c r="C13" s="32">
        <v>67773.797492797894</v>
      </c>
      <c r="D13" s="32">
        <v>74110.201545923599</v>
      </c>
      <c r="E13" s="32">
        <v>83177.380050760199</v>
      </c>
      <c r="F13" s="32">
        <v>88079.030673816203</v>
      </c>
      <c r="G13" s="32">
        <v>57104.573453151199</v>
      </c>
      <c r="H13" s="33">
        <v>80744.440880281996</v>
      </c>
      <c r="I13" s="33">
        <v>95045.000034683006</v>
      </c>
      <c r="J13" s="33">
        <v>101876.1</v>
      </c>
      <c r="K13" s="33">
        <v>108672.5</v>
      </c>
      <c r="L13" s="33">
        <v>116359.8</v>
      </c>
      <c r="M13" s="14" t="s">
        <v>19</v>
      </c>
    </row>
    <row r="14" spans="1:13" ht="15.75">
      <c r="A14" s="15" t="s">
        <v>20</v>
      </c>
      <c r="B14" s="28">
        <v>0.19374467198363199</v>
      </c>
      <c r="C14" s="28">
        <v>0.17486994145870999</v>
      </c>
      <c r="D14" s="28">
        <v>0.22754357225098601</v>
      </c>
      <c r="E14" s="28">
        <v>0.247349699971849</v>
      </c>
      <c r="F14" s="28">
        <v>0.25031724158783503</v>
      </c>
      <c r="G14" s="28">
        <v>0.43730122632799401</v>
      </c>
      <c r="H14" s="28">
        <v>0.39412744274474798</v>
      </c>
      <c r="I14" s="28">
        <v>0.34824241136221701</v>
      </c>
      <c r="J14" s="28">
        <f t="shared" ref="J14:K14" si="0">J7/J13</f>
        <v>0.37403669751786728</v>
      </c>
      <c r="K14" s="28">
        <f t="shared" si="0"/>
        <v>0.38899353562308775</v>
      </c>
      <c r="L14" s="28">
        <f>L7/L13</f>
        <v>0.37469297815912367</v>
      </c>
      <c r="M14" s="16" t="s">
        <v>21</v>
      </c>
    </row>
    <row r="15" spans="1:13" ht="15.75">
      <c r="A15" s="13" t="s">
        <v>22</v>
      </c>
      <c r="B15" s="29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17" t="s">
        <v>23</v>
      </c>
    </row>
    <row r="16" spans="1:13" ht="15.75">
      <c r="A16" s="18" t="s">
        <v>24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7" t="s">
        <v>25</v>
      </c>
    </row>
    <row r="17" spans="1:13" ht="15.75">
      <c r="A17" s="18" t="s">
        <v>26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7" t="s">
        <v>27</v>
      </c>
    </row>
    <row r="18" spans="1:13" ht="15.75">
      <c r="A18" s="18" t="s">
        <v>28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7" t="s">
        <v>29</v>
      </c>
    </row>
    <row r="19" spans="1:13" ht="15.75">
      <c r="A19" s="18" t="s">
        <v>30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7" t="s">
        <v>31</v>
      </c>
    </row>
    <row r="20" spans="1:13" ht="15.75">
      <c r="A20" s="18" t="s">
        <v>32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7" t="s">
        <v>33</v>
      </c>
    </row>
    <row r="21" spans="1:13" ht="15.75">
      <c r="A21" s="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7" t="s">
        <v>34</v>
      </c>
    </row>
    <row r="22" spans="1:13">
      <c r="A22" s="19" t="s">
        <v>35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"/>
    </row>
    <row r="23" spans="1:13">
      <c r="A23" s="20" t="s">
        <v>36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"/>
    </row>
    <row r="24" spans="1:13">
      <c r="A24" s="20" t="s">
        <v>37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"/>
    </row>
    <row r="25" spans="1:13">
      <c r="A25" s="2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"/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13.9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2026-07-07T08:23:11Z</cp:lastPrinted>
  <dcterms:created xsi:type="dcterms:W3CDTF">2014-03-06T08:38:12Z</dcterms:created>
  <dcterms:modified xsi:type="dcterms:W3CDTF">2026-07-07T08:29:07Z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