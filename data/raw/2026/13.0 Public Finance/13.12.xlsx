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ublic Finance\"/>
    </mc:Choice>
  </mc:AlternateContent>
  <xr:revisionPtr revIDLastSave="0" documentId="13_ncr:1_{507D2510-4166-4B87-A166-14C6B1AA4070}" xr6:coauthVersionLast="47" xr6:coauthVersionMax="47" xr10:uidLastSave="{00000000-0000-0000-0000-000000000000}"/>
  <bookViews>
    <workbookView xWindow="-120" yWindow="-120" windowWidth="29040" windowHeight="15720" tabRatio="572" xr2:uid="{00000000-000D-0000-FFFF-FFFF00000000}"/>
  </bookViews>
  <sheets>
    <sheet name="13.12" sheetId="38" r:id="rId1"/>
  </sheets>
  <definedNames>
    <definedName name="aas">#REF!</definedName>
    <definedName name="BACODE">#REF!</definedName>
    <definedName name="BAList">#REF!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#REF!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'13.12'!$A$1:$Q$82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4" i="38" l="1"/>
  <c r="M53" i="38"/>
  <c r="O13" i="38"/>
  <c r="O8" i="38"/>
  <c r="O9" i="38"/>
  <c r="O10" i="38"/>
  <c r="O11" i="38"/>
  <c r="O12" i="38"/>
  <c r="O14" i="38"/>
  <c r="O15" i="38"/>
  <c r="O17" i="38"/>
  <c r="O18" i="38"/>
  <c r="O19" i="38"/>
  <c r="O20" i="38"/>
  <c r="O21" i="38"/>
  <c r="O22" i="38"/>
  <c r="O24" i="38"/>
  <c r="O25" i="38"/>
  <c r="O27" i="38"/>
  <c r="O28" i="38"/>
  <c r="O32" i="38"/>
  <c r="O35" i="38"/>
  <c r="O36" i="38"/>
  <c r="O37" i="38"/>
  <c r="O38" i="38"/>
  <c r="O39" i="38"/>
  <c r="O41" i="38"/>
  <c r="O42" i="38"/>
  <c r="O43" i="38"/>
  <c r="O46" i="38"/>
  <c r="O47" i="38"/>
  <c r="O48" i="38"/>
  <c r="O49" i="38"/>
  <c r="O50" i="38"/>
  <c r="O51" i="38"/>
  <c r="O52" i="38"/>
  <c r="O53" i="38"/>
  <c r="O54" i="38"/>
  <c r="O55" i="38"/>
  <c r="O56" i="38"/>
  <c r="O58" i="38"/>
  <c r="O59" i="38"/>
  <c r="O60" i="38"/>
  <c r="O61" i="38"/>
  <c r="O62" i="38"/>
  <c r="O63" i="38"/>
  <c r="O65" i="38"/>
  <c r="O66" i="38"/>
  <c r="O67" i="38"/>
  <c r="O68" i="38"/>
  <c r="H7" i="38"/>
  <c r="N9" i="38" s="1"/>
  <c r="O7" i="38" l="1"/>
  <c r="N44" i="38"/>
  <c r="N28" i="38"/>
  <c r="N43" i="38"/>
  <c r="N42" i="38"/>
  <c r="N58" i="38"/>
  <c r="N41" i="38"/>
  <c r="N22" i="38"/>
  <c r="N64" i="38"/>
  <c r="N8" i="38"/>
  <c r="N59" i="38"/>
  <c r="N56" i="38"/>
  <c r="N40" i="38"/>
  <c r="N20" i="38"/>
  <c r="N61" i="38"/>
  <c r="N25" i="38"/>
  <c r="N23" i="38"/>
  <c r="N55" i="38"/>
  <c r="N37" i="38"/>
  <c r="N19" i="38"/>
  <c r="N54" i="38"/>
  <c r="N35" i="38"/>
  <c r="N18" i="38"/>
  <c r="N53" i="38"/>
  <c r="N17" i="38"/>
  <c r="N68" i="38"/>
  <c r="N52" i="38"/>
  <c r="N32" i="38"/>
  <c r="N16" i="38"/>
  <c r="N67" i="38"/>
  <c r="N49" i="38"/>
  <c r="N31" i="38"/>
  <c r="N13" i="38"/>
  <c r="N34" i="38"/>
  <c r="N66" i="38"/>
  <c r="N47" i="38"/>
  <c r="N30" i="38"/>
  <c r="N11" i="38"/>
  <c r="N65" i="38"/>
  <c r="N46" i="38"/>
  <c r="N29" i="38"/>
  <c r="N10" i="38"/>
  <c r="N63" i="38"/>
  <c r="N51" i="38"/>
  <c r="N39" i="38"/>
  <c r="N27" i="38"/>
  <c r="N15" i="38"/>
  <c r="N62" i="38"/>
  <c r="N50" i="38"/>
  <c r="N38" i="38"/>
  <c r="N26" i="38"/>
  <c r="N14" i="38"/>
  <c r="N60" i="38"/>
  <c r="N48" i="38"/>
  <c r="N36" i="38"/>
  <c r="N24" i="38"/>
  <c r="N12" i="38"/>
  <c r="N57" i="38"/>
  <c r="N45" i="38"/>
  <c r="N33" i="38"/>
  <c r="N21" i="38"/>
  <c r="G7" i="38"/>
  <c r="F7" i="38"/>
  <c r="L61" i="38" s="1"/>
  <c r="E7" i="38"/>
  <c r="K60" i="38" s="1"/>
  <c r="D7" i="38"/>
  <c r="J45" i="38" s="1"/>
  <c r="C7" i="38"/>
  <c r="I8" i="38" s="1"/>
  <c r="B7" i="38"/>
  <c r="N7" i="38" l="1"/>
  <c r="J8" i="38"/>
  <c r="L12" i="38"/>
  <c r="K19" i="38"/>
  <c r="K22" i="38"/>
  <c r="L23" i="38"/>
  <c r="K34" i="38"/>
  <c r="L35" i="38"/>
  <c r="K39" i="38"/>
  <c r="L47" i="38"/>
  <c r="K55" i="38"/>
  <c r="K62" i="38"/>
  <c r="I9" i="38"/>
  <c r="K67" i="38"/>
  <c r="J9" i="38"/>
  <c r="L67" i="38"/>
  <c r="K28" i="38"/>
  <c r="K15" i="38"/>
  <c r="L28" i="38"/>
  <c r="K40" i="38"/>
  <c r="K56" i="38"/>
  <c r="K18" i="38"/>
  <c r="I29" i="38"/>
  <c r="K59" i="38"/>
  <c r="I19" i="38"/>
  <c r="K44" i="38"/>
  <c r="J19" i="38"/>
  <c r="L32" i="38"/>
  <c r="L44" i="38"/>
  <c r="K8" i="38"/>
  <c r="K21" i="38"/>
  <c r="K33" i="38"/>
  <c r="L48" i="38"/>
  <c r="L64" i="38"/>
  <c r="K68" i="38"/>
  <c r="K23" i="38"/>
  <c r="K50" i="38"/>
  <c r="K9" i="38"/>
  <c r="L9" i="38"/>
  <c r="K38" i="38"/>
  <c r="K51" i="38"/>
  <c r="L68" i="38"/>
  <c r="I32" i="38"/>
  <c r="I43" i="38"/>
  <c r="I55" i="38"/>
  <c r="K66" i="38"/>
  <c r="K14" i="38"/>
  <c r="K32" i="38"/>
  <c r="K43" i="38"/>
  <c r="J55" i="38"/>
  <c r="L60" i="38"/>
  <c r="I67" i="38"/>
  <c r="I56" i="38"/>
  <c r="I45" i="38"/>
  <c r="K45" i="38"/>
  <c r="J30" i="38"/>
  <c r="K10" i="38"/>
  <c r="K30" i="38"/>
  <c r="I57" i="38"/>
  <c r="K63" i="38"/>
  <c r="I20" i="38"/>
  <c r="K26" i="38"/>
  <c r="K35" i="38"/>
  <c r="I41" i="38"/>
  <c r="K46" i="38"/>
  <c r="J57" i="38"/>
  <c r="I30" i="38"/>
  <c r="M60" i="38"/>
  <c r="K11" i="38"/>
  <c r="I16" i="38"/>
  <c r="K20" i="38"/>
  <c r="K42" i="38"/>
  <c r="I53" i="38"/>
  <c r="K57" i="38"/>
  <c r="K16" i="38"/>
  <c r="K27" i="38"/>
  <c r="K31" i="38"/>
  <c r="K47" i="38"/>
  <c r="K54" i="38"/>
  <c r="K58" i="38"/>
  <c r="I18" i="38"/>
  <c r="I21" i="38"/>
  <c r="J18" i="38"/>
  <c r="I66" i="38"/>
  <c r="M59" i="38"/>
  <c r="L21" i="38"/>
  <c r="M47" i="38"/>
  <c r="L57" i="38"/>
  <c r="L8" i="38"/>
  <c r="L16" i="38"/>
  <c r="L19" i="38"/>
  <c r="M21" i="38"/>
  <c r="L24" i="38"/>
  <c r="M13" i="38"/>
  <c r="M35" i="38"/>
  <c r="L10" i="38"/>
  <c r="M8" i="38"/>
  <c r="M24" i="38"/>
  <c r="L33" i="38"/>
  <c r="L36" i="38"/>
  <c r="L45" i="38"/>
  <c r="M36" i="38"/>
  <c r="M45" i="38"/>
  <c r="L52" i="38"/>
  <c r="L58" i="38"/>
  <c r="L11" i="38"/>
  <c r="L22" i="38"/>
  <c r="L31" i="38"/>
  <c r="L40" i="38"/>
  <c r="M11" i="38"/>
  <c r="M22" i="38"/>
  <c r="M25" i="38"/>
  <c r="L34" i="38"/>
  <c r="M37" i="38"/>
  <c r="L43" i="38"/>
  <c r="L46" i="38"/>
  <c r="M49" i="38"/>
  <c r="M9" i="38"/>
  <c r="M23" i="38"/>
  <c r="M17" i="38"/>
  <c r="M33" i="38"/>
  <c r="L20" i="38"/>
  <c r="M46" i="38"/>
  <c r="L56" i="38"/>
  <c r="L59" i="38"/>
  <c r="M41" i="38"/>
  <c r="I58" i="38"/>
  <c r="I46" i="38"/>
  <c r="I34" i="38"/>
  <c r="I22" i="38"/>
  <c r="I10" i="38"/>
  <c r="I60" i="38"/>
  <c r="I36" i="38"/>
  <c r="I24" i="38"/>
  <c r="I61" i="38"/>
  <c r="I68" i="38"/>
  <c r="I59" i="38"/>
  <c r="I47" i="38"/>
  <c r="I35" i="38"/>
  <c r="I23" i="38"/>
  <c r="I11" i="38"/>
  <c r="I48" i="38"/>
  <c r="I12" i="38"/>
  <c r="I49" i="38"/>
  <c r="I62" i="38"/>
  <c r="I50" i="38"/>
  <c r="I38" i="38"/>
  <c r="I26" i="38"/>
  <c r="I14" i="38"/>
  <c r="I63" i="38"/>
  <c r="I51" i="38"/>
  <c r="I39" i="38"/>
  <c r="I27" i="38"/>
  <c r="I15" i="38"/>
  <c r="I64" i="38"/>
  <c r="I52" i="38"/>
  <c r="I40" i="38"/>
  <c r="I28" i="38"/>
  <c r="I13" i="38"/>
  <c r="J21" i="38"/>
  <c r="I25" i="38"/>
  <c r="J32" i="38"/>
  <c r="J43" i="38"/>
  <c r="M57" i="38"/>
  <c r="J66" i="38"/>
  <c r="J68" i="38"/>
  <c r="J59" i="38"/>
  <c r="J47" i="38"/>
  <c r="J35" i="38"/>
  <c r="J23" i="38"/>
  <c r="J11" i="38"/>
  <c r="J61" i="38"/>
  <c r="J49" i="38"/>
  <c r="J37" i="38"/>
  <c r="J13" i="38"/>
  <c r="J50" i="38"/>
  <c r="J60" i="38"/>
  <c r="J48" i="38"/>
  <c r="J36" i="38"/>
  <c r="J24" i="38"/>
  <c r="J12" i="38"/>
  <c r="J25" i="38"/>
  <c r="J62" i="38"/>
  <c r="J63" i="38"/>
  <c r="J51" i="38"/>
  <c r="J39" i="38"/>
  <c r="J27" i="38"/>
  <c r="J15" i="38"/>
  <c r="J64" i="38"/>
  <c r="J52" i="38"/>
  <c r="J40" i="38"/>
  <c r="J28" i="38"/>
  <c r="J16" i="38"/>
  <c r="J65" i="38"/>
  <c r="J53" i="38"/>
  <c r="J41" i="38"/>
  <c r="J29" i="38"/>
  <c r="J34" i="38"/>
  <c r="J38" i="38"/>
  <c r="I54" i="38"/>
  <c r="J58" i="38"/>
  <c r="J67" i="38"/>
  <c r="M68" i="38"/>
  <c r="M62" i="38"/>
  <c r="M50" i="38"/>
  <c r="M38" i="38"/>
  <c r="M26" i="38"/>
  <c r="M14" i="38"/>
  <c r="M52" i="38"/>
  <c r="M63" i="38"/>
  <c r="M51" i="38"/>
  <c r="M39" i="38"/>
  <c r="M27" i="38"/>
  <c r="M15" i="38"/>
  <c r="M64" i="38"/>
  <c r="M40" i="38"/>
  <c r="M28" i="38"/>
  <c r="M16" i="38"/>
  <c r="M65" i="38"/>
  <c r="M42" i="38"/>
  <c r="M30" i="38"/>
  <c r="M18" i="38"/>
  <c r="M66" i="38"/>
  <c r="M55" i="38"/>
  <c r="M43" i="38"/>
  <c r="M31" i="38"/>
  <c r="M19" i="38"/>
  <c r="M56" i="38"/>
  <c r="M44" i="38"/>
  <c r="M32" i="38"/>
  <c r="J10" i="38"/>
  <c r="J20" i="38"/>
  <c r="M29" i="38"/>
  <c r="I31" i="38"/>
  <c r="M34" i="38"/>
  <c r="I42" i="38"/>
  <c r="J56" i="38"/>
  <c r="I17" i="38"/>
  <c r="J26" i="38"/>
  <c r="I33" i="38"/>
  <c r="I44" i="38"/>
  <c r="M61" i="38"/>
  <c r="I65" i="38"/>
  <c r="J54" i="38"/>
  <c r="J31" i="38"/>
  <c r="J42" i="38"/>
  <c r="J46" i="38"/>
  <c r="M48" i="38"/>
  <c r="M58" i="38"/>
  <c r="M67" i="38"/>
  <c r="J22" i="38"/>
  <c r="M10" i="38"/>
  <c r="M12" i="38"/>
  <c r="J14" i="38"/>
  <c r="J17" i="38"/>
  <c r="M20" i="38"/>
  <c r="J33" i="38"/>
  <c r="I37" i="38"/>
  <c r="J44" i="38"/>
  <c r="L55" i="38"/>
  <c r="L66" i="38"/>
  <c r="K17" i="38"/>
  <c r="L18" i="38"/>
  <c r="K29" i="38"/>
  <c r="L30" i="38"/>
  <c r="K41" i="38"/>
  <c r="L42" i="38"/>
  <c r="K53" i="38"/>
  <c r="L54" i="38"/>
  <c r="K65" i="38"/>
  <c r="L17" i="38"/>
  <c r="L29" i="38"/>
  <c r="L41" i="38"/>
  <c r="K52" i="38"/>
  <c r="L53" i="38"/>
  <c r="K64" i="38"/>
  <c r="L65" i="38"/>
  <c r="K13" i="38"/>
  <c r="L14" i="38"/>
  <c r="K25" i="38"/>
  <c r="L26" i="38"/>
  <c r="K37" i="38"/>
  <c r="L38" i="38"/>
  <c r="K49" i="38"/>
  <c r="L50" i="38"/>
  <c r="K61" i="38"/>
  <c r="L62" i="38"/>
  <c r="L15" i="38"/>
  <c r="L27" i="38"/>
  <c r="L39" i="38"/>
  <c r="L51" i="38"/>
  <c r="L63" i="38"/>
  <c r="K12" i="38"/>
  <c r="L13" i="38"/>
  <c r="K24" i="38"/>
  <c r="L25" i="38"/>
  <c r="K36" i="38"/>
  <c r="L37" i="38"/>
  <c r="K48" i="38"/>
  <c r="L49" i="38"/>
  <c r="I7" i="38" l="1"/>
  <c r="M7" i="38"/>
  <c r="J7" i="38"/>
  <c r="L7" i="38"/>
  <c r="K7" i="38"/>
</calcChain>
</file>

<file path=xl/sharedStrings.xml><?xml version="1.0" encoding="utf-8"?>
<sst xmlns="http://schemas.openxmlformats.org/spreadsheetml/2006/main" count="161" uniqueCount="150">
  <si>
    <t xml:space="preserve">(*) - Indicates if the percentage change is greater than 100. </t>
  </si>
  <si>
    <t>ޖޫރިމަނާ</t>
  </si>
  <si>
    <t>އެހެނިހެން</t>
  </si>
  <si>
    <t>ތަފްސީލު</t>
  </si>
  <si>
    <t>Description</t>
  </si>
  <si>
    <t>Revenue collected (MVR)</t>
  </si>
  <si>
    <t>ލިބުނު އާމްދަނީ (ރުފިޔާއިން)</t>
  </si>
  <si>
    <t>2019*</t>
  </si>
  <si>
    <t>އެއަރޕޯޓް ސަރވިސް ޗާޖް</t>
  </si>
  <si>
    <t>Airport Development Fee***</t>
  </si>
  <si>
    <t>އެއަރޕޯޓް ޑިވެލޮޕްމަންޓް ފީ</t>
  </si>
  <si>
    <t xml:space="preserve">Business Profit Tax/ Income Tax - Companies and Non-Individuals
</t>
  </si>
  <si>
    <t>Construction Period Extension Fee***</t>
  </si>
  <si>
    <t>Corporate Social Responsibility Fee***</t>
  </si>
  <si>
    <t>Green Tax</t>
  </si>
  <si>
    <t>ގްރީން ޓެކްސް</t>
  </si>
  <si>
    <t>Remittance Tax**</t>
  </si>
  <si>
    <t>ރެމިޓެންސް ޓެކްސް</t>
  </si>
  <si>
    <t>Land Acquisition and Conversion Fee</t>
  </si>
  <si>
    <t>ބިން ވިއްކުމާއި ބިން ބަދަލުކުރުމުގެ ފީ</t>
  </si>
  <si>
    <t>ބިން ވިއްކުމަށް ނެގޭ ޓެކްސް</t>
  </si>
  <si>
    <t>ކުލީގެ މުއްދަތު އިތުރުކުރުން</t>
  </si>
  <si>
    <t>Ownership Transfer Tax***</t>
  </si>
  <si>
    <t>އޯނަރޝިޕް ޓްރާންސްފަރ ޓެކްސް</t>
  </si>
  <si>
    <t>ރެވެނިއު ސްޓޭމްޕް</t>
  </si>
  <si>
    <t>ޓޫރިޒަމް އެޑްމިނިސްޓްރޭޝަން ފީ</t>
  </si>
  <si>
    <t>ވޯކް ޕާމިޓް ފީ</t>
  </si>
  <si>
    <t>Total</t>
  </si>
  <si>
    <t>ޖުމްލަ</t>
  </si>
  <si>
    <t>Source: Maldives Inland Revenue Authority</t>
  </si>
  <si>
    <t>2019*: 2019 Figures revised as per Internal Audit reconciliation on 31s March 2020</t>
  </si>
  <si>
    <t>2020 Figures reconciled as of 11.02.2021</t>
  </si>
  <si>
    <t>Percentage  shares</t>
  </si>
  <si>
    <t xml:space="preserve">ބެހިފައިވާ ގޮތް ސައްތައިން </t>
  </si>
  <si>
    <t>Bank Profit Tax</t>
  </si>
  <si>
    <t>ބެންކް ފައިދާގެ ޓެކްސް</t>
  </si>
  <si>
    <t>ބިޒްނަސް ޕްރޮފިޓް ޓެކްސް</t>
  </si>
  <si>
    <t>Commercial Land Rent</t>
  </si>
  <si>
    <t>ވިޔަފާރިކުރުމަށް ދޫކުރެވިފައިވާ ބިންބިމުގެ ކުލި</t>
  </si>
  <si>
    <t>Company Annual Fee</t>
  </si>
  <si>
    <t>ކުންފުނިތަކުގެ އަހަރީ ފީ</t>
  </si>
  <si>
    <t>Company Registration Fee</t>
  </si>
  <si>
    <t>ކުންފުނި ރަޖިސްޓްރީ ކުރުމުގެ ފީ</t>
  </si>
  <si>
    <t>ކޮންސްޓްރަކްޝަން ޕީރިއަޑް އެކްސްޓެންޝަން ފީ</t>
  </si>
  <si>
    <t>ކޯޕަރޭޓް ސޯޝަލް ރެސްޕޮންސިބިލިޓީ ފީ</t>
  </si>
  <si>
    <t>Co-operative Society Annual Fee</t>
  </si>
  <si>
    <t>ކޯޕަރޭޓިވް ސޮސައިޓީ އަހަރީ ފީ</t>
  </si>
  <si>
    <t>Co-operative Society Registration Fee</t>
  </si>
  <si>
    <t>ކޯޕަރޭޓިވް ސޮސައިޓީ ރެޖިސްޓްރޭޝަން ފީ</t>
  </si>
  <si>
    <t>Duty Free Royalty</t>
  </si>
  <si>
    <t>ޑިއުޓީ ފްރީ ޝޮޕްގެ ރޯޔަލްޓީ</t>
  </si>
  <si>
    <t>Fines</t>
  </si>
  <si>
    <t>Fishing Royalty</t>
  </si>
  <si>
    <t>މަސްވެރިކަމުގެ ރޯޔަލްޓީ</t>
  </si>
  <si>
    <t>Flat Maintenance Fee</t>
  </si>
  <si>
    <t>ފްލެޓް ބެލެހެއްޓުމުގެ އަގު</t>
  </si>
  <si>
    <t>Foreign Business Fee</t>
  </si>
  <si>
    <t>ބިދޭސީން ވިޔަފާރި ކުރުމުގެ ހުއްދަ</t>
  </si>
  <si>
    <t>Foreign Investment Administration Annual Fee</t>
  </si>
  <si>
    <t>ފޮރިން އިންވެސްޓްމަންޓް އެޑްމިނިސްޓްރޭޝަން ފީ</t>
  </si>
  <si>
    <t>Foreign Investment Royalty</t>
  </si>
  <si>
    <t>ބިދޭސީން ކުރާ ވިޔަފާރިގެ ރޯޔަލްޓީ</t>
  </si>
  <si>
    <t>Fuel Re-Export Royalty</t>
  </si>
  <si>
    <t>ފިއުލް ރީއެކްސްޕޯޓް ރޯޔަލްޓީ</t>
  </si>
  <si>
    <t>Goods and Services Tax</t>
  </si>
  <si>
    <t xml:space="preserve">މުދަލާއި ޚިދުމަތުން ނެގޭ ޓެކްސް     </t>
  </si>
  <si>
    <t>Government Buildings Rent</t>
  </si>
  <si>
    <t>ސަރުކާރުގެ އިމާރާތުގެ ކުލި</t>
  </si>
  <si>
    <t>Import Trade Fee</t>
  </si>
  <si>
    <t>އިމްޕޯޓް ވިޔަފާރި ފީ</t>
  </si>
  <si>
    <t>Land Sales Tax</t>
  </si>
  <si>
    <t>Lease Period Extension Fee</t>
  </si>
  <si>
    <t>Long-Term Agricultural Leased Islands Rent</t>
  </si>
  <si>
    <t>ދަނޑުވެރިކަމަށް ދޫކުރެވިފައިވާ ރަށްރަށުގެ ކުލި</t>
  </si>
  <si>
    <t>Partnership Annual Fee</t>
  </si>
  <si>
    <t>ޕާޓްނާޝިޕް އަހަރީ ފީ</t>
  </si>
  <si>
    <t>Partnership Registration Fee</t>
  </si>
  <si>
    <t>ޕާޓްނާޝިޕް ރަޖިސްޓްރީކުރުމުގެ ފީ</t>
  </si>
  <si>
    <t>Re-Export Royalty</t>
  </si>
  <si>
    <t>ރީއެކްސްޕޯޓް ރޯޔަލްޓީ</t>
  </si>
  <si>
    <t>Rent from Floating Jetty</t>
  </si>
  <si>
    <t>ފްލޯޓިންގ ޖެޓީގެ ކުލި</t>
  </si>
  <si>
    <t>Rent from Land for Industry</t>
  </si>
  <si>
    <t>ސިނާޢީ މަސައްކަތްތަކަށް ދޫކުރެވިފައިވާ ބިމުގެ ކުލި</t>
  </si>
  <si>
    <t>Sale of Pass</t>
  </si>
  <si>
    <t>Resident Permit</t>
  </si>
  <si>
    <t>ރެސިޑެންޓް ޕާރމިޓް</t>
  </si>
  <si>
    <t>Restaurant, Café, Canteen Fee</t>
  </si>
  <si>
    <t>ރެސްޓޯރަންޓް، ކެފޭ އަދި ކެންޓީންތަކުގެ ވިޔަފާރި ފީ</t>
  </si>
  <si>
    <t>Revenue Stamp</t>
  </si>
  <si>
    <t>Sale of Government Buildings</t>
  </si>
  <si>
    <t>ސަރުކާރުގެ އިމާރާތް ވިއްކި</t>
  </si>
  <si>
    <t>Sale of Government Land</t>
  </si>
  <si>
    <t>ސަރުކާރުގެ ބިން ވިއްކި</t>
  </si>
  <si>
    <t>Sale of Items at Auction</t>
  </si>
  <si>
    <t>ނީލަމުގައި ތަކެތި ވިއްކައިގެން ލިބޭ</t>
  </si>
  <si>
    <t>Skipjack Industry Royalty</t>
  </si>
  <si>
    <t>މަސް އެކްސްޕޯޓް ކުރުމުގެ ރޯޔަލްޓީ</t>
  </si>
  <si>
    <t>Sole Traders Registration Fee</t>
  </si>
  <si>
    <t>އަމިއްލަ ފަރުދުންގެ ވިޔަފާރި ރަޖިސްޓަރީ ފީ</t>
  </si>
  <si>
    <t>Tourism Administration Fee</t>
  </si>
  <si>
    <t xml:space="preserve"> </t>
  </si>
  <si>
    <t>Tourism Land Rent</t>
  </si>
  <si>
    <t>ޓުއަރިޒަމްއަށް ދޫކުރެވިފައިވާ ބިމުގެ ކުލި</t>
  </si>
  <si>
    <t>Tourism Tax</t>
  </si>
  <si>
    <t>ޓުއަރިޒަމް ޓެކްސް</t>
  </si>
  <si>
    <t>Trade Registry Fee</t>
  </si>
  <si>
    <t>ޓްރޭޑް ރަޖިސްޓްރީ ފީ</t>
  </si>
  <si>
    <t>Uninhabited Islands Administration Fee</t>
  </si>
  <si>
    <t xml:space="preserve">ފަޅުރަށްރަށް ބެލެހެއްޓުމުގެ ފީ    </t>
  </si>
  <si>
    <t>Uninhabited Islands Rent</t>
  </si>
  <si>
    <t>ގޮއިފާލައްބަ، ހިންނަ ފަދަ ތަންތަނުގެ ވަރުވާ</t>
  </si>
  <si>
    <t>Vehicle Fee</t>
  </si>
  <si>
    <t>އެއްގަމު އުޅަނދު ފީ</t>
  </si>
  <si>
    <t>Vessel Fee</t>
  </si>
  <si>
    <t>ކަނޑުގައި ދުއްވާ އުޅަނދު ފީ</t>
  </si>
  <si>
    <t>Yellowfin Tuna Export Royalty</t>
  </si>
  <si>
    <t>ބޮޑު ކަންނެލީގެ އެކްސްޕޯޓް ރޯޔަލްޓީ</t>
  </si>
  <si>
    <t>Dive School Registration Fee***</t>
  </si>
  <si>
    <t>Guest House Registration Fee***</t>
  </si>
  <si>
    <t>Other Registrations &amp; License Fees***</t>
  </si>
  <si>
    <t>Motor Vehicle and Vessel Registration Fee***</t>
  </si>
  <si>
    <t>Bank Mortgage Registration Fee***</t>
  </si>
  <si>
    <t>Sale of Tender Documents***</t>
  </si>
  <si>
    <t>Online Business And Activity Registration Fee ****</t>
  </si>
  <si>
    <t>Work permit Fee****</t>
  </si>
  <si>
    <t>Others5</t>
  </si>
  <si>
    <t>މަޢުލޫމާތު ދެއްވި ފަރާތް: މޯލްޑިވްސް އިންލަންޑް ރެވެނިއު އޮތޯރިޓީ</t>
  </si>
  <si>
    <t>***  Airport Development Fee, Construction Period Extension Fee, Corporate Social Responsibility Fee, Tourism Administration Fee, Ownership Transfer Tax, Dive School Registration Fee, Guest house registration Fee, Ither Registrations &amp; License Fees, Motor Vehicle and Vessel Registration Fee, Bank Mortgage Registration Fee, Sale of Tender Documents added</t>
  </si>
  <si>
    <t>****Work Permit Fee, Online Business and Activity Registration Fee and Loan Repayment and National Student Loan added</t>
  </si>
  <si>
    <t>**Remittance tax added</t>
  </si>
  <si>
    <t>Airport Service Charge / Departure Tax</t>
  </si>
  <si>
    <t>2021 Figures are updated as per the Internal Audit Reconciliation on 15th May 2022</t>
  </si>
  <si>
    <t>2022 Figures are updated as per the Internal Audit Reconciliation on 19th June 2023</t>
  </si>
  <si>
    <t>2023 Figures are updated as per the Internal Audit Reconciliation on 29th May 2024</t>
  </si>
  <si>
    <t>2024 Figures are updated as per the Internal Audit Reconciliation on 19th March 2025</t>
  </si>
  <si>
    <t>2024 އާއި އަޅާބަލާއިރު 2025 ގައި އިތުރުވި މިންވަރު (%)</t>
  </si>
  <si>
    <t>Percentage change  over 2024</t>
  </si>
  <si>
    <t>2025 Figures are updated as per the Reconciliation done on 08th March 2026</t>
  </si>
  <si>
    <t>na</t>
  </si>
  <si>
    <t>(*)</t>
  </si>
  <si>
    <r>
      <t xml:space="preserve">ޑްރައިވިންގ ސްކޫލް ރެޖިސްޓްރޭޝަން ފީ </t>
    </r>
    <r>
      <rPr>
        <sz val="8"/>
        <color theme="1"/>
        <rFont val="Faruma"/>
      </rPr>
      <t>***</t>
    </r>
  </si>
  <si>
    <r>
      <t xml:space="preserve">ގެސްޓް ހައުސް ރެޖިސްޓްރޭޝަން ފީ </t>
    </r>
    <r>
      <rPr>
        <sz val="8"/>
        <color theme="1"/>
        <rFont val="Faruma"/>
      </rPr>
      <t>***</t>
    </r>
  </si>
  <si>
    <r>
      <t xml:space="preserve">އެހެނިހެންރެޖިސްޓްރޭޝަން އަދި ލައިސަންސް ފީ </t>
    </r>
    <r>
      <rPr>
        <sz val="8"/>
        <color theme="1"/>
        <rFont val="Faruma"/>
      </rPr>
      <t>***</t>
    </r>
  </si>
  <si>
    <r>
      <t xml:space="preserve">އެއްގަމު އުޅަނދު އަދި ކަނޑުގައި ދުއްވާ އުޅަނދު ރެޖިސްޓްރޭޝަން ފީ </t>
    </r>
    <r>
      <rPr>
        <sz val="8"/>
        <color theme="1"/>
        <rFont val="Faruma"/>
      </rPr>
      <t>***</t>
    </r>
  </si>
  <si>
    <r>
      <t xml:space="preserve">ބޭންކް މޯގޭޖް ރެޖިސްޓްރޭޝަން ފީ </t>
    </r>
    <r>
      <rPr>
        <sz val="8"/>
        <color theme="1"/>
        <rFont val="Faruma"/>
      </rPr>
      <t>***</t>
    </r>
  </si>
  <si>
    <r>
      <t xml:space="preserve">ސޭލް އޮފް ޓެންޑަރ ޑޮކިއުމަންޓްސް </t>
    </r>
    <r>
      <rPr>
        <sz val="8"/>
        <color theme="1"/>
        <rFont val="Faruma"/>
      </rPr>
      <t>***</t>
    </r>
  </si>
  <si>
    <r>
      <t xml:space="preserve">އޮންލައިން ބިޒްނަސް އަދި ރެޖިސްޓްރޭޝަން ފީ </t>
    </r>
    <r>
      <rPr>
        <sz val="8"/>
        <color theme="1"/>
        <rFont val="Faruma"/>
      </rPr>
      <t>****</t>
    </r>
  </si>
  <si>
    <t>Table 13.12: REVENUE COLLECTED BY DETAILED CATEGORIES,  2020 - 2025</t>
  </si>
  <si>
    <t>ތާވަލު 13.12: ޢާމްދަނީގެ ގޮތުގައި ލިބުނު ފައިސާގެ ތަފްޞީލު،  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</si>
</sst>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#,##0.0"/>
    <numFmt numFmtId="167" formatCode="0.0"/>
    <numFmt numFmtId="168" formatCode="#,##0.00\ ;&quot; (&quot;#,##0.00\);&quot; -&quot;#\ ;@\ "/>
    <numFmt numFmtId="169" formatCode="0.00_)"/>
    <numFmt numFmtId="170" formatCode="_(* #,##0_);_(* \(#,##0\);_(* &quot;-&quot;??_);_(@_)"/>
    <numFmt numFmtId="171" formatCode="#,##0_);\-#,##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9.5"/>
      <color theme="1"/>
      <name val="Faruma"/>
    </font>
    <font>
      <i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b/>
      <sz val="10"/>
      <color theme="1"/>
      <name val="Faruma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sz val="11"/>
      <color theme="1"/>
      <name val="Faruma"/>
    </font>
    <font>
      <sz val="10.5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Faruma"/>
    </font>
    <font>
      <b/>
      <sz val="10.5"/>
      <color theme="1"/>
      <name val="Calibri"/>
      <family val="2"/>
      <scheme val="minor"/>
    </font>
    <font>
      <b/>
      <sz val="10.5"/>
      <color theme="1"/>
      <name val="Faruma"/>
    </font>
    <font>
      <sz val="10.5"/>
      <color theme="1"/>
      <name val="Faruma"/>
    </font>
    <font>
      <sz val="8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5" fillId="0" borderId="0"/>
    <xf numFmtId="168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167" fontId="13" fillId="0" borderId="0"/>
    <xf numFmtId="4" fontId="1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9" fontId="17" fillId="0" borderId="0"/>
    <xf numFmtId="1" fontId="18" fillId="0" borderId="11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4" fillId="0" borderId="0"/>
    <xf numFmtId="40" fontId="14" fillId="0" borderId="0" applyFont="0" applyFill="0" applyBorder="0" applyAlignment="0" applyProtection="0"/>
    <xf numFmtId="0" fontId="14" fillId="0" borderId="0"/>
    <xf numFmtId="0" fontId="2" fillId="0" borderId="0"/>
    <xf numFmtId="1" fontId="18" fillId="0" borderId="11" applyNumberFormat="0"/>
    <xf numFmtId="0" fontId="1" fillId="0" borderId="0"/>
    <xf numFmtId="0" fontId="14" fillId="0" borderId="0"/>
    <xf numFmtId="0" fontId="5" fillId="0" borderId="0" applyFill="0" applyProtection="0"/>
    <xf numFmtId="1" fontId="18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19" fillId="0" borderId="0"/>
    <xf numFmtId="0" fontId="20" fillId="0" borderId="0"/>
    <xf numFmtId="0" fontId="19" fillId="0" borderId="0"/>
    <xf numFmtId="0" fontId="1" fillId="0" borderId="0"/>
    <xf numFmtId="0" fontId="14" fillId="0" borderId="0"/>
    <xf numFmtId="0" fontId="5" fillId="0" borderId="0" applyFill="0" applyProtection="0"/>
  </cellStyleXfs>
  <cellXfs count="75">
    <xf numFmtId="0" fontId="0" fillId="0" borderId="0" xfId="0"/>
    <xf numFmtId="166" fontId="10" fillId="2" borderId="0" xfId="2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top" wrapText="1"/>
    </xf>
    <xf numFmtId="0" fontId="9" fillId="2" borderId="0" xfId="0" applyFont="1" applyFill="1" applyAlignment="1">
      <alignment vertical="center"/>
    </xf>
    <xf numFmtId="0" fontId="7" fillId="2" borderId="9" xfId="0" applyFont="1" applyFill="1" applyBorder="1" applyAlignment="1">
      <alignment horizontal="right" vertical="center" wrapText="1"/>
    </xf>
    <xf numFmtId="0" fontId="7" fillId="2" borderId="12" xfId="0" applyFont="1" applyFill="1" applyBorder="1" applyAlignment="1">
      <alignment horizontal="right" vertical="center" wrapText="1"/>
    </xf>
    <xf numFmtId="0" fontId="0" fillId="2" borderId="0" xfId="0" applyFill="1"/>
    <xf numFmtId="171" fontId="11" fillId="2" borderId="0" xfId="0" applyNumberFormat="1" applyFont="1" applyFill="1" applyAlignment="1">
      <alignment horizontal="left" vertical="center"/>
    </xf>
    <xf numFmtId="166" fontId="0" fillId="2" borderId="0" xfId="1" applyNumberFormat="1" applyFont="1" applyFill="1" applyAlignment="1">
      <alignment horizontal="right" vertical="center" wrapText="1" indent="6"/>
    </xf>
    <xf numFmtId="166" fontId="23" fillId="2" borderId="0" xfId="0" applyNumberFormat="1" applyFont="1" applyFill="1" applyAlignment="1">
      <alignment horizontal="right" vertical="center" indent="6"/>
    </xf>
    <xf numFmtId="0" fontId="0" fillId="2" borderId="0" xfId="0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1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vertical="top" wrapText="1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right" vertical="center" wrapText="1"/>
    </xf>
    <xf numFmtId="0" fontId="7" fillId="2" borderId="15" xfId="0" applyFont="1" applyFill="1" applyBorder="1" applyAlignment="1">
      <alignment horizontal="right" vertical="center" wrapText="1"/>
    </xf>
    <xf numFmtId="0" fontId="27" fillId="2" borderId="0" xfId="0" applyFont="1" applyFill="1" applyAlignment="1">
      <alignment horizontal="left" vertical="center"/>
    </xf>
    <xf numFmtId="170" fontId="27" fillId="2" borderId="0" xfId="0" applyNumberFormat="1" applyFont="1" applyFill="1" applyAlignment="1">
      <alignment horizontal="right" vertical="center" wrapText="1"/>
    </xf>
    <xf numFmtId="170" fontId="27" fillId="2" borderId="0" xfId="1" applyNumberFormat="1" applyFont="1" applyFill="1" applyBorder="1" applyAlignment="1">
      <alignment horizontal="right" vertical="center" wrapText="1"/>
    </xf>
    <xf numFmtId="170" fontId="27" fillId="2" borderId="5" xfId="1" applyNumberFormat="1" applyFont="1" applyFill="1" applyBorder="1" applyAlignment="1">
      <alignment horizontal="right" vertical="center" wrapText="1"/>
    </xf>
    <xf numFmtId="1" fontId="27" fillId="2" borderId="0" xfId="0" applyNumberFormat="1" applyFont="1" applyFill="1" applyAlignment="1">
      <alignment horizontal="right" vertical="center" wrapText="1"/>
    </xf>
    <xf numFmtId="1" fontId="27" fillId="2" borderId="5" xfId="0" applyNumberFormat="1" applyFont="1" applyFill="1" applyBorder="1" applyAlignment="1">
      <alignment horizontal="right" vertical="center" wrapText="1"/>
    </xf>
    <xf numFmtId="166" fontId="22" fillId="2" borderId="2" xfId="1" applyNumberFormat="1" applyFont="1" applyFill="1" applyBorder="1" applyAlignment="1">
      <alignment horizontal="right" vertical="center" wrapText="1" indent="6"/>
    </xf>
    <xf numFmtId="0" fontId="28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left" vertical="center"/>
    </xf>
    <xf numFmtId="170" fontId="22" fillId="2" borderId="0" xfId="1" applyNumberFormat="1" applyFont="1" applyFill="1" applyBorder="1" applyAlignment="1">
      <alignment horizontal="right" vertical="center" wrapText="1"/>
    </xf>
    <xf numFmtId="170" fontId="22" fillId="2" borderId="5" xfId="1" applyNumberFormat="1" applyFont="1" applyFill="1" applyBorder="1" applyAlignment="1">
      <alignment horizontal="right" vertical="center" wrapText="1"/>
    </xf>
    <xf numFmtId="167" fontId="22" fillId="2" borderId="0" xfId="0" applyNumberFormat="1" applyFont="1" applyFill="1" applyAlignment="1">
      <alignment horizontal="right" vertical="center" wrapText="1"/>
    </xf>
    <xf numFmtId="167" fontId="22" fillId="2" borderId="5" xfId="0" applyNumberFormat="1" applyFont="1" applyFill="1" applyBorder="1" applyAlignment="1">
      <alignment horizontal="right" vertical="center" wrapText="1"/>
    </xf>
    <xf numFmtId="166" fontId="22" fillId="2" borderId="0" xfId="1" applyNumberFormat="1" applyFont="1" applyFill="1" applyBorder="1" applyAlignment="1">
      <alignment horizontal="right" vertical="center" wrapText="1" indent="6"/>
    </xf>
    <xf numFmtId="0" fontId="29" fillId="2" borderId="0" xfId="0" applyFont="1" applyFill="1" applyAlignment="1">
      <alignment vertical="top" wrapText="1"/>
    </xf>
    <xf numFmtId="171" fontId="8" fillId="2" borderId="0" xfId="0" applyNumberFormat="1" applyFont="1" applyFill="1" applyAlignment="1">
      <alignment horizontal="left" vertical="top"/>
    </xf>
    <xf numFmtId="0" fontId="29" fillId="2" borderId="0" xfId="0" applyFont="1" applyFill="1" applyAlignment="1">
      <alignment vertical="top"/>
    </xf>
    <xf numFmtId="166" fontId="29" fillId="2" borderId="0" xfId="2" applyNumberFormat="1" applyFont="1" applyFill="1" applyAlignment="1">
      <alignment horizontal="right" vertical="center"/>
    </xf>
    <xf numFmtId="170" fontId="22" fillId="2" borderId="0" xfId="1" applyNumberFormat="1" applyFont="1" applyFill="1" applyBorder="1" applyAlignment="1">
      <alignment horizontal="center" vertical="center" wrapText="1"/>
    </xf>
    <xf numFmtId="170" fontId="22" fillId="2" borderId="5" xfId="1" applyNumberFormat="1" applyFont="1" applyFill="1" applyBorder="1" applyAlignment="1">
      <alignment horizontal="center" vertical="center" wrapText="1"/>
    </xf>
    <xf numFmtId="170" fontId="22" fillId="2" borderId="12" xfId="1" applyNumberFormat="1" applyFont="1" applyFill="1" applyBorder="1" applyAlignment="1">
      <alignment horizontal="right" vertical="center" wrapText="1"/>
    </xf>
    <xf numFmtId="170" fontId="22" fillId="2" borderId="6" xfId="1" applyNumberFormat="1" applyFont="1" applyFill="1" applyBorder="1" applyAlignment="1">
      <alignment horizontal="right" vertical="center" wrapText="1"/>
    </xf>
    <xf numFmtId="167" fontId="22" fillId="2" borderId="12" xfId="0" applyNumberFormat="1" applyFont="1" applyFill="1" applyBorder="1" applyAlignment="1">
      <alignment horizontal="right" vertical="center" wrapText="1"/>
    </xf>
    <xf numFmtId="167" fontId="22" fillId="2" borderId="6" xfId="0" applyNumberFormat="1" applyFont="1" applyFill="1" applyBorder="1" applyAlignment="1">
      <alignment horizontal="right" vertical="center" wrapText="1"/>
    </xf>
    <xf numFmtId="166" fontId="22" fillId="2" borderId="12" xfId="1" applyNumberFormat="1" applyFont="1" applyFill="1" applyBorder="1" applyAlignment="1">
      <alignment horizontal="right" vertical="center" wrapText="1" indent="6"/>
    </xf>
    <xf numFmtId="0" fontId="29" fillId="2" borderId="1" xfId="0" applyFont="1" applyFill="1" applyBorder="1" applyAlignment="1">
      <alignment vertical="top" wrapText="1"/>
    </xf>
    <xf numFmtId="1" fontId="22" fillId="2" borderId="0" xfId="0" applyNumberFormat="1" applyFont="1" applyFill="1" applyAlignment="1">
      <alignment horizontal="right" vertical="center" wrapText="1"/>
    </xf>
    <xf numFmtId="3" fontId="22" fillId="2" borderId="0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top"/>
    </xf>
    <xf numFmtId="0" fontId="21" fillId="2" borderId="0" xfId="0" applyFont="1" applyFill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horizontal="right" vertical="center" wrapText="1"/>
    </xf>
    <xf numFmtId="0" fontId="21" fillId="2" borderId="0" xfId="0" applyFont="1" applyFill="1" applyAlignment="1">
      <alignment horizontal="right" vertical="center" wrapText="1"/>
    </xf>
    <xf numFmtId="0" fontId="26" fillId="2" borderId="1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 wrapText="1" readingOrder="2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</cellXfs>
  <cellStyles count="57">
    <cellStyle name="1" xfId="27" xr:uid="{00000000-0005-0000-0000-000000000000}"/>
    <cellStyle name="Comma" xfId="1" builtinId="3"/>
    <cellStyle name="Comma 12" xfId="22" xr:uid="{00000000-0005-0000-0000-000002000000}"/>
    <cellStyle name="Comma 2" xfId="6" xr:uid="{00000000-0005-0000-0000-000003000000}"/>
    <cellStyle name="Comma 2 2" xfId="41" xr:uid="{00000000-0005-0000-0000-000004000000}"/>
    <cellStyle name="Comma 2 2 2 5" xfId="49" xr:uid="{00000000-0005-0000-0000-000005000000}"/>
    <cellStyle name="Comma 3" xfId="7" xr:uid="{00000000-0005-0000-0000-000006000000}"/>
    <cellStyle name="Comma 3 2" xfId="17" xr:uid="{00000000-0005-0000-0000-000007000000}"/>
    <cellStyle name="Comma 3 3" xfId="28" xr:uid="{00000000-0005-0000-0000-000008000000}"/>
    <cellStyle name="Comma 4" xfId="3" xr:uid="{00000000-0005-0000-0000-000009000000}"/>
    <cellStyle name="Comma 4 2" xfId="14" xr:uid="{00000000-0005-0000-0000-00000A000000}"/>
    <cellStyle name="Comma 5" xfId="12" xr:uid="{00000000-0005-0000-0000-00000B000000}"/>
    <cellStyle name="Comma 6" xfId="9" xr:uid="{00000000-0005-0000-0000-00000C000000}"/>
    <cellStyle name="Comma 6 2" xfId="18" xr:uid="{00000000-0005-0000-0000-00000D000000}"/>
    <cellStyle name="Comma 7" xfId="16" xr:uid="{00000000-0005-0000-0000-00000E000000}"/>
    <cellStyle name="Comma 8" xfId="20" xr:uid="{00000000-0005-0000-0000-00000F000000}"/>
    <cellStyle name="Excel Built-in Comma" xfId="5" xr:uid="{00000000-0005-0000-0000-000010000000}"/>
    <cellStyle name="Excel Built-in Normal" xfId="4" xr:uid="{00000000-0005-0000-0000-000011000000}"/>
    <cellStyle name="Normal" xfId="0" builtinId="0"/>
    <cellStyle name="Normal - Style1" xfId="29" xr:uid="{00000000-0005-0000-0000-000013000000}"/>
    <cellStyle name="Normal 10" xfId="35" xr:uid="{00000000-0005-0000-0000-000014000000}"/>
    <cellStyle name="Normal 11" xfId="46" xr:uid="{00000000-0005-0000-0000-000015000000}"/>
    <cellStyle name="Normal 12" xfId="48" xr:uid="{00000000-0005-0000-0000-000016000000}"/>
    <cellStyle name="Normal 2" xfId="10" xr:uid="{00000000-0005-0000-0000-000017000000}"/>
    <cellStyle name="Normal 2 2" xfId="13" xr:uid="{00000000-0005-0000-0000-000018000000}"/>
    <cellStyle name="Normal 2 2 2" xfId="42" xr:uid="{00000000-0005-0000-0000-000019000000}"/>
    <cellStyle name="Normal 2 2 3" xfId="43" xr:uid="{00000000-0005-0000-0000-00001A000000}"/>
    <cellStyle name="Normal 2 2 4" xfId="30" xr:uid="{00000000-0005-0000-0000-00001B000000}"/>
    <cellStyle name="Normal 2 3" xfId="45" xr:uid="{00000000-0005-0000-0000-00001C000000}"/>
    <cellStyle name="Normal 2 3 2" xfId="56" xr:uid="{00000000-0005-0000-0000-00001D000000}"/>
    <cellStyle name="Normal 2 4" xfId="47" xr:uid="{00000000-0005-0000-0000-00001E000000}"/>
    <cellStyle name="Normal 2 5" xfId="51" xr:uid="{00000000-0005-0000-0000-00001F000000}"/>
    <cellStyle name="Normal 2 6" xfId="23" xr:uid="{00000000-0005-0000-0000-000020000000}"/>
    <cellStyle name="Normal 3" xfId="11" xr:uid="{00000000-0005-0000-0000-000021000000}"/>
    <cellStyle name="Normal 3 2" xfId="44" xr:uid="{00000000-0005-0000-0000-000022000000}"/>
    <cellStyle name="Normal 3 2 2" xfId="53" xr:uid="{00000000-0005-0000-0000-000023000000}"/>
    <cellStyle name="Normal 3 3" xfId="31" xr:uid="{00000000-0005-0000-0000-000024000000}"/>
    <cellStyle name="Normal 4" xfId="8" xr:uid="{00000000-0005-0000-0000-000025000000}"/>
    <cellStyle name="Normal 4 2" xfId="32" xr:uid="{00000000-0005-0000-0000-000026000000}"/>
    <cellStyle name="Normal 4 2 2" xfId="37" xr:uid="{00000000-0005-0000-0000-000027000000}"/>
    <cellStyle name="Normal 4 3" xfId="52" xr:uid="{00000000-0005-0000-0000-000028000000}"/>
    <cellStyle name="Normal 4 4" xfId="36" xr:uid="{00000000-0005-0000-0000-000029000000}"/>
    <cellStyle name="Normal 5" xfId="19" xr:uid="{00000000-0005-0000-0000-00002A000000}"/>
    <cellStyle name="Normal 5 2" xfId="25" xr:uid="{00000000-0005-0000-0000-00002B000000}"/>
    <cellStyle name="Normal 5 3" xfId="50" xr:uid="{00000000-0005-0000-0000-00002C000000}"/>
    <cellStyle name="Normal 5 4" xfId="33" xr:uid="{00000000-0005-0000-0000-00002D000000}"/>
    <cellStyle name="Normal 6" xfId="38" xr:uid="{00000000-0005-0000-0000-00002E000000}"/>
    <cellStyle name="Normal 6 2" xfId="54" xr:uid="{00000000-0005-0000-0000-00002F000000}"/>
    <cellStyle name="Normal 7" xfId="39" xr:uid="{00000000-0005-0000-0000-000030000000}"/>
    <cellStyle name="Normal 7 2" xfId="55" xr:uid="{00000000-0005-0000-0000-000031000000}"/>
    <cellStyle name="Normal 8" xfId="40" xr:uid="{00000000-0005-0000-0000-000032000000}"/>
    <cellStyle name="Normal 9" xfId="26" xr:uid="{00000000-0005-0000-0000-000033000000}"/>
    <cellStyle name="Normal_13 Public Finance_done" xfId="2" xr:uid="{00000000-0005-0000-0000-000034000000}"/>
    <cellStyle name="Percent 2" xfId="15" xr:uid="{00000000-0005-0000-0000-000038000000}"/>
    <cellStyle name="Percent 2 2" xfId="24" xr:uid="{00000000-0005-0000-0000-000039000000}"/>
    <cellStyle name="Percent 2 3" xfId="34" xr:uid="{00000000-0005-0000-0000-00003A000000}"/>
    <cellStyle name="Percent 3" xfId="21" xr:uid="{00000000-0005-0000-0000-00003B000000}"/>
  </cellStyles>
  <dxfs count="0"/>
  <tableStyles count="0" defaultTableStyle="TableStyleMedium9" defaultPivotStyle="PivotStyleLight16"/>
  <colors>
    <mruColors>
      <color rgb="FFFDEADA"/>
      <color rgb="FFEBF1DE"/>
      <color rgb="FFFBC99F"/>
      <color rgb="FFF5EADF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3721-5F92-422E-9C99-E08A14D588F6}">
  <dimension ref="A1:W82"/>
  <sheetViews>
    <sheetView tabSelected="1" topLeftCell="F1" zoomScaleNormal="100" workbookViewId="0">
      <selection activeCell="AC17" sqref="AC17"/>
    </sheetView>
  </sheetViews>
  <sheetFormatPr defaultColWidth="8" defaultRowHeight="15.75"/>
  <cols>
    <col min="1" max="1" width="58.42578125" style="53" customWidth="1"/>
    <col min="2" max="2" width="15.28515625" style="12" hidden="1" customWidth="1"/>
    <col min="3" max="4" width="14.7109375" style="12" customWidth="1"/>
    <col min="5" max="8" width="16.42578125" style="12" customWidth="1"/>
    <col min="9" max="11" width="8" style="12" customWidth="1"/>
    <col min="12" max="13" width="8" style="12"/>
    <col min="14" max="14" width="9.85546875" style="12" customWidth="1"/>
    <col min="15" max="15" width="19.5703125" style="12" customWidth="1"/>
    <col min="16" max="16" width="33.7109375" style="16" customWidth="1"/>
    <col min="17" max="17" width="3.42578125" style="12" customWidth="1"/>
    <col min="18" max="16384" width="8" style="12"/>
  </cols>
  <sheetData>
    <row r="1" spans="1:23" ht="21">
      <c r="A1" s="54" t="s">
        <v>149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23" ht="15">
      <c r="A2" s="59" t="s">
        <v>148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23">
      <c r="A3" s="13"/>
      <c r="B3" s="14"/>
      <c r="C3" s="14"/>
      <c r="D3" s="14"/>
      <c r="E3" s="14"/>
      <c r="F3" s="14"/>
      <c r="G3" s="14"/>
      <c r="H3" s="15"/>
      <c r="I3" s="15"/>
      <c r="J3" s="15"/>
      <c r="K3" s="15"/>
      <c r="L3" s="15"/>
      <c r="M3" s="15"/>
      <c r="N3" s="15"/>
      <c r="O3" s="15"/>
    </row>
    <row r="4" spans="1:23" ht="30" customHeight="1">
      <c r="A4" s="55" t="s">
        <v>4</v>
      </c>
      <c r="B4" s="17"/>
      <c r="C4" s="65" t="s">
        <v>5</v>
      </c>
      <c r="D4" s="65"/>
      <c r="E4" s="65"/>
      <c r="F4" s="65"/>
      <c r="G4" s="65"/>
      <c r="H4" s="66"/>
      <c r="I4" s="69" t="s">
        <v>32</v>
      </c>
      <c r="J4" s="70"/>
      <c r="K4" s="70"/>
      <c r="L4" s="70"/>
      <c r="M4" s="70"/>
      <c r="N4" s="71"/>
      <c r="O4" s="18" t="s">
        <v>137</v>
      </c>
      <c r="P4" s="60" t="s">
        <v>3</v>
      </c>
    </row>
    <row r="5" spans="1:23" ht="18.75" customHeight="1">
      <c r="A5" s="63"/>
      <c r="B5" s="19"/>
      <c r="C5" s="67" t="s">
        <v>6</v>
      </c>
      <c r="D5" s="67"/>
      <c r="E5" s="67"/>
      <c r="F5" s="67"/>
      <c r="G5" s="67"/>
      <c r="H5" s="68"/>
      <c r="I5" s="72" t="s">
        <v>33</v>
      </c>
      <c r="J5" s="73"/>
      <c r="K5" s="73"/>
      <c r="L5" s="73"/>
      <c r="M5" s="73"/>
      <c r="N5" s="74"/>
      <c r="O5" s="64" t="s">
        <v>136</v>
      </c>
      <c r="P5" s="61"/>
    </row>
    <row r="6" spans="1:23" ht="15" customHeight="1">
      <c r="A6" s="56"/>
      <c r="B6" s="7" t="s">
        <v>7</v>
      </c>
      <c r="C6" s="7">
        <v>2020</v>
      </c>
      <c r="D6" s="7">
        <v>2021</v>
      </c>
      <c r="E6" s="7">
        <v>2022</v>
      </c>
      <c r="F6" s="7">
        <v>2023</v>
      </c>
      <c r="G6" s="7">
        <v>2024</v>
      </c>
      <c r="H6" s="20">
        <v>2025</v>
      </c>
      <c r="I6" s="6">
        <v>2020</v>
      </c>
      <c r="J6" s="6">
        <v>2021</v>
      </c>
      <c r="K6" s="6">
        <v>2022</v>
      </c>
      <c r="L6" s="6">
        <v>2023</v>
      </c>
      <c r="M6" s="6">
        <v>2024</v>
      </c>
      <c r="N6" s="21">
        <v>2025</v>
      </c>
      <c r="O6" s="64"/>
      <c r="P6" s="62"/>
    </row>
    <row r="7" spans="1:23" s="30" customFormat="1" ht="19.5">
      <c r="A7" s="22" t="s">
        <v>27</v>
      </c>
      <c r="B7" s="23">
        <f t="shared" ref="B7:G7" si="0">SUM(B8:B68)</f>
        <v>16741904213.147459</v>
      </c>
      <c r="C7" s="23">
        <f t="shared" si="0"/>
        <v>10419893551.917801</v>
      </c>
      <c r="D7" s="23">
        <f t="shared" si="0"/>
        <v>15661746364.580502</v>
      </c>
      <c r="E7" s="24">
        <f t="shared" si="0"/>
        <v>22023377263.4538</v>
      </c>
      <c r="F7" s="24">
        <f t="shared" si="0"/>
        <v>24859248846.8526</v>
      </c>
      <c r="G7" s="24">
        <f t="shared" si="0"/>
        <v>28100202340.780598</v>
      </c>
      <c r="H7" s="25">
        <f t="shared" ref="H7" si="1">SUM(H8:H68)</f>
        <v>33045039325.130592</v>
      </c>
      <c r="I7" s="26">
        <f t="shared" ref="I7" si="2">SUM(I8:I65)</f>
        <v>99.985734106470503</v>
      </c>
      <c r="J7" s="26">
        <f>SUM(J8:J68)</f>
        <v>99.999999999999972</v>
      </c>
      <c r="K7" s="26">
        <f>SUM(K8:K68)</f>
        <v>99.999999999999986</v>
      </c>
      <c r="L7" s="26">
        <f>SUM(L8:L68)</f>
        <v>100</v>
      </c>
      <c r="M7" s="26">
        <f>SUM(M8:M68)</f>
        <v>100</v>
      </c>
      <c r="N7" s="27">
        <f>SUM(N8:N68)</f>
        <v>100.00000000000003</v>
      </c>
      <c r="O7" s="28">
        <f>(H7/G7-1)*100</f>
        <v>17.597157929264327</v>
      </c>
      <c r="P7" s="29" t="s">
        <v>28</v>
      </c>
    </row>
    <row r="8" spans="1:23" ht="19.5">
      <c r="A8" s="31" t="s">
        <v>131</v>
      </c>
      <c r="B8" s="32">
        <v>731095991.43890047</v>
      </c>
      <c r="C8" s="32">
        <v>283339591.02079999</v>
      </c>
      <c r="D8" s="32">
        <v>473428443.87150002</v>
      </c>
      <c r="E8" s="32">
        <v>830558836.34319997</v>
      </c>
      <c r="F8" s="32">
        <v>988994156.58330011</v>
      </c>
      <c r="G8" s="32">
        <v>1137309043.9941001</v>
      </c>
      <c r="H8" s="33">
        <v>1909470189.5327997</v>
      </c>
      <c r="I8" s="34">
        <f t="shared" ref="I8:I23" si="3">C8/C$7*100</f>
        <v>2.7192177118608933</v>
      </c>
      <c r="J8" s="34">
        <f t="shared" ref="J8:J23" si="4">D8/D$7*100</f>
        <v>3.0228330407787238</v>
      </c>
      <c r="K8" s="34">
        <f t="shared" ref="K8:K23" si="5">E8/E$7*100</f>
        <v>3.7712600860788608</v>
      </c>
      <c r="L8" s="34">
        <f t="shared" ref="L8:L23" si="6">F8/F$7*100</f>
        <v>3.9783750614351949</v>
      </c>
      <c r="M8" s="34">
        <f t="shared" ref="M8:M23" si="7">G8/G$7*100</f>
        <v>4.0473340020885651</v>
      </c>
      <c r="N8" s="35">
        <f t="shared" ref="N8:N23" si="8">H8/H$7*100</f>
        <v>5.7783867973207617</v>
      </c>
      <c r="O8" s="36">
        <f>(H8/G8-1)*100</f>
        <v>67.893696055291826</v>
      </c>
      <c r="P8" s="37" t="s">
        <v>8</v>
      </c>
    </row>
    <row r="9" spans="1:23" ht="19.5">
      <c r="A9" s="31" t="s">
        <v>9</v>
      </c>
      <c r="B9" s="32">
        <v>733697538.34759951</v>
      </c>
      <c r="C9" s="32">
        <v>285888291.4224</v>
      </c>
      <c r="D9" s="32">
        <v>483012009.42839998</v>
      </c>
      <c r="E9" s="32">
        <v>849314523.76380002</v>
      </c>
      <c r="F9" s="32">
        <v>1016365837.6506002</v>
      </c>
      <c r="G9" s="32">
        <v>1159387359.2255998</v>
      </c>
      <c r="H9" s="33">
        <v>1930066335.1799998</v>
      </c>
      <c r="I9" s="34">
        <f t="shared" si="3"/>
        <v>2.7436776584899154</v>
      </c>
      <c r="J9" s="34">
        <f t="shared" si="4"/>
        <v>3.0840239535531349</v>
      </c>
      <c r="K9" s="34">
        <f t="shared" si="5"/>
        <v>3.8564227166610636</v>
      </c>
      <c r="L9" s="34">
        <f t="shared" si="6"/>
        <v>4.0884816911082211</v>
      </c>
      <c r="M9" s="34">
        <f t="shared" si="7"/>
        <v>4.1259039531648902</v>
      </c>
      <c r="N9" s="35">
        <f t="shared" si="8"/>
        <v>5.8407142935738428</v>
      </c>
      <c r="O9" s="36">
        <f t="shared" ref="O9:O68" si="9">(H9/G9-1)*100</f>
        <v>66.472949685182584</v>
      </c>
      <c r="P9" s="37" t="s">
        <v>10</v>
      </c>
    </row>
    <row r="10" spans="1:23" ht="19.5">
      <c r="A10" s="31" t="s">
        <v>34</v>
      </c>
      <c r="B10" s="32">
        <v>613969839.03999996</v>
      </c>
      <c r="C10" s="32">
        <v>953699643.38</v>
      </c>
      <c r="D10" s="32">
        <v>675071083.45000005</v>
      </c>
      <c r="E10" s="32">
        <v>901259956.67999995</v>
      </c>
      <c r="F10" s="32">
        <v>967668297.61999989</v>
      </c>
      <c r="G10" s="32">
        <v>1470309985.6200001</v>
      </c>
      <c r="H10" s="33">
        <v>737383653.33010006</v>
      </c>
      <c r="I10" s="34">
        <f t="shared" si="3"/>
        <v>9.1526812498431891</v>
      </c>
      <c r="J10" s="34">
        <f t="shared" si="4"/>
        <v>4.310318068850183</v>
      </c>
      <c r="K10" s="34">
        <f t="shared" si="5"/>
        <v>4.0922876900246159</v>
      </c>
      <c r="L10" s="34">
        <f t="shared" si="6"/>
        <v>3.8925886440953952</v>
      </c>
      <c r="M10" s="34">
        <f t="shared" si="7"/>
        <v>5.2323822006299343</v>
      </c>
      <c r="N10" s="35">
        <f t="shared" si="8"/>
        <v>2.2314503731557775</v>
      </c>
      <c r="O10" s="36">
        <f t="shared" si="9"/>
        <v>-49.848422404669975</v>
      </c>
      <c r="P10" s="37" t="s">
        <v>35</v>
      </c>
    </row>
    <row r="11" spans="1:23" ht="22.5" customHeight="1">
      <c r="A11" s="31" t="s">
        <v>11</v>
      </c>
      <c r="B11" s="32">
        <v>2899307645.7716002</v>
      </c>
      <c r="C11" s="32">
        <v>2701575018.4759002</v>
      </c>
      <c r="D11" s="32">
        <v>2135302216.5644002</v>
      </c>
      <c r="E11" s="32">
        <v>3580679006.5325999</v>
      </c>
      <c r="F11" s="32">
        <v>4344192601.2245998</v>
      </c>
      <c r="G11" s="32">
        <v>4542756466.8767996</v>
      </c>
      <c r="H11" s="33">
        <v>4497453366.0067997</v>
      </c>
      <c r="I11" s="34">
        <f t="shared" si="3"/>
        <v>25.927088458390923</v>
      </c>
      <c r="J11" s="34">
        <f t="shared" si="4"/>
        <v>13.633870494758163</v>
      </c>
      <c r="K11" s="34">
        <f t="shared" si="5"/>
        <v>16.258537297431115</v>
      </c>
      <c r="L11" s="34">
        <f t="shared" si="6"/>
        <v>17.475156341156353</v>
      </c>
      <c r="M11" s="34">
        <f t="shared" si="7"/>
        <v>16.166276711410347</v>
      </c>
      <c r="N11" s="35">
        <f t="shared" si="8"/>
        <v>13.610071156993625</v>
      </c>
      <c r="O11" s="36">
        <f t="shared" si="9"/>
        <v>-0.99726017012631285</v>
      </c>
      <c r="P11" s="37" t="s">
        <v>36</v>
      </c>
    </row>
    <row r="12" spans="1:23" ht="19.5">
      <c r="A12" s="31" t="s">
        <v>37</v>
      </c>
      <c r="B12" s="32">
        <v>94322369.710000008</v>
      </c>
      <c r="C12" s="32">
        <v>48186481.089999996</v>
      </c>
      <c r="D12" s="32">
        <v>87058359.209999993</v>
      </c>
      <c r="E12" s="32">
        <v>90825079.75</v>
      </c>
      <c r="F12" s="32">
        <v>90596856.320000008</v>
      </c>
      <c r="G12" s="32">
        <v>75230863.260000005</v>
      </c>
      <c r="H12" s="33">
        <v>72670858.459999993</v>
      </c>
      <c r="I12" s="34">
        <f t="shared" si="3"/>
        <v>0.46244696118926459</v>
      </c>
      <c r="J12" s="34">
        <f t="shared" si="4"/>
        <v>0.55586623090056564</v>
      </c>
      <c r="K12" s="34">
        <f t="shared" si="5"/>
        <v>0.41240305091952284</v>
      </c>
      <c r="L12" s="34">
        <f t="shared" si="6"/>
        <v>0.36443923498304082</v>
      </c>
      <c r="M12" s="34">
        <f t="shared" si="7"/>
        <v>0.26772356422081967</v>
      </c>
      <c r="N12" s="35">
        <f t="shared" si="8"/>
        <v>0.21991457702619271</v>
      </c>
      <c r="O12" s="36">
        <f t="shared" si="9"/>
        <v>-3.4028651128893195</v>
      </c>
      <c r="P12" s="37" t="s">
        <v>38</v>
      </c>
    </row>
    <row r="13" spans="1:23" ht="19.5">
      <c r="A13" s="31" t="s">
        <v>39</v>
      </c>
      <c r="B13" s="32">
        <v>16620278.460000001</v>
      </c>
      <c r="C13" s="32">
        <v>15626619.539999999</v>
      </c>
      <c r="D13" s="32">
        <v>18521930</v>
      </c>
      <c r="E13" s="32">
        <v>19460020</v>
      </c>
      <c r="F13" s="32">
        <v>19223057</v>
      </c>
      <c r="G13" s="32">
        <v>3269000</v>
      </c>
      <c r="H13" s="33">
        <v>2020000</v>
      </c>
      <c r="I13" s="34">
        <f t="shared" si="3"/>
        <v>0.14996909001171024</v>
      </c>
      <c r="J13" s="34">
        <f t="shared" si="4"/>
        <v>0.11826222675836386</v>
      </c>
      <c r="K13" s="34">
        <f t="shared" si="5"/>
        <v>8.8360743982225168E-2</v>
      </c>
      <c r="L13" s="34">
        <f t="shared" si="6"/>
        <v>7.7327585875282018E-2</v>
      </c>
      <c r="M13" s="34">
        <f t="shared" si="7"/>
        <v>1.1633368188441273E-2</v>
      </c>
      <c r="N13" s="35">
        <f t="shared" si="8"/>
        <v>6.1128691060863697E-3</v>
      </c>
      <c r="O13" s="36">
        <f>(H13/G13-1)*100</f>
        <v>-38.207402875497095</v>
      </c>
      <c r="P13" s="37" t="s">
        <v>40</v>
      </c>
    </row>
    <row r="14" spans="1:23" ht="19.5">
      <c r="A14" s="31" t="s">
        <v>41</v>
      </c>
      <c r="B14" s="32">
        <v>3819268</v>
      </c>
      <c r="C14" s="32">
        <v>3484082</v>
      </c>
      <c r="D14" s="32">
        <v>3435556</v>
      </c>
      <c r="E14" s="32">
        <v>3451009</v>
      </c>
      <c r="F14" s="32">
        <v>5616838</v>
      </c>
      <c r="G14" s="32">
        <v>5960080</v>
      </c>
      <c r="H14" s="33">
        <v>7738880</v>
      </c>
      <c r="I14" s="34">
        <f t="shared" si="3"/>
        <v>3.3436829106174008E-2</v>
      </c>
      <c r="J14" s="34">
        <f t="shared" si="4"/>
        <v>2.1935970102092896E-2</v>
      </c>
      <c r="K14" s="34">
        <f t="shared" si="5"/>
        <v>1.5669753819849874E-2</v>
      </c>
      <c r="L14" s="34">
        <f t="shared" si="6"/>
        <v>2.2594560417343989E-2</v>
      </c>
      <c r="M14" s="34">
        <f t="shared" si="7"/>
        <v>2.121009638194098E-2</v>
      </c>
      <c r="N14" s="35">
        <f t="shared" si="8"/>
        <v>2.3419188350351332E-2</v>
      </c>
      <c r="O14" s="36">
        <f t="shared" si="9"/>
        <v>29.845236976684888</v>
      </c>
      <c r="P14" s="37" t="s">
        <v>42</v>
      </c>
    </row>
    <row r="15" spans="1:23" ht="19.5" hidden="1">
      <c r="A15" s="31" t="s">
        <v>12</v>
      </c>
      <c r="B15" s="32">
        <v>33813250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4">
        <f t="shared" si="3"/>
        <v>0</v>
      </c>
      <c r="J15" s="34">
        <f t="shared" si="4"/>
        <v>0</v>
      </c>
      <c r="K15" s="34">
        <f t="shared" si="5"/>
        <v>0</v>
      </c>
      <c r="L15" s="34">
        <f t="shared" si="6"/>
        <v>0</v>
      </c>
      <c r="M15" s="34">
        <f t="shared" si="7"/>
        <v>0</v>
      </c>
      <c r="N15" s="35">
        <f t="shared" si="8"/>
        <v>0</v>
      </c>
      <c r="O15" s="36" t="e">
        <f t="shared" si="9"/>
        <v>#DIV/0!</v>
      </c>
      <c r="P15" s="37" t="s">
        <v>43</v>
      </c>
      <c r="Q15" s="38"/>
      <c r="R15" s="38"/>
      <c r="S15" s="38"/>
      <c r="T15" s="38"/>
      <c r="U15" s="38"/>
      <c r="V15" s="38"/>
      <c r="W15" s="38"/>
    </row>
    <row r="16" spans="1:23" ht="19.5">
      <c r="A16" s="31" t="s">
        <v>13</v>
      </c>
      <c r="B16" s="32">
        <v>43975220</v>
      </c>
      <c r="C16" s="32">
        <v>21566315</v>
      </c>
      <c r="D16" s="32">
        <v>6232955</v>
      </c>
      <c r="E16" s="32">
        <v>8036535</v>
      </c>
      <c r="F16" s="32">
        <v>688814.94870000007</v>
      </c>
      <c r="G16" s="32">
        <v>30545169.897600003</v>
      </c>
      <c r="H16" s="33">
        <v>88181141.276700005</v>
      </c>
      <c r="I16" s="34">
        <f t="shared" si="3"/>
        <v>0.20697250785283386</v>
      </c>
      <c r="J16" s="34">
        <f t="shared" si="4"/>
        <v>3.9797317967656599E-2</v>
      </c>
      <c r="K16" s="34">
        <f t="shared" si="5"/>
        <v>3.6490929178859627E-2</v>
      </c>
      <c r="L16" s="34">
        <f t="shared" si="6"/>
        <v>2.7708598636406912E-3</v>
      </c>
      <c r="M16" s="34">
        <f t="shared" si="7"/>
        <v>0.10870088950666069</v>
      </c>
      <c r="N16" s="35">
        <f t="shared" si="8"/>
        <v>0.26685137339097875</v>
      </c>
      <c r="O16" s="11" t="s">
        <v>140</v>
      </c>
      <c r="P16" s="37" t="s">
        <v>44</v>
      </c>
      <c r="Q16" s="38"/>
      <c r="R16" s="38"/>
      <c r="S16" s="38"/>
      <c r="T16" s="38"/>
      <c r="U16" s="38"/>
      <c r="V16" s="38"/>
      <c r="W16" s="38"/>
    </row>
    <row r="17" spans="1:16" ht="19.5">
      <c r="A17" s="31" t="s">
        <v>45</v>
      </c>
      <c r="B17" s="32">
        <v>6200</v>
      </c>
      <c r="C17" s="32">
        <v>7000</v>
      </c>
      <c r="D17" s="32">
        <v>6600</v>
      </c>
      <c r="E17" s="32">
        <v>10400</v>
      </c>
      <c r="F17" s="32">
        <v>6200</v>
      </c>
      <c r="G17" s="32">
        <v>3600</v>
      </c>
      <c r="H17" s="33">
        <v>1200</v>
      </c>
      <c r="I17" s="34">
        <f t="shared" si="3"/>
        <v>6.717918916466893E-5</v>
      </c>
      <c r="J17" s="34">
        <f t="shared" si="4"/>
        <v>4.2140894421110621E-5</v>
      </c>
      <c r="K17" s="34">
        <f t="shared" si="5"/>
        <v>4.722254845653508E-5</v>
      </c>
      <c r="L17" s="34">
        <f t="shared" si="6"/>
        <v>2.4940415690737872E-5</v>
      </c>
      <c r="M17" s="34">
        <f t="shared" si="7"/>
        <v>1.2811295649552947E-5</v>
      </c>
      <c r="N17" s="35">
        <f t="shared" si="8"/>
        <v>3.6314073897542795E-6</v>
      </c>
      <c r="O17" s="36">
        <f t="shared" si="9"/>
        <v>-66.666666666666671</v>
      </c>
      <c r="P17" s="37" t="s">
        <v>46</v>
      </c>
    </row>
    <row r="18" spans="1:16" ht="19.5">
      <c r="A18" s="31" t="s">
        <v>47</v>
      </c>
      <c r="B18" s="32">
        <v>1000</v>
      </c>
      <c r="C18" s="32">
        <v>600</v>
      </c>
      <c r="D18" s="32">
        <v>1200</v>
      </c>
      <c r="E18" s="32">
        <v>800</v>
      </c>
      <c r="F18" s="32">
        <v>400</v>
      </c>
      <c r="G18" s="32">
        <v>600</v>
      </c>
      <c r="H18" s="33">
        <v>0</v>
      </c>
      <c r="I18" s="34">
        <f t="shared" si="3"/>
        <v>5.7582162141144798E-6</v>
      </c>
      <c r="J18" s="34">
        <f t="shared" si="4"/>
        <v>7.6619808038382945E-6</v>
      </c>
      <c r="K18" s="34">
        <f t="shared" si="5"/>
        <v>3.6325037274257751E-6</v>
      </c>
      <c r="L18" s="34">
        <f t="shared" si="6"/>
        <v>1.6090590768217983E-6</v>
      </c>
      <c r="M18" s="34">
        <f t="shared" si="7"/>
        <v>2.1352159415921578E-6</v>
      </c>
      <c r="N18" s="35">
        <f t="shared" si="8"/>
        <v>0</v>
      </c>
      <c r="O18" s="36">
        <f t="shared" si="9"/>
        <v>-100</v>
      </c>
      <c r="P18" s="37" t="s">
        <v>48</v>
      </c>
    </row>
    <row r="19" spans="1:16" ht="19.5">
      <c r="A19" s="31" t="s">
        <v>49</v>
      </c>
      <c r="B19" s="32">
        <v>90092169.840000018</v>
      </c>
      <c r="C19" s="32">
        <v>25837392.369999997</v>
      </c>
      <c r="D19" s="32">
        <v>45588710.759999998</v>
      </c>
      <c r="E19" s="32">
        <v>54901609.490000002</v>
      </c>
      <c r="F19" s="32">
        <v>73684962.449999988</v>
      </c>
      <c r="G19" s="32">
        <v>84165885.189999983</v>
      </c>
      <c r="H19" s="33">
        <v>100329432.8</v>
      </c>
      <c r="I19" s="34">
        <f t="shared" si="3"/>
        <v>0.2479621527922862</v>
      </c>
      <c r="J19" s="34">
        <f t="shared" si="4"/>
        <v>0.29108318892904689</v>
      </c>
      <c r="K19" s="34">
        <f t="shared" si="5"/>
        <v>0.24928787639262417</v>
      </c>
      <c r="L19" s="34">
        <f t="shared" si="6"/>
        <v>0.29640864413861462</v>
      </c>
      <c r="M19" s="34">
        <f t="shared" si="7"/>
        <v>0.29952056632650542</v>
      </c>
      <c r="N19" s="35">
        <f t="shared" si="8"/>
        <v>0.30361420306647946</v>
      </c>
      <c r="O19" s="36">
        <f t="shared" si="9"/>
        <v>19.2043932924981</v>
      </c>
      <c r="P19" s="37" t="s">
        <v>50</v>
      </c>
    </row>
    <row r="20" spans="1:16" ht="19.5">
      <c r="A20" s="31" t="s">
        <v>51</v>
      </c>
      <c r="B20" s="32">
        <v>197358978.90477699</v>
      </c>
      <c r="C20" s="32">
        <v>129047369.70370001</v>
      </c>
      <c r="D20" s="32">
        <v>181397419.44339997</v>
      </c>
      <c r="E20" s="32">
        <v>137560943.80849999</v>
      </c>
      <c r="F20" s="32">
        <v>69324452.208299994</v>
      </c>
      <c r="G20" s="32">
        <v>83913002.663000003</v>
      </c>
      <c r="H20" s="33">
        <v>86423388.880100012</v>
      </c>
      <c r="I20" s="34">
        <f t="shared" si="3"/>
        <v>1.2384710943611184</v>
      </c>
      <c r="J20" s="34">
        <f t="shared" si="4"/>
        <v>1.1582196213676117</v>
      </c>
      <c r="K20" s="34">
        <f t="shared" si="5"/>
        <v>0.62461330141572979</v>
      </c>
      <c r="L20" s="34">
        <f t="shared" si="6"/>
        <v>0.27886784767866019</v>
      </c>
      <c r="M20" s="34">
        <f t="shared" si="7"/>
        <v>0.29862063498817132</v>
      </c>
      <c r="N20" s="35">
        <f t="shared" si="8"/>
        <v>0.26153211085566919</v>
      </c>
      <c r="O20" s="36">
        <f t="shared" si="9"/>
        <v>2.9916534237034442</v>
      </c>
      <c r="P20" s="37" t="s">
        <v>1</v>
      </c>
    </row>
    <row r="21" spans="1:16" ht="19.5" hidden="1">
      <c r="A21" s="31" t="s">
        <v>52</v>
      </c>
      <c r="B21" s="32">
        <v>0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3">
        <v>0</v>
      </c>
      <c r="I21" s="34">
        <f t="shared" si="3"/>
        <v>0</v>
      </c>
      <c r="J21" s="34">
        <f t="shared" si="4"/>
        <v>0</v>
      </c>
      <c r="K21" s="34">
        <f t="shared" si="5"/>
        <v>0</v>
      </c>
      <c r="L21" s="34">
        <f t="shared" si="6"/>
        <v>0</v>
      </c>
      <c r="M21" s="34">
        <f t="shared" si="7"/>
        <v>0</v>
      </c>
      <c r="N21" s="35">
        <f t="shared" si="8"/>
        <v>0</v>
      </c>
      <c r="O21" s="36" t="e">
        <f t="shared" si="9"/>
        <v>#DIV/0!</v>
      </c>
      <c r="P21" s="37" t="s">
        <v>53</v>
      </c>
    </row>
    <row r="22" spans="1:16" ht="19.5">
      <c r="A22" s="31" t="s">
        <v>54</v>
      </c>
      <c r="B22" s="32">
        <v>582068</v>
      </c>
      <c r="C22" s="32">
        <v>408101</v>
      </c>
      <c r="D22" s="32">
        <v>460191</v>
      </c>
      <c r="E22" s="32">
        <v>494212.60400000005</v>
      </c>
      <c r="F22" s="32">
        <v>367547.59999999992</v>
      </c>
      <c r="G22" s="32">
        <v>165761.5</v>
      </c>
      <c r="H22" s="33">
        <v>271100</v>
      </c>
      <c r="I22" s="34">
        <f t="shared" si="3"/>
        <v>3.9165563253272225E-3</v>
      </c>
      <c r="J22" s="34">
        <f t="shared" si="4"/>
        <v>2.9383121734159572E-3</v>
      </c>
      <c r="K22" s="34">
        <f t="shared" si="5"/>
        <v>2.2440364077134984E-3</v>
      </c>
      <c r="L22" s="34">
        <f t="shared" si="6"/>
        <v>1.4785145048601686E-3</v>
      </c>
      <c r="M22" s="34">
        <f t="shared" si="7"/>
        <v>5.8989432883704742E-4</v>
      </c>
      <c r="N22" s="35">
        <f t="shared" si="8"/>
        <v>8.2039545280198755E-4</v>
      </c>
      <c r="O22" s="36">
        <f t="shared" si="9"/>
        <v>63.548230439517006</v>
      </c>
      <c r="P22" s="37" t="s">
        <v>55</v>
      </c>
    </row>
    <row r="23" spans="1:16" ht="19.5">
      <c r="A23" s="31" t="s">
        <v>56</v>
      </c>
      <c r="B23" s="32">
        <v>0</v>
      </c>
      <c r="C23" s="32">
        <v>0</v>
      </c>
      <c r="D23" s="32">
        <v>0</v>
      </c>
      <c r="E23" s="32">
        <v>0</v>
      </c>
      <c r="F23" s="32">
        <v>7500</v>
      </c>
      <c r="G23" s="32">
        <v>0</v>
      </c>
      <c r="H23" s="33">
        <v>0</v>
      </c>
      <c r="I23" s="34">
        <f t="shared" si="3"/>
        <v>0</v>
      </c>
      <c r="J23" s="34">
        <f t="shared" si="4"/>
        <v>0</v>
      </c>
      <c r="K23" s="34">
        <f t="shared" si="5"/>
        <v>0</v>
      </c>
      <c r="L23" s="34">
        <f t="shared" si="6"/>
        <v>3.0169857690408722E-5</v>
      </c>
      <c r="M23" s="34">
        <f t="shared" si="7"/>
        <v>0</v>
      </c>
      <c r="N23" s="35">
        <f t="shared" si="8"/>
        <v>0</v>
      </c>
      <c r="O23" s="10" t="s">
        <v>139</v>
      </c>
      <c r="P23" s="37" t="s">
        <v>57</v>
      </c>
    </row>
    <row r="24" spans="1:16" ht="19.5">
      <c r="A24" s="31" t="s">
        <v>58</v>
      </c>
      <c r="B24" s="32">
        <v>1719140</v>
      </c>
      <c r="C24" s="32">
        <v>3119425.2064</v>
      </c>
      <c r="D24" s="32">
        <v>6985618.6214000005</v>
      </c>
      <c r="E24" s="32">
        <v>8149300</v>
      </c>
      <c r="F24" s="32">
        <v>10602216.342</v>
      </c>
      <c r="G24" s="32">
        <v>9764200.4242000002</v>
      </c>
      <c r="H24" s="33">
        <v>11306700</v>
      </c>
      <c r="I24" s="34">
        <f t="shared" ref="I24:I52" si="10">C24/C$7*100</f>
        <v>2.9937208003683144E-2</v>
      </c>
      <c r="J24" s="34">
        <f t="shared" ref="J24:J52" si="11">D24/D$7*100</f>
        <v>4.4603063150085109E-2</v>
      </c>
      <c r="K24" s="34">
        <f t="shared" ref="K24:K52" si="12">E24/E$7*100</f>
        <v>3.700295328238859E-2</v>
      </c>
      <c r="L24" s="34">
        <f t="shared" ref="L24:L52" si="13">F24/F$7*100</f>
        <v>4.2648981098808762E-2</v>
      </c>
      <c r="M24" s="34">
        <f t="shared" ref="M24:M52" si="14">G24/G$7*100</f>
        <v>3.4747794004421254E-2</v>
      </c>
      <c r="N24" s="35">
        <f t="shared" ref="N24:N49" si="15">H24/H$7*100</f>
        <v>3.4216028278112265E-2</v>
      </c>
      <c r="O24" s="36">
        <f t="shared" si="9"/>
        <v>15.797500141199517</v>
      </c>
      <c r="P24" s="39" t="s">
        <v>59</v>
      </c>
    </row>
    <row r="25" spans="1:16" ht="19.5" hidden="1">
      <c r="A25" s="31" t="s">
        <v>60</v>
      </c>
      <c r="B25" s="32">
        <v>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3">
        <v>0</v>
      </c>
      <c r="I25" s="34">
        <f t="shared" si="10"/>
        <v>0</v>
      </c>
      <c r="J25" s="34">
        <f t="shared" si="11"/>
        <v>0</v>
      </c>
      <c r="K25" s="34">
        <f t="shared" si="12"/>
        <v>0</v>
      </c>
      <c r="L25" s="34">
        <f t="shared" si="13"/>
        <v>0</v>
      </c>
      <c r="M25" s="34">
        <f t="shared" si="14"/>
        <v>0</v>
      </c>
      <c r="N25" s="35">
        <f t="shared" si="15"/>
        <v>0</v>
      </c>
      <c r="O25" s="36" t="e">
        <f t="shared" si="9"/>
        <v>#DIV/0!</v>
      </c>
      <c r="P25" s="37" t="s">
        <v>61</v>
      </c>
    </row>
    <row r="26" spans="1:16" ht="19.5">
      <c r="A26" s="31" t="s">
        <v>62</v>
      </c>
      <c r="B26" s="32">
        <v>140596.6985</v>
      </c>
      <c r="C26" s="32">
        <v>98882.884099999981</v>
      </c>
      <c r="D26" s="32">
        <v>128501.02800000001</v>
      </c>
      <c r="E26" s="32">
        <v>0</v>
      </c>
      <c r="F26" s="32">
        <v>0</v>
      </c>
      <c r="G26" s="32">
        <v>0</v>
      </c>
      <c r="H26" s="33">
        <v>0</v>
      </c>
      <c r="I26" s="34">
        <f t="shared" si="10"/>
        <v>9.489817108717046E-4</v>
      </c>
      <c r="J26" s="34">
        <f t="shared" si="11"/>
        <v>8.2047700817457279E-4</v>
      </c>
      <c r="K26" s="34">
        <f t="shared" si="12"/>
        <v>0</v>
      </c>
      <c r="L26" s="34">
        <f t="shared" si="13"/>
        <v>0</v>
      </c>
      <c r="M26" s="34">
        <f t="shared" si="14"/>
        <v>0</v>
      </c>
      <c r="N26" s="35">
        <f t="shared" si="15"/>
        <v>0</v>
      </c>
      <c r="O26" s="10" t="s">
        <v>139</v>
      </c>
      <c r="P26" s="37" t="s">
        <v>63</v>
      </c>
    </row>
    <row r="27" spans="1:16" ht="19.5">
      <c r="A27" s="31" t="s">
        <v>64</v>
      </c>
      <c r="B27" s="32">
        <v>7748561111.9536209</v>
      </c>
      <c r="C27" s="32">
        <v>4306485317.9263</v>
      </c>
      <c r="D27" s="32">
        <v>7830165885.9279003</v>
      </c>
      <c r="E27" s="32">
        <v>9794802791.8334999</v>
      </c>
      <c r="F27" s="32">
        <v>13320202020.650501</v>
      </c>
      <c r="G27" s="32">
        <v>14535960837.768</v>
      </c>
      <c r="H27" s="33">
        <v>16432723130.130798</v>
      </c>
      <c r="I27" s="34">
        <f t="shared" si="10"/>
        <v>41.329455972548615</v>
      </c>
      <c r="J27" s="34">
        <f t="shared" si="11"/>
        <v>49.995483924040876</v>
      </c>
      <c r="K27" s="34">
        <f t="shared" si="12"/>
        <v>44.474572063419473</v>
      </c>
      <c r="L27" s="34">
        <f t="shared" si="13"/>
        <v>53.582479916069367</v>
      </c>
      <c r="M27" s="34">
        <f t="shared" si="14"/>
        <v>51.729025511935887</v>
      </c>
      <c r="N27" s="35">
        <f t="shared" si="15"/>
        <v>49.728260173785877</v>
      </c>
      <c r="O27" s="36">
        <f t="shared" si="9"/>
        <v>13.048757584944394</v>
      </c>
      <c r="P27" s="37" t="s">
        <v>65</v>
      </c>
    </row>
    <row r="28" spans="1:16" ht="19.5">
      <c r="A28" s="31" t="s">
        <v>66</v>
      </c>
      <c r="B28" s="32">
        <v>3350940</v>
      </c>
      <c r="C28" s="32">
        <v>1689040</v>
      </c>
      <c r="D28" s="32">
        <v>1841373.3599999999</v>
      </c>
      <c r="E28" s="32">
        <v>1285491.1099999999</v>
      </c>
      <c r="F28" s="32">
        <v>489295.24</v>
      </c>
      <c r="G28" s="32">
        <v>469140</v>
      </c>
      <c r="H28" s="33">
        <v>465556.7</v>
      </c>
      <c r="I28" s="34">
        <f t="shared" si="10"/>
        <v>1.62097625238132E-2</v>
      </c>
      <c r="J28" s="34">
        <f t="shared" si="11"/>
        <v>1.1757139447516017E-2</v>
      </c>
      <c r="K28" s="34">
        <f t="shared" si="12"/>
        <v>5.8369390608096214E-3</v>
      </c>
      <c r="L28" s="34">
        <f t="shared" si="13"/>
        <v>1.9682623679192503E-3</v>
      </c>
      <c r="M28" s="34">
        <f t="shared" si="14"/>
        <v>1.6695253447309081E-3</v>
      </c>
      <c r="N28" s="35">
        <f t="shared" si="15"/>
        <v>1.4088550339413468E-3</v>
      </c>
      <c r="O28" s="36">
        <f t="shared" si="9"/>
        <v>-0.76380185019396807</v>
      </c>
      <c r="P28" s="37" t="s">
        <v>67</v>
      </c>
    </row>
    <row r="29" spans="1:16" ht="18.75">
      <c r="A29" s="31" t="s">
        <v>14</v>
      </c>
      <c r="B29" s="32">
        <v>850615153.91795635</v>
      </c>
      <c r="C29" s="32">
        <v>351898223.08999997</v>
      </c>
      <c r="D29" s="32">
        <v>802115145.903</v>
      </c>
      <c r="E29" s="32">
        <v>972994664.45899999</v>
      </c>
      <c r="F29" s="32">
        <v>999070898.00409997</v>
      </c>
      <c r="G29" s="32">
        <v>1080712329.2858</v>
      </c>
      <c r="H29" s="33">
        <v>2251597496.4767995</v>
      </c>
      <c r="I29" s="34">
        <f t="shared" si="10"/>
        <v>3.3771767565248538</v>
      </c>
      <c r="J29" s="34">
        <f t="shared" si="11"/>
        <v>5.1214923753139487</v>
      </c>
      <c r="K29" s="34">
        <f t="shared" si="12"/>
        <v>4.4180084317658865</v>
      </c>
      <c r="L29" s="34">
        <f t="shared" si="13"/>
        <v>4.0189102420550054</v>
      </c>
      <c r="M29" s="34">
        <f t="shared" si="14"/>
        <v>3.8459236562770558</v>
      </c>
      <c r="N29" s="35">
        <f t="shared" si="15"/>
        <v>6.8137231562150706</v>
      </c>
      <c r="O29" s="11" t="s">
        <v>140</v>
      </c>
      <c r="P29" s="1" t="s">
        <v>15</v>
      </c>
    </row>
    <row r="30" spans="1:16" ht="18.75">
      <c r="A30" s="31" t="s">
        <v>16</v>
      </c>
      <c r="B30" s="32">
        <v>102523494</v>
      </c>
      <c r="C30" s="32">
        <v>8970164</v>
      </c>
      <c r="D30" s="32">
        <v>101221.35</v>
      </c>
      <c r="E30" s="32">
        <v>13885.439999999999</v>
      </c>
      <c r="F30" s="32">
        <v>0</v>
      </c>
      <c r="G30" s="32">
        <v>0</v>
      </c>
      <c r="H30" s="33">
        <v>0</v>
      </c>
      <c r="I30" s="34">
        <f t="shared" si="10"/>
        <v>8.6086906313443332E-2</v>
      </c>
      <c r="J30" s="34">
        <f t="shared" si="11"/>
        <v>6.4629670053216448E-4</v>
      </c>
      <c r="K30" s="34">
        <f t="shared" si="12"/>
        <v>6.3048640696183685E-5</v>
      </c>
      <c r="L30" s="34">
        <f t="shared" si="13"/>
        <v>0</v>
      </c>
      <c r="M30" s="34">
        <f t="shared" si="14"/>
        <v>0</v>
      </c>
      <c r="N30" s="35">
        <f t="shared" si="15"/>
        <v>0</v>
      </c>
      <c r="O30" s="10" t="s">
        <v>139</v>
      </c>
      <c r="P30" s="1" t="s">
        <v>17</v>
      </c>
    </row>
    <row r="31" spans="1:16" ht="19.5">
      <c r="A31" s="31" t="s">
        <v>68</v>
      </c>
      <c r="B31" s="32">
        <v>8263656.6699999999</v>
      </c>
      <c r="C31" s="32">
        <v>35005</v>
      </c>
      <c r="D31" s="32">
        <v>47913.39</v>
      </c>
      <c r="E31" s="32">
        <v>0</v>
      </c>
      <c r="F31" s="32">
        <v>0</v>
      </c>
      <c r="G31" s="32">
        <v>0</v>
      </c>
      <c r="H31" s="33">
        <v>0</v>
      </c>
      <c r="I31" s="34">
        <f t="shared" si="10"/>
        <v>3.3594393095846229E-4</v>
      </c>
      <c r="J31" s="34">
        <f t="shared" si="11"/>
        <v>3.0592622868901476E-4</v>
      </c>
      <c r="K31" s="34">
        <f t="shared" si="12"/>
        <v>0</v>
      </c>
      <c r="L31" s="34">
        <f t="shared" si="13"/>
        <v>0</v>
      </c>
      <c r="M31" s="34">
        <f t="shared" si="14"/>
        <v>0</v>
      </c>
      <c r="N31" s="35">
        <f t="shared" si="15"/>
        <v>0</v>
      </c>
      <c r="O31" s="10" t="s">
        <v>139</v>
      </c>
      <c r="P31" s="37" t="s">
        <v>69</v>
      </c>
    </row>
    <row r="32" spans="1:16" ht="18.75">
      <c r="A32" s="31" t="s">
        <v>18</v>
      </c>
      <c r="B32" s="32">
        <v>34822119.628899999</v>
      </c>
      <c r="C32" s="32">
        <v>3933797.7640999998</v>
      </c>
      <c r="D32" s="32">
        <v>28475739.920000002</v>
      </c>
      <c r="E32" s="32">
        <v>158906185.6913</v>
      </c>
      <c r="F32" s="32">
        <v>60327482.072099999</v>
      </c>
      <c r="G32" s="32">
        <v>372052414</v>
      </c>
      <c r="H32" s="33">
        <v>195638353.19999999</v>
      </c>
      <c r="I32" s="34">
        <f t="shared" si="10"/>
        <v>3.7752763447146509E-2</v>
      </c>
      <c r="J32" s="34">
        <f t="shared" si="11"/>
        <v>0.18181714386844319</v>
      </c>
      <c r="K32" s="34">
        <f t="shared" si="12"/>
        <v>0.72153413979332459</v>
      </c>
      <c r="L32" s="34">
        <f t="shared" si="13"/>
        <v>0.24267620652479202</v>
      </c>
      <c r="M32" s="34">
        <f t="shared" si="14"/>
        <v>1.3240204091344088</v>
      </c>
      <c r="N32" s="35">
        <f t="shared" si="15"/>
        <v>0.5920354679415315</v>
      </c>
      <c r="O32" s="36">
        <f t="shared" si="9"/>
        <v>-47.416453747293794</v>
      </c>
      <c r="P32" s="1" t="s">
        <v>19</v>
      </c>
    </row>
    <row r="33" spans="1:16" ht="19.5">
      <c r="A33" s="31" t="s">
        <v>70</v>
      </c>
      <c r="B33" s="32">
        <v>26036075.540000007</v>
      </c>
      <c r="C33" s="32">
        <v>1064712.8500000001</v>
      </c>
      <c r="D33" s="32">
        <v>37500</v>
      </c>
      <c r="E33" s="32">
        <v>0</v>
      </c>
      <c r="F33" s="32">
        <v>0</v>
      </c>
      <c r="G33" s="32">
        <v>0</v>
      </c>
      <c r="H33" s="33">
        <v>0</v>
      </c>
      <c r="I33" s="34">
        <f t="shared" si="10"/>
        <v>1.0218077993743397E-2</v>
      </c>
      <c r="J33" s="34">
        <f t="shared" si="11"/>
        <v>2.3943690011994669E-4</v>
      </c>
      <c r="K33" s="34">
        <f t="shared" si="12"/>
        <v>0</v>
      </c>
      <c r="L33" s="34">
        <f t="shared" si="13"/>
        <v>0</v>
      </c>
      <c r="M33" s="34">
        <f t="shared" si="14"/>
        <v>0</v>
      </c>
      <c r="N33" s="35">
        <f t="shared" si="15"/>
        <v>0</v>
      </c>
      <c r="O33" s="10" t="s">
        <v>139</v>
      </c>
      <c r="P33" s="40" t="s">
        <v>20</v>
      </c>
    </row>
    <row r="34" spans="1:16" ht="19.5">
      <c r="A34" s="31" t="s">
        <v>71</v>
      </c>
      <c r="B34" s="32">
        <v>306800000</v>
      </c>
      <c r="C34" s="32">
        <v>153500000</v>
      </c>
      <c r="D34" s="32">
        <v>230200000</v>
      </c>
      <c r="E34" s="32">
        <v>1956325000</v>
      </c>
      <c r="F34" s="32">
        <v>0</v>
      </c>
      <c r="G34" s="32">
        <v>306600000</v>
      </c>
      <c r="H34" s="33">
        <v>1226568125</v>
      </c>
      <c r="I34" s="34">
        <f t="shared" si="10"/>
        <v>1.4731436481109546</v>
      </c>
      <c r="J34" s="34">
        <f t="shared" si="11"/>
        <v>1.4698233175363129</v>
      </c>
      <c r="K34" s="34">
        <f t="shared" si="12"/>
        <v>8.8829473181952867</v>
      </c>
      <c r="L34" s="34">
        <f t="shared" si="13"/>
        <v>0</v>
      </c>
      <c r="M34" s="34">
        <f t="shared" si="14"/>
        <v>1.0910953461535926</v>
      </c>
      <c r="N34" s="35">
        <f t="shared" si="15"/>
        <v>3.7118071276350424</v>
      </c>
      <c r="O34" s="11" t="s">
        <v>140</v>
      </c>
      <c r="P34" s="37" t="s">
        <v>21</v>
      </c>
    </row>
    <row r="35" spans="1:16" ht="19.5">
      <c r="A35" s="31" t="s">
        <v>72</v>
      </c>
      <c r="B35" s="32">
        <v>15607926.969999995</v>
      </c>
      <c r="C35" s="32">
        <v>9002291.9400000013</v>
      </c>
      <c r="D35" s="32">
        <v>15057208.050000001</v>
      </c>
      <c r="E35" s="32">
        <v>14512448.49</v>
      </c>
      <c r="F35" s="32">
        <v>15633900.409999998</v>
      </c>
      <c r="G35" s="32">
        <v>17307988.920000002</v>
      </c>
      <c r="H35" s="33">
        <v>13014712.419999998</v>
      </c>
      <c r="I35" s="34">
        <f t="shared" si="10"/>
        <v>8.6395239021833506E-2</v>
      </c>
      <c r="J35" s="34">
        <f t="shared" si="11"/>
        <v>9.6140032532082864E-2</v>
      </c>
      <c r="K35" s="34">
        <f t="shared" si="12"/>
        <v>6.589565404249946E-2</v>
      </c>
      <c r="L35" s="34">
        <f t="shared" si="13"/>
        <v>6.2889673402096322E-2</v>
      </c>
      <c r="M35" s="34">
        <f t="shared" si="14"/>
        <v>6.1593823098140731E-2</v>
      </c>
      <c r="N35" s="35">
        <f t="shared" si="15"/>
        <v>3.9384769047928994E-2</v>
      </c>
      <c r="O35" s="36">
        <f t="shared" si="9"/>
        <v>-24.805172454432125</v>
      </c>
      <c r="P35" s="37" t="s">
        <v>73</v>
      </c>
    </row>
    <row r="36" spans="1:16" ht="19.5">
      <c r="A36" s="31" t="s">
        <v>22</v>
      </c>
      <c r="B36" s="32">
        <v>5139700</v>
      </c>
      <c r="C36" s="32">
        <v>0</v>
      </c>
      <c r="D36" s="32">
        <v>6514450</v>
      </c>
      <c r="E36" s="32">
        <v>4451050</v>
      </c>
      <c r="F36" s="32">
        <v>3372000</v>
      </c>
      <c r="G36" s="32">
        <v>3988650</v>
      </c>
      <c r="H36" s="33">
        <v>4916200</v>
      </c>
      <c r="I36" s="34">
        <f t="shared" si="10"/>
        <v>0</v>
      </c>
      <c r="J36" s="34">
        <f t="shared" si="11"/>
        <v>4.159465903963698E-2</v>
      </c>
      <c r="K36" s="34">
        <f t="shared" si="12"/>
        <v>2.021056964494812E-2</v>
      </c>
      <c r="L36" s="34">
        <f t="shared" si="13"/>
        <v>1.3564368017607761E-2</v>
      </c>
      <c r="M36" s="34">
        <f t="shared" si="14"/>
        <v>1.4194381775719267E-2</v>
      </c>
      <c r="N36" s="35">
        <f t="shared" si="15"/>
        <v>1.4877270841258323E-2</v>
      </c>
      <c r="O36" s="36">
        <f t="shared" si="9"/>
        <v>23.25473531144624</v>
      </c>
      <c r="P36" s="37" t="s">
        <v>23</v>
      </c>
    </row>
    <row r="37" spans="1:16" ht="19.5" hidden="1">
      <c r="A37" s="31" t="s">
        <v>74</v>
      </c>
      <c r="B37" s="32">
        <v>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3">
        <v>0</v>
      </c>
      <c r="I37" s="34">
        <f t="shared" si="10"/>
        <v>0</v>
      </c>
      <c r="J37" s="34">
        <f t="shared" si="11"/>
        <v>0</v>
      </c>
      <c r="K37" s="34">
        <f t="shared" si="12"/>
        <v>0</v>
      </c>
      <c r="L37" s="34">
        <f t="shared" si="13"/>
        <v>0</v>
      </c>
      <c r="M37" s="34">
        <f t="shared" si="14"/>
        <v>0</v>
      </c>
      <c r="N37" s="35">
        <f t="shared" si="15"/>
        <v>0</v>
      </c>
      <c r="O37" s="36" t="e">
        <f t="shared" si="9"/>
        <v>#DIV/0!</v>
      </c>
      <c r="P37" s="37" t="s">
        <v>75</v>
      </c>
    </row>
    <row r="38" spans="1:16" ht="19.5">
      <c r="A38" s="31" t="s">
        <v>76</v>
      </c>
      <c r="B38" s="32">
        <v>454000</v>
      </c>
      <c r="C38" s="32">
        <v>446000</v>
      </c>
      <c r="D38" s="32">
        <v>386000</v>
      </c>
      <c r="E38" s="32">
        <v>424000</v>
      </c>
      <c r="F38" s="32">
        <v>452000</v>
      </c>
      <c r="G38" s="32">
        <v>326100</v>
      </c>
      <c r="H38" s="33">
        <v>0</v>
      </c>
      <c r="I38" s="34">
        <f t="shared" si="10"/>
        <v>4.2802740524917633E-3</v>
      </c>
      <c r="J38" s="34">
        <f t="shared" si="11"/>
        <v>2.4646038252346516E-3</v>
      </c>
      <c r="K38" s="34">
        <f t="shared" si="12"/>
        <v>1.9252269755356611E-3</v>
      </c>
      <c r="L38" s="34">
        <f t="shared" si="13"/>
        <v>1.8182367568086322E-3</v>
      </c>
      <c r="M38" s="34">
        <f t="shared" si="14"/>
        <v>1.1604898642553377E-3</v>
      </c>
      <c r="N38" s="35">
        <f t="shared" si="15"/>
        <v>0</v>
      </c>
      <c r="O38" s="36">
        <f t="shared" si="9"/>
        <v>-100</v>
      </c>
      <c r="P38" s="37" t="s">
        <v>77</v>
      </c>
    </row>
    <row r="39" spans="1:16" ht="19.5" hidden="1">
      <c r="A39" s="31" t="s">
        <v>78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3">
        <v>0</v>
      </c>
      <c r="I39" s="34">
        <f t="shared" si="10"/>
        <v>0</v>
      </c>
      <c r="J39" s="34">
        <f t="shared" si="11"/>
        <v>0</v>
      </c>
      <c r="K39" s="34">
        <f t="shared" si="12"/>
        <v>0</v>
      </c>
      <c r="L39" s="34">
        <f t="shared" si="13"/>
        <v>0</v>
      </c>
      <c r="M39" s="34">
        <f t="shared" si="14"/>
        <v>0</v>
      </c>
      <c r="N39" s="35">
        <f t="shared" si="15"/>
        <v>0</v>
      </c>
      <c r="O39" s="36" t="e">
        <f t="shared" si="9"/>
        <v>#DIV/0!</v>
      </c>
      <c r="P39" s="37" t="s">
        <v>79</v>
      </c>
    </row>
    <row r="40" spans="1:16" ht="19.5">
      <c r="A40" s="31" t="s">
        <v>80</v>
      </c>
      <c r="B40" s="32">
        <v>54000</v>
      </c>
      <c r="C40" s="32">
        <v>52000</v>
      </c>
      <c r="D40" s="32">
        <v>24000</v>
      </c>
      <c r="E40" s="32">
        <v>12000</v>
      </c>
      <c r="F40" s="32">
        <v>12000</v>
      </c>
      <c r="G40" s="32">
        <v>0</v>
      </c>
      <c r="H40" s="33">
        <v>24000</v>
      </c>
      <c r="I40" s="34">
        <f t="shared" si="10"/>
        <v>4.9904540522325495E-4</v>
      </c>
      <c r="J40" s="34">
        <f t="shared" si="11"/>
        <v>1.5323961607676588E-4</v>
      </c>
      <c r="K40" s="34">
        <f t="shared" si="12"/>
        <v>5.4487555911386621E-5</v>
      </c>
      <c r="L40" s="34">
        <f t="shared" si="13"/>
        <v>4.8271772304653944E-5</v>
      </c>
      <c r="M40" s="34">
        <f t="shared" si="14"/>
        <v>0</v>
      </c>
      <c r="N40" s="35">
        <f t="shared" si="15"/>
        <v>7.2628147795085588E-5</v>
      </c>
      <c r="O40" s="10" t="s">
        <v>139</v>
      </c>
      <c r="P40" s="37" t="s">
        <v>81</v>
      </c>
    </row>
    <row r="41" spans="1:16" ht="22.5" customHeight="1">
      <c r="A41" s="31" t="s">
        <v>82</v>
      </c>
      <c r="B41" s="32">
        <v>7489192.6899999203</v>
      </c>
      <c r="C41" s="32">
        <v>5695240.2600000007</v>
      </c>
      <c r="D41" s="32">
        <v>396692.32999999996</v>
      </c>
      <c r="E41" s="32">
        <v>406193.52</v>
      </c>
      <c r="F41" s="32">
        <v>276678.59999999992</v>
      </c>
      <c r="G41" s="32">
        <v>267678.59999999998</v>
      </c>
      <c r="H41" s="33">
        <v>335678.59999999992</v>
      </c>
      <c r="I41" s="34">
        <f t="shared" si="10"/>
        <v>5.4657374680682616E-2</v>
      </c>
      <c r="J41" s="34">
        <f t="shared" si="11"/>
        <v>2.5328741812415713E-3</v>
      </c>
      <c r="K41" s="34">
        <f t="shared" si="12"/>
        <v>1.8443743443202452E-3</v>
      </c>
      <c r="L41" s="34">
        <f t="shared" si="13"/>
        <v>1.1129805317308687E-3</v>
      </c>
      <c r="M41" s="34">
        <f t="shared" si="14"/>
        <v>9.5258602323845093E-4</v>
      </c>
      <c r="N41" s="35">
        <f t="shared" si="15"/>
        <v>1.0158214571853088E-3</v>
      </c>
      <c r="O41" s="36">
        <f t="shared" si="9"/>
        <v>25.403599690076064</v>
      </c>
      <c r="P41" s="37" t="s">
        <v>83</v>
      </c>
    </row>
    <row r="42" spans="1:16" ht="19.5">
      <c r="A42" s="31" t="s">
        <v>84</v>
      </c>
      <c r="B42" s="32">
        <v>2805362</v>
      </c>
      <c r="C42" s="32">
        <v>2336534</v>
      </c>
      <c r="D42" s="32">
        <v>2561088</v>
      </c>
      <c r="E42" s="32">
        <v>2658678</v>
      </c>
      <c r="F42" s="32">
        <v>4846441</v>
      </c>
      <c r="G42" s="32">
        <v>4215912</v>
      </c>
      <c r="H42" s="33">
        <v>3615389</v>
      </c>
      <c r="I42" s="34">
        <f t="shared" si="10"/>
        <v>2.2423779939382937E-2</v>
      </c>
      <c r="J42" s="34">
        <f t="shared" si="11"/>
        <v>1.6352505910783841E-2</v>
      </c>
      <c r="K42" s="34">
        <f t="shared" si="12"/>
        <v>1.2072072181281132E-2</v>
      </c>
      <c r="L42" s="34">
        <f t="shared" si="13"/>
        <v>1.9495524703328281E-2</v>
      </c>
      <c r="M42" s="34">
        <f t="shared" si="14"/>
        <v>1.5003137517916126E-2</v>
      </c>
      <c r="N42" s="35">
        <f t="shared" si="15"/>
        <v>1.0940791942863612E-2</v>
      </c>
      <c r="O42" s="36">
        <f t="shared" si="9"/>
        <v>-14.244201491871744</v>
      </c>
      <c r="P42" s="37"/>
    </row>
    <row r="43" spans="1:16" ht="19.5">
      <c r="A43" s="31" t="s">
        <v>85</v>
      </c>
      <c r="B43" s="32">
        <v>319378590</v>
      </c>
      <c r="C43" s="32">
        <v>243419160</v>
      </c>
      <c r="D43" s="32">
        <v>50155620</v>
      </c>
      <c r="E43" s="32">
        <v>7078000</v>
      </c>
      <c r="F43" s="32">
        <v>6315540</v>
      </c>
      <c r="G43" s="32">
        <v>12600500</v>
      </c>
      <c r="H43" s="33">
        <v>7256500</v>
      </c>
      <c r="I43" s="34">
        <f t="shared" si="10"/>
        <v>2.3361002565635447</v>
      </c>
      <c r="J43" s="34">
        <f t="shared" si="11"/>
        <v>0.32024283137050669</v>
      </c>
      <c r="K43" s="34">
        <f t="shared" si="12"/>
        <v>3.2138576728399551E-2</v>
      </c>
      <c r="L43" s="34">
        <f t="shared" si="13"/>
        <v>2.5405192405077853E-2</v>
      </c>
      <c r="M43" s="34">
        <f t="shared" si="14"/>
        <v>4.4841314120053308E-2</v>
      </c>
      <c r="N43" s="35">
        <f t="shared" si="15"/>
        <v>2.1959423103126607E-2</v>
      </c>
      <c r="O43" s="36">
        <f t="shared" si="9"/>
        <v>-42.411015435895408</v>
      </c>
      <c r="P43" s="37" t="s">
        <v>86</v>
      </c>
    </row>
    <row r="44" spans="1:16" ht="21" customHeight="1">
      <c r="A44" s="31" t="s">
        <v>87</v>
      </c>
      <c r="B44" s="32">
        <v>2131125</v>
      </c>
      <c r="C44" s="32">
        <v>22475</v>
      </c>
      <c r="D44" s="32">
        <v>2100</v>
      </c>
      <c r="E44" s="32">
        <v>0</v>
      </c>
      <c r="F44" s="32">
        <v>0</v>
      </c>
      <c r="G44" s="32">
        <v>0</v>
      </c>
      <c r="H44" s="33">
        <v>0</v>
      </c>
      <c r="I44" s="34">
        <f t="shared" si="10"/>
        <v>2.156931823537049E-4</v>
      </c>
      <c r="J44" s="34">
        <f t="shared" si="11"/>
        <v>1.3408466406717016E-5</v>
      </c>
      <c r="K44" s="34">
        <f t="shared" si="12"/>
        <v>0</v>
      </c>
      <c r="L44" s="34">
        <f t="shared" si="13"/>
        <v>0</v>
      </c>
      <c r="M44" s="34">
        <f t="shared" si="14"/>
        <v>0</v>
      </c>
      <c r="N44" s="35">
        <f t="shared" si="15"/>
        <v>0</v>
      </c>
      <c r="O44" s="10" t="s">
        <v>139</v>
      </c>
      <c r="P44" s="37" t="s">
        <v>88</v>
      </c>
    </row>
    <row r="45" spans="1:16" ht="19.5">
      <c r="A45" s="31" t="s">
        <v>89</v>
      </c>
      <c r="B45" s="32">
        <v>17580224.899999999</v>
      </c>
      <c r="C45" s="32">
        <v>3527158</v>
      </c>
      <c r="D45" s="32">
        <v>2321504.25</v>
      </c>
      <c r="E45" s="32">
        <v>0</v>
      </c>
      <c r="F45" s="32">
        <v>0</v>
      </c>
      <c r="G45" s="32">
        <v>0</v>
      </c>
      <c r="H45" s="33">
        <v>0</v>
      </c>
      <c r="I45" s="34">
        <f t="shared" si="10"/>
        <v>3.3850230642239333E-2</v>
      </c>
      <c r="J45" s="34">
        <f t="shared" si="11"/>
        <v>1.4822767499607514E-2</v>
      </c>
      <c r="K45" s="34">
        <f t="shared" si="12"/>
        <v>0</v>
      </c>
      <c r="L45" s="34">
        <f t="shared" si="13"/>
        <v>0</v>
      </c>
      <c r="M45" s="34">
        <f t="shared" si="14"/>
        <v>0</v>
      </c>
      <c r="N45" s="35">
        <f t="shared" si="15"/>
        <v>0</v>
      </c>
      <c r="O45" s="10" t="s">
        <v>139</v>
      </c>
      <c r="P45" s="37" t="s">
        <v>24</v>
      </c>
    </row>
    <row r="46" spans="1:16" ht="19.5">
      <c r="A46" s="31" t="s">
        <v>90</v>
      </c>
      <c r="B46" s="32">
        <v>615506.92000000027</v>
      </c>
      <c r="C46" s="32">
        <v>364926.9200000001</v>
      </c>
      <c r="D46" s="32">
        <v>299623.19</v>
      </c>
      <c r="E46" s="32">
        <v>79266.919999999984</v>
      </c>
      <c r="F46" s="32">
        <v>60938.969999999972</v>
      </c>
      <c r="G46" s="32">
        <v>38835.24</v>
      </c>
      <c r="H46" s="33">
        <v>42071.509999999995</v>
      </c>
      <c r="I46" s="34">
        <f t="shared" si="10"/>
        <v>3.5022135128514307E-3</v>
      </c>
      <c r="J46" s="34">
        <f t="shared" si="11"/>
        <v>1.9130892751373283E-3</v>
      </c>
      <c r="K46" s="34">
        <f t="shared" si="12"/>
        <v>3.5992172795195086E-4</v>
      </c>
      <c r="L46" s="34">
        <f t="shared" si="13"/>
        <v>2.4513600702667803E-4</v>
      </c>
      <c r="M46" s="34">
        <f t="shared" si="14"/>
        <v>1.3820270590592904E-4</v>
      </c>
      <c r="N46" s="35">
        <f t="shared" si="15"/>
        <v>1.2731566026010088E-4</v>
      </c>
      <c r="O46" s="36">
        <f t="shared" si="9"/>
        <v>8.333333333333325</v>
      </c>
      <c r="P46" s="37" t="s">
        <v>91</v>
      </c>
    </row>
    <row r="47" spans="1:16" ht="19.5">
      <c r="A47" s="31" t="s">
        <v>92</v>
      </c>
      <c r="B47" s="32">
        <v>17461011.800000004</v>
      </c>
      <c r="C47" s="32">
        <v>8867455.7400000002</v>
      </c>
      <c r="D47" s="32">
        <v>11772213.02</v>
      </c>
      <c r="E47" s="32">
        <v>15362219.560000001</v>
      </c>
      <c r="F47" s="32">
        <v>3459737</v>
      </c>
      <c r="G47" s="32">
        <v>1343818</v>
      </c>
      <c r="H47" s="33">
        <v>1355721</v>
      </c>
      <c r="I47" s="34">
        <f t="shared" si="10"/>
        <v>8.5101212366684192E-2</v>
      </c>
      <c r="J47" s="34">
        <f t="shared" si="11"/>
        <v>7.5165391814946025E-2</v>
      </c>
      <c r="K47" s="34">
        <f t="shared" si="12"/>
        <v>6.9754149766541443E-2</v>
      </c>
      <c r="L47" s="34">
        <f t="shared" si="13"/>
        <v>1.3917303058165546E-2</v>
      </c>
      <c r="M47" s="34">
        <f t="shared" si="14"/>
        <v>4.7822360269974837E-3</v>
      </c>
      <c r="N47" s="35">
        <f t="shared" si="15"/>
        <v>4.1026460482042173E-3</v>
      </c>
      <c r="O47" s="36">
        <f t="shared" si="9"/>
        <v>0.88575982759571126</v>
      </c>
      <c r="P47" s="37" t="s">
        <v>93</v>
      </c>
    </row>
    <row r="48" spans="1:16" ht="19.5">
      <c r="A48" s="31" t="s">
        <v>94</v>
      </c>
      <c r="B48" s="32">
        <v>1205.75</v>
      </c>
      <c r="C48" s="41">
        <v>0</v>
      </c>
      <c r="D48" s="41">
        <v>0</v>
      </c>
      <c r="E48" s="41">
        <v>0</v>
      </c>
      <c r="F48" s="41">
        <v>0</v>
      </c>
      <c r="G48" s="41">
        <v>15138.15</v>
      </c>
      <c r="H48" s="42">
        <v>0</v>
      </c>
      <c r="I48" s="34">
        <f t="shared" si="10"/>
        <v>0</v>
      </c>
      <c r="J48" s="34">
        <f t="shared" si="11"/>
        <v>0</v>
      </c>
      <c r="K48" s="34">
        <f t="shared" si="12"/>
        <v>0</v>
      </c>
      <c r="L48" s="34">
        <f t="shared" si="13"/>
        <v>0</v>
      </c>
      <c r="M48" s="34">
        <f t="shared" si="14"/>
        <v>5.3872032010355536E-5</v>
      </c>
      <c r="N48" s="35">
        <f t="shared" si="15"/>
        <v>0</v>
      </c>
      <c r="O48" s="36">
        <f t="shared" si="9"/>
        <v>-100</v>
      </c>
      <c r="P48" s="37" t="s">
        <v>95</v>
      </c>
    </row>
    <row r="49" spans="1:17" ht="19.5" hidden="1">
      <c r="A49" s="31" t="s">
        <v>96</v>
      </c>
      <c r="B49" s="32">
        <v>0</v>
      </c>
      <c r="C49" s="32"/>
      <c r="D49" s="32">
        <v>0</v>
      </c>
      <c r="E49" s="32">
        <v>0</v>
      </c>
      <c r="F49" s="32">
        <v>0</v>
      </c>
      <c r="G49" s="32">
        <v>0</v>
      </c>
      <c r="H49" s="33">
        <v>0</v>
      </c>
      <c r="I49" s="34">
        <f t="shared" si="10"/>
        <v>0</v>
      </c>
      <c r="J49" s="34">
        <f t="shared" si="11"/>
        <v>0</v>
      </c>
      <c r="K49" s="34">
        <f t="shared" si="12"/>
        <v>0</v>
      </c>
      <c r="L49" s="34">
        <f t="shared" si="13"/>
        <v>0</v>
      </c>
      <c r="M49" s="34">
        <f t="shared" si="14"/>
        <v>0</v>
      </c>
      <c r="N49" s="35">
        <f t="shared" si="15"/>
        <v>0</v>
      </c>
      <c r="O49" s="36" t="e">
        <f t="shared" si="9"/>
        <v>#DIV/0!</v>
      </c>
      <c r="P49" s="37" t="s">
        <v>97</v>
      </c>
    </row>
    <row r="50" spans="1:17" ht="18.75">
      <c r="A50" s="31" t="s">
        <v>98</v>
      </c>
      <c r="B50" s="32">
        <v>1515800</v>
      </c>
      <c r="C50" s="32">
        <v>2455200</v>
      </c>
      <c r="D50" s="32">
        <v>2483600</v>
      </c>
      <c r="E50" s="32">
        <v>2823600</v>
      </c>
      <c r="F50" s="32">
        <v>2737600</v>
      </c>
      <c r="G50" s="32">
        <v>874800</v>
      </c>
      <c r="H50" s="33">
        <v>200</v>
      </c>
      <c r="I50" s="34">
        <f t="shared" si="10"/>
        <v>2.3562620748156453E-2</v>
      </c>
      <c r="J50" s="34">
        <f t="shared" si="11"/>
        <v>1.5857746270343989E-2</v>
      </c>
      <c r="K50" s="34">
        <f t="shared" si="12"/>
        <v>1.2820921905949275E-2</v>
      </c>
      <c r="L50" s="34">
        <f t="shared" si="13"/>
        <v>1.1012400321768388E-2</v>
      </c>
      <c r="M50" s="34">
        <f t="shared" si="14"/>
        <v>3.1131448428413661E-3</v>
      </c>
      <c r="N50" s="35">
        <f t="shared" ref="N50:N68" si="16">H50/H$7*100</f>
        <v>6.0523456495904656E-7</v>
      </c>
      <c r="O50" s="36">
        <f t="shared" si="9"/>
        <v>-99.977137631458618</v>
      </c>
      <c r="P50" s="1" t="s">
        <v>99</v>
      </c>
    </row>
    <row r="51" spans="1:17" ht="18.75">
      <c r="A51" s="31" t="s">
        <v>100</v>
      </c>
      <c r="B51" s="32">
        <v>6136000</v>
      </c>
      <c r="C51" s="41">
        <v>0</v>
      </c>
      <c r="D51" s="32">
        <v>0</v>
      </c>
      <c r="E51" s="32">
        <v>16862000</v>
      </c>
      <c r="F51" s="32">
        <v>1530999.9999999998</v>
      </c>
      <c r="G51" s="32">
        <v>15330000</v>
      </c>
      <c r="H51" s="33">
        <v>0</v>
      </c>
      <c r="I51" s="34">
        <f t="shared" si="10"/>
        <v>0</v>
      </c>
      <c r="J51" s="34">
        <f t="shared" si="11"/>
        <v>0</v>
      </c>
      <c r="K51" s="34">
        <f t="shared" si="12"/>
        <v>7.6564097314816781E-2</v>
      </c>
      <c r="L51" s="34">
        <f t="shared" si="13"/>
        <v>6.158673616535432E-3</v>
      </c>
      <c r="M51" s="34">
        <f t="shared" si="14"/>
        <v>5.4554767307679629E-2</v>
      </c>
      <c r="N51" s="35">
        <f t="shared" si="16"/>
        <v>0</v>
      </c>
      <c r="O51" s="36">
        <f t="shared" si="9"/>
        <v>-100</v>
      </c>
      <c r="P51" s="1" t="s">
        <v>25</v>
      </c>
      <c r="Q51" s="12" t="s">
        <v>101</v>
      </c>
    </row>
    <row r="52" spans="1:17" ht="19.5">
      <c r="A52" s="31" t="s">
        <v>102</v>
      </c>
      <c r="B52" s="32">
        <v>1646551366.4556053</v>
      </c>
      <c r="C52" s="32">
        <v>702177427.79410005</v>
      </c>
      <c r="D52" s="32">
        <v>2072265268.9057002</v>
      </c>
      <c r="E52" s="32">
        <v>1921185842.3618999</v>
      </c>
      <c r="F52" s="32">
        <v>1764632124.0801997</v>
      </c>
      <c r="G52" s="32">
        <v>1883543104.6684999</v>
      </c>
      <c r="H52" s="33">
        <v>2066968516.4863997</v>
      </c>
      <c r="I52" s="34">
        <f t="shared" si="10"/>
        <v>6.7388157498486434</v>
      </c>
      <c r="J52" s="34">
        <f t="shared" si="11"/>
        <v>13.231380592346898</v>
      </c>
      <c r="K52" s="34">
        <f t="shared" si="12"/>
        <v>8.723393416821537</v>
      </c>
      <c r="L52" s="34">
        <f t="shared" si="13"/>
        <v>7.0984933412564386</v>
      </c>
      <c r="M52" s="34">
        <f t="shared" si="14"/>
        <v>6.7029521062736119</v>
      </c>
      <c r="N52" s="35">
        <f t="shared" si="16"/>
        <v>6.2550039542984601</v>
      </c>
      <c r="O52" s="36">
        <f t="shared" si="9"/>
        <v>9.7383177142729807</v>
      </c>
      <c r="P52" s="37" t="s">
        <v>103</v>
      </c>
    </row>
    <row r="53" spans="1:17" ht="19.5" hidden="1">
      <c r="A53" s="31" t="s">
        <v>104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3">
        <v>0</v>
      </c>
      <c r="I53" s="34">
        <f t="shared" ref="I53:I68" si="17">C53/C$7*100</f>
        <v>0</v>
      </c>
      <c r="J53" s="34">
        <f t="shared" ref="J53:J68" si="18">D53/D$7*100</f>
        <v>0</v>
      </c>
      <c r="K53" s="34">
        <f t="shared" ref="K53:K68" si="19">E53/E$7*100</f>
        <v>0</v>
      </c>
      <c r="L53" s="34">
        <f t="shared" ref="L53:L68" si="20">F53/F$7*100</f>
        <v>0</v>
      </c>
      <c r="M53" s="34">
        <f t="shared" ref="M53:M54" si="21">G53/G$7*100</f>
        <v>0</v>
      </c>
      <c r="N53" s="35">
        <f t="shared" si="16"/>
        <v>0</v>
      </c>
      <c r="O53" s="36" t="e">
        <f t="shared" si="9"/>
        <v>#DIV/0!</v>
      </c>
      <c r="P53" s="37" t="s">
        <v>105</v>
      </c>
    </row>
    <row r="54" spans="1:17" ht="19.5">
      <c r="A54" s="31" t="s">
        <v>106</v>
      </c>
      <c r="B54" s="32">
        <v>1957300</v>
      </c>
      <c r="C54" s="32">
        <v>1684088.22</v>
      </c>
      <c r="D54" s="32">
        <v>1942700</v>
      </c>
      <c r="E54" s="32">
        <v>2384850</v>
      </c>
      <c r="F54" s="32">
        <v>2414950</v>
      </c>
      <c r="G54" s="32">
        <v>1653050</v>
      </c>
      <c r="H54" s="33">
        <v>23200</v>
      </c>
      <c r="I54" s="34">
        <f t="shared" si="17"/>
        <v>1.6162240157338654E-2</v>
      </c>
      <c r="J54" s="34">
        <f t="shared" si="18"/>
        <v>1.2404108423013878E-2</v>
      </c>
      <c r="K54" s="34">
        <f t="shared" si="19"/>
        <v>1.08287206429392E-2</v>
      </c>
      <c r="L54" s="34">
        <f t="shared" si="20"/>
        <v>9.7144930439270055E-3</v>
      </c>
      <c r="M54" s="34">
        <f t="shared" si="21"/>
        <v>5.8826978537481946E-3</v>
      </c>
      <c r="N54" s="35">
        <f t="shared" si="16"/>
        <v>7.0207209535249409E-5</v>
      </c>
      <c r="O54" s="36">
        <f t="shared" si="9"/>
        <v>-98.596533680166971</v>
      </c>
      <c r="P54" s="37" t="s">
        <v>107</v>
      </c>
    </row>
    <row r="55" spans="1:17" ht="24.75" hidden="1" customHeight="1">
      <c r="A55" s="31" t="s">
        <v>108</v>
      </c>
      <c r="B55" s="32">
        <v>0</v>
      </c>
      <c r="C55" s="32">
        <v>0</v>
      </c>
      <c r="D55" s="32">
        <v>0</v>
      </c>
      <c r="E55" s="32">
        <v>0</v>
      </c>
      <c r="F55" s="32">
        <v>0</v>
      </c>
      <c r="G55" s="32">
        <v>0</v>
      </c>
      <c r="H55" s="33">
        <v>0</v>
      </c>
      <c r="I55" s="34">
        <f t="shared" si="17"/>
        <v>0</v>
      </c>
      <c r="J55" s="34">
        <f t="shared" si="18"/>
        <v>0</v>
      </c>
      <c r="K55" s="34">
        <f t="shared" si="19"/>
        <v>0</v>
      </c>
      <c r="L55" s="34">
        <f t="shared" si="20"/>
        <v>0</v>
      </c>
      <c r="M55" s="34">
        <f t="shared" ref="M55:M68" si="22">G55/G$7*100</f>
        <v>0</v>
      </c>
      <c r="N55" s="35">
        <f t="shared" si="16"/>
        <v>0</v>
      </c>
      <c r="O55" s="36" t="e">
        <f t="shared" si="9"/>
        <v>#DIV/0!</v>
      </c>
      <c r="P55" s="37" t="s">
        <v>109</v>
      </c>
    </row>
    <row r="56" spans="1:17" ht="19.5">
      <c r="A56" s="31" t="s">
        <v>110</v>
      </c>
      <c r="B56" s="32">
        <v>10240781.280000003</v>
      </c>
      <c r="C56" s="32">
        <v>3136308.9299999997</v>
      </c>
      <c r="D56" s="32">
        <v>5448162.4500000011</v>
      </c>
      <c r="E56" s="32">
        <v>4915938.79</v>
      </c>
      <c r="F56" s="32">
        <v>3828036.1</v>
      </c>
      <c r="G56" s="32">
        <v>2965131.9</v>
      </c>
      <c r="H56" s="33">
        <v>2791713.13</v>
      </c>
      <c r="I56" s="34">
        <f t="shared" si="17"/>
        <v>3.0099241555330059E-2</v>
      </c>
      <c r="J56" s="34">
        <f t="shared" si="18"/>
        <v>3.4786430090077182E-2</v>
      </c>
      <c r="K56" s="34">
        <f t="shared" si="19"/>
        <v>2.2321457473089945E-2</v>
      </c>
      <c r="L56" s="34">
        <f t="shared" si="20"/>
        <v>1.5398840582766292E-2</v>
      </c>
      <c r="M56" s="34">
        <f t="shared" si="22"/>
        <v>1.0551994836339073E-2</v>
      </c>
      <c r="N56" s="35">
        <f t="shared" si="16"/>
        <v>8.448206408630041E-3</v>
      </c>
      <c r="O56" s="36">
        <f t="shared" si="9"/>
        <v>-5.8486022156383655</v>
      </c>
      <c r="P56" s="37" t="s">
        <v>111</v>
      </c>
    </row>
    <row r="57" spans="1:17" ht="19.5">
      <c r="A57" s="31" t="s">
        <v>112</v>
      </c>
      <c r="B57" s="32">
        <v>107432467.20999999</v>
      </c>
      <c r="C57" s="32">
        <v>102966321.18999998</v>
      </c>
      <c r="D57" s="32">
        <v>112957794.64</v>
      </c>
      <c r="E57" s="32">
        <v>129870432.02000001</v>
      </c>
      <c r="F57" s="32">
        <v>0</v>
      </c>
      <c r="G57" s="32">
        <v>0</v>
      </c>
      <c r="H57" s="33">
        <v>0</v>
      </c>
      <c r="I57" s="34">
        <f t="shared" si="17"/>
        <v>0.98817056697329542</v>
      </c>
      <c r="J57" s="34">
        <f t="shared" si="18"/>
        <v>0.72123371181299023</v>
      </c>
      <c r="K57" s="34">
        <f t="shared" si="19"/>
        <v>0.58969353549380732</v>
      </c>
      <c r="L57" s="34">
        <f t="shared" si="20"/>
        <v>0</v>
      </c>
      <c r="M57" s="34">
        <f t="shared" si="22"/>
        <v>0</v>
      </c>
      <c r="N57" s="35">
        <f t="shared" si="16"/>
        <v>0</v>
      </c>
      <c r="O57" s="10" t="s">
        <v>139</v>
      </c>
      <c r="P57" s="37" t="s">
        <v>113</v>
      </c>
    </row>
    <row r="58" spans="1:17" ht="24" customHeight="1">
      <c r="A58" s="31" t="s">
        <v>114</v>
      </c>
      <c r="B58" s="32">
        <v>27258582.329999998</v>
      </c>
      <c r="C58" s="32">
        <v>25058472.93</v>
      </c>
      <c r="D58" s="32">
        <v>26417397.909999996</v>
      </c>
      <c r="E58" s="32">
        <v>26969076.540000003</v>
      </c>
      <c r="F58" s="32">
        <v>2469558.75</v>
      </c>
      <c r="G58" s="32">
        <v>1580250</v>
      </c>
      <c r="H58" s="33">
        <v>1613115</v>
      </c>
      <c r="I58" s="34">
        <f t="shared" si="17"/>
        <v>0.24048684187745797</v>
      </c>
      <c r="J58" s="34">
        <f t="shared" si="18"/>
        <v>0.16867466306148154</v>
      </c>
      <c r="K58" s="34">
        <f t="shared" si="19"/>
        <v>0.12245658882097631</v>
      </c>
      <c r="L58" s="34">
        <f t="shared" si="20"/>
        <v>9.9341648060804859E-3</v>
      </c>
      <c r="M58" s="34">
        <f t="shared" si="22"/>
        <v>5.6236249861683456E-3</v>
      </c>
      <c r="N58" s="35">
        <f t="shared" si="16"/>
        <v>4.8815647762695622E-3</v>
      </c>
      <c r="O58" s="36">
        <f t="shared" si="9"/>
        <v>2.0797342192691026</v>
      </c>
      <c r="P58" s="37" t="s">
        <v>115</v>
      </c>
    </row>
    <row r="59" spans="1:17" ht="19.5" hidden="1" customHeight="1">
      <c r="A59" s="31" t="s">
        <v>116</v>
      </c>
      <c r="B59" s="32">
        <v>0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3">
        <v>0</v>
      </c>
      <c r="I59" s="34">
        <f t="shared" si="17"/>
        <v>0</v>
      </c>
      <c r="J59" s="34">
        <f t="shared" si="18"/>
        <v>0</v>
      </c>
      <c r="K59" s="34">
        <f t="shared" si="19"/>
        <v>0</v>
      </c>
      <c r="L59" s="34">
        <f t="shared" si="20"/>
        <v>0</v>
      </c>
      <c r="M59" s="34">
        <f t="shared" si="22"/>
        <v>0</v>
      </c>
      <c r="N59" s="35">
        <f t="shared" si="16"/>
        <v>0</v>
      </c>
      <c r="O59" s="36" t="e">
        <f t="shared" si="9"/>
        <v>#DIV/0!</v>
      </c>
      <c r="P59" s="37" t="s">
        <v>117</v>
      </c>
    </row>
    <row r="60" spans="1:17" ht="24" customHeight="1">
      <c r="A60" s="31" t="s">
        <v>118</v>
      </c>
      <c r="B60" s="32">
        <v>160000</v>
      </c>
      <c r="C60" s="32">
        <v>130000</v>
      </c>
      <c r="D60" s="32">
        <v>105000</v>
      </c>
      <c r="E60" s="32">
        <v>90000</v>
      </c>
      <c r="F60" s="32">
        <v>5000</v>
      </c>
      <c r="G60" s="32">
        <v>105000</v>
      </c>
      <c r="H60" s="33">
        <v>200000</v>
      </c>
      <c r="I60" s="34">
        <f t="shared" si="17"/>
        <v>1.2476135130581375E-3</v>
      </c>
      <c r="J60" s="34">
        <f t="shared" si="18"/>
        <v>6.704233203358508E-4</v>
      </c>
      <c r="K60" s="34">
        <f t="shared" si="19"/>
        <v>4.0865666933539974E-4</v>
      </c>
      <c r="L60" s="34">
        <f t="shared" si="20"/>
        <v>2.0113238460272479E-5</v>
      </c>
      <c r="M60" s="34">
        <f t="shared" si="22"/>
        <v>3.7366278977862762E-4</v>
      </c>
      <c r="N60" s="35">
        <f t="shared" si="16"/>
        <v>6.0523456495904652E-4</v>
      </c>
      <c r="O60" s="36">
        <f t="shared" si="9"/>
        <v>90.476190476190467</v>
      </c>
      <c r="P60" s="37" t="s">
        <v>141</v>
      </c>
    </row>
    <row r="61" spans="1:17" ht="24" customHeight="1">
      <c r="A61" s="31" t="s">
        <v>119</v>
      </c>
      <c r="B61" s="32">
        <v>647000</v>
      </c>
      <c r="C61" s="32">
        <v>519000</v>
      </c>
      <c r="D61" s="32">
        <v>1263500</v>
      </c>
      <c r="E61" s="32">
        <v>466000</v>
      </c>
      <c r="F61" s="32">
        <v>500</v>
      </c>
      <c r="G61" s="32">
        <v>110000</v>
      </c>
      <c r="H61" s="33">
        <v>5000</v>
      </c>
      <c r="I61" s="34">
        <f t="shared" si="17"/>
        <v>4.980857025209025E-3</v>
      </c>
      <c r="J61" s="34">
        <f t="shared" si="18"/>
        <v>8.0674272880414052E-3</v>
      </c>
      <c r="K61" s="34">
        <f t="shared" si="19"/>
        <v>2.1159334212255141E-3</v>
      </c>
      <c r="L61" s="34">
        <f t="shared" si="20"/>
        <v>2.0113238460272478E-6</v>
      </c>
      <c r="M61" s="34">
        <f t="shared" si="22"/>
        <v>3.9145625595856228E-4</v>
      </c>
      <c r="N61" s="35">
        <f t="shared" si="16"/>
        <v>1.5130864123976165E-5</v>
      </c>
      <c r="O61" s="36">
        <f t="shared" si="9"/>
        <v>-95.454545454545453</v>
      </c>
      <c r="P61" s="37" t="s">
        <v>142</v>
      </c>
    </row>
    <row r="62" spans="1:17" ht="24" customHeight="1">
      <c r="A62" s="31" t="s">
        <v>120</v>
      </c>
      <c r="B62" s="32">
        <v>5619006.6000000015</v>
      </c>
      <c r="C62" s="32">
        <v>6301806.3499999996</v>
      </c>
      <c r="D62" s="32">
        <v>8304883.1099999994</v>
      </c>
      <c r="E62" s="32">
        <v>5066125.55</v>
      </c>
      <c r="F62" s="32">
        <v>4900346.55</v>
      </c>
      <c r="G62" s="32">
        <v>5891173.6500000004</v>
      </c>
      <c r="H62" s="33">
        <v>5638433.7999999989</v>
      </c>
      <c r="I62" s="34">
        <f t="shared" si="17"/>
        <v>6.0478605837965979E-2</v>
      </c>
      <c r="J62" s="34">
        <f t="shared" si="18"/>
        <v>5.3026545805784059E-2</v>
      </c>
      <c r="K62" s="34">
        <f t="shared" si="19"/>
        <v>2.3003399929977447E-2</v>
      </c>
      <c r="L62" s="34">
        <f t="shared" si="20"/>
        <v>1.971236773962471E-2</v>
      </c>
      <c r="M62" s="34">
        <f t="shared" si="22"/>
        <v>2.0964879820279433E-2</v>
      </c>
      <c r="N62" s="35">
        <f t="shared" si="16"/>
        <v>1.7062875139966915E-2</v>
      </c>
      <c r="O62" s="36">
        <f t="shared" si="9"/>
        <v>-4.2901442906881808</v>
      </c>
      <c r="P62" s="37" t="s">
        <v>143</v>
      </c>
    </row>
    <row r="63" spans="1:17" ht="24" customHeight="1">
      <c r="A63" s="31" t="s">
        <v>121</v>
      </c>
      <c r="B63" s="32">
        <v>105000</v>
      </c>
      <c r="C63" s="32">
        <v>95000</v>
      </c>
      <c r="D63" s="32">
        <v>120000</v>
      </c>
      <c r="E63" s="32">
        <v>155000</v>
      </c>
      <c r="F63" s="32">
        <v>60000</v>
      </c>
      <c r="G63" s="32">
        <v>110000</v>
      </c>
      <c r="H63" s="33">
        <v>135000</v>
      </c>
      <c r="I63" s="34">
        <f t="shared" si="17"/>
        <v>9.117175672347926E-4</v>
      </c>
      <c r="J63" s="34">
        <f t="shared" si="18"/>
        <v>7.6619808038382942E-4</v>
      </c>
      <c r="K63" s="34">
        <f t="shared" si="19"/>
        <v>7.0379759718874392E-4</v>
      </c>
      <c r="L63" s="34">
        <f t="shared" si="20"/>
        <v>2.4135886152326977E-4</v>
      </c>
      <c r="M63" s="34">
        <f t="shared" si="22"/>
        <v>3.9145625595856228E-4</v>
      </c>
      <c r="N63" s="35">
        <f t="shared" si="16"/>
        <v>4.0853333134735639E-4</v>
      </c>
      <c r="O63" s="36">
        <f t="shared" si="9"/>
        <v>22.72727272727273</v>
      </c>
      <c r="P63" s="37" t="s">
        <v>144</v>
      </c>
    </row>
    <row r="64" spans="1:17" ht="24" customHeight="1">
      <c r="A64" s="31" t="s">
        <v>122</v>
      </c>
      <c r="B64" s="32">
        <v>460000</v>
      </c>
      <c r="C64" s="32">
        <v>620000</v>
      </c>
      <c r="D64" s="32">
        <v>510000</v>
      </c>
      <c r="E64" s="32">
        <v>580000</v>
      </c>
      <c r="F64" s="32">
        <v>310000</v>
      </c>
      <c r="G64" s="32">
        <v>70000</v>
      </c>
      <c r="H64" s="33">
        <v>800000</v>
      </c>
      <c r="I64" s="34">
        <f t="shared" si="17"/>
        <v>5.9501567545849621E-3</v>
      </c>
      <c r="J64" s="34">
        <f t="shared" si="18"/>
        <v>3.2563418416312754E-3</v>
      </c>
      <c r="K64" s="34">
        <f t="shared" si="19"/>
        <v>2.6335652023836871E-3</v>
      </c>
      <c r="L64" s="34">
        <f t="shared" si="20"/>
        <v>1.2470207845368937E-3</v>
      </c>
      <c r="M64" s="34">
        <f t="shared" si="22"/>
        <v>2.4910852651908511E-4</v>
      </c>
      <c r="N64" s="35">
        <f t="shared" si="16"/>
        <v>2.4209382598361861E-3</v>
      </c>
      <c r="O64" s="11" t="s">
        <v>140</v>
      </c>
      <c r="P64" s="37" t="s">
        <v>145</v>
      </c>
    </row>
    <row r="65" spans="1:18" ht="24" customHeight="1">
      <c r="A65" s="31" t="s">
        <v>123</v>
      </c>
      <c r="B65" s="32">
        <v>0</v>
      </c>
      <c r="C65" s="32">
        <v>69120</v>
      </c>
      <c r="D65" s="32">
        <v>1105715.1173</v>
      </c>
      <c r="E65" s="32">
        <v>942307.5</v>
      </c>
      <c r="F65" s="32">
        <v>479035</v>
      </c>
      <c r="G65" s="32">
        <v>997120</v>
      </c>
      <c r="H65" s="33">
        <v>1183270</v>
      </c>
      <c r="I65" s="34">
        <f t="shared" si="17"/>
        <v>6.6334650786598808E-4</v>
      </c>
      <c r="J65" s="34">
        <f t="shared" si="18"/>
        <v>7.0599733360553404E-3</v>
      </c>
      <c r="K65" s="34">
        <f t="shared" si="19"/>
        <v>4.2786693826640798E-3</v>
      </c>
      <c r="L65" s="34">
        <f t="shared" si="20"/>
        <v>1.9269890371633254E-3</v>
      </c>
      <c r="M65" s="34">
        <f t="shared" si="22"/>
        <v>3.5484441994672873E-3</v>
      </c>
      <c r="N65" s="35">
        <f t="shared" si="16"/>
        <v>3.5807795183954551E-3</v>
      </c>
      <c r="O65" s="36">
        <f t="shared" si="9"/>
        <v>18.668766046213104</v>
      </c>
      <c r="P65" s="37" t="s">
        <v>146</v>
      </c>
    </row>
    <row r="66" spans="1:18" ht="24" customHeight="1">
      <c r="A66" s="31" t="s">
        <v>124</v>
      </c>
      <c r="B66" s="32">
        <v>0</v>
      </c>
      <c r="C66" s="32">
        <v>1029500</v>
      </c>
      <c r="D66" s="32">
        <v>2556500</v>
      </c>
      <c r="E66" s="32">
        <v>2981000</v>
      </c>
      <c r="F66" s="32">
        <v>2293150</v>
      </c>
      <c r="G66" s="32">
        <v>536000</v>
      </c>
      <c r="H66" s="33">
        <v>50</v>
      </c>
      <c r="I66" s="34">
        <f t="shared" si="17"/>
        <v>9.880139320718094E-3</v>
      </c>
      <c r="J66" s="34">
        <f t="shared" si="18"/>
        <v>1.6323211604177167E-2</v>
      </c>
      <c r="K66" s="34">
        <f t="shared" si="19"/>
        <v>1.3535617014320296E-2</v>
      </c>
      <c r="L66" s="34">
        <f t="shared" si="20"/>
        <v>9.2245345550347677E-3</v>
      </c>
      <c r="M66" s="34">
        <f t="shared" si="22"/>
        <v>1.9074595744889944E-3</v>
      </c>
      <c r="N66" s="35">
        <f t="shared" si="16"/>
        <v>1.5130864123976164E-7</v>
      </c>
      <c r="O66" s="36">
        <f t="shared" si="9"/>
        <v>-99.990671641791039</v>
      </c>
      <c r="P66" s="37" t="s">
        <v>147</v>
      </c>
    </row>
    <row r="67" spans="1:18" ht="24" customHeight="1">
      <c r="A67" s="31" t="s">
        <v>125</v>
      </c>
      <c r="B67" s="32">
        <v>0</v>
      </c>
      <c r="C67" s="32">
        <v>0</v>
      </c>
      <c r="D67" s="32">
        <v>325423600</v>
      </c>
      <c r="E67" s="32">
        <v>486563100</v>
      </c>
      <c r="F67" s="32">
        <v>573307350</v>
      </c>
      <c r="G67" s="32">
        <v>670932300</v>
      </c>
      <c r="H67" s="33">
        <v>783500950</v>
      </c>
      <c r="I67" s="34">
        <f t="shared" si="17"/>
        <v>0</v>
      </c>
      <c r="J67" s="34">
        <f t="shared" si="18"/>
        <v>2.0778244802632928</v>
      </c>
      <c r="K67" s="34">
        <f t="shared" si="19"/>
        <v>2.2093028429723005</v>
      </c>
      <c r="L67" s="34">
        <f t="shared" si="20"/>
        <v>2.3062134883153793</v>
      </c>
      <c r="M67" s="34">
        <f t="shared" si="22"/>
        <v>2.3876422378151534</v>
      </c>
      <c r="N67" s="35">
        <f t="shared" si="16"/>
        <v>2.3710092830912486</v>
      </c>
      <c r="O67" s="36">
        <f t="shared" si="9"/>
        <v>16.777944659990297</v>
      </c>
      <c r="P67" s="37" t="s">
        <v>26</v>
      </c>
    </row>
    <row r="68" spans="1:18" ht="24" customHeight="1">
      <c r="A68" s="31" t="s">
        <v>126</v>
      </c>
      <c r="B68" s="43">
        <v>3608957.3200000003</v>
      </c>
      <c r="C68" s="43">
        <v>456990.92000000004</v>
      </c>
      <c r="D68" s="43">
        <v>1736169.3795000166</v>
      </c>
      <c r="E68" s="43">
        <v>7507882.6960000247</v>
      </c>
      <c r="F68" s="43">
        <v>498421526.47820002</v>
      </c>
      <c r="G68" s="43">
        <v>576824049.94700003</v>
      </c>
      <c r="H68" s="44">
        <v>601310697.21010005</v>
      </c>
      <c r="I68" s="45">
        <f t="shared" si="17"/>
        <v>4.3857542087451561E-3</v>
      </c>
      <c r="J68" s="45">
        <f t="shared" si="18"/>
        <v>1.1085413714950807E-2</v>
      </c>
      <c r="K68" s="45">
        <f t="shared" si="19"/>
        <v>3.4090514847869464E-2</v>
      </c>
      <c r="L68" s="45">
        <f t="shared" si="20"/>
        <v>2.0049742031578099</v>
      </c>
      <c r="M68" s="45">
        <f t="shared" si="22"/>
        <v>2.0527398449009757</v>
      </c>
      <c r="N68" s="46">
        <f t="shared" si="16"/>
        <v>1.8196700911558794</v>
      </c>
      <c r="O68" s="47">
        <f t="shared" si="9"/>
        <v>4.2450808466377055</v>
      </c>
      <c r="P68" s="48" t="s">
        <v>2</v>
      </c>
    </row>
    <row r="69" spans="1:18" ht="14.25" customHeight="1">
      <c r="A69" s="58"/>
      <c r="B69" s="58"/>
      <c r="C69" s="58"/>
      <c r="D69" s="57"/>
      <c r="E69" s="57"/>
      <c r="F69" s="57"/>
      <c r="G69" s="57"/>
      <c r="H69" s="57"/>
      <c r="I69" s="49"/>
      <c r="J69" s="49"/>
      <c r="K69" s="49"/>
      <c r="L69" s="49"/>
      <c r="M69" s="49"/>
      <c r="N69" s="49"/>
      <c r="O69" s="50"/>
      <c r="P69" s="5" t="s">
        <v>127</v>
      </c>
    </row>
    <row r="70" spans="1:18" ht="39.75" customHeight="1">
      <c r="A70" s="57" t="s">
        <v>128</v>
      </c>
      <c r="B70" s="57"/>
      <c r="C70" s="57"/>
      <c r="D70" s="57"/>
      <c r="E70" s="57"/>
      <c r="F70" s="57"/>
      <c r="G70" s="57"/>
      <c r="H70" s="57"/>
      <c r="I70" s="49"/>
      <c r="J70" s="49"/>
      <c r="K70" s="49"/>
      <c r="L70" s="49"/>
      <c r="M70" s="49"/>
      <c r="N70" s="49"/>
      <c r="O70" s="50"/>
      <c r="P70" s="5"/>
      <c r="Q70" s="8"/>
      <c r="R70" s="8"/>
    </row>
    <row r="71" spans="1:18" ht="18.75" customHeight="1">
      <c r="A71" s="57" t="s">
        <v>129</v>
      </c>
      <c r="B71" s="57"/>
      <c r="C71" s="57"/>
      <c r="D71" s="57"/>
      <c r="E71" s="57"/>
      <c r="F71" s="57"/>
      <c r="G71" s="57"/>
      <c r="H71" s="57"/>
      <c r="I71" s="49"/>
      <c r="J71" s="49"/>
      <c r="K71" s="49"/>
      <c r="L71" s="49"/>
      <c r="M71" s="49"/>
      <c r="N71" s="49"/>
      <c r="O71" s="50"/>
      <c r="P71" s="5"/>
      <c r="Q71" s="8"/>
      <c r="R71" s="8"/>
    </row>
    <row r="72" spans="1:18" ht="19.5">
      <c r="A72" s="2" t="s">
        <v>130</v>
      </c>
      <c r="B72" s="32"/>
      <c r="C72" s="32"/>
      <c r="D72" s="32"/>
      <c r="E72" s="32"/>
      <c r="F72" s="32"/>
      <c r="G72" s="32"/>
      <c r="H72" s="32"/>
      <c r="I72" s="49"/>
      <c r="J72" s="49"/>
      <c r="K72" s="49"/>
      <c r="L72" s="49"/>
      <c r="M72" s="49"/>
      <c r="N72" s="49"/>
      <c r="O72" s="50"/>
      <c r="P72" s="37"/>
      <c r="Q72" s="8"/>
      <c r="R72" s="8"/>
    </row>
    <row r="73" spans="1:18" s="52" customFormat="1" ht="18.75">
      <c r="A73" s="9" t="s">
        <v>29</v>
      </c>
      <c r="B73" s="51"/>
      <c r="C73" s="51"/>
      <c r="D73" s="51"/>
      <c r="E73" s="51"/>
      <c r="F73" s="51"/>
      <c r="G73" s="51"/>
      <c r="H73" s="51"/>
      <c r="Q73" s="3"/>
      <c r="R73" s="3"/>
    </row>
    <row r="74" spans="1:18" s="52" customFormat="1" ht="18.75">
      <c r="A74" s="9" t="s">
        <v>30</v>
      </c>
      <c r="B74" s="51"/>
      <c r="C74" s="51"/>
      <c r="D74" s="51"/>
      <c r="E74" s="51"/>
      <c r="F74" s="51"/>
      <c r="G74" s="51"/>
      <c r="H74" s="51"/>
      <c r="Q74" s="3"/>
      <c r="R74" s="3"/>
    </row>
    <row r="75" spans="1:18" ht="19.5" customHeight="1">
      <c r="A75" s="9" t="s">
        <v>31</v>
      </c>
    </row>
    <row r="76" spans="1:18" s="9" customFormat="1" ht="19.5" customHeight="1">
      <c r="A76" s="9" t="s">
        <v>132</v>
      </c>
    </row>
    <row r="77" spans="1:18" s="9" customFormat="1" ht="19.5" customHeight="1">
      <c r="A77" s="9" t="s">
        <v>133</v>
      </c>
    </row>
    <row r="78" spans="1:18" s="9" customFormat="1" ht="19.5" customHeight="1">
      <c r="A78" s="9" t="s">
        <v>134</v>
      </c>
    </row>
    <row r="79" spans="1:18" s="9" customFormat="1" ht="19.5" customHeight="1">
      <c r="A79" s="9" t="s">
        <v>135</v>
      </c>
    </row>
    <row r="80" spans="1:18" s="8" customFormat="1" ht="21.75" customHeight="1">
      <c r="A80" s="9" t="s">
        <v>138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6" s="9" customFormat="1" ht="19.5" customHeight="1">
      <c r="A81" s="9" t="s">
        <v>0</v>
      </c>
    </row>
    <row r="82" spans="1:16" ht="15">
      <c r="B82" s="32"/>
      <c r="C82" s="32"/>
      <c r="D82" s="32"/>
      <c r="E82" s="32"/>
      <c r="F82" s="32"/>
      <c r="G82" s="32"/>
      <c r="P82" s="12"/>
    </row>
  </sheetData>
  <mergeCells count="12">
    <mergeCell ref="A69:H69"/>
    <mergeCell ref="A70:H70"/>
    <mergeCell ref="A71:H71"/>
    <mergeCell ref="A1:P1"/>
    <mergeCell ref="A2:P2"/>
    <mergeCell ref="P4:P6"/>
    <mergeCell ref="A4:A6"/>
    <mergeCell ref="O5:O6"/>
    <mergeCell ref="C4:H4"/>
    <mergeCell ref="C5:H5"/>
    <mergeCell ref="I4:N4"/>
    <mergeCell ref="I5:N5"/>
  </mergeCells>
  <pageMargins left="0.7" right="0.7" top="0.75" bottom="0.75" header="0.3" footer="0.3"/>
  <pageSetup scale="3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1593d9c1-a9f6-478d-a576-b0943b39c604"/>
    <ds:schemaRef ds:uri="http://schemas.microsoft.com/office/infopath/2007/PartnerControls"/>
    <ds:schemaRef ds:uri="http://www.w3.org/XML/1998/namespace"/>
    <ds:schemaRef ds:uri="http://purl.org/dc/elements/1.1/"/>
    <ds:schemaRef ds:uri="1916c6aa-fa20-4fca-8349-5fbeea1bc48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13.12</vt:lpstr>
      <vt:lpstr>'13.12'!Print_Area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2026-07-07T03:14:43Z</cp:lastPrinted>
  <dcterms:created xsi:type="dcterms:W3CDTF">2014-03-06T08:38:12Z</dcterms:created>
  <dcterms:modified xsi:type="dcterms:W3CDTF">2026-07-07T03:14:53Z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