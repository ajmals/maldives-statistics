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E95AFA69-1757-477A-BAB0-BA22F3995371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12.3" sheetId="38" r:id="rId1"/>
  </sheets>
  <definedNames>
    <definedName name="Male">#REF!</definedName>
    <definedName name="_xlnm.Print_Area" localSheetId="0">'12.3'!$A$1:$P$44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38" l="1"/>
  <c r="B40" i="38"/>
  <c r="B39" i="38"/>
  <c r="B38" i="38"/>
  <c r="B37" i="38"/>
  <c r="B36" i="38"/>
  <c r="B35" i="38"/>
  <c r="B34" i="38"/>
  <c r="B33" i="38"/>
  <c r="B32" i="38"/>
  <c r="B31" i="38"/>
  <c r="B30" i="38"/>
  <c r="B29" i="38"/>
  <c r="B28" i="38"/>
  <c r="B27" i="38"/>
  <c r="B26" i="38"/>
  <c r="B25" i="38"/>
  <c r="B24" i="38"/>
  <c r="B23" i="38"/>
  <c r="B22" i="38"/>
  <c r="B21" i="38"/>
  <c r="B20" i="38"/>
  <c r="B19" i="38"/>
  <c r="B18" i="38"/>
  <c r="B17" i="38"/>
  <c r="B16" i="38"/>
  <c r="B15" i="38"/>
  <c r="B14" i="38"/>
  <c r="B13" i="38"/>
  <c r="B12" i="38"/>
  <c r="B11" i="38"/>
  <c r="B10" i="38"/>
  <c r="B9" i="38"/>
  <c r="B8" i="38"/>
  <c r="B7" i="38"/>
</calcChain>
</file>

<file path=xl/sharedStrings.xml><?xml version="1.0" encoding="utf-8"?>
<sst xmlns="http://schemas.openxmlformats.org/spreadsheetml/2006/main" count="91" uniqueCount="91">
  <si>
    <t>cnwt</t>
  </si>
  <si>
    <t>Total</t>
  </si>
  <si>
    <t>Source: State Electric Company Limited</t>
  </si>
  <si>
    <t>cDeTimil Inepcmok ckircTckeliacTETcs :ctWrwf ivcaedutWmUluAwm</t>
  </si>
  <si>
    <t>Locality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</si>
  <si>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</si>
  <si>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</si>
  <si>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</si>
  <si>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</si>
  <si>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</si>
  <si>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</si>
  <si>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</si>
  <si>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</si>
  <si>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</si>
  <si>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</si>
  <si>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</si>
  <si>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</si>
  <si>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Greater Male' Region</t>
  </si>
  <si>
    <t>K.Male'</t>
  </si>
  <si>
    <t>K.Vilimale'</t>
  </si>
  <si>
    <t>K.Hulhumale</t>
  </si>
  <si>
    <t>K.Thilafushi</t>
  </si>
  <si>
    <t>K.Gulhifalhu</t>
  </si>
  <si>
    <t>K.Kaashidhoo</t>
  </si>
  <si>
    <t>K.Gaafaru</t>
  </si>
  <si>
    <t>K.Dhiffushi</t>
  </si>
  <si>
    <t>K.Thulusdhoo</t>
  </si>
  <si>
    <t>K.Himmafushi</t>
  </si>
  <si>
    <t>K.Gulhi</t>
  </si>
  <si>
    <t>K.Maafushi</t>
  </si>
  <si>
    <t>K.Guraidhoo</t>
  </si>
  <si>
    <t>AA.Ukulhas</t>
  </si>
  <si>
    <t>AA.Mathiveri</t>
  </si>
  <si>
    <t>AA.Bodufolhudhoo</t>
  </si>
  <si>
    <t>AA.Feridhoo</t>
  </si>
  <si>
    <t>AA.Maalhos</t>
  </si>
  <si>
    <t>AA.Himandhoo</t>
  </si>
  <si>
    <t>AA.Rasdhoo</t>
  </si>
  <si>
    <t>AA.Thoddoo</t>
  </si>
  <si>
    <t>ADh.Omadhoo</t>
  </si>
  <si>
    <t>ADh.Kunburudhoo</t>
  </si>
  <si>
    <t>ADh.Dhigurah</t>
  </si>
  <si>
    <t>ADh.Fenfushi</t>
  </si>
  <si>
    <t>ADh.Hangnameedhoo</t>
  </si>
  <si>
    <t>ADh.Dhihdhoo</t>
  </si>
  <si>
    <t>ADh.Mandhoo</t>
  </si>
  <si>
    <t>ADh.Dhangethi</t>
  </si>
  <si>
    <t>V.Felidhoo</t>
  </si>
  <si>
    <t>V.Fulidhoo</t>
  </si>
  <si>
    <t>V.Thinadhoo</t>
  </si>
  <si>
    <t>V.Keyodhoo</t>
  </si>
  <si>
    <t>V.Rakeedhoo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</si>
  <si>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</t>
    </r>
  </si>
  <si>
    <t>ކ. މާލެ</t>
  </si>
  <si>
    <t>ކ. ވިލިނގިލި</t>
  </si>
  <si>
    <t>ކ. ހުޅުމާލެ</t>
  </si>
  <si>
    <t>ކ. ތިލަފުށި</t>
  </si>
  <si>
    <t>ކ. ގުޅިފަޅު</t>
  </si>
  <si>
    <t>ކ. ކާށިދޫ</t>
  </si>
  <si>
    <t>ކ. ގާފަރު</t>
  </si>
  <si>
    <t>ކ. ދިއްފުށި</t>
  </si>
  <si>
    <t>ކ. ތުލުސްދޫ</t>
  </si>
  <si>
    <t>ކ. ހިންމަފުށި</t>
  </si>
  <si>
    <t>ކ. ގުޅި</t>
  </si>
  <si>
    <t>ކ. މާފުށި</t>
  </si>
  <si>
    <t>ކ. ގުރައިދޫ</t>
  </si>
  <si>
    <t>އއ.އުކުޅަސް</t>
  </si>
  <si>
    <t>އއ.މަތިވެރި</t>
  </si>
  <si>
    <t>އއ.ބޮޑުފުޅަދޫ</t>
  </si>
  <si>
    <t>އއ.ފެރިދޫ</t>
  </si>
  <si>
    <t>އއ.މާޅޮސް</t>
  </si>
  <si>
    <t>އއ.ހިމަންދޫ</t>
  </si>
  <si>
    <t>އއ.ރަސްދޫ</t>
  </si>
  <si>
    <t>އއ.ތޮއްޑޫ</t>
  </si>
  <si>
    <t>އދ.އޮމަދޫ</t>
  </si>
  <si>
    <t>އދ.ކުނބުރުދޫ</t>
  </si>
  <si>
    <t>އދ.ދިގުރަށް</t>
  </si>
  <si>
    <t>އދ.ފެންފުށި</t>
  </si>
  <si>
    <t>Adh.Mahibadhoo</t>
  </si>
  <si>
    <t>އދ.މަހިބަދޫ</t>
  </si>
  <si>
    <t>އދ.ހަންޏާމީދޫ</t>
  </si>
  <si>
    <t>އދ.ދިއްދޫ</t>
  </si>
  <si>
    <t>އދ.މަންދޫ</t>
  </si>
  <si>
    <t>އދ.ދަނގެތި</t>
  </si>
  <si>
    <t>ވ.ފެލިދޫ</t>
  </si>
  <si>
    <t>ވ.ފުލިދޫ</t>
  </si>
  <si>
    <t>ވ.ތިނަދޫ</t>
  </si>
  <si>
    <t>ވ.ކެޔޮދޫ</t>
  </si>
  <si>
    <t>ވ.ރަކީދޫ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</si>
  <si>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2025</t>
  </si>
  <si>
    <t>Table  12.3 :   MONTHLY CONSUMPTION OF FUEL FOR ELECTRICITY GENERATION IN SELECTED LOCALITIES BY PUBLIC SECTOR,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</si>
</sst>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_Faseyha"/>
    </font>
    <font>
      <sz val="9"/>
      <color theme="1"/>
      <name val="A_Faseyha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Arial"/>
      <family val="2"/>
      <charset val="1"/>
    </font>
    <font>
      <b/>
      <sz val="10.5"/>
      <name val="A_Faseyha"/>
    </font>
    <font>
      <b/>
      <sz val="10.5"/>
      <name val="Calibri"/>
      <family val="2"/>
      <scheme val="minor"/>
    </font>
    <font>
      <b/>
      <sz val="12"/>
      <color theme="1"/>
      <name val="Faruma"/>
    </font>
    <font>
      <sz val="12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Faruma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</borders>
  <cellStyleXfs count="15">
    <xf numFmtId="0" fontId="0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9" fillId="0" borderId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0" fontId="12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5" fillId="2" borderId="7" xfId="0" applyFont="1" applyFill="1" applyBorder="1" applyAlignment="1">
      <alignment horizontal="left" vertical="center" indent="1"/>
    </xf>
    <xf numFmtId="0" fontId="16" fillId="2" borderId="10" xfId="4" applyFont="1" applyFill="1" applyBorder="1" applyAlignment="1">
      <alignment vertical="center"/>
    </xf>
    <xf numFmtId="0" fontId="16" fillId="2" borderId="0" xfId="4" applyFont="1" applyFill="1" applyAlignment="1">
      <alignment vertical="center"/>
    </xf>
    <xf numFmtId="0" fontId="16" fillId="2" borderId="5" xfId="4" applyFont="1" applyFill="1" applyBorder="1" applyAlignment="1">
      <alignment vertical="center"/>
    </xf>
    <xf numFmtId="164" fontId="3" fillId="2" borderId="4" xfId="1" applyFont="1" applyFill="1" applyBorder="1" applyAlignment="1" applyProtection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164" fontId="3" fillId="2" borderId="14" xfId="1" applyFont="1" applyFill="1" applyBorder="1" applyAlignment="1" applyProtection="1">
      <alignment horizontal="right" vertical="center"/>
    </xf>
    <xf numFmtId="164" fontId="3" fillId="2" borderId="9" xfId="1" applyFont="1" applyFill="1" applyBorder="1" applyAlignment="1" applyProtection="1">
      <alignment horizontal="right" vertical="center"/>
    </xf>
    <xf numFmtId="0" fontId="18" fillId="2" borderId="8" xfId="0" applyFont="1" applyFill="1" applyBorder="1" applyAlignment="1">
      <alignment horizontal="right" vertical="center"/>
    </xf>
    <xf numFmtId="0" fontId="16" fillId="2" borderId="1" xfId="4" applyFont="1" applyFill="1" applyBorder="1" applyAlignment="1">
      <alignment vertical="center"/>
    </xf>
    <xf numFmtId="0" fontId="16" fillId="2" borderId="15" xfId="4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 indent="2"/>
    </xf>
    <xf numFmtId="0" fontId="5" fillId="2" borderId="8" xfId="0" applyFont="1" applyFill="1" applyBorder="1" applyAlignment="1">
      <alignment horizontal="left" vertical="center" indent="1"/>
    </xf>
    <xf numFmtId="164" fontId="6" fillId="2" borderId="10" xfId="14" applyNumberFormat="1" applyFont="1" applyFill="1" applyBorder="1" applyAlignment="1">
      <alignment horizontal="center" vertical="center"/>
    </xf>
    <xf numFmtId="164" fontId="6" fillId="2" borderId="11" xfId="14" applyNumberFormat="1" applyFont="1" applyFill="1" applyBorder="1" applyAlignment="1">
      <alignment horizontal="center" vertical="center"/>
    </xf>
    <xf numFmtId="164" fontId="17" fillId="2" borderId="0" xfId="14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5" fillId="2" borderId="10" xfId="4" applyFont="1" applyFill="1" applyBorder="1" applyAlignment="1">
      <alignment horizontal="center" vertical="center"/>
    </xf>
    <xf numFmtId="0" fontId="15" fillId="2" borderId="12" xfId="4" applyFont="1" applyFill="1" applyBorder="1" applyAlignment="1">
      <alignment horizontal="center" vertical="center"/>
    </xf>
    <xf numFmtId="0" fontId="15" fillId="2" borderId="7" xfId="4" applyFont="1" applyFill="1" applyBorder="1" applyAlignment="1">
      <alignment horizontal="center" vertical="center"/>
    </xf>
    <xf numFmtId="0" fontId="10" fillId="2" borderId="10" xfId="4" applyFont="1" applyFill="1" applyBorder="1" applyAlignment="1">
      <alignment horizontal="center" vertical="center"/>
    </xf>
    <xf numFmtId="0" fontId="10" fillId="2" borderId="12" xfId="4" applyFont="1" applyFill="1" applyBorder="1" applyAlignment="1">
      <alignment horizontal="center" vertical="center"/>
    </xf>
    <xf numFmtId="0" fontId="10" fillId="2" borderId="7" xfId="4" applyFont="1" applyFill="1" applyBorder="1" applyAlignment="1">
      <alignment horizontal="center" vertical="center"/>
    </xf>
    <xf numFmtId="0" fontId="10" fillId="2" borderId="11" xfId="4" applyFont="1" applyFill="1" applyBorder="1" applyAlignment="1">
      <alignment horizontal="center" vertical="top"/>
    </xf>
    <xf numFmtId="0" fontId="10" fillId="2" borderId="13" xfId="4" applyFont="1" applyFill="1" applyBorder="1" applyAlignment="1">
      <alignment horizontal="center" vertical="top"/>
    </xf>
    <xf numFmtId="0" fontId="10" fillId="2" borderId="8" xfId="4" applyFont="1" applyFill="1" applyBorder="1" applyAlignment="1">
      <alignment horizontal="center" vertical="top"/>
    </xf>
    <xf numFmtId="0" fontId="3" fillId="2" borderId="3" xfId="4" applyFont="1" applyFill="1" applyBorder="1" applyAlignment="1">
      <alignment vertical="center"/>
    </xf>
    <xf numFmtId="0" fontId="6" fillId="2" borderId="18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right" vertical="center"/>
    </xf>
    <xf numFmtId="0" fontId="18" fillId="2" borderId="7" xfId="0" applyFont="1" applyFill="1" applyBorder="1" applyAlignment="1">
      <alignment horizontal="right" vertical="center"/>
    </xf>
    <xf numFmtId="164" fontId="17" fillId="2" borderId="17" xfId="14" applyNumberFormat="1" applyFont="1" applyFill="1" applyBorder="1" applyAlignment="1">
      <alignment horizontal="center" vertical="center"/>
    </xf>
    <xf numFmtId="0" fontId="11" fillId="2" borderId="6" xfId="4" applyFont="1" applyFill="1" applyBorder="1" applyAlignment="1">
      <alignment vertical="center"/>
    </xf>
    <xf numFmtId="3" fontId="19" fillId="2" borderId="16" xfId="0" applyNumberFormat="1" applyFont="1" applyFill="1" applyBorder="1" applyAlignment="1">
      <alignment vertical="center"/>
    </xf>
    <xf numFmtId="0" fontId="20" fillId="2" borderId="16" xfId="0" applyFont="1" applyFill="1" applyBorder="1" applyAlignment="1">
      <alignment vertical="center"/>
    </xf>
    <xf numFmtId="0" fontId="17" fillId="2" borderId="16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right" vertical="center"/>
    </xf>
  </cellXfs>
  <cellStyles count="15">
    <cellStyle name="Comma 2" xfId="1" xr:uid="{00000000-0005-0000-0000-000001000000}"/>
    <cellStyle name="Comma 2 2" xfId="2" xr:uid="{00000000-0005-0000-0000-000002000000}"/>
    <cellStyle name="Comma 3" xfId="9" xr:uid="{F5B4A224-1F62-4D26-BEF8-EC4E8130DEEE}"/>
    <cellStyle name="Comma 3 2" xfId="14" xr:uid="{846C9DD0-F9CD-4384-998C-A69E0D903163}"/>
    <cellStyle name="Comma 4" xfId="3" xr:uid="{00000000-0005-0000-0000-000003000000}"/>
    <cellStyle name="Comma 5" xfId="11" xr:uid="{ED1E87DD-C78B-473B-A4CE-AFDAE7CF7656}"/>
    <cellStyle name="Normal" xfId="0" builtinId="0"/>
    <cellStyle name="Normal 2" xfId="4" xr:uid="{00000000-0005-0000-0000-000005000000}"/>
    <cellStyle name="Normal 2 2" xfId="5" xr:uid="{00000000-0005-0000-0000-000006000000}"/>
    <cellStyle name="Normal 3" xfId="8" xr:uid="{F405DDE0-D1F1-478E-9D0E-047C915BEE51}"/>
    <cellStyle name="Normal 3 2" xfId="13" xr:uid="{7D38DCE9-A7EF-4CBF-AA34-CF9D3CA007AF}"/>
    <cellStyle name="Normal 4" xfId="6" xr:uid="{00000000-0005-0000-0000-000007000000}"/>
    <cellStyle name="Normal 4 2" xfId="10" xr:uid="{C0BBE1BE-4BC0-4737-BFDA-D8EF6C73CAA2}"/>
    <cellStyle name="Normal 4 3" xfId="12" xr:uid="{1AE76306-B639-4ACE-AAE8-8A0645E12B10}"/>
    <cellStyle name="Normal 5" xfId="7" xr:uid="{00000000-0005-0000-0000-000008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025A-977D-4E10-92B1-C9D3A7977F55}">
  <sheetPr>
    <tabColor rgb="FF92D050"/>
  </sheetPr>
  <dimension ref="A1:CC804"/>
  <sheetViews>
    <sheetView tabSelected="1" zoomScaleNormal="100" workbookViewId="0">
      <selection activeCell="T18" sqref="T18"/>
    </sheetView>
  </sheetViews>
  <sheetFormatPr defaultColWidth="11.140625" defaultRowHeight="15"/>
  <cols>
    <col min="1" max="1" width="18.140625" style="4" customWidth="1"/>
    <col min="2" max="2" width="12.42578125" style="4" bestFit="1" customWidth="1"/>
    <col min="3" max="14" width="9.7109375" style="4" customWidth="1"/>
    <col min="15" max="15" width="15.42578125" style="4" customWidth="1"/>
    <col min="16" max="16" width="1.85546875" style="2" customWidth="1"/>
    <col min="17" max="81" width="11.140625" style="3"/>
    <col min="82" max="16384" width="11.140625" style="4"/>
  </cols>
  <sheetData>
    <row r="1" spans="1:15" ht="21.75">
      <c r="A1" s="18" t="s">
        <v>89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>
      <c r="A2" s="21" t="s">
        <v>90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</row>
    <row r="3" spans="1:15" ht="16.5">
      <c r="A3" s="17" t="s">
        <v>52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6"/>
    </row>
    <row r="5" spans="1:15" ht="15.75">
      <c r="A5" s="27" t="s">
        <v>4</v>
      </c>
      <c r="B5" s="5" t="s">
        <v>1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6" t="s">
        <v>0</v>
      </c>
    </row>
    <row r="6" spans="1:15" ht="15.75">
      <c r="A6" s="28" t="s">
        <v>17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29"/>
    </row>
    <row r="7" spans="1:15" ht="21">
      <c r="A7" s="12" t="s">
        <v>18</v>
      </c>
      <c r="B7" s="14">
        <f>SUM(C7:N7)</f>
        <v>80027242</v>
      </c>
      <c r="C7" s="16">
        <v>5732155</v>
      </c>
      <c r="D7" s="16">
        <v>6220454</v>
      </c>
      <c r="E7" s="16">
        <v>7204243</v>
      </c>
      <c r="F7" s="16">
        <v>6682536</v>
      </c>
      <c r="G7" s="16">
        <v>6446873</v>
      </c>
      <c r="H7" s="16">
        <v>6496300</v>
      </c>
      <c r="I7" s="16">
        <v>6950736</v>
      </c>
      <c r="J7" s="16">
        <v>6223832</v>
      </c>
      <c r="K7" s="16">
        <v>7236508</v>
      </c>
      <c r="L7" s="16">
        <v>7296863</v>
      </c>
      <c r="M7" s="16">
        <v>6381989</v>
      </c>
      <c r="N7" s="16">
        <v>7154753</v>
      </c>
      <c r="O7" s="30" t="s">
        <v>53</v>
      </c>
    </row>
    <row r="8" spans="1:15" ht="21">
      <c r="A8" s="12" t="s">
        <v>19</v>
      </c>
      <c r="B8" s="14">
        <f>SUM(C8:N8)</f>
        <v>3830334</v>
      </c>
      <c r="C8" s="16">
        <v>263179</v>
      </c>
      <c r="D8" s="16">
        <v>281601</v>
      </c>
      <c r="E8" s="16">
        <v>311967</v>
      </c>
      <c r="F8" s="16">
        <v>334338</v>
      </c>
      <c r="G8" s="16">
        <v>360943</v>
      </c>
      <c r="H8" s="16">
        <v>345092</v>
      </c>
      <c r="I8" s="16">
        <v>331046</v>
      </c>
      <c r="J8" s="16">
        <v>344055</v>
      </c>
      <c r="K8" s="16">
        <v>357049</v>
      </c>
      <c r="L8" s="16">
        <v>330641</v>
      </c>
      <c r="M8" s="16">
        <v>319485</v>
      </c>
      <c r="N8" s="16">
        <v>250938</v>
      </c>
      <c r="O8" s="30" t="s">
        <v>54</v>
      </c>
    </row>
    <row r="9" spans="1:15" ht="21">
      <c r="A9" s="12" t="s">
        <v>20</v>
      </c>
      <c r="B9" s="14">
        <f>SUM(C9:N9)</f>
        <v>104075840.68000001</v>
      </c>
      <c r="C9" s="16">
        <v>7419239.5999999996</v>
      </c>
      <c r="D9" s="16">
        <v>7537961.0800000001</v>
      </c>
      <c r="E9" s="16">
        <v>7325260.0499999998</v>
      </c>
      <c r="F9" s="16">
        <v>9892714.9199999999</v>
      </c>
      <c r="G9" s="16">
        <v>10419695.690000001</v>
      </c>
      <c r="H9" s="16">
        <v>9404456.5999999996</v>
      </c>
      <c r="I9" s="16">
        <v>8978406.3000000007</v>
      </c>
      <c r="J9" s="16">
        <v>9613643.5300000012</v>
      </c>
      <c r="K9" s="16">
        <v>9038826.6900000013</v>
      </c>
      <c r="L9" s="16">
        <v>8390332.8200000003</v>
      </c>
      <c r="M9" s="16">
        <v>8471886.7599999998</v>
      </c>
      <c r="N9" s="16">
        <v>7583416.6399999997</v>
      </c>
      <c r="O9" s="30" t="s">
        <v>55</v>
      </c>
    </row>
    <row r="10" spans="1:15" ht="21">
      <c r="A10" s="12" t="s">
        <v>21</v>
      </c>
      <c r="B10" s="14">
        <f>SUM(C10:N10)</f>
        <v>2806270</v>
      </c>
      <c r="C10" s="16">
        <v>187321</v>
      </c>
      <c r="D10" s="16">
        <v>189119</v>
      </c>
      <c r="E10" s="16">
        <v>215293</v>
      </c>
      <c r="F10" s="16">
        <v>224170</v>
      </c>
      <c r="G10" s="16">
        <v>234082</v>
      </c>
      <c r="H10" s="16">
        <v>244852</v>
      </c>
      <c r="I10" s="16">
        <v>251932</v>
      </c>
      <c r="J10" s="16">
        <v>258078</v>
      </c>
      <c r="K10" s="16">
        <v>260562</v>
      </c>
      <c r="L10" s="16">
        <v>252006</v>
      </c>
      <c r="M10" s="16">
        <v>243246</v>
      </c>
      <c r="N10" s="16">
        <v>245609</v>
      </c>
      <c r="O10" s="30" t="s">
        <v>56</v>
      </c>
    </row>
    <row r="11" spans="1:15" ht="21">
      <c r="A11" s="12" t="s">
        <v>22</v>
      </c>
      <c r="B11" s="14">
        <f>SUM(C11:N11)</f>
        <v>516031</v>
      </c>
      <c r="C11" s="16">
        <v>43412</v>
      </c>
      <c r="D11" s="16">
        <v>38953</v>
      </c>
      <c r="E11" s="16">
        <v>44854</v>
      </c>
      <c r="F11" s="16">
        <v>42798</v>
      </c>
      <c r="G11" s="16">
        <v>44209</v>
      </c>
      <c r="H11" s="16">
        <v>43664</v>
      </c>
      <c r="I11" s="16">
        <v>43768</v>
      </c>
      <c r="J11" s="16">
        <v>45018</v>
      </c>
      <c r="K11" s="16">
        <v>43977</v>
      </c>
      <c r="L11" s="16">
        <v>42859</v>
      </c>
      <c r="M11" s="16">
        <v>39480</v>
      </c>
      <c r="N11" s="16">
        <v>43039</v>
      </c>
      <c r="O11" s="30" t="s">
        <v>57</v>
      </c>
    </row>
    <row r="12" spans="1:15" ht="21">
      <c r="A12" s="1" t="s">
        <v>23</v>
      </c>
      <c r="B12" s="14">
        <f t="shared" ref="B12:B32" si="0">SUM(C12:N12)</f>
        <v>1461808</v>
      </c>
      <c r="C12" s="16">
        <v>100175</v>
      </c>
      <c r="D12" s="16">
        <v>109011</v>
      </c>
      <c r="E12" s="16">
        <v>131891</v>
      </c>
      <c r="F12" s="16">
        <v>133675</v>
      </c>
      <c r="G12" s="16">
        <v>134557</v>
      </c>
      <c r="H12" s="16">
        <v>131633</v>
      </c>
      <c r="I12" s="16">
        <v>120942</v>
      </c>
      <c r="J12" s="16">
        <v>122468</v>
      </c>
      <c r="K12" s="16">
        <v>128801</v>
      </c>
      <c r="L12" s="16">
        <v>121326</v>
      </c>
      <c r="M12" s="16">
        <v>117145</v>
      </c>
      <c r="N12" s="16">
        <v>110184</v>
      </c>
      <c r="O12" s="30" t="s">
        <v>58</v>
      </c>
    </row>
    <row r="13" spans="1:15" ht="21">
      <c r="A13" s="1" t="s">
        <v>24</v>
      </c>
      <c r="B13" s="14">
        <f t="shared" si="0"/>
        <v>946262</v>
      </c>
      <c r="C13" s="16">
        <v>63539</v>
      </c>
      <c r="D13" s="16">
        <v>70088</v>
      </c>
      <c r="E13" s="16">
        <v>88243</v>
      </c>
      <c r="F13" s="16">
        <v>89789</v>
      </c>
      <c r="G13" s="16">
        <v>79714</v>
      </c>
      <c r="H13" s="16">
        <v>82141</v>
      </c>
      <c r="I13" s="16">
        <v>74000</v>
      </c>
      <c r="J13" s="16">
        <v>77193</v>
      </c>
      <c r="K13" s="16">
        <v>78430</v>
      </c>
      <c r="L13" s="16">
        <v>92277</v>
      </c>
      <c r="M13" s="16">
        <v>75722</v>
      </c>
      <c r="N13" s="16">
        <v>75126</v>
      </c>
      <c r="O13" s="30" t="s">
        <v>59</v>
      </c>
    </row>
    <row r="14" spans="1:15" ht="21">
      <c r="A14" s="1" t="s">
        <v>25</v>
      </c>
      <c r="B14" s="14">
        <f t="shared" si="0"/>
        <v>1864702</v>
      </c>
      <c r="C14" s="16">
        <v>135777</v>
      </c>
      <c r="D14" s="16">
        <v>147239</v>
      </c>
      <c r="E14" s="16">
        <v>173275</v>
      </c>
      <c r="F14" s="16">
        <v>172283</v>
      </c>
      <c r="G14" s="16">
        <v>152069</v>
      </c>
      <c r="H14" s="16">
        <v>150775</v>
      </c>
      <c r="I14" s="16">
        <v>155613</v>
      </c>
      <c r="J14" s="16">
        <v>162059</v>
      </c>
      <c r="K14" s="16">
        <v>167237</v>
      </c>
      <c r="L14" s="16">
        <v>156160</v>
      </c>
      <c r="M14" s="16">
        <v>159127</v>
      </c>
      <c r="N14" s="16">
        <v>133088</v>
      </c>
      <c r="O14" s="30" t="s">
        <v>60</v>
      </c>
    </row>
    <row r="15" spans="1:15" ht="21">
      <c r="A15" s="1" t="s">
        <v>26</v>
      </c>
      <c r="B15" s="14">
        <f t="shared" si="0"/>
        <v>1778909.27</v>
      </c>
      <c r="C15" s="16">
        <v>127543.43</v>
      </c>
      <c r="D15" s="16">
        <v>139298.20000000001</v>
      </c>
      <c r="E15" s="16">
        <v>159228.04</v>
      </c>
      <c r="F15" s="16">
        <v>167448.84</v>
      </c>
      <c r="G15" s="16">
        <v>151521</v>
      </c>
      <c r="H15" s="16">
        <v>153990.6</v>
      </c>
      <c r="I15" s="16">
        <v>147091.13</v>
      </c>
      <c r="J15" s="16">
        <v>155789.35</v>
      </c>
      <c r="K15" s="16">
        <v>160015.65</v>
      </c>
      <c r="L15" s="16">
        <v>139266.17000000001</v>
      </c>
      <c r="M15" s="16">
        <v>143342.85999999999</v>
      </c>
      <c r="N15" s="16">
        <v>134374</v>
      </c>
      <c r="O15" s="30" t="s">
        <v>61</v>
      </c>
    </row>
    <row r="16" spans="1:15" ht="21">
      <c r="A16" s="1" t="s">
        <v>27</v>
      </c>
      <c r="B16" s="14">
        <f t="shared" si="0"/>
        <v>1804884</v>
      </c>
      <c r="C16" s="16">
        <v>119486</v>
      </c>
      <c r="D16" s="16">
        <v>128397</v>
      </c>
      <c r="E16" s="16">
        <v>149863</v>
      </c>
      <c r="F16" s="16">
        <v>162496</v>
      </c>
      <c r="G16" s="16">
        <v>157860</v>
      </c>
      <c r="H16" s="16">
        <v>164515</v>
      </c>
      <c r="I16" s="16">
        <v>158663</v>
      </c>
      <c r="J16" s="16">
        <v>162544</v>
      </c>
      <c r="K16" s="16">
        <v>164567</v>
      </c>
      <c r="L16" s="16">
        <v>147621</v>
      </c>
      <c r="M16" s="16">
        <v>147433</v>
      </c>
      <c r="N16" s="16">
        <v>141439</v>
      </c>
      <c r="O16" s="30" t="s">
        <v>62</v>
      </c>
    </row>
    <row r="17" spans="1:15" ht="21">
      <c r="A17" s="1" t="s">
        <v>28</v>
      </c>
      <c r="B17" s="14">
        <f t="shared" si="0"/>
        <v>937542</v>
      </c>
      <c r="C17" s="16">
        <v>63449</v>
      </c>
      <c r="D17" s="16">
        <v>67213</v>
      </c>
      <c r="E17" s="16">
        <v>80218</v>
      </c>
      <c r="F17" s="16">
        <v>83116</v>
      </c>
      <c r="G17" s="16">
        <v>75121</v>
      </c>
      <c r="H17" s="16">
        <v>78829</v>
      </c>
      <c r="I17" s="16">
        <v>77935</v>
      </c>
      <c r="J17" s="16">
        <v>83881</v>
      </c>
      <c r="K17" s="16">
        <v>83520</v>
      </c>
      <c r="L17" s="16">
        <v>78864</v>
      </c>
      <c r="M17" s="16">
        <v>82985</v>
      </c>
      <c r="N17" s="16">
        <v>82411</v>
      </c>
      <c r="O17" s="30" t="s">
        <v>63</v>
      </c>
    </row>
    <row r="18" spans="1:15" ht="21">
      <c r="A18" s="1" t="s">
        <v>29</v>
      </c>
      <c r="B18" s="14">
        <f t="shared" si="0"/>
        <v>5328386</v>
      </c>
      <c r="C18" s="16">
        <v>399945</v>
      </c>
      <c r="D18" s="16">
        <v>410005</v>
      </c>
      <c r="E18" s="16">
        <v>467469</v>
      </c>
      <c r="F18" s="16">
        <v>480766</v>
      </c>
      <c r="G18" s="16">
        <v>447037</v>
      </c>
      <c r="H18" s="16">
        <v>442405</v>
      </c>
      <c r="I18" s="16">
        <v>446960</v>
      </c>
      <c r="J18" s="16">
        <v>455576</v>
      </c>
      <c r="K18" s="16">
        <v>470508</v>
      </c>
      <c r="L18" s="16">
        <v>441290</v>
      </c>
      <c r="M18" s="16">
        <v>434920</v>
      </c>
      <c r="N18" s="16">
        <v>431505</v>
      </c>
      <c r="O18" s="30" t="s">
        <v>64</v>
      </c>
    </row>
    <row r="19" spans="1:15" ht="21">
      <c r="A19" s="1" t="s">
        <v>30</v>
      </c>
      <c r="B19" s="14">
        <f t="shared" si="0"/>
        <v>1695403</v>
      </c>
      <c r="C19" s="16">
        <v>116096</v>
      </c>
      <c r="D19" s="16">
        <v>128846</v>
      </c>
      <c r="E19" s="16">
        <v>147995</v>
      </c>
      <c r="F19" s="16">
        <v>149062</v>
      </c>
      <c r="G19" s="16">
        <v>144872</v>
      </c>
      <c r="H19" s="16">
        <v>147435</v>
      </c>
      <c r="I19" s="16">
        <v>140785</v>
      </c>
      <c r="J19" s="16">
        <v>147584</v>
      </c>
      <c r="K19" s="16">
        <v>155980</v>
      </c>
      <c r="L19" s="16">
        <v>143785</v>
      </c>
      <c r="M19" s="16">
        <v>141860</v>
      </c>
      <c r="N19" s="16">
        <v>131103</v>
      </c>
      <c r="O19" s="30" t="s">
        <v>65</v>
      </c>
    </row>
    <row r="20" spans="1:15" ht="21">
      <c r="A20" s="1" t="s">
        <v>31</v>
      </c>
      <c r="B20" s="14">
        <f t="shared" si="0"/>
        <v>1488994</v>
      </c>
      <c r="C20" s="16">
        <v>108541</v>
      </c>
      <c r="D20" s="16">
        <v>123564</v>
      </c>
      <c r="E20" s="16">
        <v>136320</v>
      </c>
      <c r="F20" s="16">
        <v>140202</v>
      </c>
      <c r="G20" s="16">
        <v>119553</v>
      </c>
      <c r="H20" s="16">
        <v>121594</v>
      </c>
      <c r="I20" s="16">
        <v>114627</v>
      </c>
      <c r="J20" s="16">
        <v>127049</v>
      </c>
      <c r="K20" s="16">
        <v>123572</v>
      </c>
      <c r="L20" s="16">
        <v>116502</v>
      </c>
      <c r="M20" s="16">
        <v>128295</v>
      </c>
      <c r="N20" s="16">
        <v>129175</v>
      </c>
      <c r="O20" s="30" t="s">
        <v>66</v>
      </c>
    </row>
    <row r="21" spans="1:15" ht="21">
      <c r="A21" s="1" t="s">
        <v>32</v>
      </c>
      <c r="B21" s="14">
        <f t="shared" si="0"/>
        <v>684040</v>
      </c>
      <c r="C21" s="16">
        <v>51369</v>
      </c>
      <c r="D21" s="16">
        <v>52667</v>
      </c>
      <c r="E21" s="16">
        <v>60452</v>
      </c>
      <c r="F21" s="16">
        <v>61994</v>
      </c>
      <c r="G21" s="16">
        <v>59609</v>
      </c>
      <c r="H21" s="16">
        <v>62200</v>
      </c>
      <c r="I21" s="16">
        <v>58043</v>
      </c>
      <c r="J21" s="16">
        <v>60828</v>
      </c>
      <c r="K21" s="16">
        <v>54920</v>
      </c>
      <c r="L21" s="16">
        <v>54260</v>
      </c>
      <c r="M21" s="16">
        <v>53391</v>
      </c>
      <c r="N21" s="16">
        <v>54307</v>
      </c>
      <c r="O21" s="30" t="s">
        <v>67</v>
      </c>
    </row>
    <row r="22" spans="1:15" ht="21">
      <c r="A22" s="1" t="s">
        <v>33</v>
      </c>
      <c r="B22" s="14">
        <f t="shared" si="0"/>
        <v>518401</v>
      </c>
      <c r="C22" s="16">
        <v>34588</v>
      </c>
      <c r="D22" s="16">
        <v>37485</v>
      </c>
      <c r="E22" s="16">
        <v>46902</v>
      </c>
      <c r="F22" s="16">
        <v>48035</v>
      </c>
      <c r="G22" s="16">
        <v>44968</v>
      </c>
      <c r="H22" s="16">
        <v>46861</v>
      </c>
      <c r="I22" s="16">
        <v>43449</v>
      </c>
      <c r="J22" s="16">
        <v>44707</v>
      </c>
      <c r="K22" s="16">
        <v>46129</v>
      </c>
      <c r="L22" s="16">
        <v>42139</v>
      </c>
      <c r="M22" s="16">
        <v>41441</v>
      </c>
      <c r="N22" s="16">
        <v>41697</v>
      </c>
      <c r="O22" s="30" t="s">
        <v>68</v>
      </c>
    </row>
    <row r="23" spans="1:15" ht="21">
      <c r="A23" s="1" t="s">
        <v>34</v>
      </c>
      <c r="B23" s="14">
        <f t="shared" si="0"/>
        <v>461182</v>
      </c>
      <c r="C23" s="16">
        <v>33735</v>
      </c>
      <c r="D23" s="16">
        <v>36356</v>
      </c>
      <c r="E23" s="16">
        <v>43390</v>
      </c>
      <c r="F23" s="16">
        <v>43716</v>
      </c>
      <c r="G23" s="16">
        <v>38867</v>
      </c>
      <c r="H23" s="16">
        <v>37206</v>
      </c>
      <c r="I23" s="16">
        <v>35771</v>
      </c>
      <c r="J23" s="16">
        <v>38054</v>
      </c>
      <c r="K23" s="16">
        <v>40588</v>
      </c>
      <c r="L23" s="16">
        <v>37940</v>
      </c>
      <c r="M23" s="16">
        <v>37914</v>
      </c>
      <c r="N23" s="16">
        <v>37645</v>
      </c>
      <c r="O23" s="30" t="s">
        <v>69</v>
      </c>
    </row>
    <row r="24" spans="1:15" ht="21">
      <c r="A24" s="1" t="s">
        <v>35</v>
      </c>
      <c r="B24" s="14">
        <f t="shared" si="0"/>
        <v>297063</v>
      </c>
      <c r="C24" s="16">
        <v>21140</v>
      </c>
      <c r="D24" s="16">
        <v>22058</v>
      </c>
      <c r="E24" s="16">
        <v>26865</v>
      </c>
      <c r="F24" s="16">
        <v>27481</v>
      </c>
      <c r="G24" s="16">
        <v>27495</v>
      </c>
      <c r="H24" s="16">
        <v>25512</v>
      </c>
      <c r="I24" s="16">
        <v>24479</v>
      </c>
      <c r="J24" s="16">
        <v>26671</v>
      </c>
      <c r="K24" s="16">
        <v>25010</v>
      </c>
      <c r="L24" s="16">
        <v>23408</v>
      </c>
      <c r="M24" s="16">
        <v>24957</v>
      </c>
      <c r="N24" s="16">
        <v>21987</v>
      </c>
      <c r="O24" s="30" t="s">
        <v>70</v>
      </c>
    </row>
    <row r="25" spans="1:15" ht="21">
      <c r="A25" s="1" t="s">
        <v>36</v>
      </c>
      <c r="B25" s="14">
        <f t="shared" si="0"/>
        <v>624428</v>
      </c>
      <c r="C25" s="16">
        <v>40868</v>
      </c>
      <c r="D25" s="16">
        <v>45910</v>
      </c>
      <c r="E25" s="16">
        <v>54297</v>
      </c>
      <c r="F25" s="16">
        <v>54932</v>
      </c>
      <c r="G25" s="16">
        <v>52738</v>
      </c>
      <c r="H25" s="16">
        <v>54079</v>
      </c>
      <c r="I25" s="16">
        <v>54727</v>
      </c>
      <c r="J25" s="16">
        <v>55107</v>
      </c>
      <c r="K25" s="16">
        <v>57041</v>
      </c>
      <c r="L25" s="16">
        <v>52889</v>
      </c>
      <c r="M25" s="16">
        <v>51877</v>
      </c>
      <c r="N25" s="16">
        <v>49963</v>
      </c>
      <c r="O25" s="30" t="s">
        <v>71</v>
      </c>
    </row>
    <row r="26" spans="1:15" ht="21">
      <c r="A26" s="1" t="s">
        <v>37</v>
      </c>
      <c r="B26" s="14">
        <f t="shared" si="0"/>
        <v>1321473</v>
      </c>
      <c r="C26" s="16">
        <v>96045</v>
      </c>
      <c r="D26" s="16">
        <v>108672</v>
      </c>
      <c r="E26" s="16">
        <v>119380</v>
      </c>
      <c r="F26" s="16">
        <v>126011</v>
      </c>
      <c r="G26" s="16">
        <v>115145</v>
      </c>
      <c r="H26" s="16">
        <v>111140</v>
      </c>
      <c r="I26" s="16">
        <v>109252</v>
      </c>
      <c r="J26" s="16">
        <v>116819</v>
      </c>
      <c r="K26" s="16">
        <v>121572</v>
      </c>
      <c r="L26" s="16">
        <v>103879</v>
      </c>
      <c r="M26" s="16">
        <v>96728</v>
      </c>
      <c r="N26" s="16">
        <v>96830</v>
      </c>
      <c r="O26" s="30" t="s">
        <v>72</v>
      </c>
    </row>
    <row r="27" spans="1:15" ht="21">
      <c r="A27" s="1" t="s">
        <v>38</v>
      </c>
      <c r="B27" s="14">
        <f t="shared" si="0"/>
        <v>1819344</v>
      </c>
      <c r="C27" s="16">
        <v>133331</v>
      </c>
      <c r="D27" s="16">
        <v>167411</v>
      </c>
      <c r="E27" s="16">
        <v>181873</v>
      </c>
      <c r="F27" s="16">
        <v>181873</v>
      </c>
      <c r="G27" s="16">
        <v>144005</v>
      </c>
      <c r="H27" s="16">
        <v>142054</v>
      </c>
      <c r="I27" s="16">
        <v>151277</v>
      </c>
      <c r="J27" s="16">
        <v>134101</v>
      </c>
      <c r="K27" s="16">
        <v>145561</v>
      </c>
      <c r="L27" s="16">
        <v>150871</v>
      </c>
      <c r="M27" s="16">
        <v>145338</v>
      </c>
      <c r="N27" s="16">
        <v>141649</v>
      </c>
      <c r="O27" s="30" t="s">
        <v>73</v>
      </c>
    </row>
    <row r="28" spans="1:15" ht="21">
      <c r="A28" s="1" t="s">
        <v>39</v>
      </c>
      <c r="B28" s="14">
        <f t="shared" si="0"/>
        <v>554515</v>
      </c>
      <c r="C28" s="16">
        <v>43160</v>
      </c>
      <c r="D28" s="16">
        <v>42890</v>
      </c>
      <c r="E28" s="16">
        <v>54409</v>
      </c>
      <c r="F28" s="16">
        <v>51015</v>
      </c>
      <c r="G28" s="16">
        <v>45403</v>
      </c>
      <c r="H28" s="16">
        <v>46354</v>
      </c>
      <c r="I28" s="16">
        <v>43676</v>
      </c>
      <c r="J28" s="16">
        <v>45118</v>
      </c>
      <c r="K28" s="16">
        <v>49012</v>
      </c>
      <c r="L28" s="16">
        <v>45713</v>
      </c>
      <c r="M28" s="16">
        <v>44684</v>
      </c>
      <c r="N28" s="16">
        <v>43081</v>
      </c>
      <c r="O28" s="30" t="s">
        <v>74</v>
      </c>
    </row>
    <row r="29" spans="1:15" ht="21">
      <c r="A29" s="1" t="s">
        <v>40</v>
      </c>
      <c r="B29" s="14">
        <f t="shared" si="0"/>
        <v>357355</v>
      </c>
      <c r="C29" s="16">
        <v>22540</v>
      </c>
      <c r="D29" s="16">
        <v>24954</v>
      </c>
      <c r="E29" s="16">
        <v>29779</v>
      </c>
      <c r="F29" s="16">
        <v>33073</v>
      </c>
      <c r="G29" s="16">
        <v>32087</v>
      </c>
      <c r="H29" s="16">
        <v>29618</v>
      </c>
      <c r="I29" s="16">
        <v>30216</v>
      </c>
      <c r="J29" s="16">
        <v>31014</v>
      </c>
      <c r="K29" s="16">
        <v>33840</v>
      </c>
      <c r="L29" s="16">
        <v>31590</v>
      </c>
      <c r="M29" s="16">
        <v>30858</v>
      </c>
      <c r="N29" s="16">
        <v>27786</v>
      </c>
      <c r="O29" s="30" t="s">
        <v>75</v>
      </c>
    </row>
    <row r="30" spans="1:15" ht="21">
      <c r="A30" s="1" t="s">
        <v>41</v>
      </c>
      <c r="B30" s="14">
        <f t="shared" si="0"/>
        <v>1362648</v>
      </c>
      <c r="C30" s="16">
        <v>91011</v>
      </c>
      <c r="D30" s="16">
        <v>109505</v>
      </c>
      <c r="E30" s="16">
        <v>126066</v>
      </c>
      <c r="F30" s="16">
        <v>131162</v>
      </c>
      <c r="G30" s="16">
        <v>109626</v>
      </c>
      <c r="H30" s="16">
        <v>102390</v>
      </c>
      <c r="I30" s="16">
        <v>105673</v>
      </c>
      <c r="J30" s="16">
        <v>113830</v>
      </c>
      <c r="K30" s="16">
        <v>113773</v>
      </c>
      <c r="L30" s="16">
        <v>111731</v>
      </c>
      <c r="M30" s="16">
        <v>122169</v>
      </c>
      <c r="N30" s="16">
        <v>125712</v>
      </c>
      <c r="O30" s="30" t="s">
        <v>76</v>
      </c>
    </row>
    <row r="31" spans="1:15" ht="21">
      <c r="A31" s="1" t="s">
        <v>42</v>
      </c>
      <c r="B31" s="14">
        <f t="shared" si="0"/>
        <v>632751</v>
      </c>
      <c r="C31" s="16">
        <v>47540</v>
      </c>
      <c r="D31" s="16">
        <v>47929</v>
      </c>
      <c r="E31" s="16">
        <v>56707</v>
      </c>
      <c r="F31" s="16">
        <v>55778</v>
      </c>
      <c r="G31" s="16">
        <v>54661</v>
      </c>
      <c r="H31" s="16">
        <v>53276</v>
      </c>
      <c r="I31" s="16">
        <v>56401</v>
      </c>
      <c r="J31" s="16">
        <v>54024</v>
      </c>
      <c r="K31" s="16">
        <v>55096</v>
      </c>
      <c r="L31" s="16">
        <v>50434</v>
      </c>
      <c r="M31" s="16">
        <v>50383</v>
      </c>
      <c r="N31" s="16">
        <v>50522</v>
      </c>
      <c r="O31" s="30" t="s">
        <v>77</v>
      </c>
    </row>
    <row r="32" spans="1:15" ht="21">
      <c r="A32" s="1" t="s">
        <v>78</v>
      </c>
      <c r="B32" s="14">
        <f t="shared" si="0"/>
        <v>1662656</v>
      </c>
      <c r="C32" s="16">
        <v>112014</v>
      </c>
      <c r="D32" s="16">
        <v>122551</v>
      </c>
      <c r="E32" s="16">
        <v>157013</v>
      </c>
      <c r="F32" s="16">
        <v>154227</v>
      </c>
      <c r="G32" s="16">
        <v>148772</v>
      </c>
      <c r="H32" s="16">
        <v>150447</v>
      </c>
      <c r="I32" s="16">
        <v>138438</v>
      </c>
      <c r="J32" s="16">
        <v>134631</v>
      </c>
      <c r="K32" s="16">
        <v>142461</v>
      </c>
      <c r="L32" s="16">
        <v>143565</v>
      </c>
      <c r="M32" s="16">
        <v>134277</v>
      </c>
      <c r="N32" s="16">
        <v>124260</v>
      </c>
      <c r="O32" s="30" t="s">
        <v>79</v>
      </c>
    </row>
    <row r="33" spans="1:81" ht="21">
      <c r="A33" s="1" t="s">
        <v>43</v>
      </c>
      <c r="B33" s="14">
        <f>SUM(C33:N33)</f>
        <v>406520</v>
      </c>
      <c r="C33" s="16">
        <v>30621</v>
      </c>
      <c r="D33" s="16">
        <v>33646</v>
      </c>
      <c r="E33" s="16">
        <v>38421</v>
      </c>
      <c r="F33" s="16">
        <v>35973</v>
      </c>
      <c r="G33" s="16">
        <v>31212</v>
      </c>
      <c r="H33" s="16">
        <v>33646</v>
      </c>
      <c r="I33" s="16">
        <v>34969</v>
      </c>
      <c r="J33" s="16">
        <v>32221</v>
      </c>
      <c r="K33" s="16">
        <v>36274</v>
      </c>
      <c r="L33" s="16">
        <v>31443</v>
      </c>
      <c r="M33" s="16">
        <v>33227</v>
      </c>
      <c r="N33" s="16">
        <v>34867</v>
      </c>
      <c r="O33" s="30" t="s">
        <v>80</v>
      </c>
    </row>
    <row r="34" spans="1:81" ht="21">
      <c r="A34" s="1" t="s">
        <v>44</v>
      </c>
      <c r="B34" s="14">
        <f t="shared" ref="B34:B41" si="1">SUM(C34:N34)</f>
        <v>159394</v>
      </c>
      <c r="C34" s="16">
        <v>10505</v>
      </c>
      <c r="D34" s="16">
        <v>11327</v>
      </c>
      <c r="E34" s="16">
        <v>15662</v>
      </c>
      <c r="F34" s="16">
        <v>13683</v>
      </c>
      <c r="G34" s="16">
        <v>13725</v>
      </c>
      <c r="H34" s="16">
        <v>13620</v>
      </c>
      <c r="I34" s="16">
        <v>13360</v>
      </c>
      <c r="J34" s="16">
        <v>14036</v>
      </c>
      <c r="K34" s="16">
        <v>13046</v>
      </c>
      <c r="L34" s="16">
        <v>13497</v>
      </c>
      <c r="M34" s="16">
        <v>13480</v>
      </c>
      <c r="N34" s="16">
        <v>13453</v>
      </c>
      <c r="O34" s="30" t="s">
        <v>81</v>
      </c>
    </row>
    <row r="35" spans="1:81" ht="21">
      <c r="A35" s="1" t="s">
        <v>45</v>
      </c>
      <c r="B35" s="14">
        <f t="shared" si="1"/>
        <v>257659</v>
      </c>
      <c r="C35" s="16">
        <v>17442</v>
      </c>
      <c r="D35" s="16">
        <v>18159</v>
      </c>
      <c r="E35" s="16">
        <v>24394</v>
      </c>
      <c r="F35" s="16">
        <v>23580</v>
      </c>
      <c r="G35" s="16">
        <v>22128</v>
      </c>
      <c r="H35" s="16">
        <v>21679</v>
      </c>
      <c r="I35" s="16">
        <v>21654</v>
      </c>
      <c r="J35" s="16">
        <v>22680</v>
      </c>
      <c r="K35" s="16">
        <v>23009</v>
      </c>
      <c r="L35" s="16">
        <v>21309</v>
      </c>
      <c r="M35" s="16">
        <v>20549</v>
      </c>
      <c r="N35" s="16">
        <v>21076</v>
      </c>
      <c r="O35" s="30" t="s">
        <v>82</v>
      </c>
    </row>
    <row r="36" spans="1:81" ht="21">
      <c r="A36" s="1" t="s">
        <v>46</v>
      </c>
      <c r="B36" s="14">
        <f t="shared" si="1"/>
        <v>937503</v>
      </c>
      <c r="C36" s="16">
        <v>62489</v>
      </c>
      <c r="D36" s="16">
        <v>68332</v>
      </c>
      <c r="E36" s="16">
        <v>75150</v>
      </c>
      <c r="F36" s="16">
        <v>88571</v>
      </c>
      <c r="G36" s="16">
        <v>83848</v>
      </c>
      <c r="H36" s="16">
        <v>84032</v>
      </c>
      <c r="I36" s="16">
        <v>80790</v>
      </c>
      <c r="J36" s="16">
        <v>79728</v>
      </c>
      <c r="K36" s="16">
        <v>77562</v>
      </c>
      <c r="L36" s="16">
        <v>82722</v>
      </c>
      <c r="M36" s="16">
        <v>77513</v>
      </c>
      <c r="N36" s="16">
        <v>76766</v>
      </c>
      <c r="O36" s="30" t="s">
        <v>83</v>
      </c>
    </row>
    <row r="37" spans="1:81" ht="21">
      <c r="A37" s="1" t="s">
        <v>47</v>
      </c>
      <c r="B37" s="14">
        <f t="shared" si="1"/>
        <v>526076</v>
      </c>
      <c r="C37" s="16">
        <v>40553</v>
      </c>
      <c r="D37" s="16">
        <v>43197</v>
      </c>
      <c r="E37" s="16">
        <v>48368</v>
      </c>
      <c r="F37" s="16">
        <v>48974</v>
      </c>
      <c r="G37" s="16">
        <v>45244</v>
      </c>
      <c r="H37" s="16">
        <v>43240</v>
      </c>
      <c r="I37" s="16">
        <v>44068</v>
      </c>
      <c r="J37" s="16">
        <v>46595</v>
      </c>
      <c r="K37" s="16">
        <v>44097</v>
      </c>
      <c r="L37" s="16">
        <v>41599</v>
      </c>
      <c r="M37" s="16">
        <v>40820</v>
      </c>
      <c r="N37" s="16">
        <v>39321</v>
      </c>
      <c r="O37" s="30" t="s">
        <v>84</v>
      </c>
    </row>
    <row r="38" spans="1:81" ht="21">
      <c r="A38" s="1" t="s">
        <v>48</v>
      </c>
      <c r="B38" s="14">
        <f t="shared" si="1"/>
        <v>699275</v>
      </c>
      <c r="C38" s="16">
        <v>52565</v>
      </c>
      <c r="D38" s="16">
        <v>56826</v>
      </c>
      <c r="E38" s="16">
        <v>62093</v>
      </c>
      <c r="F38" s="16">
        <v>62956</v>
      </c>
      <c r="G38" s="16">
        <v>55592</v>
      </c>
      <c r="H38" s="16">
        <v>53672</v>
      </c>
      <c r="I38" s="16">
        <v>55208</v>
      </c>
      <c r="J38" s="16">
        <v>59751</v>
      </c>
      <c r="K38" s="16">
        <v>59377</v>
      </c>
      <c r="L38" s="16">
        <v>54703</v>
      </c>
      <c r="M38" s="16">
        <v>65616</v>
      </c>
      <c r="N38" s="16">
        <v>60916</v>
      </c>
      <c r="O38" s="30" t="s">
        <v>85</v>
      </c>
    </row>
    <row r="39" spans="1:81" ht="21">
      <c r="A39" s="1" t="s">
        <v>49</v>
      </c>
      <c r="B39" s="14">
        <f t="shared" si="1"/>
        <v>744478</v>
      </c>
      <c r="C39" s="16">
        <v>62604</v>
      </c>
      <c r="D39" s="16">
        <v>63945</v>
      </c>
      <c r="E39" s="16">
        <v>73082</v>
      </c>
      <c r="F39" s="16">
        <v>69346</v>
      </c>
      <c r="G39" s="16">
        <v>55170</v>
      </c>
      <c r="H39" s="16">
        <v>56561</v>
      </c>
      <c r="I39" s="16">
        <v>58099</v>
      </c>
      <c r="J39" s="16">
        <v>62736</v>
      </c>
      <c r="K39" s="16">
        <v>58671</v>
      </c>
      <c r="L39" s="16">
        <v>55941</v>
      </c>
      <c r="M39" s="16">
        <v>63757</v>
      </c>
      <c r="N39" s="16">
        <v>64566</v>
      </c>
      <c r="O39" s="30" t="s">
        <v>86</v>
      </c>
    </row>
    <row r="40" spans="1:81" ht="21">
      <c r="A40" s="1" t="s">
        <v>50</v>
      </c>
      <c r="B40" s="14">
        <f t="shared" si="1"/>
        <v>589158</v>
      </c>
      <c r="C40" s="16">
        <v>42201</v>
      </c>
      <c r="D40" s="16">
        <v>46845</v>
      </c>
      <c r="E40" s="16">
        <v>57540</v>
      </c>
      <c r="F40" s="16">
        <v>57125</v>
      </c>
      <c r="G40" s="16">
        <v>47725</v>
      </c>
      <c r="H40" s="16">
        <v>47420</v>
      </c>
      <c r="I40" s="16">
        <v>48030</v>
      </c>
      <c r="J40" s="16">
        <v>50232</v>
      </c>
      <c r="K40" s="16">
        <v>47665</v>
      </c>
      <c r="L40" s="16">
        <v>46877</v>
      </c>
      <c r="M40" s="16">
        <v>48410</v>
      </c>
      <c r="N40" s="16">
        <v>49088</v>
      </c>
      <c r="O40" s="30" t="s">
        <v>87</v>
      </c>
    </row>
    <row r="41" spans="1:81" ht="21">
      <c r="A41" s="13" t="s">
        <v>51</v>
      </c>
      <c r="B41" s="15">
        <f t="shared" si="1"/>
        <v>95107</v>
      </c>
      <c r="C41" s="31">
        <v>7530</v>
      </c>
      <c r="D41" s="31">
        <v>5296</v>
      </c>
      <c r="E41" s="31">
        <v>9066</v>
      </c>
      <c r="F41" s="31">
        <v>8339</v>
      </c>
      <c r="G41" s="31">
        <v>6230</v>
      </c>
      <c r="H41" s="31">
        <v>7122</v>
      </c>
      <c r="I41" s="31">
        <v>5881</v>
      </c>
      <c r="J41" s="31">
        <v>6126</v>
      </c>
      <c r="K41" s="31">
        <v>7393</v>
      </c>
      <c r="L41" s="31">
        <v>10493</v>
      </c>
      <c r="M41" s="31">
        <v>10828</v>
      </c>
      <c r="N41" s="31">
        <v>10803</v>
      </c>
      <c r="O41" s="9" t="s">
        <v>88</v>
      </c>
    </row>
    <row r="42" spans="1:81">
      <c r="A42" s="32" t="s">
        <v>2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5"/>
      <c r="O42" s="36" t="s">
        <v>3</v>
      </c>
    </row>
    <row r="43" spans="1:81" s="10" customFormat="1"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</row>
    <row r="44" spans="1:81" s="3" customFormat="1"/>
    <row r="45" spans="1:81" s="3" customFormat="1"/>
    <row r="46" spans="1:81" s="3" customFormat="1"/>
    <row r="47" spans="1:81" s="3" customFormat="1"/>
    <row r="48" spans="1:81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  <row r="321" s="3" customFormat="1"/>
    <row r="322" s="3" customFormat="1"/>
    <row r="323" s="3" customFormat="1"/>
    <row r="324" s="3" customFormat="1"/>
    <row r="325" s="3" customFormat="1"/>
    <row r="326" s="3" customFormat="1"/>
    <row r="327" s="3" customFormat="1"/>
    <row r="328" s="3" customFormat="1"/>
    <row r="329" s="3" customFormat="1"/>
    <row r="330" s="3" customFormat="1"/>
    <row r="331" s="3" customFormat="1"/>
    <row r="332" s="3" customFormat="1"/>
    <row r="333" s="3" customFormat="1"/>
    <row r="334" s="3" customFormat="1"/>
    <row r="335" s="3" customFormat="1"/>
    <row r="336" s="3" customFormat="1"/>
    <row r="337" s="3" customFormat="1"/>
    <row r="338" s="3" customFormat="1"/>
    <row r="339" s="3" customFormat="1"/>
    <row r="340" s="3" customFormat="1"/>
    <row r="341" s="3" customFormat="1"/>
    <row r="342" s="3" customFormat="1"/>
    <row r="343" s="3" customFormat="1"/>
    <row r="344" s="3" customFormat="1"/>
    <row r="345" s="3" customFormat="1"/>
    <row r="346" s="3" customFormat="1"/>
    <row r="347" s="3" customFormat="1"/>
    <row r="348" s="3" customFormat="1"/>
    <row r="349" s="3" customFormat="1"/>
    <row r="350" s="3" customFormat="1"/>
    <row r="351" s="3" customFormat="1"/>
    <row r="352" s="3" customFormat="1"/>
    <row r="353" s="3" customFormat="1"/>
    <row r="354" s="3" customFormat="1"/>
    <row r="355" s="3" customFormat="1"/>
    <row r="356" s="3" customFormat="1"/>
    <row r="357" s="3" customFormat="1"/>
    <row r="358" s="3" customFormat="1"/>
    <row r="359" s="3" customFormat="1"/>
    <row r="360" s="3" customFormat="1"/>
    <row r="361" s="3" customFormat="1"/>
    <row r="362" s="3" customFormat="1"/>
    <row r="363" s="3" customFormat="1"/>
    <row r="364" s="3" customFormat="1"/>
    <row r="365" s="3" customFormat="1"/>
    <row r="366" s="3" customFormat="1"/>
    <row r="367" s="3" customFormat="1"/>
    <row r="368" s="3" customFormat="1"/>
    <row r="369" s="3" customFormat="1"/>
    <row r="370" s="3" customFormat="1"/>
    <row r="371" s="3" customFormat="1"/>
    <row r="372" s="3" customFormat="1"/>
    <row r="373" s="3" customFormat="1"/>
    <row r="374" s="3" customFormat="1"/>
    <row r="375" s="3" customFormat="1"/>
    <row r="376" s="3" customFormat="1"/>
    <row r="377" s="3" customFormat="1"/>
    <row r="378" s="3" customFormat="1"/>
    <row r="379" s="3" customFormat="1"/>
    <row r="380" s="3" customFormat="1"/>
    <row r="381" s="3" customFormat="1"/>
    <row r="382" s="3" customFormat="1"/>
    <row r="383" s="3" customFormat="1"/>
    <row r="384" s="3" customFormat="1"/>
    <row r="385" s="3" customFormat="1"/>
    <row r="386" s="3" customFormat="1"/>
    <row r="387" s="3" customFormat="1"/>
    <row r="388" s="3" customFormat="1"/>
    <row r="389" s="3" customFormat="1"/>
    <row r="390" s="3" customFormat="1"/>
    <row r="391" s="3" customFormat="1"/>
    <row r="392" s="3" customFormat="1"/>
    <row r="393" s="3" customFormat="1"/>
    <row r="394" s="3" customFormat="1"/>
    <row r="395" s="3" customFormat="1"/>
    <row r="396" s="3" customFormat="1"/>
    <row r="397" s="3" customFormat="1"/>
    <row r="398" s="3" customFormat="1"/>
    <row r="399" s="3" customFormat="1"/>
    <row r="400" s="3" customFormat="1"/>
    <row r="401" s="3" customFormat="1"/>
    <row r="402" s="3" customFormat="1"/>
    <row r="403" s="3" customFormat="1"/>
    <row r="404" s="3" customFormat="1"/>
    <row r="405" s="3" customFormat="1"/>
    <row r="406" s="3" customFormat="1"/>
    <row r="407" s="3" customFormat="1"/>
    <row r="408" s="3" customFormat="1"/>
    <row r="409" s="3" customFormat="1"/>
    <row r="410" s="3" customFormat="1"/>
    <row r="411" s="3" customFormat="1"/>
    <row r="412" s="3" customFormat="1"/>
    <row r="413" s="3" customFormat="1"/>
    <row r="414" s="3" customFormat="1"/>
    <row r="415" s="3" customFormat="1"/>
    <row r="416" s="3" customFormat="1"/>
    <row r="417" s="3" customFormat="1"/>
    <row r="418" s="3" customFormat="1"/>
    <row r="419" s="3" customFormat="1"/>
    <row r="420" s="3" customFormat="1"/>
    <row r="421" s="3" customFormat="1"/>
    <row r="422" s="3" customFormat="1"/>
    <row r="423" s="3" customFormat="1"/>
    <row r="424" s="3" customFormat="1"/>
    <row r="425" s="3" customFormat="1"/>
    <row r="426" s="3" customFormat="1"/>
    <row r="427" s="3" customFormat="1"/>
    <row r="428" s="3" customFormat="1"/>
    <row r="429" s="3" customFormat="1"/>
    <row r="430" s="3" customFormat="1"/>
    <row r="431" s="3" customFormat="1"/>
    <row r="432" s="3" customFormat="1"/>
    <row r="433" s="3" customFormat="1"/>
    <row r="434" s="3" customFormat="1"/>
    <row r="435" s="3" customFormat="1"/>
    <row r="436" s="3" customFormat="1"/>
    <row r="437" s="3" customFormat="1"/>
    <row r="438" s="3" customFormat="1"/>
    <row r="439" s="3" customFormat="1"/>
    <row r="440" s="3" customFormat="1"/>
    <row r="441" s="3" customFormat="1"/>
    <row r="442" s="3" customFormat="1"/>
    <row r="443" s="3" customFormat="1"/>
    <row r="444" s="3" customFormat="1"/>
    <row r="445" s="3" customFormat="1"/>
    <row r="446" s="3" customFormat="1"/>
    <row r="447" s="3" customFormat="1"/>
    <row r="448" s="3" customFormat="1"/>
    <row r="449" s="3" customFormat="1"/>
    <row r="450" s="3" customFormat="1"/>
    <row r="451" s="3" customFormat="1"/>
    <row r="452" s="3" customFormat="1"/>
    <row r="453" s="3" customFormat="1"/>
    <row r="454" s="3" customFormat="1"/>
    <row r="455" s="3" customFormat="1"/>
    <row r="456" s="3" customFormat="1"/>
    <row r="457" s="3" customFormat="1"/>
    <row r="458" s="3" customFormat="1"/>
    <row r="459" s="3" customFormat="1"/>
    <row r="460" s="3" customFormat="1"/>
    <row r="461" s="3" customFormat="1"/>
    <row r="462" s="3" customFormat="1"/>
    <row r="463" s="3" customFormat="1"/>
    <row r="464" s="3" customFormat="1"/>
    <row r="465" s="3" customFormat="1"/>
    <row r="466" s="3" customFormat="1"/>
    <row r="467" s="3" customFormat="1"/>
    <row r="468" s="3" customFormat="1"/>
    <row r="469" s="3" customFormat="1"/>
    <row r="470" s="3" customFormat="1"/>
    <row r="471" s="3" customFormat="1"/>
    <row r="472" s="3" customFormat="1"/>
    <row r="473" s="3" customFormat="1"/>
    <row r="474" s="3" customFormat="1"/>
    <row r="475" s="3" customFormat="1"/>
    <row r="476" s="3" customFormat="1"/>
    <row r="477" s="3" customFormat="1"/>
    <row r="478" s="3" customFormat="1"/>
    <row r="479" s="3" customFormat="1"/>
    <row r="480" s="3" customFormat="1"/>
    <row r="481" s="3" customFormat="1"/>
    <row r="482" s="3" customFormat="1"/>
    <row r="483" s="3" customFormat="1"/>
    <row r="484" s="3" customFormat="1"/>
    <row r="485" s="3" customFormat="1"/>
    <row r="486" s="3" customFormat="1"/>
    <row r="487" s="3" customFormat="1"/>
    <row r="488" s="3" customFormat="1"/>
    <row r="489" s="3" customFormat="1"/>
    <row r="490" s="3" customFormat="1"/>
    <row r="491" s="3" customFormat="1"/>
    <row r="492" s="3" customFormat="1"/>
    <row r="493" s="3" customFormat="1"/>
    <row r="494" s="3" customFormat="1"/>
    <row r="495" s="3" customFormat="1"/>
    <row r="496" s="3" customFormat="1"/>
    <row r="497" s="3" customFormat="1"/>
    <row r="498" s="3" customFormat="1"/>
    <row r="499" s="3" customFormat="1"/>
    <row r="500" s="3" customFormat="1"/>
    <row r="501" s="3" customFormat="1"/>
    <row r="502" s="3" customFormat="1"/>
    <row r="503" s="3" customFormat="1"/>
    <row r="504" s="3" customFormat="1"/>
    <row r="505" s="3" customFormat="1"/>
    <row r="506" s="3" customFormat="1"/>
    <row r="507" s="3" customFormat="1"/>
    <row r="508" s="3" customFormat="1"/>
    <row r="509" s="3" customFormat="1"/>
    <row r="510" s="3" customFormat="1"/>
    <row r="511" s="3" customFormat="1"/>
    <row r="512" s="3" customFormat="1"/>
    <row r="513" s="3" customFormat="1"/>
    <row r="514" s="3" customFormat="1"/>
    <row r="515" s="3" customFormat="1"/>
    <row r="516" s="3" customFormat="1"/>
    <row r="517" s="3" customFormat="1"/>
    <row r="518" s="3" customFormat="1"/>
    <row r="519" s="3" customFormat="1"/>
    <row r="520" s="3" customFormat="1"/>
    <row r="521" s="3" customFormat="1"/>
    <row r="522" s="3" customFormat="1"/>
    <row r="523" s="3" customFormat="1"/>
    <row r="524" s="3" customFormat="1"/>
    <row r="525" s="3" customFormat="1"/>
    <row r="526" s="3" customFormat="1"/>
    <row r="527" s="3" customFormat="1"/>
    <row r="528" s="3" customFormat="1"/>
    <row r="529" s="3" customFormat="1"/>
    <row r="530" s="3" customFormat="1"/>
    <row r="531" s="3" customFormat="1"/>
    <row r="532" s="3" customFormat="1"/>
    <row r="533" s="3" customFormat="1"/>
    <row r="534" s="3" customFormat="1"/>
    <row r="535" s="3" customFormat="1"/>
    <row r="536" s="3" customFormat="1"/>
    <row r="537" s="3" customFormat="1"/>
    <row r="538" s="3" customFormat="1"/>
    <row r="539" s="3" customFormat="1"/>
    <row r="540" s="3" customFormat="1"/>
    <row r="541" s="3" customFormat="1"/>
    <row r="542" s="3" customFormat="1"/>
    <row r="543" s="3" customFormat="1"/>
    <row r="544" s="3" customFormat="1"/>
    <row r="545" s="3" customFormat="1"/>
    <row r="546" s="3" customFormat="1"/>
    <row r="547" s="3" customFormat="1"/>
    <row r="548" s="3" customFormat="1"/>
    <row r="549" s="3" customFormat="1"/>
    <row r="550" s="3" customFormat="1"/>
    <row r="551" s="3" customFormat="1"/>
    <row r="552" s="3" customFormat="1"/>
    <row r="553" s="3" customFormat="1"/>
    <row r="554" s="3" customFormat="1"/>
    <row r="555" s="3" customFormat="1"/>
    <row r="556" s="3" customFormat="1"/>
    <row r="557" s="3" customFormat="1"/>
    <row r="558" s="3" customFormat="1"/>
    <row r="559" s="3" customFormat="1"/>
    <row r="560" s="3" customFormat="1"/>
    <row r="561" s="3" customFormat="1"/>
    <row r="562" s="3" customFormat="1"/>
    <row r="563" s="3" customFormat="1"/>
    <row r="564" s="3" customFormat="1"/>
    <row r="565" s="3" customFormat="1"/>
    <row r="566" s="3" customFormat="1"/>
    <row r="567" s="3" customFormat="1"/>
    <row r="568" s="3" customFormat="1"/>
    <row r="569" s="3" customFormat="1"/>
    <row r="570" s="3" customFormat="1"/>
    <row r="571" s="3" customFormat="1"/>
    <row r="572" s="3" customFormat="1"/>
    <row r="573" s="3" customFormat="1"/>
    <row r="574" s="3" customFormat="1"/>
    <row r="575" s="3" customFormat="1"/>
    <row r="576" s="3" customFormat="1"/>
    <row r="577" s="3" customFormat="1"/>
    <row r="578" s="3" customFormat="1"/>
    <row r="579" s="3" customFormat="1"/>
    <row r="580" s="3" customFormat="1"/>
    <row r="581" s="3" customFormat="1"/>
    <row r="582" s="3" customFormat="1"/>
    <row r="583" s="3" customFormat="1"/>
    <row r="584" s="3" customFormat="1"/>
    <row r="585" s="3" customFormat="1"/>
    <row r="586" s="3" customFormat="1"/>
    <row r="587" s="3" customFormat="1"/>
    <row r="588" s="3" customFormat="1"/>
    <row r="589" s="3" customFormat="1"/>
    <row r="590" s="3" customFormat="1"/>
    <row r="591" s="3" customFormat="1"/>
    <row r="592" s="3" customFormat="1"/>
    <row r="593" s="3" customFormat="1"/>
    <row r="594" s="3" customFormat="1"/>
    <row r="595" s="3" customFormat="1"/>
    <row r="596" s="3" customFormat="1"/>
    <row r="597" s="3" customFormat="1"/>
    <row r="598" s="3" customFormat="1"/>
    <row r="599" s="3" customFormat="1"/>
    <row r="600" s="3" customFormat="1"/>
    <row r="601" s="3" customFormat="1"/>
    <row r="602" s="3" customFormat="1"/>
    <row r="603" s="3" customFormat="1"/>
    <row r="604" s="3" customFormat="1"/>
    <row r="605" s="3" customFormat="1"/>
    <row r="606" s="3" customFormat="1"/>
    <row r="607" s="3" customFormat="1"/>
    <row r="608" s="3" customFormat="1"/>
    <row r="609" s="3" customFormat="1"/>
    <row r="610" s="3" customFormat="1"/>
    <row r="611" s="3" customFormat="1"/>
    <row r="612" s="3" customFormat="1"/>
    <row r="613" s="3" customFormat="1"/>
    <row r="614" s="3" customFormat="1"/>
    <row r="615" s="3" customFormat="1"/>
    <row r="616" s="3" customFormat="1"/>
    <row r="617" s="3" customFormat="1"/>
    <row r="618" s="3" customFormat="1"/>
    <row r="619" s="3" customFormat="1"/>
    <row r="620" s="3" customFormat="1"/>
    <row r="621" s="3" customFormat="1"/>
    <row r="622" s="3" customFormat="1"/>
    <row r="623" s="3" customFormat="1"/>
    <row r="624" s="3" customFormat="1"/>
    <row r="625" s="3" customFormat="1"/>
    <row r="626" s="3" customFormat="1"/>
    <row r="627" s="3" customFormat="1"/>
    <row r="628" s="3" customFormat="1"/>
    <row r="629" s="3" customFormat="1"/>
    <row r="630" s="3" customFormat="1"/>
    <row r="631" s="3" customFormat="1"/>
    <row r="632" s="3" customFormat="1"/>
    <row r="633" s="3" customFormat="1"/>
    <row r="634" s="3" customFormat="1"/>
    <row r="635" s="3" customFormat="1"/>
    <row r="636" s="3" customFormat="1"/>
    <row r="637" s="3" customFormat="1"/>
    <row r="638" s="3" customFormat="1"/>
    <row r="639" s="3" customFormat="1"/>
    <row r="640" s="3" customFormat="1"/>
    <row r="641" s="3" customFormat="1"/>
    <row r="642" s="3" customFormat="1"/>
    <row r="643" s="3" customFormat="1"/>
    <row r="644" s="3" customFormat="1"/>
    <row r="645" s="3" customFormat="1"/>
    <row r="646" s="3" customFormat="1"/>
    <row r="647" s="3" customFormat="1"/>
    <row r="648" s="3" customFormat="1"/>
    <row r="649" s="3" customFormat="1"/>
    <row r="650" s="3" customFormat="1"/>
    <row r="651" s="3" customFormat="1"/>
    <row r="652" s="3" customFormat="1"/>
    <row r="653" s="3" customFormat="1"/>
    <row r="654" s="3" customFormat="1"/>
    <row r="655" s="3" customFormat="1"/>
    <row r="656" s="3" customFormat="1"/>
    <row r="657" s="3" customFormat="1"/>
    <row r="658" s="3" customFormat="1"/>
    <row r="659" s="3" customFormat="1"/>
    <row r="660" s="3" customFormat="1"/>
    <row r="661" s="3" customFormat="1"/>
    <row r="662" s="3" customFormat="1"/>
    <row r="663" s="3" customFormat="1"/>
    <row r="664" s="3" customFormat="1"/>
    <row r="665" s="3" customFormat="1"/>
    <row r="666" s="3" customFormat="1"/>
    <row r="667" s="3" customFormat="1"/>
    <row r="668" s="3" customFormat="1"/>
    <row r="669" s="3" customFormat="1"/>
    <row r="670" s="3" customFormat="1"/>
    <row r="671" s="3" customFormat="1"/>
    <row r="672" s="3" customFormat="1"/>
    <row r="673" s="3" customFormat="1"/>
    <row r="674" s="3" customFormat="1"/>
    <row r="675" s="3" customFormat="1"/>
    <row r="676" s="3" customFormat="1"/>
    <row r="677" s="3" customFormat="1"/>
    <row r="678" s="3" customFormat="1"/>
    <row r="679" s="3" customFormat="1"/>
    <row r="680" s="3" customFormat="1"/>
    <row r="681" s="3" customFormat="1"/>
    <row r="682" s="3" customFormat="1"/>
    <row r="683" s="3" customFormat="1"/>
    <row r="684" s="3" customFormat="1"/>
    <row r="685" s="3" customFormat="1"/>
    <row r="686" s="3" customFormat="1"/>
    <row r="687" s="3" customFormat="1"/>
    <row r="688" s="3" customFormat="1"/>
    <row r="689" s="3" customFormat="1"/>
    <row r="690" s="3" customFormat="1"/>
    <row r="691" s="3" customFormat="1"/>
    <row r="692" s="3" customFormat="1"/>
    <row r="693" s="3" customFormat="1"/>
    <row r="694" s="3" customFormat="1"/>
    <row r="695" s="3" customFormat="1"/>
    <row r="696" s="3" customFormat="1"/>
    <row r="697" s="3" customFormat="1"/>
    <row r="698" s="3" customFormat="1"/>
    <row r="699" s="3" customFormat="1"/>
    <row r="700" s="3" customFormat="1"/>
    <row r="701" s="3" customFormat="1"/>
    <row r="702" s="3" customFormat="1"/>
    <row r="703" s="3" customFormat="1"/>
    <row r="704" s="3" customFormat="1"/>
    <row r="705" s="3" customFormat="1"/>
    <row r="706" s="3" customFormat="1"/>
    <row r="707" s="3" customFormat="1"/>
    <row r="708" s="3" customFormat="1"/>
    <row r="709" s="3" customFormat="1"/>
    <row r="710" s="3" customFormat="1"/>
    <row r="711" s="3" customFormat="1"/>
    <row r="712" s="3" customFormat="1"/>
    <row r="713" s="3" customFormat="1"/>
    <row r="714" s="3" customFormat="1"/>
    <row r="715" s="3" customFormat="1"/>
    <row r="716" s="3" customFormat="1"/>
    <row r="717" s="3" customFormat="1"/>
    <row r="718" s="3" customFormat="1"/>
    <row r="719" s="3" customFormat="1"/>
    <row r="720" s="3" customFormat="1"/>
    <row r="721" s="3" customFormat="1"/>
    <row r="722" s="3" customFormat="1"/>
    <row r="723" s="3" customFormat="1"/>
    <row r="724" s="3" customFormat="1"/>
    <row r="725" s="3" customFormat="1"/>
    <row r="726" s="3" customFormat="1"/>
    <row r="727" s="3" customFormat="1"/>
    <row r="728" s="3" customFormat="1"/>
    <row r="729" s="3" customFormat="1"/>
    <row r="730" s="3" customFormat="1"/>
    <row r="731" s="3" customFormat="1"/>
    <row r="732" s="3" customFormat="1"/>
    <row r="733" s="3" customFormat="1"/>
    <row r="734" s="3" customFormat="1"/>
    <row r="735" s="3" customFormat="1"/>
    <row r="736" s="3" customFormat="1"/>
    <row r="737" s="3" customFormat="1"/>
    <row r="738" s="3" customFormat="1"/>
    <row r="739" s="3" customFormat="1"/>
    <row r="740" s="3" customFormat="1"/>
    <row r="741" s="3" customFormat="1"/>
    <row r="742" s="3" customFormat="1"/>
    <row r="743" s="3" customFormat="1"/>
    <row r="744" s="3" customFormat="1"/>
    <row r="745" s="3" customFormat="1"/>
    <row r="746" s="3" customFormat="1"/>
    <row r="747" s="3" customFormat="1"/>
    <row r="748" s="3" customFormat="1"/>
    <row r="749" s="3" customFormat="1"/>
    <row r="750" s="3" customFormat="1"/>
    <row r="751" s="3" customFormat="1"/>
    <row r="752" s="3" customFormat="1"/>
    <row r="753" s="3" customFormat="1"/>
    <row r="754" s="3" customFormat="1"/>
    <row r="755" s="3" customFormat="1"/>
    <row r="756" s="3" customFormat="1"/>
    <row r="757" s="3" customFormat="1"/>
    <row r="758" s="3" customFormat="1"/>
    <row r="759" s="3" customFormat="1"/>
    <row r="760" s="3" customFormat="1"/>
    <row r="761" s="3" customFormat="1"/>
    <row r="762" s="3" customFormat="1"/>
    <row r="763" s="3" customFormat="1"/>
    <row r="764" s="3" customFormat="1"/>
    <row r="765" s="3" customFormat="1"/>
    <row r="766" s="3" customFormat="1"/>
    <row r="767" s="3" customFormat="1"/>
    <row r="768" s="3" customFormat="1"/>
    <row r="769" s="3" customFormat="1"/>
    <row r="770" s="3" customFormat="1"/>
    <row r="771" s="3" customFormat="1"/>
    <row r="772" s="3" customFormat="1"/>
    <row r="773" s="3" customFormat="1"/>
    <row r="774" s="3" customFormat="1"/>
    <row r="775" s="3" customFormat="1"/>
    <row r="776" s="3" customFormat="1"/>
    <row r="777" s="3" customFormat="1"/>
    <row r="778" s="3" customFormat="1"/>
    <row r="779" s="3" customFormat="1"/>
    <row r="780" s="3" customFormat="1"/>
    <row r="781" s="3" customFormat="1"/>
    <row r="782" s="3" customFormat="1"/>
    <row r="783" s="3" customFormat="1"/>
    <row r="784" s="3" customFormat="1"/>
    <row r="785" s="3" customFormat="1"/>
    <row r="786" s="3" customFormat="1"/>
    <row r="787" s="3" customFormat="1"/>
    <row r="788" s="3" customFormat="1"/>
    <row r="789" s="3" customFormat="1"/>
    <row r="790" s="3" customFormat="1"/>
    <row r="791" s="3" customFormat="1"/>
    <row r="792" s="3" customFormat="1"/>
    <row r="793" s="3" customFormat="1"/>
    <row r="794" s="3" customFormat="1"/>
    <row r="795" s="3" customFormat="1"/>
    <row r="796" s="3" customFormat="1"/>
    <row r="797" s="3" customFormat="1"/>
    <row r="798" s="3" customFormat="1"/>
    <row r="799" s="3" customFormat="1"/>
    <row r="800" s="3" customFormat="1"/>
    <row r="801" s="3" customFormat="1"/>
    <row r="802" s="3" customFormat="1"/>
    <row r="803" s="3" customFormat="1"/>
    <row r="804" s="3" customFormat="1"/>
  </sheetData>
  <mergeCells count="4">
    <mergeCell ref="A1:O1"/>
    <mergeCell ref="A2:O2"/>
    <mergeCell ref="A3:O3"/>
    <mergeCell ref="A4:O4"/>
  </mergeCells>
  <pageMargins left="0.7" right="0.7" top="0.75" bottom="0.75" header="0.3" footer="0.3"/>
  <pageSetup scale="55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12.3</vt:lpstr>
      <vt:lpstr>'12.3'!Print_Area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2026-06-11T11:29:09Z</cp:lastPrinted>
  <dcterms:created xsi:type="dcterms:W3CDTF">2019-05-21T05:57:00Z</dcterms:created>
  <dcterms:modified xsi:type="dcterms:W3CDTF">2026-06-11T11:29:16Z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