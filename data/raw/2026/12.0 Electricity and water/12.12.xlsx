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12.Electricity &amp; Water\"/>
    </mc:Choice>
  </mc:AlternateContent>
  <xr:revisionPtr revIDLastSave="0" documentId="13_ncr:1_{B0EE345F-FE66-44E3-8464-4F0FCABC8ED4}" xr6:coauthVersionLast="47" xr6:coauthVersionMax="47" xr10:uidLastSave="{00000000-0000-0000-0000-000000000000}"/>
  <bookViews>
    <workbookView xWindow="-120" yWindow="-120" windowWidth="29040" windowHeight="15720" tabRatio="707" xr2:uid="{00000000-000D-0000-FFFF-FFFF00000000}"/>
  </bookViews>
  <sheets>
    <sheet name="12.12" sheetId="12" r:id="rId1"/>
  </sheets>
  <definedNames>
    <definedName name="Male">#REF!</definedName>
    <definedName name="_xlnm.Print_Area" localSheetId="0">'12.12'!$A$1:$S$22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7" i="12" l="1"/>
  <c r="Q16" i="12"/>
  <c r="B5" i="12"/>
  <c r="B11" i="12"/>
  <c r="B12" i="12"/>
  <c r="B13" i="12"/>
  <c r="B14" i="12"/>
  <c r="B15" i="12"/>
  <c r="B16" i="12"/>
  <c r="B17" i="12"/>
  <c r="B18" i="12"/>
  <c r="B19" i="12"/>
  <c r="R5" i="12"/>
  <c r="R13" i="12" s="1"/>
  <c r="R16" i="12"/>
  <c r="R17" i="12"/>
  <c r="R18" i="12"/>
  <c r="Q18" i="12"/>
  <c r="Q5" i="12"/>
  <c r="Q14" i="12" s="1"/>
  <c r="B10" i="12" l="1"/>
  <c r="R12" i="12"/>
  <c r="R14" i="12"/>
  <c r="R11" i="12"/>
  <c r="R15" i="12"/>
  <c r="Q13" i="12"/>
  <c r="Q12" i="12"/>
  <c r="Q11" i="12"/>
  <c r="Q10" i="12" s="1"/>
  <c r="R10" i="12" l="1"/>
  <c r="G19" i="12" l="1"/>
  <c r="F19" i="12"/>
  <c r="E19" i="12"/>
  <c r="D19" i="12"/>
  <c r="C19" i="12"/>
  <c r="P18" i="12"/>
  <c r="O18" i="12"/>
  <c r="N18" i="12"/>
  <c r="K18" i="12"/>
  <c r="J18" i="12"/>
  <c r="I18" i="12"/>
  <c r="H18" i="12"/>
  <c r="G18" i="12"/>
  <c r="F18" i="12"/>
  <c r="E18" i="12"/>
  <c r="D18" i="12"/>
  <c r="C18" i="12"/>
  <c r="P17" i="12"/>
  <c r="O17" i="12"/>
  <c r="N17" i="12"/>
  <c r="K17" i="12"/>
  <c r="J17" i="12"/>
  <c r="I17" i="12"/>
  <c r="H17" i="12"/>
  <c r="G17" i="12"/>
  <c r="F17" i="12"/>
  <c r="E17" i="12"/>
  <c r="D17" i="12"/>
  <c r="C17" i="12"/>
  <c r="P16" i="12"/>
  <c r="O16" i="12"/>
  <c r="N16" i="12"/>
  <c r="K16" i="12"/>
  <c r="J16" i="12"/>
  <c r="I16" i="12"/>
  <c r="H16" i="12"/>
  <c r="G16" i="12"/>
  <c r="F16" i="12"/>
  <c r="M18" i="12"/>
  <c r="M17" i="12"/>
  <c r="M16" i="12"/>
  <c r="P5" i="12"/>
  <c r="O5" i="12"/>
  <c r="O14" i="12" s="1"/>
  <c r="N5" i="12"/>
  <c r="M5" i="12"/>
  <c r="M11" i="12" s="1"/>
  <c r="K5" i="12"/>
  <c r="J5" i="12"/>
  <c r="J14" i="12" s="1"/>
  <c r="I5" i="12"/>
  <c r="I14" i="12" s="1"/>
  <c r="H5" i="12"/>
  <c r="H13" i="12" s="1"/>
  <c r="G5" i="12"/>
  <c r="G14" i="12" s="1"/>
  <c r="F5" i="12"/>
  <c r="F14" i="12" s="1"/>
  <c r="E5" i="12"/>
  <c r="E12" i="12" s="1"/>
  <c r="D5" i="12"/>
  <c r="C5" i="12"/>
  <c r="K15" i="12" l="1"/>
  <c r="P11" i="12"/>
  <c r="Q15" i="12"/>
  <c r="N15" i="12"/>
  <c r="F13" i="12"/>
  <c r="G13" i="12"/>
  <c r="I13" i="12"/>
  <c r="K14" i="12"/>
  <c r="C15" i="12"/>
  <c r="D15" i="12"/>
  <c r="O13" i="12"/>
  <c r="C14" i="12"/>
  <c r="H14" i="12"/>
  <c r="D12" i="12"/>
  <c r="F12" i="12"/>
  <c r="G12" i="12"/>
  <c r="M12" i="12"/>
  <c r="E16" i="12"/>
  <c r="O12" i="12"/>
  <c r="E11" i="12"/>
  <c r="E15" i="12"/>
  <c r="F11" i="12"/>
  <c r="O11" i="12"/>
  <c r="H12" i="12"/>
  <c r="J13" i="12"/>
  <c r="D14" i="12"/>
  <c r="M14" i="12"/>
  <c r="F15" i="12"/>
  <c r="N11" i="12"/>
  <c r="O15" i="12"/>
  <c r="G11" i="12"/>
  <c r="I12" i="12"/>
  <c r="C13" i="12"/>
  <c r="K13" i="12"/>
  <c r="E14" i="12"/>
  <c r="N14" i="12"/>
  <c r="G15" i="12"/>
  <c r="H11" i="12"/>
  <c r="J12" i="12"/>
  <c r="D13" i="12"/>
  <c r="M13" i="12"/>
  <c r="H15" i="12"/>
  <c r="C16" i="12"/>
  <c r="I11" i="12"/>
  <c r="C12" i="12"/>
  <c r="K12" i="12"/>
  <c r="E13" i="12"/>
  <c r="N13" i="12"/>
  <c r="I15" i="12"/>
  <c r="D16" i="12"/>
  <c r="J15" i="12"/>
  <c r="J11" i="12"/>
  <c r="C11" i="12"/>
  <c r="K11" i="12"/>
  <c r="N12" i="12"/>
  <c r="D11" i="12"/>
  <c r="P14" i="12"/>
  <c r="P13" i="12"/>
  <c r="P12" i="12"/>
  <c r="P15" i="12"/>
  <c r="L16" i="12"/>
  <c r="L17" i="12"/>
  <c r="L18" i="12"/>
  <c r="L5" i="12"/>
  <c r="O10" i="12" l="1"/>
  <c r="F10" i="12"/>
  <c r="G10" i="12"/>
  <c r="M10" i="12"/>
  <c r="K10" i="12"/>
  <c r="J10" i="12"/>
  <c r="E10" i="12"/>
  <c r="I10" i="12"/>
  <c r="N10" i="12"/>
  <c r="C10" i="12"/>
  <c r="H10" i="12"/>
  <c r="D10" i="12"/>
  <c r="P10" i="12"/>
  <c r="M15" i="12"/>
  <c r="L15" i="12"/>
  <c r="L14" i="12"/>
  <c r="L12" i="12"/>
  <c r="L11" i="12"/>
  <c r="L13" i="12"/>
  <c r="L10" i="12" l="1"/>
</calcChain>
</file>

<file path=xl/sharedStrings.xml><?xml version="1.0" encoding="utf-8"?>
<sst xmlns="http://schemas.openxmlformats.org/spreadsheetml/2006/main" count="36" uniqueCount="20">
  <si>
    <t>Type</t>
  </si>
  <si>
    <t>cnwt</t>
  </si>
  <si>
    <t>Residential</t>
  </si>
  <si>
    <t>cniaegEg ELuairid</t>
  </si>
  <si>
    <t>Institution</t>
  </si>
  <si>
    <t xml:space="preserve"> cnwxuaiTiTcscnia</t>
  </si>
  <si>
    <t>Commercial</t>
  </si>
  <si>
    <t>cnwtcnwtELug iaWairWfwyiv</t>
  </si>
  <si>
    <t>Tap Bays</t>
  </si>
  <si>
    <t>cnukwt urukcsiacnef</t>
  </si>
  <si>
    <t xml:space="preserve"> % cnutogWviawfiheb</t>
  </si>
  <si>
    <t>% change over previous year</t>
  </si>
  <si>
    <t xml:space="preserve"> % urwvcnim ivurutia eruvcSwrwhwa Iruk</t>
  </si>
  <si>
    <t>cDeTimil Inepcmok cjErevcs cDcnea rwTOv ElWm :ctWrwf ivcaedutWmUluawm</t>
  </si>
  <si>
    <t>Source: Male' Water &amp; Sewerage Company Private Limited</t>
  </si>
  <si>
    <t xml:space="preserve">Total ( number ) </t>
  </si>
  <si>
    <t xml:space="preserve"> wlcmuj</t>
  </si>
  <si>
    <t>% share</t>
  </si>
  <si>
    <t>Table 12.12 : NUMBER OF CUSTOMERS USING WATER IN MALE' BY TYPE, 2010 - 2025</t>
  </si>
  <si>
    <t>ތާވަލު 12.12: ތަނުގެ ގޮތުން މާލޭގައި ފެން ބޭނުންކުރާ ފަރާތްތަކުގެ އަދަދު، 2010 - 2025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</si>
</sst>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#,##0.0"/>
    <numFmt numFmtId="166" formatCode="0.0"/>
  </numFmts>
  <fonts count="1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1"/>
      <name val="Faruma"/>
      <charset val="1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A_Randhoo"/>
    </font>
    <font>
      <sz val="10"/>
      <name val="A_Faseyha"/>
    </font>
    <font>
      <sz val="10"/>
      <color theme="1"/>
      <name val="A_Faseyha"/>
    </font>
    <font>
      <b/>
      <sz val="10"/>
      <color theme="1"/>
      <name val="A_Faseyha"/>
    </font>
    <font>
      <sz val="10"/>
      <name val="Garamond"/>
      <family val="1"/>
    </font>
    <font>
      <sz val="10"/>
      <name val="Arial"/>
      <family val="2"/>
    </font>
    <font>
      <sz val="10"/>
      <name val="Arial"/>
      <family val="2"/>
      <charset val="1"/>
    </font>
    <font>
      <sz val="11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theme="1"/>
      </bottom>
      <diagonal/>
    </border>
  </borders>
  <cellStyleXfs count="16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16" fillId="0" borderId="0"/>
    <xf numFmtId="0" fontId="5" fillId="0" borderId="0"/>
    <xf numFmtId="0" fontId="15" fillId="0" borderId="0"/>
    <xf numFmtId="0" fontId="2" fillId="0" borderId="0"/>
    <xf numFmtId="43" fontId="2" fillId="0" borderId="0" applyFont="0" applyFill="0" applyBorder="0" applyAlignment="0" applyProtection="0"/>
    <xf numFmtId="0" fontId="17" fillId="0" borderId="0"/>
    <xf numFmtId="43" fontId="1" fillId="0" borderId="0" applyFont="0" applyFill="0" applyBorder="0" applyAlignment="0" applyProtection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6" fillId="2" borderId="0" xfId="4" applyFont="1" applyFill="1"/>
    <xf numFmtId="0" fontId="8" fillId="2" borderId="1" xfId="4" applyFont="1" applyFill="1" applyBorder="1" applyAlignment="1">
      <alignment vertical="center"/>
    </xf>
    <xf numFmtId="0" fontId="8" fillId="2" borderId="0" xfId="4" applyFont="1" applyFill="1" applyAlignment="1">
      <alignment horizontal="left" vertical="center"/>
    </xf>
    <xf numFmtId="3" fontId="8" fillId="2" borderId="0" xfId="4" applyNumberFormat="1" applyFont="1" applyFill="1" applyAlignment="1">
      <alignment horizontal="right" vertical="center"/>
    </xf>
    <xf numFmtId="3" fontId="9" fillId="2" borderId="0" xfId="4" applyNumberFormat="1" applyFont="1" applyFill="1" applyAlignment="1">
      <alignment horizontal="right" vertical="center"/>
    </xf>
    <xf numFmtId="0" fontId="4" fillId="2" borderId="0" xfId="8" applyFont="1" applyFill="1"/>
    <xf numFmtId="3" fontId="9" fillId="2" borderId="3" xfId="4" applyNumberFormat="1" applyFont="1" applyFill="1" applyBorder="1" applyAlignment="1">
      <alignment horizontal="right" vertical="center"/>
    </xf>
    <xf numFmtId="3" fontId="9" fillId="2" borderId="2" xfId="4" applyNumberFormat="1" applyFont="1" applyFill="1" applyBorder="1" applyAlignment="1">
      <alignment horizontal="right" vertical="center"/>
    </xf>
    <xf numFmtId="0" fontId="9" fillId="2" borderId="0" xfId="4" applyFont="1" applyFill="1"/>
    <xf numFmtId="0" fontId="3" fillId="2" borderId="0" xfId="4" applyFont="1" applyFill="1"/>
    <xf numFmtId="0" fontId="10" fillId="2" borderId="2" xfId="4" applyFont="1" applyFill="1" applyBorder="1" applyAlignment="1">
      <alignment horizontal="center"/>
    </xf>
    <xf numFmtId="0" fontId="8" fillId="2" borderId="0" xfId="4" applyFont="1" applyFill="1"/>
    <xf numFmtId="0" fontId="9" fillId="2" borderId="3" xfId="4" applyFont="1" applyFill="1" applyBorder="1"/>
    <xf numFmtId="0" fontId="9" fillId="2" borderId="2" xfId="4" applyFont="1" applyFill="1" applyBorder="1"/>
    <xf numFmtId="166" fontId="6" fillId="2" borderId="0" xfId="4" applyNumberFormat="1" applyFont="1" applyFill="1"/>
    <xf numFmtId="0" fontId="3" fillId="2" borderId="0" xfId="8" applyFont="1" applyFill="1" applyAlignment="1">
      <alignment horizontal="right"/>
    </xf>
    <xf numFmtId="0" fontId="10" fillId="2" borderId="0" xfId="4" applyFont="1" applyFill="1" applyAlignment="1">
      <alignment horizontal="center"/>
    </xf>
    <xf numFmtId="165" fontId="6" fillId="2" borderId="0" xfId="4" applyNumberFormat="1" applyFont="1" applyFill="1"/>
    <xf numFmtId="0" fontId="14" fillId="2" borderId="1" xfId="0" applyFont="1" applyFill="1" applyBorder="1" applyAlignment="1">
      <alignment horizontal="right" vertical="center"/>
    </xf>
    <xf numFmtId="0" fontId="14" fillId="2" borderId="0" xfId="0" applyFont="1" applyFill="1" applyAlignment="1">
      <alignment horizontal="right"/>
    </xf>
    <xf numFmtId="0" fontId="13" fillId="2" borderId="0" xfId="0" applyFont="1" applyFill="1" applyAlignment="1">
      <alignment horizontal="right"/>
    </xf>
    <xf numFmtId="0" fontId="13" fillId="2" borderId="4" xfId="0" applyFont="1" applyFill="1" applyBorder="1" applyAlignment="1">
      <alignment horizontal="right"/>
    </xf>
    <xf numFmtId="0" fontId="14" fillId="2" borderId="0" xfId="0" applyFont="1" applyFill="1" applyAlignment="1">
      <alignment horizontal="right" vertical="center"/>
    </xf>
    <xf numFmtId="0" fontId="13" fillId="2" borderId="2" xfId="0" applyFont="1" applyFill="1" applyBorder="1" applyAlignment="1">
      <alignment horizontal="right"/>
    </xf>
    <xf numFmtId="0" fontId="12" fillId="2" borderId="0" xfId="8" applyFont="1" applyFill="1" applyAlignment="1">
      <alignment horizontal="right"/>
    </xf>
    <xf numFmtId="0" fontId="7" fillId="2" borderId="0" xfId="4" applyFont="1" applyFill="1" applyAlignment="1">
      <alignment horizontal="center" vertical="center"/>
    </xf>
    <xf numFmtId="0" fontId="11" fillId="2" borderId="0" xfId="4" applyFont="1" applyFill="1" applyAlignment="1">
      <alignment horizontal="center" vertical="center"/>
    </xf>
    <xf numFmtId="0" fontId="8" fillId="2" borderId="0" xfId="4" applyFont="1" applyFill="1" applyAlignment="1">
      <alignment horizontal="center" vertical="center"/>
    </xf>
    <xf numFmtId="3" fontId="18" fillId="2" borderId="0" xfId="0" applyNumberFormat="1" applyFont="1" applyFill="1" applyBorder="1" applyAlignment="1" applyProtection="1">
      <alignment horizontal="right" vertical="center"/>
    </xf>
  </cellXfs>
  <cellStyles count="16">
    <cellStyle name="Comma 2" xfId="1" xr:uid="{00000000-0005-0000-0000-000001000000}"/>
    <cellStyle name="Comma 2 2" xfId="2" xr:uid="{00000000-0005-0000-0000-000002000000}"/>
    <cellStyle name="Comma 3" xfId="10" xr:uid="{F5B4A224-1F62-4D26-BEF8-EC4E8130DEEE}"/>
    <cellStyle name="Comma 3 2" xfId="15" xr:uid="{846C9DD0-F9CD-4384-998C-A69E0D903163}"/>
    <cellStyle name="Comma 4" xfId="3" xr:uid="{00000000-0005-0000-0000-000003000000}"/>
    <cellStyle name="Comma 5" xfId="12" xr:uid="{ED1E87DD-C78B-473B-A4CE-AFDAE7CF7656}"/>
    <cellStyle name="Normal" xfId="0" builtinId="0"/>
    <cellStyle name="Normal 2" xfId="4" xr:uid="{00000000-0005-0000-0000-000005000000}"/>
    <cellStyle name="Normal 2 2" xfId="5" xr:uid="{00000000-0005-0000-0000-000006000000}"/>
    <cellStyle name="Normal 3" xfId="9" xr:uid="{F405DDE0-D1F1-478E-9D0E-047C915BEE51}"/>
    <cellStyle name="Normal 3 2" xfId="14" xr:uid="{7D38DCE9-A7EF-4CBF-AA34-CF9D3CA007AF}"/>
    <cellStyle name="Normal 4" xfId="6" xr:uid="{00000000-0005-0000-0000-000007000000}"/>
    <cellStyle name="Normal 4 2" xfId="11" xr:uid="{C0BBE1BE-4BC0-4737-BFDA-D8EF6C73CAA2}"/>
    <cellStyle name="Normal 4 3" xfId="13" xr:uid="{1AE76306-B639-4ACE-AAE8-8A0645E12B10}"/>
    <cellStyle name="Normal 5" xfId="7" xr:uid="{00000000-0005-0000-0000-000008000000}"/>
    <cellStyle name="Normal_X-5 (Electricity)" xfId="8" xr:uid="{00000000-0005-0000-0000-000009000000}"/>
  </cellStyles>
  <dxfs count="0"/>
  <tableStyles count="0" defaultTableStyle="TableStyleMedium2" defaultPivotStyle="PivotStyleLight16"/>
  <colors>
    <mruColors>
      <color rgb="FF336600"/>
      <color rgb="FFF9FFF3"/>
      <color rgb="FFEAF4E4"/>
      <color rgb="FF2F75B5"/>
      <color rgb="FFFF3399"/>
      <color rgb="FF003300"/>
      <color rgb="FF9BC2E6"/>
      <color rgb="FF003399"/>
      <color rgb="FFEEEEEE"/>
      <color rgb="FFAEAA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S35"/>
  <sheetViews>
    <sheetView tabSelected="1" zoomScaleNormal="100" workbookViewId="0">
      <selection activeCell="O27" sqref="O27"/>
    </sheetView>
  </sheetViews>
  <sheetFormatPr defaultColWidth="21.5703125" defaultRowHeight="12.75"/>
  <cols>
    <col min="1" max="1" width="26.42578125" style="1" customWidth="1"/>
    <col min="2" max="2" width="10.28515625" style="1" hidden="1" customWidth="1"/>
    <col min="3" max="18" width="10.28515625" style="1" customWidth="1"/>
    <col min="19" max="19" width="31.140625" style="1" customWidth="1"/>
    <col min="20" max="16384" width="21.5703125" style="1"/>
  </cols>
  <sheetData>
    <row r="1" spans="1:19" ht="21">
      <c r="A1" s="26" t="s">
        <v>19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17.25" customHeight="1">
      <c r="A2" s="28" t="s">
        <v>18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</row>
    <row r="3" spans="1:19">
      <c r="A3" s="11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9" s="9" customFormat="1" ht="15.75">
      <c r="A4" s="2" t="s">
        <v>0</v>
      </c>
      <c r="B4" s="2">
        <v>2009</v>
      </c>
      <c r="C4" s="2">
        <v>2010</v>
      </c>
      <c r="D4" s="2">
        <v>2011</v>
      </c>
      <c r="E4" s="2">
        <v>2012</v>
      </c>
      <c r="F4" s="2">
        <v>2013</v>
      </c>
      <c r="G4" s="2">
        <v>2014</v>
      </c>
      <c r="H4" s="2">
        <v>2015</v>
      </c>
      <c r="I4" s="2">
        <v>2016</v>
      </c>
      <c r="J4" s="2">
        <v>2017</v>
      </c>
      <c r="K4" s="2">
        <v>2018</v>
      </c>
      <c r="L4" s="2">
        <v>2019</v>
      </c>
      <c r="M4" s="2">
        <v>2020</v>
      </c>
      <c r="N4" s="2">
        <v>2021</v>
      </c>
      <c r="O4" s="2">
        <v>2022</v>
      </c>
      <c r="P4" s="2">
        <v>2023</v>
      </c>
      <c r="Q4" s="2">
        <v>2024</v>
      </c>
      <c r="R4" s="2">
        <v>2025</v>
      </c>
      <c r="S4" s="19" t="s">
        <v>1</v>
      </c>
    </row>
    <row r="5" spans="1:19" s="9" customFormat="1" ht="17.25">
      <c r="A5" s="12" t="s">
        <v>15</v>
      </c>
      <c r="B5" s="4">
        <f t="shared" ref="B5:Q5" si="0">SUM(B6:B9)</f>
        <v>24513</v>
      </c>
      <c r="C5" s="4">
        <f t="shared" si="0"/>
        <v>24965</v>
      </c>
      <c r="D5" s="4">
        <f t="shared" si="0"/>
        <v>26527</v>
      </c>
      <c r="E5" s="4">
        <f t="shared" si="0"/>
        <v>27867</v>
      </c>
      <c r="F5" s="4">
        <f t="shared" si="0"/>
        <v>29287</v>
      </c>
      <c r="G5" s="4">
        <f t="shared" si="0"/>
        <v>30918</v>
      </c>
      <c r="H5" s="4">
        <f t="shared" si="0"/>
        <v>32272</v>
      </c>
      <c r="I5" s="4">
        <f t="shared" si="0"/>
        <v>33349</v>
      </c>
      <c r="J5" s="4">
        <f t="shared" si="0"/>
        <v>35117</v>
      </c>
      <c r="K5" s="4">
        <f t="shared" si="0"/>
        <v>36522</v>
      </c>
      <c r="L5" s="4">
        <f t="shared" si="0"/>
        <v>38433</v>
      </c>
      <c r="M5" s="4">
        <f t="shared" si="0"/>
        <v>39805</v>
      </c>
      <c r="N5" s="4">
        <f t="shared" si="0"/>
        <v>40939</v>
      </c>
      <c r="O5" s="4">
        <f t="shared" si="0"/>
        <v>42068</v>
      </c>
      <c r="P5" s="4">
        <f t="shared" si="0"/>
        <v>43055</v>
      </c>
      <c r="Q5" s="4">
        <f t="shared" si="0"/>
        <v>43986</v>
      </c>
      <c r="R5" s="4">
        <f t="shared" ref="R5" si="1">SUM(R6:R9)</f>
        <v>44857</v>
      </c>
      <c r="S5" s="20" t="s">
        <v>16</v>
      </c>
    </row>
    <row r="6" spans="1:19" s="9" customFormat="1" ht="17.25">
      <c r="A6" s="9" t="s">
        <v>2</v>
      </c>
      <c r="B6" s="5">
        <v>22130</v>
      </c>
      <c r="C6" s="5">
        <v>22389</v>
      </c>
      <c r="D6" s="5">
        <v>23755</v>
      </c>
      <c r="E6" s="5">
        <v>24955</v>
      </c>
      <c r="F6" s="5">
        <v>26121</v>
      </c>
      <c r="G6" s="5">
        <v>27536</v>
      </c>
      <c r="H6" s="5">
        <v>28660</v>
      </c>
      <c r="I6" s="5">
        <v>29551</v>
      </c>
      <c r="J6" s="5">
        <v>30921</v>
      </c>
      <c r="K6" s="5">
        <v>31773</v>
      </c>
      <c r="L6" s="5">
        <v>33104</v>
      </c>
      <c r="M6" s="5">
        <v>34182</v>
      </c>
      <c r="N6" s="5">
        <v>35080</v>
      </c>
      <c r="O6" s="5">
        <v>35955</v>
      </c>
      <c r="P6" s="5">
        <v>36696</v>
      </c>
      <c r="Q6" s="5">
        <v>37344</v>
      </c>
      <c r="R6" s="5">
        <v>38014</v>
      </c>
      <c r="S6" s="21" t="s">
        <v>3</v>
      </c>
    </row>
    <row r="7" spans="1:19" s="9" customFormat="1" ht="17.25">
      <c r="A7" s="9" t="s">
        <v>4</v>
      </c>
      <c r="B7" s="5">
        <v>543</v>
      </c>
      <c r="C7" s="5">
        <v>544</v>
      </c>
      <c r="D7" s="5">
        <v>553</v>
      </c>
      <c r="E7" s="5">
        <v>559</v>
      </c>
      <c r="F7" s="5">
        <v>579</v>
      </c>
      <c r="G7" s="5">
        <v>580</v>
      </c>
      <c r="H7" s="5">
        <v>614</v>
      </c>
      <c r="I7" s="5">
        <v>633</v>
      </c>
      <c r="J7" s="5">
        <v>643</v>
      </c>
      <c r="K7" s="5">
        <v>644</v>
      </c>
      <c r="L7" s="5">
        <v>640</v>
      </c>
      <c r="M7" s="5">
        <v>654</v>
      </c>
      <c r="N7" s="5">
        <v>664</v>
      </c>
      <c r="O7" s="5">
        <v>654</v>
      </c>
      <c r="P7" s="5">
        <v>685</v>
      </c>
      <c r="Q7" s="29">
        <v>685</v>
      </c>
      <c r="R7" s="5">
        <v>689</v>
      </c>
      <c r="S7" s="21" t="s">
        <v>5</v>
      </c>
    </row>
    <row r="8" spans="1:19" s="9" customFormat="1" ht="17.25">
      <c r="A8" s="9" t="s">
        <v>6</v>
      </c>
      <c r="B8" s="5">
        <v>1827</v>
      </c>
      <c r="C8" s="5">
        <v>2027</v>
      </c>
      <c r="D8" s="5">
        <v>2214</v>
      </c>
      <c r="E8" s="5">
        <v>2351</v>
      </c>
      <c r="F8" s="5">
        <v>2585</v>
      </c>
      <c r="G8" s="5">
        <v>2802</v>
      </c>
      <c r="H8" s="5">
        <v>2997</v>
      </c>
      <c r="I8" s="5">
        <v>3165</v>
      </c>
      <c r="J8" s="5">
        <v>3553</v>
      </c>
      <c r="K8" s="5">
        <v>4105</v>
      </c>
      <c r="L8" s="5">
        <v>4689</v>
      </c>
      <c r="M8" s="5">
        <v>4969</v>
      </c>
      <c r="N8" s="5">
        <v>5195</v>
      </c>
      <c r="O8" s="5">
        <v>5459</v>
      </c>
      <c r="P8" s="5">
        <v>5674</v>
      </c>
      <c r="Q8" s="5">
        <v>5957</v>
      </c>
      <c r="R8" s="5">
        <v>6154</v>
      </c>
      <c r="S8" s="21" t="s">
        <v>7</v>
      </c>
    </row>
    <row r="9" spans="1:19" s="9" customFormat="1" ht="17.25">
      <c r="A9" s="13" t="s">
        <v>8</v>
      </c>
      <c r="B9" s="7">
        <v>13</v>
      </c>
      <c r="C9" s="7">
        <v>5</v>
      </c>
      <c r="D9" s="7">
        <v>5</v>
      </c>
      <c r="E9" s="7">
        <v>2</v>
      </c>
      <c r="F9" s="7">
        <v>2</v>
      </c>
      <c r="G9" s="7">
        <v>0</v>
      </c>
      <c r="H9" s="7">
        <v>1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22" t="s">
        <v>9</v>
      </c>
    </row>
    <row r="10" spans="1:19" s="9" customFormat="1" ht="15.75">
      <c r="A10" s="12" t="s">
        <v>17</v>
      </c>
      <c r="B10" s="4">
        <f t="shared" ref="B10:P10" si="2">SUM(B11:B14)</f>
        <v>100.00000000000001</v>
      </c>
      <c r="C10" s="4">
        <f t="shared" si="2"/>
        <v>100</v>
      </c>
      <c r="D10" s="4">
        <f t="shared" si="2"/>
        <v>100</v>
      </c>
      <c r="E10" s="4">
        <f t="shared" si="2"/>
        <v>100</v>
      </c>
      <c r="F10" s="4">
        <f t="shared" si="2"/>
        <v>100.00000000000001</v>
      </c>
      <c r="G10" s="4">
        <f t="shared" si="2"/>
        <v>100</v>
      </c>
      <c r="H10" s="4">
        <f t="shared" si="2"/>
        <v>100</v>
      </c>
      <c r="I10" s="4">
        <f t="shared" si="2"/>
        <v>100</v>
      </c>
      <c r="J10" s="4">
        <f t="shared" si="2"/>
        <v>100</v>
      </c>
      <c r="K10" s="4">
        <f t="shared" si="2"/>
        <v>100</v>
      </c>
      <c r="L10" s="4">
        <f t="shared" si="2"/>
        <v>100</v>
      </c>
      <c r="M10" s="4">
        <f t="shared" si="2"/>
        <v>99.999999999999986</v>
      </c>
      <c r="N10" s="4">
        <f t="shared" si="2"/>
        <v>100</v>
      </c>
      <c r="O10" s="4">
        <f t="shared" si="2"/>
        <v>100.00000000000001</v>
      </c>
      <c r="P10" s="4">
        <f t="shared" si="2"/>
        <v>100</v>
      </c>
      <c r="Q10" s="4">
        <f t="shared" ref="Q10:R10" si="3">SUM(Q11:Q14)</f>
        <v>100</v>
      </c>
      <c r="R10" s="4">
        <f t="shared" si="3"/>
        <v>100</v>
      </c>
      <c r="S10" s="23" t="s">
        <v>10</v>
      </c>
    </row>
    <row r="11" spans="1:19" s="9" customFormat="1" ht="17.25">
      <c r="A11" s="9" t="s">
        <v>2</v>
      </c>
      <c r="B11" s="5">
        <f t="shared" ref="B11:P11" si="4">B6/B5*100</f>
        <v>90.278627666952232</v>
      </c>
      <c r="C11" s="5">
        <f t="shared" si="4"/>
        <v>89.681554175846188</v>
      </c>
      <c r="D11" s="5">
        <f t="shared" si="4"/>
        <v>89.550269536698451</v>
      </c>
      <c r="E11" s="5">
        <f t="shared" si="4"/>
        <v>89.550364230092939</v>
      </c>
      <c r="F11" s="5">
        <f t="shared" si="4"/>
        <v>89.189742889336571</v>
      </c>
      <c r="G11" s="5">
        <f t="shared" si="4"/>
        <v>89.061388188110485</v>
      </c>
      <c r="H11" s="5">
        <f t="shared" si="4"/>
        <v>88.807635101636095</v>
      </c>
      <c r="I11" s="5">
        <f t="shared" si="4"/>
        <v>88.611352664247804</v>
      </c>
      <c r="J11" s="5">
        <f t="shared" si="4"/>
        <v>88.051371130791352</v>
      </c>
      <c r="K11" s="5">
        <f t="shared" si="4"/>
        <v>86.996878593724333</v>
      </c>
      <c r="L11" s="5">
        <f t="shared" si="4"/>
        <v>86.134311659251168</v>
      </c>
      <c r="M11" s="5">
        <f t="shared" si="4"/>
        <v>85.873633965582201</v>
      </c>
      <c r="N11" s="5">
        <f t="shared" si="4"/>
        <v>85.688463323481272</v>
      </c>
      <c r="O11" s="5">
        <f t="shared" si="4"/>
        <v>85.46876485689836</v>
      </c>
      <c r="P11" s="5">
        <f t="shared" si="4"/>
        <v>85.230519103472304</v>
      </c>
      <c r="Q11" s="5">
        <f t="shared" ref="Q11:R11" si="5">Q6/Q5*100</f>
        <v>84.899740826626655</v>
      </c>
      <c r="R11" s="5">
        <f t="shared" si="5"/>
        <v>84.74485587533718</v>
      </c>
      <c r="S11" s="21" t="s">
        <v>3</v>
      </c>
    </row>
    <row r="12" spans="1:19" s="9" customFormat="1" ht="17.25">
      <c r="A12" s="9" t="s">
        <v>4</v>
      </c>
      <c r="B12" s="5">
        <f t="shared" ref="B12:P12" si="6">B7/B5*100</f>
        <v>2.2151511442907843</v>
      </c>
      <c r="C12" s="5">
        <f t="shared" si="6"/>
        <v>2.1790506709393149</v>
      </c>
      <c r="D12" s="5">
        <f t="shared" si="6"/>
        <v>2.0846684510121762</v>
      </c>
      <c r="E12" s="5">
        <f t="shared" si="6"/>
        <v>2.0059568665446585</v>
      </c>
      <c r="F12" s="5">
        <f t="shared" si="6"/>
        <v>1.9769863762078739</v>
      </c>
      <c r="G12" s="5">
        <f t="shared" si="6"/>
        <v>1.8759298790348666</v>
      </c>
      <c r="H12" s="5">
        <f t="shared" si="6"/>
        <v>1.902578086266733</v>
      </c>
      <c r="I12" s="5">
        <f t="shared" si="6"/>
        <v>1.8981078892920327</v>
      </c>
      <c r="J12" s="5">
        <f t="shared" si="6"/>
        <v>1.8310220121308767</v>
      </c>
      <c r="K12" s="5">
        <f t="shared" si="6"/>
        <v>1.7633207381852034</v>
      </c>
      <c r="L12" s="5">
        <f t="shared" si="6"/>
        <v>1.6652356048187755</v>
      </c>
      <c r="M12" s="5">
        <f t="shared" si="6"/>
        <v>1.6430096721517395</v>
      </c>
      <c r="N12" s="5">
        <f t="shared" si="6"/>
        <v>1.6219253035003298</v>
      </c>
      <c r="O12" s="5">
        <f t="shared" si="6"/>
        <v>1.5546258438718266</v>
      </c>
      <c r="P12" s="5">
        <f t="shared" si="6"/>
        <v>1.5909882708163976</v>
      </c>
      <c r="Q12" s="5">
        <f t="shared" ref="Q12:R12" si="7">Q7/Q5*100</f>
        <v>1.5573136907197744</v>
      </c>
      <c r="R12" s="5">
        <f t="shared" si="7"/>
        <v>1.535992152841251</v>
      </c>
      <c r="S12" s="21" t="s">
        <v>5</v>
      </c>
    </row>
    <row r="13" spans="1:19" s="9" customFormat="1" ht="17.25">
      <c r="A13" s="9" t="s">
        <v>6</v>
      </c>
      <c r="B13" s="5">
        <f t="shared" ref="B13:P13" si="8">B8/B5*100</f>
        <v>7.453188104271204</v>
      </c>
      <c r="C13" s="5">
        <f t="shared" si="8"/>
        <v>8.1193671139595427</v>
      </c>
      <c r="D13" s="5">
        <f t="shared" si="8"/>
        <v>8.346213292117465</v>
      </c>
      <c r="E13" s="5">
        <f t="shared" si="8"/>
        <v>8.4365019557182332</v>
      </c>
      <c r="F13" s="5">
        <f t="shared" si="8"/>
        <v>8.82644176597125</v>
      </c>
      <c r="G13" s="5">
        <f t="shared" si="8"/>
        <v>9.0626819328546482</v>
      </c>
      <c r="H13" s="5">
        <f t="shared" si="8"/>
        <v>9.2866881507188896</v>
      </c>
      <c r="I13" s="5">
        <f t="shared" si="8"/>
        <v>9.4905394464601631</v>
      </c>
      <c r="J13" s="5">
        <f t="shared" si="8"/>
        <v>10.117606857077769</v>
      </c>
      <c r="K13" s="5">
        <f t="shared" si="8"/>
        <v>11.239800668090465</v>
      </c>
      <c r="L13" s="5">
        <f t="shared" si="8"/>
        <v>12.20045273593006</v>
      </c>
      <c r="M13" s="5">
        <f t="shared" si="8"/>
        <v>12.483356362266047</v>
      </c>
      <c r="N13" s="5">
        <f t="shared" si="8"/>
        <v>12.689611373018394</v>
      </c>
      <c r="O13" s="5">
        <f t="shared" si="8"/>
        <v>12.976609299229819</v>
      </c>
      <c r="P13" s="5">
        <f t="shared" si="8"/>
        <v>13.1784926257113</v>
      </c>
      <c r="Q13" s="5">
        <f t="shared" ref="Q13:R13" si="9">Q8/Q5*100</f>
        <v>13.54294548265357</v>
      </c>
      <c r="R13" s="5">
        <f t="shared" si="9"/>
        <v>13.719151971821567</v>
      </c>
      <c r="S13" s="21" t="s">
        <v>7</v>
      </c>
    </row>
    <row r="14" spans="1:19" s="9" customFormat="1" ht="17.25">
      <c r="A14" s="13" t="s">
        <v>8</v>
      </c>
      <c r="B14" s="7">
        <f t="shared" ref="B14:P14" si="10">B9/B5*100</f>
        <v>5.3033084485783061E-2</v>
      </c>
      <c r="C14" s="7">
        <f t="shared" si="10"/>
        <v>2.0028039254956942E-2</v>
      </c>
      <c r="D14" s="7">
        <f t="shared" si="10"/>
        <v>1.8848720171900327E-2</v>
      </c>
      <c r="E14" s="7">
        <f t="shared" si="10"/>
        <v>7.1769476441669354E-3</v>
      </c>
      <c r="F14" s="7">
        <f t="shared" si="10"/>
        <v>6.8289684843104454E-3</v>
      </c>
      <c r="G14" s="7">
        <f t="shared" si="10"/>
        <v>0</v>
      </c>
      <c r="H14" s="7">
        <f t="shared" si="10"/>
        <v>3.0986613782845807E-3</v>
      </c>
      <c r="I14" s="7">
        <f t="shared" si="10"/>
        <v>0</v>
      </c>
      <c r="J14" s="7">
        <f t="shared" si="10"/>
        <v>0</v>
      </c>
      <c r="K14" s="7">
        <f t="shared" si="10"/>
        <v>0</v>
      </c>
      <c r="L14" s="7">
        <f t="shared" si="10"/>
        <v>0</v>
      </c>
      <c r="M14" s="7">
        <f t="shared" si="10"/>
        <v>0</v>
      </c>
      <c r="N14" s="7">
        <f t="shared" si="10"/>
        <v>0</v>
      </c>
      <c r="O14" s="7">
        <f t="shared" si="10"/>
        <v>0</v>
      </c>
      <c r="P14" s="7">
        <f t="shared" si="10"/>
        <v>0</v>
      </c>
      <c r="Q14" s="7">
        <f t="shared" ref="Q14:R14" si="11">Q9/Q5*100</f>
        <v>0</v>
      </c>
      <c r="R14" s="7">
        <f t="shared" si="11"/>
        <v>0</v>
      </c>
      <c r="S14" s="22" t="s">
        <v>9</v>
      </c>
    </row>
    <row r="15" spans="1:19" s="9" customFormat="1" ht="15.75">
      <c r="A15" s="3" t="s">
        <v>11</v>
      </c>
      <c r="B15" s="4" t="e">
        <f>(B5-#REF!)/#REF!*100</f>
        <v>#REF!</v>
      </c>
      <c r="C15" s="4">
        <f>(C5-B5)/B5*100</f>
        <v>1.8439195528903032</v>
      </c>
      <c r="D15" s="4">
        <f t="shared" ref="D15:R19" si="12">(D5-C5)/C5*100</f>
        <v>6.2567594632485486</v>
      </c>
      <c r="E15" s="4">
        <f t="shared" si="12"/>
        <v>5.0514570060692874</v>
      </c>
      <c r="F15" s="4">
        <f t="shared" si="12"/>
        <v>5.095632827358525</v>
      </c>
      <c r="G15" s="4">
        <f t="shared" si="12"/>
        <v>5.5690237989551683</v>
      </c>
      <c r="H15" s="4">
        <f t="shared" si="12"/>
        <v>4.3793259589882911</v>
      </c>
      <c r="I15" s="4">
        <f t="shared" si="12"/>
        <v>3.3372583044124937</v>
      </c>
      <c r="J15" s="4">
        <f t="shared" si="12"/>
        <v>5.3015082911031817</v>
      </c>
      <c r="K15" s="4">
        <f t="shared" si="12"/>
        <v>4.0009112395705779</v>
      </c>
      <c r="L15" s="4">
        <f t="shared" si="12"/>
        <v>5.2324626252669617</v>
      </c>
      <c r="M15" s="4">
        <f t="shared" si="12"/>
        <v>3.56984882783025</v>
      </c>
      <c r="N15" s="4">
        <f t="shared" si="12"/>
        <v>2.8488883306117323</v>
      </c>
      <c r="O15" s="4">
        <f t="shared" si="12"/>
        <v>2.7577615476684825</v>
      </c>
      <c r="P15" s="4">
        <f t="shared" si="12"/>
        <v>2.3462013882285824</v>
      </c>
      <c r="Q15" s="4">
        <f t="shared" si="12"/>
        <v>2.1623504819417025</v>
      </c>
      <c r="R15" s="4">
        <f t="shared" si="12"/>
        <v>1.9801755103896694</v>
      </c>
      <c r="S15" s="23" t="s">
        <v>12</v>
      </c>
    </row>
    <row r="16" spans="1:19" s="9" customFormat="1" ht="17.25">
      <c r="A16" s="9" t="s">
        <v>2</v>
      </c>
      <c r="B16" s="5" t="e">
        <f>(B6-#REF!)/#REF!*100</f>
        <v>#REF!</v>
      </c>
      <c r="C16" s="5">
        <f>(C5-B5)/B5*100</f>
        <v>1.8439195528903032</v>
      </c>
      <c r="D16" s="5">
        <f>(D5-C5)/C5*100</f>
        <v>6.2567594632485486</v>
      </c>
      <c r="E16" s="5">
        <f>(E5-D5)/D5*100</f>
        <v>5.0514570060692874</v>
      </c>
      <c r="F16" s="5">
        <f t="shared" si="12"/>
        <v>4.6724103386094971</v>
      </c>
      <c r="G16" s="5">
        <f t="shared" si="12"/>
        <v>5.417097354618889</v>
      </c>
      <c r="H16" s="5">
        <f t="shared" si="12"/>
        <v>4.0819291109819869</v>
      </c>
      <c r="I16" s="5">
        <f t="shared" si="12"/>
        <v>3.1088625261688767</v>
      </c>
      <c r="J16" s="5">
        <f t="shared" si="12"/>
        <v>4.6360529254509153</v>
      </c>
      <c r="K16" s="5">
        <f t="shared" si="12"/>
        <v>2.7554089453769284</v>
      </c>
      <c r="L16" s="5">
        <f t="shared" si="12"/>
        <v>4.1890913668838321</v>
      </c>
      <c r="M16" s="5">
        <f t="shared" si="12"/>
        <v>3.2564040599323345</v>
      </c>
      <c r="N16" s="5">
        <f t="shared" si="12"/>
        <v>2.6271136855655022</v>
      </c>
      <c r="O16" s="5">
        <f t="shared" si="12"/>
        <v>2.4942987457240591</v>
      </c>
      <c r="P16" s="5">
        <f t="shared" si="12"/>
        <v>2.0609094701710471</v>
      </c>
      <c r="Q16" s="5">
        <f>(Q6-P6)/P6*100</f>
        <v>1.7658600392413342</v>
      </c>
      <c r="R16" s="5">
        <f t="shared" si="12"/>
        <v>1.7941302485004287</v>
      </c>
      <c r="S16" s="21" t="s">
        <v>3</v>
      </c>
    </row>
    <row r="17" spans="1:19" s="9" customFormat="1" ht="17.25">
      <c r="A17" s="9" t="s">
        <v>4</v>
      </c>
      <c r="B17" s="5" t="e">
        <f>(B7-#REF!)/#REF!*100</f>
        <v>#REF!</v>
      </c>
      <c r="C17" s="5">
        <f>(C7-B7)/B7*100</f>
        <v>0.18416206261510129</v>
      </c>
      <c r="D17" s="5">
        <f t="shared" si="12"/>
        <v>1.6544117647058825</v>
      </c>
      <c r="E17" s="5">
        <f t="shared" si="12"/>
        <v>1.0849909584086799</v>
      </c>
      <c r="F17" s="5">
        <f t="shared" si="12"/>
        <v>3.5778175313059033</v>
      </c>
      <c r="G17" s="5">
        <f t="shared" si="12"/>
        <v>0.17271157167530224</v>
      </c>
      <c r="H17" s="5">
        <f t="shared" si="12"/>
        <v>5.8620689655172411</v>
      </c>
      <c r="I17" s="5">
        <f t="shared" si="12"/>
        <v>3.0944625407166124</v>
      </c>
      <c r="J17" s="5">
        <f t="shared" si="12"/>
        <v>1.5797788309636649</v>
      </c>
      <c r="K17" s="5">
        <f t="shared" si="12"/>
        <v>0.15552099533437014</v>
      </c>
      <c r="L17" s="5">
        <f t="shared" si="12"/>
        <v>-0.6211180124223602</v>
      </c>
      <c r="M17" s="5">
        <f t="shared" si="12"/>
        <v>2.1875</v>
      </c>
      <c r="N17" s="5">
        <f t="shared" si="12"/>
        <v>1.5290519877675841</v>
      </c>
      <c r="O17" s="5">
        <f t="shared" si="12"/>
        <v>-1.5060240963855422</v>
      </c>
      <c r="P17" s="5">
        <f t="shared" si="12"/>
        <v>4.7400611620795106</v>
      </c>
      <c r="Q17" s="5">
        <f>(Q7-P7)/P7*100</f>
        <v>0</v>
      </c>
      <c r="R17" s="5">
        <f t="shared" si="12"/>
        <v>0.58394160583941601</v>
      </c>
      <c r="S17" s="21" t="s">
        <v>5</v>
      </c>
    </row>
    <row r="18" spans="1:19" s="9" customFormat="1" ht="17.25">
      <c r="A18" s="9" t="s">
        <v>6</v>
      </c>
      <c r="B18" s="5" t="e">
        <f>(B8-#REF!)/#REF!*100</f>
        <v>#REF!</v>
      </c>
      <c r="C18" s="5">
        <f>(C8-B8)/B8*100</f>
        <v>10.946907498631637</v>
      </c>
      <c r="D18" s="5">
        <f t="shared" si="12"/>
        <v>9.2254563394178586</v>
      </c>
      <c r="E18" s="5">
        <f t="shared" si="12"/>
        <v>6.187895212285456</v>
      </c>
      <c r="F18" s="5">
        <f t="shared" si="12"/>
        <v>9.9532113994045091</v>
      </c>
      <c r="G18" s="5">
        <f t="shared" si="12"/>
        <v>8.3945841392649907</v>
      </c>
      <c r="H18" s="5">
        <f t="shared" si="12"/>
        <v>6.9593147751605997</v>
      </c>
      <c r="I18" s="5">
        <f t="shared" si="12"/>
        <v>5.6056056056056054</v>
      </c>
      <c r="J18" s="5">
        <f t="shared" si="12"/>
        <v>12.259083728278041</v>
      </c>
      <c r="K18" s="5">
        <f t="shared" ref="K18:R18" si="13">(K8-J8)/J8*100</f>
        <v>15.536166619757951</v>
      </c>
      <c r="L18" s="5">
        <f t="shared" si="13"/>
        <v>14.226552984165652</v>
      </c>
      <c r="M18" s="5">
        <f t="shared" si="13"/>
        <v>5.9714224781403287</v>
      </c>
      <c r="N18" s="5">
        <f t="shared" si="13"/>
        <v>4.5481988327631315</v>
      </c>
      <c r="O18" s="5">
        <f t="shared" si="13"/>
        <v>5.0818094321462945</v>
      </c>
      <c r="P18" s="5">
        <f t="shared" si="13"/>
        <v>3.9384502656164133</v>
      </c>
      <c r="Q18" s="5">
        <f t="shared" si="13"/>
        <v>4.9876630243214661</v>
      </c>
      <c r="R18" s="5">
        <f t="shared" si="13"/>
        <v>3.3070337418163502</v>
      </c>
      <c r="S18" s="21" t="s">
        <v>7</v>
      </c>
    </row>
    <row r="19" spans="1:19" s="9" customFormat="1" ht="17.25">
      <c r="A19" s="14" t="s">
        <v>8</v>
      </c>
      <c r="B19" s="8" t="e">
        <f>((B9/#REF!)-1)*100</f>
        <v>#REF!</v>
      </c>
      <c r="C19" s="8">
        <f>((C9/B9)-1)*100</f>
        <v>-61.53846153846154</v>
      </c>
      <c r="D19" s="8">
        <f t="shared" ref="D19:E19" si="14">((D9/C9)-1)*100</f>
        <v>0</v>
      </c>
      <c r="E19" s="8">
        <f t="shared" si="14"/>
        <v>-60</v>
      </c>
      <c r="F19" s="8">
        <f t="shared" si="12"/>
        <v>0</v>
      </c>
      <c r="G19" s="8">
        <f>(G9-F9)/F9*100</f>
        <v>-100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1</v>
      </c>
      <c r="Q19" s="8">
        <v>2</v>
      </c>
      <c r="R19" s="8">
        <v>3</v>
      </c>
      <c r="S19" s="24" t="s">
        <v>9</v>
      </c>
    </row>
    <row r="20" spans="1:19" ht="15.75">
      <c r="A20" s="6" t="s">
        <v>14</v>
      </c>
      <c r="B20" s="18"/>
      <c r="S20" s="25" t="s">
        <v>13</v>
      </c>
    </row>
    <row r="21" spans="1:19"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spans="1:19"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</row>
    <row r="23" spans="1:19"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</row>
    <row r="24" spans="1:19"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</row>
    <row r="25" spans="1:19"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</row>
    <row r="26" spans="1:19"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</row>
    <row r="27" spans="1:19"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</row>
    <row r="35" spans="2:19" s="10" customFormat="1"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"/>
    </row>
  </sheetData>
  <mergeCells count="2">
    <mergeCell ref="A1:S1"/>
    <mergeCell ref="A2:S2"/>
  </mergeCells>
  <pageMargins left="0.7" right="0.7" top="0.75" bottom="0.75" header="0.3" footer="0.3"/>
  <pageSetup paperSize="9" scale="39" orientation="portrait" r:id="rId1"/>
  <ignoredErrors>
    <ignoredError sqref="C16:F1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12.12</vt:lpstr>
      <vt:lpstr>'12.12'!Print_Area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2026-06-14T02:55:58Z</cp:lastPrinted>
  <dcterms:created xsi:type="dcterms:W3CDTF">2019-05-21T05:57:00Z</dcterms:created>
  <dcterms:modified xsi:type="dcterms:W3CDTF">2026-06-14T02:56:37Z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1FFA511C9209493481C69AEC409D6FFC_12</vt:lpwstr>
  </property>
  <property fmtid="{D5CDD505-2E9C-101B-9397-08002B2CF9AE}" pid="3" name="KSOProductBuildVer">
    <vt:lpwstr>1033-12.2.0.17562</vt:lpwstr>
  </property>
</Properties>
</file>