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BB863A88-4B52-4A55-BFAE-B3E652531FF6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2" sheetId="37" r:id="rId1"/>
  </sheets>
  <definedNames>
    <definedName name="Ma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37" l="1"/>
  <c r="B41" i="37"/>
  <c r="B40" i="37"/>
  <c r="B39" i="37"/>
  <c r="B38" i="37"/>
  <c r="B37" i="37"/>
  <c r="B36" i="37"/>
  <c r="B35" i="37"/>
  <c r="B34" i="37"/>
  <c r="B33" i="37"/>
  <c r="B32" i="37"/>
  <c r="B31" i="37"/>
  <c r="B30" i="37"/>
  <c r="B29" i="37"/>
  <c r="B28" i="37"/>
  <c r="B27" i="37"/>
  <c r="B26" i="37"/>
  <c r="B25" i="37"/>
  <c r="B24" i="37"/>
  <c r="B23" i="37"/>
  <c r="B22" i="37"/>
  <c r="B21" i="37"/>
  <c r="B20" i="37"/>
  <c r="B19" i="37"/>
  <c r="B18" i="37"/>
  <c r="B17" i="37"/>
  <c r="B16" i="37"/>
  <c r="B15" i="37"/>
  <c r="B14" i="37"/>
  <c r="B13" i="37"/>
  <c r="B12" i="37"/>
  <c r="B11" i="37"/>
  <c r="B10" i="37"/>
  <c r="B9" i="37"/>
  <c r="B8" i="37"/>
</calcChain>
</file>

<file path=xl/sharedStrings.xml><?xml version="1.0" encoding="utf-8"?>
<sst xmlns="http://schemas.openxmlformats.org/spreadsheetml/2006/main" count="67" uniqueCount="67">
  <si>
    <t>wlcmuj</t>
  </si>
  <si>
    <t>cCrWm</t>
  </si>
  <si>
    <t>Em</t>
  </si>
  <si>
    <t>cnUj</t>
  </si>
  <si>
    <t>iawluj</t>
  </si>
  <si>
    <t>Total</t>
  </si>
  <si>
    <t>Source: State Electric Company Limited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</si>
  <si>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</si>
  <si>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</si>
  <si>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</si>
  <si>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</si>
  <si>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</si>
  <si>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</si>
  <si>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</si>
  <si>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</si>
  <si>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</si>
  <si>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</si>
  <si>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</si>
  <si>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</si>
  <si>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</si>
  <si>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</si>
  <si>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</si>
  <si>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</si>
  <si>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</si>
  <si>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</si>
  <si>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</si>
  <si>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</si>
  <si>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</si>
  <si>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</si>
  <si>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Greater Male' Region</t>
  </si>
  <si>
    <t>K.Male'</t>
  </si>
  <si>
    <t>K.Vilimale'</t>
  </si>
  <si>
    <t>K.Hulhumale</t>
  </si>
  <si>
    <t>K.Thilafushi</t>
  </si>
  <si>
    <t>K.Gulhifalhu</t>
  </si>
  <si>
    <t>K.Kaashidhoo</t>
  </si>
  <si>
    <t>K.Gaafaru</t>
  </si>
  <si>
    <t>K.Dhiffushi</t>
  </si>
  <si>
    <t>K.Thulusdhoo</t>
  </si>
  <si>
    <t>K.Himmafushi</t>
  </si>
  <si>
    <t>K.Gulhi</t>
  </si>
  <si>
    <t>K.Maafushi</t>
  </si>
  <si>
    <t>K.Guraidhoo</t>
  </si>
  <si>
    <t>AA.Ukulhas</t>
  </si>
  <si>
    <t>AA.Mathiveri</t>
  </si>
  <si>
    <t>AA.Bodufolhudhoo</t>
  </si>
  <si>
    <t>AA.Feridhoo</t>
  </si>
  <si>
    <t>AA.Maalhos</t>
  </si>
  <si>
    <t>AA.Himandhoo</t>
  </si>
  <si>
    <t>AA.Rasdhoo</t>
  </si>
  <si>
    <t>AA.Thoddoo</t>
  </si>
  <si>
    <t>ADh.Omadhoo</t>
  </si>
  <si>
    <t>ADh.Kunburudhoo</t>
  </si>
  <si>
    <t>ADh.Dhigurah</t>
  </si>
  <si>
    <t>ADh.Fenfushi</t>
  </si>
  <si>
    <t>ADh.Mahibadhoo</t>
  </si>
  <si>
    <t>ADh.Hangnameedhoo</t>
  </si>
  <si>
    <t>ADh.Dhihdhoo</t>
  </si>
  <si>
    <t>ADh.Mandhoo</t>
  </si>
  <si>
    <t>ADh.Dhangethi</t>
  </si>
  <si>
    <t>V.Felidhoo</t>
  </si>
  <si>
    <t>V.Fulidhoo</t>
  </si>
  <si>
    <t>V.Thinadhoo</t>
  </si>
  <si>
    <t>V.Keyodhoo</t>
  </si>
  <si>
    <t>V.Rakeedhoo</t>
  </si>
  <si>
    <t>Table  12.2 :  MONTHLY ELECTRICITY PRODUCTION BY PUBLIC SECTOR, 2025</t>
  </si>
  <si>
    <t>2025 ,urwvcnim idcaefua cTcnwrwk uhwmcswmikea cnukwtctWrwf egurWkurws : 12.2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</si>
</sst>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0.5"/>
      <name val="A_Faseyha"/>
    </font>
    <font>
      <b/>
      <sz val="10.5"/>
      <name val="Calibri"/>
      <family val="2"/>
      <scheme val="minor"/>
    </font>
    <font>
      <sz val="10.5"/>
      <color theme="1"/>
      <name val="A_Faseyha"/>
    </font>
    <font>
      <sz val="10.5"/>
      <name val="A_Faseyha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15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0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4" fillId="2" borderId="2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right"/>
    </xf>
    <xf numFmtId="0" fontId="15" fillId="2" borderId="6" xfId="0" applyFont="1" applyFill="1" applyBorder="1" applyAlignment="1">
      <alignment horizontal="right"/>
    </xf>
    <xf numFmtId="0" fontId="16" fillId="2" borderId="5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0" fontId="8" fillId="2" borderId="7" xfId="0" applyFont="1" applyFill="1" applyBorder="1" applyAlignment="1">
      <alignment horizontal="left" vertical="center"/>
    </xf>
    <xf numFmtId="165" fontId="3" fillId="2" borderId="8" xfId="0" applyNumberFormat="1" applyFont="1" applyFill="1" applyBorder="1" applyAlignment="1">
      <alignment horizontal="right" vertical="center"/>
    </xf>
    <xf numFmtId="165" fontId="8" fillId="2" borderId="9" xfId="0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7" fillId="2" borderId="11" xfId="0" applyFont="1" applyFill="1" applyBorder="1" applyAlignment="1">
      <alignment horizontal="right"/>
    </xf>
    <xf numFmtId="165" fontId="3" fillId="2" borderId="10" xfId="0" applyNumberFormat="1" applyFont="1" applyFill="1" applyBorder="1" applyAlignment="1">
      <alignment horizontal="right" vertical="center"/>
    </xf>
    <xf numFmtId="165" fontId="3" fillId="2" borderId="11" xfId="0" applyNumberFormat="1" applyFont="1" applyFill="1" applyBorder="1" applyAlignment="1">
      <alignment horizontal="right" vertical="center"/>
    </xf>
    <xf numFmtId="165" fontId="6" fillId="2" borderId="0" xfId="0" applyNumberFormat="1" applyFont="1" applyFill="1" applyAlignment="1">
      <alignment horizontal="righ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left" vertical="center" indent="1"/>
    </xf>
    <xf numFmtId="0" fontId="6" fillId="2" borderId="4" xfId="0" applyFont="1" applyFill="1" applyBorder="1" applyAlignment="1">
      <alignment horizontal="left" vertical="center" indent="1"/>
    </xf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7" fillId="2" borderId="6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</cellXfs>
  <cellStyles count="15">
    <cellStyle name="Comma 2" xfId="1" xr:uid="{00000000-0005-0000-0000-000001000000}"/>
    <cellStyle name="Comma 2 2" xfId="2" xr:uid="{00000000-0005-0000-0000-000002000000}"/>
    <cellStyle name="Comma 3" xfId="9" xr:uid="{F5B4A224-1F62-4D26-BEF8-EC4E8130DEEE}"/>
    <cellStyle name="Comma 3 2" xfId="14" xr:uid="{846C9DD0-F9CD-4384-998C-A69E0D903163}"/>
    <cellStyle name="Comma 4" xfId="3" xr:uid="{00000000-0005-0000-0000-000003000000}"/>
    <cellStyle name="Comma 5" xfId="11" xr:uid="{ED1E87DD-C78B-473B-A4CE-AFDAE7CF7656}"/>
    <cellStyle name="Normal" xfId="0" builtinId="0"/>
    <cellStyle name="Normal 2" xfId="4" xr:uid="{00000000-0005-0000-0000-000005000000}"/>
    <cellStyle name="Normal 2 2" xfId="5" xr:uid="{00000000-0005-0000-0000-000006000000}"/>
    <cellStyle name="Normal 3" xfId="8" xr:uid="{F405DDE0-D1F1-478E-9D0E-047C915BEE51}"/>
    <cellStyle name="Normal 3 2" xfId="13" xr:uid="{7D38DCE9-A7EF-4CBF-AA34-CF9D3CA007AF}"/>
    <cellStyle name="Normal 4" xfId="6" xr:uid="{00000000-0005-0000-0000-000007000000}"/>
    <cellStyle name="Normal 4 2" xfId="10" xr:uid="{C0BBE1BE-4BC0-4737-BFDA-D8EF6C73CAA2}"/>
    <cellStyle name="Normal 4 3" xfId="12" xr:uid="{1AE76306-B639-4ACE-AAE8-8A0645E12B10}"/>
    <cellStyle name="Normal 5" xfId="7" xr:uid="{00000000-0005-0000-0000-000008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9A0D-BD48-4C64-89F4-3EB5098A7681}">
  <sheetPr>
    <tabColor rgb="FF92D050"/>
  </sheetPr>
  <dimension ref="A2:N43"/>
  <sheetViews>
    <sheetView tabSelected="1" zoomScaleNormal="100" workbookViewId="0">
      <selection activeCell="B9" sqref="B9"/>
    </sheetView>
  </sheetViews>
  <sheetFormatPr defaultColWidth="9.140625" defaultRowHeight="15"/>
  <cols>
    <col min="1" max="1" width="21.42578125" style="11" customWidth="1"/>
    <col min="2" max="14" width="13.140625" style="1" customWidth="1"/>
    <col min="15" max="15" width="3.5703125" style="1" customWidth="1"/>
    <col min="16" max="16384" width="9.140625" style="1"/>
  </cols>
  <sheetData>
    <row r="2" spans="1:14" ht="16.5">
      <c r="A2" s="20" t="s">
        <v>66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5.75">
      <c r="A3" s="19" t="s">
        <v>65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17.25">
      <c r="A4" s="21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7.25">
      <c r="A5" s="22" t="s">
        <v>8</v>
      </c>
      <c r="B5" s="3" t="s">
        <v>0</v>
      </c>
      <c r="C5" s="4" t="s">
        <v>9</v>
      </c>
      <c r="D5" s="4" t="s">
        <v>10</v>
      </c>
      <c r="E5" s="4" t="s">
        <v>1</v>
      </c>
      <c r="F5" s="4" t="s">
        <v>11</v>
      </c>
      <c r="G5" s="4" t="s">
        <v>2</v>
      </c>
      <c r="H5" s="4" t="s">
        <v>3</v>
      </c>
      <c r="I5" s="4" t="s">
        <v>4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spans="1:14">
      <c r="A6" s="23"/>
      <c r="B6" s="5" t="s">
        <v>5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6" t="s">
        <v>24</v>
      </c>
      <c r="K6" s="6" t="s">
        <v>25</v>
      </c>
      <c r="L6" s="6" t="s">
        <v>26</v>
      </c>
      <c r="M6" s="6" t="s">
        <v>27</v>
      </c>
      <c r="N6" s="12" t="s">
        <v>28</v>
      </c>
    </row>
    <row r="7" spans="1:14" s="10" customFormat="1" ht="12.75" customHeight="1">
      <c r="A7" s="7" t="s">
        <v>29</v>
      </c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ht="16.5" customHeight="1">
      <c r="A8" s="17" t="s">
        <v>30</v>
      </c>
      <c r="B8" s="13">
        <f>SUM(C8:N8)</f>
        <v>324119647.70999998</v>
      </c>
      <c r="C8" s="15">
        <v>23397580</v>
      </c>
      <c r="D8" s="15">
        <v>25336595</v>
      </c>
      <c r="E8" s="15">
        <v>29176027</v>
      </c>
      <c r="F8" s="15">
        <v>26913207.800000001</v>
      </c>
      <c r="G8" s="15">
        <v>26130236.899999999</v>
      </c>
      <c r="H8" s="15">
        <v>26136343.199999999</v>
      </c>
      <c r="I8" s="15">
        <v>27940227.5</v>
      </c>
      <c r="J8" s="15">
        <v>24994859.5</v>
      </c>
      <c r="K8" s="15">
        <v>29293372.300000001</v>
      </c>
      <c r="L8" s="15">
        <v>29710557.699999999</v>
      </c>
      <c r="M8" s="15">
        <v>25823437.5</v>
      </c>
      <c r="N8" s="15">
        <v>29267203.310000002</v>
      </c>
    </row>
    <row r="9" spans="1:14" ht="16.5" customHeight="1">
      <c r="A9" s="17" t="s">
        <v>31</v>
      </c>
      <c r="B9" s="13">
        <f>SUM(C9:N9)</f>
        <v>16378491</v>
      </c>
      <c r="C9" s="15">
        <v>1150509</v>
      </c>
      <c r="D9" s="15">
        <v>1238821</v>
      </c>
      <c r="E9" s="15">
        <v>1427724</v>
      </c>
      <c r="F9" s="15">
        <v>1479205</v>
      </c>
      <c r="G9" s="15">
        <v>1504281</v>
      </c>
      <c r="H9" s="15">
        <v>1427838</v>
      </c>
      <c r="I9" s="15">
        <v>1376651</v>
      </c>
      <c r="J9" s="15">
        <v>1404267</v>
      </c>
      <c r="K9" s="15">
        <v>1480525</v>
      </c>
      <c r="L9" s="15">
        <v>1347520</v>
      </c>
      <c r="M9" s="15">
        <v>1278878</v>
      </c>
      <c r="N9" s="15">
        <v>1262272</v>
      </c>
    </row>
    <row r="10" spans="1:14" ht="16.5" customHeight="1">
      <c r="A10" s="17" t="s">
        <v>32</v>
      </c>
      <c r="B10" s="13">
        <f>SUM(C10:N10)</f>
        <v>437343856.75</v>
      </c>
      <c r="C10" s="15">
        <v>31617828.210000001</v>
      </c>
      <c r="D10" s="15">
        <v>32007281.09</v>
      </c>
      <c r="E10" s="15">
        <v>31299304.27</v>
      </c>
      <c r="F10" s="15">
        <v>41232875.060000002</v>
      </c>
      <c r="G10" s="15">
        <v>43279296.530000001</v>
      </c>
      <c r="H10" s="15">
        <v>39112237.329999998</v>
      </c>
      <c r="I10" s="15">
        <v>37712670.240000002</v>
      </c>
      <c r="J10" s="15">
        <v>40231456.270000003</v>
      </c>
      <c r="K10" s="15">
        <v>37815266.189999998</v>
      </c>
      <c r="L10" s="15">
        <v>35372738.990000002</v>
      </c>
      <c r="M10" s="15">
        <v>35701072.509999998</v>
      </c>
      <c r="N10" s="15">
        <v>31961830.059999999</v>
      </c>
    </row>
    <row r="11" spans="1:14" ht="16.5" customHeight="1">
      <c r="A11" s="17" t="s">
        <v>33</v>
      </c>
      <c r="B11" s="13">
        <f>SUM(C11:N11)</f>
        <v>10470515</v>
      </c>
      <c r="C11" s="15">
        <v>692418</v>
      </c>
      <c r="D11" s="15">
        <v>707774</v>
      </c>
      <c r="E11" s="15">
        <v>794720</v>
      </c>
      <c r="F11" s="15">
        <v>833238</v>
      </c>
      <c r="G11" s="15">
        <v>879188</v>
      </c>
      <c r="H11" s="15">
        <v>923755</v>
      </c>
      <c r="I11" s="15">
        <v>945061</v>
      </c>
      <c r="J11" s="15">
        <v>953836</v>
      </c>
      <c r="K11" s="15">
        <v>972555</v>
      </c>
      <c r="L11" s="15">
        <v>946588</v>
      </c>
      <c r="M11" s="15">
        <v>907134</v>
      </c>
      <c r="N11" s="15">
        <v>914248</v>
      </c>
    </row>
    <row r="12" spans="1:14" ht="16.5" customHeight="1">
      <c r="A12" s="17" t="s">
        <v>34</v>
      </c>
      <c r="B12" s="13">
        <f>SUM(C12:N12)</f>
        <v>1734851</v>
      </c>
      <c r="C12" s="15">
        <v>131942</v>
      </c>
      <c r="D12" s="15">
        <v>132360</v>
      </c>
      <c r="E12" s="15">
        <v>153898</v>
      </c>
      <c r="F12" s="15">
        <v>146054</v>
      </c>
      <c r="G12" s="15">
        <v>153296</v>
      </c>
      <c r="H12" s="15">
        <v>151132</v>
      </c>
      <c r="I12" s="15">
        <v>152895</v>
      </c>
      <c r="J12" s="15">
        <v>154921</v>
      </c>
      <c r="K12" s="15">
        <v>149803</v>
      </c>
      <c r="L12" s="15">
        <v>142441</v>
      </c>
      <c r="M12" s="15">
        <v>131921</v>
      </c>
      <c r="N12" s="15">
        <v>134188</v>
      </c>
    </row>
    <row r="13" spans="1:14" ht="16.5" customHeight="1">
      <c r="A13" s="17" t="s">
        <v>35</v>
      </c>
      <c r="B13" s="13">
        <f t="shared" ref="B13:B42" si="0">SUM(C13:N13)</f>
        <v>5351697</v>
      </c>
      <c r="C13" s="15">
        <v>369941</v>
      </c>
      <c r="D13" s="15">
        <v>401765</v>
      </c>
      <c r="E13" s="15">
        <v>486146</v>
      </c>
      <c r="F13" s="15">
        <v>493398</v>
      </c>
      <c r="G13" s="15">
        <v>475002</v>
      </c>
      <c r="H13" s="15">
        <v>480484</v>
      </c>
      <c r="I13" s="15">
        <v>441440</v>
      </c>
      <c r="J13" s="15">
        <v>448983</v>
      </c>
      <c r="K13" s="15">
        <v>475829</v>
      </c>
      <c r="L13" s="15">
        <v>447023</v>
      </c>
      <c r="M13" s="15">
        <v>421446</v>
      </c>
      <c r="N13" s="15">
        <v>410240</v>
      </c>
    </row>
    <row r="14" spans="1:14" ht="16.5" customHeight="1">
      <c r="A14" s="17" t="s">
        <v>36</v>
      </c>
      <c r="B14" s="13">
        <f t="shared" si="0"/>
        <v>3469692</v>
      </c>
      <c r="C14" s="15">
        <v>241517</v>
      </c>
      <c r="D14" s="15">
        <v>258274</v>
      </c>
      <c r="E14" s="15">
        <v>326573</v>
      </c>
      <c r="F14" s="15">
        <v>330082</v>
      </c>
      <c r="G14" s="15">
        <v>300068</v>
      </c>
      <c r="H14" s="15">
        <v>302374</v>
      </c>
      <c r="I14" s="15">
        <v>274047</v>
      </c>
      <c r="J14" s="15">
        <v>289835</v>
      </c>
      <c r="K14" s="15">
        <v>299603</v>
      </c>
      <c r="L14" s="15">
        <v>299784</v>
      </c>
      <c r="M14" s="15">
        <v>285116</v>
      </c>
      <c r="N14" s="15">
        <v>262419</v>
      </c>
    </row>
    <row r="15" spans="1:14" ht="16.5" customHeight="1">
      <c r="A15" s="17" t="s">
        <v>37</v>
      </c>
      <c r="B15" s="13">
        <f t="shared" si="0"/>
        <v>6282822</v>
      </c>
      <c r="C15" s="15">
        <v>454949</v>
      </c>
      <c r="D15" s="15">
        <v>495912</v>
      </c>
      <c r="E15" s="15">
        <v>564930</v>
      </c>
      <c r="F15" s="15">
        <v>565122</v>
      </c>
      <c r="G15" s="15">
        <v>516282</v>
      </c>
      <c r="H15" s="15">
        <v>512140</v>
      </c>
      <c r="I15" s="15">
        <v>513796</v>
      </c>
      <c r="J15" s="15">
        <v>543560</v>
      </c>
      <c r="K15" s="15">
        <v>556080</v>
      </c>
      <c r="L15" s="15">
        <v>521897</v>
      </c>
      <c r="M15" s="15">
        <v>532874</v>
      </c>
      <c r="N15" s="15">
        <v>505280</v>
      </c>
    </row>
    <row r="16" spans="1:14" ht="16.5" customHeight="1">
      <c r="A16" s="17" t="s">
        <v>38</v>
      </c>
      <c r="B16" s="13">
        <f t="shared" si="0"/>
        <v>6640586</v>
      </c>
      <c r="C16" s="15">
        <v>468545</v>
      </c>
      <c r="D16" s="15">
        <v>516644</v>
      </c>
      <c r="E16" s="15">
        <v>553965</v>
      </c>
      <c r="F16" s="15">
        <v>600613</v>
      </c>
      <c r="G16" s="15">
        <v>555108</v>
      </c>
      <c r="H16" s="15">
        <v>576807</v>
      </c>
      <c r="I16" s="15">
        <v>636363</v>
      </c>
      <c r="J16" s="15">
        <v>580841</v>
      </c>
      <c r="K16" s="15">
        <v>592402</v>
      </c>
      <c r="L16" s="15">
        <v>531388</v>
      </c>
      <c r="M16" s="15">
        <v>541791</v>
      </c>
      <c r="N16" s="15">
        <v>486119</v>
      </c>
    </row>
    <row r="17" spans="1:14" ht="16.5" customHeight="1">
      <c r="A17" s="17" t="s">
        <v>39</v>
      </c>
      <c r="B17" s="13">
        <f t="shared" si="0"/>
        <v>6445296</v>
      </c>
      <c r="C17" s="15">
        <v>434499</v>
      </c>
      <c r="D17" s="15">
        <v>475292</v>
      </c>
      <c r="E17" s="15">
        <v>556988</v>
      </c>
      <c r="F17" s="15">
        <v>600021</v>
      </c>
      <c r="G17" s="15">
        <v>569564</v>
      </c>
      <c r="H17" s="15">
        <v>575885</v>
      </c>
      <c r="I17" s="15">
        <v>546572</v>
      </c>
      <c r="J17" s="15">
        <v>561532</v>
      </c>
      <c r="K17" s="15">
        <v>581601</v>
      </c>
      <c r="L17" s="15">
        <v>521953</v>
      </c>
      <c r="M17" s="15">
        <v>518961</v>
      </c>
      <c r="N17" s="15">
        <v>502428</v>
      </c>
    </row>
    <row r="18" spans="1:14" ht="16.5" customHeight="1">
      <c r="A18" s="17" t="s">
        <v>40</v>
      </c>
      <c r="B18" s="13">
        <f t="shared" si="0"/>
        <v>3375689.1</v>
      </c>
      <c r="C18" s="15">
        <v>228709</v>
      </c>
      <c r="D18" s="15">
        <v>240957.1</v>
      </c>
      <c r="E18" s="15">
        <v>287668</v>
      </c>
      <c r="F18" s="15">
        <v>298374</v>
      </c>
      <c r="G18" s="15">
        <v>271363</v>
      </c>
      <c r="H18" s="15">
        <v>279414</v>
      </c>
      <c r="I18" s="15">
        <v>278282</v>
      </c>
      <c r="J18" s="15">
        <v>299048</v>
      </c>
      <c r="K18" s="15">
        <v>302013</v>
      </c>
      <c r="L18" s="15">
        <v>277911</v>
      </c>
      <c r="M18" s="15">
        <v>295707</v>
      </c>
      <c r="N18" s="15">
        <v>316243</v>
      </c>
    </row>
    <row r="19" spans="1:14" ht="16.5" customHeight="1">
      <c r="A19" s="17" t="s">
        <v>41</v>
      </c>
      <c r="B19" s="13">
        <f t="shared" si="0"/>
        <v>19747400</v>
      </c>
      <c r="C19" s="15">
        <v>1440423</v>
      </c>
      <c r="D19" s="15">
        <v>1516141</v>
      </c>
      <c r="E19" s="15">
        <v>1717501</v>
      </c>
      <c r="F19" s="15">
        <v>1767277</v>
      </c>
      <c r="G19" s="15">
        <v>1690522</v>
      </c>
      <c r="H19" s="15">
        <v>1658538</v>
      </c>
      <c r="I19" s="15">
        <v>1675370</v>
      </c>
      <c r="J19" s="15">
        <v>1721190</v>
      </c>
      <c r="K19" s="15">
        <v>1721907</v>
      </c>
      <c r="L19" s="15">
        <v>1631636</v>
      </c>
      <c r="M19" s="15">
        <v>1614077</v>
      </c>
      <c r="N19" s="15">
        <v>1592818</v>
      </c>
    </row>
    <row r="20" spans="1:14" ht="16.5" customHeight="1">
      <c r="A20" s="17" t="s">
        <v>42</v>
      </c>
      <c r="B20" s="13">
        <f t="shared" si="0"/>
        <v>6061603.6099999994</v>
      </c>
      <c r="C20" s="15">
        <v>409690.7</v>
      </c>
      <c r="D20" s="15">
        <v>453706.6</v>
      </c>
      <c r="E20" s="15">
        <v>529029</v>
      </c>
      <c r="F20" s="15">
        <v>532503.9</v>
      </c>
      <c r="G20" s="15">
        <v>514207.5</v>
      </c>
      <c r="H20" s="15">
        <v>523464.51</v>
      </c>
      <c r="I20" s="15">
        <v>500201.9</v>
      </c>
      <c r="J20" s="15">
        <v>525328.5</v>
      </c>
      <c r="K20" s="15">
        <v>557238</v>
      </c>
      <c r="L20" s="15">
        <v>516298</v>
      </c>
      <c r="M20" s="15">
        <v>504308</v>
      </c>
      <c r="N20" s="15">
        <v>495627</v>
      </c>
    </row>
    <row r="21" spans="1:14" ht="16.5" customHeight="1">
      <c r="A21" s="17" t="s">
        <v>43</v>
      </c>
      <c r="B21" s="13">
        <f t="shared" si="0"/>
        <v>5141463</v>
      </c>
      <c r="C21" s="15">
        <v>379173</v>
      </c>
      <c r="D21" s="15">
        <v>418875</v>
      </c>
      <c r="E21" s="15">
        <v>470883</v>
      </c>
      <c r="F21" s="15">
        <v>478567</v>
      </c>
      <c r="G21" s="15">
        <v>412651</v>
      </c>
      <c r="H21" s="15">
        <v>417955</v>
      </c>
      <c r="I21" s="15">
        <v>393760</v>
      </c>
      <c r="J21" s="15">
        <v>453066</v>
      </c>
      <c r="K21" s="15">
        <v>426154</v>
      </c>
      <c r="L21" s="15">
        <v>411568</v>
      </c>
      <c r="M21" s="15">
        <v>438187</v>
      </c>
      <c r="N21" s="15">
        <v>440624</v>
      </c>
    </row>
    <row r="22" spans="1:14" ht="16.5" customHeight="1">
      <c r="A22" s="17" t="s">
        <v>44</v>
      </c>
      <c r="B22" s="13">
        <f t="shared" si="0"/>
        <v>2615675</v>
      </c>
      <c r="C22" s="15">
        <v>194955</v>
      </c>
      <c r="D22" s="15">
        <v>202081</v>
      </c>
      <c r="E22" s="15">
        <v>231494</v>
      </c>
      <c r="F22" s="15">
        <v>233853</v>
      </c>
      <c r="G22" s="15">
        <v>222393</v>
      </c>
      <c r="H22" s="15">
        <v>232503</v>
      </c>
      <c r="I22" s="15">
        <v>221611</v>
      </c>
      <c r="J22" s="15">
        <v>229477</v>
      </c>
      <c r="K22" s="15">
        <v>215687</v>
      </c>
      <c r="L22" s="15">
        <v>208456</v>
      </c>
      <c r="M22" s="15">
        <v>210420</v>
      </c>
      <c r="N22" s="15">
        <v>212745</v>
      </c>
    </row>
    <row r="23" spans="1:14" ht="16.5" customHeight="1">
      <c r="A23" s="17" t="s">
        <v>45</v>
      </c>
      <c r="B23" s="13">
        <f t="shared" si="0"/>
        <v>1825211</v>
      </c>
      <c r="C23" s="15">
        <v>123528</v>
      </c>
      <c r="D23" s="15">
        <v>132451</v>
      </c>
      <c r="E23" s="15">
        <v>165602</v>
      </c>
      <c r="F23" s="15">
        <v>170018</v>
      </c>
      <c r="G23" s="15">
        <v>158392</v>
      </c>
      <c r="H23" s="15">
        <v>164365</v>
      </c>
      <c r="I23" s="15">
        <v>151427</v>
      </c>
      <c r="J23" s="15">
        <v>155620</v>
      </c>
      <c r="K23" s="15">
        <v>161785</v>
      </c>
      <c r="L23" s="15">
        <v>147125</v>
      </c>
      <c r="M23" s="15">
        <v>147225</v>
      </c>
      <c r="N23" s="15">
        <v>147673</v>
      </c>
    </row>
    <row r="24" spans="1:14" ht="16.5" customHeight="1">
      <c r="A24" s="17" t="s">
        <v>46</v>
      </c>
      <c r="B24" s="13">
        <f t="shared" si="0"/>
        <v>1604853.5199999998</v>
      </c>
      <c r="C24" s="15">
        <v>112924</v>
      </c>
      <c r="D24" s="15">
        <v>125177.1</v>
      </c>
      <c r="E24" s="15">
        <v>148341</v>
      </c>
      <c r="F24" s="15">
        <v>148704.70000000001</v>
      </c>
      <c r="G24" s="15">
        <v>134540.1</v>
      </c>
      <c r="H24" s="15">
        <v>130614.9</v>
      </c>
      <c r="I24" s="15">
        <v>134258.5</v>
      </c>
      <c r="J24" s="15">
        <v>131975</v>
      </c>
      <c r="K24" s="15">
        <v>143457.9</v>
      </c>
      <c r="L24" s="15">
        <v>131866.46000000002</v>
      </c>
      <c r="M24" s="15">
        <v>134563.72</v>
      </c>
      <c r="N24" s="15">
        <v>128430.14</v>
      </c>
    </row>
    <row r="25" spans="1:14" ht="16.5" customHeight="1">
      <c r="A25" s="17" t="s">
        <v>47</v>
      </c>
      <c r="B25" s="13">
        <f t="shared" si="0"/>
        <v>1279933</v>
      </c>
      <c r="C25" s="15">
        <v>88642</v>
      </c>
      <c r="D25" s="15">
        <v>93720</v>
      </c>
      <c r="E25" s="15">
        <v>114885</v>
      </c>
      <c r="F25" s="15">
        <v>121400</v>
      </c>
      <c r="G25" s="15">
        <v>118238</v>
      </c>
      <c r="H25" s="15">
        <v>110699</v>
      </c>
      <c r="I25" s="15">
        <v>101109</v>
      </c>
      <c r="J25" s="15">
        <v>115967</v>
      </c>
      <c r="K25" s="15">
        <v>111750</v>
      </c>
      <c r="L25" s="15">
        <v>101994</v>
      </c>
      <c r="M25" s="15">
        <v>105008</v>
      </c>
      <c r="N25" s="15">
        <v>96521</v>
      </c>
    </row>
    <row r="26" spans="1:14" ht="16.5" customHeight="1">
      <c r="A26" s="17" t="s">
        <v>48</v>
      </c>
      <c r="B26" s="13">
        <f t="shared" si="0"/>
        <v>2152317</v>
      </c>
      <c r="C26" s="15">
        <v>143435</v>
      </c>
      <c r="D26" s="15">
        <v>166138</v>
      </c>
      <c r="E26" s="15">
        <v>188519</v>
      </c>
      <c r="F26" s="15">
        <v>190396</v>
      </c>
      <c r="G26" s="15">
        <v>176089</v>
      </c>
      <c r="H26" s="15">
        <v>182003</v>
      </c>
      <c r="I26" s="15">
        <v>182272</v>
      </c>
      <c r="J26" s="15">
        <v>184022</v>
      </c>
      <c r="K26" s="15">
        <v>199986</v>
      </c>
      <c r="L26" s="15">
        <v>183286</v>
      </c>
      <c r="M26" s="15">
        <v>178290</v>
      </c>
      <c r="N26" s="15">
        <v>177881</v>
      </c>
    </row>
    <row r="27" spans="1:14" ht="16.5" customHeight="1">
      <c r="A27" s="17" t="s">
        <v>49</v>
      </c>
      <c r="B27" s="13">
        <f t="shared" si="0"/>
        <v>4931525</v>
      </c>
      <c r="C27" s="15">
        <v>345938</v>
      </c>
      <c r="D27" s="15">
        <v>382027</v>
      </c>
      <c r="E27" s="15">
        <v>439619</v>
      </c>
      <c r="F27" s="15">
        <v>468401</v>
      </c>
      <c r="G27" s="15">
        <v>412784</v>
      </c>
      <c r="H27" s="15">
        <v>407439</v>
      </c>
      <c r="I27" s="15">
        <v>394311</v>
      </c>
      <c r="J27" s="15">
        <v>414482</v>
      </c>
      <c r="K27" s="15">
        <v>449184</v>
      </c>
      <c r="L27" s="15">
        <v>401871</v>
      </c>
      <c r="M27" s="15">
        <v>403404</v>
      </c>
      <c r="N27" s="15">
        <v>412065</v>
      </c>
    </row>
    <row r="28" spans="1:14" ht="16.5" customHeight="1">
      <c r="A28" s="17" t="s">
        <v>50</v>
      </c>
      <c r="B28" s="13">
        <f t="shared" si="0"/>
        <v>7735172</v>
      </c>
      <c r="C28" s="15">
        <v>538043</v>
      </c>
      <c r="D28" s="15">
        <v>658170</v>
      </c>
      <c r="E28" s="15">
        <v>744364</v>
      </c>
      <c r="F28" s="15">
        <v>745125</v>
      </c>
      <c r="G28" s="15">
        <v>591454</v>
      </c>
      <c r="H28" s="15">
        <v>612864</v>
      </c>
      <c r="I28" s="15">
        <v>584652</v>
      </c>
      <c r="J28" s="15">
        <v>634515</v>
      </c>
      <c r="K28" s="15">
        <v>670569</v>
      </c>
      <c r="L28" s="15">
        <v>607598</v>
      </c>
      <c r="M28" s="15">
        <v>682001</v>
      </c>
      <c r="N28" s="15">
        <v>665817</v>
      </c>
    </row>
    <row r="29" spans="1:14" ht="16.5" customHeight="1">
      <c r="A29" s="17" t="s">
        <v>51</v>
      </c>
      <c r="B29" s="13">
        <f t="shared" si="0"/>
        <v>2058382</v>
      </c>
      <c r="C29" s="15">
        <v>145740</v>
      </c>
      <c r="D29" s="15">
        <v>161299</v>
      </c>
      <c r="E29" s="15">
        <v>200600</v>
      </c>
      <c r="F29" s="15">
        <v>189250</v>
      </c>
      <c r="G29" s="15">
        <v>170587</v>
      </c>
      <c r="H29" s="15">
        <v>173820</v>
      </c>
      <c r="I29" s="15">
        <v>161589</v>
      </c>
      <c r="J29" s="15">
        <v>168317</v>
      </c>
      <c r="K29" s="15">
        <v>171049</v>
      </c>
      <c r="L29" s="15">
        <v>187865</v>
      </c>
      <c r="M29" s="15">
        <v>166894</v>
      </c>
      <c r="N29" s="15">
        <v>161372</v>
      </c>
    </row>
    <row r="30" spans="1:14" ht="16.5" customHeight="1">
      <c r="A30" s="17" t="s">
        <v>52</v>
      </c>
      <c r="B30" s="13">
        <f t="shared" si="0"/>
        <v>1254278.8999999997</v>
      </c>
      <c r="C30" s="15">
        <v>77368.800000000003</v>
      </c>
      <c r="D30" s="15">
        <v>91943.3</v>
      </c>
      <c r="E30" s="15">
        <v>100022.1</v>
      </c>
      <c r="F30" s="15">
        <v>106396.5</v>
      </c>
      <c r="G30" s="15">
        <v>106774.39999999999</v>
      </c>
      <c r="H30" s="15">
        <v>105353.2</v>
      </c>
      <c r="I30" s="15">
        <v>120983.7</v>
      </c>
      <c r="J30" s="15">
        <v>103632</v>
      </c>
      <c r="K30" s="15">
        <v>137662.70000000001</v>
      </c>
      <c r="L30" s="15">
        <v>108063.4</v>
      </c>
      <c r="M30" s="15">
        <v>102312.4</v>
      </c>
      <c r="N30" s="15">
        <v>93766.399999999994</v>
      </c>
    </row>
    <row r="31" spans="1:14" ht="16.5" customHeight="1">
      <c r="A31" s="17" t="s">
        <v>53</v>
      </c>
      <c r="B31" s="13">
        <f t="shared" si="0"/>
        <v>5161902</v>
      </c>
      <c r="C31" s="15">
        <v>344992</v>
      </c>
      <c r="D31" s="15">
        <v>409355</v>
      </c>
      <c r="E31" s="15">
        <v>480320</v>
      </c>
      <c r="F31" s="15">
        <v>484551</v>
      </c>
      <c r="G31" s="15">
        <v>412005</v>
      </c>
      <c r="H31" s="15">
        <v>389735</v>
      </c>
      <c r="I31" s="15">
        <v>403679</v>
      </c>
      <c r="J31" s="15">
        <v>435543</v>
      </c>
      <c r="K31" s="15">
        <v>433114</v>
      </c>
      <c r="L31" s="15">
        <v>422031</v>
      </c>
      <c r="M31" s="15">
        <v>469922</v>
      </c>
      <c r="N31" s="15">
        <v>476655</v>
      </c>
    </row>
    <row r="32" spans="1:14" ht="16.5" customHeight="1">
      <c r="A32" s="17" t="s">
        <v>54</v>
      </c>
      <c r="B32" s="13">
        <f t="shared" si="0"/>
        <v>2180336</v>
      </c>
      <c r="C32" s="15">
        <v>148409</v>
      </c>
      <c r="D32" s="15">
        <v>163045</v>
      </c>
      <c r="E32" s="15">
        <v>196626</v>
      </c>
      <c r="F32" s="15">
        <v>192346</v>
      </c>
      <c r="G32" s="15">
        <v>189496</v>
      </c>
      <c r="H32" s="15">
        <v>186973</v>
      </c>
      <c r="I32" s="15">
        <v>197538</v>
      </c>
      <c r="J32" s="15">
        <v>188402</v>
      </c>
      <c r="K32" s="15">
        <v>191865</v>
      </c>
      <c r="L32" s="15">
        <v>178801</v>
      </c>
      <c r="M32" s="15">
        <v>174089</v>
      </c>
      <c r="N32" s="15">
        <v>172746</v>
      </c>
    </row>
    <row r="33" spans="1:14" ht="16.5" customHeight="1">
      <c r="A33" s="17" t="s">
        <v>55</v>
      </c>
      <c r="B33" s="13">
        <f t="shared" si="0"/>
        <v>5953298</v>
      </c>
      <c r="C33" s="15">
        <v>410702</v>
      </c>
      <c r="D33" s="15">
        <v>458198</v>
      </c>
      <c r="E33" s="15">
        <v>538067</v>
      </c>
      <c r="F33" s="15">
        <v>557013</v>
      </c>
      <c r="G33" s="15">
        <v>545336</v>
      </c>
      <c r="H33" s="15">
        <v>527206</v>
      </c>
      <c r="I33" s="15">
        <v>503903</v>
      </c>
      <c r="J33" s="15">
        <v>493355</v>
      </c>
      <c r="K33" s="15">
        <v>524337</v>
      </c>
      <c r="L33" s="15">
        <v>459029</v>
      </c>
      <c r="M33" s="15">
        <v>484151</v>
      </c>
      <c r="N33" s="15">
        <v>452001</v>
      </c>
    </row>
    <row r="34" spans="1:14" ht="16.5" customHeight="1">
      <c r="A34" s="17" t="s">
        <v>56</v>
      </c>
      <c r="B34" s="13">
        <f t="shared" si="0"/>
        <v>1419967</v>
      </c>
      <c r="C34" s="15">
        <v>107059</v>
      </c>
      <c r="D34" s="15">
        <v>120803</v>
      </c>
      <c r="E34" s="15">
        <v>144309</v>
      </c>
      <c r="F34" s="15">
        <v>132493</v>
      </c>
      <c r="G34" s="15">
        <v>116984</v>
      </c>
      <c r="H34" s="15">
        <v>120431</v>
      </c>
      <c r="I34" s="15">
        <v>106476</v>
      </c>
      <c r="J34" s="15">
        <v>119248</v>
      </c>
      <c r="K34" s="15">
        <v>114247</v>
      </c>
      <c r="L34" s="15">
        <v>114769</v>
      </c>
      <c r="M34" s="15">
        <v>110104</v>
      </c>
      <c r="N34" s="15">
        <v>113044</v>
      </c>
    </row>
    <row r="35" spans="1:14" ht="16.5" customHeight="1">
      <c r="A35" s="17" t="s">
        <v>57</v>
      </c>
      <c r="B35" s="13">
        <f t="shared" si="0"/>
        <v>498672</v>
      </c>
      <c r="C35" s="15">
        <v>28318</v>
      </c>
      <c r="D35" s="15">
        <v>33940</v>
      </c>
      <c r="E35" s="15">
        <v>47117</v>
      </c>
      <c r="F35" s="15">
        <v>39548</v>
      </c>
      <c r="G35" s="15">
        <v>40634</v>
      </c>
      <c r="H35" s="15">
        <v>39873</v>
      </c>
      <c r="I35" s="15">
        <v>45909</v>
      </c>
      <c r="J35" s="15">
        <v>43679</v>
      </c>
      <c r="K35" s="15">
        <v>51028</v>
      </c>
      <c r="L35" s="15">
        <v>42750</v>
      </c>
      <c r="M35" s="15">
        <v>43342</v>
      </c>
      <c r="N35" s="15">
        <v>42534</v>
      </c>
    </row>
    <row r="36" spans="1:14" ht="16.5" customHeight="1">
      <c r="A36" s="17" t="s">
        <v>58</v>
      </c>
      <c r="B36" s="13">
        <f t="shared" si="0"/>
        <v>925036</v>
      </c>
      <c r="C36" s="15">
        <v>63510</v>
      </c>
      <c r="D36" s="15">
        <v>66999</v>
      </c>
      <c r="E36" s="15">
        <v>89857</v>
      </c>
      <c r="F36" s="15">
        <v>77785</v>
      </c>
      <c r="G36" s="15">
        <v>80216</v>
      </c>
      <c r="H36" s="15">
        <v>80018</v>
      </c>
      <c r="I36" s="15">
        <v>76024</v>
      </c>
      <c r="J36" s="15">
        <v>78567</v>
      </c>
      <c r="K36" s="15">
        <v>83767</v>
      </c>
      <c r="L36" s="15">
        <v>76217</v>
      </c>
      <c r="M36" s="15">
        <v>74587</v>
      </c>
      <c r="N36" s="15">
        <v>77489</v>
      </c>
    </row>
    <row r="37" spans="1:14" ht="16.5" customHeight="1">
      <c r="A37" s="17" t="s">
        <v>59</v>
      </c>
      <c r="B37" s="13">
        <f t="shared" si="0"/>
        <v>3450283</v>
      </c>
      <c r="C37" s="15">
        <v>250082</v>
      </c>
      <c r="D37" s="15">
        <v>278542</v>
      </c>
      <c r="E37" s="15">
        <v>328130</v>
      </c>
      <c r="F37" s="15">
        <v>322682</v>
      </c>
      <c r="G37" s="15">
        <v>295844</v>
      </c>
      <c r="H37" s="15">
        <v>290836</v>
      </c>
      <c r="I37" s="15">
        <v>291339</v>
      </c>
      <c r="J37" s="15">
        <v>288889</v>
      </c>
      <c r="K37" s="15">
        <v>287408</v>
      </c>
      <c r="L37" s="15">
        <v>271849</v>
      </c>
      <c r="M37" s="15">
        <v>262732</v>
      </c>
      <c r="N37" s="15">
        <v>281950</v>
      </c>
    </row>
    <row r="38" spans="1:14" ht="16.5" customHeight="1">
      <c r="A38" s="17" t="s">
        <v>60</v>
      </c>
      <c r="B38" s="13">
        <f t="shared" si="0"/>
        <v>1969796.4</v>
      </c>
      <c r="C38" s="15">
        <v>149878.20000000001</v>
      </c>
      <c r="D38" s="15">
        <v>161236</v>
      </c>
      <c r="E38" s="15">
        <v>181333.3</v>
      </c>
      <c r="F38" s="15">
        <v>180848</v>
      </c>
      <c r="G38" s="15">
        <v>165849.79999999999</v>
      </c>
      <c r="H38" s="15">
        <v>163586.6</v>
      </c>
      <c r="I38" s="15">
        <v>165740</v>
      </c>
      <c r="J38" s="15">
        <v>171262</v>
      </c>
      <c r="K38" s="15">
        <v>169727.3</v>
      </c>
      <c r="L38" s="15">
        <v>157516.9</v>
      </c>
      <c r="M38" s="15">
        <v>154046</v>
      </c>
      <c r="N38" s="15">
        <v>148772.29999999999</v>
      </c>
    </row>
    <row r="39" spans="1:14" ht="16.5" customHeight="1">
      <c r="A39" s="17" t="s">
        <v>61</v>
      </c>
      <c r="B39" s="13">
        <f t="shared" si="0"/>
        <v>2598097.5</v>
      </c>
      <c r="C39" s="15">
        <v>192972</v>
      </c>
      <c r="D39" s="15">
        <v>210004</v>
      </c>
      <c r="E39" s="15">
        <v>232514</v>
      </c>
      <c r="F39" s="15">
        <v>235826</v>
      </c>
      <c r="G39" s="15">
        <v>204855</v>
      </c>
      <c r="H39" s="15">
        <v>200772</v>
      </c>
      <c r="I39" s="15">
        <v>210637</v>
      </c>
      <c r="J39" s="15">
        <v>226608</v>
      </c>
      <c r="K39" s="15">
        <v>225363</v>
      </c>
      <c r="L39" s="15">
        <v>207346</v>
      </c>
      <c r="M39" s="15">
        <v>229067.5</v>
      </c>
      <c r="N39" s="15">
        <v>222133</v>
      </c>
    </row>
    <row r="40" spans="1:14" ht="16.5" customHeight="1">
      <c r="A40" s="17" t="s">
        <v>62</v>
      </c>
      <c r="B40" s="13">
        <f t="shared" si="0"/>
        <v>2544751.5500000003</v>
      </c>
      <c r="C40" s="15">
        <v>215051.9</v>
      </c>
      <c r="D40" s="15">
        <v>219565.5</v>
      </c>
      <c r="E40" s="15">
        <v>248838.6</v>
      </c>
      <c r="F40" s="15">
        <v>232396.79999999999</v>
      </c>
      <c r="G40" s="15">
        <v>191067.1</v>
      </c>
      <c r="H40" s="15">
        <v>192933.8</v>
      </c>
      <c r="I40" s="15">
        <v>199192.33</v>
      </c>
      <c r="J40" s="15">
        <v>215316.6</v>
      </c>
      <c r="K40" s="15">
        <v>202330.12</v>
      </c>
      <c r="L40" s="15">
        <v>192633.8</v>
      </c>
      <c r="M40" s="15">
        <v>216718.2</v>
      </c>
      <c r="N40" s="15">
        <v>218706.8</v>
      </c>
    </row>
    <row r="41" spans="1:14" ht="16.5" customHeight="1">
      <c r="A41" s="17" t="s">
        <v>63</v>
      </c>
      <c r="B41" s="13">
        <f t="shared" si="0"/>
        <v>2035198</v>
      </c>
      <c r="C41" s="15">
        <v>145417</v>
      </c>
      <c r="D41" s="15">
        <v>162267</v>
      </c>
      <c r="E41" s="15">
        <v>199140</v>
      </c>
      <c r="F41" s="15">
        <v>196080</v>
      </c>
      <c r="G41" s="15">
        <v>166876</v>
      </c>
      <c r="H41" s="15">
        <v>163322</v>
      </c>
      <c r="I41" s="15">
        <v>164259</v>
      </c>
      <c r="J41" s="15">
        <v>175180</v>
      </c>
      <c r="K41" s="15">
        <v>163660</v>
      </c>
      <c r="L41" s="15">
        <v>159259</v>
      </c>
      <c r="M41" s="15">
        <v>168603</v>
      </c>
      <c r="N41" s="15">
        <v>171135</v>
      </c>
    </row>
    <row r="42" spans="1:14" ht="16.5" customHeight="1">
      <c r="A42" s="18" t="s">
        <v>64</v>
      </c>
      <c r="B42" s="14">
        <f t="shared" si="0"/>
        <v>307762</v>
      </c>
      <c r="C42" s="16">
        <v>23876</v>
      </c>
      <c r="D42" s="16">
        <v>17237</v>
      </c>
      <c r="E42" s="16">
        <v>29796</v>
      </c>
      <c r="F42" s="16">
        <v>26775</v>
      </c>
      <c r="G42" s="16">
        <v>19976</v>
      </c>
      <c r="H42" s="16">
        <v>23092</v>
      </c>
      <c r="I42" s="16">
        <v>18727</v>
      </c>
      <c r="J42" s="16">
        <v>20026</v>
      </c>
      <c r="K42" s="16">
        <v>24581</v>
      </c>
      <c r="L42" s="16">
        <v>33368</v>
      </c>
      <c r="M42" s="16">
        <v>35760</v>
      </c>
      <c r="N42" s="16">
        <v>34548</v>
      </c>
    </row>
    <row r="43" spans="1:14">
      <c r="A43" s="2" t="s">
        <v>6</v>
      </c>
    </row>
  </sheetData>
  <mergeCells count="4">
    <mergeCell ref="A2:N2"/>
    <mergeCell ref="A3:N3"/>
    <mergeCell ref="A4:N4"/>
    <mergeCell ref="A5:A6"/>
  </mergeCells>
  <pageMargins left="0.7" right="0.7" top="0.75" bottom="0.75" header="0.3" footer="0.3"/>
  <pageSetup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2026-06-11T11:27:36Z</cp:lastPrinted>
  <dcterms:created xsi:type="dcterms:W3CDTF">2019-05-21T05:57:00Z</dcterms:created>
  <dcterms:modified xsi:type="dcterms:W3CDTF">2026-06-11T11:27:41Z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