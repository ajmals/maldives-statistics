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12.Electricity &amp; Water\"/>
    </mc:Choice>
  </mc:AlternateContent>
  <xr:revisionPtr revIDLastSave="0" documentId="13_ncr:1_{1816F762-102E-48C0-8248-FC005EE72323}" xr6:coauthVersionLast="47" xr6:coauthVersionMax="47" xr10:uidLastSave="{00000000-0000-0000-0000-000000000000}"/>
  <bookViews>
    <workbookView xWindow="-120" yWindow="-120" windowWidth="29040" windowHeight="15720" tabRatio="628" xr2:uid="{00000000-000D-0000-FFFF-FFFF00000000}"/>
  </bookViews>
  <sheets>
    <sheet name="12.6" sheetId="6" r:id="rId1"/>
  </sheets>
  <definedNames>
    <definedName name="Male">#REF!</definedName>
    <definedName name="_xlnm.Print_Area" localSheetId="0">'12.6'!$A$1:$S$38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" i="6" l="1"/>
  <c r="Q12" i="6" s="1"/>
  <c r="Q17" i="6"/>
  <c r="Q18" i="6"/>
  <c r="Q19" i="6"/>
  <c r="P6" i="6"/>
  <c r="P14" i="6" s="1"/>
  <c r="P17" i="6"/>
  <c r="P18" i="6"/>
  <c r="P19" i="6"/>
  <c r="Q16" i="6" l="1"/>
  <c r="Q15" i="6"/>
  <c r="Q14" i="6"/>
  <c r="Q13" i="6"/>
  <c r="P13" i="6"/>
  <c r="P12" i="6"/>
  <c r="P15" i="6"/>
  <c r="Q11" i="6" l="1"/>
  <c r="P11" i="6"/>
  <c r="P20" i="6" s="1"/>
  <c r="Q20" i="6" l="1"/>
  <c r="O19" i="6"/>
  <c r="N19" i="6"/>
  <c r="M19" i="6"/>
  <c r="L19" i="6"/>
  <c r="K19" i="6"/>
  <c r="J19" i="6"/>
  <c r="I19" i="6"/>
  <c r="H19" i="6"/>
  <c r="G19" i="6"/>
  <c r="O18" i="6"/>
  <c r="N18" i="6"/>
  <c r="M18" i="6"/>
  <c r="L18" i="6"/>
  <c r="K18" i="6"/>
  <c r="J18" i="6"/>
  <c r="I18" i="6"/>
  <c r="H18" i="6"/>
  <c r="G18" i="6"/>
  <c r="D18" i="6"/>
  <c r="C18" i="6"/>
  <c r="O17" i="6"/>
  <c r="N17" i="6"/>
  <c r="M17" i="6"/>
  <c r="L17" i="6"/>
  <c r="K17" i="6"/>
  <c r="J17" i="6"/>
  <c r="I17" i="6"/>
  <c r="H17" i="6"/>
  <c r="G17" i="6"/>
  <c r="D17" i="6"/>
  <c r="C17" i="6"/>
  <c r="E10" i="6"/>
  <c r="E20" i="6" s="1"/>
  <c r="C10" i="6"/>
  <c r="C20" i="6" s="1"/>
  <c r="E9" i="6"/>
  <c r="E19" i="6" s="1"/>
  <c r="C9" i="6"/>
  <c r="D19" i="6" s="1"/>
  <c r="E8" i="6"/>
  <c r="F18" i="6" s="1"/>
  <c r="E7" i="6"/>
  <c r="E17" i="6" s="1"/>
  <c r="O6" i="6"/>
  <c r="N6" i="6"/>
  <c r="N13" i="6" s="1"/>
  <c r="M6" i="6"/>
  <c r="M13" i="6" s="1"/>
  <c r="L6" i="6"/>
  <c r="L13" i="6" s="1"/>
  <c r="K6" i="6"/>
  <c r="K13" i="6" s="1"/>
  <c r="J6" i="6"/>
  <c r="I6" i="6"/>
  <c r="I13" i="6" s="1"/>
  <c r="H6" i="6"/>
  <c r="H14" i="6" s="1"/>
  <c r="G6" i="6"/>
  <c r="G13" i="6" s="1"/>
  <c r="F6" i="6"/>
  <c r="F13" i="6" s="1"/>
  <c r="D6" i="6"/>
  <c r="D15" i="6" s="1"/>
  <c r="B6" i="6"/>
  <c r="M14" i="6" l="1"/>
  <c r="C6" i="6"/>
  <c r="C13" i="6" s="1"/>
  <c r="O15" i="6"/>
  <c r="P16" i="6"/>
  <c r="K14" i="6"/>
  <c r="H15" i="6"/>
  <c r="F20" i="6"/>
  <c r="I12" i="6"/>
  <c r="F12" i="6"/>
  <c r="F15" i="6"/>
  <c r="F17" i="6"/>
  <c r="C19" i="6"/>
  <c r="F19" i="6"/>
  <c r="K12" i="6"/>
  <c r="I15" i="6"/>
  <c r="M12" i="6"/>
  <c r="L15" i="6"/>
  <c r="N12" i="6"/>
  <c r="M15" i="6"/>
  <c r="B13" i="6"/>
  <c r="D13" i="6"/>
  <c r="I16" i="6"/>
  <c r="N15" i="6"/>
  <c r="M16" i="6"/>
  <c r="J12" i="6"/>
  <c r="J14" i="6"/>
  <c r="J15" i="6"/>
  <c r="J13" i="6"/>
  <c r="G14" i="6"/>
  <c r="G15" i="6"/>
  <c r="G12" i="6"/>
  <c r="H16" i="6"/>
  <c r="B12" i="6"/>
  <c r="B14" i="6"/>
  <c r="B15" i="6"/>
  <c r="G16" i="6"/>
  <c r="L12" i="6"/>
  <c r="L14" i="6"/>
  <c r="L16" i="6"/>
  <c r="D12" i="6"/>
  <c r="D14" i="6"/>
  <c r="J16" i="6"/>
  <c r="H13" i="6"/>
  <c r="I14" i="6"/>
  <c r="K16" i="6"/>
  <c r="D20" i="6"/>
  <c r="H12" i="6"/>
  <c r="K15" i="6"/>
  <c r="E18" i="6"/>
  <c r="N16" i="6"/>
  <c r="E6" i="6"/>
  <c r="E13" i="6" s="1"/>
  <c r="F14" i="6"/>
  <c r="N14" i="6"/>
  <c r="O13" i="6"/>
  <c r="O14" i="6"/>
  <c r="O16" i="6"/>
  <c r="O12" i="6"/>
  <c r="I11" i="6" l="1"/>
  <c r="I20" i="6" s="1"/>
  <c r="F11" i="6"/>
  <c r="C16" i="6"/>
  <c r="D16" i="6"/>
  <c r="C12" i="6"/>
  <c r="C15" i="6"/>
  <c r="C14" i="6"/>
  <c r="K11" i="6"/>
  <c r="H11" i="6"/>
  <c r="H20" i="6" s="1"/>
  <c r="N11" i="6"/>
  <c r="N20" i="6" s="1"/>
  <c r="L11" i="6"/>
  <c r="L20" i="6" s="1"/>
  <c r="G11" i="6"/>
  <c r="G20" i="6" s="1"/>
  <c r="M11" i="6"/>
  <c r="M20" i="6" s="1"/>
  <c r="D11" i="6"/>
  <c r="O11" i="6"/>
  <c r="O20" i="6" s="1"/>
  <c r="F16" i="6"/>
  <c r="B11" i="6"/>
  <c r="E12" i="6"/>
  <c r="E15" i="6"/>
  <c r="E14" i="6"/>
  <c r="E16" i="6"/>
  <c r="J11" i="6"/>
  <c r="J20" i="6" s="1"/>
  <c r="K20" i="6" l="1"/>
  <c r="C11" i="6"/>
  <c r="E11" i="6"/>
</calcChain>
</file>

<file path=xl/sharedStrings.xml><?xml version="1.0" encoding="utf-8"?>
<sst xmlns="http://schemas.openxmlformats.org/spreadsheetml/2006/main" count="38" uniqueCount="23">
  <si>
    <t>(In '000 metric tons)</t>
  </si>
  <si>
    <t>(cnunwT ckircTem '000)</t>
  </si>
  <si>
    <t>Type</t>
  </si>
  <si>
    <t>cnwt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</si>
  <si>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</si>
  <si>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</si>
  <si>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</si>
  <si>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</si>
  <si>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</si>
  <si>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</si>
  <si>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</si>
  <si>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</si>
  <si>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Tap Bays</t>
  </si>
  <si>
    <t>cnukwt urukcsiacnef</t>
  </si>
  <si>
    <t>Percentage  share</t>
  </si>
  <si>
    <t xml:space="preserve"> % cnutogWviawfiheb</t>
  </si>
  <si>
    <t>% change over previous year</t>
  </si>
  <si>
    <t xml:space="preserve"> % urwvcnim ivurutia eruvcSwrwhwa Iruk</t>
  </si>
  <si>
    <t xml:space="preserve"> Commercial</t>
  </si>
  <si>
    <t>Source: Male' Water &amp; Sewerage Company  Limited</t>
  </si>
  <si>
    <t>cDeTimil Inepcmok cjErevcs cDcnea rwTOv ElWm :ctWrwf ivcaedutWmUluawm</t>
  </si>
  <si>
    <t>2025 - 2010  ,urwvcnim unuverukcnunEb iawgElWm cnef Everukclib  : 12.6  ulwvWt</t>
  </si>
  <si>
    <t>Table 12.6 : BILLED WATER CONSUMPTION IN MALE',   2010 - 2025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</si>
</sst>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A_Faseyha"/>
    </font>
    <font>
      <sz val="9"/>
      <name val="A_Faseyha"/>
    </font>
    <font>
      <sz val="11"/>
      <name val="Arial"/>
      <family val="2"/>
    </font>
    <font>
      <b/>
      <sz val="10"/>
      <name val="Calibri"/>
      <family val="2"/>
      <scheme val="minor"/>
    </font>
    <font>
      <sz val="10"/>
      <name val="A_Faseyha"/>
    </font>
    <font>
      <b/>
      <sz val="10"/>
      <name val="Arial"/>
      <family val="2"/>
    </font>
    <font>
      <b/>
      <sz val="12"/>
      <name val="Calibri"/>
      <family val="2"/>
      <scheme val="minor"/>
    </font>
    <font>
      <sz val="10"/>
      <name val="Garamond"/>
      <family val="1"/>
    </font>
    <font>
      <sz val="9"/>
      <name val="Garamond"/>
      <family val="1"/>
    </font>
    <font>
      <b/>
      <sz val="9"/>
      <name val="Arial"/>
      <family val="2"/>
    </font>
    <font>
      <sz val="9"/>
      <name val="Arial"/>
      <family val="2"/>
    </font>
    <font>
      <b/>
      <sz val="9"/>
      <name val="A_Funa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name val="A_Faseyha"/>
    </font>
    <font>
      <sz val="11"/>
      <name val="Calibri"/>
      <family val="2"/>
      <scheme val="minor"/>
    </font>
    <font>
      <b/>
      <sz val="11"/>
      <name val="A_Faseyha"/>
    </font>
    <font>
      <b/>
      <sz val="11"/>
      <name val="Arial"/>
      <family val="2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n">
        <color auto="1"/>
      </bottom>
      <diagonal/>
    </border>
  </borders>
  <cellStyleXfs count="17">
    <xf numFmtId="0" fontId="0" fillId="0" borderId="0"/>
    <xf numFmtId="43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20" fillId="0" borderId="0"/>
    <xf numFmtId="0" fontId="4" fillId="0" borderId="0"/>
    <xf numFmtId="0" fontId="15" fillId="0" borderId="0"/>
    <xf numFmtId="0" fontId="2" fillId="0" borderId="0"/>
    <xf numFmtId="43" fontId="2" fillId="0" borderId="0" applyFont="0" applyFill="0" applyBorder="0" applyAlignment="0" applyProtection="0"/>
    <xf numFmtId="0" fontId="26" fillId="0" borderId="0"/>
    <xf numFmtId="43" fontId="1" fillId="0" borderId="0" applyFont="0" applyFill="0" applyBorder="0" applyAlignment="0" applyProtection="0"/>
    <xf numFmtId="0" fontId="4" fillId="0" borderId="0"/>
    <xf numFmtId="0" fontId="1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4" fillId="2" borderId="0" xfId="5" applyFill="1"/>
    <xf numFmtId="164" fontId="6" fillId="2" borderId="0" xfId="1" applyNumberFormat="1" applyFont="1" applyFill="1" applyBorder="1" applyAlignment="1">
      <alignment horizontal="right" vertical="center"/>
    </xf>
    <xf numFmtId="0" fontId="3" fillId="2" borderId="0" xfId="9" applyFont="1" applyFill="1"/>
    <xf numFmtId="0" fontId="8" fillId="2" borderId="1" xfId="0" applyFont="1" applyFill="1" applyBorder="1" applyAlignment="1">
      <alignment horizontal="right" vertical="center"/>
    </xf>
    <xf numFmtId="0" fontId="9" fillId="2" borderId="0" xfId="9" applyFont="1" applyFill="1" applyAlignment="1">
      <alignment horizontal="right"/>
    </xf>
    <xf numFmtId="0" fontId="14" fillId="2" borderId="0" xfId="5" applyFont="1" applyFill="1" applyAlignment="1">
      <alignment vertical="center" wrapText="1"/>
    </xf>
    <xf numFmtId="0" fontId="16" fillId="2" borderId="0" xfId="9" applyFont="1" applyFill="1"/>
    <xf numFmtId="0" fontId="12" fillId="2" borderId="0" xfId="0" applyFont="1" applyFill="1" applyAlignment="1">
      <alignment horizontal="right" vertical="center"/>
    </xf>
    <xf numFmtId="0" fontId="12" fillId="2" borderId="4" xfId="0" applyFont="1" applyFill="1" applyBorder="1" applyAlignment="1">
      <alignment horizontal="right" vertical="center"/>
    </xf>
    <xf numFmtId="0" fontId="12" fillId="2" borderId="2" xfId="0" applyFont="1" applyFill="1" applyBorder="1" applyAlignment="1">
      <alignment horizontal="right" vertical="center"/>
    </xf>
    <xf numFmtId="0" fontId="6" fillId="2" borderId="0" xfId="0" applyFont="1" applyFill="1" applyAlignment="1">
      <alignment horizontal="left" vertical="center"/>
    </xf>
    <xf numFmtId="0" fontId="23" fillId="2" borderId="0" xfId="0" applyFont="1" applyFill="1"/>
    <xf numFmtId="0" fontId="11" fillId="2" borderId="1" xfId="0" applyFont="1" applyFill="1" applyBorder="1" applyAlignment="1">
      <alignment horizontal="left" vertical="center"/>
    </xf>
    <xf numFmtId="0" fontId="17" fillId="2" borderId="0" xfId="0" applyFont="1" applyFill="1"/>
    <xf numFmtId="0" fontId="6" fillId="2" borderId="0" xfId="0" applyFont="1" applyFill="1" applyAlignment="1">
      <alignment vertical="center"/>
    </xf>
    <xf numFmtId="164" fontId="6" fillId="2" borderId="0" xfId="1" applyNumberFormat="1" applyFont="1" applyFill="1" applyAlignment="1">
      <alignment horizontal="right" vertical="center"/>
    </xf>
    <xf numFmtId="0" fontId="24" fillId="2" borderId="0" xfId="0" applyFont="1" applyFill="1" applyAlignment="1">
      <alignment horizontal="right" vertical="center"/>
    </xf>
    <xf numFmtId="0" fontId="25" fillId="2" borderId="0" xfId="0" applyFont="1" applyFill="1"/>
    <xf numFmtId="0" fontId="23" fillId="2" borderId="0" xfId="0" applyFont="1" applyFill="1" applyAlignment="1">
      <alignment vertical="center"/>
    </xf>
    <xf numFmtId="164" fontId="23" fillId="2" borderId="0" xfId="1" applyNumberFormat="1" applyFont="1" applyFill="1" applyAlignment="1">
      <alignment horizontal="right" vertical="center"/>
    </xf>
    <xf numFmtId="0" fontId="10" fillId="2" borderId="0" xfId="0" applyFont="1" applyFill="1"/>
    <xf numFmtId="43" fontId="10" fillId="2" borderId="0" xfId="1" applyFont="1" applyFill="1"/>
    <xf numFmtId="43" fontId="10" fillId="2" borderId="0" xfId="0" applyNumberFormat="1" applyFont="1" applyFill="1"/>
    <xf numFmtId="0" fontId="23" fillId="2" borderId="4" xfId="0" applyFont="1" applyFill="1" applyBorder="1" applyAlignment="1">
      <alignment vertical="center"/>
    </xf>
    <xf numFmtId="164" fontId="23" fillId="2" borderId="4" xfId="1" applyNumberFormat="1" applyFont="1" applyFill="1" applyBorder="1" applyAlignment="1">
      <alignment horizontal="right" vertical="center"/>
    </xf>
    <xf numFmtId="164" fontId="23" fillId="2" borderId="3" xfId="1" applyNumberFormat="1" applyFont="1" applyFill="1" applyBorder="1" applyAlignment="1">
      <alignment horizontal="right" vertical="center"/>
    </xf>
    <xf numFmtId="37" fontId="23" fillId="2" borderId="4" xfId="1" applyNumberFormat="1" applyFont="1" applyFill="1" applyBorder="1" applyAlignment="1">
      <alignment horizontal="right" vertical="center"/>
    </xf>
    <xf numFmtId="3" fontId="6" fillId="2" borderId="0" xfId="1" applyNumberFormat="1" applyFont="1" applyFill="1" applyBorder="1" applyAlignment="1">
      <alignment horizontal="right" vertical="center"/>
    </xf>
    <xf numFmtId="3" fontId="23" fillId="2" borderId="0" xfId="1" applyNumberFormat="1" applyFont="1" applyFill="1" applyAlignment="1">
      <alignment horizontal="right" vertical="center"/>
    </xf>
    <xf numFmtId="0" fontId="23" fillId="2" borderId="2" xfId="0" applyFont="1" applyFill="1" applyBorder="1" applyAlignment="1">
      <alignment vertical="center"/>
    </xf>
    <xf numFmtId="3" fontId="23" fillId="2" borderId="2" xfId="1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8" fillId="2" borderId="0" xfId="0" applyFont="1" applyFill="1"/>
    <xf numFmtId="0" fontId="16" fillId="2" borderId="0" xfId="9" applyFont="1" applyFill="1" applyAlignment="1">
      <alignment vertical="center"/>
    </xf>
    <xf numFmtId="0" fontId="13" fillId="2" borderId="0" xfId="0" applyFont="1" applyFill="1"/>
    <xf numFmtId="1" fontId="23" fillId="2" borderId="0" xfId="0" applyNumberFormat="1" applyFont="1" applyFill="1"/>
    <xf numFmtId="0" fontId="13" fillId="2" borderId="0" xfId="0" applyFont="1" applyFill="1" applyAlignment="1">
      <alignment vertical="center"/>
    </xf>
    <xf numFmtId="0" fontId="19" fillId="2" borderId="2" xfId="5" applyFont="1" applyFill="1" applyBorder="1" applyAlignment="1">
      <alignment vertical="center"/>
    </xf>
    <xf numFmtId="0" fontId="19" fillId="2" borderId="5" xfId="5" applyFont="1" applyFill="1" applyBorder="1" applyAlignment="1">
      <alignment vertical="center"/>
    </xf>
    <xf numFmtId="164" fontId="7" fillId="2" borderId="0" xfId="16" applyNumberFormat="1" applyFont="1" applyFill="1" applyAlignment="1">
      <alignment horizontal="right" vertical="center"/>
    </xf>
    <xf numFmtId="0" fontId="22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1" fillId="2" borderId="5" xfId="5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vertical="center"/>
    </xf>
  </cellXfs>
  <cellStyles count="17">
    <cellStyle name="Comma" xfId="1" builtinId="3"/>
    <cellStyle name="Comma 2" xfId="2" xr:uid="{00000000-0005-0000-0000-000001000000}"/>
    <cellStyle name="Comma 2 2" xfId="3" xr:uid="{00000000-0005-0000-0000-000002000000}"/>
    <cellStyle name="Comma 3" xfId="11" xr:uid="{F5B4A224-1F62-4D26-BEF8-EC4E8130DEEE}"/>
    <cellStyle name="Comma 3 2" xfId="16" xr:uid="{846C9DD0-F9CD-4384-998C-A69E0D903163}"/>
    <cellStyle name="Comma 4" xfId="4" xr:uid="{00000000-0005-0000-0000-000003000000}"/>
    <cellStyle name="Comma 5" xfId="13" xr:uid="{ED1E87DD-C78B-473B-A4CE-AFDAE7CF7656}"/>
    <cellStyle name="Normal" xfId="0" builtinId="0"/>
    <cellStyle name="Normal 2" xfId="5" xr:uid="{00000000-0005-0000-0000-000005000000}"/>
    <cellStyle name="Normal 2 2" xfId="6" xr:uid="{00000000-0005-0000-0000-000006000000}"/>
    <cellStyle name="Normal 3" xfId="10" xr:uid="{F405DDE0-D1F1-478E-9D0E-047C915BEE51}"/>
    <cellStyle name="Normal 3 2" xfId="15" xr:uid="{7D38DCE9-A7EF-4CBF-AA34-CF9D3CA007AF}"/>
    <cellStyle name="Normal 4" xfId="7" xr:uid="{00000000-0005-0000-0000-000007000000}"/>
    <cellStyle name="Normal 4 2" xfId="12" xr:uid="{C0BBE1BE-4BC0-4737-BFDA-D8EF6C73CAA2}"/>
    <cellStyle name="Normal 4 3" xfId="14" xr:uid="{1AE76306-B639-4ACE-AAE8-8A0645E12B10}"/>
    <cellStyle name="Normal 5" xfId="8" xr:uid="{00000000-0005-0000-0000-000008000000}"/>
    <cellStyle name="Normal_X-5 (Electricity)" xfId="9" xr:uid="{00000000-0005-0000-0000-000009000000}"/>
  </cellStyles>
  <dxfs count="0"/>
  <tableStyles count="0" defaultTableStyle="TableStyleMedium2" defaultPivotStyle="PivotStyleLight16"/>
  <colors>
    <mruColors>
      <color rgb="FF336600"/>
      <color rgb="FFF9FFF3"/>
      <color rgb="FFEAF4E4"/>
      <color rgb="FF2F75B5"/>
      <color rgb="FFFF3399"/>
      <color rgb="FF003300"/>
      <color rgb="FF9BC2E6"/>
      <color rgb="FF003399"/>
      <color rgb="FFEEEEEE"/>
      <color rgb="FFAE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765587458667401"/>
          <c:y val="0.19443762803004438"/>
          <c:w val="0.40015629201429848"/>
          <c:h val="0.70903138603192217"/>
        </c:manualLayout>
      </c:layout>
      <c:pie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1B71-4D84-9B5B-17A7020F9FF1}"/>
              </c:ext>
            </c:extLst>
          </c:dPt>
          <c:dPt>
            <c:idx val="1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1B71-4D84-9B5B-17A7020F9FF1}"/>
              </c:ext>
            </c:extLst>
          </c:dPt>
          <c:dPt>
            <c:idx val="2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1B71-4D84-9B5B-17A7020F9FF1}"/>
              </c:ext>
            </c:extLst>
          </c:dPt>
          <c:dLbls>
            <c:dLbl>
              <c:idx val="0"/>
              <c:layout>
                <c:manualLayout>
                  <c:x val="-0.113301957014735"/>
                  <c:y val="-0.23063979013741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71-4D84-9B5B-17A7020F9F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'12.6'!$A$12:$A$14</c:f>
              <c:strCache>
                <c:ptCount val="3"/>
                <c:pt idx="0">
                  <c:v>Residential</c:v>
                </c:pt>
                <c:pt idx="1">
                  <c:v>Institution</c:v>
                </c:pt>
                <c:pt idx="2">
                  <c:v>Commercial</c:v>
                </c:pt>
              </c:strCache>
            </c:strRef>
          </c:cat>
          <c:val>
            <c:numRef>
              <c:f>'12.6'!$Q$12:$Q$14</c:f>
              <c:numCache>
                <c:formatCode>_(* #,##0_);_(* \(#,##0\);_(* "-"??_);_(@_)</c:formatCode>
                <c:ptCount val="3"/>
                <c:pt idx="0">
                  <c:v>77.369571155422008</c:v>
                </c:pt>
                <c:pt idx="1">
                  <c:v>9.2051352089592999</c:v>
                </c:pt>
                <c:pt idx="2">
                  <c:v>13.425293635618685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71-4D84-9B5B-17A7020F9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ln>
          <a:noFill/>
        </a:ln>
      </c:spPr>
    </c:plotArea>
    <c:plotVisOnly val="1"/>
    <c:dispBlanksAs val="zero"/>
    <c:showDLblsOverMax val="0"/>
  </c:chart>
  <c:spPr>
    <a:solidFill>
      <a:sysClr val="window" lastClr="FFFFFF"/>
    </a:solidFill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12.5: Percentage share of </a:t>
            </a:r>
            <a:r>
              <a:rPr lang="en-US" sz="1050" b="1" i="0" baseline="0">
                <a:effectLst/>
              </a:rPr>
              <a:t>water</a:t>
            </a:r>
            <a:r>
              <a:rPr lang="en-US" sz="1200" b="1" i="0" baseline="0">
                <a:effectLst/>
              </a:rPr>
              <a:t> consumption in Male', 2010 - 2025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19858579126604192"/>
          <c:y val="2.51571094583198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811275302915902E-2"/>
          <c:y val="0.120032362459547"/>
          <c:w val="0.93109740049617096"/>
          <c:h val="0.7316735306626630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'12.6'!$A$12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'12.6'!$B$5:$Q$5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'12.6'!$B$12:$Q$12</c:f>
              <c:numCache>
                <c:formatCode>_(* #,##0_);_(* \(#,##0\);_(* "-"??_);_(@_)</c:formatCode>
                <c:ptCount val="16"/>
                <c:pt idx="0">
                  <c:v>80.356260074400723</c:v>
                </c:pt>
                <c:pt idx="1">
                  <c:v>79.909854988124479</c:v>
                </c:pt>
                <c:pt idx="2">
                  <c:v>81.575217913353299</c:v>
                </c:pt>
                <c:pt idx="3">
                  <c:v>81.434627477763883</c:v>
                </c:pt>
                <c:pt idx="4">
                  <c:v>81.622250460351708</c:v>
                </c:pt>
                <c:pt idx="5">
                  <c:v>80.455612260492032</c:v>
                </c:pt>
                <c:pt idx="6">
                  <c:v>79.666147431903866</c:v>
                </c:pt>
                <c:pt idx="7">
                  <c:v>78.03924400927842</c:v>
                </c:pt>
                <c:pt idx="8">
                  <c:v>77.366574155349696</c:v>
                </c:pt>
                <c:pt idx="9">
                  <c:v>77.465989037351562</c:v>
                </c:pt>
                <c:pt idx="10">
                  <c:v>79.607192626018104</c:v>
                </c:pt>
                <c:pt idx="11">
                  <c:v>79.203085990400993</c:v>
                </c:pt>
                <c:pt idx="12">
                  <c:v>77.373770964078915</c:v>
                </c:pt>
                <c:pt idx="13">
                  <c:v>77.471553351588312</c:v>
                </c:pt>
                <c:pt idx="14">
                  <c:v>77.334545258354453</c:v>
                </c:pt>
                <c:pt idx="15">
                  <c:v>77.369571155422008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D-425A-9B56-6EC3C9221C88}"/>
            </c:ext>
          </c:extLst>
        </c:ser>
        <c:ser>
          <c:idx val="1"/>
          <c:order val="1"/>
          <c:tx>
            <c:strRef>
              <c:f>'12.6'!$A$13</c:f>
              <c:strCache>
                <c:ptCount val="1"/>
                <c:pt idx="0">
                  <c:v>Institution</c:v>
                </c:pt>
              </c:strCache>
            </c:strRef>
          </c:tx>
          <c:spPr>
            <a:solidFill>
              <a:srgbClr val="336600"/>
            </a:solidFill>
            <a:ln>
              <a:noFill/>
            </a:ln>
            <a:effectLst/>
          </c:spPr>
          <c:invertIfNegative val="0"/>
          <c:cat>
            <c:numRef>
              <c:f>'12.6'!$B$5:$Q$5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'12.6'!$B$13:$Q$13</c:f>
              <c:numCache>
                <c:formatCode>_(* #,##0_);_(* \(#,##0\);_(* "-"??_);_(@_)</c:formatCode>
                <c:ptCount val="16"/>
                <c:pt idx="0">
                  <c:v>9.6012597792971413</c:v>
                </c:pt>
                <c:pt idx="1">
                  <c:v>8.2734249061250207</c:v>
                </c:pt>
                <c:pt idx="2">
                  <c:v>8.6585503819099223</c:v>
                </c:pt>
                <c:pt idx="3">
                  <c:v>8.6110823719206468</c:v>
                </c:pt>
                <c:pt idx="4">
                  <c:v>7.9657282579766413</c:v>
                </c:pt>
                <c:pt idx="5">
                  <c:v>8.9747584860563112</c:v>
                </c:pt>
                <c:pt idx="6">
                  <c:v>9.2327248667262634</c:v>
                </c:pt>
                <c:pt idx="7">
                  <c:v>9.7815984466118078</c:v>
                </c:pt>
                <c:pt idx="8">
                  <c:v>10.023382223811055</c:v>
                </c:pt>
                <c:pt idx="9">
                  <c:v>9.3947708160982106</c:v>
                </c:pt>
                <c:pt idx="10">
                  <c:v>9.0850920200925032</c:v>
                </c:pt>
                <c:pt idx="11">
                  <c:v>9.6831426034125734</c:v>
                </c:pt>
                <c:pt idx="12">
                  <c:v>10.468643360774825</c:v>
                </c:pt>
                <c:pt idx="13">
                  <c:v>9.249972501785205</c:v>
                </c:pt>
                <c:pt idx="14">
                  <c:v>9.1190661480979642</c:v>
                </c:pt>
                <c:pt idx="15">
                  <c:v>9.2051352089592999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D-425A-9B56-6EC3C9221C88}"/>
            </c:ext>
          </c:extLst>
        </c:ser>
        <c:ser>
          <c:idx val="2"/>
          <c:order val="2"/>
          <c:tx>
            <c:strRef>
              <c:f>'12.6'!$A$14</c:f>
              <c:strCache>
                <c:ptCount val="1"/>
                <c:pt idx="0">
                  <c:v>Commercial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'12.6'!$B$5:$Q$5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'12.6'!$B$14:$Q$14</c:f>
              <c:numCache>
                <c:formatCode>_(* #,##0_);_(* \(#,##0\);_(* "-"??_);_(@_)</c:formatCode>
                <c:ptCount val="16"/>
                <c:pt idx="0">
                  <c:v>9.5945295948963185</c:v>
                </c:pt>
                <c:pt idx="1">
                  <c:v>11.695455640524797</c:v>
                </c:pt>
                <c:pt idx="2">
                  <c:v>9.735177337275406</c:v>
                </c:pt>
                <c:pt idx="3">
                  <c:v>9.9011593689189166</c:v>
                </c:pt>
                <c:pt idx="4">
                  <c:v>10.346710397478317</c:v>
                </c:pt>
                <c:pt idx="5">
                  <c:v>10.569629253451657</c:v>
                </c:pt>
                <c:pt idx="6">
                  <c:v>11.101127701369871</c:v>
                </c:pt>
                <c:pt idx="7">
                  <c:v>12.179157544109779</c:v>
                </c:pt>
                <c:pt idx="8">
                  <c:v>12.610043620839242</c:v>
                </c:pt>
                <c:pt idx="9">
                  <c:v>13.139240146550236</c:v>
                </c:pt>
                <c:pt idx="10">
                  <c:v>11.307715353889378</c:v>
                </c:pt>
                <c:pt idx="11">
                  <c:v>11.113771406186441</c:v>
                </c:pt>
                <c:pt idx="12">
                  <c:v>12.157585675146256</c:v>
                </c:pt>
                <c:pt idx="13">
                  <c:v>13.27847414662647</c:v>
                </c:pt>
                <c:pt idx="14">
                  <c:v>13.54638859354759</c:v>
                </c:pt>
                <c:pt idx="15">
                  <c:v>13.425293635618685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D-425A-9B56-6EC3C9221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360584"/>
        <c:axId val="463361368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'12.6'!$A$15</c15:sqref>
                        </c15:formulaRef>
                      </c:ext>
                    </c:extLst>
                    <c:strCache>
                      <c:ptCount val="1"/>
                      <c:pt idx="0">
                        <c:v>Tap Bays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'12.6'!$B$5:$Q$5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2010</c:v>
                      </c:pt>
                      <c:pt idx="1">
                        <c:v>2011</c:v>
                      </c:pt>
                      <c:pt idx="2">
                        <c:v>2012</c:v>
                      </c:pt>
                      <c:pt idx="3">
                        <c:v>2013</c:v>
                      </c:pt>
                      <c:pt idx="4">
                        <c:v>2014</c:v>
                      </c:pt>
                      <c:pt idx="5">
                        <c:v>2015</c:v>
                      </c:pt>
                      <c:pt idx="6">
                        <c:v>2016</c:v>
                      </c:pt>
                      <c:pt idx="7">
                        <c:v>2017</c:v>
                      </c:pt>
                      <c:pt idx="8">
                        <c:v>2018</c:v>
                      </c:pt>
                      <c:pt idx="9">
                        <c:v>2019</c:v>
                      </c:pt>
                      <c:pt idx="10">
                        <c:v>2020</c:v>
                      </c:pt>
                      <c:pt idx="11">
                        <c:v>2021</c:v>
                      </c:pt>
                      <c:pt idx="12">
                        <c:v>2022</c:v>
                      </c:pt>
                      <c:pt idx="13">
                        <c:v>2023</c:v>
                      </c:pt>
                      <c:pt idx="14">
                        <c:v>2024</c:v>
                      </c:pt>
                      <c:pt idx="15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'12.6'!$B$15:$Q$15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6"/>
                      <c:pt idx="0">
                        <c:v>0.44795055140582801</c:v>
                      </c:pt>
                      <c:pt idx="1">
                        <c:v>0.12126446522570183</c:v>
                      </c:pt>
                      <c:pt idx="2">
                        <c:v>3.1054367461371937E-2</c:v>
                      </c:pt>
                      <c:pt idx="3">
                        <c:v>5.3130781396563576E-2</c:v>
                      </c:pt>
                      <c:pt idx="4">
                        <c:v>6.5310884193338331E-2</c:v>
                      </c:pt>
                      <c:pt idx="5" formatCode="#,##0_);\(#,##0\)">
                        <c:v>0</c:v>
                      </c:pt>
                      <c:pt idx="6" formatCode="#,##0_);\(#,##0\)">
                        <c:v>0</c:v>
                      </c:pt>
                      <c:pt idx="7" formatCode="#,##0_);\(#,##0\)">
                        <c:v>0</c:v>
                      </c:pt>
                      <c:pt idx="8" formatCode="#,##0_);\(#,##0\)">
                        <c:v>0</c:v>
                      </c:pt>
                      <c:pt idx="9" formatCode="#,##0_);\(#,##0\)">
                        <c:v>0</c:v>
                      </c:pt>
                      <c:pt idx="10" formatCode="#,##0_);\(#,##0\)">
                        <c:v>0</c:v>
                      </c:pt>
                      <c:pt idx="11" formatCode="#,##0_);\(#,##0\)">
                        <c:v>0</c:v>
                      </c:pt>
                      <c:pt idx="12" formatCode="#,##0_);\(#,##0\)">
                        <c:v>0</c:v>
                      </c:pt>
                      <c:pt idx="13" formatCode="#,##0_);\(#,##0\)">
                        <c:v>0</c:v>
                      </c:pt>
                      <c:pt idx="14" formatCode="#,##0_);\(#,##0\)">
                        <c:v>0</c:v>
                      </c:pt>
                      <c:pt idx="15" formatCode="#,##0_);\(#,##0\)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933D-425A-9B56-6EC3C9221C88}"/>
                  </c:ext>
                </c:extLst>
              </c15:ser>
            </c15:filteredBarSeries>
          </c:ext>
        </c:extLst>
      </c:barChart>
      <c:catAx>
        <c:axId val="463360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1368"/>
        <c:crosses val="autoZero"/>
        <c:auto val="1"/>
        <c:lblAlgn val="ctr"/>
        <c:lblOffset val="100"/>
        <c:noMultiLvlLbl val="0"/>
      </c:catAx>
      <c:valAx>
        <c:axId val="46336136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0584"/>
        <c:crosses val="autoZero"/>
        <c:crossBetween val="between"/>
      </c:valAx>
      <c:spPr>
        <a:noFill/>
        <a:ln>
          <a:solidFill>
            <a:schemeClr val="bg1">
              <a:lumMod val="9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97111730876983"/>
          <c:y val="0.926842779605066"/>
          <c:w val="0.400706640256276"/>
          <c:h val="7.07552122022482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95070</xdr:colOff>
      <xdr:row>21</xdr:row>
      <xdr:rowOff>122567</xdr:rowOff>
    </xdr:from>
    <xdr:to>
      <xdr:col>7</xdr:col>
      <xdr:colOff>431321</xdr:colOff>
      <xdr:row>37</xdr:row>
      <xdr:rowOff>129575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134788</xdr:colOff>
      <xdr:row>22</xdr:row>
      <xdr:rowOff>10021</xdr:rowOff>
    </xdr:from>
    <xdr:to>
      <xdr:col>7</xdr:col>
      <xdr:colOff>269576</xdr:colOff>
      <xdr:row>23</xdr:row>
      <xdr:rowOff>81220</xdr:rowOff>
    </xdr:to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4788" y="4467002"/>
          <a:ext cx="5310637" cy="259902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sz="1200" b="1" i="0" baseline="0">
              <a:solidFill>
                <a:schemeClr val="tx1"/>
              </a:solidFill>
              <a:latin typeface="Consolas" panose="020B0609020204030204" pitchFamily="49" charset="0"/>
              <a:cs typeface="Consolas" panose="020B0609020204030204" pitchFamily="49" charset="0"/>
            </a:rPr>
            <a:t> </a:t>
          </a:r>
          <a:r>
            <a:rPr lang="en-US" sz="1100" b="1" i="0" baseline="0">
              <a:solidFill>
                <a:schemeClr val="tx1">
                  <a:lumMod val="65000"/>
                  <a:lumOff val="35000"/>
                </a:schemeClr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Figure 12.5: Percentage share of water consumption in Male', 2025</a:t>
          </a:r>
          <a:endParaRPr lang="en-US" sz="1200">
            <a:solidFill>
              <a:schemeClr val="tx1">
                <a:lumMod val="65000"/>
                <a:lumOff val="35000"/>
              </a:schemeClr>
            </a:solidFill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>
    <xdr:from>
      <xdr:col>8</xdr:col>
      <xdr:colOff>80873</xdr:colOff>
      <xdr:row>21</xdr:row>
      <xdr:rowOff>116816</xdr:rowOff>
    </xdr:from>
    <xdr:to>
      <xdr:col>17</xdr:col>
      <xdr:colOff>2408207</xdr:colOff>
      <xdr:row>37</xdr:row>
      <xdr:rowOff>135327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2:Z35"/>
  <sheetViews>
    <sheetView tabSelected="1" zoomScale="106" zoomScaleNormal="106" workbookViewId="0">
      <selection activeCell="U53" sqref="U53"/>
    </sheetView>
  </sheetViews>
  <sheetFormatPr defaultColWidth="9.140625" defaultRowHeight="15"/>
  <cols>
    <col min="1" max="1" width="27.140625" style="12" customWidth="1"/>
    <col min="2" max="17" width="9.42578125" style="19" customWidth="1"/>
    <col min="18" max="18" width="37.42578125" style="12" customWidth="1"/>
    <col min="19" max="19" width="2.42578125" style="12" customWidth="1"/>
    <col min="20" max="20" width="15.28515625" style="12" bestFit="1" customWidth="1"/>
    <col min="21" max="16384" width="9.140625" style="12"/>
  </cols>
  <sheetData>
    <row r="2" spans="1:20" ht="18.75">
      <c r="A2" s="41" t="s">
        <v>21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1:20" ht="15.75">
      <c r="A3" s="42" t="s">
        <v>22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</row>
    <row r="4" spans="1:20" s="1" customFormat="1" ht="16.5" customHeight="1">
      <c r="A4" s="43" t="s">
        <v>0</v>
      </c>
      <c r="B4" s="43"/>
      <c r="C4" s="43"/>
      <c r="D4" s="43"/>
      <c r="E4" s="43"/>
      <c r="F4" s="43"/>
      <c r="G4" s="43"/>
      <c r="H4" s="43"/>
      <c r="I4" s="43"/>
      <c r="J4" s="43"/>
      <c r="K4" s="38" t="s">
        <v>1</v>
      </c>
      <c r="L4" s="38"/>
      <c r="M4" s="38"/>
      <c r="N4" s="38"/>
      <c r="O4" s="38"/>
      <c r="P4" s="38"/>
      <c r="Q4" s="39"/>
      <c r="R4" s="38"/>
      <c r="S4" s="6"/>
      <c r="T4" s="6"/>
    </row>
    <row r="5" spans="1:20" s="14" customFormat="1" ht="18" customHeight="1">
      <c r="A5" s="13" t="s">
        <v>2</v>
      </c>
      <c r="B5" s="44">
        <v>2010</v>
      </c>
      <c r="C5" s="44">
        <v>2011</v>
      </c>
      <c r="D5" s="44">
        <v>2012</v>
      </c>
      <c r="E5" s="44">
        <v>2013</v>
      </c>
      <c r="F5" s="44">
        <v>2014</v>
      </c>
      <c r="G5" s="44">
        <v>2015</v>
      </c>
      <c r="H5" s="44">
        <v>2016</v>
      </c>
      <c r="I5" s="44">
        <v>2017</v>
      </c>
      <c r="J5" s="44">
        <v>2018</v>
      </c>
      <c r="K5" s="44">
        <v>2019</v>
      </c>
      <c r="L5" s="44">
        <v>2020</v>
      </c>
      <c r="M5" s="44">
        <v>2021</v>
      </c>
      <c r="N5" s="44">
        <v>2022</v>
      </c>
      <c r="O5" s="44">
        <v>2023</v>
      </c>
      <c r="P5" s="44">
        <v>2024</v>
      </c>
      <c r="Q5" s="44">
        <v>2025</v>
      </c>
      <c r="R5" s="4" t="s">
        <v>3</v>
      </c>
    </row>
    <row r="6" spans="1:20" s="18" customFormat="1" ht="18">
      <c r="A6" s="15" t="s">
        <v>4</v>
      </c>
      <c r="B6" s="16">
        <f t="shared" ref="B6:G6" si="0">SUM(B7:B10)</f>
        <v>3466.9183799999996</v>
      </c>
      <c r="C6" s="16">
        <f t="shared" si="0"/>
        <v>3852.5548200000003</v>
      </c>
      <c r="D6" s="16">
        <f t="shared" si="0"/>
        <v>4240.0155199999999</v>
      </c>
      <c r="E6" s="16">
        <f t="shared" si="0"/>
        <v>4509.2316299999993</v>
      </c>
      <c r="F6" s="16">
        <f t="shared" si="0"/>
        <v>4914.9541300000001</v>
      </c>
      <c r="G6" s="16">
        <f t="shared" si="0"/>
        <v>5700.0994600000004</v>
      </c>
      <c r="H6" s="16">
        <f t="shared" ref="H6:N6" si="1">SUM(H7:H10)</f>
        <v>5805.4536200000002</v>
      </c>
      <c r="I6" s="16">
        <f t="shared" si="1"/>
        <v>6298.49</v>
      </c>
      <c r="J6" s="16">
        <f t="shared" si="1"/>
        <v>6492.5390000000007</v>
      </c>
      <c r="K6" s="16">
        <f t="shared" si="1"/>
        <v>6812.9047799999998</v>
      </c>
      <c r="L6" s="16">
        <f t="shared" si="1"/>
        <v>6768.7456400000092</v>
      </c>
      <c r="M6" s="16">
        <f t="shared" si="1"/>
        <v>6761.7812400000103</v>
      </c>
      <c r="N6" s="16">
        <f t="shared" si="1"/>
        <v>6838.1849999999995</v>
      </c>
      <c r="O6" s="16">
        <f t="shared" ref="O6:P6" si="2">SUM(O7:O10)</f>
        <v>7000.7271900000005</v>
      </c>
      <c r="P6" s="16">
        <f t="shared" si="2"/>
        <v>7257.6767099999997</v>
      </c>
      <c r="Q6" s="16">
        <f t="shared" ref="Q6" si="3">SUM(Q7:Q10)</f>
        <v>7322</v>
      </c>
      <c r="R6" s="17" t="s">
        <v>5</v>
      </c>
    </row>
    <row r="7" spans="1:20" s="21" customFormat="1" ht="15.75">
      <c r="A7" s="19" t="s">
        <v>6</v>
      </c>
      <c r="B7" s="20">
        <v>2785.8859499999999</v>
      </c>
      <c r="C7" s="20">
        <v>3078.5709700000002</v>
      </c>
      <c r="D7" s="20">
        <v>3458.8018999999999</v>
      </c>
      <c r="E7" s="20">
        <f>3672075.98/1000</f>
        <v>3672.0759800000001</v>
      </c>
      <c r="F7" s="20">
        <v>4011.6961700000002</v>
      </c>
      <c r="G7" s="20">
        <v>4586.0499200000004</v>
      </c>
      <c r="H7" s="20">
        <v>4624.9812400000001</v>
      </c>
      <c r="I7" s="20">
        <v>4915.2939800000004</v>
      </c>
      <c r="J7" s="20">
        <v>5023.0550000000003</v>
      </c>
      <c r="K7" s="20">
        <v>5277.6840700000002</v>
      </c>
      <c r="L7" s="20">
        <v>5388.4083800000099</v>
      </c>
      <c r="M7" s="20">
        <v>5355.5394100000103</v>
      </c>
      <c r="N7" s="20">
        <v>5290.9615999999996</v>
      </c>
      <c r="O7" s="20">
        <v>5423.5721000000003</v>
      </c>
      <c r="P7" s="20">
        <v>5612.69128</v>
      </c>
      <c r="Q7" s="40">
        <v>5665</v>
      </c>
      <c r="R7" s="8" t="s">
        <v>7</v>
      </c>
      <c r="T7" s="22"/>
    </row>
    <row r="8" spans="1:20" s="21" customFormat="1" ht="15.75">
      <c r="A8" s="19" t="s">
        <v>8</v>
      </c>
      <c r="B8" s="20">
        <v>332.86784</v>
      </c>
      <c r="C8" s="20">
        <v>318.73822999999999</v>
      </c>
      <c r="D8" s="20">
        <v>367.12387999999999</v>
      </c>
      <c r="E8" s="20">
        <f>388293.65/1000</f>
        <v>388.29365000000001</v>
      </c>
      <c r="F8" s="20">
        <v>391.51188999999999</v>
      </c>
      <c r="G8" s="20">
        <v>511.57015999999999</v>
      </c>
      <c r="H8" s="20">
        <v>536.00156000000004</v>
      </c>
      <c r="I8" s="20">
        <v>616.09299999999996</v>
      </c>
      <c r="J8" s="20">
        <v>650.77200000000005</v>
      </c>
      <c r="K8" s="20">
        <v>640.05678999999998</v>
      </c>
      <c r="L8" s="20">
        <v>614.94677000000001</v>
      </c>
      <c r="M8" s="20">
        <v>654.75292000000002</v>
      </c>
      <c r="N8" s="20">
        <v>715.86519999999996</v>
      </c>
      <c r="O8" s="20">
        <v>647.56534000000011</v>
      </c>
      <c r="P8" s="20">
        <v>661.83234000000004</v>
      </c>
      <c r="Q8" s="40">
        <v>674</v>
      </c>
      <c r="R8" s="8" t="s">
        <v>9</v>
      </c>
      <c r="T8" s="23"/>
    </row>
    <row r="9" spans="1:20" s="21" customFormat="1" ht="15.75">
      <c r="A9" s="19" t="s">
        <v>10</v>
      </c>
      <c r="B9" s="20">
        <v>332.63450999999998</v>
      </c>
      <c r="C9" s="20">
        <f>383.40205+67.17179</f>
        <v>450.57383999999996</v>
      </c>
      <c r="D9" s="20">
        <v>412.77303000000001</v>
      </c>
      <c r="E9" s="20">
        <f>446466.21/1000</f>
        <v>446.46621000000005</v>
      </c>
      <c r="F9" s="20">
        <v>508.53607</v>
      </c>
      <c r="G9" s="20">
        <v>602.47937999999999</v>
      </c>
      <c r="H9" s="20">
        <v>644.47082</v>
      </c>
      <c r="I9" s="20">
        <v>767.10302000000001</v>
      </c>
      <c r="J9" s="20">
        <v>818.71199999999999</v>
      </c>
      <c r="K9" s="20">
        <v>895.16391999999996</v>
      </c>
      <c r="L9" s="20">
        <v>765.39048999999898</v>
      </c>
      <c r="M9" s="20">
        <v>751.48891000000003</v>
      </c>
      <c r="N9" s="20">
        <v>831.35820000000001</v>
      </c>
      <c r="O9" s="20">
        <v>929.58974999999987</v>
      </c>
      <c r="P9" s="20">
        <v>983.15309000000002</v>
      </c>
      <c r="Q9" s="40">
        <v>983</v>
      </c>
      <c r="R9" s="8" t="s">
        <v>11</v>
      </c>
    </row>
    <row r="10" spans="1:20" s="21" customFormat="1" ht="15.75">
      <c r="A10" s="24" t="s">
        <v>12</v>
      </c>
      <c r="B10" s="25">
        <v>15.53008</v>
      </c>
      <c r="C10" s="25">
        <f>4.67178</f>
        <v>4.67178</v>
      </c>
      <c r="D10" s="25">
        <v>1.31671</v>
      </c>
      <c r="E10" s="25">
        <f>2395.79/1000</f>
        <v>2.3957899999999999</v>
      </c>
      <c r="F10" s="26">
        <v>3.21</v>
      </c>
      <c r="G10" s="26">
        <v>0</v>
      </c>
      <c r="H10" s="26">
        <v>0</v>
      </c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6">
        <v>0</v>
      </c>
      <c r="O10" s="26">
        <v>0</v>
      </c>
      <c r="P10" s="26">
        <v>0</v>
      </c>
      <c r="Q10" s="26">
        <v>0</v>
      </c>
      <c r="R10" s="9" t="s">
        <v>13</v>
      </c>
    </row>
    <row r="11" spans="1:20" s="18" customFormat="1" ht="18">
      <c r="A11" s="11" t="s">
        <v>14</v>
      </c>
      <c r="B11" s="2">
        <f t="shared" ref="B11:G11" si="4">SUM(B12:B15)</f>
        <v>100</v>
      </c>
      <c r="C11" s="2">
        <f t="shared" si="4"/>
        <v>100</v>
      </c>
      <c r="D11" s="2">
        <f t="shared" si="4"/>
        <v>99.999999999999986</v>
      </c>
      <c r="E11" s="2">
        <f t="shared" si="4"/>
        <v>100</v>
      </c>
      <c r="F11" s="2">
        <f t="shared" si="4"/>
        <v>100</v>
      </c>
      <c r="G11" s="2">
        <f t="shared" si="4"/>
        <v>100</v>
      </c>
      <c r="H11" s="2">
        <f t="shared" ref="H11:N11" si="5">SUM(H12:H15)</f>
        <v>100</v>
      </c>
      <c r="I11" s="2">
        <f t="shared" si="5"/>
        <v>100.00000000000001</v>
      </c>
      <c r="J11" s="2">
        <f t="shared" si="5"/>
        <v>100</v>
      </c>
      <c r="K11" s="2">
        <f t="shared" si="5"/>
        <v>100.00000000000001</v>
      </c>
      <c r="L11" s="2">
        <f t="shared" si="5"/>
        <v>99.999999999999986</v>
      </c>
      <c r="M11" s="2">
        <f t="shared" si="5"/>
        <v>100.00000000000001</v>
      </c>
      <c r="N11" s="2">
        <f t="shared" si="5"/>
        <v>99.999999999999986</v>
      </c>
      <c r="O11" s="2">
        <f t="shared" ref="O11:P11" si="6">SUM(O12:O15)</f>
        <v>99.999999999999986</v>
      </c>
      <c r="P11" s="2">
        <f t="shared" si="6"/>
        <v>100</v>
      </c>
      <c r="Q11" s="2">
        <f t="shared" ref="Q11" si="7">SUM(Q12:Q15)</f>
        <v>100</v>
      </c>
      <c r="R11" s="17" t="s">
        <v>15</v>
      </c>
    </row>
    <row r="12" spans="1:20" s="21" customFormat="1" ht="15.75">
      <c r="A12" s="19" t="s">
        <v>6</v>
      </c>
      <c r="B12" s="20">
        <f t="shared" ref="B12:O12" si="8">B7/B6*100</f>
        <v>80.356260074400723</v>
      </c>
      <c r="C12" s="20">
        <f t="shared" si="8"/>
        <v>79.909854988124479</v>
      </c>
      <c r="D12" s="20">
        <f t="shared" si="8"/>
        <v>81.575217913353299</v>
      </c>
      <c r="E12" s="20">
        <f t="shared" si="8"/>
        <v>81.434627477763883</v>
      </c>
      <c r="F12" s="20">
        <f t="shared" si="8"/>
        <v>81.622250460351708</v>
      </c>
      <c r="G12" s="20">
        <f t="shared" si="8"/>
        <v>80.455612260492032</v>
      </c>
      <c r="H12" s="20">
        <f t="shared" si="8"/>
        <v>79.666147431903866</v>
      </c>
      <c r="I12" s="20">
        <f t="shared" si="8"/>
        <v>78.03924400927842</v>
      </c>
      <c r="J12" s="20">
        <f t="shared" si="8"/>
        <v>77.366574155349696</v>
      </c>
      <c r="K12" s="20">
        <f t="shared" si="8"/>
        <v>77.465989037351562</v>
      </c>
      <c r="L12" s="20">
        <f t="shared" si="8"/>
        <v>79.607192626018104</v>
      </c>
      <c r="M12" s="20">
        <f t="shared" si="8"/>
        <v>79.203085990400993</v>
      </c>
      <c r="N12" s="20">
        <f t="shared" si="8"/>
        <v>77.373770964078915</v>
      </c>
      <c r="O12" s="20">
        <f t="shared" si="8"/>
        <v>77.471553351588312</v>
      </c>
      <c r="P12" s="20">
        <f t="shared" ref="P12:Q12" si="9">P7/P6*100</f>
        <v>77.334545258354453</v>
      </c>
      <c r="Q12" s="20">
        <f t="shared" si="9"/>
        <v>77.369571155422008</v>
      </c>
      <c r="R12" s="8" t="s">
        <v>7</v>
      </c>
    </row>
    <row r="13" spans="1:20" s="21" customFormat="1" ht="15.75">
      <c r="A13" s="19" t="s">
        <v>8</v>
      </c>
      <c r="B13" s="20">
        <f t="shared" ref="B13:O13" si="10">B8/B6*100</f>
        <v>9.6012597792971413</v>
      </c>
      <c r="C13" s="20">
        <f t="shared" si="10"/>
        <v>8.2734249061250207</v>
      </c>
      <c r="D13" s="20">
        <f t="shared" si="10"/>
        <v>8.6585503819099223</v>
      </c>
      <c r="E13" s="20">
        <f t="shared" si="10"/>
        <v>8.6110823719206468</v>
      </c>
      <c r="F13" s="20">
        <f t="shared" si="10"/>
        <v>7.9657282579766413</v>
      </c>
      <c r="G13" s="20">
        <f t="shared" si="10"/>
        <v>8.9747584860563112</v>
      </c>
      <c r="H13" s="20">
        <f t="shared" si="10"/>
        <v>9.2327248667262634</v>
      </c>
      <c r="I13" s="20">
        <f t="shared" si="10"/>
        <v>9.7815984466118078</v>
      </c>
      <c r="J13" s="20">
        <f t="shared" si="10"/>
        <v>10.023382223811055</v>
      </c>
      <c r="K13" s="20">
        <f t="shared" si="10"/>
        <v>9.3947708160982106</v>
      </c>
      <c r="L13" s="20">
        <f t="shared" si="10"/>
        <v>9.0850920200925032</v>
      </c>
      <c r="M13" s="20">
        <f t="shared" si="10"/>
        <v>9.6831426034125734</v>
      </c>
      <c r="N13" s="20">
        <f t="shared" si="10"/>
        <v>10.468643360774825</v>
      </c>
      <c r="O13" s="20">
        <f t="shared" si="10"/>
        <v>9.249972501785205</v>
      </c>
      <c r="P13" s="20">
        <f t="shared" ref="P13:Q13" si="11">P8/P6*100</f>
        <v>9.1190661480979642</v>
      </c>
      <c r="Q13" s="20">
        <f t="shared" si="11"/>
        <v>9.2051352089592999</v>
      </c>
      <c r="R13" s="8" t="s">
        <v>9</v>
      </c>
    </row>
    <row r="14" spans="1:20" s="21" customFormat="1" ht="15.75">
      <c r="A14" s="19" t="s">
        <v>10</v>
      </c>
      <c r="B14" s="20">
        <f t="shared" ref="B14:F14" si="12">B9/B6*100</f>
        <v>9.5945295948963185</v>
      </c>
      <c r="C14" s="20">
        <f t="shared" si="12"/>
        <v>11.695455640524797</v>
      </c>
      <c r="D14" s="20">
        <f t="shared" si="12"/>
        <v>9.735177337275406</v>
      </c>
      <c r="E14" s="20">
        <f t="shared" si="12"/>
        <v>9.9011593689189166</v>
      </c>
      <c r="F14" s="20">
        <f t="shared" si="12"/>
        <v>10.346710397478317</v>
      </c>
      <c r="G14" s="20">
        <f t="shared" ref="G14:O14" si="13">G9/G6*100</f>
        <v>10.569629253451657</v>
      </c>
      <c r="H14" s="20">
        <f t="shared" si="13"/>
        <v>11.101127701369871</v>
      </c>
      <c r="I14" s="20">
        <f t="shared" si="13"/>
        <v>12.179157544109779</v>
      </c>
      <c r="J14" s="20">
        <f t="shared" si="13"/>
        <v>12.610043620839242</v>
      </c>
      <c r="K14" s="20">
        <f t="shared" si="13"/>
        <v>13.139240146550236</v>
      </c>
      <c r="L14" s="20">
        <f t="shared" si="13"/>
        <v>11.307715353889378</v>
      </c>
      <c r="M14" s="20">
        <f t="shared" si="13"/>
        <v>11.113771406186441</v>
      </c>
      <c r="N14" s="20">
        <f t="shared" si="13"/>
        <v>12.157585675146256</v>
      </c>
      <c r="O14" s="20">
        <f t="shared" si="13"/>
        <v>13.27847414662647</v>
      </c>
      <c r="P14" s="20">
        <f t="shared" ref="P14:Q14" si="14">P9/P6*100</f>
        <v>13.54638859354759</v>
      </c>
      <c r="Q14" s="20">
        <f t="shared" si="14"/>
        <v>13.425293635618685</v>
      </c>
      <c r="R14" s="8" t="s">
        <v>11</v>
      </c>
    </row>
    <row r="15" spans="1:20" s="21" customFormat="1" ht="15.75">
      <c r="A15" s="24" t="s">
        <v>12</v>
      </c>
      <c r="B15" s="25">
        <f t="shared" ref="B15:O15" si="15">B10/B6*100</f>
        <v>0.44795055140582801</v>
      </c>
      <c r="C15" s="25">
        <f t="shared" si="15"/>
        <v>0.12126446522570183</v>
      </c>
      <c r="D15" s="25">
        <f t="shared" si="15"/>
        <v>3.1054367461371937E-2</v>
      </c>
      <c r="E15" s="25">
        <f t="shared" si="15"/>
        <v>5.3130781396563576E-2</v>
      </c>
      <c r="F15" s="25">
        <f t="shared" si="15"/>
        <v>6.5310884193338331E-2</v>
      </c>
      <c r="G15" s="27">
        <f t="shared" si="15"/>
        <v>0</v>
      </c>
      <c r="H15" s="27">
        <f t="shared" si="15"/>
        <v>0</v>
      </c>
      <c r="I15" s="27">
        <f t="shared" si="15"/>
        <v>0</v>
      </c>
      <c r="J15" s="27">
        <f t="shared" si="15"/>
        <v>0</v>
      </c>
      <c r="K15" s="27">
        <f t="shared" si="15"/>
        <v>0</v>
      </c>
      <c r="L15" s="27">
        <f t="shared" si="15"/>
        <v>0</v>
      </c>
      <c r="M15" s="27">
        <f t="shared" si="15"/>
        <v>0</v>
      </c>
      <c r="N15" s="27">
        <f t="shared" si="15"/>
        <v>0</v>
      </c>
      <c r="O15" s="27">
        <f t="shared" si="15"/>
        <v>0</v>
      </c>
      <c r="P15" s="27">
        <f t="shared" ref="P15:Q15" si="16">P10/P6*100</f>
        <v>0</v>
      </c>
      <c r="Q15" s="27">
        <f t="shared" si="16"/>
        <v>0</v>
      </c>
      <c r="R15" s="9" t="s">
        <v>13</v>
      </c>
    </row>
    <row r="16" spans="1:20" s="18" customFormat="1" ht="18">
      <c r="A16" s="11" t="s">
        <v>16</v>
      </c>
      <c r="B16" s="28">
        <v>11.036399786569358</v>
      </c>
      <c r="C16" s="28">
        <f t="shared" ref="C16:J20" si="17">(C6-B6)/B6*100</f>
        <v>11.123320416905827</v>
      </c>
      <c r="D16" s="28">
        <f t="shared" si="17"/>
        <v>10.057240405472013</v>
      </c>
      <c r="E16" s="28">
        <f t="shared" si="17"/>
        <v>6.3494133153550196</v>
      </c>
      <c r="F16" s="28">
        <f t="shared" si="17"/>
        <v>8.9975972247848528</v>
      </c>
      <c r="G16" s="28">
        <f t="shared" si="17"/>
        <v>15.974621720426926</v>
      </c>
      <c r="H16" s="28">
        <f t="shared" ref="H16:Q16" si="18">(H6-G6)/G6*100</f>
        <v>1.8482863455158001</v>
      </c>
      <c r="I16" s="28">
        <f t="shared" si="18"/>
        <v>8.4926417860177406</v>
      </c>
      <c r="J16" s="28">
        <f t="shared" si="18"/>
        <v>3.0808812905950616</v>
      </c>
      <c r="K16" s="28">
        <f t="shared" si="18"/>
        <v>4.9343682032560627</v>
      </c>
      <c r="L16" s="28">
        <f t="shared" si="18"/>
        <v>-0.64816904721205659</v>
      </c>
      <c r="M16" s="28">
        <f t="shared" si="18"/>
        <v>-0.1028905556569108</v>
      </c>
      <c r="N16" s="28">
        <f t="shared" si="18"/>
        <v>1.1299354014592331</v>
      </c>
      <c r="O16" s="28">
        <f t="shared" si="18"/>
        <v>2.3769785403583121</v>
      </c>
      <c r="P16" s="28">
        <f t="shared" si="18"/>
        <v>3.670326139362091</v>
      </c>
      <c r="Q16" s="28">
        <f t="shared" si="18"/>
        <v>0.8862793504066161</v>
      </c>
      <c r="R16" s="17" t="s">
        <v>17</v>
      </c>
    </row>
    <row r="17" spans="1:26" s="21" customFormat="1" ht="15.75">
      <c r="A17" s="19" t="s">
        <v>6</v>
      </c>
      <c r="B17" s="29">
        <v>13.092331124843856</v>
      </c>
      <c r="C17" s="29">
        <f>(C7-B7)/B7*100</f>
        <v>10.505994331892889</v>
      </c>
      <c r="D17" s="29">
        <f t="shared" si="17"/>
        <v>12.350890517232406</v>
      </c>
      <c r="E17" s="29">
        <f t="shared" si="17"/>
        <v>6.1661259061989115</v>
      </c>
      <c r="F17" s="29">
        <f t="shared" si="17"/>
        <v>9.248724477645478</v>
      </c>
      <c r="G17" s="29">
        <f t="shared" si="17"/>
        <v>14.316980291157</v>
      </c>
      <c r="H17" s="29">
        <f t="shared" si="17"/>
        <v>0.8489074623941224</v>
      </c>
      <c r="I17" s="29">
        <f t="shared" si="17"/>
        <v>6.2770576773193625</v>
      </c>
      <c r="J17" s="29">
        <f t="shared" si="17"/>
        <v>2.1923616458847066</v>
      </c>
      <c r="K17" s="29">
        <f t="shared" ref="K17:Q19" si="19">(K7-J7)/J7*100</f>
        <v>5.0692072852079049</v>
      </c>
      <c r="L17" s="29">
        <f t="shared" si="19"/>
        <v>2.0979715445530562</v>
      </c>
      <c r="M17" s="29">
        <f t="shared" si="19"/>
        <v>-0.6099940405778872</v>
      </c>
      <c r="N17" s="29">
        <f t="shared" si="19"/>
        <v>-1.2058133654927312</v>
      </c>
      <c r="O17" s="29">
        <f t="shared" si="19"/>
        <v>2.5063591465113015</v>
      </c>
      <c r="P17" s="29">
        <f t="shared" si="19"/>
        <v>3.4869856344308516</v>
      </c>
      <c r="Q17" s="29">
        <f t="shared" si="19"/>
        <v>0.93197215721439064</v>
      </c>
      <c r="R17" s="8" t="s">
        <v>7</v>
      </c>
    </row>
    <row r="18" spans="1:26" s="21" customFormat="1" ht="15.75">
      <c r="A18" s="19" t="s">
        <v>8</v>
      </c>
      <c r="B18" s="29">
        <v>2.4183527790085231</v>
      </c>
      <c r="C18" s="29">
        <f t="shared" si="17"/>
        <v>-4.2448107933767387</v>
      </c>
      <c r="D18" s="29">
        <f>(D8-C8)/C8*100</f>
        <v>15.180372307394691</v>
      </c>
      <c r="E18" s="29">
        <f t="shared" si="17"/>
        <v>5.7663832709547602</v>
      </c>
      <c r="F18" s="29">
        <f t="shared" si="17"/>
        <v>0.82881602622138684</v>
      </c>
      <c r="G18" s="29">
        <f t="shared" si="17"/>
        <v>30.665293460180738</v>
      </c>
      <c r="H18" s="29">
        <f t="shared" si="17"/>
        <v>4.7757672183225175</v>
      </c>
      <c r="I18" s="29">
        <f t="shared" si="17"/>
        <v>14.942389346777258</v>
      </c>
      <c r="J18" s="29">
        <f t="shared" si="17"/>
        <v>5.6288579808568011</v>
      </c>
      <c r="K18" s="29">
        <f t="shared" si="19"/>
        <v>-1.646538265321813</v>
      </c>
      <c r="L18" s="29">
        <f t="shared" si="19"/>
        <v>-3.923092511837889</v>
      </c>
      <c r="M18" s="29">
        <f t="shared" si="19"/>
        <v>6.4731049811026731</v>
      </c>
      <c r="N18" s="29">
        <f t="shared" si="19"/>
        <v>9.3336399324496231</v>
      </c>
      <c r="O18" s="29">
        <f t="shared" si="19"/>
        <v>-9.5408828366010603</v>
      </c>
      <c r="P18" s="29">
        <f t="shared" si="19"/>
        <v>2.2031753583352587</v>
      </c>
      <c r="Q18" s="29">
        <f t="shared" si="19"/>
        <v>1.8384807245895469</v>
      </c>
      <c r="R18" s="8" t="s">
        <v>9</v>
      </c>
    </row>
    <row r="19" spans="1:26" s="21" customFormat="1" ht="15.75">
      <c r="A19" s="19" t="s">
        <v>18</v>
      </c>
      <c r="B19" s="29">
        <v>12.945448186642841</v>
      </c>
      <c r="C19" s="29">
        <f t="shared" si="17"/>
        <v>35.456131716459602</v>
      </c>
      <c r="D19" s="29">
        <f t="shared" si="17"/>
        <v>-8.389481732894204</v>
      </c>
      <c r="E19" s="29">
        <f t="shared" si="17"/>
        <v>8.1626408585851742</v>
      </c>
      <c r="F19" s="29">
        <f t="shared" si="17"/>
        <v>13.902476516643878</v>
      </c>
      <c r="G19" s="29">
        <f t="shared" si="17"/>
        <v>18.473283517529051</v>
      </c>
      <c r="H19" s="29">
        <f t="shared" si="17"/>
        <v>6.969772143903084</v>
      </c>
      <c r="I19" s="29">
        <f t="shared" si="17"/>
        <v>19.028355698090412</v>
      </c>
      <c r="J19" s="29">
        <f t="shared" si="17"/>
        <v>6.7277769288406617</v>
      </c>
      <c r="K19" s="29">
        <f t="shared" si="19"/>
        <v>9.3380724845855418</v>
      </c>
      <c r="L19" s="29">
        <f t="shared" si="19"/>
        <v>-14.497169412279373</v>
      </c>
      <c r="M19" s="29">
        <f t="shared" si="19"/>
        <v>-1.8162728935917354</v>
      </c>
      <c r="N19" s="29">
        <f t="shared" si="19"/>
        <v>10.628139542338685</v>
      </c>
      <c r="O19" s="29">
        <f t="shared" si="19"/>
        <v>11.815791315945384</v>
      </c>
      <c r="P19" s="29">
        <f t="shared" si="19"/>
        <v>5.7620407281814545</v>
      </c>
      <c r="Q19" s="29">
        <f t="shared" si="19"/>
        <v>-1.5571328774445508E-2</v>
      </c>
      <c r="R19" s="8" t="s">
        <v>11</v>
      </c>
    </row>
    <row r="20" spans="1:26" s="21" customFormat="1" ht="15.75">
      <c r="A20" s="30" t="s">
        <v>12</v>
      </c>
      <c r="B20" s="31">
        <v>-60.619535449842786</v>
      </c>
      <c r="C20" s="31">
        <f t="shared" si="17"/>
        <v>-69.917862625305219</v>
      </c>
      <c r="D20" s="31">
        <f t="shared" si="17"/>
        <v>-71.815667689831287</v>
      </c>
      <c r="E20" s="31">
        <f t="shared" si="17"/>
        <v>81.952745858997034</v>
      </c>
      <c r="F20" s="31">
        <f t="shared" si="17"/>
        <v>33.98503207710192</v>
      </c>
      <c r="G20" s="31">
        <f t="shared" ref="G20:N20" si="20">G15/G11*100</f>
        <v>0</v>
      </c>
      <c r="H20" s="31">
        <f t="shared" si="20"/>
        <v>0</v>
      </c>
      <c r="I20" s="31">
        <f t="shared" si="20"/>
        <v>0</v>
      </c>
      <c r="J20" s="31">
        <f t="shared" si="20"/>
        <v>0</v>
      </c>
      <c r="K20" s="31">
        <f t="shared" si="20"/>
        <v>0</v>
      </c>
      <c r="L20" s="31">
        <f t="shared" si="20"/>
        <v>0</v>
      </c>
      <c r="M20" s="31">
        <f t="shared" si="20"/>
        <v>0</v>
      </c>
      <c r="N20" s="31">
        <f t="shared" si="20"/>
        <v>0</v>
      </c>
      <c r="O20" s="31">
        <f t="shared" ref="O20:P20" si="21">O15/O11*100</f>
        <v>0</v>
      </c>
      <c r="P20" s="31">
        <f t="shared" si="21"/>
        <v>0</v>
      </c>
      <c r="Q20" s="31">
        <f t="shared" ref="Q20" si="22">Q15/Q11*100</f>
        <v>0</v>
      </c>
      <c r="R20" s="10" t="s">
        <v>13</v>
      </c>
    </row>
    <row r="21" spans="1:26" s="33" customFormat="1" ht="14.25">
      <c r="A21" s="3" t="s">
        <v>19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5" t="s">
        <v>20</v>
      </c>
    </row>
    <row r="22" spans="1:26" s="7" customFormat="1" ht="12.75"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S22" s="35"/>
      <c r="T22" s="33"/>
      <c r="U22" s="33"/>
      <c r="V22" s="33"/>
      <c r="W22" s="33"/>
      <c r="X22" s="33"/>
      <c r="Y22" s="33"/>
      <c r="Z22" s="33"/>
    </row>
    <row r="23" spans="1:26" s="7" customFormat="1"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S23" s="12"/>
      <c r="T23" s="33"/>
      <c r="U23" s="33"/>
      <c r="V23" s="33"/>
      <c r="W23" s="33"/>
      <c r="X23" s="33"/>
      <c r="Y23" s="33"/>
      <c r="Z23" s="33"/>
    </row>
    <row r="24" spans="1:26" s="7" customFormat="1"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S24" s="12"/>
      <c r="T24" s="33"/>
      <c r="U24" s="33"/>
      <c r="V24" s="33"/>
      <c r="W24" s="33"/>
      <c r="X24" s="33"/>
      <c r="Y24" s="33"/>
      <c r="Z24" s="33"/>
    </row>
    <row r="25" spans="1:26">
      <c r="U25" s="33"/>
      <c r="V25" s="33"/>
      <c r="W25" s="33"/>
      <c r="X25" s="33"/>
      <c r="Y25" s="33"/>
      <c r="Z25" s="33"/>
    </row>
    <row r="26" spans="1:26">
      <c r="R26" s="7"/>
      <c r="T26" s="33"/>
    </row>
    <row r="27" spans="1:26">
      <c r="R27" s="7"/>
      <c r="T27" s="33"/>
    </row>
    <row r="28" spans="1:26">
      <c r="R28" s="7"/>
      <c r="T28" s="33"/>
      <c r="V28" s="36"/>
    </row>
    <row r="29" spans="1:26">
      <c r="R29" s="7"/>
      <c r="T29" s="33"/>
      <c r="V29" s="36"/>
    </row>
    <row r="30" spans="1:26">
      <c r="R30" s="7"/>
      <c r="T30" s="33"/>
      <c r="V30" s="36"/>
    </row>
    <row r="31" spans="1:26">
      <c r="V31" s="36"/>
    </row>
    <row r="35" spans="2:17"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</row>
  </sheetData>
  <mergeCells count="3">
    <mergeCell ref="A2:R2"/>
    <mergeCell ref="A3:R3"/>
    <mergeCell ref="A4:J4"/>
  </mergeCells>
  <pageMargins left="0.7" right="0.7" top="0.75" bottom="0.75" header="0.3" footer="0.3"/>
  <pageSetup paperSize="9" scale="3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12.6</vt:lpstr>
      <vt:lpstr>'12.6'!Print_Area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2026-06-11T11:34:22Z</cp:lastPrinted>
  <dcterms:created xsi:type="dcterms:W3CDTF">2019-05-21T05:57:00Z</dcterms:created>
  <dcterms:modified xsi:type="dcterms:W3CDTF">2026-06-11T11:34:31Z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