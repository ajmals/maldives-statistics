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0162F8EF-20C8-40C5-B321-AED197CDB52E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5" sheetId="40" r:id="rId1"/>
  </sheets>
  <definedNames>
    <definedName name="Male">#REF!</definedName>
    <definedName name="_xlnm.Print_Area" localSheetId="0">'12.5'!$A$1:$H$69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40" l="1"/>
  <c r="D40" i="40"/>
  <c r="C38" i="40"/>
  <c r="D37" i="40"/>
  <c r="D36" i="40"/>
  <c r="D35" i="40"/>
  <c r="D34" i="40"/>
  <c r="D33" i="40"/>
  <c r="D32" i="40"/>
  <c r="D31" i="40"/>
  <c r="C29" i="40"/>
  <c r="D28" i="40"/>
  <c r="D27" i="40"/>
  <c r="D26" i="40"/>
  <c r="D25" i="40"/>
  <c r="D24" i="40"/>
  <c r="C22" i="40"/>
  <c r="D21" i="40"/>
  <c r="D20" i="40"/>
  <c r="D19" i="40"/>
  <c r="D18" i="40"/>
  <c r="D17" i="40"/>
  <c r="D16" i="40"/>
  <c r="D15" i="40"/>
  <c r="C13" i="40"/>
  <c r="D12" i="40"/>
  <c r="D11" i="40"/>
  <c r="D10" i="40"/>
  <c r="D9" i="40"/>
  <c r="D8" i="40"/>
  <c r="D7" i="40"/>
  <c r="D6" i="40"/>
  <c r="AB18" i="40"/>
  <c r="E34" i="40" l="1"/>
  <c r="E33" i="40"/>
  <c r="E32" i="40"/>
  <c r="E28" i="40"/>
  <c r="E27" i="40"/>
  <c r="E31" i="40"/>
  <c r="E26" i="40"/>
  <c r="E25" i="40"/>
  <c r="E10" i="40"/>
  <c r="E24" i="40"/>
  <c r="E19" i="40"/>
  <c r="E18" i="40"/>
  <c r="E37" i="40"/>
  <c r="E17" i="40"/>
  <c r="E16" i="40"/>
  <c r="E36" i="40"/>
  <c r="E35" i="40"/>
  <c r="E15" i="40"/>
  <c r="E41" i="40"/>
  <c r="E40" i="40"/>
  <c r="E13" i="40"/>
  <c r="E6" i="40"/>
  <c r="D41" i="40"/>
  <c r="F41" i="40" s="1"/>
  <c r="E29" i="40"/>
  <c r="D22" i="40"/>
  <c r="F22" i="40" s="1"/>
  <c r="E20" i="40"/>
  <c r="E9" i="40"/>
  <c r="F40" i="40"/>
  <c r="E38" i="40"/>
  <c r="D38" i="40"/>
  <c r="F36" i="40"/>
  <c r="F33" i="40"/>
  <c r="E22" i="40"/>
  <c r="F21" i="40"/>
  <c r="F18" i="40"/>
  <c r="D13" i="40"/>
  <c r="F13" i="40" s="1"/>
  <c r="E8" i="40"/>
  <c r="E7" i="40"/>
  <c r="E21" i="40"/>
  <c r="E12" i="40"/>
  <c r="D29" i="40"/>
  <c r="F29" i="40" s="1"/>
  <c r="E11" i="40"/>
  <c r="AB15" i="40"/>
  <c r="AB16" i="40"/>
  <c r="AB17" i="40"/>
  <c r="F34" i="40" l="1"/>
  <c r="F17" i="40"/>
  <c r="F11" i="40"/>
  <c r="F15" i="40"/>
  <c r="F10" i="40"/>
  <c r="F32" i="40"/>
  <c r="F16" i="40"/>
  <c r="F9" i="40"/>
  <c r="F8" i="40"/>
  <c r="F7" i="40"/>
  <c r="F6" i="40"/>
  <c r="F38" i="40"/>
  <c r="F35" i="40"/>
  <c r="AC15" i="40"/>
  <c r="F20" i="40"/>
  <c r="F19" i="40"/>
  <c r="F37" i="40"/>
  <c r="F31" i="40"/>
  <c r="F28" i="40"/>
  <c r="F25" i="40"/>
  <c r="F12" i="40"/>
  <c r="F26" i="40"/>
  <c r="F24" i="40"/>
  <c r="F27" i="40"/>
  <c r="AC17" i="40"/>
  <c r="AC18" i="40"/>
  <c r="AC16" i="40"/>
</calcChain>
</file>

<file path=xl/sharedStrings.xml><?xml version="1.0" encoding="utf-8"?>
<sst xmlns="http://schemas.openxmlformats.org/spreadsheetml/2006/main" count="94" uniqueCount="51">
  <si>
    <t xml:space="preserve"> % cnutogWviawfiheb</t>
  </si>
  <si>
    <t>ޖުމްލަ</t>
  </si>
  <si>
    <t>Domestic</t>
  </si>
  <si>
    <t>Business</t>
  </si>
  <si>
    <t>Government</t>
  </si>
  <si>
    <t>Source: State Electric Company Limited</t>
  </si>
  <si>
    <t>Bands</t>
  </si>
  <si>
    <t>ރޭޓް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</si>
  <si>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</si>
  <si>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</si>
  <si>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</si>
  <si>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</si>
  <si>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</si>
  <si>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</si>
  <si>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</si>
  <si>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</si>
  <si>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</si>
  <si>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</si>
  <si>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</si>
  <si>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</si>
  <si>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</si>
  <si>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</si>
  <si>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</si>
  <si>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</si>
  <si>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</si>
  <si>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</si>
  <si>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</si>
  <si>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</si>
  <si>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</si>
  <si>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</si>
  <si>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</si>
  <si>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</si>
  <si>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އޮފީސް އަދި އެހެނިހެން</t>
  </si>
  <si>
    <t>101-300</t>
  </si>
  <si>
    <t>300 - 101</t>
  </si>
  <si>
    <t>301 -500</t>
  </si>
  <si>
    <t>500 - 301</t>
  </si>
  <si>
    <t>Tertiary Hospital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</si>
  <si>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</si>
  <si>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</si>
  <si>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</si>
  <si>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</si>
  <si>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</si>
  <si>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</si>
  <si>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</si>
  <si>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</si>
  <si>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cDeTimil Inepcmok ckircTckeliacTETcs :ctWrwfivcaedutWmUluAwm</t>
  </si>
  <si>
    <t>TABLE 12.5 ELECTRICITY CONSUMPTION IN MALE',  2025</t>
  </si>
  <si>
    <t>2025 ,urwvcnim unuverukcnunEb cTcnwrwk iawgElWm :12.5 ulwvWt</t>
  </si>
  <si>
    <t>Domestic(up to April 2025)</t>
  </si>
  <si>
    <t>Domestic(from May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</si>
</sst>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_(* #,##0.0_);_(* \(#,##0.0\);_(* &quot;-&quot;??_);_(@_)"/>
    <numFmt numFmtId="169" formatCode="General_)"/>
    <numFmt numFmtId="170" formatCode="#,##0.0_);\(#,##0.0\)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sz val="11"/>
      <name val="Arial"/>
      <family val="2"/>
    </font>
    <font>
      <b/>
      <sz val="11"/>
      <name val="A_Randhoo"/>
    </font>
    <font>
      <b/>
      <sz val="10"/>
      <name val="A_Faseyha"/>
    </font>
    <font>
      <b/>
      <sz val="12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A_Faseyha"/>
    </font>
    <font>
      <b/>
      <sz val="11"/>
      <color theme="1"/>
      <name val="Calibri"/>
      <family val="2"/>
      <scheme val="minor"/>
    </font>
    <font>
      <b/>
      <sz val="11"/>
      <name val="Faruma"/>
    </font>
    <font>
      <sz val="10"/>
      <name val="Arial"/>
      <family val="2"/>
      <charset val="1"/>
    </font>
    <font>
      <b/>
      <u/>
      <sz val="11"/>
      <color theme="1"/>
      <name val="Calibri"/>
      <family val="2"/>
      <scheme val="minor"/>
    </font>
    <font>
      <sz val="11"/>
      <name val="Faruma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6">
    <xf numFmtId="0" fontId="0" fillId="0" borderId="0"/>
    <xf numFmtId="43" fontId="1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43" fontId="5" fillId="2" borderId="4" xfId="1" applyFont="1" applyFill="1" applyBorder="1"/>
    <xf numFmtId="0" fontId="10" fillId="2" borderId="14" xfId="5" applyFont="1" applyFill="1" applyBorder="1" applyAlignment="1">
      <alignment vertical="center"/>
    </xf>
    <xf numFmtId="0" fontId="7" fillId="2" borderId="4" xfId="0" applyFont="1" applyFill="1" applyBorder="1"/>
    <xf numFmtId="0" fontId="5" fillId="2" borderId="4" xfId="0" applyFont="1" applyFill="1" applyBorder="1"/>
    <xf numFmtId="169" fontId="18" fillId="2" borderId="16" xfId="5" applyNumberFormat="1" applyFont="1" applyFill="1" applyBorder="1" applyAlignment="1">
      <alignment vertical="top" wrapText="1"/>
    </xf>
    <xf numFmtId="169" fontId="18" fillId="2" borderId="17" xfId="5" applyNumberFormat="1" applyFont="1" applyFill="1" applyBorder="1" applyAlignment="1">
      <alignment vertical="top" wrapText="1"/>
    </xf>
    <xf numFmtId="169" fontId="11" fillId="2" borderId="17" xfId="5" applyNumberFormat="1" applyFont="1" applyFill="1" applyBorder="1" applyAlignment="1">
      <alignment horizontal="right" vertical="top" wrapText="1"/>
    </xf>
    <xf numFmtId="169" fontId="6" fillId="2" borderId="19" xfId="5" applyNumberFormat="1" applyFont="1" applyFill="1" applyBorder="1" applyAlignment="1">
      <alignment horizontal="right" vertical="center"/>
    </xf>
    <xf numFmtId="169" fontId="20" fillId="2" borderId="3" xfId="0" applyNumberFormat="1" applyFont="1" applyFill="1" applyBorder="1"/>
    <xf numFmtId="43" fontId="7" fillId="2" borderId="4" xfId="4" applyFont="1" applyFill="1" applyBorder="1"/>
    <xf numFmtId="164" fontId="7" fillId="2" borderId="4" xfId="4" applyNumberFormat="1" applyFont="1" applyFill="1" applyBorder="1"/>
    <xf numFmtId="43" fontId="7" fillId="2" borderId="13" xfId="4" applyFont="1" applyFill="1" applyBorder="1"/>
    <xf numFmtId="43" fontId="9" fillId="2" borderId="13" xfId="4" applyFont="1" applyFill="1" applyBorder="1" applyAlignment="1">
      <alignment vertical="center" textRotation="90"/>
    </xf>
    <xf numFmtId="164" fontId="18" fillId="2" borderId="4" xfId="4" applyNumberFormat="1" applyFont="1" applyFill="1" applyBorder="1" applyAlignment="1">
      <alignment horizontal="right" vertical="center"/>
    </xf>
    <xf numFmtId="169" fontId="7" fillId="2" borderId="4" xfId="5" applyNumberFormat="1" applyFont="1" applyFill="1" applyBorder="1" applyAlignment="1">
      <alignment horizontal="left" vertical="center"/>
    </xf>
    <xf numFmtId="43" fontId="7" fillId="2" borderId="4" xfId="4" applyFont="1" applyFill="1" applyBorder="1" applyAlignment="1" applyProtection="1">
      <alignment horizontal="right" vertical="center"/>
    </xf>
    <xf numFmtId="170" fontId="7" fillId="2" borderId="4" xfId="4" applyNumberFormat="1" applyFont="1" applyFill="1" applyBorder="1" applyAlignment="1">
      <alignment horizontal="right" vertical="center" indent="3"/>
    </xf>
    <xf numFmtId="164" fontId="21" fillId="2" borderId="4" xfId="4" applyNumberFormat="1" applyFont="1" applyFill="1" applyBorder="1" applyAlignment="1">
      <alignment horizontal="right" vertical="center"/>
    </xf>
    <xf numFmtId="0" fontId="5" fillId="2" borderId="9" xfId="0" applyFont="1" applyFill="1" applyBorder="1"/>
    <xf numFmtId="0" fontId="5" fillId="2" borderId="6" xfId="0" applyFont="1" applyFill="1" applyBorder="1"/>
    <xf numFmtId="0" fontId="5" fillId="2" borderId="11" xfId="0" applyFont="1" applyFill="1" applyBorder="1"/>
    <xf numFmtId="169" fontId="6" fillId="2" borderId="4" xfId="5" applyNumberFormat="1" applyFont="1" applyFill="1" applyBorder="1" applyAlignment="1">
      <alignment horizontal="left" vertical="center"/>
    </xf>
    <xf numFmtId="43" fontId="17" fillId="2" borderId="4" xfId="4" applyFont="1" applyFill="1" applyBorder="1" applyAlignment="1">
      <alignment horizontal="right" vertical="center"/>
    </xf>
    <xf numFmtId="164" fontId="6" fillId="2" borderId="4" xfId="4" applyNumberFormat="1" applyFont="1" applyFill="1" applyBorder="1" applyAlignment="1">
      <alignment horizontal="right" vertical="center"/>
    </xf>
    <xf numFmtId="170" fontId="6" fillId="2" borderId="4" xfId="4" applyNumberFormat="1" applyFont="1" applyFill="1" applyBorder="1" applyAlignment="1">
      <alignment horizontal="right" vertical="center" indent="3"/>
    </xf>
    <xf numFmtId="164" fontId="5" fillId="2" borderId="4" xfId="0" applyNumberFormat="1" applyFont="1" applyFill="1" applyBorder="1"/>
    <xf numFmtId="169" fontId="22" fillId="2" borderId="4" xfId="5" applyNumberFormat="1" applyFont="1" applyFill="1" applyBorder="1" applyAlignment="1">
      <alignment horizontal="left" vertical="center"/>
    </xf>
    <xf numFmtId="43" fontId="7" fillId="2" borderId="4" xfId="4" applyFont="1" applyFill="1" applyBorder="1" applyAlignment="1">
      <alignment horizontal="right" vertical="center"/>
    </xf>
    <xf numFmtId="164" fontId="7" fillId="2" borderId="4" xfId="4" applyNumberFormat="1" applyFont="1" applyFill="1" applyBorder="1" applyAlignment="1">
      <alignment horizontal="right" vertical="center"/>
    </xf>
    <xf numFmtId="167" fontId="7" fillId="2" borderId="13" xfId="4" applyNumberFormat="1" applyFont="1" applyFill="1" applyBorder="1" applyAlignment="1">
      <alignment horizontal="left" vertical="center" indent="7"/>
    </xf>
    <xf numFmtId="167" fontId="9" fillId="2" borderId="13" xfId="4" applyNumberFormat="1" applyFont="1" applyFill="1" applyBorder="1" applyAlignment="1">
      <alignment horizontal="left" vertical="center" indent="7"/>
    </xf>
    <xf numFmtId="164" fontId="7" fillId="2" borderId="13" xfId="4" applyNumberFormat="1" applyFont="1" applyFill="1" applyBorder="1" applyAlignment="1">
      <alignment horizontal="left" vertical="center" indent="7"/>
    </xf>
    <xf numFmtId="164" fontId="9" fillId="2" borderId="13" xfId="4" applyNumberFormat="1" applyFont="1" applyFill="1" applyBorder="1" applyAlignment="1">
      <alignment horizontal="left" vertical="center" indent="7"/>
    </xf>
    <xf numFmtId="169" fontId="22" fillId="2" borderId="1" xfId="5" applyNumberFormat="1" applyFont="1" applyFill="1" applyBorder="1" applyAlignment="1">
      <alignment horizontal="left" vertical="center"/>
    </xf>
    <xf numFmtId="43" fontId="7" fillId="2" borderId="1" xfId="4" applyFont="1" applyFill="1" applyBorder="1" applyAlignment="1">
      <alignment horizontal="right" vertical="center"/>
    </xf>
    <xf numFmtId="164" fontId="18" fillId="2" borderId="1" xfId="4" applyNumberFormat="1" applyFont="1" applyFill="1" applyBorder="1" applyAlignment="1">
      <alignment horizontal="right" vertical="center"/>
    </xf>
    <xf numFmtId="169" fontId="6" fillId="2" borderId="8" xfId="5" applyNumberFormat="1" applyFont="1" applyFill="1" applyBorder="1" applyAlignment="1">
      <alignment horizontal="left" vertical="center"/>
    </xf>
    <xf numFmtId="43" fontId="17" fillId="2" borderId="8" xfId="4" applyFont="1" applyFill="1" applyBorder="1" applyAlignment="1">
      <alignment horizontal="right" vertical="center"/>
    </xf>
    <xf numFmtId="164" fontId="6" fillId="2" borderId="8" xfId="4" applyNumberFormat="1" applyFont="1" applyFill="1" applyBorder="1" applyAlignment="1">
      <alignment horizontal="right" vertical="center"/>
    </xf>
    <xf numFmtId="170" fontId="6" fillId="2" borderId="8" xfId="4" applyNumberFormat="1" applyFont="1" applyFill="1" applyBorder="1" applyAlignment="1">
      <alignment horizontal="right" vertical="center" indent="3"/>
    </xf>
    <xf numFmtId="164" fontId="18" fillId="2" borderId="8" xfId="4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top"/>
    </xf>
    <xf numFmtId="43" fontId="17" fillId="2" borderId="0" xfId="4" applyFont="1" applyFill="1" applyBorder="1"/>
    <xf numFmtId="43" fontId="6" fillId="2" borderId="0" xfId="4" applyFont="1" applyFill="1" applyBorder="1"/>
    <xf numFmtId="0" fontId="8" fillId="2" borderId="0" xfId="0" applyFont="1" applyFill="1" applyAlignment="1">
      <alignment horizontal="right" vertical="top"/>
    </xf>
    <xf numFmtId="0" fontId="5" fillId="2" borderId="14" xfId="0" applyFont="1" applyFill="1" applyBorder="1"/>
    <xf numFmtId="43" fontId="5" fillId="2" borderId="4" xfId="4" applyFont="1" applyFill="1" applyBorder="1"/>
    <xf numFmtId="0" fontId="3" fillId="2" borderId="14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right" vertical="top"/>
    </xf>
    <xf numFmtId="169" fontId="12" fillId="2" borderId="10" xfId="5" applyNumberFormat="1" applyFont="1" applyFill="1" applyBorder="1" applyAlignment="1">
      <alignment horizontal="center" vertical="top" wrapText="1"/>
    </xf>
    <xf numFmtId="169" fontId="12" fillId="2" borderId="12" xfId="5" applyNumberFormat="1" applyFont="1" applyFill="1" applyBorder="1" applyAlignment="1">
      <alignment horizontal="center" vertical="top" wrapText="1"/>
    </xf>
    <xf numFmtId="169" fontId="12" fillId="2" borderId="7" xfId="5" applyNumberFormat="1" applyFont="1" applyFill="1" applyBorder="1" applyAlignment="1">
      <alignment horizontal="center" vertical="top" wrapText="1"/>
    </xf>
    <xf numFmtId="169" fontId="6" fillId="2" borderId="15" xfId="5" applyNumberFormat="1" applyFont="1" applyFill="1" applyBorder="1" applyAlignment="1">
      <alignment horizontal="left" vertical="center"/>
    </xf>
    <xf numFmtId="169" fontId="6" fillId="2" borderId="19" xfId="5" applyNumberFormat="1" applyFont="1" applyFill="1" applyBorder="1" applyAlignment="1">
      <alignment horizontal="left" vertical="center"/>
    </xf>
    <xf numFmtId="169" fontId="18" fillId="2" borderId="18" xfId="5" applyNumberFormat="1" applyFont="1" applyFill="1" applyBorder="1" applyAlignment="1">
      <alignment horizontal="right" vertical="center" wrapText="1"/>
    </xf>
    <xf numFmtId="169" fontId="18" fillId="2" borderId="2" xfId="5" applyNumberFormat="1" applyFont="1" applyFill="1" applyBorder="1" applyAlignment="1">
      <alignment horizontal="right" vertical="center" wrapText="1"/>
    </xf>
    <xf numFmtId="0" fontId="16" fillId="2" borderId="14" xfId="5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0" xfId="0" applyFont="1" applyFill="1" applyBorder="1"/>
  </cellXfs>
  <cellStyles count="16">
    <cellStyle name="Comma" xfId="1" builtinId="3"/>
    <cellStyle name="Comma 2" xfId="2" xr:uid="{00000000-0005-0000-0000-000001000000}"/>
    <cellStyle name="Comma 2 2" xfId="3" xr:uid="{00000000-0005-0000-0000-000002000000}"/>
    <cellStyle name="Comma 3" xfId="10" xr:uid="{F5B4A224-1F62-4D26-BEF8-EC4E8130DEEE}"/>
    <cellStyle name="Comma 3 2" xfId="15" xr:uid="{846C9DD0-F9CD-4384-998C-A69E0D903163}"/>
    <cellStyle name="Comma 4" xfId="4" xr:uid="{00000000-0005-0000-0000-000003000000}"/>
    <cellStyle name="Comma 5" xfId="12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9" xr:uid="{F405DDE0-D1F1-478E-9D0E-047C915BEE51}"/>
    <cellStyle name="Normal 3 2" xfId="14" xr:uid="{7D38DCE9-A7EF-4CBF-AA34-CF9D3CA007AF}"/>
    <cellStyle name="Normal 4" xfId="7" xr:uid="{00000000-0005-0000-0000-000007000000}"/>
    <cellStyle name="Normal 4 2" xfId="11" xr:uid="{C0BBE1BE-4BC0-4737-BFDA-D8EF6C73CAA2}"/>
    <cellStyle name="Normal 4 3" xfId="13" xr:uid="{1AE76306-B639-4ACE-AAE8-8A0645E12B10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2025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250229765915658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'12.5'!$AB$14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'12.5'!$AA$15:$AA$18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Tertiary Hospital</c:v>
                </c:pt>
              </c:strCache>
            </c:strRef>
          </c:cat>
          <c:val>
            <c:numRef>
              <c:f>'12.5'!$AB$15:$AB$18</c:f>
              <c:numCache>
                <c:formatCode>_(* #,##0_);_(* \(#,##0\);_(* "-"??_);_(@_)</c:formatCode>
                <c:ptCount val="4"/>
                <c:pt idx="0">
                  <c:v>90387616.670000017</c:v>
                </c:pt>
                <c:pt idx="1">
                  <c:v>12746827.719999999</c:v>
                </c:pt>
                <c:pt idx="2">
                  <c:v>43359673</c:v>
                </c:pt>
                <c:pt idx="3">
                  <c:v>18611104.73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9-4A58-A313-C91969D97298}"/>
            </c:ext>
          </c:extLst>
        </c:ser>
        <c:ser>
          <c:idx val="1"/>
          <c:order val="1"/>
          <c:tx>
            <c:strRef>
              <c:f>'12.5'!$AC$14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'12.5'!$AA$15:$AA$18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Tertiary Hospital</c:v>
                </c:pt>
              </c:strCache>
            </c:strRef>
          </c:cat>
          <c:val>
            <c:numRef>
              <c:f>'12.5'!$AC$15:$AC$18</c:f>
              <c:numCache>
                <c:formatCode>_(* #,##0_);_(* \(#,##0\);_(* "-"??_);_(@_)</c:formatCode>
                <c:ptCount val="4"/>
                <c:pt idx="0">
                  <c:v>242736262.5575</c:v>
                </c:pt>
                <c:pt idx="1">
                  <c:v>45251238.405999996</c:v>
                </c:pt>
                <c:pt idx="2">
                  <c:v>184946947.53049996</c:v>
                </c:pt>
                <c:pt idx="3">
                  <c:v>62347200.8455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9-4A58-A313-C91969D9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4432"/>
        <c:axId val="462055216"/>
      </c:barChart>
      <c:catAx>
        <c:axId val="4620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5216"/>
        <c:crosses val="autoZero"/>
        <c:auto val="1"/>
        <c:lblAlgn val="ctr"/>
        <c:lblOffset val="100"/>
        <c:noMultiLvlLbl val="0"/>
      </c:catAx>
      <c:valAx>
        <c:axId val="462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4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7744881814287162"/>
          <c:y val="0.15306617719787075"/>
          <c:w val="0.23522762286717547"/>
          <c:h val="7.5041776639440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(Domestic)  by quantity and value, 2025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860957737965454"/>
          <c:y val="2.4825052559163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'12.5'!$E$4</c:f>
              <c:strCache>
                <c:ptCount val="1"/>
                <c:pt idx="0">
                  <c:v>% Share of Quantity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'12.5'!$E$6:$E$12</c:f>
              <c:numCache>
                <c:formatCode>#,##0.0_);\(#,##0.0\)</c:formatCode>
                <c:ptCount val="7"/>
                <c:pt idx="0">
                  <c:v>17.449279980002817</c:v>
                </c:pt>
                <c:pt idx="1">
                  <c:v>15.964815825030426</c:v>
                </c:pt>
                <c:pt idx="2">
                  <c:v>14.118364782855824</c:v>
                </c:pt>
                <c:pt idx="3">
                  <c:v>11.962238897697002</c:v>
                </c:pt>
                <c:pt idx="4">
                  <c:v>9.7139352529406597</c:v>
                </c:pt>
                <c:pt idx="5">
                  <c:v>7.6306982019243881</c:v>
                </c:pt>
                <c:pt idx="6">
                  <c:v>23.160667059548874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1-4B22-B65C-081B23556A89}"/>
            </c:ext>
          </c:extLst>
        </c:ser>
        <c:ser>
          <c:idx val="1"/>
          <c:order val="1"/>
          <c:tx>
            <c:strRef>
              <c:f>'12.5'!$F$4</c:f>
              <c:strCache>
                <c:ptCount val="1"/>
                <c:pt idx="0">
                  <c:v>% Share of Value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'12.5'!$F$6:$F$12</c:f>
              <c:numCache>
                <c:formatCode>#,##0.0_);\(#,##0.0\)</c:formatCode>
                <c:ptCount val="7"/>
                <c:pt idx="0">
                  <c:v>9.7463733686662657</c:v>
                </c:pt>
                <c:pt idx="1">
                  <c:v>10.403422488849614</c:v>
                </c:pt>
                <c:pt idx="2">
                  <c:v>11.303088630814166</c:v>
                </c:pt>
                <c:pt idx="3">
                  <c:v>11.135936722102588</c:v>
                </c:pt>
                <c:pt idx="4">
                  <c:v>10.670665222862764</c:v>
                </c:pt>
                <c:pt idx="5">
                  <c:v>10.087113434977564</c:v>
                </c:pt>
                <c:pt idx="6">
                  <c:v>36.653400131727039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1-4B22-B65C-081B23556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462059136"/>
        <c:axId val="462049336"/>
      </c:barChart>
      <c:catAx>
        <c:axId val="4620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49336"/>
        <c:crosses val="autoZero"/>
        <c:auto val="1"/>
        <c:lblAlgn val="ctr"/>
        <c:lblOffset val="100"/>
        <c:noMultiLvlLbl val="0"/>
      </c:catAx>
      <c:valAx>
        <c:axId val="462049336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9136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124440553331495"/>
          <c:y val="0.16690036201226874"/>
          <c:w val="0.32503845960389216"/>
          <c:h val="6.627578050665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282779</xdr:colOff>
      <xdr:row>56</xdr:row>
      <xdr:rowOff>114698</xdr:rowOff>
    </xdr:from>
    <xdr:to>
      <xdr:col>6</xdr:col>
      <xdr:colOff>818556</xdr:colOff>
      <xdr:row>67</xdr:row>
      <xdr:rowOff>269772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1F09F2-EF1F-4C7D-A132-8D3046583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293928</xdr:colOff>
      <xdr:row>42</xdr:row>
      <xdr:rowOff>247115</xdr:rowOff>
    </xdr:from>
    <xdr:to>
      <xdr:col>6</xdr:col>
      <xdr:colOff>865427</xdr:colOff>
      <xdr:row>55</xdr:row>
      <xdr:rowOff>152836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EC0D61-4717-4533-88E9-F36E0CD3E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AD91-55A4-4003-B182-EB52F0B3A4CE}">
  <sheetPr>
    <tabColor rgb="FF92D050"/>
  </sheetPr>
  <dimension ref="A1:AH214"/>
  <sheetViews>
    <sheetView tabSelected="1" zoomScale="112" zoomScaleNormal="112" workbookViewId="0">
      <selection activeCell="A86" sqref="A86:XFD214"/>
    </sheetView>
  </sheetViews>
  <sheetFormatPr defaultColWidth="9.140625" defaultRowHeight="12.75"/>
  <cols>
    <col min="1" max="1" width="19.7109375" style="4" customWidth="1"/>
    <col min="2" max="7" width="19.5703125" style="4" customWidth="1"/>
    <col min="8" max="8" width="2" style="4" customWidth="1"/>
    <col min="9" max="9" width="12.28515625" style="4" bestFit="1" customWidth="1"/>
    <col min="10" max="10" width="18.5703125" style="4" customWidth="1"/>
    <col min="11" max="11" width="13.5703125" style="4" bestFit="1" customWidth="1"/>
    <col min="12" max="12" width="14.5703125" style="4" bestFit="1" customWidth="1"/>
    <col min="13" max="13" width="15" style="4" bestFit="1" customWidth="1"/>
    <col min="14" max="21" width="15" style="4" customWidth="1"/>
    <col min="22" max="25" width="13.5703125" style="4" bestFit="1" customWidth="1"/>
    <col min="26" max="27" width="9.140625" style="4"/>
    <col min="28" max="29" width="18" style="4" bestFit="1" customWidth="1"/>
    <col min="30" max="16384" width="9.140625" style="4"/>
  </cols>
  <sheetData>
    <row r="1" spans="1:34" s="3" customFormat="1" ht="18">
      <c r="A1" s="57" t="s">
        <v>48</v>
      </c>
      <c r="B1" s="57"/>
      <c r="C1" s="57"/>
      <c r="D1" s="57"/>
      <c r="E1" s="57"/>
      <c r="F1" s="57"/>
      <c r="G1" s="57"/>
      <c r="H1" s="2"/>
    </row>
    <row r="2" spans="1:34" ht="15.75" customHeight="1">
      <c r="A2" s="50" t="s">
        <v>47</v>
      </c>
      <c r="B2" s="51"/>
      <c r="C2" s="51"/>
      <c r="D2" s="51"/>
      <c r="E2" s="51"/>
      <c r="F2" s="51"/>
      <c r="G2" s="52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30" customHeight="1">
      <c r="A3" s="53" t="s">
        <v>6</v>
      </c>
      <c r="B3" s="5" t="s">
        <v>7</v>
      </c>
      <c r="C3" s="6" t="s">
        <v>1</v>
      </c>
      <c r="D3" s="6" t="s">
        <v>8</v>
      </c>
      <c r="E3" s="7" t="s">
        <v>0</v>
      </c>
      <c r="F3" s="7" t="s">
        <v>0</v>
      </c>
      <c r="G3" s="55" t="s">
        <v>9</v>
      </c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4" customHeight="1">
      <c r="A4" s="54"/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56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21">
      <c r="A5" s="9" t="s">
        <v>49</v>
      </c>
      <c r="B5" s="10"/>
      <c r="C5" s="11"/>
      <c r="D5" s="11"/>
      <c r="E5" s="12"/>
      <c r="F5" s="13"/>
      <c r="G5" s="14" t="s">
        <v>15</v>
      </c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1">
      <c r="A6" s="15" t="s">
        <v>16</v>
      </c>
      <c r="B6" s="16">
        <v>1.5</v>
      </c>
      <c r="C6" s="29">
        <v>15771988.300000001</v>
      </c>
      <c r="D6" s="29">
        <f>B6*C6</f>
        <v>23657982.450000003</v>
      </c>
      <c r="E6" s="17">
        <f>(C6/C13)*100</f>
        <v>17.449279980002817</v>
      </c>
      <c r="F6" s="17">
        <f>(D6/D13)*100</f>
        <v>9.7463733686662657</v>
      </c>
      <c r="G6" s="18" t="s">
        <v>17</v>
      </c>
      <c r="H6" s="19"/>
      <c r="I6" s="20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1">
      <c r="A7" s="15" t="s">
        <v>18</v>
      </c>
      <c r="B7" s="16">
        <v>1.75</v>
      </c>
      <c r="C7" s="29">
        <v>14430216.530000001</v>
      </c>
      <c r="D7" s="29">
        <f t="shared" ref="D7:D12" si="0">B7*C7</f>
        <v>25252878.927500002</v>
      </c>
      <c r="E7" s="17">
        <f>(C7/C13)*100</f>
        <v>15.964815825030426</v>
      </c>
      <c r="F7" s="17">
        <f>(D7/D13)*100</f>
        <v>10.403422488849614</v>
      </c>
      <c r="G7" s="18" t="s">
        <v>19</v>
      </c>
      <c r="H7" s="21"/>
      <c r="I7" s="20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1">
      <c r="A8" s="15" t="s">
        <v>20</v>
      </c>
      <c r="B8" s="16">
        <v>2.15</v>
      </c>
      <c r="C8" s="29">
        <v>12761253.440000003</v>
      </c>
      <c r="D8" s="29">
        <f>B8*C8</f>
        <v>27436694.896000005</v>
      </c>
      <c r="E8" s="17">
        <f>(C8/C13)*100</f>
        <v>14.118364782855824</v>
      </c>
      <c r="F8" s="17">
        <f>(D8/D13)*100</f>
        <v>11.303088630814166</v>
      </c>
      <c r="G8" s="18" t="s">
        <v>21</v>
      </c>
      <c r="H8" s="21"/>
      <c r="I8" s="20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21">
      <c r="A9" s="15" t="s">
        <v>22</v>
      </c>
      <c r="B9" s="16">
        <v>2.5</v>
      </c>
      <c r="C9" s="29">
        <v>10812382.640000001</v>
      </c>
      <c r="D9" s="29">
        <f t="shared" si="0"/>
        <v>27030956.600000001</v>
      </c>
      <c r="E9" s="17">
        <f>(C9/C13)*100</f>
        <v>11.962238897697002</v>
      </c>
      <c r="F9" s="17">
        <f>(D9/D13)*100</f>
        <v>11.135936722102588</v>
      </c>
      <c r="G9" s="18" t="s">
        <v>23</v>
      </c>
      <c r="H9" s="21"/>
      <c r="I9" s="20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1">
      <c r="A10" s="15" t="s">
        <v>24</v>
      </c>
      <c r="B10" s="16">
        <v>2.95</v>
      </c>
      <c r="C10" s="29">
        <v>8780194.5600000005</v>
      </c>
      <c r="D10" s="29">
        <f t="shared" si="0"/>
        <v>25901573.952000003</v>
      </c>
      <c r="E10" s="17">
        <f>(C10/C13)*100</f>
        <v>9.7139352529406597</v>
      </c>
      <c r="F10" s="17">
        <f>(D10/D13)*100</f>
        <v>10.670665222862764</v>
      </c>
      <c r="G10" s="18" t="s">
        <v>25</v>
      </c>
      <c r="H10" s="21"/>
      <c r="I10" s="20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21">
      <c r="A11" s="15" t="s">
        <v>26</v>
      </c>
      <c r="B11" s="16">
        <v>3.55</v>
      </c>
      <c r="C11" s="29">
        <v>6897206.2400000002</v>
      </c>
      <c r="D11" s="29">
        <f t="shared" si="0"/>
        <v>24485082.151999999</v>
      </c>
      <c r="E11" s="17">
        <f>(C11/C13)*100</f>
        <v>7.6306982019243881</v>
      </c>
      <c r="F11" s="17">
        <f>(D11/D13)*100</f>
        <v>10.087113434977564</v>
      </c>
      <c r="G11" s="18" t="s">
        <v>27</v>
      </c>
      <c r="H11" s="20"/>
      <c r="AA11" s="15"/>
    </row>
    <row r="12" spans="1:34" ht="21">
      <c r="A12" s="15" t="s">
        <v>28</v>
      </c>
      <c r="B12" s="16">
        <v>4.25</v>
      </c>
      <c r="C12" s="29">
        <v>20934374.960000001</v>
      </c>
      <c r="D12" s="29">
        <f t="shared" si="0"/>
        <v>88971093.579999998</v>
      </c>
      <c r="E12" s="17">
        <f>(C12/C13)*100</f>
        <v>23.160667059548874</v>
      </c>
      <c r="F12" s="17">
        <f>(D12/D13)*100</f>
        <v>36.653400131727039</v>
      </c>
      <c r="G12" s="18" t="s">
        <v>29</v>
      </c>
      <c r="H12" s="20"/>
      <c r="AA12" s="15"/>
    </row>
    <row r="13" spans="1:34" ht="21">
      <c r="A13" s="22" t="s">
        <v>30</v>
      </c>
      <c r="B13" s="23"/>
      <c r="C13" s="24">
        <f>SUM(C6:C12)</f>
        <v>90387616.670000017</v>
      </c>
      <c r="D13" s="24">
        <f>SUM(D6:D12)</f>
        <v>242736262.5575</v>
      </c>
      <c r="E13" s="25">
        <f>(C13/C13)*100</f>
        <v>100</v>
      </c>
      <c r="F13" s="25">
        <f>(D13/D13)*100</f>
        <v>100</v>
      </c>
      <c r="G13" s="14" t="s">
        <v>31</v>
      </c>
      <c r="H13" s="20"/>
      <c r="J13" s="26"/>
    </row>
    <row r="14" spans="1:34" ht="21">
      <c r="A14" s="9" t="s">
        <v>50</v>
      </c>
      <c r="B14" s="10"/>
      <c r="C14" s="11"/>
      <c r="D14" s="11"/>
      <c r="E14" s="12"/>
      <c r="F14" s="13"/>
      <c r="G14" s="14" t="s">
        <v>15</v>
      </c>
      <c r="H14" s="20"/>
      <c r="J14" s="26"/>
      <c r="AB14" s="8" t="s">
        <v>11</v>
      </c>
      <c r="AC14" s="8" t="s">
        <v>12</v>
      </c>
    </row>
    <row r="15" spans="1:34" ht="21">
      <c r="A15" s="15" t="s">
        <v>16</v>
      </c>
      <c r="B15" s="16">
        <v>1.5</v>
      </c>
      <c r="C15" s="29">
        <v>27370318.349999998</v>
      </c>
      <c r="D15" s="29">
        <f>B15*C15</f>
        <v>41055477.524999999</v>
      </c>
      <c r="E15" s="17">
        <f>(C15/C22)*100</f>
        <v>16.78899136540814</v>
      </c>
      <c r="F15" s="17">
        <f>(D15/D22)*100</f>
        <v>9.2575031831582155</v>
      </c>
      <c r="G15" s="18" t="s">
        <v>17</v>
      </c>
      <c r="H15" s="2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AA15" s="9" t="s">
        <v>2</v>
      </c>
      <c r="AB15" s="26">
        <f>C13</f>
        <v>90387616.670000017</v>
      </c>
      <c r="AC15" s="26">
        <f>D13</f>
        <v>242736262.5575</v>
      </c>
    </row>
    <row r="16" spans="1:34" ht="21">
      <c r="A16" s="15" t="s">
        <v>18</v>
      </c>
      <c r="B16" s="16">
        <v>1.75</v>
      </c>
      <c r="C16" s="29">
        <v>25241129.5</v>
      </c>
      <c r="D16" s="29">
        <f t="shared" ref="D16" si="1">B16*C16</f>
        <v>44171976.625</v>
      </c>
      <c r="E16" s="17">
        <f>(C16/C22)*100</f>
        <v>15.48294396176246</v>
      </c>
      <c r="F16" s="17">
        <f>(D16/D22)*100</f>
        <v>9.9602352442088122</v>
      </c>
      <c r="G16" s="18" t="s">
        <v>19</v>
      </c>
      <c r="H16" s="20"/>
      <c r="AA16" s="27" t="s">
        <v>4</v>
      </c>
      <c r="AB16" s="26">
        <f>C20</f>
        <v>12746827.719999999</v>
      </c>
      <c r="AC16" s="26">
        <f>D20</f>
        <v>45251238.405999996</v>
      </c>
    </row>
    <row r="17" spans="1:29" ht="21">
      <c r="A17" s="15" t="s">
        <v>20</v>
      </c>
      <c r="B17" s="16">
        <v>2.15</v>
      </c>
      <c r="C17" s="29">
        <v>22568742.710000005</v>
      </c>
      <c r="D17" s="29">
        <f>B17*C17</f>
        <v>48522796.826500006</v>
      </c>
      <c r="E17" s="17">
        <f>(C17/C22)*100</f>
        <v>13.843698185787016</v>
      </c>
      <c r="F17" s="17">
        <f>(D17/D22)*100</f>
        <v>10.941291470876958</v>
      </c>
      <c r="G17" s="18" t="s">
        <v>21</v>
      </c>
      <c r="H17" s="20"/>
      <c r="AA17" s="27" t="s">
        <v>3</v>
      </c>
      <c r="AB17" s="26">
        <f>C29</f>
        <v>43359673</v>
      </c>
      <c r="AC17" s="26">
        <f>D29</f>
        <v>184946947.53049996</v>
      </c>
    </row>
    <row r="18" spans="1:29" ht="21">
      <c r="A18" s="15" t="s">
        <v>22</v>
      </c>
      <c r="B18" s="16">
        <v>2.5</v>
      </c>
      <c r="C18" s="29">
        <v>19378355.489999995</v>
      </c>
      <c r="D18" s="29">
        <f t="shared" ref="D18:D21" si="2">B18*C18</f>
        <v>48445888.724999987</v>
      </c>
      <c r="E18" s="17">
        <f>(C18/C22)*100</f>
        <v>11.886710225181556</v>
      </c>
      <c r="F18" s="17">
        <f>(D18/D22)*100</f>
        <v>10.923949643735536</v>
      </c>
      <c r="G18" s="18" t="s">
        <v>23</v>
      </c>
      <c r="H18" s="20"/>
      <c r="AA18" s="27" t="s">
        <v>37</v>
      </c>
      <c r="AB18" s="26">
        <f>C32</f>
        <v>18611104.73</v>
      </c>
      <c r="AC18" s="26">
        <f>D32</f>
        <v>62347200.8455</v>
      </c>
    </row>
    <row r="19" spans="1:29" ht="21">
      <c r="A19" s="15" t="s">
        <v>24</v>
      </c>
      <c r="B19" s="16">
        <v>2.95</v>
      </c>
      <c r="C19" s="29">
        <v>15980132.960000001</v>
      </c>
      <c r="D19" s="29">
        <f t="shared" si="2"/>
        <v>47141392.232000008</v>
      </c>
      <c r="E19" s="17">
        <f>(C19/C22)*100</f>
        <v>9.8022357961910256</v>
      </c>
      <c r="F19" s="17">
        <f>(D19/D22)*100</f>
        <v>10.629801793938579</v>
      </c>
      <c r="G19" s="18" t="s">
        <v>25</v>
      </c>
      <c r="H19" s="20"/>
    </row>
    <row r="20" spans="1:29" ht="21">
      <c r="A20" s="15" t="s">
        <v>26</v>
      </c>
      <c r="B20" s="16">
        <v>3.55</v>
      </c>
      <c r="C20" s="29">
        <v>12746827.719999999</v>
      </c>
      <c r="D20" s="29">
        <f t="shared" si="2"/>
        <v>45251238.405999996</v>
      </c>
      <c r="E20" s="17">
        <f>(C20/C22)*100</f>
        <v>7.8189218623913135</v>
      </c>
      <c r="F20" s="17">
        <f>(D20/D22)*100</f>
        <v>10.203595447898673</v>
      </c>
      <c r="G20" s="18" t="s">
        <v>27</v>
      </c>
      <c r="H20" s="20"/>
    </row>
    <row r="21" spans="1:29" ht="21">
      <c r="A21" s="15" t="s">
        <v>28</v>
      </c>
      <c r="B21" s="16">
        <v>4.25</v>
      </c>
      <c r="C21" s="29">
        <v>39739881.479999997</v>
      </c>
      <c r="D21" s="29">
        <f t="shared" si="2"/>
        <v>168894496.28999999</v>
      </c>
      <c r="E21" s="17">
        <f>(C21/C22)*100</f>
        <v>24.376498603278499</v>
      </c>
      <c r="F21" s="17">
        <f>(D21/D22)*100</f>
        <v>38.083623216183213</v>
      </c>
      <c r="G21" s="18" t="s">
        <v>29</v>
      </c>
      <c r="H21" s="20"/>
    </row>
    <row r="22" spans="1:29" ht="21">
      <c r="A22" s="22" t="s">
        <v>30</v>
      </c>
      <c r="B22" s="23"/>
      <c r="C22" s="24">
        <f>SUM(C15:C21)</f>
        <v>163025388.20999998</v>
      </c>
      <c r="D22" s="24">
        <f>SUM(D15:D21)</f>
        <v>443483266.62950003</v>
      </c>
      <c r="E22" s="25">
        <f>(C22/C22)*100</f>
        <v>100</v>
      </c>
      <c r="F22" s="25">
        <f>(D22/D22)*100</f>
        <v>100</v>
      </c>
      <c r="G22" s="14" t="s">
        <v>31</v>
      </c>
      <c r="H22" s="20"/>
    </row>
    <row r="23" spans="1:29" ht="21">
      <c r="A23" s="27" t="s">
        <v>4</v>
      </c>
      <c r="B23" s="28"/>
      <c r="C23" s="29"/>
      <c r="D23" s="29"/>
      <c r="E23" s="30"/>
      <c r="F23" s="31"/>
      <c r="G23" s="14" t="s">
        <v>32</v>
      </c>
      <c r="H23" s="20"/>
    </row>
    <row r="24" spans="1:29" ht="21">
      <c r="A24" s="15" t="s">
        <v>16</v>
      </c>
      <c r="B24" s="16">
        <v>3.3</v>
      </c>
      <c r="C24" s="29">
        <v>863069.40000000014</v>
      </c>
      <c r="D24" s="29">
        <f>B24*C24</f>
        <v>2848129.0200000005</v>
      </c>
      <c r="E24" s="17">
        <f>(C24/C29)*100</f>
        <v>1.9904887197834726</v>
      </c>
      <c r="F24" s="17">
        <f>(D24/D29)*100</f>
        <v>1.539970817593683</v>
      </c>
      <c r="G24" s="18" t="s">
        <v>17</v>
      </c>
      <c r="H24" s="20"/>
    </row>
    <row r="25" spans="1:29" ht="21">
      <c r="A25" s="15" t="s">
        <v>33</v>
      </c>
      <c r="B25" s="16">
        <v>3.35</v>
      </c>
      <c r="C25" s="29">
        <v>1557721.6</v>
      </c>
      <c r="D25" s="29">
        <f t="shared" ref="D25:D28" si="3">B25*C25</f>
        <v>5218367.3600000003</v>
      </c>
      <c r="E25" s="17">
        <f>(C25/C29)*100</f>
        <v>3.5925584586396679</v>
      </c>
      <c r="F25" s="17">
        <f>(D25/D29)*100</f>
        <v>2.8215482492023445</v>
      </c>
      <c r="G25" s="18" t="s">
        <v>34</v>
      </c>
      <c r="H25" s="20"/>
    </row>
    <row r="26" spans="1:29" ht="21">
      <c r="A26" s="15" t="s">
        <v>35</v>
      </c>
      <c r="B26" s="16">
        <v>3.65</v>
      </c>
      <c r="C26" s="29">
        <v>1398703.5699999998</v>
      </c>
      <c r="D26" s="29">
        <f t="shared" si="3"/>
        <v>5105268.0304999994</v>
      </c>
      <c r="E26" s="17">
        <f>(C26/C29)*100</f>
        <v>3.2258166937744202</v>
      </c>
      <c r="F26" s="17">
        <f>(D26/D29)*100</f>
        <v>2.7603959398454414</v>
      </c>
      <c r="G26" s="18" t="s">
        <v>36</v>
      </c>
      <c r="H26" s="20"/>
    </row>
    <row r="27" spans="1:29" ht="21">
      <c r="A27" s="15" t="s">
        <v>26</v>
      </c>
      <c r="B27" s="16">
        <v>4</v>
      </c>
      <c r="C27" s="29">
        <v>641694.43000000005</v>
      </c>
      <c r="D27" s="29">
        <f t="shared" si="3"/>
        <v>2566777.7200000002</v>
      </c>
      <c r="E27" s="17">
        <f>(C27/C29)*100</f>
        <v>1.479933739352693</v>
      </c>
      <c r="F27" s="17">
        <f>(D27/D29)*100</f>
        <v>1.3878454087903818</v>
      </c>
      <c r="G27" s="18" t="s">
        <v>27</v>
      </c>
      <c r="H27" s="20"/>
    </row>
    <row r="28" spans="1:29" ht="21">
      <c r="A28" s="15" t="s">
        <v>28</v>
      </c>
      <c r="B28" s="16">
        <v>4.3499999999999996</v>
      </c>
      <c r="C28" s="29">
        <v>38898484</v>
      </c>
      <c r="D28" s="29">
        <f t="shared" si="3"/>
        <v>169208405.39999998</v>
      </c>
      <c r="E28" s="17">
        <f>(C28/C29)*100</f>
        <v>89.711202388449749</v>
      </c>
      <c r="F28" s="17">
        <f>(D28/D29)*100</f>
        <v>91.490239584568158</v>
      </c>
      <c r="G28" s="18" t="s">
        <v>29</v>
      </c>
      <c r="H28" s="20"/>
    </row>
    <row r="29" spans="1:29" ht="21">
      <c r="A29" s="22" t="s">
        <v>30</v>
      </c>
      <c r="B29" s="23"/>
      <c r="C29" s="24">
        <f>SUM(C24:C28)</f>
        <v>43359673</v>
      </c>
      <c r="D29" s="24">
        <f>SUM(D24:D28)</f>
        <v>184946947.53049996</v>
      </c>
      <c r="E29" s="25">
        <f>(C29/C29)*100</f>
        <v>100</v>
      </c>
      <c r="F29" s="25">
        <f>(D29/D29)*100</f>
        <v>100</v>
      </c>
      <c r="G29" s="14" t="s">
        <v>31</v>
      </c>
      <c r="H29" s="20"/>
    </row>
    <row r="30" spans="1:29" ht="21">
      <c r="A30" s="27" t="s">
        <v>3</v>
      </c>
      <c r="B30" s="28"/>
      <c r="C30" s="29"/>
      <c r="D30" s="29"/>
      <c r="E30" s="30"/>
      <c r="F30" s="31"/>
      <c r="G30" s="14" t="s">
        <v>32</v>
      </c>
      <c r="H30" s="20"/>
      <c r="J30" s="26"/>
    </row>
    <row r="31" spans="1:29" ht="21">
      <c r="A31" s="15" t="s">
        <v>16</v>
      </c>
      <c r="B31" s="16">
        <v>3.3</v>
      </c>
      <c r="C31" s="29">
        <v>11433238.270000001</v>
      </c>
      <c r="D31" s="29">
        <f>B31*C31</f>
        <v>37729686.291000001</v>
      </c>
      <c r="E31" s="17">
        <f>(C31/C38)*100</f>
        <v>7.9332334653519947</v>
      </c>
      <c r="F31" s="17">
        <f>(D31/D38)*100</f>
        <v>5.7903769217324195</v>
      </c>
      <c r="G31" s="18" t="s">
        <v>17</v>
      </c>
      <c r="H31" s="20"/>
      <c r="J31" s="26"/>
    </row>
    <row r="32" spans="1:29" ht="21">
      <c r="A32" s="15" t="s">
        <v>33</v>
      </c>
      <c r="B32" s="16">
        <v>3.35</v>
      </c>
      <c r="C32" s="29">
        <v>18611104.73</v>
      </c>
      <c r="D32" s="29">
        <f t="shared" ref="D32:D37" si="4">B32*C32</f>
        <v>62347200.8455</v>
      </c>
      <c r="E32" s="17">
        <f>(C32/C38)*100</f>
        <v>12.913772579954005</v>
      </c>
      <c r="F32" s="17">
        <f>(D32/D38)*100</f>
        <v>9.5684281635947492</v>
      </c>
      <c r="G32" s="18" t="s">
        <v>34</v>
      </c>
    </row>
    <row r="33" spans="1:21" ht="21.75" customHeight="1">
      <c r="A33" s="15" t="s">
        <v>35</v>
      </c>
      <c r="B33" s="16">
        <v>3.65</v>
      </c>
      <c r="C33" s="29">
        <v>14682005.229999997</v>
      </c>
      <c r="D33" s="29">
        <f t="shared" si="4"/>
        <v>53589319.089499988</v>
      </c>
      <c r="E33" s="17">
        <f>(C33/C38)*100</f>
        <v>10.187470293060635</v>
      </c>
      <c r="F33" s="17">
        <f>(D33/D38)*100</f>
        <v>8.224355593998526</v>
      </c>
      <c r="G33" s="18" t="s">
        <v>36</v>
      </c>
      <c r="H33" s="46"/>
      <c r="M33" s="47"/>
      <c r="N33" s="47"/>
      <c r="O33" s="47"/>
      <c r="P33" s="47"/>
      <c r="Q33" s="47"/>
      <c r="R33" s="47"/>
      <c r="S33" s="47"/>
      <c r="T33" s="47"/>
      <c r="U33" s="47"/>
    </row>
    <row r="34" spans="1:21" ht="21.75" customHeight="1">
      <c r="A34" s="15" t="s">
        <v>26</v>
      </c>
      <c r="B34" s="16">
        <v>4</v>
      </c>
      <c r="C34" s="29">
        <v>6148931.7699999996</v>
      </c>
      <c r="D34" s="29">
        <f t="shared" si="4"/>
        <v>24595727.079999998</v>
      </c>
      <c r="E34" s="17">
        <f>(C34/C38)*100</f>
        <v>4.2665874830867203</v>
      </c>
      <c r="F34" s="17">
        <f>(D34/D38)*100</f>
        <v>3.7747075170151483</v>
      </c>
      <c r="G34" s="18" t="s">
        <v>38</v>
      </c>
      <c r="H34" s="46"/>
      <c r="M34" s="47"/>
      <c r="N34" s="47"/>
      <c r="O34" s="47"/>
      <c r="P34" s="47"/>
      <c r="Q34" s="47"/>
      <c r="R34" s="47"/>
      <c r="S34" s="47"/>
      <c r="T34" s="47"/>
      <c r="U34" s="47"/>
    </row>
    <row r="35" spans="1:21" ht="21.75" customHeight="1">
      <c r="A35" s="15" t="s">
        <v>39</v>
      </c>
      <c r="B35" s="16">
        <v>4.3499999999999996</v>
      </c>
      <c r="C35" s="29">
        <v>55366232</v>
      </c>
      <c r="D35" s="29">
        <f t="shared" si="4"/>
        <v>240843109.19999999</v>
      </c>
      <c r="E35" s="17">
        <f>(C35/C38)*100</f>
        <v>38.417221278888157</v>
      </c>
      <c r="F35" s="17">
        <f>(D35/D38)*100</f>
        <v>36.962204522824791</v>
      </c>
      <c r="G35" s="18" t="s">
        <v>39</v>
      </c>
      <c r="H35" s="46"/>
      <c r="M35" s="47"/>
      <c r="N35" s="47"/>
      <c r="O35" s="47"/>
      <c r="P35" s="47"/>
      <c r="Q35" s="47"/>
      <c r="R35" s="47"/>
      <c r="S35" s="47"/>
      <c r="T35" s="47"/>
      <c r="U35" s="47"/>
    </row>
    <row r="36" spans="1:21" ht="21.75" customHeight="1">
      <c r="A36" s="15" t="s">
        <v>40</v>
      </c>
      <c r="B36" s="16">
        <v>5.75</v>
      </c>
      <c r="C36" s="29">
        <v>21547236.360000003</v>
      </c>
      <c r="D36" s="29">
        <f t="shared" si="4"/>
        <v>123896609.07000002</v>
      </c>
      <c r="E36" s="17">
        <f>(C36/C38)*100</f>
        <v>14.951079697650812</v>
      </c>
      <c r="F36" s="17">
        <f>(D36/D38)*100</f>
        <v>19.014419052059846</v>
      </c>
      <c r="G36" s="18" t="s">
        <v>41</v>
      </c>
      <c r="H36" s="46"/>
      <c r="M36" s="47"/>
      <c r="N36" s="47"/>
      <c r="O36" s="47"/>
      <c r="P36" s="47"/>
      <c r="Q36" s="47"/>
      <c r="R36" s="47"/>
      <c r="S36" s="47"/>
      <c r="T36" s="47"/>
      <c r="U36" s="47"/>
    </row>
    <row r="37" spans="1:21" ht="21.75" customHeight="1">
      <c r="A37" s="15" t="s">
        <v>42</v>
      </c>
      <c r="B37" s="16">
        <v>6.65</v>
      </c>
      <c r="C37" s="29">
        <v>16329514.640000001</v>
      </c>
      <c r="D37" s="29">
        <f t="shared" si="4"/>
        <v>108591272.35600001</v>
      </c>
      <c r="E37" s="17">
        <f>(C37/C38)*100</f>
        <v>11.330635202007674</v>
      </c>
      <c r="F37" s="17">
        <f>(D37/D38)*100</f>
        <v>16.665508228774527</v>
      </c>
      <c r="G37" s="18" t="s">
        <v>43</v>
      </c>
      <c r="H37" s="46"/>
      <c r="M37" s="47"/>
      <c r="N37" s="47"/>
      <c r="O37" s="47"/>
      <c r="P37" s="47"/>
      <c r="Q37" s="47"/>
      <c r="R37" s="47"/>
      <c r="S37" s="47"/>
      <c r="T37" s="47"/>
      <c r="U37" s="47"/>
    </row>
    <row r="38" spans="1:21" ht="21.75" customHeight="1">
      <c r="A38" s="22" t="s">
        <v>30</v>
      </c>
      <c r="B38" s="23"/>
      <c r="C38" s="24">
        <f>SUM(C31:C37)</f>
        <v>144118263</v>
      </c>
      <c r="D38" s="24">
        <f>SUM(D31:D37)</f>
        <v>651592923.93199992</v>
      </c>
      <c r="E38" s="25">
        <f>(C38/C38)*100</f>
        <v>100</v>
      </c>
      <c r="F38" s="25">
        <f>(D38/D38)*100</f>
        <v>100</v>
      </c>
      <c r="G38" s="14" t="s">
        <v>31</v>
      </c>
      <c r="H38" s="46"/>
      <c r="M38" s="47"/>
      <c r="N38" s="47"/>
      <c r="O38" s="47"/>
      <c r="P38" s="47"/>
      <c r="Q38" s="47"/>
      <c r="R38" s="47"/>
      <c r="S38" s="47"/>
      <c r="T38" s="47"/>
      <c r="U38" s="47"/>
    </row>
    <row r="39" spans="1:21" ht="21.75" customHeight="1">
      <c r="A39" s="27" t="s">
        <v>44</v>
      </c>
      <c r="C39" s="29"/>
      <c r="D39" s="29"/>
      <c r="E39" s="32"/>
      <c r="F39" s="33"/>
      <c r="G39" s="14" t="s">
        <v>45</v>
      </c>
      <c r="H39" s="46"/>
      <c r="M39" s="47"/>
      <c r="N39" s="47"/>
      <c r="O39" s="47"/>
      <c r="P39" s="47"/>
      <c r="Q39" s="47"/>
      <c r="R39" s="47"/>
      <c r="S39" s="47"/>
      <c r="T39" s="47"/>
      <c r="U39" s="47"/>
    </row>
    <row r="40" spans="1:21" ht="21.75" customHeight="1">
      <c r="A40" s="34"/>
      <c r="B40" s="35">
        <v>4.25</v>
      </c>
      <c r="C40" s="29">
        <v>9384715</v>
      </c>
      <c r="D40" s="29">
        <f>B40*C40</f>
        <v>39885038.75</v>
      </c>
      <c r="E40" s="17">
        <f>(C40/C41)*100</f>
        <v>100</v>
      </c>
      <c r="F40" s="17">
        <f>(D40/D41)*100</f>
        <v>100</v>
      </c>
      <c r="G40" s="36"/>
      <c r="H40" s="46"/>
      <c r="M40" s="47"/>
      <c r="N40" s="47"/>
      <c r="O40" s="47"/>
      <c r="P40" s="47"/>
      <c r="Q40" s="47"/>
      <c r="R40" s="47"/>
      <c r="S40" s="47"/>
      <c r="T40" s="47"/>
      <c r="U40" s="47"/>
    </row>
    <row r="41" spans="1:21" ht="21.75" customHeight="1">
      <c r="A41" s="37" t="s">
        <v>30</v>
      </c>
      <c r="B41" s="38"/>
      <c r="C41" s="39">
        <f>SUM(C40)</f>
        <v>9384715</v>
      </c>
      <c r="D41" s="39">
        <f>SUM(D40)</f>
        <v>39885038.75</v>
      </c>
      <c r="E41" s="40">
        <f>(C41/C41)*100</f>
        <v>100</v>
      </c>
      <c r="F41" s="40">
        <f>(D41/D41)*100</f>
        <v>100</v>
      </c>
      <c r="G41" s="41" t="s">
        <v>31</v>
      </c>
      <c r="H41" s="46"/>
      <c r="M41" s="47"/>
      <c r="N41" s="47"/>
      <c r="O41" s="47"/>
      <c r="P41" s="47"/>
      <c r="Q41" s="47"/>
      <c r="R41" s="47"/>
      <c r="S41" s="47"/>
      <c r="T41" s="47"/>
      <c r="U41" s="47"/>
    </row>
    <row r="42" spans="1:21" ht="21.75" customHeight="1">
      <c r="A42" s="42" t="s">
        <v>5</v>
      </c>
      <c r="B42" s="43"/>
      <c r="C42" s="43"/>
      <c r="D42" s="43"/>
      <c r="E42" s="44"/>
      <c r="F42" s="44"/>
      <c r="G42" s="45" t="s">
        <v>46</v>
      </c>
      <c r="H42" s="46"/>
      <c r="M42" s="47"/>
      <c r="N42" s="47"/>
      <c r="O42" s="47"/>
      <c r="P42" s="47"/>
      <c r="Q42" s="47"/>
      <c r="R42" s="47"/>
      <c r="S42" s="47"/>
      <c r="T42" s="47"/>
      <c r="U42" s="47"/>
    </row>
    <row r="43" spans="1:21" ht="21.75" customHeight="1">
      <c r="A43" s="48"/>
      <c r="B43" s="43"/>
      <c r="C43" s="43"/>
      <c r="D43" s="43"/>
      <c r="E43" s="44"/>
      <c r="F43" s="44"/>
      <c r="G43" s="49"/>
      <c r="H43" s="46"/>
      <c r="M43" s="47"/>
      <c r="N43" s="47"/>
      <c r="O43" s="47"/>
      <c r="P43" s="47"/>
      <c r="Q43" s="47"/>
      <c r="R43" s="47"/>
      <c r="S43" s="47"/>
      <c r="T43" s="47"/>
      <c r="U43" s="47"/>
    </row>
    <row r="44" spans="1:21" ht="21.75" customHeight="1">
      <c r="A44" s="48"/>
      <c r="B44" s="43"/>
      <c r="C44" s="43"/>
      <c r="D44" s="43"/>
      <c r="E44" s="44"/>
      <c r="F44" s="44"/>
      <c r="G44" s="49"/>
      <c r="H44" s="46"/>
      <c r="M44" s="47"/>
      <c r="N44" s="47"/>
      <c r="O44" s="47"/>
      <c r="P44" s="47"/>
      <c r="Q44" s="47"/>
      <c r="R44" s="47"/>
      <c r="S44" s="47"/>
      <c r="T44" s="47"/>
      <c r="U44" s="47"/>
    </row>
    <row r="45" spans="1:21" ht="21.75" customHeight="1">
      <c r="A45" s="48"/>
      <c r="B45" s="43"/>
      <c r="C45" s="43"/>
      <c r="D45" s="43"/>
      <c r="E45" s="44"/>
      <c r="F45" s="44"/>
      <c r="G45" s="49"/>
      <c r="H45" s="46"/>
      <c r="M45" s="47"/>
      <c r="N45" s="47"/>
      <c r="O45" s="47"/>
      <c r="P45" s="47"/>
      <c r="Q45" s="47"/>
      <c r="R45" s="47"/>
      <c r="S45" s="47"/>
      <c r="T45" s="47"/>
      <c r="U45" s="47"/>
    </row>
    <row r="46" spans="1:21" ht="21.75" customHeight="1">
      <c r="A46" s="48"/>
      <c r="B46" s="43"/>
      <c r="C46" s="43"/>
      <c r="D46" s="43"/>
      <c r="E46" s="44"/>
      <c r="F46" s="44"/>
      <c r="G46" s="49"/>
      <c r="H46" s="46"/>
      <c r="M46" s="47"/>
      <c r="N46" s="47"/>
      <c r="O46" s="47"/>
      <c r="P46" s="47"/>
      <c r="Q46" s="47"/>
      <c r="R46" s="47"/>
      <c r="S46" s="47"/>
      <c r="T46" s="47"/>
      <c r="U46" s="47"/>
    </row>
    <row r="47" spans="1:21" ht="21.75" customHeight="1">
      <c r="A47" s="48"/>
      <c r="B47" s="43"/>
      <c r="C47" s="43"/>
      <c r="D47" s="43"/>
      <c r="E47" s="44"/>
      <c r="F47" s="44"/>
      <c r="G47" s="49"/>
      <c r="H47" s="46"/>
      <c r="M47" s="47"/>
      <c r="N47" s="47"/>
      <c r="O47" s="47"/>
      <c r="P47" s="47"/>
      <c r="Q47" s="47"/>
      <c r="R47" s="47"/>
      <c r="S47" s="47"/>
      <c r="T47" s="47"/>
      <c r="U47" s="47"/>
    </row>
    <row r="48" spans="1:21" ht="21.75" customHeight="1">
      <c r="A48" s="48"/>
      <c r="B48" s="43"/>
      <c r="C48" s="43"/>
      <c r="D48" s="43"/>
      <c r="E48" s="44"/>
      <c r="F48" s="44"/>
      <c r="G48" s="49"/>
      <c r="H48" s="46"/>
      <c r="M48" s="47"/>
      <c r="N48" s="47"/>
      <c r="O48" s="47"/>
      <c r="P48" s="47"/>
      <c r="Q48" s="47"/>
      <c r="R48" s="47"/>
      <c r="S48" s="47"/>
      <c r="T48" s="47"/>
      <c r="U48" s="47"/>
    </row>
    <row r="49" spans="1:21" ht="21.75" customHeight="1">
      <c r="A49" s="48"/>
      <c r="B49" s="43"/>
      <c r="C49" s="43"/>
      <c r="D49" s="43"/>
      <c r="E49" s="44"/>
      <c r="F49" s="44"/>
      <c r="G49" s="49"/>
      <c r="H49" s="46"/>
      <c r="M49" s="47"/>
      <c r="N49" s="47"/>
      <c r="O49" s="47"/>
      <c r="P49" s="47"/>
      <c r="Q49" s="47"/>
      <c r="R49" s="47"/>
      <c r="S49" s="47"/>
      <c r="T49" s="47"/>
      <c r="U49" s="47"/>
    </row>
    <row r="50" spans="1:21" ht="21.75" customHeight="1">
      <c r="A50" s="48"/>
      <c r="B50" s="43"/>
      <c r="C50" s="43"/>
      <c r="D50" s="43"/>
      <c r="E50" s="44"/>
      <c r="F50" s="44"/>
      <c r="G50" s="49"/>
      <c r="H50" s="46"/>
      <c r="M50" s="47"/>
      <c r="N50" s="47"/>
      <c r="O50" s="47"/>
      <c r="P50" s="47"/>
      <c r="Q50" s="47"/>
      <c r="R50" s="47"/>
      <c r="S50" s="47"/>
      <c r="T50" s="47"/>
      <c r="U50" s="47"/>
    </row>
    <row r="51" spans="1:21" ht="21.75" customHeight="1">
      <c r="A51" s="48"/>
      <c r="B51" s="43"/>
      <c r="C51" s="43"/>
      <c r="D51" s="43"/>
      <c r="E51" s="44"/>
      <c r="F51" s="44"/>
      <c r="G51" s="49"/>
      <c r="H51" s="46"/>
      <c r="M51" s="47"/>
      <c r="N51" s="47"/>
      <c r="O51" s="47"/>
      <c r="P51" s="47"/>
      <c r="Q51" s="47"/>
      <c r="R51" s="47"/>
      <c r="S51" s="47"/>
      <c r="T51" s="47"/>
      <c r="U51" s="47"/>
    </row>
    <row r="52" spans="1:21" ht="21.75" customHeight="1">
      <c r="A52" s="48"/>
      <c r="B52" s="43"/>
      <c r="C52" s="43"/>
      <c r="D52" s="43"/>
      <c r="E52" s="44"/>
      <c r="F52" s="44"/>
      <c r="G52" s="49"/>
      <c r="H52" s="46"/>
      <c r="M52" s="47"/>
      <c r="N52" s="47"/>
      <c r="O52" s="47"/>
      <c r="P52" s="47"/>
      <c r="Q52" s="47"/>
      <c r="R52" s="47"/>
      <c r="S52" s="47"/>
      <c r="T52" s="47"/>
      <c r="U52" s="47"/>
    </row>
    <row r="53" spans="1:21" ht="21.75" customHeight="1">
      <c r="A53" s="48"/>
      <c r="B53" s="43"/>
      <c r="C53" s="43"/>
      <c r="D53" s="43"/>
      <c r="E53" s="44"/>
      <c r="F53" s="44"/>
      <c r="G53" s="49"/>
      <c r="H53" s="46"/>
      <c r="M53" s="47"/>
      <c r="N53" s="47"/>
      <c r="O53" s="47"/>
      <c r="P53" s="47"/>
      <c r="Q53" s="47"/>
      <c r="R53" s="47"/>
      <c r="S53" s="47"/>
      <c r="T53" s="47"/>
      <c r="U53" s="47"/>
    </row>
    <row r="54" spans="1:21" ht="21.75" customHeight="1">
      <c r="A54" s="48"/>
      <c r="B54" s="43"/>
      <c r="C54" s="43"/>
      <c r="D54" s="43"/>
      <c r="E54" s="44"/>
      <c r="F54" s="44"/>
      <c r="G54" s="49"/>
      <c r="H54" s="46"/>
      <c r="M54" s="47"/>
      <c r="N54" s="47"/>
      <c r="O54" s="47"/>
      <c r="P54" s="47"/>
      <c r="Q54" s="47"/>
      <c r="R54" s="47"/>
      <c r="S54" s="47"/>
      <c r="T54" s="47"/>
      <c r="U54" s="47"/>
    </row>
    <row r="55" spans="1:21" ht="21.75" customHeight="1">
      <c r="A55" s="48"/>
      <c r="B55" s="43"/>
      <c r="C55" s="43"/>
      <c r="D55" s="43"/>
      <c r="E55" s="44"/>
      <c r="F55" s="44"/>
      <c r="G55" s="49"/>
      <c r="H55" s="46"/>
      <c r="M55" s="47"/>
      <c r="N55" s="47"/>
      <c r="O55" s="47"/>
      <c r="P55" s="47"/>
      <c r="Q55" s="47"/>
      <c r="R55" s="47"/>
      <c r="S55" s="47"/>
      <c r="T55" s="47"/>
      <c r="U55" s="47"/>
    </row>
    <row r="56" spans="1:21" ht="21.75" customHeight="1">
      <c r="A56" s="48"/>
      <c r="B56" s="43"/>
      <c r="C56" s="43"/>
      <c r="D56" s="43"/>
      <c r="E56" s="44"/>
      <c r="F56" s="44"/>
      <c r="G56" s="49"/>
      <c r="H56" s="46"/>
      <c r="M56" s="47"/>
      <c r="N56" s="47"/>
      <c r="O56" s="47"/>
      <c r="P56" s="47"/>
      <c r="Q56" s="47"/>
      <c r="R56" s="47"/>
      <c r="S56" s="47"/>
      <c r="T56" s="47"/>
      <c r="U56" s="47"/>
    </row>
    <row r="57" spans="1:21" ht="21.75" customHeight="1">
      <c r="A57" s="48"/>
      <c r="B57" s="43"/>
      <c r="C57" s="43"/>
      <c r="D57" s="43"/>
      <c r="E57" s="44"/>
      <c r="F57" s="44"/>
      <c r="G57" s="49"/>
      <c r="H57" s="46"/>
      <c r="M57" s="47"/>
      <c r="N57" s="47"/>
      <c r="O57" s="47"/>
      <c r="P57" s="47"/>
      <c r="Q57" s="47"/>
      <c r="R57" s="47"/>
      <c r="S57" s="47"/>
      <c r="T57" s="47"/>
      <c r="U57" s="47"/>
    </row>
    <row r="58" spans="1:21" ht="21.75" customHeight="1">
      <c r="A58" s="48"/>
      <c r="B58" s="43"/>
      <c r="C58" s="43"/>
      <c r="D58" s="43"/>
      <c r="E58" s="44"/>
      <c r="F58" s="44"/>
      <c r="G58" s="49"/>
      <c r="H58" s="46"/>
      <c r="M58" s="47"/>
      <c r="N58" s="47"/>
      <c r="O58" s="47"/>
      <c r="P58" s="47"/>
      <c r="Q58" s="47"/>
      <c r="R58" s="47"/>
      <c r="S58" s="47"/>
      <c r="T58" s="47"/>
      <c r="U58" s="47"/>
    </row>
    <row r="59" spans="1:21" ht="21.75" customHeight="1">
      <c r="A59" s="48"/>
      <c r="B59" s="43"/>
      <c r="C59" s="43"/>
      <c r="D59" s="43"/>
      <c r="E59" s="44"/>
      <c r="F59" s="44"/>
      <c r="G59" s="49"/>
      <c r="H59" s="46"/>
      <c r="M59" s="47"/>
      <c r="N59" s="47"/>
      <c r="O59" s="47"/>
      <c r="P59" s="47"/>
      <c r="Q59" s="47"/>
      <c r="R59" s="47"/>
      <c r="S59" s="47"/>
      <c r="T59" s="47"/>
      <c r="U59" s="47"/>
    </row>
    <row r="60" spans="1:21" ht="21.75" customHeight="1">
      <c r="A60" s="48"/>
      <c r="B60" s="43"/>
      <c r="C60" s="43"/>
      <c r="D60" s="43"/>
      <c r="E60" s="44"/>
      <c r="F60" s="44"/>
      <c r="G60" s="49"/>
      <c r="H60" s="46"/>
      <c r="M60" s="47"/>
      <c r="N60" s="47"/>
      <c r="O60" s="47"/>
      <c r="P60" s="47"/>
      <c r="Q60" s="47"/>
      <c r="R60" s="47"/>
      <c r="S60" s="47"/>
      <c r="T60" s="47"/>
      <c r="U60" s="47"/>
    </row>
    <row r="61" spans="1:21" ht="21.75" customHeight="1">
      <c r="A61" s="48"/>
      <c r="B61" s="43"/>
      <c r="C61" s="43"/>
      <c r="D61" s="43"/>
      <c r="E61" s="44"/>
      <c r="F61" s="44"/>
      <c r="G61" s="49"/>
      <c r="H61" s="46"/>
      <c r="M61" s="47"/>
      <c r="N61" s="47"/>
      <c r="O61" s="47"/>
      <c r="P61" s="47"/>
      <c r="Q61" s="47"/>
      <c r="R61" s="47"/>
      <c r="S61" s="47"/>
      <c r="T61" s="47"/>
      <c r="U61" s="47"/>
    </row>
    <row r="62" spans="1:21" ht="21.75" customHeight="1">
      <c r="A62" s="48"/>
      <c r="B62" s="43"/>
      <c r="C62" s="43"/>
      <c r="D62" s="43"/>
      <c r="E62" s="44"/>
      <c r="F62" s="44"/>
      <c r="G62" s="49"/>
      <c r="H62" s="46"/>
      <c r="M62" s="47"/>
      <c r="N62" s="47"/>
      <c r="O62" s="47"/>
      <c r="P62" s="47"/>
      <c r="Q62" s="47"/>
      <c r="R62" s="47"/>
      <c r="S62" s="47"/>
      <c r="T62" s="47"/>
      <c r="U62" s="47"/>
    </row>
    <row r="63" spans="1:21" ht="21.75" customHeight="1">
      <c r="A63" s="48"/>
      <c r="B63" s="43"/>
      <c r="C63" s="43"/>
      <c r="D63" s="43"/>
      <c r="E63" s="44"/>
      <c r="F63" s="44"/>
      <c r="G63" s="49"/>
      <c r="H63" s="46"/>
      <c r="M63" s="47"/>
      <c r="N63" s="47"/>
      <c r="O63" s="47"/>
      <c r="P63" s="47"/>
      <c r="Q63" s="47"/>
      <c r="R63" s="47"/>
      <c r="S63" s="47"/>
      <c r="T63" s="47"/>
      <c r="U63" s="47"/>
    </row>
    <row r="64" spans="1:21" ht="21.75" customHeight="1">
      <c r="A64" s="48"/>
      <c r="B64" s="43"/>
      <c r="C64" s="43"/>
      <c r="D64" s="43"/>
      <c r="E64" s="44"/>
      <c r="F64" s="44"/>
      <c r="G64" s="49"/>
      <c r="H64" s="46"/>
      <c r="M64" s="47"/>
      <c r="N64" s="47"/>
      <c r="O64" s="47"/>
      <c r="P64" s="47"/>
      <c r="Q64" s="47"/>
      <c r="R64" s="47"/>
      <c r="S64" s="47"/>
      <c r="T64" s="47"/>
      <c r="U64" s="47"/>
    </row>
    <row r="65" spans="1:21" ht="21.75" customHeight="1">
      <c r="A65" s="48"/>
      <c r="B65" s="43"/>
      <c r="C65" s="43"/>
      <c r="D65" s="43"/>
      <c r="E65" s="44"/>
      <c r="F65" s="44"/>
      <c r="G65" s="49"/>
      <c r="H65" s="46"/>
      <c r="M65" s="47"/>
      <c r="N65" s="47"/>
      <c r="O65" s="47"/>
      <c r="P65" s="47"/>
      <c r="Q65" s="47"/>
      <c r="R65" s="47"/>
      <c r="S65" s="47"/>
      <c r="T65" s="47"/>
      <c r="U65" s="47"/>
    </row>
    <row r="66" spans="1:21" ht="21.75" customHeight="1">
      <c r="A66" s="48"/>
      <c r="B66" s="43"/>
      <c r="C66" s="43"/>
      <c r="D66" s="43"/>
      <c r="E66" s="44"/>
      <c r="F66" s="44"/>
      <c r="G66" s="49"/>
      <c r="H66" s="46"/>
      <c r="M66" s="47"/>
      <c r="N66" s="47"/>
      <c r="O66" s="47"/>
      <c r="P66" s="47"/>
      <c r="Q66" s="47"/>
      <c r="R66" s="47"/>
      <c r="S66" s="47"/>
      <c r="T66" s="47"/>
      <c r="U66" s="47"/>
    </row>
    <row r="67" spans="1:21" ht="21.75" customHeight="1">
      <c r="A67" s="48"/>
      <c r="B67" s="43"/>
      <c r="C67" s="43"/>
      <c r="D67" s="43"/>
      <c r="E67" s="44"/>
      <c r="F67" s="44"/>
      <c r="G67" s="49"/>
      <c r="H67" s="46"/>
      <c r="M67" s="47"/>
      <c r="N67" s="47"/>
      <c r="O67" s="47"/>
      <c r="P67" s="47"/>
      <c r="Q67" s="47"/>
      <c r="R67" s="47"/>
      <c r="S67" s="47"/>
      <c r="T67" s="47"/>
      <c r="U67" s="47"/>
    </row>
    <row r="68" spans="1:21" ht="21.75" customHeight="1">
      <c r="A68" s="48"/>
      <c r="B68" s="43"/>
      <c r="C68" s="43"/>
      <c r="D68" s="43"/>
      <c r="E68" s="44"/>
      <c r="F68" s="44"/>
      <c r="G68" s="49"/>
      <c r="H68" s="46"/>
      <c r="M68" s="47"/>
      <c r="N68" s="47"/>
      <c r="O68" s="47"/>
      <c r="P68" s="47"/>
      <c r="Q68" s="47"/>
      <c r="R68" s="47"/>
      <c r="S68" s="47"/>
      <c r="T68" s="47"/>
      <c r="U68" s="47"/>
    </row>
    <row r="69" spans="1:21" ht="21.75" customHeight="1">
      <c r="A69" s="48"/>
      <c r="B69" s="43"/>
      <c r="C69" s="43"/>
      <c r="D69" s="43"/>
      <c r="E69" s="44"/>
      <c r="F69" s="44"/>
      <c r="G69" s="49"/>
      <c r="H69" s="46"/>
      <c r="M69" s="47"/>
      <c r="N69" s="47"/>
      <c r="O69" s="47"/>
      <c r="P69" s="47"/>
      <c r="Q69" s="47"/>
      <c r="R69" s="47"/>
      <c r="S69" s="47"/>
      <c r="T69" s="47"/>
      <c r="U69" s="47"/>
    </row>
    <row r="85" s="58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  <row r="107" s="59" customFormat="1"/>
    <row r="108" s="59" customFormat="1"/>
    <row r="109" s="59" customFormat="1"/>
    <row r="110" s="59" customFormat="1"/>
    <row r="111" s="59" customFormat="1"/>
    <row r="112" s="59" customFormat="1"/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</sheetData>
  <mergeCells count="4">
    <mergeCell ref="A1:G1"/>
    <mergeCell ref="A2:G2"/>
    <mergeCell ref="A3:A4"/>
    <mergeCell ref="G3:G4"/>
  </mergeCells>
  <pageMargins left="0.7" right="0.7" top="0.75" bottom="0.75" header="0.3" footer="0.3"/>
  <pageSetup scale="59" orientation="portrait" r:id="rId1"/>
  <rowBreaks count="1" manualBreakCount="1">
    <brk id="4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2026-06-11T11:31:55Z</cp:lastPrinted>
  <dcterms:created xsi:type="dcterms:W3CDTF">2019-05-21T05:57:00Z</dcterms:created>
  <dcterms:modified xsi:type="dcterms:W3CDTF">2026-06-11T11:32:03Z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