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3C2BC697-7B56-4A92-8A71-B38303094137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10" sheetId="10" r:id="rId1"/>
  </sheets>
  <definedNames>
    <definedName name="Male">#REF!</definedName>
    <definedName name="_xlnm.Print_Area" localSheetId="0">'12.10'!$A$1:$S$22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0" l="1"/>
  <c r="P6" i="10"/>
  <c r="B18" i="10" l="1"/>
  <c r="B17" i="10"/>
  <c r="B16" i="10"/>
  <c r="B15" i="10"/>
  <c r="B14" i="10"/>
  <c r="B13" i="10"/>
  <c r="B12" i="10"/>
  <c r="B11" i="10"/>
  <c r="B10" i="10"/>
  <c r="B9" i="10"/>
  <c r="B8" i="10"/>
  <c r="B7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 l="1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<sst xmlns="http://schemas.openxmlformats.org/spreadsheetml/2006/main" count="33" uniqueCount="33">
  <si>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</si>
  <si>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</si>
  <si>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</si>
  <si>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</si>
  <si>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</si>
  <si>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</si>
  <si>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</si>
  <si>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</si>
  <si>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</si>
  <si>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</si>
  <si>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</si>
  <si>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</si>
  <si>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</si>
  <si>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</si>
  <si>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</si>
  <si>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</si>
  <si>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</si>
  <si>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</si>
  <si>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</si>
  <si>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</si>
  <si>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</si>
  <si>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</si>
  <si>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</si>
  <si>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</si>
  <si>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</si>
  <si>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</si>
  <si>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</si>
  <si>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</si>
  <si>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</si>
  <si>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</si>
  <si>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</si>
  <si>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12.10 : WATER DISTRIBUTION  IN VILIMALE' BY MONTH,  2010 -  2025</t>
  </si>
  <si>
    <t>2025- 2010 ,urwvcnimunuverukcnunEb cnef iawgIligniliv cnutog eguhwmcswm  : 12.10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</si>
</sst>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Randhoo"/>
    </font>
    <font>
      <sz val="10"/>
      <name val="Garamond"/>
      <family val="1"/>
    </font>
    <font>
      <sz val="14"/>
      <name val="A_Utheem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 A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5" fillId="2" borderId="0" xfId="4" applyFont="1" applyFill="1"/>
    <xf numFmtId="0" fontId="3" fillId="2" borderId="0" xfId="8" applyFont="1" applyFill="1"/>
    <xf numFmtId="0" fontId="6" fillId="2" borderId="0" xfId="8" applyFont="1" applyFill="1" applyAlignment="1">
      <alignment horizontal="left" vertical="center" indent="1"/>
    </xf>
    <xf numFmtId="0" fontId="6" fillId="2" borderId="2" xfId="8" applyFont="1" applyFill="1" applyBorder="1" applyAlignment="1">
      <alignment horizontal="left" vertical="center" indent="1"/>
    </xf>
    <xf numFmtId="0" fontId="12" fillId="2" borderId="0" xfId="4" applyFont="1" applyFill="1" applyAlignment="1">
      <alignment vertical="center"/>
    </xf>
    <xf numFmtId="0" fontId="9" fillId="2" borderId="1" xfId="8" applyFont="1" applyFill="1" applyBorder="1" applyAlignment="1">
      <alignment horizontal="right"/>
    </xf>
    <xf numFmtId="0" fontId="9" fillId="2" borderId="0" xfId="8" applyFont="1" applyFill="1" applyAlignment="1">
      <alignment horizontal="right"/>
    </xf>
    <xf numFmtId="0" fontId="7" fillId="2" borderId="0" xfId="8" applyFont="1" applyFill="1" applyAlignment="1">
      <alignment horizontal="right"/>
    </xf>
    <xf numFmtId="0" fontId="13" fillId="2" borderId="0" xfId="8" applyFill="1"/>
    <xf numFmtId="0" fontId="11" fillId="2" borderId="2" xfId="4" applyFont="1" applyFill="1" applyBorder="1" applyAlignment="1">
      <alignment horizontal="center" vertical="center"/>
    </xf>
    <xf numFmtId="0" fontId="8" fillId="2" borderId="1" xfId="8" applyFont="1" applyFill="1" applyBorder="1"/>
    <xf numFmtId="0" fontId="8" fillId="2" borderId="1" xfId="8" applyFont="1" applyFill="1" applyBorder="1" applyAlignment="1">
      <alignment horizontal="center" vertical="center"/>
    </xf>
    <xf numFmtId="0" fontId="8" fillId="2" borderId="0" xfId="8" applyFont="1" applyFill="1"/>
    <xf numFmtId="165" fontId="8" fillId="2" borderId="0" xfId="8" applyNumberFormat="1" applyFont="1" applyFill="1" applyAlignment="1">
      <alignment horizontal="center"/>
    </xf>
    <xf numFmtId="165" fontId="6" fillId="2" borderId="0" xfId="4" applyNumberFormat="1" applyFont="1" applyFill="1" applyAlignment="1">
      <alignment horizontal="center" vertical="center"/>
    </xf>
    <xf numFmtId="165" fontId="6" fillId="2" borderId="0" xfId="3" applyNumberFormat="1" applyFont="1" applyFill="1" applyAlignment="1">
      <alignment horizontal="center" vertical="center"/>
    </xf>
    <xf numFmtId="165" fontId="6" fillId="2" borderId="2" xfId="4" applyNumberFormat="1" applyFont="1" applyFill="1" applyBorder="1" applyAlignment="1">
      <alignment horizontal="center" vertical="center"/>
    </xf>
    <xf numFmtId="165" fontId="6" fillId="2" borderId="2" xfId="3" applyNumberFormat="1" applyFont="1" applyFill="1" applyBorder="1" applyAlignment="1">
      <alignment horizontal="center" vertical="center"/>
    </xf>
    <xf numFmtId="165" fontId="5" fillId="2" borderId="0" xfId="8" applyNumberFormat="1" applyFont="1" applyFill="1" applyAlignment="1">
      <alignment horizontal="center"/>
    </xf>
    <xf numFmtId="165" fontId="5" fillId="2" borderId="2" xfId="8" applyNumberFormat="1" applyFont="1" applyFill="1" applyBorder="1" applyAlignment="1">
      <alignment horizontal="center"/>
    </xf>
    <xf numFmtId="0" fontId="14" fillId="2" borderId="0" xfId="4" applyFont="1" applyFill="1" applyAlignment="1">
      <alignment horizontal="center" vertical="center"/>
    </xf>
    <xf numFmtId="0" fontId="10" fillId="2" borderId="0" xfId="8" applyFont="1" applyFill="1" applyAlignment="1">
      <alignment horizontal="right" indent="1"/>
    </xf>
    <xf numFmtId="0" fontId="10" fillId="2" borderId="2" xfId="8" applyFont="1" applyFill="1" applyBorder="1" applyAlignment="1">
      <alignment horizontal="right" indent="1"/>
    </xf>
    <xf numFmtId="0" fontId="11" fillId="2" borderId="3" xfId="4" applyFont="1" applyFill="1" applyBorder="1" applyAlignment="1">
      <alignment horizontal="center" vertical="center"/>
    </xf>
    <xf numFmtId="165" fontId="5" fillId="2" borderId="3" xfId="8" applyNumberFormat="1" applyFont="1" applyFill="1" applyBorder="1" applyAlignment="1">
      <alignment horizontal="center"/>
    </xf>
    <xf numFmtId="0" fontId="9" fillId="2" borderId="0" xfId="4" applyFont="1" applyFill="1" applyAlignment="1">
      <alignment horizontal="center" vertical="center"/>
    </xf>
    <xf numFmtId="0" fontId="11" fillId="2" borderId="0" xfId="4" applyFont="1" applyFill="1" applyAlignment="1">
      <alignment horizontal="center" vertical="center"/>
    </xf>
    <xf numFmtId="0" fontId="8" fillId="2" borderId="0" xfId="8" applyFont="1" applyFill="1" applyAlignment="1">
      <alignment horizontal="center"/>
    </xf>
  </cellXfs>
  <cellStyles count="16">
    <cellStyle name="Comma 2" xfId="1" xr:uid="{00000000-0005-0000-0000-000001000000}"/>
    <cellStyle name="Comma 2 2" xfId="2" xr:uid="{00000000-0005-0000-0000-000002000000}"/>
    <cellStyle name="Comma 3" xfId="10" xr:uid="{F5B4A224-1F62-4D26-BEF8-EC4E8130DEEE}"/>
    <cellStyle name="Comma 3 2" xfId="15" xr:uid="{846C9DD0-F9CD-4384-998C-A69E0D903163}"/>
    <cellStyle name="Comma 4" xfId="3" xr:uid="{00000000-0005-0000-0000-000003000000}"/>
    <cellStyle name="Comma 5" xfId="12" xr:uid="{ED1E87DD-C78B-473B-A4CE-AFDAE7CF7656}"/>
    <cellStyle name="Normal" xfId="0" builtinId="0"/>
    <cellStyle name="Normal 2" xfId="4" xr:uid="{00000000-0005-0000-0000-000005000000}"/>
    <cellStyle name="Normal 2 2" xfId="5" xr:uid="{00000000-0005-0000-0000-000006000000}"/>
    <cellStyle name="Normal 3" xfId="9" xr:uid="{F405DDE0-D1F1-478E-9D0E-047C915BEE51}"/>
    <cellStyle name="Normal 3 2" xfId="14" xr:uid="{7D38DCE9-A7EF-4CBF-AA34-CF9D3CA007AF}"/>
    <cellStyle name="Normal 4" xfId="6" xr:uid="{00000000-0005-0000-0000-000007000000}"/>
    <cellStyle name="Normal 4 2" xfId="11" xr:uid="{C0BBE1BE-4BC0-4737-BFDA-D8EF6C73CAA2}"/>
    <cellStyle name="Normal 4 3" xfId="13" xr:uid="{1AE76306-B639-4ACE-AAE8-8A0645E12B1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T22"/>
  <sheetViews>
    <sheetView tabSelected="1" zoomScale="95" zoomScaleNormal="95" workbookViewId="0">
      <selection activeCell="G21" sqref="G21"/>
    </sheetView>
  </sheetViews>
  <sheetFormatPr defaultColWidth="11.28515625" defaultRowHeight="12.75"/>
  <cols>
    <col min="1" max="17" width="11.28515625" style="1"/>
    <col min="18" max="18" width="13.42578125" style="1" customWidth="1"/>
    <col min="19" max="19" width="4.85546875" style="1" customWidth="1"/>
    <col min="20" max="20" width="24.5703125" style="1" customWidth="1"/>
    <col min="21" max="16384" width="11.28515625" style="1"/>
  </cols>
  <sheetData>
    <row r="1" spans="1:18" ht="15.75">
      <c r="A1" s="26" t="s">
        <v>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>
      <c r="A2" s="28" t="s">
        <v>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1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4"/>
      <c r="R4" s="10"/>
    </row>
    <row r="5" spans="1:18" ht="15.75">
      <c r="A5" s="11" t="s">
        <v>3</v>
      </c>
      <c r="B5" s="12">
        <v>2010</v>
      </c>
      <c r="C5" s="12">
        <v>2011</v>
      </c>
      <c r="D5" s="12">
        <v>2012</v>
      </c>
      <c r="E5" s="12">
        <v>2013</v>
      </c>
      <c r="F5" s="12">
        <v>2014</v>
      </c>
      <c r="G5" s="12">
        <v>2015</v>
      </c>
      <c r="H5" s="12">
        <v>2016</v>
      </c>
      <c r="I5" s="12">
        <v>2017</v>
      </c>
      <c r="J5" s="12">
        <v>2018</v>
      </c>
      <c r="K5" s="12">
        <v>2019</v>
      </c>
      <c r="L5" s="12">
        <v>2020</v>
      </c>
      <c r="M5" s="12">
        <v>2021</v>
      </c>
      <c r="N5" s="12">
        <v>2022</v>
      </c>
      <c r="O5" s="12">
        <v>2023</v>
      </c>
      <c r="P5" s="12">
        <v>2024</v>
      </c>
      <c r="Q5" s="12">
        <v>2025</v>
      </c>
      <c r="R5" s="6" t="s">
        <v>4</v>
      </c>
    </row>
    <row r="6" spans="1:18" ht="15.75">
      <c r="A6" s="13" t="s">
        <v>5</v>
      </c>
      <c r="B6" s="14">
        <f t="shared" ref="B6:O6" si="0">SUM(B7:B18)</f>
        <v>149.21519999999998</v>
      </c>
      <c r="C6" s="14">
        <f t="shared" si="0"/>
        <v>162.01300000000001</v>
      </c>
      <c r="D6" s="14">
        <f t="shared" si="0"/>
        <v>200.73650000000004</v>
      </c>
      <c r="E6" s="14">
        <f t="shared" si="0"/>
        <v>199.63330000000002</v>
      </c>
      <c r="F6" s="14">
        <f t="shared" si="0"/>
        <v>200.12200000000001</v>
      </c>
      <c r="G6" s="14">
        <f t="shared" si="0"/>
        <v>220.3561</v>
      </c>
      <c r="H6" s="14">
        <f t="shared" si="0"/>
        <v>265.65300000000002</v>
      </c>
      <c r="I6" s="14">
        <f t="shared" si="0"/>
        <v>278.57499999999999</v>
      </c>
      <c r="J6" s="14">
        <f t="shared" si="0"/>
        <v>274.12400000000002</v>
      </c>
      <c r="K6" s="14">
        <f t="shared" si="0"/>
        <v>284.36799999999999</v>
      </c>
      <c r="L6" s="14">
        <f t="shared" si="0"/>
        <v>287.35700000000003</v>
      </c>
      <c r="M6" s="14">
        <f t="shared" si="0"/>
        <v>280.11510000000004</v>
      </c>
      <c r="N6" s="14">
        <f t="shared" si="0"/>
        <v>265.63080000000002</v>
      </c>
      <c r="O6" s="14">
        <f t="shared" si="0"/>
        <v>302.56500000000005</v>
      </c>
      <c r="P6" s="14">
        <f t="shared" ref="P6:Q6" si="1">SUM(P7:P18)</f>
        <v>320.8</v>
      </c>
      <c r="Q6" s="14">
        <f t="shared" si="1"/>
        <v>336.29599999999994</v>
      </c>
      <c r="R6" s="7" t="s">
        <v>6</v>
      </c>
    </row>
    <row r="7" spans="1:18" ht="15.75">
      <c r="A7" s="3" t="s">
        <v>7</v>
      </c>
      <c r="B7" s="15">
        <f>12006/1000</f>
        <v>12.006</v>
      </c>
      <c r="C7" s="15">
        <v>12.16</v>
      </c>
      <c r="D7" s="16">
        <v>14.749700000000001</v>
      </c>
      <c r="E7" s="16">
        <v>17.2361</v>
      </c>
      <c r="F7" s="16">
        <v>15.821999999999999</v>
      </c>
      <c r="G7" s="16">
        <v>17.667999999999999</v>
      </c>
      <c r="H7" s="16">
        <v>20.492000000000001</v>
      </c>
      <c r="I7" s="16">
        <v>23.09</v>
      </c>
      <c r="J7" s="16">
        <v>23.341999999999999</v>
      </c>
      <c r="K7" s="16">
        <v>23.353000000000002</v>
      </c>
      <c r="L7" s="19">
        <v>24.768999999999998</v>
      </c>
      <c r="M7" s="19">
        <v>23.582899999999999</v>
      </c>
      <c r="N7" s="19">
        <v>22.273700000000002</v>
      </c>
      <c r="O7" s="19">
        <v>23.689</v>
      </c>
      <c r="P7" s="19">
        <v>26.2</v>
      </c>
      <c r="Q7" s="19">
        <v>26.303999999999998</v>
      </c>
      <c r="R7" s="22" t="s">
        <v>8</v>
      </c>
    </row>
    <row r="8" spans="1:18" ht="15.75">
      <c r="A8" s="3" t="s">
        <v>9</v>
      </c>
      <c r="B8" s="15">
        <f>11311.6/1000</f>
        <v>11.3116</v>
      </c>
      <c r="C8" s="15">
        <v>11.271000000000001</v>
      </c>
      <c r="D8" s="16">
        <v>14.404999999999999</v>
      </c>
      <c r="E8" s="16">
        <v>15.4262</v>
      </c>
      <c r="F8" s="16">
        <v>15.07</v>
      </c>
      <c r="G8" s="16">
        <v>16.524000000000001</v>
      </c>
      <c r="H8" s="16">
        <v>20.562000000000001</v>
      </c>
      <c r="I8" s="16">
        <v>21.858000000000001</v>
      </c>
      <c r="J8" s="16">
        <v>20.917999999999999</v>
      </c>
      <c r="K8" s="16">
        <v>21.32</v>
      </c>
      <c r="L8" s="19">
        <v>22.794</v>
      </c>
      <c r="M8" s="19">
        <v>21.942</v>
      </c>
      <c r="N8" s="19">
        <v>20.21</v>
      </c>
      <c r="O8" s="19">
        <v>22.206</v>
      </c>
      <c r="P8" s="19">
        <v>25.4</v>
      </c>
      <c r="Q8" s="19">
        <v>26.803999999999998</v>
      </c>
      <c r="R8" s="22" t="s">
        <v>10</v>
      </c>
    </row>
    <row r="9" spans="1:18" ht="15.75">
      <c r="A9" s="3" t="s">
        <v>11</v>
      </c>
      <c r="B9" s="15">
        <f>13626.5/1000</f>
        <v>13.6265</v>
      </c>
      <c r="C9" s="15">
        <v>13.747</v>
      </c>
      <c r="D9" s="16">
        <v>17.776900000000001</v>
      </c>
      <c r="E9" s="16">
        <v>18.164000000000001</v>
      </c>
      <c r="F9" s="16">
        <v>16.978999999999999</v>
      </c>
      <c r="G9" s="16">
        <v>18.923999999999999</v>
      </c>
      <c r="H9" s="16">
        <v>22.641999999999999</v>
      </c>
      <c r="I9" s="16">
        <v>25.994</v>
      </c>
      <c r="J9" s="16">
        <v>24.95</v>
      </c>
      <c r="K9" s="16">
        <v>24.286000000000001</v>
      </c>
      <c r="L9" s="19">
        <v>24.481000000000002</v>
      </c>
      <c r="M9" s="19">
        <v>23.861000000000001</v>
      </c>
      <c r="N9" s="19">
        <v>23.1281</v>
      </c>
      <c r="O9" s="19">
        <v>25.242000000000001</v>
      </c>
      <c r="P9" s="19">
        <v>28.5</v>
      </c>
      <c r="Q9" s="19">
        <v>28.306000000000001</v>
      </c>
      <c r="R9" s="22" t="s">
        <v>12</v>
      </c>
    </row>
    <row r="10" spans="1:18" ht="15.75">
      <c r="A10" s="3" t="s">
        <v>13</v>
      </c>
      <c r="B10" s="15">
        <f>13789.6/1000</f>
        <v>13.7896</v>
      </c>
      <c r="C10" s="15">
        <v>13.391</v>
      </c>
      <c r="D10" s="16">
        <v>17.472999999999999</v>
      </c>
      <c r="E10" s="16">
        <v>18.198</v>
      </c>
      <c r="F10" s="16">
        <v>17.344999999999999</v>
      </c>
      <c r="G10" s="16">
        <v>19.065999999999999</v>
      </c>
      <c r="H10" s="16">
        <v>25.564</v>
      </c>
      <c r="I10" s="16">
        <v>23.817</v>
      </c>
      <c r="J10" s="16">
        <v>24.603999999999999</v>
      </c>
      <c r="K10" s="16">
        <v>23.306000000000001</v>
      </c>
      <c r="L10" s="19">
        <v>23.547000000000001</v>
      </c>
      <c r="M10" s="19">
        <v>25.12</v>
      </c>
      <c r="N10" s="19">
        <v>23.1921</v>
      </c>
      <c r="O10" s="19">
        <v>24.861000000000001</v>
      </c>
      <c r="P10" s="19">
        <v>26.7</v>
      </c>
      <c r="Q10" s="19">
        <v>27.484999999999999</v>
      </c>
      <c r="R10" s="22" t="s">
        <v>14</v>
      </c>
    </row>
    <row r="11" spans="1:18" ht="15.75">
      <c r="A11" s="3" t="s">
        <v>15</v>
      </c>
      <c r="B11" s="15">
        <f>13121.2/1000</f>
        <v>13.1212</v>
      </c>
      <c r="C11" s="15">
        <v>13.359</v>
      </c>
      <c r="D11" s="16">
        <v>18.638200000000001</v>
      </c>
      <c r="E11" s="16">
        <v>17.337</v>
      </c>
      <c r="F11" s="16">
        <v>17.195</v>
      </c>
      <c r="G11" s="16">
        <v>19.175999999999998</v>
      </c>
      <c r="H11" s="16">
        <v>21.483000000000001</v>
      </c>
      <c r="I11" s="16">
        <v>22.988</v>
      </c>
      <c r="J11" s="16">
        <v>24.978999999999999</v>
      </c>
      <c r="K11" s="16">
        <v>24.55</v>
      </c>
      <c r="L11" s="19">
        <v>24.971</v>
      </c>
      <c r="M11" s="19">
        <v>24.2761</v>
      </c>
      <c r="N11" s="19">
        <v>22.256599999999999</v>
      </c>
      <c r="O11" s="19">
        <v>24.974</v>
      </c>
      <c r="P11" s="19">
        <v>29</v>
      </c>
      <c r="Q11" s="19">
        <v>28.404</v>
      </c>
      <c r="R11" s="22" t="s">
        <v>16</v>
      </c>
    </row>
    <row r="12" spans="1:18" ht="15.75">
      <c r="A12" s="3" t="s">
        <v>17</v>
      </c>
      <c r="B12" s="15">
        <f>13092.5/1000</f>
        <v>13.092499999999999</v>
      </c>
      <c r="C12" s="15">
        <v>14.221</v>
      </c>
      <c r="D12" s="16">
        <v>18.327999999999999</v>
      </c>
      <c r="E12" s="16">
        <v>16.536999999999999</v>
      </c>
      <c r="F12" s="16">
        <v>17.471</v>
      </c>
      <c r="G12" s="16">
        <v>19.530999999999999</v>
      </c>
      <c r="H12" s="16">
        <v>23.012</v>
      </c>
      <c r="I12" s="16">
        <v>23.068999999999999</v>
      </c>
      <c r="J12" s="16">
        <v>23.183</v>
      </c>
      <c r="K12" s="16">
        <v>23.292999999999999</v>
      </c>
      <c r="L12" s="19">
        <v>23.472000000000001</v>
      </c>
      <c r="M12" s="19">
        <v>22.518999999999998</v>
      </c>
      <c r="N12" s="19">
        <v>21.321999999999999</v>
      </c>
      <c r="O12" s="19">
        <v>24.087</v>
      </c>
      <c r="P12" s="19">
        <v>26.2</v>
      </c>
      <c r="Q12" s="19">
        <v>27.687999999999999</v>
      </c>
      <c r="R12" s="22" t="s">
        <v>18</v>
      </c>
    </row>
    <row r="13" spans="1:18" ht="15.75">
      <c r="A13" s="3" t="s">
        <v>19</v>
      </c>
      <c r="B13" s="15">
        <f>12070.9/1000</f>
        <v>12.0709</v>
      </c>
      <c r="C13" s="15">
        <v>14.153</v>
      </c>
      <c r="D13" s="16">
        <v>19.847000000000001</v>
      </c>
      <c r="E13" s="16">
        <v>18.916</v>
      </c>
      <c r="F13" s="16">
        <v>17.753</v>
      </c>
      <c r="G13" s="16">
        <v>19.111999999999998</v>
      </c>
      <c r="H13" s="16">
        <v>21.681000000000001</v>
      </c>
      <c r="I13" s="16">
        <v>24.292000000000002</v>
      </c>
      <c r="J13" s="16">
        <v>23.437000000000001</v>
      </c>
      <c r="K13" s="16">
        <v>24.111999999999998</v>
      </c>
      <c r="L13" s="19">
        <v>25.038</v>
      </c>
      <c r="M13" s="19">
        <v>22.538900000000002</v>
      </c>
      <c r="N13" s="19">
        <v>20.2622</v>
      </c>
      <c r="O13" s="19">
        <v>25.303000000000001</v>
      </c>
      <c r="P13" s="19">
        <v>26.6</v>
      </c>
      <c r="Q13" s="19">
        <v>28.600999999999999</v>
      </c>
      <c r="R13" s="22" t="s">
        <v>20</v>
      </c>
    </row>
    <row r="14" spans="1:18" ht="15.75">
      <c r="A14" s="3" t="s">
        <v>21</v>
      </c>
      <c r="B14" s="15">
        <f>13026/1000</f>
        <v>13.026</v>
      </c>
      <c r="C14" s="15">
        <v>14.708</v>
      </c>
      <c r="D14" s="16">
        <v>17.097999999999999</v>
      </c>
      <c r="E14" s="16">
        <v>16.727</v>
      </c>
      <c r="F14" s="16">
        <v>16.989999999999998</v>
      </c>
      <c r="G14" s="16">
        <v>19.004000000000001</v>
      </c>
      <c r="H14" s="16">
        <v>22.388000000000002</v>
      </c>
      <c r="I14" s="16">
        <v>23.457999999999998</v>
      </c>
      <c r="J14" s="16">
        <v>23.779</v>
      </c>
      <c r="K14" s="16">
        <v>24.201000000000001</v>
      </c>
      <c r="L14" s="19">
        <v>24.821999999999999</v>
      </c>
      <c r="M14" s="19">
        <v>24.055099999999999</v>
      </c>
      <c r="N14" s="19">
        <v>22.592300000000002</v>
      </c>
      <c r="O14" s="19">
        <v>28.77</v>
      </c>
      <c r="P14" s="19">
        <v>26.8</v>
      </c>
      <c r="Q14" s="19">
        <v>29.16</v>
      </c>
      <c r="R14" s="22" t="s">
        <v>22</v>
      </c>
    </row>
    <row r="15" spans="1:18" ht="15.75">
      <c r="A15" s="3" t="s">
        <v>23</v>
      </c>
      <c r="B15" s="15">
        <f>12008.3/1000</f>
        <v>12.008299999999998</v>
      </c>
      <c r="C15" s="15">
        <v>13.673999999999999</v>
      </c>
      <c r="D15" s="16">
        <v>15.651999999999999</v>
      </c>
      <c r="E15" s="16">
        <v>15.872999999999999</v>
      </c>
      <c r="F15" s="16">
        <v>16.288</v>
      </c>
      <c r="G15" s="16">
        <v>17.05</v>
      </c>
      <c r="H15" s="16">
        <v>21.81</v>
      </c>
      <c r="I15" s="16">
        <v>21.858000000000001</v>
      </c>
      <c r="J15" s="16">
        <v>21.460999999999999</v>
      </c>
      <c r="K15" s="16">
        <v>24.637</v>
      </c>
      <c r="L15" s="19">
        <v>23.756</v>
      </c>
      <c r="M15" s="19">
        <v>23.55</v>
      </c>
      <c r="N15" s="19">
        <v>22.7818</v>
      </c>
      <c r="O15" s="19">
        <v>25.774000000000001</v>
      </c>
      <c r="P15" s="19">
        <v>26.2</v>
      </c>
      <c r="Q15" s="19">
        <v>29.5</v>
      </c>
      <c r="R15" s="22" t="s">
        <v>24</v>
      </c>
    </row>
    <row r="16" spans="1:18" ht="15.75">
      <c r="A16" s="3" t="s">
        <v>25</v>
      </c>
      <c r="B16" s="15">
        <f>12610/1000</f>
        <v>12.61</v>
      </c>
      <c r="C16" s="15">
        <v>14.371</v>
      </c>
      <c r="D16" s="16">
        <v>15.882999999999999</v>
      </c>
      <c r="E16" s="16">
        <v>15.507999999999999</v>
      </c>
      <c r="F16" s="16">
        <v>16.818999999999999</v>
      </c>
      <c r="G16" s="16">
        <v>18.559999999999999</v>
      </c>
      <c r="H16" s="16">
        <v>22.596</v>
      </c>
      <c r="I16" s="16">
        <v>23.952000000000002</v>
      </c>
      <c r="J16" s="16">
        <v>21.268999999999998</v>
      </c>
      <c r="K16" s="16">
        <v>24.573</v>
      </c>
      <c r="L16" s="19">
        <v>24.04</v>
      </c>
      <c r="M16" s="19">
        <v>23.867000000000001</v>
      </c>
      <c r="N16" s="19">
        <v>22.658999999999999</v>
      </c>
      <c r="O16" s="19">
        <v>26.43</v>
      </c>
      <c r="P16" s="19">
        <v>26.6</v>
      </c>
      <c r="Q16" s="19">
        <v>28.49</v>
      </c>
      <c r="R16" s="22" t="s">
        <v>26</v>
      </c>
    </row>
    <row r="17" spans="1:20" ht="15.75">
      <c r="A17" s="3" t="s">
        <v>27</v>
      </c>
      <c r="B17" s="15">
        <f>11198.2/1000</f>
        <v>11.1982</v>
      </c>
      <c r="C17" s="15">
        <v>13.012</v>
      </c>
      <c r="D17" s="16">
        <v>15.821999999999999</v>
      </c>
      <c r="E17" s="16">
        <v>15.173</v>
      </c>
      <c r="F17" s="16">
        <v>16.071999999999999</v>
      </c>
      <c r="G17" s="16">
        <v>17.791</v>
      </c>
      <c r="H17" s="16">
        <v>21.888000000000002</v>
      </c>
      <c r="I17" s="16">
        <v>21.905000000000001</v>
      </c>
      <c r="J17" s="16">
        <v>21.149000000000001</v>
      </c>
      <c r="K17" s="16">
        <v>23.739000000000001</v>
      </c>
      <c r="L17" s="19">
        <v>22.966000000000001</v>
      </c>
      <c r="M17" s="19">
        <v>22.21</v>
      </c>
      <c r="N17" s="19">
        <v>22.06</v>
      </c>
      <c r="O17" s="19">
        <v>25.242000000000001</v>
      </c>
      <c r="P17" s="19">
        <v>26.1</v>
      </c>
      <c r="Q17" s="19">
        <v>27.477</v>
      </c>
      <c r="R17" s="22" t="s">
        <v>28</v>
      </c>
    </row>
    <row r="18" spans="1:20" ht="15.75">
      <c r="A18" s="4" t="s">
        <v>29</v>
      </c>
      <c r="B18" s="17">
        <f>11354.4/1000</f>
        <v>11.3544</v>
      </c>
      <c r="C18" s="17">
        <v>13.946</v>
      </c>
      <c r="D18" s="18">
        <v>15.063700000000001</v>
      </c>
      <c r="E18" s="18">
        <v>14.538</v>
      </c>
      <c r="F18" s="18">
        <v>16.318000000000001</v>
      </c>
      <c r="G18" s="18">
        <v>17.950099999999999</v>
      </c>
      <c r="H18" s="18">
        <v>21.535</v>
      </c>
      <c r="I18" s="18">
        <v>22.294</v>
      </c>
      <c r="J18" s="18">
        <v>21.053000000000001</v>
      </c>
      <c r="K18" s="18">
        <v>22.998000000000001</v>
      </c>
      <c r="L18" s="20">
        <v>22.701000000000001</v>
      </c>
      <c r="M18" s="20">
        <v>22.5931</v>
      </c>
      <c r="N18" s="20">
        <v>22.893000000000001</v>
      </c>
      <c r="O18" s="20">
        <v>25.986999999999998</v>
      </c>
      <c r="P18" s="20">
        <v>26.5</v>
      </c>
      <c r="Q18" s="25">
        <v>28.077000000000002</v>
      </c>
      <c r="R18" s="23" t="s">
        <v>30</v>
      </c>
    </row>
    <row r="19" spans="1:20" ht="15">
      <c r="A19" s="2" t="s">
        <v>1</v>
      </c>
      <c r="R19" s="8" t="s">
        <v>0</v>
      </c>
    </row>
    <row r="22" spans="1:20" s="9" customFormat="1" ht="21.75">
      <c r="F22" s="5"/>
      <c r="G22" s="5"/>
      <c r="H22" s="5"/>
      <c r="I22" s="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1"/>
    </row>
  </sheetData>
  <mergeCells count="3">
    <mergeCell ref="A1:R1"/>
    <mergeCell ref="A2:R2"/>
    <mergeCell ref="A3:R3"/>
  </mergeCells>
  <pageMargins left="0.7" right="0.7" top="0.75" bottom="0.75" header="0.3" footer="0.3"/>
  <pageSetup paperSize="9" scale="41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2026-06-14T02:51:04Z</cp:lastPrinted>
  <dcterms:created xsi:type="dcterms:W3CDTF">2019-05-21T05:57:00Z</dcterms:created>
  <dcterms:modified xsi:type="dcterms:W3CDTF">2026-06-14T02:51:26Z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