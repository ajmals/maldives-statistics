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7. Prices\"/>
    </mc:Choice>
  </mc:AlternateContent>
  <xr:revisionPtr revIDLastSave="0" documentId="13_ncr:1_{6EDB9624-08AC-443F-9FB0-4E30558FFDB2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4" sheetId="4" r:id="rId1"/>
  </sheets>
  <definedNames>
    <definedName name="_xlnm.Print_Area" localSheetId="0">'17.4'!$A$1:$P$128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4" i="4" l="1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75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9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</calcChain>
</file>

<file path=xl/sharedStrings.xml><?xml version="1.0" encoding="utf-8"?>
<sst xmlns="http://schemas.openxmlformats.org/spreadsheetml/2006/main" count="303" uniqueCount="83">
  <si>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</si>
  <si>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</si>
  <si>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</si>
  <si>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</si>
  <si>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</si>
  <si>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</si>
  <si>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</si>
  <si>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</si>
  <si>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</si>
  <si>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</si>
  <si>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</si>
  <si>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</si>
  <si>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</si>
  <si>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</si>
  <si>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</si>
  <si>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</si>
  <si>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</si>
  <si>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</si>
  <si>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</si>
  <si>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</si>
  <si>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</si>
  <si>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</si>
  <si>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</si>
  <si>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</si>
  <si>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</si>
  <si>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</si>
  <si>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</si>
  <si>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na- Not available</t>
  </si>
  <si>
    <t>Monthly CPI</t>
  </si>
  <si>
    <t>iawa.Ip.Is eguhwmcswm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</si>
  <si>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</si>
  <si>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</si>
  <si>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</si>
  <si>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</si>
  <si>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</si>
  <si>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</si>
  <si>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</si>
  <si>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</si>
  <si>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</si>
  <si>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</si>
  <si>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</si>
  <si>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</si>
  <si>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</si>
  <si>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</si>
  <si>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</si>
  <si>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</si>
  <si>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</si>
  <si>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</si>
  <si>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</si>
  <si>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</si>
  <si>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</si>
  <si>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</si>
  <si>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</si>
  <si>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</si>
  <si>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</si>
  <si>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Jan-Dec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</si>
  <si>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</si>
  <si>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</si>
  <si>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</si>
  <si>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</si>
  <si>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</si>
  <si>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</si>
  <si>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</si>
  <si>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</si>
  <si>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</si>
  <si>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</si>
  <si>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</si>
  <si>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In 2019, base of ndex: Aug 2019=100, COICOP 2018 has been adopted in the rebased series</t>
  </si>
  <si>
    <t>އިންޝުއަރެންސް އަދި މާލީ ޚިދުމަތްތައް</t>
  </si>
  <si>
    <t xml:space="preserve">Source:  Maldives  Bureau of Statistics   </t>
  </si>
  <si>
    <t>(Index - base: Nov 2022=100)</t>
  </si>
  <si>
    <t>މަޢުލޫމާތު ދެއްވި ފަރާތް: މޯލްޑިވްސް ބިއުރޯ އޮފް ސްޓެޓިސްޓިކްސް</t>
  </si>
  <si>
    <r>
      <t xml:space="preserve">(cnegiawlwbcSwa 100 IkwDnwgcnim eg </t>
    </r>
    <r>
      <rPr>
        <b/>
        <sz val="9"/>
        <color theme="1"/>
        <rFont val="Faruma"/>
      </rPr>
      <t xml:space="preserve">ނޮވެންބަރ </t>
    </r>
    <r>
      <rPr>
        <b/>
        <sz val="9"/>
        <color theme="1"/>
        <rFont val="A_Faseyha"/>
      </rPr>
      <t>2022 )</t>
    </r>
  </si>
  <si>
    <t xml:space="preserve">Source:   Maldives  Bureau of Statistics   </t>
  </si>
  <si>
    <t>Table 17.4 :   CPI GROUPS, by months,  Republic,  2024</t>
  </si>
  <si>
    <t>2024 ,cSwaejcaWr ,uDnwgcnim egugwa egurWzWb uhwmcswmikea : 17.4 ulwvWt</t>
  </si>
  <si>
    <t>2025 ,cSwaejcaWr ,uDnwgcnim egugwa egurWzWb uhwmcswmikea : 17.4 ulwvWt</t>
  </si>
  <si>
    <t>Table 17.4 :   CPI GROUPS, by months,  Republic,  2025</t>
  </si>
  <si>
    <t>2023 ,cSwaejcaWr ,uDnwgcnim egugwa egurWzWb uhwmcswmikea : 17.4 ulwvWt</t>
  </si>
  <si>
    <t>2022 ,cSwaejcaWr ,uDnwgcnim egugwa egurWzWb uhwmcswmikea : 17.4 ulwvWt</t>
  </si>
  <si>
    <t>Data have been revised fom 2022 onwards</t>
  </si>
  <si>
    <t>Table 17.4 :   CPI GROUPS, by months,  Republic,  2023</t>
  </si>
  <si>
    <t>Table 17.4 :   CPI GROUPS, by months,  Republic,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</si>
</sst>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_Randhoo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9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0" borderId="0"/>
    <xf numFmtId="0" fontId="5" fillId="0" borderId="0"/>
    <xf numFmtId="0" fontId="5" fillId="0" borderId="0"/>
  </cellStyleXfs>
  <cellXfs count="47">
    <xf numFmtId="0" fontId="0" fillId="0" borderId="0" xfId="0"/>
    <xf numFmtId="0" fontId="0" fillId="2" borderId="0" xfId="0" applyFill="1"/>
    <xf numFmtId="0" fontId="10" fillId="2" borderId="0" xfId="0" applyFont="1" applyFill="1"/>
    <xf numFmtId="0" fontId="10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ill="1" applyBorder="1"/>
    <xf numFmtId="165" fontId="13" fillId="2" borderId="0" xfId="4" applyFont="1" applyFill="1" applyAlignment="1">
      <alignment vertical="center" wrapText="1"/>
    </xf>
    <xf numFmtId="165" fontId="13" fillId="2" borderId="0" xfId="4" applyFont="1" applyFill="1" applyAlignment="1">
      <alignment vertical="center"/>
    </xf>
    <xf numFmtId="0" fontId="13" fillId="2" borderId="0" xfId="5" applyFont="1" applyFill="1" applyAlignment="1">
      <alignment vertical="center"/>
    </xf>
    <xf numFmtId="165" fontId="12" fillId="2" borderId="0" xfId="4" applyFont="1" applyFill="1" applyAlignment="1">
      <alignment vertical="center"/>
    </xf>
    <xf numFmtId="165" fontId="12" fillId="2" borderId="1" xfId="4" applyFont="1" applyFill="1" applyBorder="1" applyAlignment="1">
      <alignment vertical="center"/>
    </xf>
    <xf numFmtId="0" fontId="14" fillId="2" borderId="0" xfId="0" applyFont="1" applyFill="1" applyAlignment="1">
      <alignment horizontal="left" vertical="center" indent="1"/>
    </xf>
    <xf numFmtId="165" fontId="16" fillId="2" borderId="0" xfId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7" fillId="2" borderId="2" xfId="2" applyFont="1" applyFill="1" applyBorder="1" applyAlignment="1">
      <alignment horizontal="left"/>
    </xf>
    <xf numFmtId="0" fontId="12" fillId="2" borderId="0" xfId="2" applyFont="1" applyFill="1" applyAlignment="1">
      <alignment horizontal="left" vertical="center"/>
    </xf>
    <xf numFmtId="166" fontId="15" fillId="2" borderId="0" xfId="0" applyNumberFormat="1" applyFont="1" applyFill="1" applyAlignment="1">
      <alignment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vertical="center"/>
    </xf>
    <xf numFmtId="165" fontId="9" fillId="2" borderId="0" xfId="1" applyFont="1" applyFill="1" applyAlignment="1">
      <alignment horizontal="right" vertical="center"/>
    </xf>
    <xf numFmtId="165" fontId="8" fillId="2" borderId="0" xfId="1" applyFont="1" applyFill="1" applyAlignment="1">
      <alignment horizontal="left" vertical="center"/>
    </xf>
    <xf numFmtId="165" fontId="22" fillId="2" borderId="0" xfId="3" applyFont="1" applyFill="1" applyAlignment="1">
      <alignment horizontal="right" vertical="center"/>
    </xf>
    <xf numFmtId="165" fontId="22" fillId="2" borderId="0" xfId="3" applyFont="1" applyFill="1" applyAlignment="1">
      <alignment horizontal="right" vertical="center" indent="1"/>
    </xf>
    <xf numFmtId="165" fontId="22" fillId="2" borderId="0" xfId="1" applyFont="1" applyFill="1" applyAlignment="1">
      <alignment horizontal="right" vertical="center"/>
    </xf>
    <xf numFmtId="165" fontId="20" fillId="2" borderId="0" xfId="3" applyFont="1" applyFill="1" applyAlignment="1">
      <alignment horizontal="right" vertical="center"/>
    </xf>
    <xf numFmtId="165" fontId="20" fillId="2" borderId="1" xfId="1" applyFont="1" applyFill="1" applyBorder="1" applyAlignment="1">
      <alignment horizontal="right" vertical="center"/>
    </xf>
    <xf numFmtId="0" fontId="23" fillId="2" borderId="0" xfId="0" applyFont="1" applyFill="1"/>
    <xf numFmtId="165" fontId="20" fillId="2" borderId="3" xfId="3" applyFont="1" applyFill="1" applyBorder="1" applyAlignment="1">
      <alignment horizontal="right" vertical="center"/>
    </xf>
    <xf numFmtId="165" fontId="20" fillId="2" borderId="0" xfId="3" applyFont="1" applyFill="1" applyAlignment="1">
      <alignment horizontal="right" vertical="center" wrapText="1"/>
    </xf>
    <xf numFmtId="0" fontId="22" fillId="2" borderId="2" xfId="2" applyFont="1" applyFill="1" applyBorder="1" applyAlignment="1">
      <alignment horizontal="right"/>
    </xf>
    <xf numFmtId="0" fontId="21" fillId="2" borderId="0" xfId="2" applyFont="1" applyFill="1" applyAlignment="1">
      <alignment horizontal="right" vertical="center"/>
    </xf>
    <xf numFmtId="0" fontId="20" fillId="2" borderId="1" xfId="2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165" fontId="22" fillId="2" borderId="0" xfId="3" applyFont="1" applyFill="1" applyAlignment="1">
      <alignment horizontal="right" vertical="center" wrapText="1"/>
    </xf>
    <xf numFmtId="2" fontId="13" fillId="2" borderId="0" xfId="5" applyNumberFormat="1" applyFont="1" applyFill="1" applyAlignment="1">
      <alignment horizontal="right" vertical="center"/>
    </xf>
    <xf numFmtId="165" fontId="11" fillId="2" borderId="0" xfId="1" applyFont="1" applyFill="1" applyAlignment="1">
      <alignment horizontal="center" vertical="center"/>
    </xf>
    <xf numFmtId="2" fontId="13" fillId="2" borderId="1" xfId="5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2" fontId="12" fillId="2" borderId="0" xfId="5" applyNumberFormat="1" applyFont="1" applyFill="1" applyAlignment="1">
      <alignment horizontal="right" vertical="center"/>
    </xf>
    <xf numFmtId="2" fontId="12" fillId="2" borderId="1" xfId="5" applyNumberFormat="1" applyFont="1" applyFill="1" applyBorder="1" applyAlignment="1">
      <alignment horizontal="right" vertical="center"/>
    </xf>
    <xf numFmtId="165" fontId="4" fillId="2" borderId="0" xfId="1" applyFont="1" applyFill="1" applyAlignment="1">
      <alignment horizontal="center" vertical="center"/>
    </xf>
    <xf numFmtId="165" fontId="24" fillId="2" borderId="0" xfId="1" applyFont="1" applyFill="1" applyAlignment="1">
      <alignment horizontal="center" vertical="center" wrapText="1"/>
    </xf>
    <xf numFmtId="165" fontId="11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5" fontId="25" fillId="2" borderId="0" xfId="1" applyFont="1" applyFill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003300"/>
      <color rgb="FFF4F9F1"/>
      <color rgb="FF2F75B5"/>
      <color rgb="FFFF3399"/>
      <color rgb="FF336600"/>
      <color rgb="FFD0F5F4"/>
      <color rgb="FF7E5400"/>
      <color rgb="FF003399"/>
      <color rgb="FFF2F2F2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128"/>
  <sheetViews>
    <sheetView tabSelected="1" zoomScale="130" zoomScaleNormal="130" zoomScaleSheetLayoutView="93" workbookViewId="0">
      <selection activeCell="M103" sqref="M103"/>
    </sheetView>
  </sheetViews>
  <sheetFormatPr defaultColWidth="9.140625" defaultRowHeight="18" x14ac:dyDescent="0.45"/>
  <cols>
    <col min="1" max="1" width="39.7109375" style="1" customWidth="1"/>
    <col min="2" max="6" width="9.140625" style="1" customWidth="1"/>
    <col min="7" max="9" width="9.140625" style="1"/>
    <col min="10" max="13" width="11" style="1" customWidth="1"/>
    <col min="14" max="14" width="10.28515625" style="1" customWidth="1"/>
    <col min="15" max="15" width="40" style="28" customWidth="1"/>
    <col min="16" max="16" width="4.5703125" style="1" customWidth="1"/>
    <col min="17" max="16384" width="9.140625" style="1"/>
  </cols>
  <sheetData>
    <row r="1" spans="1:24" s="2" customFormat="1" ht="19.5" x14ac:dyDescent="0.2">
      <c r="A1" s="46" t="s">
        <v>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12"/>
      <c r="Q1" s="42"/>
      <c r="R1" s="42"/>
      <c r="S1" s="42"/>
      <c r="T1" s="42"/>
      <c r="U1" s="42"/>
      <c r="V1" s="42"/>
      <c r="W1" s="42"/>
      <c r="X1" s="42"/>
    </row>
    <row r="2" spans="1:24" s="13" customFormat="1" ht="15" x14ac:dyDescent="0.25">
      <c r="A2" s="45" t="s">
        <v>77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24" s="3" customFormat="1" ht="15.75" customHeight="1" x14ac:dyDescent="0.2">
      <c r="A3" s="43" t="s">
        <v>72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24" s="3" customFormat="1" ht="13.5" customHeight="1" x14ac:dyDescent="0.2">
      <c r="A4" s="44" t="s">
        <v>70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1:24" s="3" customFormat="1" ht="17.25" customHeight="1" x14ac:dyDescent="0.2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1:24" s="14" customFormat="1" ht="15.75" customHeight="1" x14ac:dyDescent="0.35">
      <c r="A6" s="15"/>
      <c r="B6" s="4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9" t="s">
        <v>29</v>
      </c>
      <c r="O6" s="31"/>
    </row>
    <row r="7" spans="1:24" s="14" customFormat="1" ht="15.75" x14ac:dyDescent="0.25">
      <c r="A7" s="16" t="s">
        <v>0</v>
      </c>
      <c r="B7" s="30" t="s">
        <v>30</v>
      </c>
      <c r="C7" s="30" t="s">
        <v>31</v>
      </c>
      <c r="D7" s="30" t="s">
        <v>32</v>
      </c>
      <c r="E7" s="30" t="s">
        <v>33</v>
      </c>
      <c r="F7" s="30" t="s">
        <v>34</v>
      </c>
      <c r="G7" s="30" t="s">
        <v>35</v>
      </c>
      <c r="H7" s="30" t="s">
        <v>36</v>
      </c>
      <c r="I7" s="30" t="s">
        <v>37</v>
      </c>
      <c r="J7" s="30" t="s">
        <v>38</v>
      </c>
      <c r="K7" s="30" t="s">
        <v>39</v>
      </c>
      <c r="L7" s="30" t="s">
        <v>40</v>
      </c>
      <c r="M7" s="30" t="s">
        <v>41</v>
      </c>
      <c r="N7" s="30" t="s">
        <v>42</v>
      </c>
      <c r="O7" s="32" t="s">
        <v>1</v>
      </c>
      <c r="Q7" s="17"/>
    </row>
    <row r="8" spans="1:24" s="14" customFormat="1" ht="14.25" x14ac:dyDescent="0.25">
      <c r="A8" s="18"/>
      <c r="B8" s="19" t="s">
        <v>43</v>
      </c>
      <c r="C8" s="18" t="s">
        <v>44</v>
      </c>
      <c r="D8" s="18" t="s">
        <v>45</v>
      </c>
      <c r="E8" s="18" t="s">
        <v>46</v>
      </c>
      <c r="F8" s="18" t="s">
        <v>47</v>
      </c>
      <c r="G8" s="18" t="s">
        <v>48</v>
      </c>
      <c r="H8" s="18" t="s">
        <v>49</v>
      </c>
      <c r="I8" s="18" t="s">
        <v>50</v>
      </c>
      <c r="J8" s="18" t="s">
        <v>51</v>
      </c>
      <c r="K8" s="18" t="s">
        <v>52</v>
      </c>
      <c r="L8" s="18" t="s">
        <v>53</v>
      </c>
      <c r="M8" s="18" t="s">
        <v>54</v>
      </c>
      <c r="N8" s="18" t="s">
        <v>55</v>
      </c>
      <c r="O8" s="33"/>
      <c r="Q8" s="17"/>
    </row>
    <row r="9" spans="1:24" s="14" customFormat="1" ht="14.25" x14ac:dyDescent="0.25">
      <c r="A9" s="6" t="s">
        <v>2</v>
      </c>
      <c r="B9" s="36">
        <v>114.44847294162666</v>
      </c>
      <c r="C9" s="36">
        <v>114.58679931156782</v>
      </c>
      <c r="D9" s="36">
        <v>115.8548990146334</v>
      </c>
      <c r="E9" s="36">
        <v>113.70635280924789</v>
      </c>
      <c r="F9" s="36">
        <v>113.75991353563333</v>
      </c>
      <c r="G9" s="36">
        <v>114.38646904712382</v>
      </c>
      <c r="H9" s="36">
        <v>114.67199499782257</v>
      </c>
      <c r="I9" s="36">
        <v>116.50528254061325</v>
      </c>
      <c r="J9" s="36">
        <v>115.46092348785299</v>
      </c>
      <c r="K9" s="36">
        <v>114.73698198267671</v>
      </c>
      <c r="L9" s="36">
        <v>114.86556154484406</v>
      </c>
      <c r="M9" s="36">
        <v>116.25495527447558</v>
      </c>
      <c r="N9" s="36">
        <f>AVERAGE(B9:M9)</f>
        <v>114.93655054067652</v>
      </c>
      <c r="O9" s="23" t="s">
        <v>3</v>
      </c>
      <c r="Q9" s="17"/>
    </row>
    <row r="10" spans="1:24" s="14" customFormat="1" ht="14.25" x14ac:dyDescent="0.25">
      <c r="A10" s="6" t="s">
        <v>4</v>
      </c>
      <c r="B10" s="36">
        <v>112.3407118605856</v>
      </c>
      <c r="C10" s="36">
        <v>113.29984513315308</v>
      </c>
      <c r="D10" s="36">
        <v>114.59848092141979</v>
      </c>
      <c r="E10" s="36">
        <v>111.44050025668626</v>
      </c>
      <c r="F10" s="36">
        <v>111.39619729523328</v>
      </c>
      <c r="G10" s="36">
        <v>112.52226784326676</v>
      </c>
      <c r="H10" s="36">
        <v>112.71698836418068</v>
      </c>
      <c r="I10" s="36">
        <v>114.04122086387999</v>
      </c>
      <c r="J10" s="36">
        <v>113.50171130304577</v>
      </c>
      <c r="K10" s="36">
        <v>112.17573665955391</v>
      </c>
      <c r="L10" s="36">
        <v>112.14009530174008</v>
      </c>
      <c r="M10" s="36">
        <v>113.55743546067913</v>
      </c>
      <c r="N10" s="36">
        <f t="shared" ref="N10:N26" si="0">AVERAGE(B10:M10)</f>
        <v>112.81093260528537</v>
      </c>
      <c r="O10" s="23" t="s">
        <v>5</v>
      </c>
      <c r="Q10" s="17"/>
    </row>
    <row r="11" spans="1:24" s="14" customFormat="1" ht="14.25" x14ac:dyDescent="0.25">
      <c r="A11" s="7" t="s">
        <v>6</v>
      </c>
      <c r="B11" s="36">
        <v>123.36686637618263</v>
      </c>
      <c r="C11" s="36">
        <v>120.03218104794529</v>
      </c>
      <c r="D11" s="36">
        <v>121.1710759638914</v>
      </c>
      <c r="E11" s="36">
        <v>123.29366548439064</v>
      </c>
      <c r="F11" s="36">
        <v>123.76130866013435</v>
      </c>
      <c r="G11" s="36">
        <v>122.27430791402161</v>
      </c>
      <c r="H11" s="36">
        <v>122.94405129624015</v>
      </c>
      <c r="I11" s="36">
        <v>126.93126092961774</v>
      </c>
      <c r="J11" s="36">
        <v>123.75077438369385</v>
      </c>
      <c r="K11" s="36">
        <v>125.57416541844989</v>
      </c>
      <c r="L11" s="36">
        <v>126.39759924458036</v>
      </c>
      <c r="M11" s="36">
        <v>127.66874558180234</v>
      </c>
      <c r="N11" s="36">
        <f t="shared" si="0"/>
        <v>123.93050019174585</v>
      </c>
      <c r="O11" s="23" t="s">
        <v>7</v>
      </c>
      <c r="Q11" s="17"/>
    </row>
    <row r="12" spans="1:24" s="14" customFormat="1" ht="14.25" x14ac:dyDescent="0.25">
      <c r="A12" s="7" t="s">
        <v>8</v>
      </c>
      <c r="B12" s="36">
        <v>220.36372688751209</v>
      </c>
      <c r="C12" s="36">
        <v>220.5479286040698</v>
      </c>
      <c r="D12" s="36">
        <v>220.31769994552198</v>
      </c>
      <c r="E12" s="36">
        <v>220.5109173578762</v>
      </c>
      <c r="F12" s="36">
        <v>211.37413396916719</v>
      </c>
      <c r="G12" s="36">
        <v>220.5695907335668</v>
      </c>
      <c r="H12" s="36">
        <v>221.0742050360077</v>
      </c>
      <c r="I12" s="36">
        <v>221.33423067747404</v>
      </c>
      <c r="J12" s="36">
        <v>221.37593193851711</v>
      </c>
      <c r="K12" s="36">
        <v>221.87868605232066</v>
      </c>
      <c r="L12" s="36">
        <v>219.85859400597829</v>
      </c>
      <c r="M12" s="36">
        <v>219.86216569565406</v>
      </c>
      <c r="N12" s="36">
        <f t="shared" si="0"/>
        <v>219.92231757530553</v>
      </c>
      <c r="O12" s="23" t="s">
        <v>25</v>
      </c>
      <c r="Q12" s="17"/>
    </row>
    <row r="13" spans="1:24" ht="15" x14ac:dyDescent="0.25">
      <c r="A13" s="7" t="s">
        <v>56</v>
      </c>
      <c r="B13" s="36">
        <v>102.73361907252735</v>
      </c>
      <c r="C13" s="36">
        <v>102.8436094281456</v>
      </c>
      <c r="D13" s="36">
        <v>103.02100385744568</v>
      </c>
      <c r="E13" s="36">
        <v>102.68569594271607</v>
      </c>
      <c r="F13" s="36">
        <v>102.6599731070678</v>
      </c>
      <c r="G13" s="36">
        <v>102.66136132153142</v>
      </c>
      <c r="H13" s="36">
        <v>102.46150623813872</v>
      </c>
      <c r="I13" s="36">
        <v>102.48688282923722</v>
      </c>
      <c r="J13" s="36">
        <v>102.50343511536309</v>
      </c>
      <c r="K13" s="36">
        <v>101.97087334629099</v>
      </c>
      <c r="L13" s="36">
        <v>101.95001093760087</v>
      </c>
      <c r="M13" s="36">
        <v>101.96768038993247</v>
      </c>
      <c r="N13" s="36">
        <f t="shared" si="0"/>
        <v>102.49547096549976</v>
      </c>
      <c r="O13" s="23" t="s">
        <v>9</v>
      </c>
      <c r="Q13" s="17"/>
    </row>
    <row r="14" spans="1:24" ht="15" x14ac:dyDescent="0.25">
      <c r="A14" s="7" t="s">
        <v>57</v>
      </c>
      <c r="B14" s="36">
        <v>101.4881075716462</v>
      </c>
      <c r="C14" s="36">
        <v>102.29259255505794</v>
      </c>
      <c r="D14" s="36">
        <v>98.590283677082581</v>
      </c>
      <c r="E14" s="36">
        <v>98.041727039529761</v>
      </c>
      <c r="F14" s="36">
        <v>99.975900361025239</v>
      </c>
      <c r="G14" s="36">
        <v>99.411137792468907</v>
      </c>
      <c r="H14" s="36">
        <v>99.308241597051293</v>
      </c>
      <c r="I14" s="36">
        <v>99.052456340243424</v>
      </c>
      <c r="J14" s="36">
        <v>99.500832865279435</v>
      </c>
      <c r="K14" s="36">
        <v>99.152865842485454</v>
      </c>
      <c r="L14" s="36">
        <v>99.186770292890373</v>
      </c>
      <c r="M14" s="36">
        <v>98.508307347215265</v>
      </c>
      <c r="N14" s="36">
        <f t="shared" si="0"/>
        <v>99.542435273497986</v>
      </c>
      <c r="O14" s="23" t="s">
        <v>10</v>
      </c>
      <c r="Q14" s="17"/>
    </row>
    <row r="15" spans="1:24" ht="15" x14ac:dyDescent="0.25">
      <c r="A15" s="7" t="s">
        <v>58</v>
      </c>
      <c r="B15" s="36">
        <v>99.99216247678946</v>
      </c>
      <c r="C15" s="36">
        <v>99.99216247678946</v>
      </c>
      <c r="D15" s="36">
        <v>99.99216247678946</v>
      </c>
      <c r="E15" s="36">
        <v>99.99216247678946</v>
      </c>
      <c r="F15" s="36">
        <v>99.99216247678946</v>
      </c>
      <c r="G15" s="36">
        <v>99.99216247678946</v>
      </c>
      <c r="H15" s="36">
        <v>99.99216247678946</v>
      </c>
      <c r="I15" s="36">
        <v>99.99216247678946</v>
      </c>
      <c r="J15" s="36">
        <v>99.99216247678946</v>
      </c>
      <c r="K15" s="36">
        <v>99.99216247678946</v>
      </c>
      <c r="L15" s="36">
        <v>99.99216247678946</v>
      </c>
      <c r="M15" s="36">
        <v>99.99216247678946</v>
      </c>
      <c r="N15" s="36">
        <f t="shared" si="0"/>
        <v>99.992162476789431</v>
      </c>
      <c r="O15" s="24" t="s">
        <v>11</v>
      </c>
      <c r="Q15" s="17"/>
    </row>
    <row r="16" spans="1:24" ht="25.5" x14ac:dyDescent="0.25">
      <c r="A16" s="6" t="s">
        <v>59</v>
      </c>
      <c r="B16" s="36">
        <v>102.53360309317104</v>
      </c>
      <c r="C16" s="36">
        <v>102.42466574824698</v>
      </c>
      <c r="D16" s="36">
        <v>102.11360935960045</v>
      </c>
      <c r="E16" s="36">
        <v>103.35226695011335</v>
      </c>
      <c r="F16" s="36">
        <v>103.52685564320389</v>
      </c>
      <c r="G16" s="36">
        <v>102.81999043008695</v>
      </c>
      <c r="H16" s="36">
        <v>102.86547670177428</v>
      </c>
      <c r="I16" s="36">
        <v>102.91310562560919</v>
      </c>
      <c r="J16" s="36">
        <v>102.88841427486726</v>
      </c>
      <c r="K16" s="36">
        <v>103.48111990317778</v>
      </c>
      <c r="L16" s="36">
        <v>103.47121045032164</v>
      </c>
      <c r="M16" s="36">
        <v>101.99132580837197</v>
      </c>
      <c r="N16" s="36">
        <f t="shared" si="0"/>
        <v>102.86513699904542</v>
      </c>
      <c r="O16" s="35" t="s">
        <v>12</v>
      </c>
      <c r="Q16" s="17"/>
    </row>
    <row r="17" spans="1:17" ht="15" x14ac:dyDescent="0.25">
      <c r="A17" s="8" t="s">
        <v>13</v>
      </c>
      <c r="B17" s="36">
        <v>109.23738217084019</v>
      </c>
      <c r="C17" s="36">
        <v>109.24293315923069</v>
      </c>
      <c r="D17" s="36">
        <v>109.25000543266712</v>
      </c>
      <c r="E17" s="36">
        <v>109.32752749278762</v>
      </c>
      <c r="F17" s="36">
        <v>109.3312019242158</v>
      </c>
      <c r="G17" s="36">
        <v>109.3163574422592</v>
      </c>
      <c r="H17" s="36">
        <v>109.39729446940862</v>
      </c>
      <c r="I17" s="36">
        <v>109.39398688836852</v>
      </c>
      <c r="J17" s="36">
        <v>109.47882582227419</v>
      </c>
      <c r="K17" s="36">
        <v>109.93546386870725</v>
      </c>
      <c r="L17" s="36">
        <v>109.97435972921809</v>
      </c>
      <c r="M17" s="36">
        <v>109.94480155809286</v>
      </c>
      <c r="N17" s="36">
        <f t="shared" si="0"/>
        <v>109.48584499650586</v>
      </c>
      <c r="O17" s="23" t="s">
        <v>14</v>
      </c>
      <c r="Q17" s="17"/>
    </row>
    <row r="18" spans="1:17" ht="15" x14ac:dyDescent="0.25">
      <c r="A18" s="8" t="s">
        <v>60</v>
      </c>
      <c r="B18" s="36">
        <v>102.87962243501649</v>
      </c>
      <c r="C18" s="36">
        <v>102.37757812562452</v>
      </c>
      <c r="D18" s="36">
        <v>102.21524068692678</v>
      </c>
      <c r="E18" s="36">
        <v>102.2625961910466</v>
      </c>
      <c r="F18" s="36">
        <v>102.31551070973929</v>
      </c>
      <c r="G18" s="36">
        <v>102.02422657038183</v>
      </c>
      <c r="H18" s="36">
        <v>101.59142028644513</v>
      </c>
      <c r="I18" s="36">
        <v>101.68586394757641</v>
      </c>
      <c r="J18" s="36">
        <v>101.44845269821441</v>
      </c>
      <c r="K18" s="36">
        <v>101.42210485308729</v>
      </c>
      <c r="L18" s="36">
        <v>101.65713608791323</v>
      </c>
      <c r="M18" s="36">
        <v>101.69796891078775</v>
      </c>
      <c r="N18" s="36">
        <f t="shared" si="0"/>
        <v>101.96481012522997</v>
      </c>
      <c r="O18" s="23" t="s">
        <v>15</v>
      </c>
      <c r="Q18" s="17"/>
    </row>
    <row r="19" spans="1:17" ht="15" x14ac:dyDescent="0.25">
      <c r="A19" s="8" t="s">
        <v>61</v>
      </c>
      <c r="B19" s="36">
        <v>82.171382149210785</v>
      </c>
      <c r="C19" s="36">
        <v>82.717197016646708</v>
      </c>
      <c r="D19" s="36">
        <v>82.057005756621763</v>
      </c>
      <c r="E19" s="36">
        <v>82.04106694683928</v>
      </c>
      <c r="F19" s="36">
        <v>81.942927017483299</v>
      </c>
      <c r="G19" s="36">
        <v>82.078767980685441</v>
      </c>
      <c r="H19" s="36">
        <v>81.791582354781696</v>
      </c>
      <c r="I19" s="36">
        <v>81.906100409570286</v>
      </c>
      <c r="J19" s="36">
        <v>81.935716709642335</v>
      </c>
      <c r="K19" s="36">
        <v>82.306860093723259</v>
      </c>
      <c r="L19" s="36">
        <v>82.40777753589758</v>
      </c>
      <c r="M19" s="36">
        <v>83.191561360185318</v>
      </c>
      <c r="N19" s="36">
        <f t="shared" si="0"/>
        <v>82.212328777607311</v>
      </c>
      <c r="O19" s="23" t="s">
        <v>16</v>
      </c>
      <c r="Q19" s="17"/>
    </row>
    <row r="20" spans="1:17" ht="15" x14ac:dyDescent="0.25">
      <c r="A20" s="6" t="s">
        <v>62</v>
      </c>
      <c r="B20" s="36">
        <v>101.68715162507745</v>
      </c>
      <c r="C20" s="36">
        <v>101.79249665573282</v>
      </c>
      <c r="D20" s="36">
        <v>101.79249665573282</v>
      </c>
      <c r="E20" s="36">
        <v>101.82558994276155</v>
      </c>
      <c r="F20" s="36">
        <v>101.5821277812381</v>
      </c>
      <c r="G20" s="36">
        <v>101.57536586420548</v>
      </c>
      <c r="H20" s="36">
        <v>101.61701542576911</v>
      </c>
      <c r="I20" s="36">
        <v>101.58240400087675</v>
      </c>
      <c r="J20" s="36">
        <v>101.57006741726556</v>
      </c>
      <c r="K20" s="36">
        <v>100.94440551749494</v>
      </c>
      <c r="L20" s="36">
        <v>101.02726798387619</v>
      </c>
      <c r="M20" s="36">
        <v>103.76993758242696</v>
      </c>
      <c r="N20" s="36">
        <f t="shared" si="0"/>
        <v>101.73052720437148</v>
      </c>
      <c r="O20" s="25" t="s">
        <v>17</v>
      </c>
      <c r="Q20" s="17"/>
    </row>
    <row r="21" spans="1:17" ht="15" x14ac:dyDescent="0.25">
      <c r="A21" s="7" t="s">
        <v>63</v>
      </c>
      <c r="B21" s="36">
        <v>106.11936453814231</v>
      </c>
      <c r="C21" s="36">
        <v>106.11936453814231</v>
      </c>
      <c r="D21" s="36">
        <v>106.11936453814231</v>
      </c>
      <c r="E21" s="36">
        <v>106.75986818392032</v>
      </c>
      <c r="F21" s="36">
        <v>106.75986818392032</v>
      </c>
      <c r="G21" s="36">
        <v>106.75986818392032</v>
      </c>
      <c r="H21" s="36">
        <v>106.75986818392032</v>
      </c>
      <c r="I21" s="36">
        <v>106.75986818392032</v>
      </c>
      <c r="J21" s="36">
        <v>106.75986818392032</v>
      </c>
      <c r="K21" s="36">
        <v>106.56763691155778</v>
      </c>
      <c r="L21" s="36">
        <v>106.56763691155778</v>
      </c>
      <c r="M21" s="36">
        <v>106.56763691155778</v>
      </c>
      <c r="N21" s="36">
        <f t="shared" si="0"/>
        <v>106.55168445438518</v>
      </c>
      <c r="O21" s="25" t="s">
        <v>18</v>
      </c>
      <c r="Q21" s="17"/>
    </row>
    <row r="22" spans="1:17" ht="15" x14ac:dyDescent="0.25">
      <c r="A22" s="7" t="s">
        <v>64</v>
      </c>
      <c r="B22" s="36">
        <v>112.02463633863262</v>
      </c>
      <c r="C22" s="36">
        <v>112.33583367820526</v>
      </c>
      <c r="D22" s="36">
        <v>112.38509977605499</v>
      </c>
      <c r="E22" s="36">
        <v>112.17654394426495</v>
      </c>
      <c r="F22" s="36">
        <v>112.18748104439642</v>
      </c>
      <c r="G22" s="36">
        <v>112.19556251713495</v>
      </c>
      <c r="H22" s="36">
        <v>112.19556251713495</v>
      </c>
      <c r="I22" s="36">
        <v>112.21251341760343</v>
      </c>
      <c r="J22" s="36">
        <v>112.26321409843911</v>
      </c>
      <c r="K22" s="36">
        <v>112.47899945001838</v>
      </c>
      <c r="L22" s="36">
        <v>112.44447837289391</v>
      </c>
      <c r="M22" s="36">
        <v>112.45543447386325</v>
      </c>
      <c r="N22" s="36">
        <f t="shared" si="0"/>
        <v>112.27961330238685</v>
      </c>
      <c r="O22" s="25" t="s">
        <v>19</v>
      </c>
      <c r="Q22" s="17"/>
    </row>
    <row r="23" spans="1:17" ht="17.25" x14ac:dyDescent="0.25">
      <c r="A23" s="7" t="s">
        <v>65</v>
      </c>
      <c r="B23" s="36">
        <v>110.73760582083828</v>
      </c>
      <c r="C23" s="36">
        <v>110.73760582083828</v>
      </c>
      <c r="D23" s="36">
        <v>110.73760582083828</v>
      </c>
      <c r="E23" s="36">
        <v>110.73760582083828</v>
      </c>
      <c r="F23" s="36">
        <v>110.73760582083828</v>
      </c>
      <c r="G23" s="36">
        <v>110.73760582083828</v>
      </c>
      <c r="H23" s="36">
        <v>110.73760582083828</v>
      </c>
      <c r="I23" s="36">
        <v>110.73760582083828</v>
      </c>
      <c r="J23" s="36">
        <v>110.73760582083828</v>
      </c>
      <c r="K23" s="36">
        <v>110.73760582083828</v>
      </c>
      <c r="L23" s="36">
        <v>110.73760582083828</v>
      </c>
      <c r="M23" s="36">
        <v>110.73760582083828</v>
      </c>
      <c r="N23" s="36">
        <f t="shared" si="0"/>
        <v>110.73760582083831</v>
      </c>
      <c r="O23" s="21" t="s">
        <v>68</v>
      </c>
      <c r="Q23" s="17"/>
    </row>
    <row r="24" spans="1:17" ht="25.5" x14ac:dyDescent="0.25">
      <c r="A24" s="6" t="s">
        <v>66</v>
      </c>
      <c r="B24" s="36">
        <v>106.93149367602062</v>
      </c>
      <c r="C24" s="36">
        <v>107.38471830750757</v>
      </c>
      <c r="D24" s="36">
        <v>107.37293900354447</v>
      </c>
      <c r="E24" s="36">
        <v>107.91418111988006</v>
      </c>
      <c r="F24" s="36">
        <v>108.20470833758847</v>
      </c>
      <c r="G24" s="36">
        <v>108.12991009361158</v>
      </c>
      <c r="H24" s="36">
        <v>108.24501990728879</v>
      </c>
      <c r="I24" s="36">
        <v>108.38999760787259</v>
      </c>
      <c r="J24" s="36">
        <v>108.59907041709586</v>
      </c>
      <c r="K24" s="36">
        <v>108.73906141268748</v>
      </c>
      <c r="L24" s="36">
        <v>108.87920073581822</v>
      </c>
      <c r="M24" s="36">
        <v>108.26352861174318</v>
      </c>
      <c r="N24" s="36">
        <f t="shared" si="0"/>
        <v>108.08781910255489</v>
      </c>
      <c r="O24" s="25" t="s">
        <v>20</v>
      </c>
      <c r="Q24" s="17"/>
    </row>
    <row r="25" spans="1:17" ht="15" x14ac:dyDescent="0.25">
      <c r="A25" s="9" t="s">
        <v>21</v>
      </c>
      <c r="B25" s="40">
        <v>108.04661165738869</v>
      </c>
      <c r="C25" s="40">
        <v>108.34963508889341</v>
      </c>
      <c r="D25" s="40">
        <v>107.59973788295645</v>
      </c>
      <c r="E25" s="40">
        <v>107.0635194078484</v>
      </c>
      <c r="F25" s="40">
        <v>107.29417794228553</v>
      </c>
      <c r="G25" s="40">
        <v>107.54284471621999</v>
      </c>
      <c r="H25" s="40">
        <v>107.54665201089311</v>
      </c>
      <c r="I25" s="40">
        <v>107.94864768013022</v>
      </c>
      <c r="J25" s="40">
        <v>107.82363883201562</v>
      </c>
      <c r="K25" s="40">
        <v>107.65128989619043</v>
      </c>
      <c r="L25" s="40">
        <v>107.65959589391767</v>
      </c>
      <c r="M25" s="40">
        <v>107.82847321409284</v>
      </c>
      <c r="N25" s="36">
        <f t="shared" si="0"/>
        <v>107.6962353519027</v>
      </c>
      <c r="O25" s="26" t="s">
        <v>22</v>
      </c>
      <c r="Q25" s="17"/>
    </row>
    <row r="26" spans="1:17" ht="15" x14ac:dyDescent="0.25">
      <c r="A26" s="10" t="s">
        <v>23</v>
      </c>
      <c r="B26" s="41">
        <v>107.32629070145835</v>
      </c>
      <c r="C26" s="41">
        <v>107.80035031345157</v>
      </c>
      <c r="D26" s="41">
        <v>106.96164671546947</v>
      </c>
      <c r="E26" s="41">
        <v>106.30041758275912</v>
      </c>
      <c r="F26" s="41">
        <v>106.51993367821593</v>
      </c>
      <c r="G26" s="41">
        <v>106.85020729943631</v>
      </c>
      <c r="H26" s="41">
        <v>106.82270390587519</v>
      </c>
      <c r="I26" s="41">
        <v>107.05613157169022</v>
      </c>
      <c r="J26" s="41">
        <v>107.07478382167798</v>
      </c>
      <c r="K26" s="41">
        <v>106.80860006719054</v>
      </c>
      <c r="L26" s="41">
        <v>106.77858074544116</v>
      </c>
      <c r="M26" s="41">
        <v>106.89563206881502</v>
      </c>
      <c r="N26" s="38">
        <f t="shared" si="0"/>
        <v>106.93293987262341</v>
      </c>
      <c r="O26" s="27" t="s">
        <v>24</v>
      </c>
      <c r="Q26" s="17"/>
    </row>
    <row r="27" spans="1:17" ht="17.25" x14ac:dyDescent="0.25">
      <c r="A27" s="20" t="s">
        <v>26</v>
      </c>
      <c r="B27" s="20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21" t="s">
        <v>71</v>
      </c>
      <c r="Q27" s="17"/>
    </row>
    <row r="28" spans="1:17" ht="15" x14ac:dyDescent="0.25">
      <c r="A28" s="11" t="s">
        <v>27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34"/>
      <c r="Q28" s="17"/>
    </row>
    <row r="29" spans="1:17" ht="15" x14ac:dyDescent="0.25">
      <c r="A29" s="11" t="s">
        <v>67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34"/>
      <c r="Q29" s="17"/>
    </row>
    <row r="30" spans="1:17" ht="15" x14ac:dyDescent="0.25">
      <c r="A30" s="39" t="s">
        <v>80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34"/>
      <c r="Q30" s="17"/>
    </row>
    <row r="31" spans="1:17" x14ac:dyDescent="0.45">
      <c r="A31" s="22" t="s">
        <v>69</v>
      </c>
      <c r="Q31" s="17"/>
    </row>
    <row r="34" spans="1:16" x14ac:dyDescent="0.25">
      <c r="A34" s="46" t="s">
        <v>75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12"/>
    </row>
    <row r="35" spans="1:16" ht="15" x14ac:dyDescent="0.25">
      <c r="A35" s="45" t="s">
        <v>74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13"/>
    </row>
    <row r="36" spans="1:16" ht="15" x14ac:dyDescent="0.25">
      <c r="A36" s="43" t="s">
        <v>72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3"/>
    </row>
    <row r="37" spans="1:16" ht="15" x14ac:dyDescent="0.25">
      <c r="A37" s="44" t="s">
        <v>70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3"/>
    </row>
    <row r="38" spans="1:16" ht="15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"/>
    </row>
    <row r="39" spans="1:16" ht="16.5" x14ac:dyDescent="0.35">
      <c r="A39" s="15"/>
      <c r="B39" s="4" t="s">
        <v>28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29" t="s">
        <v>29</v>
      </c>
      <c r="O39" s="31"/>
      <c r="P39" s="14"/>
    </row>
    <row r="40" spans="1:16" ht="15.75" x14ac:dyDescent="0.25">
      <c r="A40" s="16" t="s">
        <v>0</v>
      </c>
      <c r="B40" s="30" t="s">
        <v>30</v>
      </c>
      <c r="C40" s="30" t="s">
        <v>31</v>
      </c>
      <c r="D40" s="30" t="s">
        <v>32</v>
      </c>
      <c r="E40" s="30" t="s">
        <v>33</v>
      </c>
      <c r="F40" s="30" t="s">
        <v>34</v>
      </c>
      <c r="G40" s="30" t="s">
        <v>35</v>
      </c>
      <c r="H40" s="30" t="s">
        <v>36</v>
      </c>
      <c r="I40" s="30" t="s">
        <v>37</v>
      </c>
      <c r="J40" s="30" t="s">
        <v>38</v>
      </c>
      <c r="K40" s="30" t="s">
        <v>39</v>
      </c>
      <c r="L40" s="30" t="s">
        <v>40</v>
      </c>
      <c r="M40" s="30" t="s">
        <v>41</v>
      </c>
      <c r="N40" s="30" t="s">
        <v>42</v>
      </c>
      <c r="O40" s="32" t="s">
        <v>1</v>
      </c>
      <c r="P40" s="14"/>
    </row>
    <row r="41" spans="1:16" ht="15" x14ac:dyDescent="0.25">
      <c r="A41" s="18"/>
      <c r="B41" s="19" t="s">
        <v>43</v>
      </c>
      <c r="C41" s="18" t="s">
        <v>44</v>
      </c>
      <c r="D41" s="18" t="s">
        <v>45</v>
      </c>
      <c r="E41" s="18" t="s">
        <v>46</v>
      </c>
      <c r="F41" s="18" t="s">
        <v>47</v>
      </c>
      <c r="G41" s="18" t="s">
        <v>48</v>
      </c>
      <c r="H41" s="18" t="s">
        <v>49</v>
      </c>
      <c r="I41" s="18" t="s">
        <v>50</v>
      </c>
      <c r="J41" s="18" t="s">
        <v>51</v>
      </c>
      <c r="K41" s="18" t="s">
        <v>52</v>
      </c>
      <c r="L41" s="18" t="s">
        <v>53</v>
      </c>
      <c r="M41" s="18" t="s">
        <v>54</v>
      </c>
      <c r="N41" s="18" t="s">
        <v>55</v>
      </c>
      <c r="O41" s="33"/>
      <c r="P41" s="14"/>
    </row>
    <row r="42" spans="1:16" ht="15" x14ac:dyDescent="0.25">
      <c r="A42" s="6" t="s">
        <v>2</v>
      </c>
      <c r="B42" s="36">
        <v>106.58157559647717</v>
      </c>
      <c r="C42" s="36">
        <v>107.74620805017962</v>
      </c>
      <c r="D42" s="36">
        <v>109.13726047052565</v>
      </c>
      <c r="E42" s="36">
        <v>109.55834774384989</v>
      </c>
      <c r="F42" s="36">
        <v>108.5031374737553</v>
      </c>
      <c r="G42" s="36">
        <v>109.31540924470536</v>
      </c>
      <c r="H42" s="36">
        <v>110.03354262198339</v>
      </c>
      <c r="I42" s="36">
        <v>111.4023681639233</v>
      </c>
      <c r="J42" s="36">
        <v>111.33472252662231</v>
      </c>
      <c r="K42" s="36">
        <v>110.94552168739732</v>
      </c>
      <c r="L42" s="36">
        <v>110.73802517067858</v>
      </c>
      <c r="M42" s="36">
        <v>112.02436167086934</v>
      </c>
      <c r="N42" s="36">
        <f>AVERAGE(B42:M42)</f>
        <v>109.77670670174727</v>
      </c>
      <c r="O42" s="23" t="s">
        <v>3</v>
      </c>
      <c r="P42" s="14"/>
    </row>
    <row r="43" spans="1:16" ht="15" x14ac:dyDescent="0.25">
      <c r="A43" s="6" t="s">
        <v>4</v>
      </c>
      <c r="B43" s="36">
        <v>106.03269005466116</v>
      </c>
      <c r="C43" s="36">
        <v>106.88128847467955</v>
      </c>
      <c r="D43" s="36">
        <v>107.7729579034867</v>
      </c>
      <c r="E43" s="36">
        <v>107.94120634151136</v>
      </c>
      <c r="F43" s="36">
        <v>107.16246651128667</v>
      </c>
      <c r="G43" s="36">
        <v>108.00358989538474</v>
      </c>
      <c r="H43" s="36">
        <v>108.33100638805142</v>
      </c>
      <c r="I43" s="36">
        <v>109.71138847725621</v>
      </c>
      <c r="J43" s="36">
        <v>110.38089410013498</v>
      </c>
      <c r="K43" s="36">
        <v>109.52675762739581</v>
      </c>
      <c r="L43" s="36">
        <v>109.36994832356757</v>
      </c>
      <c r="M43" s="36">
        <v>110.78177503949858</v>
      </c>
      <c r="N43" s="36">
        <f t="shared" ref="N43:N59" si="1">AVERAGE(B43:M43)</f>
        <v>108.49133076140957</v>
      </c>
      <c r="O43" s="23" t="s">
        <v>5</v>
      </c>
      <c r="P43" s="14"/>
    </row>
    <row r="44" spans="1:16" ht="15" x14ac:dyDescent="0.25">
      <c r="A44" s="7" t="s">
        <v>6</v>
      </c>
      <c r="B44" s="36">
        <v>108.90402914991157</v>
      </c>
      <c r="C44" s="36">
        <v>111.40587001706099</v>
      </c>
      <c r="D44" s="36">
        <v>114.90991998401208</v>
      </c>
      <c r="E44" s="36">
        <v>116.40082310554564</v>
      </c>
      <c r="F44" s="36">
        <v>114.17580655239422</v>
      </c>
      <c r="G44" s="36">
        <v>114.86600090214594</v>
      </c>
      <c r="H44" s="36">
        <v>117.23734200293256</v>
      </c>
      <c r="I44" s="36">
        <v>118.55726929156458</v>
      </c>
      <c r="J44" s="36">
        <v>115.37057708954828</v>
      </c>
      <c r="K44" s="36">
        <v>116.94861956775654</v>
      </c>
      <c r="L44" s="36">
        <v>116.52665448022843</v>
      </c>
      <c r="M44" s="36">
        <v>117.28201471075295</v>
      </c>
      <c r="N44" s="36">
        <f t="shared" si="1"/>
        <v>115.21541057115449</v>
      </c>
      <c r="O44" s="23" t="s">
        <v>7</v>
      </c>
      <c r="P44" s="14"/>
    </row>
    <row r="45" spans="1:16" ht="15" x14ac:dyDescent="0.25">
      <c r="A45" s="7" t="s">
        <v>8</v>
      </c>
      <c r="B45" s="36">
        <v>105.60751471786861</v>
      </c>
      <c r="C45" s="36">
        <v>105.76939326931638</v>
      </c>
      <c r="D45" s="36">
        <v>105.95377154761952</v>
      </c>
      <c r="E45" s="36">
        <v>106.03141148141022</v>
      </c>
      <c r="F45" s="36">
        <v>105.88121910225416</v>
      </c>
      <c r="G45" s="36">
        <v>106.08829102119836</v>
      </c>
      <c r="H45" s="36">
        <v>106.07331411029583</v>
      </c>
      <c r="I45" s="36">
        <v>106.17343690664769</v>
      </c>
      <c r="J45" s="36">
        <v>106.3262716058248</v>
      </c>
      <c r="K45" s="36">
        <v>106.29715752530824</v>
      </c>
      <c r="L45" s="36">
        <v>185.25035872912295</v>
      </c>
      <c r="M45" s="36">
        <v>215.54301378635003</v>
      </c>
      <c r="N45" s="36">
        <f t="shared" si="1"/>
        <v>121.74959615026808</v>
      </c>
      <c r="O45" s="23" t="s">
        <v>25</v>
      </c>
      <c r="P45" s="14"/>
    </row>
    <row r="46" spans="1:16" ht="15" x14ac:dyDescent="0.25">
      <c r="A46" s="7" t="s">
        <v>56</v>
      </c>
      <c r="B46" s="36">
        <v>101.71036025324342</v>
      </c>
      <c r="C46" s="36">
        <v>101.60346504869753</v>
      </c>
      <c r="D46" s="36">
        <v>101.60346504869753</v>
      </c>
      <c r="E46" s="36">
        <v>100.97113375804783</v>
      </c>
      <c r="F46" s="36">
        <v>100.9916513790768</v>
      </c>
      <c r="G46" s="36">
        <v>101.12366412474913</v>
      </c>
      <c r="H46" s="36">
        <v>101.12366412474913</v>
      </c>
      <c r="I46" s="36">
        <v>101.12249841323631</v>
      </c>
      <c r="J46" s="36">
        <v>100.97397295994853</v>
      </c>
      <c r="K46" s="36">
        <v>101.01857869456083</v>
      </c>
      <c r="L46" s="36">
        <v>102.10385408324839</v>
      </c>
      <c r="M46" s="36">
        <v>102.0422591237719</v>
      </c>
      <c r="N46" s="36">
        <f t="shared" si="1"/>
        <v>101.36571391766894</v>
      </c>
      <c r="O46" s="23" t="s">
        <v>9</v>
      </c>
    </row>
    <row r="47" spans="1:16" ht="15" x14ac:dyDescent="0.25">
      <c r="A47" s="7" t="s">
        <v>57</v>
      </c>
      <c r="B47" s="36">
        <v>101.01501896109103</v>
      </c>
      <c r="C47" s="36">
        <v>101.74739918327988</v>
      </c>
      <c r="D47" s="36">
        <v>97.025701170619641</v>
      </c>
      <c r="E47" s="36">
        <v>94.039493994377708</v>
      </c>
      <c r="F47" s="36">
        <v>101.13686029223541</v>
      </c>
      <c r="G47" s="36">
        <v>102.61942366181253</v>
      </c>
      <c r="H47" s="36">
        <v>102.52413848477245</v>
      </c>
      <c r="I47" s="36">
        <v>102.16372197243018</v>
      </c>
      <c r="J47" s="36">
        <v>102.68845219400396</v>
      </c>
      <c r="K47" s="36">
        <v>102.12068999397775</v>
      </c>
      <c r="L47" s="36">
        <v>102.30194352074884</v>
      </c>
      <c r="M47" s="36">
        <v>101.81109970230102</v>
      </c>
      <c r="N47" s="36">
        <f t="shared" si="1"/>
        <v>100.93282859430421</v>
      </c>
      <c r="O47" s="23" t="s">
        <v>10</v>
      </c>
    </row>
    <row r="48" spans="1:16" ht="15" x14ac:dyDescent="0.25">
      <c r="A48" s="7" t="s">
        <v>58</v>
      </c>
      <c r="B48" s="36">
        <v>99.992150572363414</v>
      </c>
      <c r="C48" s="36">
        <v>99.992150572363414</v>
      </c>
      <c r="D48" s="36">
        <v>99.992150572363414</v>
      </c>
      <c r="E48" s="36">
        <v>99.992150572363414</v>
      </c>
      <c r="F48" s="36">
        <v>99.992150572363414</v>
      </c>
      <c r="G48" s="36">
        <v>99.992150572363414</v>
      </c>
      <c r="H48" s="36">
        <v>99.992150572363414</v>
      </c>
      <c r="I48" s="36">
        <v>99.992150572363414</v>
      </c>
      <c r="J48" s="36">
        <v>99.992150572363414</v>
      </c>
      <c r="K48" s="36">
        <v>99.992150572363414</v>
      </c>
      <c r="L48" s="36">
        <v>99.99216247678946</v>
      </c>
      <c r="M48" s="36">
        <v>99.99216247678946</v>
      </c>
      <c r="N48" s="36">
        <f t="shared" si="1"/>
        <v>99.992152556434419</v>
      </c>
      <c r="O48" s="24" t="s">
        <v>11</v>
      </c>
    </row>
    <row r="49" spans="1:15" ht="25.5" x14ac:dyDescent="0.25">
      <c r="A49" s="6" t="s">
        <v>59</v>
      </c>
      <c r="B49" s="36">
        <v>102.43824633283748</v>
      </c>
      <c r="C49" s="36">
        <v>102.15647144142078</v>
      </c>
      <c r="D49" s="36">
        <v>101.85116634429326</v>
      </c>
      <c r="E49" s="36">
        <v>101.39382443155428</v>
      </c>
      <c r="F49" s="36">
        <v>101.43018393242005</v>
      </c>
      <c r="G49" s="36">
        <v>102.75181531332132</v>
      </c>
      <c r="H49" s="36">
        <v>102.96964477881095</v>
      </c>
      <c r="I49" s="36">
        <v>102.97337657739911</v>
      </c>
      <c r="J49" s="36">
        <v>103.07597577366383</v>
      </c>
      <c r="K49" s="36">
        <v>103.21097400619361</v>
      </c>
      <c r="L49" s="36">
        <v>103.32874968734551</v>
      </c>
      <c r="M49" s="36">
        <v>104.28912905358175</v>
      </c>
      <c r="N49" s="36">
        <f t="shared" si="1"/>
        <v>102.65579647273681</v>
      </c>
      <c r="O49" s="35" t="s">
        <v>12</v>
      </c>
    </row>
    <row r="50" spans="1:15" ht="15" x14ac:dyDescent="0.25">
      <c r="A50" s="8" t="s">
        <v>13</v>
      </c>
      <c r="B50" s="36">
        <v>106.4172042101863</v>
      </c>
      <c r="C50" s="36">
        <v>106.89787237942072</v>
      </c>
      <c r="D50" s="36">
        <v>106.93170176361657</v>
      </c>
      <c r="E50" s="36">
        <v>107.15523569019462</v>
      </c>
      <c r="F50" s="36">
        <v>107.15523569019462</v>
      </c>
      <c r="G50" s="36">
        <v>107.93224862219273</v>
      </c>
      <c r="H50" s="36">
        <v>108.07165385212181</v>
      </c>
      <c r="I50" s="36">
        <v>108.56357207155422</v>
      </c>
      <c r="J50" s="36">
        <v>109.11793286757899</v>
      </c>
      <c r="K50" s="36">
        <v>109.16840477167567</v>
      </c>
      <c r="L50" s="36">
        <v>109.18184324757634</v>
      </c>
      <c r="M50" s="36">
        <v>109.26793858893173</v>
      </c>
      <c r="N50" s="36">
        <f t="shared" si="1"/>
        <v>107.98840364627034</v>
      </c>
      <c r="O50" s="23" t="s">
        <v>14</v>
      </c>
    </row>
    <row r="51" spans="1:15" ht="15" x14ac:dyDescent="0.25">
      <c r="A51" s="8" t="s">
        <v>60</v>
      </c>
      <c r="B51" s="36">
        <v>103.32029625863218</v>
      </c>
      <c r="C51" s="36">
        <v>102.89774705308302</v>
      </c>
      <c r="D51" s="36">
        <v>103.03776107761236</v>
      </c>
      <c r="E51" s="36">
        <v>102.70861555703937</v>
      </c>
      <c r="F51" s="36">
        <v>101.69647511732298</v>
      </c>
      <c r="G51" s="36">
        <v>102.16824620254437</v>
      </c>
      <c r="H51" s="36">
        <v>102.23946935531939</v>
      </c>
      <c r="I51" s="36">
        <v>102.22373689813641</v>
      </c>
      <c r="J51" s="36">
        <v>102.47334061514903</v>
      </c>
      <c r="K51" s="36">
        <v>102.44928515261279</v>
      </c>
      <c r="L51" s="36">
        <v>103.09390294197431</v>
      </c>
      <c r="M51" s="36">
        <v>103.35887246504001</v>
      </c>
      <c r="N51" s="36">
        <f t="shared" si="1"/>
        <v>102.63897905787216</v>
      </c>
      <c r="O51" s="23" t="s">
        <v>15</v>
      </c>
    </row>
    <row r="52" spans="1:15" ht="15" x14ac:dyDescent="0.25">
      <c r="A52" s="8" t="s">
        <v>61</v>
      </c>
      <c r="B52" s="36">
        <v>87.4660060105995</v>
      </c>
      <c r="C52" s="36">
        <v>87.690347625934351</v>
      </c>
      <c r="D52" s="36">
        <v>87.582649926756261</v>
      </c>
      <c r="E52" s="36">
        <v>87.043624446482681</v>
      </c>
      <c r="F52" s="36">
        <v>86.905733924230304</v>
      </c>
      <c r="G52" s="36">
        <v>86.710114654117504</v>
      </c>
      <c r="H52" s="36">
        <v>85.984465192144555</v>
      </c>
      <c r="I52" s="36">
        <v>85.176436483008857</v>
      </c>
      <c r="J52" s="36">
        <v>85.024932909755563</v>
      </c>
      <c r="K52" s="36">
        <v>85.677798365288453</v>
      </c>
      <c r="L52" s="36">
        <v>84.767782670742463</v>
      </c>
      <c r="M52" s="36">
        <v>83.733253965137365</v>
      </c>
      <c r="N52" s="36">
        <f t="shared" si="1"/>
        <v>86.146928847849821</v>
      </c>
      <c r="O52" s="23" t="s">
        <v>16</v>
      </c>
    </row>
    <row r="53" spans="1:15" ht="15" x14ac:dyDescent="0.25">
      <c r="A53" s="6" t="s">
        <v>62</v>
      </c>
      <c r="B53" s="36">
        <v>101.06787160779871</v>
      </c>
      <c r="C53" s="36">
        <v>101.05172816535885</v>
      </c>
      <c r="D53" s="36">
        <v>101.06256940085939</v>
      </c>
      <c r="E53" s="36">
        <v>101.60299525962678</v>
      </c>
      <c r="F53" s="36">
        <v>101.60299525962678</v>
      </c>
      <c r="G53" s="36">
        <v>101.31314194719273</v>
      </c>
      <c r="H53" s="36">
        <v>101.38459611807892</v>
      </c>
      <c r="I53" s="36">
        <v>101.35274721425324</v>
      </c>
      <c r="J53" s="36">
        <v>101.35274721425324</v>
      </c>
      <c r="K53" s="36">
        <v>100.43958462120561</v>
      </c>
      <c r="L53" s="36">
        <v>101.40237168810275</v>
      </c>
      <c r="M53" s="36">
        <v>101.75179405251727</v>
      </c>
      <c r="N53" s="36">
        <f t="shared" si="1"/>
        <v>101.28209521240619</v>
      </c>
      <c r="O53" s="25" t="s">
        <v>17</v>
      </c>
    </row>
    <row r="54" spans="1:15" ht="15" x14ac:dyDescent="0.25">
      <c r="A54" s="7" t="s">
        <v>63</v>
      </c>
      <c r="B54" s="36">
        <v>105.3880891503201</v>
      </c>
      <c r="C54" s="36">
        <v>105.3880891503201</v>
      </c>
      <c r="D54" s="36">
        <v>105.3880891503201</v>
      </c>
      <c r="E54" s="36">
        <v>105.43498434748007</v>
      </c>
      <c r="F54" s="36">
        <v>106.1682049231199</v>
      </c>
      <c r="G54" s="36">
        <v>106.24348651896644</v>
      </c>
      <c r="H54" s="36">
        <v>106.24348651896644</v>
      </c>
      <c r="I54" s="36">
        <v>106.24348651896644</v>
      </c>
      <c r="J54" s="36">
        <v>106.24348651896644</v>
      </c>
      <c r="K54" s="36">
        <v>106.24348651896644</v>
      </c>
      <c r="L54" s="36">
        <v>106.41896885918457</v>
      </c>
      <c r="M54" s="36">
        <v>106.41896885918457</v>
      </c>
      <c r="N54" s="36">
        <f t="shared" si="1"/>
        <v>105.98523558623013</v>
      </c>
      <c r="O54" s="25" t="s">
        <v>18</v>
      </c>
    </row>
    <row r="55" spans="1:15" ht="15" x14ac:dyDescent="0.25">
      <c r="A55" s="7" t="s">
        <v>64</v>
      </c>
      <c r="B55" s="36">
        <v>106.2646689860362</v>
      </c>
      <c r="C55" s="36">
        <v>106.2646689860362</v>
      </c>
      <c r="D55" s="36">
        <v>106.2646689860362</v>
      </c>
      <c r="E55" s="36">
        <v>106.31092158197617</v>
      </c>
      <c r="F55" s="36">
        <v>106.31092158197617</v>
      </c>
      <c r="G55" s="36">
        <v>106.46590593554319</v>
      </c>
      <c r="H55" s="36">
        <v>106.46590593554319</v>
      </c>
      <c r="I55" s="36">
        <v>106.46590593554319</v>
      </c>
      <c r="J55" s="36">
        <v>106.46590593554319</v>
      </c>
      <c r="K55" s="36">
        <v>106.46590593554319</v>
      </c>
      <c r="L55" s="36">
        <v>106.49525176336422</v>
      </c>
      <c r="M55" s="36">
        <v>107.11760583402142</v>
      </c>
      <c r="N55" s="36">
        <f t="shared" si="1"/>
        <v>106.44651978309686</v>
      </c>
      <c r="O55" s="25" t="s">
        <v>19</v>
      </c>
    </row>
    <row r="56" spans="1:15" ht="17.25" x14ac:dyDescent="0.25">
      <c r="A56" s="7" t="s">
        <v>65</v>
      </c>
      <c r="B56" s="36">
        <v>108.02079541021179</v>
      </c>
      <c r="C56" s="36">
        <v>108.02079541021179</v>
      </c>
      <c r="D56" s="36">
        <v>108.02079541021179</v>
      </c>
      <c r="E56" s="36">
        <v>107.49172817990667</v>
      </c>
      <c r="F56" s="36">
        <v>107.49172817990667</v>
      </c>
      <c r="G56" s="36">
        <v>107.49172817990667</v>
      </c>
      <c r="H56" s="36">
        <v>107.49172817990667</v>
      </c>
      <c r="I56" s="36">
        <v>107.49172817990667</v>
      </c>
      <c r="J56" s="36">
        <v>107.49172817990667</v>
      </c>
      <c r="K56" s="36">
        <v>107.49172817990667</v>
      </c>
      <c r="L56" s="36">
        <v>108.40085974497387</v>
      </c>
      <c r="M56" s="36">
        <v>108.40085974497387</v>
      </c>
      <c r="N56" s="36">
        <f t="shared" si="1"/>
        <v>107.77551691499413</v>
      </c>
      <c r="O56" s="21" t="s">
        <v>68</v>
      </c>
    </row>
    <row r="57" spans="1:15" ht="25.5" x14ac:dyDescent="0.25">
      <c r="A57" s="6" t="s">
        <v>66</v>
      </c>
      <c r="B57" s="36">
        <v>104.84137641460049</v>
      </c>
      <c r="C57" s="36">
        <v>104.76395003946273</v>
      </c>
      <c r="D57" s="36">
        <v>104.86676683353039</v>
      </c>
      <c r="E57" s="36">
        <v>105.13375147837426</v>
      </c>
      <c r="F57" s="36">
        <v>105.20790751515598</v>
      </c>
      <c r="G57" s="36">
        <v>105.60459429695717</v>
      </c>
      <c r="H57" s="36">
        <v>105.60943878927816</v>
      </c>
      <c r="I57" s="36">
        <v>105.85648092539581</v>
      </c>
      <c r="J57" s="36">
        <v>106.19635115614977</v>
      </c>
      <c r="K57" s="36">
        <v>106.39466793056732</v>
      </c>
      <c r="L57" s="36">
        <v>106.13194150079448</v>
      </c>
      <c r="M57" s="36">
        <v>106.5442080194162</v>
      </c>
      <c r="N57" s="36">
        <f t="shared" si="1"/>
        <v>105.5959529083069</v>
      </c>
      <c r="O57" s="25" t="s">
        <v>20</v>
      </c>
    </row>
    <row r="58" spans="1:15" ht="15" x14ac:dyDescent="0.25">
      <c r="A58" s="9" t="s">
        <v>21</v>
      </c>
      <c r="B58" s="40">
        <v>102.31417496727346</v>
      </c>
      <c r="C58" s="40">
        <v>102.77899927754237</v>
      </c>
      <c r="D58" s="40">
        <v>101.88333088388941</v>
      </c>
      <c r="E58" s="40">
        <v>101.12784227532633</v>
      </c>
      <c r="F58" s="40">
        <v>102.6572944800231</v>
      </c>
      <c r="G58" s="40">
        <v>103.39750112484528</v>
      </c>
      <c r="H58" s="40">
        <v>103.49517058252138</v>
      </c>
      <c r="I58" s="40">
        <v>103.68610935968236</v>
      </c>
      <c r="J58" s="40">
        <v>103.86226472391751</v>
      </c>
      <c r="K58" s="40">
        <v>103.69273200401688</v>
      </c>
      <c r="L58" s="40">
        <v>106.25324350600376</v>
      </c>
      <c r="M58" s="40">
        <v>107.43108846399087</v>
      </c>
      <c r="N58" s="36">
        <f t="shared" si="1"/>
        <v>103.54831263741941</v>
      </c>
      <c r="O58" s="26" t="s">
        <v>22</v>
      </c>
    </row>
    <row r="59" spans="1:15" ht="15" x14ac:dyDescent="0.25">
      <c r="A59" s="10" t="s">
        <v>23</v>
      </c>
      <c r="B59" s="41">
        <v>102.00433611985166</v>
      </c>
      <c r="C59" s="41">
        <v>102.37338488719189</v>
      </c>
      <c r="D59" s="41">
        <v>101.27085248288728</v>
      </c>
      <c r="E59" s="41">
        <v>100.40974402216649</v>
      </c>
      <c r="F59" s="41">
        <v>102.11572217726709</v>
      </c>
      <c r="G59" s="41">
        <v>102.85828027804446</v>
      </c>
      <c r="H59" s="41">
        <v>102.84904724868635</v>
      </c>
      <c r="I59" s="41">
        <v>102.98690374368266</v>
      </c>
      <c r="J59" s="41">
        <v>103.32117198645884</v>
      </c>
      <c r="K59" s="41">
        <v>103.0694725493353</v>
      </c>
      <c r="L59" s="41">
        <v>105.77021281562361</v>
      </c>
      <c r="M59" s="41">
        <v>106.9679219735433</v>
      </c>
      <c r="N59" s="38">
        <f t="shared" si="1"/>
        <v>102.99975419039491</v>
      </c>
      <c r="O59" s="27" t="s">
        <v>24</v>
      </c>
    </row>
    <row r="60" spans="1:15" ht="17.25" x14ac:dyDescent="0.25">
      <c r="A60" s="20" t="s">
        <v>26</v>
      </c>
      <c r="B60" s="20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21" t="s">
        <v>71</v>
      </c>
    </row>
    <row r="61" spans="1:15" ht="15" x14ac:dyDescent="0.25">
      <c r="A61" s="11" t="s">
        <v>27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34"/>
    </row>
    <row r="62" spans="1:15" ht="15" x14ac:dyDescent="0.25">
      <c r="A62" s="11" t="s">
        <v>67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34"/>
    </row>
    <row r="63" spans="1:15" ht="15" x14ac:dyDescent="0.25">
      <c r="A63" s="39" t="s">
        <v>80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34"/>
    </row>
    <row r="64" spans="1:15" x14ac:dyDescent="0.45">
      <c r="A64" s="22" t="s">
        <v>69</v>
      </c>
    </row>
    <row r="67" spans="1:16" x14ac:dyDescent="0.25">
      <c r="A67" s="46" t="s">
        <v>78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12"/>
    </row>
    <row r="68" spans="1:16" ht="15" x14ac:dyDescent="0.25">
      <c r="A68" s="45" t="s">
        <v>81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13"/>
    </row>
    <row r="69" spans="1:16" ht="15" x14ac:dyDescent="0.25">
      <c r="A69" s="43" t="s">
        <v>72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3"/>
    </row>
    <row r="70" spans="1:16" ht="15" x14ac:dyDescent="0.25">
      <c r="A70" s="44" t="s">
        <v>70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3"/>
    </row>
    <row r="71" spans="1:16" ht="15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"/>
    </row>
    <row r="72" spans="1:16" ht="16.5" x14ac:dyDescent="0.35">
      <c r="A72" s="15"/>
      <c r="B72" s="4" t="s">
        <v>28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29" t="s">
        <v>29</v>
      </c>
      <c r="O72" s="31"/>
      <c r="P72" s="14"/>
    </row>
    <row r="73" spans="1:16" ht="15.75" x14ac:dyDescent="0.25">
      <c r="A73" s="16" t="s">
        <v>0</v>
      </c>
      <c r="B73" s="30" t="s">
        <v>30</v>
      </c>
      <c r="C73" s="30" t="s">
        <v>31</v>
      </c>
      <c r="D73" s="30" t="s">
        <v>32</v>
      </c>
      <c r="E73" s="30" t="s">
        <v>33</v>
      </c>
      <c r="F73" s="30" t="s">
        <v>34</v>
      </c>
      <c r="G73" s="30" t="s">
        <v>35</v>
      </c>
      <c r="H73" s="30" t="s">
        <v>36</v>
      </c>
      <c r="I73" s="30" t="s">
        <v>37</v>
      </c>
      <c r="J73" s="30" t="s">
        <v>38</v>
      </c>
      <c r="K73" s="30" t="s">
        <v>39</v>
      </c>
      <c r="L73" s="30" t="s">
        <v>40</v>
      </c>
      <c r="M73" s="30" t="s">
        <v>41</v>
      </c>
      <c r="N73" s="30" t="s">
        <v>42</v>
      </c>
      <c r="O73" s="32" t="s">
        <v>1</v>
      </c>
      <c r="P73" s="14"/>
    </row>
    <row r="74" spans="1:16" ht="15" x14ac:dyDescent="0.25">
      <c r="A74" s="18"/>
      <c r="B74" s="19" t="s">
        <v>43</v>
      </c>
      <c r="C74" s="18" t="s">
        <v>44</v>
      </c>
      <c r="D74" s="18" t="s">
        <v>45</v>
      </c>
      <c r="E74" s="18" t="s">
        <v>46</v>
      </c>
      <c r="F74" s="18" t="s">
        <v>47</v>
      </c>
      <c r="G74" s="18" t="s">
        <v>48</v>
      </c>
      <c r="H74" s="18" t="s">
        <v>49</v>
      </c>
      <c r="I74" s="18" t="s">
        <v>50</v>
      </c>
      <c r="J74" s="18" t="s">
        <v>51</v>
      </c>
      <c r="K74" s="18" t="s">
        <v>52</v>
      </c>
      <c r="L74" s="18" t="s">
        <v>53</v>
      </c>
      <c r="M74" s="18" t="s">
        <v>54</v>
      </c>
      <c r="N74" s="18" t="s">
        <v>55</v>
      </c>
      <c r="O74" s="33"/>
      <c r="P74" s="14"/>
    </row>
    <row r="75" spans="1:16" ht="15" x14ac:dyDescent="0.25">
      <c r="A75" s="6" t="s">
        <v>2</v>
      </c>
      <c r="B75" s="36">
        <v>101.80868421761069</v>
      </c>
      <c r="C75" s="36">
        <v>102.02748474611516</v>
      </c>
      <c r="D75" s="36">
        <v>103.0558804937836</v>
      </c>
      <c r="E75" s="36">
        <v>102.66124327445891</v>
      </c>
      <c r="F75" s="36">
        <v>102.04089630578062</v>
      </c>
      <c r="G75" s="36">
        <v>102.6955966383761</v>
      </c>
      <c r="H75" s="36">
        <v>103.35749827627396</v>
      </c>
      <c r="I75" s="36">
        <v>103.8051325374683</v>
      </c>
      <c r="J75" s="36">
        <v>105.80199406716467</v>
      </c>
      <c r="K75" s="36">
        <v>105.74241339578107</v>
      </c>
      <c r="L75" s="36">
        <v>105.26450790775235</v>
      </c>
      <c r="M75" s="36">
        <v>106.73818160690871</v>
      </c>
      <c r="N75" s="36">
        <f>AVERAGE(B75:M75)</f>
        <v>103.74995945562284</v>
      </c>
      <c r="O75" s="23" t="s">
        <v>3</v>
      </c>
      <c r="P75" s="14"/>
    </row>
    <row r="76" spans="1:16" ht="15" x14ac:dyDescent="0.25">
      <c r="A76" s="6" t="s">
        <v>4</v>
      </c>
      <c r="B76" s="36">
        <v>101.9100086426818</v>
      </c>
      <c r="C76" s="36">
        <v>102.22494413535532</v>
      </c>
      <c r="D76" s="36">
        <v>103.19137534553292</v>
      </c>
      <c r="E76" s="36">
        <v>103.02901682398486</v>
      </c>
      <c r="F76" s="36">
        <v>102.0438921533615</v>
      </c>
      <c r="G76" s="36">
        <v>102.25418667356094</v>
      </c>
      <c r="H76" s="36">
        <v>102.99008625175821</v>
      </c>
      <c r="I76" s="36">
        <v>103.46183523735854</v>
      </c>
      <c r="J76" s="36">
        <v>105.33074765432188</v>
      </c>
      <c r="K76" s="36">
        <v>105.31044690851211</v>
      </c>
      <c r="L76" s="36">
        <v>104.76573990236379</v>
      </c>
      <c r="M76" s="36">
        <v>106.20454530721219</v>
      </c>
      <c r="N76" s="36">
        <f t="shared" ref="N76:N92" si="2">AVERAGE(B76:M76)</f>
        <v>103.55973541966699</v>
      </c>
      <c r="O76" s="23" t="s">
        <v>5</v>
      </c>
      <c r="P76" s="14"/>
    </row>
    <row r="77" spans="1:16" ht="15" x14ac:dyDescent="0.25">
      <c r="A77" s="7" t="s">
        <v>6</v>
      </c>
      <c r="B77" s="36">
        <v>101.3799586398199</v>
      </c>
      <c r="C77" s="36">
        <v>101.19199132305563</v>
      </c>
      <c r="D77" s="36">
        <v>102.48257244329992</v>
      </c>
      <c r="E77" s="36">
        <v>101.10511376860653</v>
      </c>
      <c r="F77" s="36">
        <v>102.02822022610711</v>
      </c>
      <c r="G77" s="36">
        <v>104.56329775856713</v>
      </c>
      <c r="H77" s="36">
        <v>104.9120980915434</v>
      </c>
      <c r="I77" s="36">
        <v>105.25769773327683</v>
      </c>
      <c r="J77" s="36">
        <v>107.79593965813257</v>
      </c>
      <c r="K77" s="36">
        <v>107.57015711809389</v>
      </c>
      <c r="L77" s="36">
        <v>107.3749033148196</v>
      </c>
      <c r="M77" s="36">
        <v>108.99611231568899</v>
      </c>
      <c r="N77" s="36">
        <f t="shared" si="2"/>
        <v>104.55483853258431</v>
      </c>
      <c r="O77" s="23" t="s">
        <v>7</v>
      </c>
      <c r="P77" s="14"/>
    </row>
    <row r="78" spans="1:16" ht="15" x14ac:dyDescent="0.25">
      <c r="A78" s="7" t="s">
        <v>8</v>
      </c>
      <c r="B78" s="36">
        <v>102.64418242969244</v>
      </c>
      <c r="C78" s="36">
        <v>106.28338435162448</v>
      </c>
      <c r="D78" s="36">
        <v>106.60692862795167</v>
      </c>
      <c r="E78" s="36">
        <v>106.57733635736476</v>
      </c>
      <c r="F78" s="36">
        <v>106.42514457653967</v>
      </c>
      <c r="G78" s="36">
        <v>106.49037230911975</v>
      </c>
      <c r="H78" s="36">
        <v>106.42597812937798</v>
      </c>
      <c r="I78" s="36">
        <v>106.55152873283041</v>
      </c>
      <c r="J78" s="36">
        <v>106.47261184324636</v>
      </c>
      <c r="K78" s="36">
        <v>106.43358257652727</v>
      </c>
      <c r="L78" s="36">
        <v>105.68689596759864</v>
      </c>
      <c r="M78" s="36">
        <v>105.71692099891202</v>
      </c>
      <c r="N78" s="36">
        <f t="shared" si="2"/>
        <v>106.0262389083988</v>
      </c>
      <c r="O78" s="23" t="s">
        <v>25</v>
      </c>
      <c r="P78" s="14"/>
    </row>
    <row r="79" spans="1:16" ht="15" x14ac:dyDescent="0.25">
      <c r="A79" s="7" t="s">
        <v>56</v>
      </c>
      <c r="B79" s="36">
        <v>100.62629859201154</v>
      </c>
      <c r="C79" s="36">
        <v>100.91777017089908</v>
      </c>
      <c r="D79" s="36">
        <v>101.02943817699341</v>
      </c>
      <c r="E79" s="36">
        <v>100.82961919943945</v>
      </c>
      <c r="F79" s="36">
        <v>100.81365077249347</v>
      </c>
      <c r="G79" s="36">
        <v>100.92253010934691</v>
      </c>
      <c r="H79" s="36">
        <v>100.9473706278915</v>
      </c>
      <c r="I79" s="36">
        <v>101.1163714778161</v>
      </c>
      <c r="J79" s="36">
        <v>101.17065396105544</v>
      </c>
      <c r="K79" s="36">
        <v>101.30611964040082</v>
      </c>
      <c r="L79" s="36">
        <v>101.84941790793034</v>
      </c>
      <c r="M79" s="36">
        <v>101.95876454883063</v>
      </c>
      <c r="N79" s="36">
        <f t="shared" si="2"/>
        <v>101.12400043209239</v>
      </c>
      <c r="O79" s="23" t="s">
        <v>9</v>
      </c>
    </row>
    <row r="80" spans="1:16" ht="15" x14ac:dyDescent="0.25">
      <c r="A80" s="7" t="s">
        <v>57</v>
      </c>
      <c r="B80" s="36">
        <v>100.20079280790273</v>
      </c>
      <c r="C80" s="36">
        <v>100.70005254041224</v>
      </c>
      <c r="D80" s="36">
        <v>101.28408199535653</v>
      </c>
      <c r="E80" s="36">
        <v>102.55487327171895</v>
      </c>
      <c r="F80" s="36">
        <v>101.78261218330435</v>
      </c>
      <c r="G80" s="36">
        <v>101.78616306960596</v>
      </c>
      <c r="H80" s="36">
        <v>101.10376413457473</v>
      </c>
      <c r="I80" s="36">
        <v>101.39367219644603</v>
      </c>
      <c r="J80" s="36">
        <v>101.50599116425225</v>
      </c>
      <c r="K80" s="36">
        <v>101.39716986543705</v>
      </c>
      <c r="L80" s="36">
        <v>101.23107940056106</v>
      </c>
      <c r="M80" s="36">
        <v>101.41323124329516</v>
      </c>
      <c r="N80" s="36">
        <f t="shared" si="2"/>
        <v>101.36279032273892</v>
      </c>
      <c r="O80" s="23" t="s">
        <v>10</v>
      </c>
    </row>
    <row r="81" spans="1:15" ht="15" x14ac:dyDescent="0.25">
      <c r="A81" s="7" t="s">
        <v>58</v>
      </c>
      <c r="B81" s="36">
        <v>99.992138667940239</v>
      </c>
      <c r="C81" s="36">
        <v>99.992138667940239</v>
      </c>
      <c r="D81" s="36">
        <v>99.992138667940239</v>
      </c>
      <c r="E81" s="36">
        <v>99.992138667940239</v>
      </c>
      <c r="F81" s="36">
        <v>99.992138667940239</v>
      </c>
      <c r="G81" s="36">
        <v>99.992138667940239</v>
      </c>
      <c r="H81" s="36">
        <v>99.992138667940239</v>
      </c>
      <c r="I81" s="36">
        <v>99.992138667940239</v>
      </c>
      <c r="J81" s="36">
        <v>99.992138667940239</v>
      </c>
      <c r="K81" s="36">
        <v>99.992138667940239</v>
      </c>
      <c r="L81" s="36">
        <v>99.992150572363414</v>
      </c>
      <c r="M81" s="36">
        <v>99.992150572363414</v>
      </c>
      <c r="N81" s="36">
        <f t="shared" si="2"/>
        <v>99.992140652010775</v>
      </c>
      <c r="O81" s="24" t="s">
        <v>11</v>
      </c>
    </row>
    <row r="82" spans="1:15" ht="25.5" x14ac:dyDescent="0.25">
      <c r="A82" s="6" t="s">
        <v>59</v>
      </c>
      <c r="B82" s="36">
        <v>102.89547001133693</v>
      </c>
      <c r="C82" s="36">
        <v>101.37463633893148</v>
      </c>
      <c r="D82" s="36">
        <v>101.27439479151704</v>
      </c>
      <c r="E82" s="36">
        <v>102.91206217534241</v>
      </c>
      <c r="F82" s="36">
        <v>103.65592102798186</v>
      </c>
      <c r="G82" s="36">
        <v>103.60012997389035</v>
      </c>
      <c r="H82" s="36">
        <v>103.50558367439872</v>
      </c>
      <c r="I82" s="36">
        <v>104.20505754061308</v>
      </c>
      <c r="J82" s="36">
        <v>103.98985609439687</v>
      </c>
      <c r="K82" s="36">
        <v>104.05986141749672</v>
      </c>
      <c r="L82" s="36">
        <v>103.73568727655586</v>
      </c>
      <c r="M82" s="36">
        <v>103.65518385935161</v>
      </c>
      <c r="N82" s="36">
        <f t="shared" si="2"/>
        <v>103.23865368181775</v>
      </c>
      <c r="O82" s="35" t="s">
        <v>12</v>
      </c>
    </row>
    <row r="83" spans="1:15" ht="15" x14ac:dyDescent="0.25">
      <c r="A83" s="8" t="s">
        <v>13</v>
      </c>
      <c r="B83" s="36">
        <v>103.99157543717241</v>
      </c>
      <c r="C83" s="36">
        <v>103.99157543717241</v>
      </c>
      <c r="D83" s="36">
        <v>103.99157543717241</v>
      </c>
      <c r="E83" s="36">
        <v>103.99157543717241</v>
      </c>
      <c r="F83" s="36">
        <v>103.99157543717241</v>
      </c>
      <c r="G83" s="36">
        <v>104.20452193117973</v>
      </c>
      <c r="H83" s="36">
        <v>104.20452193117973</v>
      </c>
      <c r="I83" s="36">
        <v>104.8459526911072</v>
      </c>
      <c r="J83" s="36">
        <v>104.84760806716766</v>
      </c>
      <c r="K83" s="36">
        <v>104.8455299068607</v>
      </c>
      <c r="L83" s="36">
        <v>104.8455299068607</v>
      </c>
      <c r="M83" s="36">
        <v>104.83905161102807</v>
      </c>
      <c r="N83" s="36">
        <f t="shared" si="2"/>
        <v>104.38254943593715</v>
      </c>
      <c r="O83" s="23" t="s">
        <v>14</v>
      </c>
    </row>
    <row r="84" spans="1:15" ht="15" x14ac:dyDescent="0.25">
      <c r="A84" s="8" t="s">
        <v>60</v>
      </c>
      <c r="B84" s="36">
        <v>101.59301699843289</v>
      </c>
      <c r="C84" s="36">
        <v>100.61910562250935</v>
      </c>
      <c r="D84" s="36">
        <v>100.82441429970913</v>
      </c>
      <c r="E84" s="36">
        <v>101.64909418747176</v>
      </c>
      <c r="F84" s="36">
        <v>101.9313182672236</v>
      </c>
      <c r="G84" s="36">
        <v>102.01556576648773</v>
      </c>
      <c r="H84" s="36">
        <v>103.95203491450148</v>
      </c>
      <c r="I84" s="36">
        <v>103.84588108941217</v>
      </c>
      <c r="J84" s="36">
        <v>104.27202907199781</v>
      </c>
      <c r="K84" s="36">
        <v>103.71422661577634</v>
      </c>
      <c r="L84" s="36">
        <v>103.64411994310228</v>
      </c>
      <c r="M84" s="36">
        <v>103.67154341579742</v>
      </c>
      <c r="N84" s="36">
        <f t="shared" si="2"/>
        <v>102.64436251603519</v>
      </c>
      <c r="O84" s="23" t="s">
        <v>15</v>
      </c>
    </row>
    <row r="85" spans="1:15" ht="15" x14ac:dyDescent="0.25">
      <c r="A85" s="8" t="s">
        <v>61</v>
      </c>
      <c r="B85" s="36">
        <v>97.995314347959194</v>
      </c>
      <c r="C85" s="36">
        <v>98.966961329452857</v>
      </c>
      <c r="D85" s="36">
        <v>98.487195899848757</v>
      </c>
      <c r="E85" s="36">
        <v>96.604882313671823</v>
      </c>
      <c r="F85" s="36">
        <v>95.299253940736506</v>
      </c>
      <c r="G85" s="36">
        <v>94.491661814841692</v>
      </c>
      <c r="H85" s="36">
        <v>93.944926510647505</v>
      </c>
      <c r="I85" s="36">
        <v>92.336464733425601</v>
      </c>
      <c r="J85" s="36">
        <v>91.431791466195648</v>
      </c>
      <c r="K85" s="36">
        <v>91.430358310454068</v>
      </c>
      <c r="L85" s="36">
        <v>87.954507564926431</v>
      </c>
      <c r="M85" s="36">
        <v>87.869869292604591</v>
      </c>
      <c r="N85" s="36">
        <f t="shared" si="2"/>
        <v>93.90109896039705</v>
      </c>
      <c r="O85" s="23" t="s">
        <v>16</v>
      </c>
    </row>
    <row r="86" spans="1:15" ht="15" x14ac:dyDescent="0.25">
      <c r="A86" s="6" t="s">
        <v>62</v>
      </c>
      <c r="B86" s="36">
        <v>101.10780478893604</v>
      </c>
      <c r="C86" s="36">
        <v>101.0912366645239</v>
      </c>
      <c r="D86" s="36">
        <v>100.73265199242722</v>
      </c>
      <c r="E86" s="36">
        <v>100.71075742062777</v>
      </c>
      <c r="F86" s="36">
        <v>100.68135022918892</v>
      </c>
      <c r="G86" s="36">
        <v>100.60218405380735</v>
      </c>
      <c r="H86" s="36">
        <v>100.57423432974902</v>
      </c>
      <c r="I86" s="36">
        <v>100.87771382839075</v>
      </c>
      <c r="J86" s="36">
        <v>100.99655307766243</v>
      </c>
      <c r="K86" s="36">
        <v>101.00412197255027</v>
      </c>
      <c r="L86" s="36">
        <v>101.00412197255027</v>
      </c>
      <c r="M86" s="36">
        <v>101.16203159438982</v>
      </c>
      <c r="N86" s="36">
        <f t="shared" si="2"/>
        <v>100.87873016040032</v>
      </c>
      <c r="O86" s="25" t="s">
        <v>17</v>
      </c>
    </row>
    <row r="87" spans="1:15" ht="15" x14ac:dyDescent="0.25">
      <c r="A87" s="7" t="s">
        <v>63</v>
      </c>
      <c r="B87" s="36">
        <v>102.94096122769429</v>
      </c>
      <c r="C87" s="36">
        <v>102.94096122769429</v>
      </c>
      <c r="D87" s="36">
        <v>102.94096122769429</v>
      </c>
      <c r="E87" s="36">
        <v>102.94096122769429</v>
      </c>
      <c r="F87" s="36">
        <v>102.94096122769429</v>
      </c>
      <c r="G87" s="36">
        <v>102.94096122769429</v>
      </c>
      <c r="H87" s="36">
        <v>102.94096122769429</v>
      </c>
      <c r="I87" s="36">
        <v>105.25812112245031</v>
      </c>
      <c r="J87" s="36">
        <v>105.25812112245031</v>
      </c>
      <c r="K87" s="36">
        <v>105.25812112245031</v>
      </c>
      <c r="L87" s="36">
        <v>105.3880891503201</v>
      </c>
      <c r="M87" s="36">
        <v>105.3880891503201</v>
      </c>
      <c r="N87" s="36">
        <f t="shared" si="2"/>
        <v>103.92810585515429</v>
      </c>
      <c r="O87" s="25" t="s">
        <v>18</v>
      </c>
    </row>
    <row r="88" spans="1:15" ht="15" x14ac:dyDescent="0.25">
      <c r="A88" s="7" t="s">
        <v>64</v>
      </c>
      <c r="B88" s="36">
        <v>105.878112655537</v>
      </c>
      <c r="C88" s="36">
        <v>105.878112655537</v>
      </c>
      <c r="D88" s="36">
        <v>105.88123506848595</v>
      </c>
      <c r="E88" s="36">
        <v>105.88123506848595</v>
      </c>
      <c r="F88" s="36">
        <v>105.95676441898883</v>
      </c>
      <c r="G88" s="36">
        <v>105.95676441898883</v>
      </c>
      <c r="H88" s="36">
        <v>105.97314447719415</v>
      </c>
      <c r="I88" s="36">
        <v>105.97988026952255</v>
      </c>
      <c r="J88" s="36">
        <v>106.33924751851754</v>
      </c>
      <c r="K88" s="36">
        <v>106.26466898603617</v>
      </c>
      <c r="L88" s="36">
        <v>106.26466898603617</v>
      </c>
      <c r="M88" s="36">
        <v>106.2646689860362</v>
      </c>
      <c r="N88" s="36">
        <f t="shared" si="2"/>
        <v>106.04320862578054</v>
      </c>
      <c r="O88" s="25" t="s">
        <v>19</v>
      </c>
    </row>
    <row r="89" spans="1:15" ht="17.25" x14ac:dyDescent="0.25">
      <c r="A89" s="7" t="s">
        <v>65</v>
      </c>
      <c r="B89" s="36">
        <v>102.84271019348523</v>
      </c>
      <c r="C89" s="36">
        <v>102.84271019348523</v>
      </c>
      <c r="D89" s="36">
        <v>102.84271019348523</v>
      </c>
      <c r="E89" s="36">
        <v>103.94984455675434</v>
      </c>
      <c r="F89" s="36">
        <v>103.94984455675434</v>
      </c>
      <c r="G89" s="36">
        <v>104.65456154072498</v>
      </c>
      <c r="H89" s="36">
        <v>104.65456154072498</v>
      </c>
      <c r="I89" s="36">
        <v>104.1150471414086</v>
      </c>
      <c r="J89" s="36">
        <v>104.65456154072501</v>
      </c>
      <c r="K89" s="36">
        <v>104.65456154072501</v>
      </c>
      <c r="L89" s="36">
        <v>108.02079541021179</v>
      </c>
      <c r="M89" s="36">
        <v>108.02079541021179</v>
      </c>
      <c r="N89" s="36">
        <f t="shared" si="2"/>
        <v>104.60022531822472</v>
      </c>
      <c r="O89" s="21" t="s">
        <v>68</v>
      </c>
    </row>
    <row r="90" spans="1:15" ht="25.5" x14ac:dyDescent="0.25">
      <c r="A90" s="6" t="s">
        <v>66</v>
      </c>
      <c r="B90" s="36">
        <v>102.55725748894756</v>
      </c>
      <c r="C90" s="36">
        <v>102.11818267082117</v>
      </c>
      <c r="D90" s="36">
        <v>102.65383846186322</v>
      </c>
      <c r="E90" s="36">
        <v>103.34874457822883</v>
      </c>
      <c r="F90" s="36">
        <v>103.3197080823668</v>
      </c>
      <c r="G90" s="36">
        <v>103.58131552604969</v>
      </c>
      <c r="H90" s="36">
        <v>103.67754274004295</v>
      </c>
      <c r="I90" s="36">
        <v>103.80072195188731</v>
      </c>
      <c r="J90" s="36">
        <v>104.17166651082781</v>
      </c>
      <c r="K90" s="36">
        <v>104.25463187459761</v>
      </c>
      <c r="L90" s="36">
        <v>104.45173264980019</v>
      </c>
      <c r="M90" s="36">
        <v>104.53066305843167</v>
      </c>
      <c r="N90" s="36">
        <f t="shared" si="2"/>
        <v>103.53883379948876</v>
      </c>
      <c r="O90" s="25" t="s">
        <v>20</v>
      </c>
    </row>
    <row r="91" spans="1:15" ht="15" x14ac:dyDescent="0.25">
      <c r="A91" s="9" t="s">
        <v>21</v>
      </c>
      <c r="B91" s="40">
        <v>101.42216371332282</v>
      </c>
      <c r="C91" s="40">
        <v>101.65491011494362</v>
      </c>
      <c r="D91" s="40">
        <v>102.04439698472262</v>
      </c>
      <c r="E91" s="40">
        <v>102.26549149779238</v>
      </c>
      <c r="F91" s="40">
        <v>101.8462110874533</v>
      </c>
      <c r="G91" s="40">
        <v>101.95463203462832</v>
      </c>
      <c r="H91" s="40">
        <v>102.01453362785789</v>
      </c>
      <c r="I91" s="40">
        <v>102.21516249909394</v>
      </c>
      <c r="J91" s="40">
        <v>102.67899844499642</v>
      </c>
      <c r="K91" s="40">
        <v>102.60619938670864</v>
      </c>
      <c r="L91" s="40">
        <v>102.09749970920586</v>
      </c>
      <c r="M91" s="40">
        <v>102.49147997631322</v>
      </c>
      <c r="N91" s="36">
        <f t="shared" si="2"/>
        <v>102.10763992308659</v>
      </c>
      <c r="O91" s="26" t="s">
        <v>22</v>
      </c>
    </row>
    <row r="92" spans="1:15" ht="15" x14ac:dyDescent="0.25">
      <c r="A92" s="10" t="s">
        <v>23</v>
      </c>
      <c r="B92" s="41">
        <v>101.42414809278965</v>
      </c>
      <c r="C92" s="41">
        <v>101.676675425822</v>
      </c>
      <c r="D92" s="41">
        <v>102.02379504493892</v>
      </c>
      <c r="E92" s="41">
        <v>102.32004962430331</v>
      </c>
      <c r="F92" s="41">
        <v>101.83765346232568</v>
      </c>
      <c r="G92" s="41">
        <v>101.83197894416335</v>
      </c>
      <c r="H92" s="41">
        <v>101.87829722430833</v>
      </c>
      <c r="I92" s="41">
        <v>102.07210992401831</v>
      </c>
      <c r="J92" s="41">
        <v>102.43841236769291</v>
      </c>
      <c r="K92" s="41">
        <v>102.37280621904266</v>
      </c>
      <c r="L92" s="41">
        <v>101.84936908215028</v>
      </c>
      <c r="M92" s="41">
        <v>102.18564805180046</v>
      </c>
      <c r="N92" s="38">
        <f t="shared" si="2"/>
        <v>101.99257862194632</v>
      </c>
      <c r="O92" s="27" t="s">
        <v>24</v>
      </c>
    </row>
    <row r="93" spans="1:15" ht="17.25" x14ac:dyDescent="0.25">
      <c r="A93" s="20" t="s">
        <v>26</v>
      </c>
      <c r="B93" s="20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21" t="s">
        <v>71</v>
      </c>
    </row>
    <row r="94" spans="1:15" ht="15" x14ac:dyDescent="0.25">
      <c r="A94" s="11" t="s">
        <v>27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34"/>
    </row>
    <row r="95" spans="1:15" ht="15" x14ac:dyDescent="0.25">
      <c r="A95" s="11" t="s">
        <v>67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34"/>
    </row>
    <row r="96" spans="1:15" ht="15" x14ac:dyDescent="0.25">
      <c r="A96" s="39" t="s">
        <v>80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34"/>
    </row>
    <row r="97" spans="1:16" x14ac:dyDescent="0.45">
      <c r="A97" s="22" t="s">
        <v>69</v>
      </c>
    </row>
    <row r="99" spans="1:16" x14ac:dyDescent="0.25">
      <c r="A99" s="46" t="s">
        <v>79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12"/>
    </row>
    <row r="100" spans="1:16" ht="15" x14ac:dyDescent="0.25">
      <c r="A100" s="45" t="s">
        <v>82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13"/>
    </row>
    <row r="101" spans="1:16" ht="15" x14ac:dyDescent="0.25">
      <c r="A101" s="43" t="s">
        <v>72</v>
      </c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3"/>
    </row>
    <row r="102" spans="1:16" ht="15" x14ac:dyDescent="0.25">
      <c r="A102" s="44" t="s">
        <v>70</v>
      </c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3"/>
    </row>
    <row r="103" spans="1:16" ht="15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"/>
    </row>
    <row r="104" spans="1:16" ht="16.5" x14ac:dyDescent="0.35">
      <c r="A104" s="15"/>
      <c r="B104" s="4" t="s">
        <v>28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29" t="s">
        <v>29</v>
      </c>
      <c r="O104" s="31"/>
      <c r="P104" s="14"/>
    </row>
    <row r="105" spans="1:16" ht="15.75" x14ac:dyDescent="0.25">
      <c r="A105" s="16" t="s">
        <v>0</v>
      </c>
      <c r="B105" s="30" t="s">
        <v>30</v>
      </c>
      <c r="C105" s="30" t="s">
        <v>31</v>
      </c>
      <c r="D105" s="30" t="s">
        <v>32</v>
      </c>
      <c r="E105" s="30" t="s">
        <v>33</v>
      </c>
      <c r="F105" s="30" t="s">
        <v>34</v>
      </c>
      <c r="G105" s="30" t="s">
        <v>35</v>
      </c>
      <c r="H105" s="30" t="s">
        <v>36</v>
      </c>
      <c r="I105" s="30" t="s">
        <v>37</v>
      </c>
      <c r="J105" s="30" t="s">
        <v>38</v>
      </c>
      <c r="K105" s="30" t="s">
        <v>39</v>
      </c>
      <c r="L105" s="30" t="s">
        <v>40</v>
      </c>
      <c r="M105" s="30" t="s">
        <v>41</v>
      </c>
      <c r="N105" s="30" t="s">
        <v>42</v>
      </c>
      <c r="O105" s="32" t="s">
        <v>1</v>
      </c>
      <c r="P105" s="14"/>
    </row>
    <row r="106" spans="1:16" ht="15" x14ac:dyDescent="0.25">
      <c r="A106" s="18"/>
      <c r="B106" s="19" t="s">
        <v>43</v>
      </c>
      <c r="C106" s="18" t="s">
        <v>44</v>
      </c>
      <c r="D106" s="18" t="s">
        <v>45</v>
      </c>
      <c r="E106" s="18" t="s">
        <v>46</v>
      </c>
      <c r="F106" s="18" t="s">
        <v>47</v>
      </c>
      <c r="G106" s="18" t="s">
        <v>48</v>
      </c>
      <c r="H106" s="18" t="s">
        <v>49</v>
      </c>
      <c r="I106" s="18" t="s">
        <v>50</v>
      </c>
      <c r="J106" s="18" t="s">
        <v>51</v>
      </c>
      <c r="K106" s="18" t="s">
        <v>52</v>
      </c>
      <c r="L106" s="18" t="s">
        <v>53</v>
      </c>
      <c r="M106" s="18" t="s">
        <v>54</v>
      </c>
      <c r="N106" s="18" t="s">
        <v>55</v>
      </c>
      <c r="O106" s="33"/>
      <c r="P106" s="14"/>
    </row>
    <row r="107" spans="1:16" ht="15" x14ac:dyDescent="0.25">
      <c r="A107" s="6" t="s">
        <v>2</v>
      </c>
      <c r="B107" s="36">
        <v>94.422697515549842</v>
      </c>
      <c r="C107" s="36">
        <v>94.789323717867049</v>
      </c>
      <c r="D107" s="36">
        <v>95.422735028472957</v>
      </c>
      <c r="E107" s="36">
        <v>96.530260456959596</v>
      </c>
      <c r="F107" s="36">
        <v>97.496470719691374</v>
      </c>
      <c r="G107" s="36">
        <v>98.255789673352353</v>
      </c>
      <c r="H107" s="36">
        <v>98.917791359827817</v>
      </c>
      <c r="I107" s="36">
        <v>99.981705107970683</v>
      </c>
      <c r="J107" s="36">
        <v>100.27777364381068</v>
      </c>
      <c r="K107" s="36">
        <v>100.22343918571519</v>
      </c>
      <c r="L107" s="36">
        <v>100</v>
      </c>
      <c r="M107" s="36">
        <v>100.53842787431924</v>
      </c>
      <c r="N107" s="36">
        <f>AVERAGE(B107:M107)</f>
        <v>98.071367856961388</v>
      </c>
      <c r="O107" s="23" t="s">
        <v>3</v>
      </c>
      <c r="P107" s="14"/>
    </row>
    <row r="108" spans="1:16" ht="15" x14ac:dyDescent="0.25">
      <c r="A108" s="6" t="s">
        <v>4</v>
      </c>
      <c r="B108" s="36">
        <v>94.460649787083611</v>
      </c>
      <c r="C108" s="36">
        <v>94.816221246641376</v>
      </c>
      <c r="D108" s="36">
        <v>95.357323255493469</v>
      </c>
      <c r="E108" s="36">
        <v>96.320192461720126</v>
      </c>
      <c r="F108" s="36">
        <v>96.645054145349789</v>
      </c>
      <c r="G108" s="36">
        <v>96.815278293614597</v>
      </c>
      <c r="H108" s="36">
        <v>97.610607295212986</v>
      </c>
      <c r="I108" s="36">
        <v>99.18933158031092</v>
      </c>
      <c r="J108" s="36">
        <v>99.39676218637257</v>
      </c>
      <c r="K108" s="36">
        <v>98.877506703077657</v>
      </c>
      <c r="L108" s="36">
        <v>100</v>
      </c>
      <c r="M108" s="36">
        <v>100.72818207999504</v>
      </c>
      <c r="N108" s="36">
        <f t="shared" ref="N108:N124" si="3">AVERAGE(B108:M108)</f>
        <v>97.518092419572682</v>
      </c>
      <c r="O108" s="23" t="s">
        <v>5</v>
      </c>
      <c r="P108" s="14"/>
    </row>
    <row r="109" spans="1:16" ht="15" x14ac:dyDescent="0.25">
      <c r="A109" s="7" t="s">
        <v>6</v>
      </c>
      <c r="B109" s="36">
        <v>94.24668472740278</v>
      </c>
      <c r="C109" s="36">
        <v>94.664579958336773</v>
      </c>
      <c r="D109" s="36">
        <v>95.726097859588876</v>
      </c>
      <c r="E109" s="36">
        <v>97.504501313917331</v>
      </c>
      <c r="F109" s="36">
        <v>101.44511988002142</v>
      </c>
      <c r="G109" s="36">
        <v>104.93650769254987</v>
      </c>
      <c r="H109" s="36">
        <v>104.98017188504809</v>
      </c>
      <c r="I109" s="36">
        <v>103.656527937302</v>
      </c>
      <c r="J109" s="36">
        <v>104.36367619315247</v>
      </c>
      <c r="K109" s="36">
        <v>106.46552481992717</v>
      </c>
      <c r="L109" s="36">
        <v>100</v>
      </c>
      <c r="M109" s="36">
        <v>99.735536750984508</v>
      </c>
      <c r="N109" s="36">
        <f t="shared" si="3"/>
        <v>100.6437440848526</v>
      </c>
      <c r="O109" s="23" t="s">
        <v>7</v>
      </c>
      <c r="P109" s="14"/>
    </row>
    <row r="110" spans="1:16" ht="15" x14ac:dyDescent="0.25">
      <c r="A110" s="7" t="s">
        <v>8</v>
      </c>
      <c r="B110" s="36">
        <v>99.517703400583073</v>
      </c>
      <c r="C110" s="36">
        <v>100.25237295485059</v>
      </c>
      <c r="D110" s="36">
        <v>100.21335202131132</v>
      </c>
      <c r="E110" s="36">
        <v>99.373879657645276</v>
      </c>
      <c r="F110" s="36">
        <v>100.50710160101978</v>
      </c>
      <c r="G110" s="36">
        <v>101.02788793438795</v>
      </c>
      <c r="H110" s="36">
        <v>100.80026106637472</v>
      </c>
      <c r="I110" s="36">
        <v>100.80026106637472</v>
      </c>
      <c r="J110" s="36">
        <v>100.84007438419323</v>
      </c>
      <c r="K110" s="36">
        <v>100.57103008165133</v>
      </c>
      <c r="L110" s="36">
        <v>100</v>
      </c>
      <c r="M110" s="36">
        <v>99.828048518855169</v>
      </c>
      <c r="N110" s="36">
        <f t="shared" si="3"/>
        <v>100.31099772393725</v>
      </c>
      <c r="O110" s="23" t="s">
        <v>25</v>
      </c>
      <c r="P110" s="14"/>
    </row>
    <row r="111" spans="1:16" ht="15" x14ac:dyDescent="0.25">
      <c r="A111" s="7" t="s">
        <v>56</v>
      </c>
      <c r="B111" s="36">
        <v>98.665575561985548</v>
      </c>
      <c r="C111" s="36">
        <v>98.780369060095992</v>
      </c>
      <c r="D111" s="36">
        <v>98.2525445403964</v>
      </c>
      <c r="E111" s="36">
        <v>98.267629637697155</v>
      </c>
      <c r="F111" s="36">
        <v>99.300002231307175</v>
      </c>
      <c r="G111" s="36">
        <v>99.740638062076556</v>
      </c>
      <c r="H111" s="36">
        <v>100.04265697575281</v>
      </c>
      <c r="I111" s="36">
        <v>100.04265697575281</v>
      </c>
      <c r="J111" s="36">
        <v>99.552434084153802</v>
      </c>
      <c r="K111" s="36">
        <v>100.10817052554563</v>
      </c>
      <c r="L111" s="36">
        <v>100</v>
      </c>
      <c r="M111" s="36">
        <v>100.12778832118119</v>
      </c>
      <c r="N111" s="36">
        <f t="shared" si="3"/>
        <v>99.406705497995418</v>
      </c>
      <c r="O111" s="23" t="s">
        <v>9</v>
      </c>
    </row>
    <row r="112" spans="1:16" ht="15" x14ac:dyDescent="0.25">
      <c r="A112" s="7" t="s">
        <v>57</v>
      </c>
      <c r="B112" s="36">
        <v>99.992541761322812</v>
      </c>
      <c r="C112" s="36">
        <v>100.18827786834044</v>
      </c>
      <c r="D112" s="36">
        <v>100.13283090200001</v>
      </c>
      <c r="E112" s="36">
        <v>100.07177010967965</v>
      </c>
      <c r="F112" s="36">
        <v>100.09515308585779</v>
      </c>
      <c r="G112" s="36">
        <v>100.16204394100889</v>
      </c>
      <c r="H112" s="36">
        <v>100.17592769575072</v>
      </c>
      <c r="I112" s="36">
        <v>100.19682407577636</v>
      </c>
      <c r="J112" s="36">
        <v>100.21062634459075</v>
      </c>
      <c r="K112" s="36">
        <v>99.80023201288337</v>
      </c>
      <c r="L112" s="36">
        <v>100</v>
      </c>
      <c r="M112" s="36">
        <v>100.21232026061249</v>
      </c>
      <c r="N112" s="36">
        <f t="shared" si="3"/>
        <v>100.10321233815192</v>
      </c>
      <c r="O112" s="23" t="s">
        <v>10</v>
      </c>
    </row>
    <row r="113" spans="1:15" ht="15" x14ac:dyDescent="0.25">
      <c r="A113" s="7" t="s">
        <v>58</v>
      </c>
      <c r="B113" s="36">
        <v>100.90233358387275</v>
      </c>
      <c r="C113" s="36">
        <v>100.81768263253255</v>
      </c>
      <c r="D113" s="36">
        <v>100.76119142691293</v>
      </c>
      <c r="E113" s="36">
        <v>100.65859550465865</v>
      </c>
      <c r="F113" s="36">
        <v>100.51404676341606</v>
      </c>
      <c r="G113" s="36">
        <v>100.42115237786307</v>
      </c>
      <c r="H113" s="36">
        <v>100.42115237786307</v>
      </c>
      <c r="I113" s="36">
        <v>100.42115237786307</v>
      </c>
      <c r="J113" s="36">
        <v>100.42698792694624</v>
      </c>
      <c r="K113" s="36">
        <v>99.669297893960319</v>
      </c>
      <c r="L113" s="36">
        <v>100</v>
      </c>
      <c r="M113" s="36">
        <v>100</v>
      </c>
      <c r="N113" s="36">
        <f t="shared" si="3"/>
        <v>100.41779940549073</v>
      </c>
      <c r="O113" s="24" t="s">
        <v>11</v>
      </c>
    </row>
    <row r="114" spans="1:15" ht="25.5" x14ac:dyDescent="0.25">
      <c r="A114" s="6" t="s">
        <v>59</v>
      </c>
      <c r="B114" s="36">
        <v>96.981386031878529</v>
      </c>
      <c r="C114" s="36">
        <v>98.017284075322507</v>
      </c>
      <c r="D114" s="36">
        <v>97.727583808447051</v>
      </c>
      <c r="E114" s="36">
        <v>98.032020871856034</v>
      </c>
      <c r="F114" s="36">
        <v>98.564350802813394</v>
      </c>
      <c r="G114" s="36">
        <v>99.039277553406293</v>
      </c>
      <c r="H114" s="36">
        <v>99.600040424083019</v>
      </c>
      <c r="I114" s="36">
        <v>99.15959894183213</v>
      </c>
      <c r="J114" s="36">
        <v>99.488666217704676</v>
      </c>
      <c r="K114" s="36">
        <v>99.590685182063368</v>
      </c>
      <c r="L114" s="36">
        <v>100</v>
      </c>
      <c r="M114" s="36">
        <v>101.64137009483825</v>
      </c>
      <c r="N114" s="36">
        <f t="shared" si="3"/>
        <v>98.986855333687103</v>
      </c>
      <c r="O114" s="35" t="s">
        <v>12</v>
      </c>
    </row>
    <row r="115" spans="1:15" ht="15" x14ac:dyDescent="0.25">
      <c r="A115" s="8" t="s">
        <v>13</v>
      </c>
      <c r="B115" s="36">
        <v>98.870588632187477</v>
      </c>
      <c r="C115" s="36">
        <v>99.289782101826759</v>
      </c>
      <c r="D115" s="36">
        <v>99.725358938896932</v>
      </c>
      <c r="E115" s="36">
        <v>99.684923340355681</v>
      </c>
      <c r="F115" s="36">
        <v>99.684923340355681</v>
      </c>
      <c r="G115" s="36">
        <v>99.684923340355681</v>
      </c>
      <c r="H115" s="36">
        <v>99.684923340355681</v>
      </c>
      <c r="I115" s="36">
        <v>99.684923340355681</v>
      </c>
      <c r="J115" s="36">
        <v>99.684923340355681</v>
      </c>
      <c r="K115" s="36">
        <v>99.696758020327181</v>
      </c>
      <c r="L115" s="36">
        <v>100</v>
      </c>
      <c r="M115" s="36">
        <v>102.72906823066211</v>
      </c>
      <c r="N115" s="36">
        <f t="shared" si="3"/>
        <v>99.868424663836208</v>
      </c>
      <c r="O115" s="23" t="s">
        <v>14</v>
      </c>
    </row>
    <row r="116" spans="1:15" ht="15" x14ac:dyDescent="0.25">
      <c r="A116" s="8" t="s">
        <v>60</v>
      </c>
      <c r="B116" s="36">
        <v>91.18418854166363</v>
      </c>
      <c r="C116" s="36">
        <v>91.628470539535613</v>
      </c>
      <c r="D116" s="36">
        <v>93.329058526227271</v>
      </c>
      <c r="E116" s="36">
        <v>93.397417404158816</v>
      </c>
      <c r="F116" s="36">
        <v>96.624836094984204</v>
      </c>
      <c r="G116" s="36">
        <v>100.15826302792303</v>
      </c>
      <c r="H116" s="36">
        <v>100.51460982439934</v>
      </c>
      <c r="I116" s="36">
        <v>99.682439385616277</v>
      </c>
      <c r="J116" s="36">
        <v>100.07408311017585</v>
      </c>
      <c r="K116" s="36">
        <v>100.04634643448804</v>
      </c>
      <c r="L116" s="36">
        <v>100</v>
      </c>
      <c r="M116" s="36">
        <v>100.55918377095475</v>
      </c>
      <c r="N116" s="36">
        <f t="shared" si="3"/>
        <v>97.266574721677216</v>
      </c>
      <c r="O116" s="23" t="s">
        <v>15</v>
      </c>
    </row>
    <row r="117" spans="1:15" ht="15" x14ac:dyDescent="0.25">
      <c r="A117" s="8" t="s">
        <v>61</v>
      </c>
      <c r="B117" s="36">
        <v>103.62217461059832</v>
      </c>
      <c r="C117" s="36">
        <v>103.17918077137161</v>
      </c>
      <c r="D117" s="36">
        <v>103.32941576065402</v>
      </c>
      <c r="E117" s="36">
        <v>103.23566875898852</v>
      </c>
      <c r="F117" s="36">
        <v>103.76356543157748</v>
      </c>
      <c r="G117" s="36">
        <v>101.76448414408917</v>
      </c>
      <c r="H117" s="36">
        <v>100.3382032811538</v>
      </c>
      <c r="I117" s="36">
        <v>100.15440306662823</v>
      </c>
      <c r="J117" s="36">
        <v>100.3381729189601</v>
      </c>
      <c r="K117" s="36">
        <v>100.3008287862166</v>
      </c>
      <c r="L117" s="36">
        <v>100</v>
      </c>
      <c r="M117" s="36">
        <v>98.24548458294187</v>
      </c>
      <c r="N117" s="36">
        <f t="shared" si="3"/>
        <v>101.52263184276497</v>
      </c>
      <c r="O117" s="23" t="s">
        <v>16</v>
      </c>
    </row>
    <row r="118" spans="1:15" ht="15" x14ac:dyDescent="0.25">
      <c r="A118" s="6" t="s">
        <v>62</v>
      </c>
      <c r="B118" s="36">
        <v>99.599067793700939</v>
      </c>
      <c r="C118" s="36">
        <v>99.496480695014611</v>
      </c>
      <c r="D118" s="36">
        <v>99.724442782508177</v>
      </c>
      <c r="E118" s="36">
        <v>99.627324668614449</v>
      </c>
      <c r="F118" s="36">
        <v>99.619131247505806</v>
      </c>
      <c r="G118" s="36">
        <v>100.16620592741987</v>
      </c>
      <c r="H118" s="36">
        <v>100.16620592741987</v>
      </c>
      <c r="I118" s="36">
        <v>100.16620592741987</v>
      </c>
      <c r="J118" s="36">
        <v>100.16620592741987</v>
      </c>
      <c r="K118" s="36">
        <v>100.16620592741987</v>
      </c>
      <c r="L118" s="36">
        <v>100</v>
      </c>
      <c r="M118" s="36">
        <v>99.997526291925183</v>
      </c>
      <c r="N118" s="36">
        <f t="shared" si="3"/>
        <v>99.907916926364067</v>
      </c>
      <c r="O118" s="25" t="s">
        <v>17</v>
      </c>
    </row>
    <row r="119" spans="1:15" ht="15" x14ac:dyDescent="0.25">
      <c r="A119" s="7" t="s">
        <v>63</v>
      </c>
      <c r="B119" s="36">
        <v>98.383199306243014</v>
      </c>
      <c r="C119" s="36">
        <v>98.383199306243014</v>
      </c>
      <c r="D119" s="36">
        <v>98.383199306243014</v>
      </c>
      <c r="E119" s="36">
        <v>98.383199306243014</v>
      </c>
      <c r="F119" s="36">
        <v>98.383199306243014</v>
      </c>
      <c r="G119" s="36">
        <v>98.383199306243014</v>
      </c>
      <c r="H119" s="36">
        <v>98.383199306243014</v>
      </c>
      <c r="I119" s="36">
        <v>100.31754724349669</v>
      </c>
      <c r="J119" s="36">
        <v>100.31754724349669</v>
      </c>
      <c r="K119" s="36">
        <v>100.31754724349669</v>
      </c>
      <c r="L119" s="36">
        <v>100</v>
      </c>
      <c r="M119" s="36">
        <v>102.94096122769429</v>
      </c>
      <c r="N119" s="36">
        <f t="shared" si="3"/>
        <v>99.381333175157138</v>
      </c>
      <c r="O119" s="25" t="s">
        <v>18</v>
      </c>
    </row>
    <row r="120" spans="1:15" ht="15" x14ac:dyDescent="0.25">
      <c r="A120" s="7" t="s">
        <v>64</v>
      </c>
      <c r="B120" s="36">
        <v>99.162835818005746</v>
      </c>
      <c r="C120" s="36">
        <v>99.255664601436038</v>
      </c>
      <c r="D120" s="36">
        <v>99.237667711412641</v>
      </c>
      <c r="E120" s="36">
        <v>99.296370963655548</v>
      </c>
      <c r="F120" s="36">
        <v>99.362674160421989</v>
      </c>
      <c r="G120" s="36">
        <v>99.362674160421989</v>
      </c>
      <c r="H120" s="36">
        <v>99.362674160421989</v>
      </c>
      <c r="I120" s="36">
        <v>99.362674160421989</v>
      </c>
      <c r="J120" s="36">
        <v>100</v>
      </c>
      <c r="K120" s="36">
        <v>100</v>
      </c>
      <c r="L120" s="36">
        <v>100</v>
      </c>
      <c r="M120" s="36">
        <v>100.44808570691627</v>
      </c>
      <c r="N120" s="36">
        <f t="shared" si="3"/>
        <v>99.570943453592861</v>
      </c>
      <c r="O120" s="25" t="s">
        <v>19</v>
      </c>
    </row>
    <row r="121" spans="1:15" ht="17.25" x14ac:dyDescent="0.25">
      <c r="A121" s="7" t="s">
        <v>65</v>
      </c>
      <c r="B121" s="36">
        <v>100</v>
      </c>
      <c r="C121" s="36">
        <v>100</v>
      </c>
      <c r="D121" s="36">
        <v>100</v>
      </c>
      <c r="E121" s="36">
        <v>100</v>
      </c>
      <c r="F121" s="36">
        <v>100</v>
      </c>
      <c r="G121" s="36">
        <v>100</v>
      </c>
      <c r="H121" s="36">
        <v>100</v>
      </c>
      <c r="I121" s="36">
        <v>100</v>
      </c>
      <c r="J121" s="36">
        <v>100</v>
      </c>
      <c r="K121" s="36">
        <v>100</v>
      </c>
      <c r="L121" s="36">
        <v>100</v>
      </c>
      <c r="M121" s="36">
        <v>100</v>
      </c>
      <c r="N121" s="36">
        <f t="shared" si="3"/>
        <v>100</v>
      </c>
      <c r="O121" s="21" t="s">
        <v>68</v>
      </c>
    </row>
    <row r="122" spans="1:15" ht="25.5" x14ac:dyDescent="0.25">
      <c r="A122" s="6" t="s">
        <v>66</v>
      </c>
      <c r="B122" s="36">
        <v>97.54549728009647</v>
      </c>
      <c r="C122" s="36">
        <v>98.790906214322447</v>
      </c>
      <c r="D122" s="36">
        <v>98.629282580963491</v>
      </c>
      <c r="E122" s="36">
        <v>98.824280689461673</v>
      </c>
      <c r="F122" s="36">
        <v>98.552844811816257</v>
      </c>
      <c r="G122" s="36">
        <v>98.686225380972786</v>
      </c>
      <c r="H122" s="36">
        <v>98.956512235737165</v>
      </c>
      <c r="I122" s="36">
        <v>99.021079154581543</v>
      </c>
      <c r="J122" s="36">
        <v>99.039616731674911</v>
      </c>
      <c r="K122" s="36">
        <v>99.253559744161663</v>
      </c>
      <c r="L122" s="36">
        <v>100</v>
      </c>
      <c r="M122" s="36">
        <v>100.61779095800534</v>
      </c>
      <c r="N122" s="36">
        <f t="shared" si="3"/>
        <v>98.993132981816132</v>
      </c>
      <c r="O122" s="25" t="s">
        <v>20</v>
      </c>
    </row>
    <row r="123" spans="1:15" ht="15" x14ac:dyDescent="0.25">
      <c r="A123" s="9" t="s">
        <v>21</v>
      </c>
      <c r="B123" s="40">
        <v>97.556557812203124</v>
      </c>
      <c r="C123" s="40">
        <v>97.886772810315676</v>
      </c>
      <c r="D123" s="40">
        <v>98.168544560245266</v>
      </c>
      <c r="E123" s="40">
        <v>98.428978856159119</v>
      </c>
      <c r="F123" s="40">
        <v>99.083543768344995</v>
      </c>
      <c r="G123" s="40">
        <v>99.526247398871192</v>
      </c>
      <c r="H123" s="40">
        <v>99.673862415771794</v>
      </c>
      <c r="I123" s="40">
        <v>99.896795864747617</v>
      </c>
      <c r="J123" s="40">
        <v>100.05423219650741</v>
      </c>
      <c r="K123" s="40">
        <v>99.981268073710126</v>
      </c>
      <c r="L123" s="40">
        <v>100</v>
      </c>
      <c r="M123" s="40">
        <v>100.45974968122353</v>
      </c>
      <c r="N123" s="36">
        <f t="shared" si="3"/>
        <v>99.226379453174971</v>
      </c>
      <c r="O123" s="26" t="s">
        <v>22</v>
      </c>
    </row>
    <row r="124" spans="1:15" ht="15" x14ac:dyDescent="0.25">
      <c r="A124" s="10" t="s">
        <v>23</v>
      </c>
      <c r="B124" s="41">
        <v>97.703761893168675</v>
      </c>
      <c r="C124" s="41">
        <v>98.030077379801298</v>
      </c>
      <c r="D124" s="41">
        <v>98.277170514372855</v>
      </c>
      <c r="E124" s="41">
        <v>98.470094289740132</v>
      </c>
      <c r="F124" s="41">
        <v>98.978514471981853</v>
      </c>
      <c r="G124" s="41">
        <v>99.285630198782727</v>
      </c>
      <c r="H124" s="41">
        <v>99.437868349314044</v>
      </c>
      <c r="I124" s="41">
        <v>99.729584648415312</v>
      </c>
      <c r="J124" s="41">
        <v>99.8625729616233</v>
      </c>
      <c r="K124" s="41">
        <v>99.692885700545432</v>
      </c>
      <c r="L124" s="41">
        <v>100</v>
      </c>
      <c r="M124" s="41">
        <v>100.49380040425537</v>
      </c>
      <c r="N124" s="38">
        <f t="shared" si="3"/>
        <v>99.163496734333407</v>
      </c>
      <c r="O124" s="27" t="s">
        <v>24</v>
      </c>
    </row>
    <row r="125" spans="1:15" ht="17.25" x14ac:dyDescent="0.25">
      <c r="A125" s="20" t="s">
        <v>26</v>
      </c>
      <c r="B125" s="20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21" t="s">
        <v>71</v>
      </c>
    </row>
    <row r="126" spans="1:15" ht="15" x14ac:dyDescent="0.25">
      <c r="A126" s="11" t="s">
        <v>27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34"/>
    </row>
    <row r="127" spans="1:15" ht="15" x14ac:dyDescent="0.25">
      <c r="A127" s="11" t="s">
        <v>67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34"/>
    </row>
    <row r="128" spans="1:15" ht="15" x14ac:dyDescent="0.25">
      <c r="A128" s="22" t="s">
        <v>73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34"/>
    </row>
  </sheetData>
  <mergeCells count="17">
    <mergeCell ref="Q1:X1"/>
    <mergeCell ref="A2:O2"/>
    <mergeCell ref="A3:O3"/>
    <mergeCell ref="A4:O4"/>
    <mergeCell ref="A34:O34"/>
    <mergeCell ref="A35:O35"/>
    <mergeCell ref="A36:O36"/>
    <mergeCell ref="A37:O37"/>
    <mergeCell ref="A1:O1"/>
    <mergeCell ref="A67:O67"/>
    <mergeCell ref="A101:O101"/>
    <mergeCell ref="A102:O102"/>
    <mergeCell ref="A68:O68"/>
    <mergeCell ref="A69:O69"/>
    <mergeCell ref="A70:O70"/>
    <mergeCell ref="A99:O99"/>
    <mergeCell ref="A100:O100"/>
  </mergeCells>
  <pageMargins left="0.7" right="0.7" top="0.75" bottom="0.75" header="0.3" footer="0.3"/>
  <pageSetup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2026-05-05T08:19:08Z</cp:lastPrinted>
  <dcterms:created xsi:type="dcterms:W3CDTF">2019-03-21T03:27:43Z</dcterms:created>
  <dcterms:modified xsi:type="dcterms:W3CDTF">2026-05-05T08:19:19Z</dcterms:modified>
</cp:coreProperties>
</file>