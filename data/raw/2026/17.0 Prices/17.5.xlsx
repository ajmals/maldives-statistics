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7. Prices\"/>
    </mc:Choice>
  </mc:AlternateContent>
  <xr:revisionPtr revIDLastSave="0" documentId="13_ncr:1_{0042CF18-800D-44B3-A2E7-EC552F5DB1FC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5" sheetId="6" r:id="rId1"/>
  </sheets>
  <definedNames>
    <definedName name="_xlnm.Print_Area" localSheetId="0">'17.5'!$A$1:$S$299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8" i="6" l="1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40" i="6"/>
  <c r="N68" i="6"/>
  <c r="N56" i="6"/>
  <c r="N11" i="6"/>
  <c r="N12" i="6"/>
  <c r="N19" i="6"/>
  <c r="N70" i="6"/>
  <c r="N57" i="6"/>
  <c r="N58" i="6"/>
  <c r="N59" i="6"/>
  <c r="N60" i="6"/>
  <c r="N61" i="6"/>
  <c r="N62" i="6"/>
  <c r="N63" i="6"/>
  <c r="N64" i="6"/>
  <c r="N65" i="6"/>
  <c r="N66" i="6"/>
  <c r="N67" i="6"/>
  <c r="N69" i="6"/>
  <c r="N71" i="6"/>
  <c r="N72" i="6"/>
  <c r="N55" i="6"/>
  <c r="N48" i="6"/>
  <c r="N33" i="6"/>
  <c r="N34" i="6"/>
  <c r="N35" i="6"/>
  <c r="N36" i="6"/>
  <c r="N37" i="6"/>
  <c r="N38" i="6"/>
  <c r="N39" i="6"/>
  <c r="N41" i="6"/>
  <c r="N42" i="6"/>
  <c r="N43" i="6"/>
  <c r="N44" i="6"/>
  <c r="N45" i="6"/>
  <c r="N46" i="6"/>
  <c r="N47" i="6"/>
  <c r="N49" i="6"/>
  <c r="N32" i="6"/>
  <c r="N16" i="6"/>
  <c r="N10" i="6"/>
  <c r="N13" i="6"/>
  <c r="N14" i="6"/>
  <c r="N15" i="6"/>
  <c r="N17" i="6"/>
  <c r="N18" i="6"/>
  <c r="N20" i="6"/>
  <c r="N21" i="6"/>
  <c r="N22" i="6"/>
  <c r="N23" i="6"/>
  <c r="N24" i="6"/>
  <c r="N25" i="6"/>
  <c r="N26" i="6"/>
  <c r="N9" i="6"/>
</calcChain>
</file>

<file path=xl/sharedStrings.xml><?xml version="1.0" encoding="utf-8"?>
<sst xmlns="http://schemas.openxmlformats.org/spreadsheetml/2006/main" count="841" uniqueCount="94">
  <si>
    <t>Republic</t>
  </si>
  <si>
    <t>Male'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</si>
  <si>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</si>
  <si>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</si>
  <si>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</si>
  <si>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</si>
  <si>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</si>
  <si>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</si>
  <si>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</si>
  <si>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</si>
  <si>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</si>
  <si>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</si>
  <si>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</si>
  <si>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</si>
  <si>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</si>
  <si>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</si>
  <si>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</si>
  <si>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</si>
  <si>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</si>
  <si>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</si>
  <si>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</si>
  <si>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</si>
  <si>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</si>
  <si>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</si>
  <si>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</si>
  <si>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</si>
  <si>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</si>
  <si>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</si>
  <si>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</si>
  <si>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</si>
  <si>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</si>
  <si>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</si>
  <si>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</si>
  <si>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</si>
  <si>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</si>
  <si>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</si>
  <si>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</si>
  <si>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</si>
  <si>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</si>
  <si>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</si>
  <si>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</si>
  <si>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</si>
  <si>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</si>
  <si>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</si>
  <si>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</si>
  <si>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</si>
  <si>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</si>
  <si>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</si>
  <si>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</si>
  <si>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</si>
  <si>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</si>
  <si>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</si>
  <si>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</si>
  <si>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Jan - Dec</t>
  </si>
  <si>
    <t xml:space="preserve">     ilukegEg</t>
  </si>
  <si>
    <t>cSwa elWm</t>
  </si>
  <si>
    <t>Atolls</t>
  </si>
  <si>
    <t xml:space="preserve"> cSwkwtuLotwa</t>
  </si>
  <si>
    <t>ilukegEg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</si>
  <si>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</si>
  <si>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</si>
  <si>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</si>
  <si>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</si>
  <si>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</si>
  <si>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</si>
  <si>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</si>
  <si>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</si>
  <si>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</si>
  <si>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</si>
  <si>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</si>
  <si>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</si>
  <si>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 xml:space="preserve">Source:  Maldives  Bureau of Statistics   </t>
  </si>
  <si>
    <t>(Index - base: Nov 2022=100)</t>
  </si>
  <si>
    <t>މަޢުލޫމާތު ދެއްވި ފަރާތް: މޯލްޑިވްސް ބިއުރޯ އޮފް ސްޓެޓިސްޓިކްސް</t>
  </si>
  <si>
    <t xml:space="preserve">Source:   Maldives  Bureau of Statistics   </t>
  </si>
  <si>
    <r>
      <t xml:space="preserve">(cnegiawlwbcSwa 100 IkwDnwgcnim eg </t>
    </r>
    <r>
      <rPr>
        <b/>
        <sz val="9"/>
        <rFont val="Faruma"/>
      </rPr>
      <t>ނޮވެންބަރ</t>
    </r>
    <r>
      <rPr>
        <b/>
        <sz val="9"/>
        <rFont val="A_Faseyha"/>
      </rPr>
      <t xml:space="preserve"> 2022 )</t>
    </r>
  </si>
  <si>
    <t xml:space="preserve"> 2024 ،iawa.Ip.Is eguhwmcswm</t>
  </si>
  <si>
    <t>Monthly CPI , 2024</t>
  </si>
  <si>
    <t>Table  17.5 : CONSUMER PRICE INDEX, FOR MALE' AND ATOLLS BY MONTH,  2024</t>
  </si>
  <si>
    <t>2024 ,uDnwgcnim egugwa egurWzWb eguhwmcswmikea : 17.5 ulwvWt</t>
  </si>
  <si>
    <t>Monthly CPI , 2025</t>
  </si>
  <si>
    <t xml:space="preserve"> 2025 ،iawa.Ip.Is eguhwmcswm</t>
  </si>
  <si>
    <t>Table  17.5 : CONSUMER PRICE INDEX, FOR MALE' AND ATOLLS BY MONTH,  2025</t>
  </si>
  <si>
    <t>2025 ,uDnwgcnim egugwa egurWzWb eguhwmcswmikea : 17.5 ulwvWt</t>
  </si>
  <si>
    <t>2023 ,uDnwgcnim egugwa egurWzWb eguhwmcswmikea : 17.5 ulwvWt</t>
  </si>
  <si>
    <t>2022 ,uDnwgcnim egugwa egurWzWb eguhwmcswmikea : 17.5 ulwvWt</t>
  </si>
  <si>
    <t>Monthly CPI , 2023</t>
  </si>
  <si>
    <t>Monthly CPI , 2022</t>
  </si>
  <si>
    <t xml:space="preserve"> 2022 ،iawa.Ip.Is eguhwmcswm</t>
  </si>
  <si>
    <t xml:space="preserve">  2022 ،iawa.Ip.Is eguhwmcswm</t>
  </si>
  <si>
    <t xml:space="preserve"> 2023 ،iawa.Ip.Is eguhwmcswm</t>
  </si>
  <si>
    <t>Data have been revised fom 2022 onwards</t>
  </si>
  <si>
    <t>Table  17.5 : CONSUMER PRICE INDEX, FOR MALE' AND ATOLLS BY MONTH,  2023</t>
  </si>
  <si>
    <t>Table  17.5 : CONSUMER PRICE INDEX, FOR MALE' AND ATOLLS BY MONTH,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</si>
</sst>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68" formatCode="_(* #,##0.0_);_(* \(#,##0.0\);_(* &quot;-&quot;??_);_(@_)"/>
    <numFmt numFmtId="169" formatCode="_-* #,##0.00_-;\-* #,##0.00_-;_-* &quot;-&quot;??_-;_-@_-"/>
    <numFmt numFmtId="170" formatCode="0.00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color rgb="FF000000"/>
      <name val="Calibri"/>
      <family val="2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sz val="9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2">
    <xf numFmtId="0" fontId="0" fillId="0" borderId="0"/>
    <xf numFmtId="165" fontId="2" fillId="0" borderId="0"/>
    <xf numFmtId="0" fontId="4" fillId="0" borderId="0"/>
    <xf numFmtId="165" fontId="2" fillId="0" borderId="0"/>
    <xf numFmtId="165" fontId="2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17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8" fillId="0" borderId="0"/>
    <xf numFmtId="9" fontId="4" fillId="0" borderId="0" applyFont="0" applyFill="0" applyBorder="0" applyAlignment="0" applyProtection="0"/>
    <xf numFmtId="0" fontId="1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7" fillId="0" borderId="0"/>
    <xf numFmtId="0" fontId="4" fillId="0" borderId="0"/>
    <xf numFmtId="0" fontId="4" fillId="0" borderId="0"/>
  </cellStyleXfs>
  <cellXfs count="75">
    <xf numFmtId="0" fontId="0" fillId="0" borderId="0" xfId="0"/>
    <xf numFmtId="0" fontId="4" fillId="2" borderId="0" xfId="2" applyFill="1"/>
    <xf numFmtId="2" fontId="0" fillId="2" borderId="0" xfId="0" applyNumberFormat="1" applyFill="1"/>
    <xf numFmtId="165" fontId="10" fillId="2" borderId="0" xfId="4" applyFont="1" applyFill="1" applyAlignment="1">
      <alignment vertical="center" wrapText="1"/>
    </xf>
    <xf numFmtId="165" fontId="10" fillId="2" borderId="0" xfId="4" applyFont="1" applyFill="1" applyAlignment="1">
      <alignment vertical="center"/>
    </xf>
    <xf numFmtId="0" fontId="10" fillId="2" borderId="0" xfId="5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9" fillId="2" borderId="1" xfId="4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2" borderId="0" xfId="2" applyFont="1" applyFill="1"/>
    <xf numFmtId="0" fontId="13" fillId="2" borderId="2" xfId="2" applyFont="1" applyFill="1" applyBorder="1"/>
    <xf numFmtId="0" fontId="15" fillId="2" borderId="0" xfId="2" applyFont="1" applyFill="1"/>
    <xf numFmtId="2" fontId="4" fillId="2" borderId="0" xfId="2" applyNumberFormat="1" applyFill="1"/>
    <xf numFmtId="165" fontId="3" fillId="2" borderId="0" xfId="3" applyFont="1" applyFill="1" applyAlignment="1">
      <alignment vertical="center"/>
    </xf>
    <xf numFmtId="165" fontId="13" fillId="2" borderId="0" xfId="3" applyFont="1" applyFill="1" applyAlignment="1">
      <alignment vertical="center"/>
    </xf>
    <xf numFmtId="165" fontId="5" fillId="2" borderId="0" xfId="3" applyFont="1" applyFill="1" applyAlignment="1">
      <alignment vertical="center"/>
    </xf>
    <xf numFmtId="165" fontId="3" fillId="2" borderId="0" xfId="3" applyFont="1" applyFill="1" applyAlignment="1">
      <alignment vertical="center" wrapText="1"/>
    </xf>
    <xf numFmtId="3" fontId="14" fillId="2" borderId="1" xfId="6" applyNumberFormat="1" applyFont="1" applyFill="1" applyBorder="1" applyAlignment="1">
      <alignment horizontal="left" vertical="center"/>
    </xf>
    <xf numFmtId="3" fontId="15" fillId="2" borderId="1" xfId="6" applyNumberFormat="1" applyFont="1" applyFill="1" applyBorder="1" applyAlignment="1">
      <alignment horizontal="center" vertical="center"/>
    </xf>
    <xf numFmtId="3" fontId="15" fillId="2" borderId="1" xfId="6" applyNumberFormat="1" applyFont="1" applyFill="1" applyBorder="1" applyAlignment="1">
      <alignment horizontal="right" vertical="center"/>
    </xf>
    <xf numFmtId="0" fontId="4" fillId="2" borderId="1" xfId="2" applyFill="1" applyBorder="1"/>
    <xf numFmtId="0" fontId="13" fillId="2" borderId="1" xfId="2" applyFont="1" applyFill="1" applyBorder="1"/>
    <xf numFmtId="0" fontId="5" fillId="2" borderId="2" xfId="2" applyFont="1" applyFill="1" applyBorder="1"/>
    <xf numFmtId="0" fontId="15" fillId="2" borderId="2" xfId="2" applyFont="1" applyFill="1" applyBorder="1"/>
    <xf numFmtId="0" fontId="15" fillId="2" borderId="2" xfId="2" applyFont="1" applyFill="1" applyBorder="1" applyAlignment="1">
      <alignment horizontal="right"/>
    </xf>
    <xf numFmtId="0" fontId="15" fillId="2" borderId="3" xfId="2" applyFont="1" applyFill="1" applyBorder="1"/>
    <xf numFmtId="165" fontId="3" fillId="2" borderId="3" xfId="3" applyFont="1" applyFill="1" applyBorder="1" applyAlignment="1">
      <alignment horizontal="right" vertical="center" wrapText="1"/>
    </xf>
    <xf numFmtId="0" fontId="5" fillId="2" borderId="0" xfId="2" applyFont="1" applyFill="1" applyAlignment="1">
      <alignment horizontal="left"/>
    </xf>
    <xf numFmtId="0" fontId="5" fillId="2" borderId="1" xfId="2" applyFont="1" applyFill="1" applyBorder="1" applyAlignment="1">
      <alignment horizontal="left"/>
    </xf>
    <xf numFmtId="166" fontId="13" fillId="2" borderId="0" xfId="2" applyNumberFormat="1" applyFont="1" applyFill="1"/>
    <xf numFmtId="0" fontId="15" fillId="2" borderId="1" xfId="2" applyFont="1" applyFill="1" applyBorder="1"/>
    <xf numFmtId="3" fontId="14" fillId="2" borderId="0" xfId="6" applyNumberFormat="1" applyFont="1" applyFill="1" applyAlignment="1">
      <alignment horizontal="left" vertical="center"/>
    </xf>
    <xf numFmtId="3" fontId="11" fillId="2" borderId="0" xfId="6" applyNumberFormat="1" applyFont="1" applyFill="1" applyAlignment="1">
      <alignment horizontal="right" vertical="center"/>
    </xf>
    <xf numFmtId="2" fontId="13" fillId="2" borderId="0" xfId="2" applyNumberFormat="1" applyFont="1" applyFill="1"/>
    <xf numFmtId="0" fontId="5" fillId="2" borderId="2" xfId="2" applyFont="1" applyFill="1" applyBorder="1" applyAlignment="1">
      <alignment horizontal="left"/>
    </xf>
    <xf numFmtId="0" fontId="14" fillId="2" borderId="1" xfId="2" applyFont="1" applyFill="1" applyBorder="1"/>
    <xf numFmtId="0" fontId="14" fillId="2" borderId="0" xfId="2" applyFont="1" applyFill="1"/>
    <xf numFmtId="0" fontId="13" fillId="2" borderId="0" xfId="2" applyFont="1" applyFill="1" applyAlignment="1">
      <alignment horizontal="right"/>
    </xf>
    <xf numFmtId="168" fontId="13" fillId="2" borderId="0" xfId="2" applyNumberFormat="1" applyFont="1" applyFill="1"/>
    <xf numFmtId="0" fontId="13" fillId="2" borderId="0" xfId="2" applyFont="1" applyFill="1" applyAlignment="1">
      <alignment horizontal="right" vertical="center"/>
    </xf>
    <xf numFmtId="0" fontId="13" fillId="2" borderId="1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0" fillId="2" borderId="0" xfId="3" applyFont="1" applyFill="1" applyAlignment="1">
      <alignment horizontal="right" vertical="center"/>
    </xf>
    <xf numFmtId="165" fontId="20" fillId="2" borderId="0" xfId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165" fontId="19" fillId="2" borderId="1" xfId="1" applyFont="1" applyFill="1" applyBorder="1" applyAlignment="1">
      <alignment horizontal="right" vertical="center"/>
    </xf>
    <xf numFmtId="165" fontId="19" fillId="2" borderId="3" xfId="3" applyFont="1" applyFill="1" applyBorder="1" applyAlignment="1">
      <alignment horizontal="right" vertical="center"/>
    </xf>
    <xf numFmtId="0" fontId="20" fillId="2" borderId="1" xfId="2" applyFont="1" applyFill="1" applyBorder="1" applyAlignment="1">
      <alignment vertical="center"/>
    </xf>
    <xf numFmtId="165" fontId="20" fillId="2" borderId="0" xfId="3" applyFont="1" applyFill="1" applyAlignment="1">
      <alignment horizontal="center" vertical="center"/>
    </xf>
    <xf numFmtId="165" fontId="19" fillId="2" borderId="2" xfId="3" applyFont="1" applyFill="1" applyBorder="1" applyAlignment="1">
      <alignment horizontal="right" vertical="center"/>
    </xf>
    <xf numFmtId="165" fontId="19" fillId="2" borderId="4" xfId="3" applyFont="1" applyFill="1" applyBorder="1" applyAlignment="1">
      <alignment horizontal="right" vertical="center" wrapText="1"/>
    </xf>
    <xf numFmtId="165" fontId="19" fillId="2" borderId="0" xfId="3" applyFont="1" applyFill="1" applyAlignment="1">
      <alignment horizontal="right" vertical="center" wrapText="1"/>
    </xf>
    <xf numFmtId="2" fontId="12" fillId="2" borderId="0" xfId="2" applyNumberFormat="1" applyFont="1" applyFill="1"/>
    <xf numFmtId="169" fontId="19" fillId="2" borderId="0" xfId="3" applyNumberFormat="1" applyFont="1" applyFill="1" applyAlignment="1">
      <alignment horizontal="right"/>
    </xf>
    <xf numFmtId="17" fontId="9" fillId="2" borderId="1" xfId="2" applyNumberFormat="1" applyFont="1" applyFill="1" applyBorder="1" applyAlignment="1">
      <alignment horizontal="right" vertical="center"/>
    </xf>
    <xf numFmtId="0" fontId="9" fillId="2" borderId="1" xfId="2" applyFont="1" applyFill="1" applyBorder="1" applyAlignment="1">
      <alignment horizontal="right" vertical="center"/>
    </xf>
    <xf numFmtId="165" fontId="9" fillId="2" borderId="1" xfId="3" applyFont="1" applyFill="1" applyBorder="1" applyAlignment="1">
      <alignment horizontal="right" vertical="center"/>
    </xf>
    <xf numFmtId="3" fontId="20" fillId="2" borderId="1" xfId="6" applyNumberFormat="1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/>
    </xf>
    <xf numFmtId="0" fontId="20" fillId="2" borderId="0" xfId="2" applyFont="1" applyFill="1"/>
    <xf numFmtId="0" fontId="20" fillId="2" borderId="1" xfId="2" applyFont="1" applyFill="1" applyBorder="1"/>
    <xf numFmtId="0" fontId="4" fillId="2" borderId="0" xfId="2" applyFill="1" applyAlignment="1">
      <alignment horizontal="right" vertical="center"/>
    </xf>
    <xf numFmtId="0" fontId="4" fillId="2" borderId="1" xfId="2" applyFill="1" applyBorder="1" applyAlignment="1">
      <alignment horizontal="right" vertical="center"/>
    </xf>
    <xf numFmtId="169" fontId="19" fillId="2" borderId="0" xfId="3" applyNumberFormat="1" applyFont="1" applyFill="1" applyAlignment="1">
      <alignment horizontal="right" vertical="center"/>
    </xf>
    <xf numFmtId="43" fontId="10" fillId="2" borderId="0" xfId="0" applyNumberFormat="1" applyFont="1" applyFill="1" applyAlignment="1">
      <alignment horizontal="right" vertical="center"/>
    </xf>
    <xf numFmtId="2" fontId="15" fillId="2" borderId="0" xfId="2" applyNumberFormat="1" applyFont="1" applyFill="1"/>
    <xf numFmtId="43" fontId="9" fillId="2" borderId="0" xfId="0" applyNumberFormat="1" applyFont="1" applyFill="1" applyAlignment="1">
      <alignment horizontal="right" vertical="center"/>
    </xf>
    <xf numFmtId="43" fontId="9" fillId="2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165" fontId="9" fillId="2" borderId="0" xfId="3" applyFont="1" applyFill="1" applyAlignment="1">
      <alignment horizontal="center" vertical="center"/>
    </xf>
    <xf numFmtId="165" fontId="19" fillId="2" borderId="0" xfId="3" applyFont="1" applyFill="1" applyAlignment="1">
      <alignment horizontal="center" vertical="center" wrapText="1"/>
    </xf>
    <xf numFmtId="165" fontId="5" fillId="2" borderId="0" xfId="3" applyFont="1" applyFill="1" applyAlignment="1">
      <alignment horizontal="center" vertical="center"/>
    </xf>
    <xf numFmtId="165" fontId="21" fillId="2" borderId="0" xfId="3" applyFont="1" applyFill="1" applyAlignment="1">
      <alignment horizontal="center" vertical="center"/>
    </xf>
  </cellXfs>
  <cellStyles count="22">
    <cellStyle name="1" xfId="11" xr:uid="{00000000-0005-0000-0000-000000000000}"/>
    <cellStyle name="Comma 2" xfId="12" xr:uid="{00000000-0005-0000-0000-000001000000}"/>
    <cellStyle name="Comma 2 2" xfId="17" xr:uid="{00000000-0005-0000-0000-000002000000}"/>
    <cellStyle name="Comma 3" xfId="13" xr:uid="{00000000-0005-0000-0000-000003000000}"/>
    <cellStyle name="Comma 3 2" xfId="7" xr:uid="{00000000-0005-0000-0000-000004000000}"/>
    <cellStyle name="Normal" xfId="0" builtinId="0"/>
    <cellStyle name="Normal - Style1" xfId="14" xr:uid="{00000000-0005-0000-0000-000007000000}"/>
    <cellStyle name="Normal 2" xfId="16" xr:uid="{00000000-0005-0000-0000-000008000000}"/>
    <cellStyle name="Normal 3" xfId="8" xr:uid="{00000000-0005-0000-0000-000009000000}"/>
    <cellStyle name="Normal 4" xfId="9" xr:uid="{00000000-0005-0000-0000-00000A000000}"/>
    <cellStyle name="Normal 5" xfId="10" xr:uid="{00000000-0005-0000-0000-00000B000000}"/>
    <cellStyle name="Normal 5 2" xfId="20" xr:uid="{00000000-0005-0000-0000-00000C000000}"/>
    <cellStyle name="Normal 6" xfId="19" xr:uid="{00000000-0005-0000-0000-00000D000000}"/>
    <cellStyle name="Normal 6 2" xfId="21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II-15(Population)" xfId="6" xr:uid="{00000000-0005-0000-0000-000012000000}"/>
    <cellStyle name="Normal_XII-11(Commerce)" xfId="3" xr:uid="{00000000-0005-0000-0000-000013000000}"/>
    <cellStyle name="Normal_XII-12 (Commerce)" xfId="1" xr:uid="{00000000-0005-0000-0000-000014000000}"/>
    <cellStyle name="Percent 2" xfId="15" xr:uid="{00000000-0005-0000-0000-000015000000}"/>
    <cellStyle name="Percent 2 2" xfId="18" xr:uid="{00000000-0005-0000-0000-000016000000}"/>
  </cellStyles>
  <dxfs count="0"/>
  <tableStyles count="0" defaultTableStyle="TableStyleMedium2" defaultPivotStyle="PivotStyleLight16"/>
  <colors>
    <mruColors>
      <color rgb="FF003300"/>
      <color rgb="FFF4F9F1"/>
      <color rgb="FF2F75B5"/>
      <color rgb="FFFF3399"/>
      <color rgb="FF336600"/>
      <color rgb="FFD0F5F4"/>
      <color rgb="FF7E5400"/>
      <color rgb="FF003399"/>
      <color rgb="FFF2F2F2"/>
      <color rgb="FFAE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N299"/>
  <sheetViews>
    <sheetView tabSelected="1" topLeftCell="A60" zoomScale="115" zoomScaleNormal="115" zoomScaleSheetLayoutView="95" workbookViewId="0">
      <selection activeCell="L224" sqref="L224:M224"/>
    </sheetView>
  </sheetViews>
  <sheetFormatPr defaultColWidth="9.140625" defaultRowHeight="14.25" x14ac:dyDescent="0.35"/>
  <cols>
    <col min="1" max="1" width="37.42578125" style="36" customWidth="1"/>
    <col min="2" max="2" width="10.5703125" style="9" customWidth="1"/>
    <col min="3" max="4" width="10.5703125" style="37" customWidth="1"/>
    <col min="5" max="13" width="10.5703125" style="9" customWidth="1"/>
    <col min="14" max="14" width="9.85546875" style="9" customWidth="1"/>
    <col min="15" max="15" width="7.7109375" style="9" customWidth="1"/>
    <col min="16" max="16" width="8.85546875" style="9" customWidth="1"/>
    <col min="17" max="17" width="6.42578125" style="9" customWidth="1"/>
    <col min="18" max="18" width="17.7109375" style="61" customWidth="1"/>
    <col min="19" max="26" width="6.42578125" style="9" customWidth="1"/>
    <col min="27" max="27" width="9.140625" style="9"/>
    <col min="28" max="40" width="10.140625" style="9" customWidth="1"/>
    <col min="41" max="16384" width="9.140625" style="9"/>
  </cols>
  <sheetData>
    <row r="1" spans="1:30" s="14" customFormat="1" ht="23.25" customHeight="1" x14ac:dyDescent="0.25">
      <c r="A1" s="74" t="s">
        <v>83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13"/>
      <c r="T1" s="13"/>
      <c r="U1" s="13"/>
      <c r="V1" s="13"/>
      <c r="W1" s="13"/>
      <c r="X1" s="13"/>
      <c r="Y1" s="13"/>
      <c r="Z1" s="13"/>
    </row>
    <row r="2" spans="1:30" s="15" customFormat="1" ht="12.75" x14ac:dyDescent="0.25">
      <c r="A2" s="71" t="s">
        <v>82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30" s="14" customFormat="1" ht="15" customHeight="1" x14ac:dyDescent="0.25">
      <c r="A3" s="72" t="s">
        <v>75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16"/>
      <c r="T3" s="16"/>
      <c r="U3" s="16"/>
      <c r="V3" s="16"/>
      <c r="W3" s="16"/>
      <c r="X3" s="16"/>
      <c r="Y3" s="16"/>
      <c r="Z3" s="16"/>
    </row>
    <row r="4" spans="1:30" s="15" customFormat="1" ht="12" x14ac:dyDescent="0.25">
      <c r="A4" s="73" t="s">
        <v>72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</row>
    <row r="5" spans="1:30" ht="6" customHeight="1" x14ac:dyDescent="0.2">
      <c r="A5" s="17"/>
      <c r="B5" s="18"/>
      <c r="C5" s="19"/>
      <c r="D5" s="19"/>
      <c r="E5" s="18"/>
      <c r="F5" s="20"/>
      <c r="G5" s="20"/>
      <c r="H5" s="20"/>
      <c r="I5" s="20"/>
      <c r="J5" s="20"/>
      <c r="K5" s="20"/>
      <c r="L5" s="20"/>
      <c r="M5" s="20"/>
      <c r="O5" s="21"/>
      <c r="P5" s="21"/>
      <c r="Q5" s="21"/>
      <c r="R5" s="59"/>
    </row>
    <row r="6" spans="1:30" ht="15" x14ac:dyDescent="0.2">
      <c r="A6" s="22"/>
      <c r="B6" s="23" t="s">
        <v>80</v>
      </c>
      <c r="C6" s="24"/>
      <c r="D6" s="24"/>
      <c r="E6" s="23"/>
      <c r="F6" s="11"/>
      <c r="G6" s="25"/>
      <c r="H6" s="26"/>
      <c r="I6" s="26"/>
      <c r="J6" s="26"/>
      <c r="K6" s="26"/>
      <c r="L6" s="26"/>
      <c r="M6" s="25"/>
      <c r="N6" s="48" t="s">
        <v>81</v>
      </c>
      <c r="R6" s="46" t="s">
        <v>50</v>
      </c>
    </row>
    <row r="7" spans="1:30" ht="20.25" customHeight="1" x14ac:dyDescent="0.35">
      <c r="A7" s="27" t="s">
        <v>51</v>
      </c>
      <c r="B7" s="52" t="s">
        <v>25</v>
      </c>
      <c r="C7" s="52" t="s">
        <v>26</v>
      </c>
      <c r="D7" s="52" t="s">
        <v>27</v>
      </c>
      <c r="E7" s="52" t="s">
        <v>28</v>
      </c>
      <c r="F7" s="52" t="s">
        <v>29</v>
      </c>
      <c r="G7" s="53" t="s">
        <v>30</v>
      </c>
      <c r="H7" s="53" t="s">
        <v>31</v>
      </c>
      <c r="I7" s="53" t="s">
        <v>32</v>
      </c>
      <c r="J7" s="53" t="s">
        <v>33</v>
      </c>
      <c r="K7" s="53" t="s">
        <v>34</v>
      </c>
      <c r="L7" s="53" t="s">
        <v>35</v>
      </c>
      <c r="M7" s="53" t="s">
        <v>36</v>
      </c>
      <c r="N7" s="55" t="s">
        <v>37</v>
      </c>
      <c r="R7" s="60" t="s">
        <v>52</v>
      </c>
    </row>
    <row r="8" spans="1:30" s="8" customFormat="1" ht="18" customHeight="1" x14ac:dyDescent="0.25">
      <c r="A8" s="41" t="s">
        <v>0</v>
      </c>
      <c r="B8" s="56" t="s">
        <v>38</v>
      </c>
      <c r="C8" s="57" t="s">
        <v>39</v>
      </c>
      <c r="D8" s="57" t="s">
        <v>40</v>
      </c>
      <c r="E8" s="57" t="s">
        <v>41</v>
      </c>
      <c r="F8" s="57" t="s">
        <v>42</v>
      </c>
      <c r="G8" s="57" t="s">
        <v>43</v>
      </c>
      <c r="H8" s="57" t="s">
        <v>44</v>
      </c>
      <c r="I8" s="57" t="s">
        <v>45</v>
      </c>
      <c r="J8" s="57" t="s">
        <v>46</v>
      </c>
      <c r="K8" s="57" t="s">
        <v>47</v>
      </c>
      <c r="L8" s="57" t="s">
        <v>48</v>
      </c>
      <c r="M8" s="57" t="s">
        <v>49</v>
      </c>
      <c r="N8" s="58" t="s">
        <v>53</v>
      </c>
      <c r="O8" s="40"/>
      <c r="P8" s="40"/>
      <c r="Q8" s="40"/>
      <c r="R8" s="49"/>
    </row>
    <row r="9" spans="1:30" ht="19.5" customHeight="1" x14ac:dyDescent="0.2">
      <c r="A9" s="3" t="s">
        <v>2</v>
      </c>
      <c r="B9" s="66">
        <v>114.44847294162666</v>
      </c>
      <c r="C9" s="66">
        <v>114.58679931156782</v>
      </c>
      <c r="D9" s="66">
        <v>115.8548990146334</v>
      </c>
      <c r="E9" s="66">
        <v>113.70635280924789</v>
      </c>
      <c r="F9" s="66">
        <v>113.75991353563333</v>
      </c>
      <c r="G9" s="66">
        <v>114.38646904712382</v>
      </c>
      <c r="H9" s="66">
        <v>114.67199499782257</v>
      </c>
      <c r="I9" s="66">
        <v>116.50528254061325</v>
      </c>
      <c r="J9" s="66">
        <v>115.46092348785299</v>
      </c>
      <c r="K9" s="66">
        <v>114.73698198267671</v>
      </c>
      <c r="L9" s="66">
        <v>114.86556154484406</v>
      </c>
      <c r="M9" s="66">
        <v>116.25495527447558</v>
      </c>
      <c r="N9" s="66">
        <f>AVERAGE(B9:M9)</f>
        <v>114.93655054067652</v>
      </c>
      <c r="R9" s="44" t="s">
        <v>3</v>
      </c>
      <c r="S9" s="29"/>
      <c r="T9" s="29"/>
      <c r="U9" s="29"/>
      <c r="V9" s="29"/>
      <c r="W9" s="29"/>
      <c r="X9" s="29"/>
      <c r="Y9" s="29"/>
      <c r="Z9" s="29"/>
    </row>
    <row r="10" spans="1:30" ht="19.5" customHeight="1" x14ac:dyDescent="0.2">
      <c r="A10" s="3" t="s">
        <v>4</v>
      </c>
      <c r="B10" s="66">
        <v>112.3407118605856</v>
      </c>
      <c r="C10" s="66">
        <v>113.29984513315308</v>
      </c>
      <c r="D10" s="66">
        <v>114.59848092141979</v>
      </c>
      <c r="E10" s="66">
        <v>111.44050025668626</v>
      </c>
      <c r="F10" s="66">
        <v>111.39619729523328</v>
      </c>
      <c r="G10" s="66">
        <v>112.52226784326676</v>
      </c>
      <c r="H10" s="66">
        <v>112.71698836418068</v>
      </c>
      <c r="I10" s="66">
        <v>114.04122086387999</v>
      </c>
      <c r="J10" s="66">
        <v>113.50171130304577</v>
      </c>
      <c r="K10" s="66">
        <v>112.17573665955391</v>
      </c>
      <c r="L10" s="66">
        <v>112.14009530174008</v>
      </c>
      <c r="M10" s="66">
        <v>113.55743546067913</v>
      </c>
      <c r="N10" s="66">
        <f t="shared" ref="N10:N26" si="0">AVERAGE(B10:M10)</f>
        <v>112.81093260528537</v>
      </c>
      <c r="R10" s="44" t="s">
        <v>5</v>
      </c>
      <c r="S10" s="29"/>
      <c r="T10" s="29"/>
      <c r="U10" s="29"/>
      <c r="V10" s="29"/>
      <c r="W10" s="29"/>
      <c r="X10" s="29"/>
      <c r="Y10" s="29"/>
      <c r="Z10" s="29"/>
    </row>
    <row r="11" spans="1:30" ht="19.5" customHeight="1" x14ac:dyDescent="0.2">
      <c r="A11" s="4" t="s">
        <v>6</v>
      </c>
      <c r="B11" s="66">
        <v>123.36686637618263</v>
      </c>
      <c r="C11" s="66">
        <v>120.03218104794529</v>
      </c>
      <c r="D11" s="66">
        <v>121.1710759638914</v>
      </c>
      <c r="E11" s="66">
        <v>123.29366548439064</v>
      </c>
      <c r="F11" s="66">
        <v>123.76130866013435</v>
      </c>
      <c r="G11" s="66">
        <v>122.27430791402161</v>
      </c>
      <c r="H11" s="66">
        <v>122.94405129624015</v>
      </c>
      <c r="I11" s="66">
        <v>126.93126092961774</v>
      </c>
      <c r="J11" s="66">
        <v>123.75077438369385</v>
      </c>
      <c r="K11" s="66">
        <v>125.57416541844989</v>
      </c>
      <c r="L11" s="66">
        <v>126.39759924458036</v>
      </c>
      <c r="M11" s="66">
        <v>127.66874558180234</v>
      </c>
      <c r="N11" s="66">
        <f>AVERAGE(B11:M11)</f>
        <v>123.93050019174585</v>
      </c>
      <c r="R11" s="44" t="s">
        <v>7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9.5" customHeight="1" x14ac:dyDescent="0.2">
      <c r="A12" s="4" t="s">
        <v>8</v>
      </c>
      <c r="B12" s="66">
        <v>220.36372688751209</v>
      </c>
      <c r="C12" s="66">
        <v>220.5479286040698</v>
      </c>
      <c r="D12" s="66">
        <v>220.31769994552198</v>
      </c>
      <c r="E12" s="66">
        <v>220.5109173578762</v>
      </c>
      <c r="F12" s="66">
        <v>211.37413396916719</v>
      </c>
      <c r="G12" s="66">
        <v>220.5695907335668</v>
      </c>
      <c r="H12" s="66">
        <v>221.0742050360077</v>
      </c>
      <c r="I12" s="66">
        <v>221.33423067747404</v>
      </c>
      <c r="J12" s="66">
        <v>221.37593193851711</v>
      </c>
      <c r="K12" s="66">
        <v>221.87868605232066</v>
      </c>
      <c r="L12" s="66">
        <v>219.85859400597829</v>
      </c>
      <c r="M12" s="66">
        <v>219.86216569565406</v>
      </c>
      <c r="N12" s="66">
        <f>AVERAGE(B12:M12)</f>
        <v>219.92231757530553</v>
      </c>
      <c r="R12" s="44" t="s">
        <v>24</v>
      </c>
      <c r="S12" s="29"/>
      <c r="T12" s="29"/>
      <c r="U12" s="29"/>
      <c r="V12" s="29"/>
      <c r="W12" s="29"/>
      <c r="X12" s="29"/>
      <c r="Y12" s="29"/>
      <c r="Z12" s="29"/>
    </row>
    <row r="13" spans="1:30" ht="19.5" customHeight="1" x14ac:dyDescent="0.2">
      <c r="A13" s="4" t="s">
        <v>59</v>
      </c>
      <c r="B13" s="66">
        <v>102.73361907252735</v>
      </c>
      <c r="C13" s="66">
        <v>102.8436094281456</v>
      </c>
      <c r="D13" s="66">
        <v>103.02100385744568</v>
      </c>
      <c r="E13" s="66">
        <v>102.68569594271607</v>
      </c>
      <c r="F13" s="66">
        <v>102.6599731070678</v>
      </c>
      <c r="G13" s="66">
        <v>102.66136132153142</v>
      </c>
      <c r="H13" s="66">
        <v>102.46150623813872</v>
      </c>
      <c r="I13" s="66">
        <v>102.48688282923722</v>
      </c>
      <c r="J13" s="66">
        <v>102.50343511536309</v>
      </c>
      <c r="K13" s="66">
        <v>101.97087334629099</v>
      </c>
      <c r="L13" s="66">
        <v>101.95001093760087</v>
      </c>
      <c r="M13" s="66">
        <v>101.96768038993247</v>
      </c>
      <c r="N13" s="66">
        <f t="shared" si="0"/>
        <v>102.49547096549976</v>
      </c>
      <c r="R13" s="44" t="s">
        <v>9</v>
      </c>
      <c r="S13" s="29"/>
      <c r="T13" s="29"/>
      <c r="U13" s="29"/>
      <c r="V13" s="29"/>
      <c r="W13" s="29"/>
      <c r="X13" s="29"/>
      <c r="Y13" s="29"/>
      <c r="Z13" s="29"/>
    </row>
    <row r="14" spans="1:30" ht="19.5" customHeight="1" x14ac:dyDescent="0.2">
      <c r="A14" s="4" t="s">
        <v>60</v>
      </c>
      <c r="B14" s="66">
        <v>101.4881075716462</v>
      </c>
      <c r="C14" s="66">
        <v>102.29259255505794</v>
      </c>
      <c r="D14" s="66">
        <v>98.590283677082581</v>
      </c>
      <c r="E14" s="66">
        <v>98.041727039529761</v>
      </c>
      <c r="F14" s="66">
        <v>99.975900361025239</v>
      </c>
      <c r="G14" s="66">
        <v>99.411137792468907</v>
      </c>
      <c r="H14" s="66">
        <v>99.308241597051293</v>
      </c>
      <c r="I14" s="66">
        <v>99.052456340243424</v>
      </c>
      <c r="J14" s="66">
        <v>99.500832865279435</v>
      </c>
      <c r="K14" s="66">
        <v>99.152865842485454</v>
      </c>
      <c r="L14" s="66">
        <v>99.186770292890373</v>
      </c>
      <c r="M14" s="66">
        <v>98.508307347215265</v>
      </c>
      <c r="N14" s="66">
        <f t="shared" si="0"/>
        <v>99.542435273497986</v>
      </c>
      <c r="R14" s="44" t="s">
        <v>10</v>
      </c>
      <c r="S14" s="29"/>
      <c r="T14" s="29"/>
      <c r="U14" s="29"/>
      <c r="V14" s="29"/>
      <c r="W14" s="29"/>
      <c r="X14" s="29"/>
      <c r="Y14" s="29"/>
      <c r="Z14" s="29"/>
    </row>
    <row r="15" spans="1:30" ht="19.5" customHeight="1" x14ac:dyDescent="0.2">
      <c r="A15" s="4" t="s">
        <v>61</v>
      </c>
      <c r="B15" s="66">
        <v>99.99216247678946</v>
      </c>
      <c r="C15" s="66">
        <v>99.99216247678946</v>
      </c>
      <c r="D15" s="66">
        <v>99.99216247678946</v>
      </c>
      <c r="E15" s="66">
        <v>99.99216247678946</v>
      </c>
      <c r="F15" s="66">
        <v>99.99216247678946</v>
      </c>
      <c r="G15" s="66">
        <v>99.99216247678946</v>
      </c>
      <c r="H15" s="66">
        <v>99.99216247678946</v>
      </c>
      <c r="I15" s="66">
        <v>99.99216247678946</v>
      </c>
      <c r="J15" s="66">
        <v>99.99216247678946</v>
      </c>
      <c r="K15" s="66">
        <v>99.99216247678946</v>
      </c>
      <c r="L15" s="66">
        <v>99.99216247678946</v>
      </c>
      <c r="M15" s="66">
        <v>99.99216247678946</v>
      </c>
      <c r="N15" s="66">
        <f t="shared" si="0"/>
        <v>99.992162476789431</v>
      </c>
      <c r="R15" s="50" t="s">
        <v>54</v>
      </c>
      <c r="S15" s="29"/>
      <c r="T15" s="29"/>
      <c r="U15" s="29"/>
      <c r="V15" s="29"/>
      <c r="W15" s="29"/>
      <c r="X15" s="29"/>
      <c r="Y15" s="29"/>
      <c r="Z15" s="29"/>
    </row>
    <row r="16" spans="1:30" ht="25.5" x14ac:dyDescent="0.2">
      <c r="A16" s="3" t="s">
        <v>62</v>
      </c>
      <c r="B16" s="66">
        <v>102.53360309317104</v>
      </c>
      <c r="C16" s="66">
        <v>102.42466574824698</v>
      </c>
      <c r="D16" s="66">
        <v>102.11360935960045</v>
      </c>
      <c r="E16" s="66">
        <v>103.35226695011335</v>
      </c>
      <c r="F16" s="66">
        <v>103.52685564320389</v>
      </c>
      <c r="G16" s="66">
        <v>102.81999043008695</v>
      </c>
      <c r="H16" s="66">
        <v>102.86547670177428</v>
      </c>
      <c r="I16" s="66">
        <v>102.91310562560919</v>
      </c>
      <c r="J16" s="66">
        <v>102.88841427486726</v>
      </c>
      <c r="K16" s="66">
        <v>103.48111990317778</v>
      </c>
      <c r="L16" s="66">
        <v>103.47121045032164</v>
      </c>
      <c r="M16" s="66">
        <v>101.99132580837197</v>
      </c>
      <c r="N16" s="66">
        <f>AVERAGE(B16:M16)</f>
        <v>102.86513699904542</v>
      </c>
      <c r="R16" s="44" t="s">
        <v>11</v>
      </c>
      <c r="S16" s="29"/>
      <c r="T16" s="29"/>
      <c r="U16" s="29"/>
      <c r="V16" s="29"/>
      <c r="W16" s="29"/>
      <c r="X16" s="29"/>
      <c r="Y16" s="29"/>
      <c r="Z16" s="29"/>
    </row>
    <row r="17" spans="1:40" ht="19.5" customHeight="1" x14ac:dyDescent="0.2">
      <c r="A17" s="5" t="s">
        <v>12</v>
      </c>
      <c r="B17" s="66">
        <v>109.23738217084019</v>
      </c>
      <c r="C17" s="66">
        <v>109.24293315923069</v>
      </c>
      <c r="D17" s="66">
        <v>109.25000543266712</v>
      </c>
      <c r="E17" s="66">
        <v>109.32752749278762</v>
      </c>
      <c r="F17" s="66">
        <v>109.3312019242158</v>
      </c>
      <c r="G17" s="66">
        <v>109.3163574422592</v>
      </c>
      <c r="H17" s="66">
        <v>109.39729446940862</v>
      </c>
      <c r="I17" s="66">
        <v>109.39398688836852</v>
      </c>
      <c r="J17" s="66">
        <v>109.47882582227419</v>
      </c>
      <c r="K17" s="66">
        <v>109.93546386870725</v>
      </c>
      <c r="L17" s="66">
        <v>109.97435972921809</v>
      </c>
      <c r="M17" s="66">
        <v>109.94480155809286</v>
      </c>
      <c r="N17" s="66">
        <f t="shared" si="0"/>
        <v>109.48584499650586</v>
      </c>
      <c r="R17" s="44" t="s">
        <v>13</v>
      </c>
      <c r="S17" s="29"/>
      <c r="T17" s="29"/>
      <c r="U17" s="29"/>
      <c r="V17" s="29"/>
      <c r="W17" s="29"/>
      <c r="X17" s="29"/>
      <c r="Y17" s="29"/>
      <c r="Z17" s="29"/>
    </row>
    <row r="18" spans="1:40" ht="19.5" customHeight="1" x14ac:dyDescent="0.2">
      <c r="A18" s="5" t="s">
        <v>63</v>
      </c>
      <c r="B18" s="66">
        <v>102.87962243501649</v>
      </c>
      <c r="C18" s="66">
        <v>102.37757812562452</v>
      </c>
      <c r="D18" s="66">
        <v>102.21524068692678</v>
      </c>
      <c r="E18" s="66">
        <v>102.2625961910466</v>
      </c>
      <c r="F18" s="66">
        <v>102.31551070973929</v>
      </c>
      <c r="G18" s="66">
        <v>102.02422657038183</v>
      </c>
      <c r="H18" s="66">
        <v>101.59142028644513</v>
      </c>
      <c r="I18" s="66">
        <v>101.68586394757641</v>
      </c>
      <c r="J18" s="66">
        <v>101.44845269821441</v>
      </c>
      <c r="K18" s="66">
        <v>101.42210485308729</v>
      </c>
      <c r="L18" s="66">
        <v>101.65713608791323</v>
      </c>
      <c r="M18" s="66">
        <v>101.69796891078775</v>
      </c>
      <c r="N18" s="66">
        <f t="shared" si="0"/>
        <v>101.96481012522997</v>
      </c>
      <c r="R18" s="44" t="s">
        <v>14</v>
      </c>
      <c r="S18" s="29"/>
      <c r="T18" s="29"/>
      <c r="U18" s="29"/>
      <c r="V18" s="29"/>
      <c r="W18" s="29"/>
      <c r="X18" s="29"/>
      <c r="Y18" s="29"/>
      <c r="Z18" s="29"/>
    </row>
    <row r="19" spans="1:40" ht="19.5" customHeight="1" x14ac:dyDescent="0.2">
      <c r="A19" s="5" t="s">
        <v>64</v>
      </c>
      <c r="B19" s="66">
        <v>82.171382149210785</v>
      </c>
      <c r="C19" s="66">
        <v>82.717197016646708</v>
      </c>
      <c r="D19" s="66">
        <v>82.057005756621763</v>
      </c>
      <c r="E19" s="66">
        <v>82.04106694683928</v>
      </c>
      <c r="F19" s="66">
        <v>81.942927017483299</v>
      </c>
      <c r="G19" s="66">
        <v>82.078767980685441</v>
      </c>
      <c r="H19" s="66">
        <v>81.791582354781696</v>
      </c>
      <c r="I19" s="66">
        <v>81.906100409570286</v>
      </c>
      <c r="J19" s="66">
        <v>81.935716709642335</v>
      </c>
      <c r="K19" s="66">
        <v>82.306860093723259</v>
      </c>
      <c r="L19" s="66">
        <v>82.40777753589758</v>
      </c>
      <c r="M19" s="66">
        <v>83.191561360185318</v>
      </c>
      <c r="N19" s="66">
        <f>AVERAGE(B19:M19)</f>
        <v>82.212328777607311</v>
      </c>
      <c r="R19" s="44" t="s">
        <v>15</v>
      </c>
      <c r="S19" s="29"/>
      <c r="T19" s="29"/>
      <c r="U19" s="29"/>
      <c r="V19" s="29"/>
      <c r="W19" s="29"/>
      <c r="X19" s="29"/>
      <c r="Y19" s="29"/>
      <c r="Z19" s="29"/>
    </row>
    <row r="20" spans="1:40" ht="19.5" customHeight="1" x14ac:dyDescent="0.2">
      <c r="A20" s="3" t="s">
        <v>65</v>
      </c>
      <c r="B20" s="66">
        <v>101.68715162507745</v>
      </c>
      <c r="C20" s="66">
        <v>101.79249665573282</v>
      </c>
      <c r="D20" s="66">
        <v>101.79249665573282</v>
      </c>
      <c r="E20" s="66">
        <v>101.82558994276155</v>
      </c>
      <c r="F20" s="66">
        <v>101.5821277812381</v>
      </c>
      <c r="G20" s="66">
        <v>101.57536586420548</v>
      </c>
      <c r="H20" s="66">
        <v>101.61701542576911</v>
      </c>
      <c r="I20" s="66">
        <v>101.58240400087675</v>
      </c>
      <c r="J20" s="66">
        <v>101.57006741726556</v>
      </c>
      <c r="K20" s="66">
        <v>100.94440551749494</v>
      </c>
      <c r="L20" s="66">
        <v>101.02726798387619</v>
      </c>
      <c r="M20" s="66">
        <v>103.76993758242696</v>
      </c>
      <c r="N20" s="66">
        <f t="shared" si="0"/>
        <v>101.73052720437148</v>
      </c>
      <c r="R20" s="45" t="s">
        <v>16</v>
      </c>
      <c r="S20" s="29"/>
      <c r="T20" s="29"/>
      <c r="U20" s="29"/>
      <c r="V20" s="29"/>
      <c r="W20" s="29"/>
      <c r="X20" s="29"/>
      <c r="Y20" s="29"/>
      <c r="Z20" s="29"/>
    </row>
    <row r="21" spans="1:40" ht="19.5" customHeight="1" x14ac:dyDescent="0.2">
      <c r="A21" s="4" t="s">
        <v>66</v>
      </c>
      <c r="B21" s="66">
        <v>106.11936453814231</v>
      </c>
      <c r="C21" s="66">
        <v>106.11936453814231</v>
      </c>
      <c r="D21" s="66">
        <v>106.11936453814231</v>
      </c>
      <c r="E21" s="66">
        <v>106.75986818392032</v>
      </c>
      <c r="F21" s="66">
        <v>106.75986818392032</v>
      </c>
      <c r="G21" s="66">
        <v>106.75986818392032</v>
      </c>
      <c r="H21" s="66">
        <v>106.75986818392032</v>
      </c>
      <c r="I21" s="66">
        <v>106.75986818392032</v>
      </c>
      <c r="J21" s="66">
        <v>106.75986818392032</v>
      </c>
      <c r="K21" s="66">
        <v>106.56763691155778</v>
      </c>
      <c r="L21" s="66">
        <v>106.56763691155778</v>
      </c>
      <c r="M21" s="66">
        <v>106.56763691155778</v>
      </c>
      <c r="N21" s="66">
        <f t="shared" si="0"/>
        <v>106.55168445438518</v>
      </c>
      <c r="R21" s="45" t="s">
        <v>17</v>
      </c>
      <c r="S21" s="29"/>
      <c r="T21" s="29"/>
      <c r="U21" s="29"/>
      <c r="V21" s="29"/>
      <c r="W21" s="29"/>
      <c r="X21" s="29"/>
      <c r="Y21" s="29"/>
      <c r="Z21" s="29"/>
    </row>
    <row r="22" spans="1:40" ht="19.5" customHeight="1" x14ac:dyDescent="0.2">
      <c r="A22" s="4" t="s">
        <v>67</v>
      </c>
      <c r="B22" s="66">
        <v>112.02463633863262</v>
      </c>
      <c r="C22" s="66">
        <v>112.33583367820526</v>
      </c>
      <c r="D22" s="66">
        <v>112.38509977605499</v>
      </c>
      <c r="E22" s="66">
        <v>112.17654394426495</v>
      </c>
      <c r="F22" s="66">
        <v>112.18748104439642</v>
      </c>
      <c r="G22" s="66">
        <v>112.19556251713495</v>
      </c>
      <c r="H22" s="66">
        <v>112.19556251713495</v>
      </c>
      <c r="I22" s="66">
        <v>112.21251341760343</v>
      </c>
      <c r="J22" s="66">
        <v>112.26321409843911</v>
      </c>
      <c r="K22" s="66">
        <v>112.47899945001838</v>
      </c>
      <c r="L22" s="66">
        <v>112.44447837289391</v>
      </c>
      <c r="M22" s="66">
        <v>112.45543447386325</v>
      </c>
      <c r="N22" s="66">
        <f t="shared" si="0"/>
        <v>112.27961330238685</v>
      </c>
      <c r="R22" s="45" t="s">
        <v>18</v>
      </c>
      <c r="S22" s="29"/>
      <c r="T22" s="29"/>
      <c r="U22" s="29"/>
      <c r="V22" s="29"/>
      <c r="W22" s="29"/>
      <c r="X22" s="29"/>
      <c r="Y22" s="29"/>
      <c r="Z22" s="29"/>
      <c r="AF22" s="1"/>
      <c r="AG22" s="1"/>
      <c r="AH22" s="1"/>
    </row>
    <row r="23" spans="1:40" ht="19.5" customHeight="1" x14ac:dyDescent="0.2">
      <c r="A23" s="4" t="s">
        <v>68</v>
      </c>
      <c r="B23" s="66">
        <v>110.73760582083828</v>
      </c>
      <c r="C23" s="66">
        <v>110.73760582083828</v>
      </c>
      <c r="D23" s="66">
        <v>110.73760582083828</v>
      </c>
      <c r="E23" s="66">
        <v>110.73760582083828</v>
      </c>
      <c r="F23" s="66">
        <v>110.73760582083828</v>
      </c>
      <c r="G23" s="66">
        <v>110.73760582083828</v>
      </c>
      <c r="H23" s="66">
        <v>110.73760582083828</v>
      </c>
      <c r="I23" s="66">
        <v>110.73760582083828</v>
      </c>
      <c r="J23" s="66">
        <v>110.73760582083828</v>
      </c>
      <c r="K23" s="66">
        <v>110.73760582083828</v>
      </c>
      <c r="L23" s="66">
        <v>110.73760582083828</v>
      </c>
      <c r="M23" s="66">
        <v>110.73760582083828</v>
      </c>
      <c r="N23" s="66">
        <f t="shared" si="0"/>
        <v>110.73760582083831</v>
      </c>
      <c r="R23" s="42" t="s">
        <v>70</v>
      </c>
      <c r="S23" s="29"/>
      <c r="T23" s="29"/>
      <c r="U23" s="29"/>
      <c r="V23" s="29"/>
      <c r="W23" s="29"/>
      <c r="X23" s="29"/>
      <c r="Y23" s="29"/>
      <c r="Z23" s="29"/>
      <c r="AF23" s="1"/>
      <c r="AG23" s="1"/>
      <c r="AH23" s="1"/>
    </row>
    <row r="24" spans="1:40" s="1" customFormat="1" ht="25.5" customHeight="1" x14ac:dyDescent="0.2">
      <c r="A24" s="3" t="s">
        <v>69</v>
      </c>
      <c r="B24" s="66">
        <v>106.93149367602062</v>
      </c>
      <c r="C24" s="66">
        <v>107.38471830750757</v>
      </c>
      <c r="D24" s="66">
        <v>107.37293900354447</v>
      </c>
      <c r="E24" s="66">
        <v>107.91418111988006</v>
      </c>
      <c r="F24" s="66">
        <v>108.20470833758847</v>
      </c>
      <c r="G24" s="66">
        <v>108.12991009361158</v>
      </c>
      <c r="H24" s="66">
        <v>108.24501990728879</v>
      </c>
      <c r="I24" s="66">
        <v>108.38999760787259</v>
      </c>
      <c r="J24" s="66">
        <v>108.59907041709586</v>
      </c>
      <c r="K24" s="66">
        <v>108.73906141268748</v>
      </c>
      <c r="L24" s="66">
        <v>108.87920073581822</v>
      </c>
      <c r="M24" s="66">
        <v>108.26352861174318</v>
      </c>
      <c r="N24" s="66">
        <f t="shared" si="0"/>
        <v>108.08781910255489</v>
      </c>
      <c r="O24" s="9"/>
      <c r="P24" s="9"/>
      <c r="Q24" s="9"/>
      <c r="R24" s="45" t="s">
        <v>19</v>
      </c>
      <c r="S24" s="29"/>
      <c r="T24" s="29"/>
      <c r="U24" s="29"/>
      <c r="V24" s="29"/>
      <c r="W24" s="29"/>
      <c r="X24" s="29"/>
      <c r="Y24" s="29"/>
      <c r="Z24" s="29"/>
      <c r="AB24" s="9"/>
      <c r="AC24" s="9"/>
      <c r="AD24" s="9"/>
      <c r="AE24" s="9"/>
    </row>
    <row r="25" spans="1:40" s="11" customFormat="1" ht="19.5" customHeight="1" x14ac:dyDescent="0.2">
      <c r="A25" s="6" t="s">
        <v>20</v>
      </c>
      <c r="B25" s="68">
        <v>108.04661165738869</v>
      </c>
      <c r="C25" s="68">
        <v>108.34963508889341</v>
      </c>
      <c r="D25" s="68">
        <v>107.59973788295645</v>
      </c>
      <c r="E25" s="68">
        <v>107.0635194078484</v>
      </c>
      <c r="F25" s="68">
        <v>107.29417794228553</v>
      </c>
      <c r="G25" s="68">
        <v>107.54284471621999</v>
      </c>
      <c r="H25" s="68">
        <v>107.54665201089311</v>
      </c>
      <c r="I25" s="68">
        <v>107.94864768013022</v>
      </c>
      <c r="J25" s="68">
        <v>107.82363883201562</v>
      </c>
      <c r="K25" s="68">
        <v>107.65128989619043</v>
      </c>
      <c r="L25" s="68">
        <v>107.65959589391767</v>
      </c>
      <c r="M25" s="68">
        <v>107.82847321409284</v>
      </c>
      <c r="N25" s="68">
        <f t="shared" si="0"/>
        <v>107.6962353519027</v>
      </c>
      <c r="R25" s="46" t="s">
        <v>21</v>
      </c>
      <c r="S25" s="29"/>
      <c r="T25" s="33"/>
      <c r="U25" s="33"/>
      <c r="V25" s="33"/>
      <c r="W25" s="33"/>
      <c r="X25" s="33"/>
      <c r="Y25" s="33"/>
      <c r="Z25" s="33"/>
      <c r="AA25" s="67"/>
      <c r="AB25" s="54"/>
      <c r="AC25" s="54"/>
      <c r="AD25" s="54"/>
      <c r="AE25" s="54"/>
    </row>
    <row r="26" spans="1:40" s="11" customFormat="1" ht="19.5" customHeight="1" x14ac:dyDescent="0.2">
      <c r="A26" s="7" t="s">
        <v>22</v>
      </c>
      <c r="B26" s="69">
        <v>107.32629070145835</v>
      </c>
      <c r="C26" s="69">
        <v>107.80035031345157</v>
      </c>
      <c r="D26" s="69">
        <v>106.96164671546947</v>
      </c>
      <c r="E26" s="69">
        <v>106.30041758275912</v>
      </c>
      <c r="F26" s="69">
        <v>106.51993367821593</v>
      </c>
      <c r="G26" s="69">
        <v>106.85020729943631</v>
      </c>
      <c r="H26" s="69">
        <v>106.82270390587519</v>
      </c>
      <c r="I26" s="69">
        <v>107.05613157169022</v>
      </c>
      <c r="J26" s="69">
        <v>107.07478382167798</v>
      </c>
      <c r="K26" s="69">
        <v>106.80860006719054</v>
      </c>
      <c r="L26" s="69">
        <v>106.77858074544116</v>
      </c>
      <c r="M26" s="69">
        <v>106.89563206881502</v>
      </c>
      <c r="N26" s="69">
        <f t="shared" si="0"/>
        <v>106.93293987262341</v>
      </c>
      <c r="O26" s="30"/>
      <c r="P26" s="30"/>
      <c r="Q26" s="30"/>
      <c r="R26" s="47" t="s">
        <v>23</v>
      </c>
      <c r="S26" s="29"/>
      <c r="T26" s="33"/>
      <c r="U26" s="33"/>
      <c r="V26" s="33"/>
      <c r="W26" s="33"/>
      <c r="X26" s="33"/>
      <c r="Y26" s="33"/>
      <c r="Z26" s="33"/>
      <c r="AA26" s="67"/>
      <c r="AB26" s="54"/>
      <c r="AC26" s="54"/>
      <c r="AD26" s="54"/>
      <c r="AE26" s="54"/>
    </row>
    <row r="27" spans="1:40" x14ac:dyDescent="0.3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</row>
    <row r="28" spans="1:40" ht="15" x14ac:dyDescent="0.35">
      <c r="A28" s="31"/>
      <c r="B28" s="63"/>
      <c r="C28" s="63"/>
      <c r="D28" s="63"/>
      <c r="E28" s="63"/>
      <c r="F28" s="64"/>
      <c r="G28" s="63"/>
      <c r="H28" s="63"/>
      <c r="I28" s="39"/>
      <c r="J28" s="39"/>
      <c r="K28" s="39"/>
      <c r="L28" s="39"/>
      <c r="M28" s="32"/>
      <c r="N28" s="39"/>
    </row>
    <row r="29" spans="1:40" ht="15" x14ac:dyDescent="0.2">
      <c r="A29" s="22"/>
      <c r="B29" s="23" t="s">
        <v>80</v>
      </c>
      <c r="C29" s="24"/>
      <c r="D29" s="24"/>
      <c r="E29" s="23"/>
      <c r="F29" s="11"/>
      <c r="G29" s="25"/>
      <c r="H29" s="26"/>
      <c r="I29" s="26"/>
      <c r="J29" s="26"/>
      <c r="K29" s="26"/>
      <c r="L29" s="26"/>
      <c r="M29" s="25"/>
      <c r="N29" s="48" t="s">
        <v>81</v>
      </c>
      <c r="O29" s="10"/>
      <c r="P29" s="10"/>
      <c r="Q29" s="10"/>
      <c r="R29" s="51" t="s">
        <v>50</v>
      </c>
    </row>
    <row r="30" spans="1:40" x14ac:dyDescent="0.35">
      <c r="A30" s="27" t="s">
        <v>51</v>
      </c>
      <c r="B30" s="52" t="s">
        <v>25</v>
      </c>
      <c r="C30" s="52" t="s">
        <v>26</v>
      </c>
      <c r="D30" s="52" t="s">
        <v>27</v>
      </c>
      <c r="E30" s="52" t="s">
        <v>28</v>
      </c>
      <c r="F30" s="52" t="s">
        <v>29</v>
      </c>
      <c r="G30" s="53" t="s">
        <v>30</v>
      </c>
      <c r="H30" s="53" t="s">
        <v>31</v>
      </c>
      <c r="I30" s="53" t="s">
        <v>32</v>
      </c>
      <c r="J30" s="53" t="s">
        <v>33</v>
      </c>
      <c r="K30" s="53" t="s">
        <v>34</v>
      </c>
      <c r="L30" s="53" t="s">
        <v>35</v>
      </c>
      <c r="M30" s="53" t="s">
        <v>36</v>
      </c>
      <c r="N30" s="65" t="s">
        <v>37</v>
      </c>
      <c r="R30" s="60" t="s">
        <v>55</v>
      </c>
    </row>
    <row r="31" spans="1:40" ht="18" customHeight="1" x14ac:dyDescent="0.35">
      <c r="A31" s="28" t="s">
        <v>1</v>
      </c>
      <c r="B31" s="56" t="s">
        <v>38</v>
      </c>
      <c r="C31" s="57" t="s">
        <v>39</v>
      </c>
      <c r="D31" s="57" t="s">
        <v>40</v>
      </c>
      <c r="E31" s="57" t="s">
        <v>41</v>
      </c>
      <c r="F31" s="57" t="s">
        <v>42</v>
      </c>
      <c r="G31" s="57" t="s">
        <v>43</v>
      </c>
      <c r="H31" s="57" t="s">
        <v>44</v>
      </c>
      <c r="I31" s="57" t="s">
        <v>45</v>
      </c>
      <c r="J31" s="57" t="s">
        <v>46</v>
      </c>
      <c r="K31" s="57" t="s">
        <v>47</v>
      </c>
      <c r="L31" s="57" t="s">
        <v>48</v>
      </c>
      <c r="M31" s="57" t="s">
        <v>49</v>
      </c>
      <c r="N31" s="58" t="s">
        <v>53</v>
      </c>
      <c r="O31" s="21"/>
      <c r="P31" s="21"/>
      <c r="Q31" s="21"/>
      <c r="R31" s="62"/>
    </row>
    <row r="32" spans="1:40" ht="19.5" customHeight="1" x14ac:dyDescent="0.2">
      <c r="A32" s="3" t="s">
        <v>2</v>
      </c>
      <c r="B32" s="66">
        <v>115.4452793688764</v>
      </c>
      <c r="C32" s="66">
        <v>115.96771727323632</v>
      </c>
      <c r="D32" s="66">
        <v>115.90577359035181</v>
      </c>
      <c r="E32" s="66">
        <v>114.18930928653964</v>
      </c>
      <c r="F32" s="66">
        <v>113.38103695751116</v>
      </c>
      <c r="G32" s="66">
        <v>114.0321444726597</v>
      </c>
      <c r="H32" s="66">
        <v>114.6191356972778</v>
      </c>
      <c r="I32" s="66">
        <v>116.0454915526564</v>
      </c>
      <c r="J32" s="66">
        <v>116.33892071095799</v>
      </c>
      <c r="K32" s="66">
        <v>115.15782705558676</v>
      </c>
      <c r="L32" s="66">
        <v>114.25002860690178</v>
      </c>
      <c r="M32" s="66">
        <v>114.80273323751123</v>
      </c>
      <c r="N32" s="66">
        <f>AVERAGE(B32:M32)</f>
        <v>115.01128315083891</v>
      </c>
      <c r="R32" s="44" t="s">
        <v>3</v>
      </c>
      <c r="S32" s="29"/>
      <c r="T32" s="29"/>
      <c r="U32" s="33"/>
      <c r="V32" s="29"/>
      <c r="W32" s="29"/>
      <c r="X32" s="29"/>
      <c r="Y32" s="29"/>
      <c r="Z32" s="29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spans="1:40" ht="19.5" customHeight="1" x14ac:dyDescent="0.2">
      <c r="A33" s="3" t="s">
        <v>4</v>
      </c>
      <c r="B33" s="66">
        <v>113.43687732658721</v>
      </c>
      <c r="C33" s="66">
        <v>114.02787542168234</v>
      </c>
      <c r="D33" s="66">
        <v>114.3927044851566</v>
      </c>
      <c r="E33" s="66">
        <v>111.60079702734511</v>
      </c>
      <c r="F33" s="66">
        <v>110.74754798443161</v>
      </c>
      <c r="G33" s="66">
        <v>111.58814121523494</v>
      </c>
      <c r="H33" s="66">
        <v>112.33809843264767</v>
      </c>
      <c r="I33" s="66">
        <v>113.843168358732</v>
      </c>
      <c r="J33" s="66">
        <v>114.20916155429079</v>
      </c>
      <c r="K33" s="66">
        <v>112.78288149791284</v>
      </c>
      <c r="L33" s="66">
        <v>111.78953443476713</v>
      </c>
      <c r="M33" s="66">
        <v>112.80741231443798</v>
      </c>
      <c r="N33" s="66">
        <f t="shared" ref="N33:N49" si="1">AVERAGE(B33:M33)</f>
        <v>112.79701667110218</v>
      </c>
      <c r="R33" s="44" t="s">
        <v>5</v>
      </c>
      <c r="S33" s="29"/>
      <c r="T33" s="29"/>
      <c r="U33" s="33"/>
      <c r="V33" s="29"/>
      <c r="W33" s="29"/>
      <c r="X33" s="29"/>
      <c r="Y33" s="29"/>
      <c r="Z33" s="29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spans="1:40" ht="19.5" customHeight="1" x14ac:dyDescent="0.2">
      <c r="A34" s="4" t="s">
        <v>6</v>
      </c>
      <c r="B34" s="66">
        <v>125.24117958942193</v>
      </c>
      <c r="C34" s="66">
        <v>125.4292179196915</v>
      </c>
      <c r="D34" s="66">
        <v>123.28570732333516</v>
      </c>
      <c r="E34" s="66">
        <v>126.81467376875567</v>
      </c>
      <c r="F34" s="66">
        <v>126.22577355357123</v>
      </c>
      <c r="G34" s="66">
        <v>125.95267210821829</v>
      </c>
      <c r="H34" s="66">
        <v>125.74480325445353</v>
      </c>
      <c r="I34" s="66">
        <v>126.78723439438637</v>
      </c>
      <c r="J34" s="66">
        <v>126.72673537814711</v>
      </c>
      <c r="K34" s="66">
        <v>126.74152853683165</v>
      </c>
      <c r="L34" s="66">
        <v>126.25099001599851</v>
      </c>
      <c r="M34" s="66">
        <v>124.53483082496085</v>
      </c>
      <c r="N34" s="66">
        <f t="shared" si="1"/>
        <v>125.81127888898099</v>
      </c>
      <c r="R34" s="44" t="s">
        <v>7</v>
      </c>
      <c r="S34" s="29"/>
      <c r="T34" s="29"/>
      <c r="U34" s="33"/>
      <c r="V34" s="29"/>
      <c r="W34" s="29"/>
      <c r="X34" s="29"/>
      <c r="Y34" s="29"/>
      <c r="Z34" s="29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spans="1:40" ht="19.5" customHeight="1" x14ac:dyDescent="0.2">
      <c r="A35" s="4" t="s">
        <v>8</v>
      </c>
      <c r="B35" s="66">
        <v>233.20323109491179</v>
      </c>
      <c r="C35" s="66">
        <v>233.50053315486801</v>
      </c>
      <c r="D35" s="66">
        <v>232.9725488111454</v>
      </c>
      <c r="E35" s="66">
        <v>233.12529102672897</v>
      </c>
      <c r="F35" s="66">
        <v>233.16204647108071</v>
      </c>
      <c r="G35" s="66">
        <v>233.16204647108071</v>
      </c>
      <c r="H35" s="66">
        <v>233.1708484635885</v>
      </c>
      <c r="I35" s="66">
        <v>233.59451865940591</v>
      </c>
      <c r="J35" s="66">
        <v>233.69533152383966</v>
      </c>
      <c r="K35" s="66">
        <v>234.24755693614415</v>
      </c>
      <c r="L35" s="66">
        <v>230.16653903834145</v>
      </c>
      <c r="M35" s="66">
        <v>229.81859742792952</v>
      </c>
      <c r="N35" s="66">
        <f t="shared" si="1"/>
        <v>232.81825742325535</v>
      </c>
      <c r="R35" s="44" t="s">
        <v>24</v>
      </c>
      <c r="S35" s="29"/>
      <c r="T35" s="29"/>
      <c r="U35" s="33"/>
      <c r="V35" s="29"/>
      <c r="W35" s="29"/>
      <c r="X35" s="29"/>
      <c r="Y35" s="29"/>
      <c r="Z35" s="29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spans="1:40" ht="19.5" customHeight="1" x14ac:dyDescent="0.2">
      <c r="A36" s="4" t="s">
        <v>59</v>
      </c>
      <c r="B36" s="66">
        <v>103.50463844999361</v>
      </c>
      <c r="C36" s="66">
        <v>103.53422897648187</v>
      </c>
      <c r="D36" s="66">
        <v>103.53422897648187</v>
      </c>
      <c r="E36" s="66">
        <v>103.71056570437007</v>
      </c>
      <c r="F36" s="66">
        <v>103.73601616518003</v>
      </c>
      <c r="G36" s="66">
        <v>103.73641391034361</v>
      </c>
      <c r="H36" s="66">
        <v>103.83316553541131</v>
      </c>
      <c r="I36" s="66">
        <v>103.88210690564068</v>
      </c>
      <c r="J36" s="66">
        <v>103.88000663949651</v>
      </c>
      <c r="K36" s="66">
        <v>103.25580885066081</v>
      </c>
      <c r="L36" s="66">
        <v>103.25580885066081</v>
      </c>
      <c r="M36" s="66">
        <v>103.25580885066081</v>
      </c>
      <c r="N36" s="66">
        <f t="shared" si="1"/>
        <v>103.59323315128182</v>
      </c>
      <c r="R36" s="44" t="s">
        <v>9</v>
      </c>
      <c r="S36" s="29"/>
      <c r="T36" s="29"/>
      <c r="U36" s="33"/>
      <c r="V36" s="29"/>
      <c r="W36" s="29"/>
      <c r="X36" s="29"/>
      <c r="Y36" s="29"/>
      <c r="Z36" s="29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spans="1:40" ht="19.5" customHeight="1" x14ac:dyDescent="0.2">
      <c r="A37" s="4" t="s">
        <v>60</v>
      </c>
      <c r="B37" s="66">
        <v>101.11462691773878</v>
      </c>
      <c r="C37" s="66">
        <v>101.51786037993834</v>
      </c>
      <c r="D37" s="66">
        <v>99.898624327379309</v>
      </c>
      <c r="E37" s="66">
        <v>98.799009463371505</v>
      </c>
      <c r="F37" s="66">
        <v>100.24183792445594</v>
      </c>
      <c r="G37" s="66">
        <v>100.17630552438798</v>
      </c>
      <c r="H37" s="66">
        <v>99.989597527026234</v>
      </c>
      <c r="I37" s="66">
        <v>99.784202214728708</v>
      </c>
      <c r="J37" s="66">
        <v>100.01756758022576</v>
      </c>
      <c r="K37" s="66">
        <v>100.01796110040179</v>
      </c>
      <c r="L37" s="66">
        <v>99.785942966919251</v>
      </c>
      <c r="M37" s="66">
        <v>99.331983767236082</v>
      </c>
      <c r="N37" s="66">
        <f t="shared" si="1"/>
        <v>100.05629330781748</v>
      </c>
      <c r="R37" s="44" t="s">
        <v>10</v>
      </c>
      <c r="S37" s="29"/>
      <c r="T37" s="29"/>
      <c r="U37" s="33"/>
      <c r="V37" s="29"/>
      <c r="W37" s="29"/>
      <c r="X37" s="29"/>
      <c r="Y37" s="29"/>
      <c r="Z37" s="29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spans="1:40" ht="19.5" customHeight="1" x14ac:dyDescent="0.2">
      <c r="A38" s="4" t="s">
        <v>61</v>
      </c>
      <c r="B38" s="66">
        <v>99.992162476789488</v>
      </c>
      <c r="C38" s="66">
        <v>99.992162476789488</v>
      </c>
      <c r="D38" s="66">
        <v>99.992162476789488</v>
      </c>
      <c r="E38" s="66">
        <v>99.992162476789488</v>
      </c>
      <c r="F38" s="66">
        <v>99.992162476789488</v>
      </c>
      <c r="G38" s="66">
        <v>99.992162476789488</v>
      </c>
      <c r="H38" s="66">
        <v>99.992162476789488</v>
      </c>
      <c r="I38" s="66">
        <v>99.992162476789488</v>
      </c>
      <c r="J38" s="66">
        <v>99.992162476789488</v>
      </c>
      <c r="K38" s="66">
        <v>99.992162476789488</v>
      </c>
      <c r="L38" s="66">
        <v>99.992162476789488</v>
      </c>
      <c r="M38" s="66">
        <v>99.992162476789488</v>
      </c>
      <c r="N38" s="66">
        <f t="shared" si="1"/>
        <v>99.992162476789488</v>
      </c>
      <c r="R38" s="50" t="s">
        <v>54</v>
      </c>
      <c r="S38" s="29"/>
      <c r="T38" s="29"/>
      <c r="U38" s="33"/>
      <c r="V38" s="29"/>
      <c r="W38" s="29"/>
      <c r="X38" s="29"/>
      <c r="Y38" s="29"/>
      <c r="Z38" s="29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spans="1:40" ht="25.5" x14ac:dyDescent="0.2">
      <c r="A39" s="3" t="s">
        <v>62</v>
      </c>
      <c r="B39" s="66">
        <v>101.48879235215165</v>
      </c>
      <c r="C39" s="66">
        <v>101.11379660457659</v>
      </c>
      <c r="D39" s="66">
        <v>101.28400865626315</v>
      </c>
      <c r="E39" s="66">
        <v>102.64890587358104</v>
      </c>
      <c r="F39" s="66">
        <v>102.69546428867977</v>
      </c>
      <c r="G39" s="66">
        <v>102.71732944797709</v>
      </c>
      <c r="H39" s="66">
        <v>102.59830104103409</v>
      </c>
      <c r="I39" s="66">
        <v>102.66411864907504</v>
      </c>
      <c r="J39" s="66">
        <v>102.82310692897559</v>
      </c>
      <c r="K39" s="66">
        <v>104.20195967772416</v>
      </c>
      <c r="L39" s="66">
        <v>104.01865670935217</v>
      </c>
      <c r="M39" s="66">
        <v>103.39532507988017</v>
      </c>
      <c r="N39" s="66">
        <f t="shared" si="1"/>
        <v>102.63748044243921</v>
      </c>
      <c r="R39" s="44" t="s">
        <v>11</v>
      </c>
      <c r="S39" s="29"/>
      <c r="T39" s="29"/>
      <c r="U39" s="33"/>
      <c r="V39" s="29"/>
      <c r="W39" s="29"/>
      <c r="X39" s="29"/>
      <c r="Y39" s="29"/>
      <c r="Z39" s="29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spans="1:40" ht="19.5" customHeight="1" x14ac:dyDescent="0.2">
      <c r="A40" s="5" t="s">
        <v>12</v>
      </c>
      <c r="B40" s="66">
        <v>112.33638762339713</v>
      </c>
      <c r="C40" s="66">
        <v>112.33638762339713</v>
      </c>
      <c r="D40" s="66">
        <v>112.33638762339713</v>
      </c>
      <c r="E40" s="66">
        <v>112.47746189027536</v>
      </c>
      <c r="F40" s="66">
        <v>112.48414860266557</v>
      </c>
      <c r="G40" s="66">
        <v>112.48414860266557</v>
      </c>
      <c r="H40" s="66">
        <v>112.48414860266557</v>
      </c>
      <c r="I40" s="66">
        <v>112.48414860266557</v>
      </c>
      <c r="J40" s="66">
        <v>112.48414860266557</v>
      </c>
      <c r="K40" s="66">
        <v>113.0916226825363</v>
      </c>
      <c r="L40" s="66">
        <v>113.0916226825363</v>
      </c>
      <c r="M40" s="66">
        <v>113.0916226825363</v>
      </c>
      <c r="N40" s="66">
        <f>AVERAGE(B40:M40)</f>
        <v>112.59851965178363</v>
      </c>
      <c r="R40" s="44" t="s">
        <v>13</v>
      </c>
      <c r="S40" s="29"/>
      <c r="T40" s="29"/>
      <c r="U40" s="33"/>
      <c r="V40" s="29"/>
      <c r="W40" s="29"/>
      <c r="X40" s="29"/>
      <c r="Y40" s="29"/>
      <c r="Z40" s="29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spans="1:40" ht="19.5" customHeight="1" x14ac:dyDescent="0.2">
      <c r="A41" s="5" t="s">
        <v>63</v>
      </c>
      <c r="B41" s="66">
        <v>100.30056100355698</v>
      </c>
      <c r="C41" s="66">
        <v>99.051159743543565</v>
      </c>
      <c r="D41" s="66">
        <v>99.062837390363427</v>
      </c>
      <c r="E41" s="66">
        <v>99.217730967118115</v>
      </c>
      <c r="F41" s="66">
        <v>99.338123489509371</v>
      </c>
      <c r="G41" s="66">
        <v>98.906146692225263</v>
      </c>
      <c r="H41" s="66">
        <v>98.314637998996886</v>
      </c>
      <c r="I41" s="66">
        <v>98.529518732458655</v>
      </c>
      <c r="J41" s="66">
        <v>98.884933229138369</v>
      </c>
      <c r="K41" s="66">
        <v>98.788081596988064</v>
      </c>
      <c r="L41" s="66">
        <v>99.322830922891669</v>
      </c>
      <c r="M41" s="66">
        <v>99.41573484914241</v>
      </c>
      <c r="N41" s="66">
        <f t="shared" si="1"/>
        <v>99.094358051327731</v>
      </c>
      <c r="R41" s="44" t="s">
        <v>14</v>
      </c>
      <c r="S41" s="29"/>
      <c r="T41" s="29"/>
      <c r="U41" s="33"/>
      <c r="V41" s="29"/>
      <c r="W41" s="29"/>
      <c r="X41" s="29"/>
      <c r="Y41" s="29"/>
      <c r="Z41" s="29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spans="1:40" ht="19.5" customHeight="1" x14ac:dyDescent="0.2">
      <c r="A42" s="5" t="s">
        <v>64</v>
      </c>
      <c r="B42" s="66">
        <v>80.353426751573608</v>
      </c>
      <c r="C42" s="66">
        <v>80.896818141587048</v>
      </c>
      <c r="D42" s="66">
        <v>80.21993278211383</v>
      </c>
      <c r="E42" s="66">
        <v>80.222356480199949</v>
      </c>
      <c r="F42" s="66">
        <v>80.116514908217155</v>
      </c>
      <c r="G42" s="66">
        <v>80.316217496508585</v>
      </c>
      <c r="H42" s="66">
        <v>80.088375224754543</v>
      </c>
      <c r="I42" s="66">
        <v>80.201760644559826</v>
      </c>
      <c r="J42" s="66">
        <v>80.232434340207917</v>
      </c>
      <c r="K42" s="66">
        <v>80.805236872861713</v>
      </c>
      <c r="L42" s="66">
        <v>80.904672703615063</v>
      </c>
      <c r="M42" s="66">
        <v>81.649900597088518</v>
      </c>
      <c r="N42" s="66">
        <f t="shared" si="1"/>
        <v>80.500637245273964</v>
      </c>
      <c r="R42" s="44" t="s">
        <v>15</v>
      </c>
      <c r="S42" s="29"/>
      <c r="T42" s="29"/>
      <c r="U42" s="33"/>
      <c r="V42" s="29"/>
      <c r="W42" s="29"/>
      <c r="X42" s="29"/>
      <c r="Y42" s="29"/>
      <c r="Z42" s="29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spans="1:40" ht="19.5" customHeight="1" x14ac:dyDescent="0.2">
      <c r="A43" s="3" t="s">
        <v>65</v>
      </c>
      <c r="B43" s="66">
        <v>104.22284926256509</v>
      </c>
      <c r="C43" s="66">
        <v>104.22284926256509</v>
      </c>
      <c r="D43" s="66">
        <v>104.22284926256509</v>
      </c>
      <c r="E43" s="66">
        <v>104.23622153085351</v>
      </c>
      <c r="F43" s="66">
        <v>103.69721758146139</v>
      </c>
      <c r="G43" s="66">
        <v>103.69721758146139</v>
      </c>
      <c r="H43" s="66">
        <v>103.69721758146139</v>
      </c>
      <c r="I43" s="66">
        <v>103.62711535785347</v>
      </c>
      <c r="J43" s="66">
        <v>103.60212875456973</v>
      </c>
      <c r="K43" s="66">
        <v>103.61390610080966</v>
      </c>
      <c r="L43" s="66">
        <v>103.61390610080966</v>
      </c>
      <c r="M43" s="66">
        <v>108.5797760748421</v>
      </c>
      <c r="N43" s="66">
        <f t="shared" si="1"/>
        <v>104.25277120431811</v>
      </c>
      <c r="R43" s="45" t="s">
        <v>16</v>
      </c>
      <c r="S43" s="29"/>
      <c r="T43" s="29"/>
      <c r="U43" s="33"/>
      <c r="V43" s="29"/>
      <c r="W43" s="29"/>
      <c r="X43" s="29"/>
      <c r="Y43" s="29"/>
      <c r="Z43" s="29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spans="1:40" ht="19.5" customHeight="1" x14ac:dyDescent="0.2">
      <c r="A44" s="4" t="s">
        <v>66</v>
      </c>
      <c r="B44" s="66">
        <v>107.90323367112097</v>
      </c>
      <c r="C44" s="66">
        <v>107.90323367112097</v>
      </c>
      <c r="D44" s="66">
        <v>107.90323367112097</v>
      </c>
      <c r="E44" s="66">
        <v>108.831566855098</v>
      </c>
      <c r="F44" s="66">
        <v>108.831566855098</v>
      </c>
      <c r="G44" s="66">
        <v>108.831566855098</v>
      </c>
      <c r="H44" s="66">
        <v>108.831566855098</v>
      </c>
      <c r="I44" s="66">
        <v>108.831566855098</v>
      </c>
      <c r="J44" s="66">
        <v>108.831566855098</v>
      </c>
      <c r="K44" s="66">
        <v>108.831566855098</v>
      </c>
      <c r="L44" s="66">
        <v>108.831566855098</v>
      </c>
      <c r="M44" s="66">
        <v>108.831566855098</v>
      </c>
      <c r="N44" s="66">
        <f t="shared" si="1"/>
        <v>108.59948355910376</v>
      </c>
      <c r="R44" s="45" t="s">
        <v>17</v>
      </c>
      <c r="S44" s="29"/>
      <c r="T44" s="29"/>
      <c r="U44" s="33"/>
      <c r="V44" s="29"/>
      <c r="W44" s="29"/>
      <c r="X44" s="29"/>
      <c r="Y44" s="29"/>
      <c r="Z44" s="29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spans="1:40" ht="19.5" customHeight="1" x14ac:dyDescent="0.2">
      <c r="A45" s="4" t="s">
        <v>67</v>
      </c>
      <c r="B45" s="66">
        <v>114.84341714059528</v>
      </c>
      <c r="C45" s="66">
        <v>114.84341714059528</v>
      </c>
      <c r="D45" s="66">
        <v>114.84341714059528</v>
      </c>
      <c r="E45" s="66">
        <v>114.53729346671652</v>
      </c>
      <c r="F45" s="66">
        <v>114.55345256149164</v>
      </c>
      <c r="G45" s="66">
        <v>114.55345256149164</v>
      </c>
      <c r="H45" s="66">
        <v>114.55345256149164</v>
      </c>
      <c r="I45" s="66">
        <v>114.55345256149164</v>
      </c>
      <c r="J45" s="66">
        <v>114.55345256149164</v>
      </c>
      <c r="K45" s="66">
        <v>115.31876557778106</v>
      </c>
      <c r="L45" s="66">
        <v>115.31876557778106</v>
      </c>
      <c r="M45" s="66">
        <v>115.31876557778106</v>
      </c>
      <c r="N45" s="66">
        <f t="shared" si="1"/>
        <v>114.81592536910864</v>
      </c>
      <c r="R45" s="45" t="s">
        <v>18</v>
      </c>
      <c r="S45" s="29"/>
      <c r="T45" s="29"/>
      <c r="U45" s="33"/>
      <c r="V45" s="29"/>
      <c r="W45" s="29"/>
      <c r="X45" s="29"/>
      <c r="Y45" s="29"/>
      <c r="Z45" s="29"/>
      <c r="AB45" s="33"/>
      <c r="AC45" s="33"/>
      <c r="AD45" s="33"/>
      <c r="AE45" s="33"/>
      <c r="AF45" s="12"/>
      <c r="AG45" s="12"/>
      <c r="AH45" s="12"/>
      <c r="AI45" s="33"/>
      <c r="AJ45" s="33"/>
      <c r="AK45" s="33"/>
      <c r="AL45" s="33"/>
      <c r="AM45" s="33"/>
      <c r="AN45" s="33"/>
    </row>
    <row r="46" spans="1:40" ht="19.5" customHeight="1" x14ac:dyDescent="0.2">
      <c r="A46" s="4" t="s">
        <v>68</v>
      </c>
      <c r="B46" s="66">
        <v>111.27029878856045</v>
      </c>
      <c r="C46" s="66">
        <v>111.27029878856045</v>
      </c>
      <c r="D46" s="66">
        <v>111.27029878856045</v>
      </c>
      <c r="E46" s="66">
        <v>111.27029878856045</v>
      </c>
      <c r="F46" s="66">
        <v>111.27029878856045</v>
      </c>
      <c r="G46" s="66">
        <v>111.27029878856045</v>
      </c>
      <c r="H46" s="66">
        <v>111.27029878856045</v>
      </c>
      <c r="I46" s="66">
        <v>111.27029878856045</v>
      </c>
      <c r="J46" s="66">
        <v>111.27029878856045</v>
      </c>
      <c r="K46" s="66">
        <v>111.27029878856045</v>
      </c>
      <c r="L46" s="66">
        <v>111.27029878856045</v>
      </c>
      <c r="M46" s="66">
        <v>111.27029878856045</v>
      </c>
      <c r="N46" s="66">
        <f t="shared" si="1"/>
        <v>111.27029878856045</v>
      </c>
      <c r="R46" s="42" t="s">
        <v>70</v>
      </c>
      <c r="S46" s="29"/>
      <c r="T46" s="29"/>
      <c r="U46" s="33"/>
      <c r="V46" s="29"/>
      <c r="W46" s="29"/>
      <c r="X46" s="29"/>
      <c r="Y46" s="29"/>
      <c r="Z46" s="29"/>
      <c r="AB46" s="33"/>
      <c r="AC46" s="33"/>
      <c r="AD46" s="33"/>
      <c r="AE46" s="33"/>
      <c r="AF46" s="12"/>
      <c r="AG46" s="12"/>
      <c r="AH46" s="12"/>
      <c r="AI46" s="33"/>
      <c r="AJ46" s="33"/>
      <c r="AK46" s="33"/>
      <c r="AL46" s="33"/>
      <c r="AM46" s="33"/>
      <c r="AN46" s="33"/>
    </row>
    <row r="47" spans="1:40" s="1" customFormat="1" ht="25.5" customHeight="1" x14ac:dyDescent="0.2">
      <c r="A47" s="3" t="s">
        <v>69</v>
      </c>
      <c r="B47" s="66">
        <v>111.32006695408539</v>
      </c>
      <c r="C47" s="66">
        <v>111.66045018623915</v>
      </c>
      <c r="D47" s="66">
        <v>111.75495076393763</v>
      </c>
      <c r="E47" s="66">
        <v>112.43093943545963</v>
      </c>
      <c r="F47" s="66">
        <v>112.66133418618072</v>
      </c>
      <c r="G47" s="66">
        <v>112.73740355668882</v>
      </c>
      <c r="H47" s="66">
        <v>112.8937678033335</v>
      </c>
      <c r="I47" s="66">
        <v>113.12724927762628</v>
      </c>
      <c r="J47" s="66">
        <v>113.17672772314963</v>
      </c>
      <c r="K47" s="66">
        <v>113.58434128808442</v>
      </c>
      <c r="L47" s="66">
        <v>113.88727864180269</v>
      </c>
      <c r="M47" s="66">
        <v>114.16557048858597</v>
      </c>
      <c r="N47" s="66">
        <f t="shared" si="1"/>
        <v>112.78334002543113</v>
      </c>
      <c r="O47" s="9"/>
      <c r="P47" s="9"/>
      <c r="Q47" s="9"/>
      <c r="R47" s="45" t="s">
        <v>19</v>
      </c>
      <c r="S47" s="29"/>
      <c r="T47" s="29"/>
      <c r="U47" s="33"/>
      <c r="V47" s="29"/>
      <c r="W47" s="29"/>
      <c r="X47" s="29"/>
      <c r="Y47" s="29"/>
      <c r="Z47" s="29"/>
      <c r="AB47" s="33"/>
      <c r="AC47" s="33"/>
      <c r="AD47" s="33"/>
      <c r="AE47" s="33"/>
      <c r="AF47" s="12"/>
      <c r="AG47" s="12"/>
      <c r="AH47" s="12"/>
      <c r="AI47" s="12"/>
      <c r="AJ47" s="12"/>
      <c r="AK47" s="12"/>
      <c r="AL47" s="12"/>
      <c r="AM47" s="12"/>
      <c r="AN47" s="12"/>
    </row>
    <row r="48" spans="1:40" ht="19.5" customHeight="1" x14ac:dyDescent="0.2">
      <c r="A48" s="6" t="s">
        <v>20</v>
      </c>
      <c r="B48" s="68">
        <v>107.35187277081656</v>
      </c>
      <c r="C48" s="68">
        <v>107.58374712335423</v>
      </c>
      <c r="D48" s="68">
        <v>106.91990419436833</v>
      </c>
      <c r="E48" s="68">
        <v>106.35064977172877</v>
      </c>
      <c r="F48" s="68">
        <v>106.73111255635287</v>
      </c>
      <c r="G48" s="68">
        <v>106.82769043871343</v>
      </c>
      <c r="H48" s="68">
        <v>106.8201050800309</v>
      </c>
      <c r="I48" s="68">
        <v>107.05323734568881</v>
      </c>
      <c r="J48" s="68">
        <v>107.2220468279825</v>
      </c>
      <c r="K48" s="68">
        <v>107.19780650480583</v>
      </c>
      <c r="L48" s="68">
        <v>106.88066508597848</v>
      </c>
      <c r="M48" s="68">
        <v>106.92444415294374</v>
      </c>
      <c r="N48" s="68">
        <f>AVERAGE(B48:M48)</f>
        <v>106.9886068210637</v>
      </c>
      <c r="R48" s="46" t="s">
        <v>21</v>
      </c>
      <c r="S48" s="29"/>
      <c r="T48" s="29"/>
      <c r="U48" s="33"/>
      <c r="V48" s="33"/>
      <c r="W48" s="33"/>
      <c r="X48" s="33"/>
      <c r="Y48" s="33"/>
      <c r="Z48" s="33"/>
      <c r="AA48" s="33"/>
      <c r="AB48" s="12"/>
      <c r="AC48" s="12"/>
      <c r="AD48" s="12"/>
      <c r="AE48" s="12"/>
      <c r="AF48" s="33"/>
      <c r="AG48" s="33"/>
      <c r="AH48" s="33"/>
      <c r="AI48" s="33"/>
      <c r="AJ48" s="33"/>
      <c r="AK48" s="33"/>
      <c r="AL48" s="33"/>
      <c r="AM48" s="33"/>
      <c r="AN48" s="33"/>
    </row>
    <row r="49" spans="1:40" ht="19.5" customHeight="1" x14ac:dyDescent="0.2">
      <c r="A49" s="7" t="s">
        <v>22</v>
      </c>
      <c r="B49" s="69">
        <v>106.77691857049294</v>
      </c>
      <c r="C49" s="69">
        <v>107.010201792887</v>
      </c>
      <c r="D49" s="69">
        <v>106.3939147110373</v>
      </c>
      <c r="E49" s="69">
        <v>105.69294533008002</v>
      </c>
      <c r="F49" s="69">
        <v>106.10456300147695</v>
      </c>
      <c r="G49" s="69">
        <v>106.21302220961481</v>
      </c>
      <c r="H49" s="69">
        <v>106.21187387154581</v>
      </c>
      <c r="I49" s="69">
        <v>106.41899563876464</v>
      </c>
      <c r="J49" s="69">
        <v>106.59517499210691</v>
      </c>
      <c r="K49" s="69">
        <v>106.56968015054241</v>
      </c>
      <c r="L49" s="69">
        <v>106.25811163586015</v>
      </c>
      <c r="M49" s="69">
        <v>106.35845431951606</v>
      </c>
      <c r="N49" s="69">
        <f t="shared" si="1"/>
        <v>106.38365468532707</v>
      </c>
      <c r="O49" s="21"/>
      <c r="P49" s="21"/>
      <c r="Q49" s="21"/>
      <c r="R49" s="47" t="s">
        <v>23</v>
      </c>
      <c r="S49" s="29"/>
      <c r="T49" s="29"/>
      <c r="U49" s="33"/>
      <c r="V49" s="33"/>
      <c r="W49" s="33"/>
      <c r="X49" s="33"/>
      <c r="Y49" s="33"/>
      <c r="Z49" s="33"/>
      <c r="AA49" s="33"/>
      <c r="AB49" s="12"/>
      <c r="AC49" s="12"/>
      <c r="AD49" s="12"/>
      <c r="AE49" s="12"/>
      <c r="AF49" s="33"/>
      <c r="AG49" s="33"/>
      <c r="AH49" s="33"/>
      <c r="AI49" s="33"/>
      <c r="AJ49" s="33"/>
      <c r="AK49" s="33"/>
      <c r="AL49" s="33"/>
      <c r="AM49" s="33"/>
      <c r="AN49" s="33"/>
    </row>
    <row r="50" spans="1:40" x14ac:dyDescent="0.3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</row>
    <row r="51" spans="1:40" ht="15" x14ac:dyDescent="0.35">
      <c r="A51" s="31"/>
      <c r="B51" s="63"/>
      <c r="C51" s="63"/>
      <c r="D51" s="63"/>
      <c r="E51" s="63"/>
      <c r="F51" s="64"/>
      <c r="G51" s="63"/>
      <c r="H51" s="63"/>
      <c r="I51" s="39"/>
      <c r="J51" s="39"/>
      <c r="K51" s="39"/>
      <c r="L51" s="39"/>
      <c r="M51" s="32"/>
      <c r="N51" s="39"/>
    </row>
    <row r="52" spans="1:40" ht="15" x14ac:dyDescent="0.2">
      <c r="A52" s="34" t="s">
        <v>51</v>
      </c>
      <c r="B52" s="23" t="s">
        <v>80</v>
      </c>
      <c r="C52" s="24"/>
      <c r="D52" s="24"/>
      <c r="E52" s="23"/>
      <c r="F52" s="11"/>
      <c r="G52" s="25"/>
      <c r="H52" s="26"/>
      <c r="I52" s="26"/>
      <c r="J52" s="26"/>
      <c r="K52" s="26"/>
      <c r="L52" s="26"/>
      <c r="M52" s="25"/>
      <c r="N52" s="48" t="s">
        <v>81</v>
      </c>
      <c r="O52" s="10"/>
      <c r="P52" s="10"/>
      <c r="Q52" s="10"/>
      <c r="R52" s="51" t="s">
        <v>50</v>
      </c>
    </row>
    <row r="53" spans="1:40" x14ac:dyDescent="0.2">
      <c r="A53" s="27" t="s">
        <v>56</v>
      </c>
      <c r="B53" s="52" t="s">
        <v>25</v>
      </c>
      <c r="C53" s="52" t="s">
        <v>26</v>
      </c>
      <c r="D53" s="52" t="s">
        <v>27</v>
      </c>
      <c r="E53" s="52" t="s">
        <v>28</v>
      </c>
      <c r="F53" s="52" t="s">
        <v>29</v>
      </c>
      <c r="G53" s="53" t="s">
        <v>30</v>
      </c>
      <c r="H53" s="53" t="s">
        <v>31</v>
      </c>
      <c r="I53" s="53" t="s">
        <v>32</v>
      </c>
      <c r="J53" s="53" t="s">
        <v>33</v>
      </c>
      <c r="K53" s="53" t="s">
        <v>34</v>
      </c>
      <c r="L53" s="53" t="s">
        <v>35</v>
      </c>
      <c r="M53" s="53" t="s">
        <v>36</v>
      </c>
      <c r="N53" s="65" t="s">
        <v>37</v>
      </c>
      <c r="R53" s="46" t="s">
        <v>57</v>
      </c>
    </row>
    <row r="54" spans="1:40" x14ac:dyDescent="0.35">
      <c r="A54" s="35"/>
      <c r="B54" s="56" t="s">
        <v>38</v>
      </c>
      <c r="C54" s="57" t="s">
        <v>39</v>
      </c>
      <c r="D54" s="57" t="s">
        <v>40</v>
      </c>
      <c r="E54" s="57" t="s">
        <v>41</v>
      </c>
      <c r="F54" s="57" t="s">
        <v>42</v>
      </c>
      <c r="G54" s="57" t="s">
        <v>43</v>
      </c>
      <c r="H54" s="57" t="s">
        <v>44</v>
      </c>
      <c r="I54" s="57" t="s">
        <v>45</v>
      </c>
      <c r="J54" s="57" t="s">
        <v>46</v>
      </c>
      <c r="K54" s="57" t="s">
        <v>47</v>
      </c>
      <c r="L54" s="57" t="s">
        <v>48</v>
      </c>
      <c r="M54" s="57" t="s">
        <v>49</v>
      </c>
      <c r="N54" s="58" t="s">
        <v>53</v>
      </c>
      <c r="O54" s="21"/>
      <c r="P54" s="21"/>
      <c r="Q54" s="21"/>
      <c r="R54" s="62"/>
    </row>
    <row r="55" spans="1:40" ht="22.5" customHeight="1" x14ac:dyDescent="0.25">
      <c r="A55" s="3" t="s">
        <v>2</v>
      </c>
      <c r="B55" s="66">
        <v>113.57437886510266</v>
      </c>
      <c r="C55" s="66">
        <v>113.37587994200648</v>
      </c>
      <c r="D55" s="66">
        <v>115.81028737884779</v>
      </c>
      <c r="E55" s="66">
        <v>113.28285092916434</v>
      </c>
      <c r="F55" s="66">
        <v>114.09214832427112</v>
      </c>
      <c r="G55" s="66">
        <v>114.69717431871844</v>
      </c>
      <c r="H55" s="66">
        <v>114.71834702789805</v>
      </c>
      <c r="I55" s="66">
        <v>116.90847073044162</v>
      </c>
      <c r="J55" s="66">
        <v>114.69101254933912</v>
      </c>
      <c r="K55" s="66">
        <v>114.36794525166374</v>
      </c>
      <c r="L55" s="66">
        <v>115.40531899448764</v>
      </c>
      <c r="M55" s="66">
        <v>117.52840079569904</v>
      </c>
      <c r="N55" s="66">
        <f t="shared" ref="N55:N72" si="2">AVERAGE(B55:M55)</f>
        <v>114.87101792563669</v>
      </c>
      <c r="R55" s="44" t="s">
        <v>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22.5" customHeight="1" x14ac:dyDescent="0.25">
      <c r="A56" s="3" t="s">
        <v>4</v>
      </c>
      <c r="B56" s="66">
        <v>111.3315153575297</v>
      </c>
      <c r="C56" s="66">
        <v>112.62957623298196</v>
      </c>
      <c r="D56" s="66">
        <v>114.78793120637145</v>
      </c>
      <c r="E56" s="66">
        <v>111.29292131407455</v>
      </c>
      <c r="F56" s="66">
        <v>111.99338324614497</v>
      </c>
      <c r="G56" s="66">
        <v>113.38228155074094</v>
      </c>
      <c r="H56" s="66">
        <v>113.06581744683825</v>
      </c>
      <c r="I56" s="66">
        <v>114.22356002873801</v>
      </c>
      <c r="J56" s="66">
        <v>112.85038963511671</v>
      </c>
      <c r="K56" s="66">
        <v>111.61676224672625</v>
      </c>
      <c r="L56" s="66">
        <v>112.46284292701228</v>
      </c>
      <c r="M56" s="66">
        <v>114.247952321385</v>
      </c>
      <c r="N56" s="66">
        <f>AVERAGE(B56:M56)</f>
        <v>112.82374445947165</v>
      </c>
      <c r="R56" s="44" t="s">
        <v>5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22.5" customHeight="1" x14ac:dyDescent="0.25">
      <c r="A57" s="4" t="s">
        <v>6</v>
      </c>
      <c r="B57" s="66">
        <v>122.0326484598143</v>
      </c>
      <c r="C57" s="66">
        <v>116.19033474460554</v>
      </c>
      <c r="D57" s="66">
        <v>119.66578910662803</v>
      </c>
      <c r="E57" s="66">
        <v>120.7872581755705</v>
      </c>
      <c r="F57" s="66">
        <v>122.00699503108966</v>
      </c>
      <c r="G57" s="66">
        <v>119.65588780357318</v>
      </c>
      <c r="H57" s="66">
        <v>120.95035386319809</v>
      </c>
      <c r="I57" s="66">
        <v>127.03378530088115</v>
      </c>
      <c r="J57" s="66">
        <v>121.63235551476278</v>
      </c>
      <c r="K57" s="66">
        <v>124.74318542190983</v>
      </c>
      <c r="L57" s="66">
        <v>126.50196208964654</v>
      </c>
      <c r="M57" s="66">
        <v>129.89960282989406</v>
      </c>
      <c r="N57" s="66">
        <f t="shared" si="2"/>
        <v>122.5916798617978</v>
      </c>
      <c r="R57" s="44" t="s">
        <v>7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22.5" customHeight="1" x14ac:dyDescent="0.25">
      <c r="A58" s="4" t="s">
        <v>8</v>
      </c>
      <c r="B58" s="66">
        <v>207.84246372807257</v>
      </c>
      <c r="C58" s="66">
        <v>207.91636841600365</v>
      </c>
      <c r="D58" s="66">
        <v>207.97651524478528</v>
      </c>
      <c r="E58" s="66">
        <v>208.20920463222581</v>
      </c>
      <c r="F58" s="66">
        <v>190.12625852752254</v>
      </c>
      <c r="G58" s="66">
        <v>208.28925267953693</v>
      </c>
      <c r="H58" s="66">
        <v>209.27739004564751</v>
      </c>
      <c r="I58" s="66">
        <v>209.37782724066449</v>
      </c>
      <c r="J58" s="66">
        <v>209.36188204356745</v>
      </c>
      <c r="K58" s="66">
        <v>209.81639105870013</v>
      </c>
      <c r="L58" s="66">
        <v>209.80614257963151</v>
      </c>
      <c r="M58" s="66">
        <v>210.15251493071474</v>
      </c>
      <c r="N58" s="66">
        <f t="shared" si="2"/>
        <v>207.34601759392274</v>
      </c>
      <c r="R58" s="44" t="s">
        <v>24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22.5" customHeight="1" x14ac:dyDescent="0.25">
      <c r="A59" s="4" t="s">
        <v>59</v>
      </c>
      <c r="B59" s="66">
        <v>101.90331876025725</v>
      </c>
      <c r="C59" s="66">
        <v>102.09989060161257</v>
      </c>
      <c r="D59" s="66">
        <v>102.4683186862883</v>
      </c>
      <c r="E59" s="66">
        <v>101.58202759402437</v>
      </c>
      <c r="F59" s="66">
        <v>101.50119692935004</v>
      </c>
      <c r="G59" s="66">
        <v>101.50365176677174</v>
      </c>
      <c r="H59" s="66">
        <v>100.98438494114066</v>
      </c>
      <c r="I59" s="66">
        <v>100.98438494114066</v>
      </c>
      <c r="J59" s="66">
        <v>101.02102390787026</v>
      </c>
      <c r="K59" s="66">
        <v>100.5871437258614</v>
      </c>
      <c r="L59" s="66">
        <v>100.54381487215529</v>
      </c>
      <c r="M59" s="66">
        <v>100.58051231809814</v>
      </c>
      <c r="N59" s="66">
        <f t="shared" si="2"/>
        <v>101.31330575371423</v>
      </c>
      <c r="R59" s="44" t="s">
        <v>9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22.5" customHeight="1" x14ac:dyDescent="0.25">
      <c r="A60" s="4" t="s">
        <v>60</v>
      </c>
      <c r="B60" s="66">
        <v>103.2778278193197</v>
      </c>
      <c r="C60" s="66">
        <v>106.00511111747672</v>
      </c>
      <c r="D60" s="66">
        <v>92.320711938379844</v>
      </c>
      <c r="E60" s="66">
        <v>94.412827729814282</v>
      </c>
      <c r="F60" s="66">
        <v>98.701526877662005</v>
      </c>
      <c r="G60" s="66">
        <v>95.744452066301946</v>
      </c>
      <c r="H60" s="66">
        <v>96.043182239918536</v>
      </c>
      <c r="I60" s="66">
        <v>95.545928240283558</v>
      </c>
      <c r="J60" s="66">
        <v>97.024638791129718</v>
      </c>
      <c r="K60" s="66">
        <v>95.007327156449989</v>
      </c>
      <c r="L60" s="66">
        <v>96.315533308208927</v>
      </c>
      <c r="M60" s="66">
        <v>94.561247838189871</v>
      </c>
      <c r="N60" s="66">
        <f t="shared" si="2"/>
        <v>97.080026260261263</v>
      </c>
      <c r="R60" s="44" t="s">
        <v>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5.6" customHeight="1" x14ac:dyDescent="0.25">
      <c r="A61" s="4" t="s">
        <v>61</v>
      </c>
      <c r="B61" s="66">
        <v>99.99216247678946</v>
      </c>
      <c r="C61" s="66">
        <v>99.99216247678946</v>
      </c>
      <c r="D61" s="66">
        <v>99.99216247678946</v>
      </c>
      <c r="E61" s="66">
        <v>99.99216247678946</v>
      </c>
      <c r="F61" s="66">
        <v>99.99216247678946</v>
      </c>
      <c r="G61" s="66">
        <v>99.99216247678946</v>
      </c>
      <c r="H61" s="66">
        <v>99.99216247678946</v>
      </c>
      <c r="I61" s="66">
        <v>99.99216247678946</v>
      </c>
      <c r="J61" s="66">
        <v>99.99216247678946</v>
      </c>
      <c r="K61" s="66">
        <v>99.99216247678946</v>
      </c>
      <c r="L61" s="66">
        <v>99.99216247678946</v>
      </c>
      <c r="M61" s="66">
        <v>99.99216247678946</v>
      </c>
      <c r="N61" s="66">
        <f t="shared" si="2"/>
        <v>99.992162476789431</v>
      </c>
      <c r="R61" s="50" t="s">
        <v>58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30" customHeight="1" x14ac:dyDescent="0.25">
      <c r="A62" s="3" t="s">
        <v>62</v>
      </c>
      <c r="B62" s="66">
        <v>103.54704935864729</v>
      </c>
      <c r="C62" s="66">
        <v>103.69618353230477</v>
      </c>
      <c r="D62" s="66">
        <v>102.91830603970283</v>
      </c>
      <c r="E62" s="66">
        <v>104.03451362724603</v>
      </c>
      <c r="F62" s="66">
        <v>104.33328922041773</v>
      </c>
      <c r="G62" s="66">
        <v>102.91956960250997</v>
      </c>
      <c r="H62" s="66">
        <v>103.12463193915167</v>
      </c>
      <c r="I62" s="66">
        <v>103.15461819014754</v>
      </c>
      <c r="J62" s="66">
        <v>102.95176114067142</v>
      </c>
      <c r="K62" s="66">
        <v>102.78191922611737</v>
      </c>
      <c r="L62" s="66">
        <v>102.94019813873105</v>
      </c>
      <c r="M62" s="66">
        <v>100.62947359669484</v>
      </c>
      <c r="N62" s="66">
        <f t="shared" si="2"/>
        <v>103.08595946769522</v>
      </c>
      <c r="R62" s="44" t="s">
        <v>11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22.5" customHeight="1" x14ac:dyDescent="0.25">
      <c r="A63" s="5" t="s">
        <v>12</v>
      </c>
      <c r="B63" s="66">
        <v>105.45716273766278</v>
      </c>
      <c r="C63" s="66">
        <v>105.46948491587797</v>
      </c>
      <c r="D63" s="66">
        <v>105.48518406845047</v>
      </c>
      <c r="E63" s="66">
        <v>105.48518406845047</v>
      </c>
      <c r="F63" s="66">
        <v>105.48518406845047</v>
      </c>
      <c r="G63" s="66">
        <v>105.45223203553056</v>
      </c>
      <c r="H63" s="66">
        <v>105.63189742168991</v>
      </c>
      <c r="I63" s="66">
        <v>105.62455519717595</v>
      </c>
      <c r="J63" s="66">
        <v>105.81288210215814</v>
      </c>
      <c r="K63" s="66">
        <v>106.08552779570461</v>
      </c>
      <c r="L63" s="66">
        <v>106.17186948682925</v>
      </c>
      <c r="M63" s="66">
        <v>106.10625575703938</v>
      </c>
      <c r="N63" s="66">
        <f t="shared" si="2"/>
        <v>105.68895163791835</v>
      </c>
      <c r="R63" s="44" t="s">
        <v>13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22.5" customHeight="1" x14ac:dyDescent="0.25">
      <c r="A64" s="5" t="s">
        <v>63</v>
      </c>
      <c r="B64" s="66">
        <v>104.90205621853728</v>
      </c>
      <c r="C64" s="66">
        <v>104.98607004907514</v>
      </c>
      <c r="D64" s="66">
        <v>104.68727444637243</v>
      </c>
      <c r="E64" s="66">
        <v>104.65030135387234</v>
      </c>
      <c r="F64" s="66">
        <v>104.65030135387234</v>
      </c>
      <c r="G64" s="66">
        <v>104.46934478601565</v>
      </c>
      <c r="H64" s="66">
        <v>104.16098885838394</v>
      </c>
      <c r="I64" s="66">
        <v>104.16098885838394</v>
      </c>
      <c r="J64" s="66">
        <v>103.45869887371506</v>
      </c>
      <c r="K64" s="66">
        <v>103.48763828890772</v>
      </c>
      <c r="L64" s="66">
        <v>103.48763828890772</v>
      </c>
      <c r="M64" s="66">
        <v>103.48763828890772</v>
      </c>
      <c r="N64" s="66">
        <f t="shared" si="2"/>
        <v>104.21574497207926</v>
      </c>
      <c r="R64" s="44" t="s">
        <v>14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22.5" customHeight="1" x14ac:dyDescent="0.25">
      <c r="A65" s="5" t="s">
        <v>64</v>
      </c>
      <c r="B65" s="66">
        <v>84.686920376710162</v>
      </c>
      <c r="C65" s="66">
        <v>85.236088654305462</v>
      </c>
      <c r="D65" s="66">
        <v>84.598997325879722</v>
      </c>
      <c r="E65" s="66">
        <v>84.557649977165937</v>
      </c>
      <c r="F65" s="66">
        <v>84.470166951971322</v>
      </c>
      <c r="G65" s="66">
        <v>84.517641413227878</v>
      </c>
      <c r="H65" s="66">
        <v>84.148341299748878</v>
      </c>
      <c r="I65" s="66">
        <v>84.264426602337963</v>
      </c>
      <c r="J65" s="66">
        <v>84.292579764757363</v>
      </c>
      <c r="K65" s="66">
        <v>84.384683686253368</v>
      </c>
      <c r="L65" s="66">
        <v>84.487651261325666</v>
      </c>
      <c r="M65" s="66">
        <v>85.324785634249636</v>
      </c>
      <c r="N65" s="66">
        <f t="shared" si="2"/>
        <v>84.580827745661125</v>
      </c>
      <c r="R65" s="44" t="s">
        <v>15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22.5" customHeight="1" x14ac:dyDescent="0.25">
      <c r="A66" s="3" t="s">
        <v>65</v>
      </c>
      <c r="B66" s="66">
        <v>99.214282275673284</v>
      </c>
      <c r="C66" s="66">
        <v>99.422362148830587</v>
      </c>
      <c r="D66" s="66">
        <v>99.422362148830587</v>
      </c>
      <c r="E66" s="66">
        <v>99.474687816747675</v>
      </c>
      <c r="F66" s="66">
        <v>99.51944465179696</v>
      </c>
      <c r="G66" s="66">
        <v>99.506088361237289</v>
      </c>
      <c r="H66" s="66">
        <v>99.58835551169804</v>
      </c>
      <c r="I66" s="66">
        <v>99.58835551169804</v>
      </c>
      <c r="J66" s="66">
        <v>99.58835551169804</v>
      </c>
      <c r="K66" s="66">
        <v>98.341048526857847</v>
      </c>
      <c r="L66" s="66">
        <v>98.504720333556676</v>
      </c>
      <c r="M66" s="66">
        <v>99.079274938886272</v>
      </c>
      <c r="N66" s="66">
        <f t="shared" si="2"/>
        <v>99.270778144792629</v>
      </c>
      <c r="R66" s="45" t="s">
        <v>16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8" customHeight="1" x14ac:dyDescent="0.25">
      <c r="A67" s="4" t="s">
        <v>66</v>
      </c>
      <c r="B67" s="66">
        <v>102.14974178707637</v>
      </c>
      <c r="C67" s="66">
        <v>102.14974178707637</v>
      </c>
      <c r="D67" s="66">
        <v>102.14974178707637</v>
      </c>
      <c r="E67" s="66">
        <v>102.14974178707637</v>
      </c>
      <c r="F67" s="66">
        <v>102.14974178707637</v>
      </c>
      <c r="G67" s="66">
        <v>102.14974178707637</v>
      </c>
      <c r="H67" s="66">
        <v>102.14974178707637</v>
      </c>
      <c r="I67" s="66">
        <v>102.14974178707637</v>
      </c>
      <c r="J67" s="66">
        <v>102.14974178707637</v>
      </c>
      <c r="K67" s="66">
        <v>101.52974055214801</v>
      </c>
      <c r="L67" s="66">
        <v>101.52974055214801</v>
      </c>
      <c r="M67" s="66">
        <v>101.52974055214801</v>
      </c>
      <c r="N67" s="66">
        <f t="shared" si="2"/>
        <v>101.99474147834427</v>
      </c>
      <c r="R67" s="45" t="s">
        <v>17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s="1" customFormat="1" ht="22.5" customHeight="1" x14ac:dyDescent="0.25">
      <c r="A68" s="4" t="s">
        <v>67</v>
      </c>
      <c r="B68" s="66">
        <v>106.12089840254841</v>
      </c>
      <c r="C68" s="66">
        <v>107.08387666029827</v>
      </c>
      <c r="D68" s="66">
        <v>107.23632713156066</v>
      </c>
      <c r="E68" s="66">
        <v>107.23212027585282</v>
      </c>
      <c r="F68" s="66">
        <v>107.23212027585282</v>
      </c>
      <c r="G68" s="66">
        <v>107.25712782427364</v>
      </c>
      <c r="H68" s="66">
        <v>107.25712782427364</v>
      </c>
      <c r="I68" s="66">
        <v>107.30958119236105</v>
      </c>
      <c r="J68" s="66">
        <v>107.46647087967301</v>
      </c>
      <c r="K68" s="66">
        <v>106.53130922649829</v>
      </c>
      <c r="L68" s="66">
        <v>106.42448618376081</v>
      </c>
      <c r="M68" s="66">
        <v>106.45838906685633</v>
      </c>
      <c r="N68" s="66">
        <f>AVERAGE(B68:M68)</f>
        <v>106.96748624531749</v>
      </c>
      <c r="R68" s="45" t="s">
        <v>18</v>
      </c>
      <c r="AA68" s="9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s="1" customFormat="1" ht="22.5" customHeight="1" x14ac:dyDescent="0.25">
      <c r="A69" s="4" t="s">
        <v>68</v>
      </c>
      <c r="B69" s="66">
        <v>109.56154395890026</v>
      </c>
      <c r="C69" s="66">
        <v>109.56154395890026</v>
      </c>
      <c r="D69" s="66">
        <v>109.56154395890026</v>
      </c>
      <c r="E69" s="66">
        <v>109.56154395890026</v>
      </c>
      <c r="F69" s="66">
        <v>109.56154395890026</v>
      </c>
      <c r="G69" s="66">
        <v>109.56154395890026</v>
      </c>
      <c r="H69" s="66">
        <v>109.56154395890026</v>
      </c>
      <c r="I69" s="66">
        <v>109.56154395890026</v>
      </c>
      <c r="J69" s="66">
        <v>109.56154395890026</v>
      </c>
      <c r="K69" s="66">
        <v>109.56154395890026</v>
      </c>
      <c r="L69" s="66">
        <v>109.56154395890026</v>
      </c>
      <c r="M69" s="66">
        <v>109.56154395890026</v>
      </c>
      <c r="N69" s="66">
        <f t="shared" si="2"/>
        <v>109.56154395890029</v>
      </c>
      <c r="R69" s="42" t="s">
        <v>70</v>
      </c>
      <c r="AA69" s="9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s="1" customFormat="1" ht="33.75" customHeight="1" x14ac:dyDescent="0.25">
      <c r="A70" s="3" t="s">
        <v>69</v>
      </c>
      <c r="B70" s="66">
        <v>103.68122673981942</v>
      </c>
      <c r="C70" s="66">
        <v>104.31248200306722</v>
      </c>
      <c r="D70" s="66">
        <v>104.40542313867417</v>
      </c>
      <c r="E70" s="66">
        <v>104.93872156800366</v>
      </c>
      <c r="F70" s="66">
        <v>105.01792875042108</v>
      </c>
      <c r="G70" s="66">
        <v>104.79883314397222</v>
      </c>
      <c r="H70" s="66">
        <v>104.89840647998405</v>
      </c>
      <c r="I70" s="66">
        <v>104.99206017236126</v>
      </c>
      <c r="J70" s="66">
        <v>105.38352254985023</v>
      </c>
      <c r="K70" s="66">
        <v>105.30884673783956</v>
      </c>
      <c r="L70" s="66">
        <v>105.33224923168224</v>
      </c>
      <c r="M70" s="66">
        <v>104.24817321377486</v>
      </c>
      <c r="N70" s="66">
        <f>AVERAGE(B70:M70)</f>
        <v>104.77648947745416</v>
      </c>
      <c r="R70" s="45" t="s">
        <v>19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8.75" customHeight="1" x14ac:dyDescent="0.25">
      <c r="A71" s="6" t="s">
        <v>20</v>
      </c>
      <c r="B71" s="68">
        <v>109.08736589227574</v>
      </c>
      <c r="C71" s="68">
        <v>109.49697426767011</v>
      </c>
      <c r="D71" s="68">
        <v>108.61816337214705</v>
      </c>
      <c r="E71" s="68">
        <v>108.13143442895026</v>
      </c>
      <c r="F71" s="68">
        <v>108.13767856713046</v>
      </c>
      <c r="G71" s="68">
        <v>108.61418224647538</v>
      </c>
      <c r="H71" s="68">
        <v>108.63505631609901</v>
      </c>
      <c r="I71" s="68">
        <v>109.29001796405025</v>
      </c>
      <c r="J71" s="68">
        <v>108.72485429292199</v>
      </c>
      <c r="K71" s="68">
        <v>108.33063111223086</v>
      </c>
      <c r="L71" s="68">
        <v>108.82647391487691</v>
      </c>
      <c r="M71" s="68">
        <v>109.1827547895696</v>
      </c>
      <c r="N71" s="68">
        <f t="shared" si="2"/>
        <v>108.75629893036647</v>
      </c>
      <c r="R71" s="46" t="s">
        <v>21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8.75" customHeight="1" x14ac:dyDescent="0.25">
      <c r="A72" s="7" t="s">
        <v>22</v>
      </c>
      <c r="B72" s="69">
        <v>108.17956691785579</v>
      </c>
      <c r="C72" s="69">
        <v>109.02759665890153</v>
      </c>
      <c r="D72" s="69">
        <v>107.84343920068045</v>
      </c>
      <c r="E72" s="69">
        <v>107.24393400107769</v>
      </c>
      <c r="F72" s="69">
        <v>107.16508092809089</v>
      </c>
      <c r="G72" s="69">
        <v>107.83987323249403</v>
      </c>
      <c r="H72" s="69">
        <v>107.77143557822745</v>
      </c>
      <c r="I72" s="69">
        <v>108.04572115502475</v>
      </c>
      <c r="J72" s="69">
        <v>107.81970476757336</v>
      </c>
      <c r="K72" s="69">
        <v>107.1796867514411</v>
      </c>
      <c r="L72" s="69">
        <v>107.58696524029115</v>
      </c>
      <c r="M72" s="69">
        <v>107.7299681620007</v>
      </c>
      <c r="N72" s="69">
        <f t="shared" si="2"/>
        <v>107.78608104947159</v>
      </c>
      <c r="O72" s="21"/>
      <c r="P72" s="21"/>
      <c r="Q72" s="21"/>
      <c r="R72" s="47" t="s">
        <v>23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7.25" x14ac:dyDescent="0.2">
      <c r="A73" s="70" t="s">
        <v>91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R73" s="42" t="s">
        <v>73</v>
      </c>
    </row>
    <row r="74" spans="1:40" ht="15" customHeight="1" x14ac:dyDescent="0.35">
      <c r="A74" s="43" t="s">
        <v>71</v>
      </c>
    </row>
    <row r="75" spans="1:40" ht="15" customHeight="1" x14ac:dyDescent="0.35"/>
    <row r="76" spans="1:40" ht="15" customHeight="1" x14ac:dyDescent="0.35">
      <c r="Q76" s="38"/>
    </row>
    <row r="77" spans="1:40" ht="15" customHeight="1" x14ac:dyDescent="0.2">
      <c r="A77" s="74" t="s">
        <v>79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</row>
    <row r="78" spans="1:40" ht="15" customHeight="1" x14ac:dyDescent="0.2">
      <c r="A78" s="71" t="s">
        <v>78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</row>
    <row r="79" spans="1:40" ht="15" customHeight="1" x14ac:dyDescent="0.2">
      <c r="A79" s="72" t="s">
        <v>75</v>
      </c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</row>
    <row r="80" spans="1:40" ht="12" x14ac:dyDescent="0.2">
      <c r="A80" s="73" t="s">
        <v>72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</row>
    <row r="81" spans="1:18" x14ac:dyDescent="0.2">
      <c r="A81" s="17"/>
      <c r="B81" s="18"/>
      <c r="C81" s="19"/>
      <c r="D81" s="19"/>
      <c r="E81" s="18"/>
      <c r="F81" s="20"/>
      <c r="G81" s="20"/>
      <c r="H81" s="20"/>
      <c r="I81" s="20"/>
      <c r="J81" s="20"/>
      <c r="K81" s="20"/>
      <c r="L81" s="20"/>
      <c r="M81" s="20"/>
      <c r="O81" s="21"/>
      <c r="P81" s="21"/>
      <c r="Q81" s="21"/>
      <c r="R81" s="59"/>
    </row>
    <row r="82" spans="1:18" ht="15" x14ac:dyDescent="0.2">
      <c r="A82" s="22"/>
      <c r="B82" s="23" t="s">
        <v>77</v>
      </c>
      <c r="C82" s="24"/>
      <c r="D82" s="24"/>
      <c r="E82" s="23"/>
      <c r="F82" s="11"/>
      <c r="G82" s="25"/>
      <c r="H82" s="26"/>
      <c r="I82" s="26"/>
      <c r="J82" s="26"/>
      <c r="K82" s="26"/>
      <c r="L82" s="26"/>
      <c r="M82" s="25"/>
      <c r="N82" s="48" t="s">
        <v>76</v>
      </c>
      <c r="R82" s="46" t="s">
        <v>50</v>
      </c>
    </row>
    <row r="83" spans="1:18" x14ac:dyDescent="0.35">
      <c r="A83" s="27" t="s">
        <v>51</v>
      </c>
      <c r="B83" s="52" t="s">
        <v>25</v>
      </c>
      <c r="C83" s="52" t="s">
        <v>26</v>
      </c>
      <c r="D83" s="52" t="s">
        <v>27</v>
      </c>
      <c r="E83" s="52" t="s">
        <v>28</v>
      </c>
      <c r="F83" s="52" t="s">
        <v>29</v>
      </c>
      <c r="G83" s="53" t="s">
        <v>30</v>
      </c>
      <c r="H83" s="53" t="s">
        <v>31</v>
      </c>
      <c r="I83" s="53" t="s">
        <v>32</v>
      </c>
      <c r="J83" s="53" t="s">
        <v>33</v>
      </c>
      <c r="K83" s="53" t="s">
        <v>34</v>
      </c>
      <c r="L83" s="53" t="s">
        <v>35</v>
      </c>
      <c r="M83" s="53" t="s">
        <v>36</v>
      </c>
      <c r="N83" s="55" t="s">
        <v>37</v>
      </c>
      <c r="R83" s="60" t="s">
        <v>52</v>
      </c>
    </row>
    <row r="84" spans="1:18" x14ac:dyDescent="0.2">
      <c r="A84" s="41" t="s">
        <v>0</v>
      </c>
      <c r="B84" s="56" t="s">
        <v>38</v>
      </c>
      <c r="C84" s="57" t="s">
        <v>39</v>
      </c>
      <c r="D84" s="57" t="s">
        <v>40</v>
      </c>
      <c r="E84" s="57" t="s">
        <v>41</v>
      </c>
      <c r="F84" s="57" t="s">
        <v>42</v>
      </c>
      <c r="G84" s="57" t="s">
        <v>43</v>
      </c>
      <c r="H84" s="57" t="s">
        <v>44</v>
      </c>
      <c r="I84" s="57" t="s">
        <v>45</v>
      </c>
      <c r="J84" s="57" t="s">
        <v>46</v>
      </c>
      <c r="K84" s="57" t="s">
        <v>47</v>
      </c>
      <c r="L84" s="57" t="s">
        <v>48</v>
      </c>
      <c r="M84" s="57" t="s">
        <v>49</v>
      </c>
      <c r="N84" s="58" t="s">
        <v>53</v>
      </c>
      <c r="O84" s="40"/>
      <c r="P84" s="40"/>
      <c r="Q84" s="40"/>
      <c r="R84" s="49"/>
    </row>
    <row r="85" spans="1:18" x14ac:dyDescent="0.2">
      <c r="A85" s="3" t="s">
        <v>2</v>
      </c>
      <c r="B85" s="66">
        <v>106.58157559647717</v>
      </c>
      <c r="C85" s="66">
        <v>107.74620805017962</v>
      </c>
      <c r="D85" s="66">
        <v>109.13726047052565</v>
      </c>
      <c r="E85" s="66">
        <v>109.55834774384989</v>
      </c>
      <c r="F85" s="66">
        <v>108.5031374737553</v>
      </c>
      <c r="G85" s="66">
        <v>109.31540924470536</v>
      </c>
      <c r="H85" s="66">
        <v>110.03354262198339</v>
      </c>
      <c r="I85" s="66">
        <v>111.4023681639233</v>
      </c>
      <c r="J85" s="66">
        <v>111.33472252662231</v>
      </c>
      <c r="K85" s="66">
        <v>110.94552168739732</v>
      </c>
      <c r="L85" s="66">
        <v>110.73802517067858</v>
      </c>
      <c r="M85" s="66">
        <v>112.02436167086934</v>
      </c>
      <c r="N85" s="66">
        <f>AVERAGE(B85:M85)</f>
        <v>109.77670670174727</v>
      </c>
      <c r="R85" s="44" t="s">
        <v>3</v>
      </c>
    </row>
    <row r="86" spans="1:18" x14ac:dyDescent="0.2">
      <c r="A86" s="3" t="s">
        <v>4</v>
      </c>
      <c r="B86" s="66">
        <v>106.03269005466116</v>
      </c>
      <c r="C86" s="66">
        <v>106.88128847467955</v>
      </c>
      <c r="D86" s="66">
        <v>107.7729579034867</v>
      </c>
      <c r="E86" s="66">
        <v>107.94120634151136</v>
      </c>
      <c r="F86" s="66">
        <v>107.16246651128667</v>
      </c>
      <c r="G86" s="66">
        <v>108.00358989538474</v>
      </c>
      <c r="H86" s="66">
        <v>108.33100638805142</v>
      </c>
      <c r="I86" s="66">
        <v>109.71138847725621</v>
      </c>
      <c r="J86" s="66">
        <v>110.38089410013498</v>
      </c>
      <c r="K86" s="66">
        <v>109.52675762739581</v>
      </c>
      <c r="L86" s="66">
        <v>109.36994832356757</v>
      </c>
      <c r="M86" s="66">
        <v>110.78177503949858</v>
      </c>
      <c r="N86" s="66">
        <f t="shared" ref="N86" si="3">AVERAGE(B86:M86)</f>
        <v>108.49133076140957</v>
      </c>
      <c r="R86" s="44" t="s">
        <v>5</v>
      </c>
    </row>
    <row r="87" spans="1:18" x14ac:dyDescent="0.2">
      <c r="A87" s="4" t="s">
        <v>6</v>
      </c>
      <c r="B87" s="66">
        <v>108.90402914991157</v>
      </c>
      <c r="C87" s="66">
        <v>111.40587001706099</v>
      </c>
      <c r="D87" s="66">
        <v>114.90991998401208</v>
      </c>
      <c r="E87" s="66">
        <v>116.40082310554564</v>
      </c>
      <c r="F87" s="66">
        <v>114.17580655239422</v>
      </c>
      <c r="G87" s="66">
        <v>114.86600090214594</v>
      </c>
      <c r="H87" s="66">
        <v>117.23734200293256</v>
      </c>
      <c r="I87" s="66">
        <v>118.55726929156458</v>
      </c>
      <c r="J87" s="66">
        <v>115.37057708954828</v>
      </c>
      <c r="K87" s="66">
        <v>116.94861956775654</v>
      </c>
      <c r="L87" s="66">
        <v>116.52665448022843</v>
      </c>
      <c r="M87" s="66">
        <v>117.28201471075295</v>
      </c>
      <c r="N87" s="66">
        <f>AVERAGE(B87:M87)</f>
        <v>115.21541057115449</v>
      </c>
      <c r="R87" s="44" t="s">
        <v>7</v>
      </c>
    </row>
    <row r="88" spans="1:18" x14ac:dyDescent="0.2">
      <c r="A88" s="4" t="s">
        <v>8</v>
      </c>
      <c r="B88" s="66">
        <v>105.60751471786861</v>
      </c>
      <c r="C88" s="66">
        <v>105.76939326931638</v>
      </c>
      <c r="D88" s="66">
        <v>105.95377154761952</v>
      </c>
      <c r="E88" s="66">
        <v>106.03141148141022</v>
      </c>
      <c r="F88" s="66">
        <v>105.88121910225416</v>
      </c>
      <c r="G88" s="66">
        <v>106.08829102119836</v>
      </c>
      <c r="H88" s="66">
        <v>106.07331411029583</v>
      </c>
      <c r="I88" s="66">
        <v>106.17343690664769</v>
      </c>
      <c r="J88" s="66">
        <v>106.3262716058248</v>
      </c>
      <c r="K88" s="66">
        <v>106.29715752530824</v>
      </c>
      <c r="L88" s="66">
        <v>185.25035872912295</v>
      </c>
      <c r="M88" s="66">
        <v>215.54301378635003</v>
      </c>
      <c r="N88" s="66">
        <f>AVERAGE(B88:M88)</f>
        <v>121.74959615026808</v>
      </c>
      <c r="R88" s="44" t="s">
        <v>24</v>
      </c>
    </row>
    <row r="89" spans="1:18" x14ac:dyDescent="0.2">
      <c r="A89" s="4" t="s">
        <v>59</v>
      </c>
      <c r="B89" s="66">
        <v>101.71036025324342</v>
      </c>
      <c r="C89" s="66">
        <v>101.60346504869753</v>
      </c>
      <c r="D89" s="66">
        <v>101.60346504869753</v>
      </c>
      <c r="E89" s="66">
        <v>100.97113375804783</v>
      </c>
      <c r="F89" s="66">
        <v>100.9916513790768</v>
      </c>
      <c r="G89" s="66">
        <v>101.12366412474913</v>
      </c>
      <c r="H89" s="66">
        <v>101.12366412474913</v>
      </c>
      <c r="I89" s="66">
        <v>101.12249841323631</v>
      </c>
      <c r="J89" s="66">
        <v>100.97397295994853</v>
      </c>
      <c r="K89" s="66">
        <v>101.01857869456083</v>
      </c>
      <c r="L89" s="66">
        <v>102.10385408324839</v>
      </c>
      <c r="M89" s="66">
        <v>102.0422591237719</v>
      </c>
      <c r="N89" s="66">
        <f t="shared" ref="N89:N91" si="4">AVERAGE(B89:M89)</f>
        <v>101.36571391766894</v>
      </c>
      <c r="R89" s="44" t="s">
        <v>9</v>
      </c>
    </row>
    <row r="90" spans="1:18" x14ac:dyDescent="0.2">
      <c r="A90" s="4" t="s">
        <v>60</v>
      </c>
      <c r="B90" s="66">
        <v>101.01501896109103</v>
      </c>
      <c r="C90" s="66">
        <v>101.74739918327988</v>
      </c>
      <c r="D90" s="66">
        <v>97.025701170619641</v>
      </c>
      <c r="E90" s="66">
        <v>94.039493994377708</v>
      </c>
      <c r="F90" s="66">
        <v>101.13686029223541</v>
      </c>
      <c r="G90" s="66">
        <v>102.61942366181253</v>
      </c>
      <c r="H90" s="66">
        <v>102.52413848477245</v>
      </c>
      <c r="I90" s="66">
        <v>102.16372197243018</v>
      </c>
      <c r="J90" s="66">
        <v>102.68845219400396</v>
      </c>
      <c r="K90" s="66">
        <v>102.12068999397775</v>
      </c>
      <c r="L90" s="66">
        <v>102.30194352074884</v>
      </c>
      <c r="M90" s="66">
        <v>101.81109970230102</v>
      </c>
      <c r="N90" s="66">
        <f t="shared" si="4"/>
        <v>100.93282859430421</v>
      </c>
      <c r="R90" s="44" t="s">
        <v>10</v>
      </c>
    </row>
    <row r="91" spans="1:18" x14ac:dyDescent="0.2">
      <c r="A91" s="4" t="s">
        <v>61</v>
      </c>
      <c r="B91" s="66">
        <v>99.992150572363414</v>
      </c>
      <c r="C91" s="66">
        <v>99.992150572363414</v>
      </c>
      <c r="D91" s="66">
        <v>99.992150572363414</v>
      </c>
      <c r="E91" s="66">
        <v>99.992150572363414</v>
      </c>
      <c r="F91" s="66">
        <v>99.992150572363414</v>
      </c>
      <c r="G91" s="66">
        <v>99.992150572363414</v>
      </c>
      <c r="H91" s="66">
        <v>99.992150572363414</v>
      </c>
      <c r="I91" s="66">
        <v>99.992150572363414</v>
      </c>
      <c r="J91" s="66">
        <v>99.992150572363414</v>
      </c>
      <c r="K91" s="66">
        <v>99.992150572363414</v>
      </c>
      <c r="L91" s="66">
        <v>99.99216247678946</v>
      </c>
      <c r="M91" s="66">
        <v>99.99216247678946</v>
      </c>
      <c r="N91" s="66">
        <f t="shared" si="4"/>
        <v>99.992152556434419</v>
      </c>
      <c r="R91" s="50" t="s">
        <v>54</v>
      </c>
    </row>
    <row r="92" spans="1:18" ht="25.5" x14ac:dyDescent="0.2">
      <c r="A92" s="3" t="s">
        <v>62</v>
      </c>
      <c r="B92" s="66">
        <v>102.43824633283748</v>
      </c>
      <c r="C92" s="66">
        <v>102.15647144142078</v>
      </c>
      <c r="D92" s="66">
        <v>101.85116634429326</v>
      </c>
      <c r="E92" s="66">
        <v>101.39382443155428</v>
      </c>
      <c r="F92" s="66">
        <v>101.43018393242005</v>
      </c>
      <c r="G92" s="66">
        <v>102.75181531332132</v>
      </c>
      <c r="H92" s="66">
        <v>102.96964477881095</v>
      </c>
      <c r="I92" s="66">
        <v>102.97337657739911</v>
      </c>
      <c r="J92" s="66">
        <v>103.07597577366383</v>
      </c>
      <c r="K92" s="66">
        <v>103.21097400619361</v>
      </c>
      <c r="L92" s="66">
        <v>103.32874968734551</v>
      </c>
      <c r="M92" s="66">
        <v>104.28912905358175</v>
      </c>
      <c r="N92" s="66">
        <f>AVERAGE(B92:M92)</f>
        <v>102.65579647273681</v>
      </c>
      <c r="R92" s="44" t="s">
        <v>11</v>
      </c>
    </row>
    <row r="93" spans="1:18" x14ac:dyDescent="0.2">
      <c r="A93" s="5" t="s">
        <v>12</v>
      </c>
      <c r="B93" s="66">
        <v>106.4172042101863</v>
      </c>
      <c r="C93" s="66">
        <v>106.89787237942072</v>
      </c>
      <c r="D93" s="66">
        <v>106.93170176361657</v>
      </c>
      <c r="E93" s="66">
        <v>107.15523569019462</v>
      </c>
      <c r="F93" s="66">
        <v>107.15523569019462</v>
      </c>
      <c r="G93" s="66">
        <v>107.93224862219273</v>
      </c>
      <c r="H93" s="66">
        <v>108.07165385212181</v>
      </c>
      <c r="I93" s="66">
        <v>108.56357207155422</v>
      </c>
      <c r="J93" s="66">
        <v>109.11793286757899</v>
      </c>
      <c r="K93" s="66">
        <v>109.16840477167567</v>
      </c>
      <c r="L93" s="66">
        <v>109.18184324757634</v>
      </c>
      <c r="M93" s="66">
        <v>109.26793858893173</v>
      </c>
      <c r="N93" s="66">
        <f t="shared" ref="N93:N94" si="5">AVERAGE(B93:M93)</f>
        <v>107.98840364627034</v>
      </c>
      <c r="R93" s="44" t="s">
        <v>13</v>
      </c>
    </row>
    <row r="94" spans="1:18" x14ac:dyDescent="0.2">
      <c r="A94" s="5" t="s">
        <v>63</v>
      </c>
      <c r="B94" s="66">
        <v>103.32029625863218</v>
      </c>
      <c r="C94" s="66">
        <v>102.89774705308302</v>
      </c>
      <c r="D94" s="66">
        <v>103.03776107761236</v>
      </c>
      <c r="E94" s="66">
        <v>102.70861555703937</v>
      </c>
      <c r="F94" s="66">
        <v>101.69647511732298</v>
      </c>
      <c r="G94" s="66">
        <v>102.16824620254437</v>
      </c>
      <c r="H94" s="66">
        <v>102.23946935531939</v>
      </c>
      <c r="I94" s="66">
        <v>102.22373689813641</v>
      </c>
      <c r="J94" s="66">
        <v>102.47334061514903</v>
      </c>
      <c r="K94" s="66">
        <v>102.44928515261279</v>
      </c>
      <c r="L94" s="66">
        <v>103.09390294197431</v>
      </c>
      <c r="M94" s="66">
        <v>103.35887246504001</v>
      </c>
      <c r="N94" s="66">
        <f t="shared" si="5"/>
        <v>102.63897905787216</v>
      </c>
      <c r="R94" s="44" t="s">
        <v>14</v>
      </c>
    </row>
    <row r="95" spans="1:18" x14ac:dyDescent="0.2">
      <c r="A95" s="5" t="s">
        <v>64</v>
      </c>
      <c r="B95" s="66">
        <v>87.4660060105995</v>
      </c>
      <c r="C95" s="66">
        <v>87.690347625934351</v>
      </c>
      <c r="D95" s="66">
        <v>87.582649926756261</v>
      </c>
      <c r="E95" s="66">
        <v>87.043624446482681</v>
      </c>
      <c r="F95" s="66">
        <v>86.905733924230304</v>
      </c>
      <c r="G95" s="66">
        <v>86.710114654117504</v>
      </c>
      <c r="H95" s="66">
        <v>85.984465192144555</v>
      </c>
      <c r="I95" s="66">
        <v>85.176436483008857</v>
      </c>
      <c r="J95" s="66">
        <v>85.024932909755563</v>
      </c>
      <c r="K95" s="66">
        <v>85.677798365288453</v>
      </c>
      <c r="L95" s="66">
        <v>84.767782670742463</v>
      </c>
      <c r="M95" s="66">
        <v>83.733253965137365</v>
      </c>
      <c r="N95" s="66">
        <f>AVERAGE(B95:M95)</f>
        <v>86.146928847849821</v>
      </c>
      <c r="R95" s="44" t="s">
        <v>15</v>
      </c>
    </row>
    <row r="96" spans="1:18" x14ac:dyDescent="0.2">
      <c r="A96" s="3" t="s">
        <v>65</v>
      </c>
      <c r="B96" s="66">
        <v>101.06787160779871</v>
      </c>
      <c r="C96" s="66">
        <v>101.05172816535885</v>
      </c>
      <c r="D96" s="66">
        <v>101.06256940085939</v>
      </c>
      <c r="E96" s="66">
        <v>101.60299525962678</v>
      </c>
      <c r="F96" s="66">
        <v>101.60299525962678</v>
      </c>
      <c r="G96" s="66">
        <v>101.31314194719273</v>
      </c>
      <c r="H96" s="66">
        <v>101.38459611807892</v>
      </c>
      <c r="I96" s="66">
        <v>101.35274721425324</v>
      </c>
      <c r="J96" s="66">
        <v>101.35274721425324</v>
      </c>
      <c r="K96" s="66">
        <v>100.43958462120561</v>
      </c>
      <c r="L96" s="66">
        <v>101.40237168810275</v>
      </c>
      <c r="M96" s="66">
        <v>101.75179405251727</v>
      </c>
      <c r="N96" s="66">
        <f t="shared" ref="N96:N102" si="6">AVERAGE(B96:M96)</f>
        <v>101.28209521240619</v>
      </c>
      <c r="R96" s="45" t="s">
        <v>16</v>
      </c>
    </row>
    <row r="97" spans="1:18" x14ac:dyDescent="0.2">
      <c r="A97" s="4" t="s">
        <v>66</v>
      </c>
      <c r="B97" s="66">
        <v>105.3880891503201</v>
      </c>
      <c r="C97" s="66">
        <v>105.3880891503201</v>
      </c>
      <c r="D97" s="66">
        <v>105.3880891503201</v>
      </c>
      <c r="E97" s="66">
        <v>105.43498434748007</v>
      </c>
      <c r="F97" s="66">
        <v>106.1682049231199</v>
      </c>
      <c r="G97" s="66">
        <v>106.24348651896644</v>
      </c>
      <c r="H97" s="66">
        <v>106.24348651896644</v>
      </c>
      <c r="I97" s="66">
        <v>106.24348651896644</v>
      </c>
      <c r="J97" s="66">
        <v>106.24348651896644</v>
      </c>
      <c r="K97" s="66">
        <v>106.24348651896644</v>
      </c>
      <c r="L97" s="66">
        <v>106.41896885918457</v>
      </c>
      <c r="M97" s="66">
        <v>106.41896885918457</v>
      </c>
      <c r="N97" s="66">
        <f t="shared" si="6"/>
        <v>105.98523558623013</v>
      </c>
      <c r="R97" s="45" t="s">
        <v>17</v>
      </c>
    </row>
    <row r="98" spans="1:18" x14ac:dyDescent="0.2">
      <c r="A98" s="4" t="s">
        <v>67</v>
      </c>
      <c r="B98" s="66">
        <v>106.2646689860362</v>
      </c>
      <c r="C98" s="66">
        <v>106.2646689860362</v>
      </c>
      <c r="D98" s="66">
        <v>106.2646689860362</v>
      </c>
      <c r="E98" s="66">
        <v>106.31092158197617</v>
      </c>
      <c r="F98" s="66">
        <v>106.31092158197617</v>
      </c>
      <c r="G98" s="66">
        <v>106.46590593554319</v>
      </c>
      <c r="H98" s="66">
        <v>106.46590593554319</v>
      </c>
      <c r="I98" s="66">
        <v>106.46590593554319</v>
      </c>
      <c r="J98" s="66">
        <v>106.46590593554319</v>
      </c>
      <c r="K98" s="66">
        <v>106.46590593554319</v>
      </c>
      <c r="L98" s="66">
        <v>106.49525176336422</v>
      </c>
      <c r="M98" s="66">
        <v>107.11760583402142</v>
      </c>
      <c r="N98" s="66">
        <f t="shared" si="6"/>
        <v>106.44651978309686</v>
      </c>
      <c r="R98" s="45" t="s">
        <v>18</v>
      </c>
    </row>
    <row r="99" spans="1:18" ht="17.25" x14ac:dyDescent="0.2">
      <c r="A99" s="4" t="s">
        <v>68</v>
      </c>
      <c r="B99" s="66">
        <v>108.02079541021179</v>
      </c>
      <c r="C99" s="66">
        <v>108.02079541021179</v>
      </c>
      <c r="D99" s="66">
        <v>108.02079541021179</v>
      </c>
      <c r="E99" s="66">
        <v>107.49172817990667</v>
      </c>
      <c r="F99" s="66">
        <v>107.49172817990667</v>
      </c>
      <c r="G99" s="66">
        <v>107.49172817990667</v>
      </c>
      <c r="H99" s="66">
        <v>107.49172817990667</v>
      </c>
      <c r="I99" s="66">
        <v>107.49172817990667</v>
      </c>
      <c r="J99" s="66">
        <v>107.49172817990667</v>
      </c>
      <c r="K99" s="66">
        <v>107.49172817990667</v>
      </c>
      <c r="L99" s="66">
        <v>108.40085974497387</v>
      </c>
      <c r="M99" s="66">
        <v>108.40085974497387</v>
      </c>
      <c r="N99" s="66">
        <f t="shared" si="6"/>
        <v>107.77551691499413</v>
      </c>
      <c r="R99" s="42" t="s">
        <v>70</v>
      </c>
    </row>
    <row r="100" spans="1:18" ht="25.5" x14ac:dyDescent="0.2">
      <c r="A100" s="3" t="s">
        <v>69</v>
      </c>
      <c r="B100" s="66">
        <v>104.84137641460049</v>
      </c>
      <c r="C100" s="66">
        <v>104.76395003946273</v>
      </c>
      <c r="D100" s="66">
        <v>104.86676683353039</v>
      </c>
      <c r="E100" s="66">
        <v>105.13375147837426</v>
      </c>
      <c r="F100" s="66">
        <v>105.20790751515598</v>
      </c>
      <c r="G100" s="66">
        <v>105.60459429695717</v>
      </c>
      <c r="H100" s="66">
        <v>105.60943878927816</v>
      </c>
      <c r="I100" s="66">
        <v>105.85648092539581</v>
      </c>
      <c r="J100" s="66">
        <v>106.19635115614977</v>
      </c>
      <c r="K100" s="66">
        <v>106.39466793056732</v>
      </c>
      <c r="L100" s="66">
        <v>106.13194150079448</v>
      </c>
      <c r="M100" s="66">
        <v>106.5442080194162</v>
      </c>
      <c r="N100" s="66">
        <f t="shared" si="6"/>
        <v>105.5959529083069</v>
      </c>
      <c r="R100" s="45" t="s">
        <v>19</v>
      </c>
    </row>
    <row r="101" spans="1:18" x14ac:dyDescent="0.2">
      <c r="A101" s="6" t="s">
        <v>20</v>
      </c>
      <c r="B101" s="68">
        <v>102.31417496727346</v>
      </c>
      <c r="C101" s="68">
        <v>102.77899927754237</v>
      </c>
      <c r="D101" s="68">
        <v>101.88333088388941</v>
      </c>
      <c r="E101" s="68">
        <v>101.12784227532633</v>
      </c>
      <c r="F101" s="68">
        <v>102.6572944800231</v>
      </c>
      <c r="G101" s="68">
        <v>103.39750112484528</v>
      </c>
      <c r="H101" s="68">
        <v>103.49517058252138</v>
      </c>
      <c r="I101" s="68">
        <v>103.68610935968236</v>
      </c>
      <c r="J101" s="68">
        <v>103.86226472391751</v>
      </c>
      <c r="K101" s="68">
        <v>103.69273200401688</v>
      </c>
      <c r="L101" s="68">
        <v>106.25324350600376</v>
      </c>
      <c r="M101" s="68">
        <v>107.43108846399087</v>
      </c>
      <c r="N101" s="68">
        <f t="shared" si="6"/>
        <v>103.54831263741941</v>
      </c>
      <c r="O101" s="11"/>
      <c r="P101" s="11"/>
      <c r="Q101" s="11"/>
      <c r="R101" s="46" t="s">
        <v>21</v>
      </c>
    </row>
    <row r="102" spans="1:18" x14ac:dyDescent="0.2">
      <c r="A102" s="7" t="s">
        <v>22</v>
      </c>
      <c r="B102" s="69">
        <v>102.00433611985166</v>
      </c>
      <c r="C102" s="69">
        <v>102.37338488719189</v>
      </c>
      <c r="D102" s="69">
        <v>101.27085248288728</v>
      </c>
      <c r="E102" s="69">
        <v>100.40974402216649</v>
      </c>
      <c r="F102" s="69">
        <v>102.11572217726709</v>
      </c>
      <c r="G102" s="69">
        <v>102.85828027804446</v>
      </c>
      <c r="H102" s="69">
        <v>102.84904724868635</v>
      </c>
      <c r="I102" s="69">
        <v>102.98690374368266</v>
      </c>
      <c r="J102" s="69">
        <v>103.32117198645884</v>
      </c>
      <c r="K102" s="69">
        <v>103.0694725493353</v>
      </c>
      <c r="L102" s="69">
        <v>105.77021281562361</v>
      </c>
      <c r="M102" s="69">
        <v>106.9679219735433</v>
      </c>
      <c r="N102" s="69">
        <f t="shared" si="6"/>
        <v>102.99975419039491</v>
      </c>
      <c r="O102" s="30"/>
      <c r="P102" s="30"/>
      <c r="Q102" s="30"/>
      <c r="R102" s="47" t="s">
        <v>23</v>
      </c>
    </row>
    <row r="103" spans="1:18" x14ac:dyDescent="0.35"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</row>
    <row r="104" spans="1:18" ht="15" x14ac:dyDescent="0.35">
      <c r="A104" s="31"/>
      <c r="B104" s="63"/>
      <c r="C104" s="63"/>
      <c r="D104" s="63"/>
      <c r="E104" s="63"/>
      <c r="F104" s="64"/>
      <c r="G104" s="63"/>
      <c r="H104" s="63"/>
      <c r="I104" s="39"/>
      <c r="J104" s="39"/>
      <c r="K104" s="39"/>
      <c r="L104" s="39"/>
      <c r="M104" s="32"/>
      <c r="N104" s="39"/>
    </row>
    <row r="105" spans="1:18" ht="15" x14ac:dyDescent="0.2">
      <c r="A105" s="22"/>
      <c r="B105" s="23" t="s">
        <v>77</v>
      </c>
      <c r="C105" s="24"/>
      <c r="D105" s="24"/>
      <c r="E105" s="23"/>
      <c r="F105" s="11"/>
      <c r="G105" s="25"/>
      <c r="H105" s="26"/>
      <c r="I105" s="26"/>
      <c r="J105" s="26"/>
      <c r="K105" s="26"/>
      <c r="L105" s="26"/>
      <c r="M105" s="25"/>
      <c r="N105" s="48" t="s">
        <v>76</v>
      </c>
      <c r="O105" s="10"/>
      <c r="P105" s="10"/>
      <c r="Q105" s="10"/>
      <c r="R105" s="51" t="s">
        <v>50</v>
      </c>
    </row>
    <row r="106" spans="1:18" x14ac:dyDescent="0.35">
      <c r="A106" s="27" t="s">
        <v>51</v>
      </c>
      <c r="B106" s="52" t="s">
        <v>25</v>
      </c>
      <c r="C106" s="52" t="s">
        <v>26</v>
      </c>
      <c r="D106" s="52" t="s">
        <v>27</v>
      </c>
      <c r="E106" s="52" t="s">
        <v>28</v>
      </c>
      <c r="F106" s="52" t="s">
        <v>29</v>
      </c>
      <c r="G106" s="53" t="s">
        <v>30</v>
      </c>
      <c r="H106" s="53" t="s">
        <v>31</v>
      </c>
      <c r="I106" s="53" t="s">
        <v>32</v>
      </c>
      <c r="J106" s="53" t="s">
        <v>33</v>
      </c>
      <c r="K106" s="53" t="s">
        <v>34</v>
      </c>
      <c r="L106" s="53" t="s">
        <v>35</v>
      </c>
      <c r="M106" s="53" t="s">
        <v>36</v>
      </c>
      <c r="N106" s="65" t="s">
        <v>37</v>
      </c>
      <c r="R106" s="60" t="s">
        <v>55</v>
      </c>
    </row>
    <row r="107" spans="1:18" x14ac:dyDescent="0.35">
      <c r="A107" s="28" t="s">
        <v>1</v>
      </c>
      <c r="B107" s="56" t="s">
        <v>38</v>
      </c>
      <c r="C107" s="57" t="s">
        <v>39</v>
      </c>
      <c r="D107" s="57" t="s">
        <v>40</v>
      </c>
      <c r="E107" s="57" t="s">
        <v>41</v>
      </c>
      <c r="F107" s="57" t="s">
        <v>42</v>
      </c>
      <c r="G107" s="57" t="s">
        <v>43</v>
      </c>
      <c r="H107" s="57" t="s">
        <v>44</v>
      </c>
      <c r="I107" s="57" t="s">
        <v>45</v>
      </c>
      <c r="J107" s="57" t="s">
        <v>46</v>
      </c>
      <c r="K107" s="57" t="s">
        <v>47</v>
      </c>
      <c r="L107" s="57" t="s">
        <v>48</v>
      </c>
      <c r="M107" s="57" t="s">
        <v>49</v>
      </c>
      <c r="N107" s="58" t="s">
        <v>53</v>
      </c>
      <c r="O107" s="21"/>
      <c r="P107" s="21"/>
      <c r="Q107" s="21"/>
      <c r="R107" s="62"/>
    </row>
    <row r="108" spans="1:18" x14ac:dyDescent="0.2">
      <c r="A108" s="3" t="s">
        <v>2</v>
      </c>
      <c r="B108" s="66">
        <v>107.19243770556068</v>
      </c>
      <c r="C108" s="66">
        <v>109.5713980111385</v>
      </c>
      <c r="D108" s="66">
        <v>110.36315979235694</v>
      </c>
      <c r="E108" s="66">
        <v>111.78759672543571</v>
      </c>
      <c r="F108" s="66">
        <v>110.83857016129983</v>
      </c>
      <c r="G108" s="66">
        <v>111.04274594932097</v>
      </c>
      <c r="H108" s="66">
        <v>111.44160007885486</v>
      </c>
      <c r="I108" s="66">
        <v>113.60524474980417</v>
      </c>
      <c r="J108" s="66">
        <v>113.98675637103607</v>
      </c>
      <c r="K108" s="66">
        <v>112.78719054271254</v>
      </c>
      <c r="L108" s="66">
        <v>113.30356173757171</v>
      </c>
      <c r="M108" s="66">
        <v>113.67998509608697</v>
      </c>
      <c r="N108" s="66">
        <f>AVERAGE(B108:M108)</f>
        <v>111.63335391009826</v>
      </c>
      <c r="R108" s="44" t="s">
        <v>3</v>
      </c>
    </row>
    <row r="109" spans="1:18" x14ac:dyDescent="0.2">
      <c r="A109" s="3" t="s">
        <v>4</v>
      </c>
      <c r="B109" s="66">
        <v>106.32546191804735</v>
      </c>
      <c r="C109" s="66">
        <v>108.01212609880497</v>
      </c>
      <c r="D109" s="66">
        <v>108.19906288329547</v>
      </c>
      <c r="E109" s="66">
        <v>108.9043097298691</v>
      </c>
      <c r="F109" s="66">
        <v>108.10208243814724</v>
      </c>
      <c r="G109" s="66">
        <v>108.42670639743906</v>
      </c>
      <c r="H109" s="66">
        <v>109.15833687493097</v>
      </c>
      <c r="I109" s="66">
        <v>111.04873077118461</v>
      </c>
      <c r="J109" s="66">
        <v>112.11269156289795</v>
      </c>
      <c r="K109" s="66">
        <v>110.76263680995432</v>
      </c>
      <c r="L109" s="66">
        <v>110.80494775690752</v>
      </c>
      <c r="M109" s="66">
        <v>112.0883914729946</v>
      </c>
      <c r="N109" s="66">
        <f t="shared" ref="N109:N115" si="7">AVERAGE(B109:M109)</f>
        <v>109.49545705953942</v>
      </c>
      <c r="R109" s="44" t="s">
        <v>5</v>
      </c>
    </row>
    <row r="110" spans="1:18" x14ac:dyDescent="0.2">
      <c r="A110" s="4" t="s">
        <v>6</v>
      </c>
      <c r="B110" s="66">
        <v>111.4210772554533</v>
      </c>
      <c r="C110" s="66">
        <v>117.17668407851771</v>
      </c>
      <c r="D110" s="66">
        <v>120.91845546642094</v>
      </c>
      <c r="E110" s="66">
        <v>125.85071313392785</v>
      </c>
      <c r="F110" s="66">
        <v>124.1856790201396</v>
      </c>
      <c r="G110" s="66">
        <v>123.80237369498181</v>
      </c>
      <c r="H110" s="66">
        <v>122.5781245654499</v>
      </c>
      <c r="I110" s="66">
        <v>126.07453890489386</v>
      </c>
      <c r="J110" s="66">
        <v>123.12743213256432</v>
      </c>
      <c r="K110" s="66">
        <v>122.66186998419889</v>
      </c>
      <c r="L110" s="66">
        <v>125.49045098029914</v>
      </c>
      <c r="M110" s="66">
        <v>121.44291900831223</v>
      </c>
      <c r="N110" s="66">
        <f t="shared" si="7"/>
        <v>122.06085985209661</v>
      </c>
      <c r="R110" s="44" t="s">
        <v>7</v>
      </c>
    </row>
    <row r="111" spans="1:18" x14ac:dyDescent="0.2">
      <c r="A111" s="4" t="s">
        <v>8</v>
      </c>
      <c r="B111" s="66">
        <v>108.59725765227202</v>
      </c>
      <c r="C111" s="66">
        <v>108.91268504009267</v>
      </c>
      <c r="D111" s="66">
        <v>109.17834651159303</v>
      </c>
      <c r="E111" s="66">
        <v>109.576575002818</v>
      </c>
      <c r="F111" s="66">
        <v>109.24764243442509</v>
      </c>
      <c r="G111" s="66">
        <v>109.68770371222804</v>
      </c>
      <c r="H111" s="66">
        <v>109.68483842051965</v>
      </c>
      <c r="I111" s="66">
        <v>109.88762873920112</v>
      </c>
      <c r="J111" s="66">
        <v>109.70364316944881</v>
      </c>
      <c r="K111" s="66">
        <v>109.61941042434121</v>
      </c>
      <c r="L111" s="66">
        <v>184.71730869896174</v>
      </c>
      <c r="M111" s="66">
        <v>220.89867346951061</v>
      </c>
      <c r="N111" s="66">
        <f t="shared" si="7"/>
        <v>124.97597610628434</v>
      </c>
      <c r="R111" s="44" t="s">
        <v>24</v>
      </c>
    </row>
    <row r="112" spans="1:18" x14ac:dyDescent="0.2">
      <c r="A112" s="4" t="s">
        <v>59</v>
      </c>
      <c r="B112" s="66">
        <v>101.12028733276296</v>
      </c>
      <c r="C112" s="66">
        <v>101.12028733276296</v>
      </c>
      <c r="D112" s="66">
        <v>101.12028733276296</v>
      </c>
      <c r="E112" s="66">
        <v>100.83147979234568</v>
      </c>
      <c r="F112" s="66">
        <v>100.96736223282451</v>
      </c>
      <c r="G112" s="66">
        <v>100.96736223282451</v>
      </c>
      <c r="H112" s="66">
        <v>100.96736223282451</v>
      </c>
      <c r="I112" s="66">
        <v>100.96511403808047</v>
      </c>
      <c r="J112" s="66">
        <v>100.65731117331526</v>
      </c>
      <c r="K112" s="66">
        <v>100.77887461207663</v>
      </c>
      <c r="L112" s="66">
        <v>102.7441712237359</v>
      </c>
      <c r="M112" s="66">
        <v>102.72673682285611</v>
      </c>
      <c r="N112" s="66">
        <f t="shared" si="7"/>
        <v>101.24721969659771</v>
      </c>
      <c r="R112" s="44" t="s">
        <v>9</v>
      </c>
    </row>
    <row r="113" spans="1:18" x14ac:dyDescent="0.2">
      <c r="A113" s="4" t="s">
        <v>60</v>
      </c>
      <c r="B113" s="66">
        <v>100.70031216271542</v>
      </c>
      <c r="C113" s="66">
        <v>101.17564187192021</v>
      </c>
      <c r="D113" s="66">
        <v>98.460162420496786</v>
      </c>
      <c r="E113" s="66">
        <v>95.651904366582841</v>
      </c>
      <c r="F113" s="66">
        <v>101.79038442159931</v>
      </c>
      <c r="G113" s="66">
        <v>101.75601156438911</v>
      </c>
      <c r="H113" s="66">
        <v>101.68790167758928</v>
      </c>
      <c r="I113" s="66">
        <v>101.83167038563624</v>
      </c>
      <c r="J113" s="66">
        <v>101.97272985524393</v>
      </c>
      <c r="K113" s="66">
        <v>101.5948376566316</v>
      </c>
      <c r="L113" s="66">
        <v>101.69323231882643</v>
      </c>
      <c r="M113" s="66">
        <v>101.40953345472855</v>
      </c>
      <c r="N113" s="66">
        <f t="shared" si="7"/>
        <v>100.81036017969664</v>
      </c>
      <c r="R113" s="44" t="s">
        <v>10</v>
      </c>
    </row>
    <row r="114" spans="1:18" x14ac:dyDescent="0.2">
      <c r="A114" s="4" t="s">
        <v>61</v>
      </c>
      <c r="B114" s="66">
        <v>99.992150572363443</v>
      </c>
      <c r="C114" s="66">
        <v>99.992150572363443</v>
      </c>
      <c r="D114" s="66">
        <v>99.992150572363443</v>
      </c>
      <c r="E114" s="66">
        <v>99.992150572363443</v>
      </c>
      <c r="F114" s="66">
        <v>99.992150572363443</v>
      </c>
      <c r="G114" s="66">
        <v>99.992150572363443</v>
      </c>
      <c r="H114" s="66">
        <v>99.992150572363443</v>
      </c>
      <c r="I114" s="66">
        <v>99.992150572363443</v>
      </c>
      <c r="J114" s="66">
        <v>99.992150572363443</v>
      </c>
      <c r="K114" s="66">
        <v>99.992150572363443</v>
      </c>
      <c r="L114" s="66">
        <v>99.992162476789488</v>
      </c>
      <c r="M114" s="66">
        <v>99.992162476789488</v>
      </c>
      <c r="N114" s="66">
        <f t="shared" si="7"/>
        <v>99.992152556434462</v>
      </c>
      <c r="R114" s="50" t="s">
        <v>54</v>
      </c>
    </row>
    <row r="115" spans="1:18" ht="25.5" x14ac:dyDescent="0.2">
      <c r="A115" s="3" t="s">
        <v>62</v>
      </c>
      <c r="B115" s="66">
        <v>99.14596904868057</v>
      </c>
      <c r="C115" s="66">
        <v>98.682093793224809</v>
      </c>
      <c r="D115" s="66">
        <v>97.954195895603803</v>
      </c>
      <c r="E115" s="66">
        <v>98.036545174762466</v>
      </c>
      <c r="F115" s="66">
        <v>98.080371403586895</v>
      </c>
      <c r="G115" s="66">
        <v>100.83253609284809</v>
      </c>
      <c r="H115" s="66">
        <v>101.29523532126314</v>
      </c>
      <c r="I115" s="66">
        <v>101.26858916397565</v>
      </c>
      <c r="J115" s="66">
        <v>101.36042490979912</v>
      </c>
      <c r="K115" s="66">
        <v>101.6621201746137</v>
      </c>
      <c r="L115" s="66">
        <v>101.72506385308817</v>
      </c>
      <c r="M115" s="66">
        <v>104.15108873775706</v>
      </c>
      <c r="N115" s="66">
        <f t="shared" si="7"/>
        <v>100.3495194641003</v>
      </c>
      <c r="R115" s="44" t="s">
        <v>11</v>
      </c>
    </row>
    <row r="116" spans="1:18" x14ac:dyDescent="0.2">
      <c r="A116" s="5" t="s">
        <v>12</v>
      </c>
      <c r="B116" s="66">
        <v>109.00372807708501</v>
      </c>
      <c r="C116" s="66">
        <v>109.87844566690454</v>
      </c>
      <c r="D116" s="66">
        <v>109.94000821525468</v>
      </c>
      <c r="E116" s="66">
        <v>109.94000821525468</v>
      </c>
      <c r="F116" s="66">
        <v>109.94000821525468</v>
      </c>
      <c r="G116" s="66">
        <v>110.92644941626216</v>
      </c>
      <c r="H116" s="66">
        <v>111.33554721597977</v>
      </c>
      <c r="I116" s="66">
        <v>112.2307375922753</v>
      </c>
      <c r="J116" s="66">
        <v>112.2445390985086</v>
      </c>
      <c r="K116" s="66">
        <v>112.33638762339713</v>
      </c>
      <c r="L116" s="66">
        <v>112.33638762339713</v>
      </c>
      <c r="M116" s="66">
        <v>112.33638762339713</v>
      </c>
      <c r="N116" s="66">
        <f>AVERAGE(B116:M116)</f>
        <v>111.03738621524754</v>
      </c>
      <c r="R116" s="44" t="s">
        <v>13</v>
      </c>
    </row>
    <row r="117" spans="1:18" x14ac:dyDescent="0.2">
      <c r="A117" s="5" t="s">
        <v>63</v>
      </c>
      <c r="B117" s="66">
        <v>101.49640687556042</v>
      </c>
      <c r="C117" s="66">
        <v>100.54742077829157</v>
      </c>
      <c r="D117" s="66">
        <v>100.85808390499982</v>
      </c>
      <c r="E117" s="66">
        <v>100.85808390499982</v>
      </c>
      <c r="F117" s="66">
        <v>98.767951418003278</v>
      </c>
      <c r="G117" s="66">
        <v>99.752090836535004</v>
      </c>
      <c r="H117" s="66">
        <v>99.914139650869799</v>
      </c>
      <c r="I117" s="66">
        <v>100.32897541651271</v>
      </c>
      <c r="J117" s="66">
        <v>100.89688044204854</v>
      </c>
      <c r="K117" s="66">
        <v>100.84214881293089</v>
      </c>
      <c r="L117" s="66">
        <v>99.601038299220875</v>
      </c>
      <c r="M117" s="66">
        <v>100.19759831214198</v>
      </c>
      <c r="N117" s="66">
        <f t="shared" ref="N117:N123" si="8">AVERAGE(B117:M117)</f>
        <v>100.33840155434289</v>
      </c>
      <c r="R117" s="44" t="s">
        <v>14</v>
      </c>
    </row>
    <row r="118" spans="1:18" x14ac:dyDescent="0.2">
      <c r="A118" s="5" t="s">
        <v>64</v>
      </c>
      <c r="B118" s="66">
        <v>86.579664932998242</v>
      </c>
      <c r="C118" s="66">
        <v>86.823709155429796</v>
      </c>
      <c r="D118" s="66">
        <v>86.721545270270141</v>
      </c>
      <c r="E118" s="66">
        <v>86.184228090385716</v>
      </c>
      <c r="F118" s="66">
        <v>86.047163393409747</v>
      </c>
      <c r="G118" s="66">
        <v>85.638647303196962</v>
      </c>
      <c r="H118" s="66">
        <v>84.92600103490858</v>
      </c>
      <c r="I118" s="66">
        <v>84.124340409821542</v>
      </c>
      <c r="J118" s="66">
        <v>83.946862464375215</v>
      </c>
      <c r="K118" s="66">
        <v>84.428915987742855</v>
      </c>
      <c r="L118" s="66">
        <v>83.562071378086088</v>
      </c>
      <c r="M118" s="66">
        <v>82.48927660413635</v>
      </c>
      <c r="N118" s="66">
        <f t="shared" si="8"/>
        <v>85.1227021687301</v>
      </c>
      <c r="R118" s="44" t="s">
        <v>15</v>
      </c>
    </row>
    <row r="119" spans="1:18" x14ac:dyDescent="0.2">
      <c r="A119" s="3" t="s">
        <v>65</v>
      </c>
      <c r="B119" s="66">
        <v>103.76704007564614</v>
      </c>
      <c r="C119" s="66">
        <v>103.73434303369422</v>
      </c>
      <c r="D119" s="66">
        <v>103.73434303369422</v>
      </c>
      <c r="E119" s="66">
        <v>104.24194313307679</v>
      </c>
      <c r="F119" s="66">
        <v>104.24194313307679</v>
      </c>
      <c r="G119" s="66">
        <v>103.77159984167405</v>
      </c>
      <c r="H119" s="66">
        <v>103.91632362235516</v>
      </c>
      <c r="I119" s="66">
        <v>103.85181662836115</v>
      </c>
      <c r="J119" s="66">
        <v>103.85181662836115</v>
      </c>
      <c r="K119" s="66">
        <v>102.31068054077876</v>
      </c>
      <c r="L119" s="66">
        <v>104.22284926256508</v>
      </c>
      <c r="M119" s="66">
        <v>104.43237169075354</v>
      </c>
      <c r="N119" s="66">
        <f t="shared" si="8"/>
        <v>103.8397558853364</v>
      </c>
      <c r="R119" s="45" t="s">
        <v>16</v>
      </c>
    </row>
    <row r="120" spans="1:18" x14ac:dyDescent="0.2">
      <c r="A120" s="4" t="s">
        <v>66</v>
      </c>
      <c r="B120" s="66">
        <v>107.41077935345608</v>
      </c>
      <c r="C120" s="66">
        <v>107.41077935345608</v>
      </c>
      <c r="D120" s="66">
        <v>107.41077935345608</v>
      </c>
      <c r="E120" s="66">
        <v>107.41077935345608</v>
      </c>
      <c r="F120" s="66">
        <v>108.46776052343448</v>
      </c>
      <c r="G120" s="66">
        <v>108.56742508285889</v>
      </c>
      <c r="H120" s="66">
        <v>108.56742508285889</v>
      </c>
      <c r="I120" s="66">
        <v>108.56742508285889</v>
      </c>
      <c r="J120" s="66">
        <v>108.56742508285889</v>
      </c>
      <c r="K120" s="66">
        <v>108.56742508285889</v>
      </c>
      <c r="L120" s="66">
        <v>108.56742508285889</v>
      </c>
      <c r="M120" s="66">
        <v>108.56742508285889</v>
      </c>
      <c r="N120" s="66">
        <f t="shared" si="8"/>
        <v>108.17357112643924</v>
      </c>
      <c r="R120" s="45" t="s">
        <v>17</v>
      </c>
    </row>
    <row r="121" spans="1:18" x14ac:dyDescent="0.2">
      <c r="A121" s="4" t="s">
        <v>67</v>
      </c>
      <c r="B121" s="66">
        <v>107.36450802729254</v>
      </c>
      <c r="C121" s="66">
        <v>107.36450802729254</v>
      </c>
      <c r="D121" s="66">
        <v>107.36450802729254</v>
      </c>
      <c r="E121" s="66">
        <v>107.36450802729254</v>
      </c>
      <c r="F121" s="66">
        <v>107.36450802729254</v>
      </c>
      <c r="G121" s="66">
        <v>107.59349074006336</v>
      </c>
      <c r="H121" s="66">
        <v>107.59349074006336</v>
      </c>
      <c r="I121" s="66">
        <v>107.59349074006336</v>
      </c>
      <c r="J121" s="66">
        <v>107.59349074006336</v>
      </c>
      <c r="K121" s="66">
        <v>107.59349074006336</v>
      </c>
      <c r="L121" s="66">
        <v>107.59349074006336</v>
      </c>
      <c r="M121" s="66">
        <v>107.59349074006336</v>
      </c>
      <c r="N121" s="66">
        <f t="shared" si="8"/>
        <v>107.49808127640883</v>
      </c>
      <c r="R121" s="45" t="s">
        <v>18</v>
      </c>
    </row>
    <row r="122" spans="1:18" ht="17.25" x14ac:dyDescent="0.2">
      <c r="A122" s="4" t="s">
        <v>68</v>
      </c>
      <c r="B122" s="66">
        <v>108.41870732669004</v>
      </c>
      <c r="C122" s="66">
        <v>108.41870732669004</v>
      </c>
      <c r="D122" s="66">
        <v>108.41870732669004</v>
      </c>
      <c r="E122" s="66">
        <v>107.86339305419153</v>
      </c>
      <c r="F122" s="66">
        <v>107.86339305419153</v>
      </c>
      <c r="G122" s="66">
        <v>107.86339305419153</v>
      </c>
      <c r="H122" s="66">
        <v>107.86339305419153</v>
      </c>
      <c r="I122" s="66">
        <v>107.86339305419153</v>
      </c>
      <c r="J122" s="66">
        <v>107.86339305419153</v>
      </c>
      <c r="K122" s="66">
        <v>107.86339305419153</v>
      </c>
      <c r="L122" s="66">
        <v>108.81762666523862</v>
      </c>
      <c r="M122" s="66">
        <v>108.81762666523862</v>
      </c>
      <c r="N122" s="66">
        <f t="shared" si="8"/>
        <v>108.16126055749066</v>
      </c>
      <c r="R122" s="42" t="s">
        <v>70</v>
      </c>
    </row>
    <row r="123" spans="1:18" ht="25.5" x14ac:dyDescent="0.2">
      <c r="A123" s="3" t="s">
        <v>69</v>
      </c>
      <c r="B123" s="66">
        <v>107.86607762064907</v>
      </c>
      <c r="C123" s="66">
        <v>107.66448677364836</v>
      </c>
      <c r="D123" s="66">
        <v>107.72152174738567</v>
      </c>
      <c r="E123" s="66">
        <v>108.23237924711174</v>
      </c>
      <c r="F123" s="66">
        <v>108.42735679548325</v>
      </c>
      <c r="G123" s="66">
        <v>109.06413987125984</v>
      </c>
      <c r="H123" s="66">
        <v>109.14998828168679</v>
      </c>
      <c r="I123" s="66">
        <v>109.67422258380044</v>
      </c>
      <c r="J123" s="66">
        <v>110.21379840908435</v>
      </c>
      <c r="K123" s="66">
        <v>110.62985239845551</v>
      </c>
      <c r="L123" s="66">
        <v>110.70370924205703</v>
      </c>
      <c r="M123" s="66">
        <v>110.93235699737259</v>
      </c>
      <c r="N123" s="66">
        <f t="shared" si="8"/>
        <v>109.18999083066622</v>
      </c>
      <c r="R123" s="45" t="s">
        <v>19</v>
      </c>
    </row>
    <row r="124" spans="1:18" x14ac:dyDescent="0.2">
      <c r="A124" s="6" t="s">
        <v>20</v>
      </c>
      <c r="B124" s="68">
        <v>102.11810226667194</v>
      </c>
      <c r="C124" s="68">
        <v>102.72402392474542</v>
      </c>
      <c r="D124" s="68">
        <v>101.88852783894204</v>
      </c>
      <c r="E124" s="68">
        <v>101.12742082430982</v>
      </c>
      <c r="F124" s="68">
        <v>103.07115548766767</v>
      </c>
      <c r="G124" s="68">
        <v>103.33353721879203</v>
      </c>
      <c r="H124" s="68">
        <v>103.3692267571403</v>
      </c>
      <c r="I124" s="68">
        <v>103.83019914239378</v>
      </c>
      <c r="J124" s="68">
        <v>103.97304332558565</v>
      </c>
      <c r="K124" s="68">
        <v>103.67601329219097</v>
      </c>
      <c r="L124" s="68">
        <v>105.75164677380253</v>
      </c>
      <c r="M124" s="68">
        <v>106.72546765456261</v>
      </c>
      <c r="N124" s="68">
        <f>AVERAGE(B124:M124)</f>
        <v>103.46569704223373</v>
      </c>
      <c r="R124" s="46" t="s">
        <v>21</v>
      </c>
    </row>
    <row r="125" spans="1:18" x14ac:dyDescent="0.2">
      <c r="A125" s="7" t="s">
        <v>22</v>
      </c>
      <c r="B125" s="69">
        <v>101.81910887360527</v>
      </c>
      <c r="C125" s="69">
        <v>102.25952198816847</v>
      </c>
      <c r="D125" s="69">
        <v>101.27691460360445</v>
      </c>
      <c r="E125" s="69">
        <v>100.33282543258336</v>
      </c>
      <c r="F125" s="69">
        <v>102.39254428624305</v>
      </c>
      <c r="G125" s="69">
        <v>102.67567810624756</v>
      </c>
      <c r="H125" s="69">
        <v>102.75186150143408</v>
      </c>
      <c r="I125" s="69">
        <v>103.11527616021462</v>
      </c>
      <c r="J125" s="69">
        <v>103.35742996443794</v>
      </c>
      <c r="K125" s="69">
        <v>103.06581647671351</v>
      </c>
      <c r="L125" s="69">
        <v>105.1172505670089</v>
      </c>
      <c r="M125" s="69">
        <v>106.25245544902002</v>
      </c>
      <c r="N125" s="69">
        <f t="shared" ref="N125" si="9">AVERAGE(B125:M125)</f>
        <v>102.86805695077345</v>
      </c>
      <c r="O125" s="21"/>
      <c r="P125" s="21"/>
      <c r="Q125" s="21"/>
      <c r="R125" s="47" t="s">
        <v>23</v>
      </c>
    </row>
    <row r="126" spans="1:18" x14ac:dyDescent="0.35"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</row>
    <row r="127" spans="1:18" ht="15" x14ac:dyDescent="0.35">
      <c r="A127" s="31"/>
      <c r="B127" s="63"/>
      <c r="C127" s="63"/>
      <c r="D127" s="63"/>
      <c r="E127" s="63"/>
      <c r="F127" s="64"/>
      <c r="G127" s="63"/>
      <c r="H127" s="63"/>
      <c r="I127" s="39"/>
      <c r="J127" s="39"/>
      <c r="K127" s="39"/>
      <c r="L127" s="39"/>
      <c r="M127" s="32"/>
      <c r="N127" s="39"/>
    </row>
    <row r="128" spans="1:18" ht="15" x14ac:dyDescent="0.2">
      <c r="A128" s="34" t="s">
        <v>51</v>
      </c>
      <c r="B128" s="23" t="s">
        <v>77</v>
      </c>
      <c r="C128" s="24"/>
      <c r="D128" s="24"/>
      <c r="E128" s="23"/>
      <c r="F128" s="11"/>
      <c r="G128" s="25"/>
      <c r="H128" s="26"/>
      <c r="I128" s="26"/>
      <c r="J128" s="26"/>
      <c r="K128" s="26"/>
      <c r="L128" s="26"/>
      <c r="M128" s="25"/>
      <c r="N128" s="48" t="s">
        <v>76</v>
      </c>
      <c r="O128" s="10"/>
      <c r="P128" s="10"/>
      <c r="Q128" s="10"/>
      <c r="R128" s="51" t="s">
        <v>50</v>
      </c>
    </row>
    <row r="129" spans="1:18" x14ac:dyDescent="0.2">
      <c r="A129" s="27" t="s">
        <v>56</v>
      </c>
      <c r="B129" s="52" t="s">
        <v>25</v>
      </c>
      <c r="C129" s="52" t="s">
        <v>26</v>
      </c>
      <c r="D129" s="52" t="s">
        <v>27</v>
      </c>
      <c r="E129" s="52" t="s">
        <v>28</v>
      </c>
      <c r="F129" s="52" t="s">
        <v>29</v>
      </c>
      <c r="G129" s="53" t="s">
        <v>30</v>
      </c>
      <c r="H129" s="53" t="s">
        <v>31</v>
      </c>
      <c r="I129" s="53" t="s">
        <v>32</v>
      </c>
      <c r="J129" s="53" t="s">
        <v>33</v>
      </c>
      <c r="K129" s="53" t="s">
        <v>34</v>
      </c>
      <c r="L129" s="53" t="s">
        <v>35</v>
      </c>
      <c r="M129" s="53" t="s">
        <v>36</v>
      </c>
      <c r="N129" s="65" t="s">
        <v>37</v>
      </c>
      <c r="R129" s="46" t="s">
        <v>57</v>
      </c>
    </row>
    <row r="130" spans="1:18" x14ac:dyDescent="0.35">
      <c r="A130" s="35"/>
      <c r="B130" s="56" t="s">
        <v>38</v>
      </c>
      <c r="C130" s="57" t="s">
        <v>39</v>
      </c>
      <c r="D130" s="57" t="s">
        <v>40</v>
      </c>
      <c r="E130" s="57" t="s">
        <v>41</v>
      </c>
      <c r="F130" s="57" t="s">
        <v>42</v>
      </c>
      <c r="G130" s="57" t="s">
        <v>43</v>
      </c>
      <c r="H130" s="57" t="s">
        <v>44</v>
      </c>
      <c r="I130" s="57" t="s">
        <v>45</v>
      </c>
      <c r="J130" s="57" t="s">
        <v>46</v>
      </c>
      <c r="K130" s="57" t="s">
        <v>47</v>
      </c>
      <c r="L130" s="57" t="s">
        <v>48</v>
      </c>
      <c r="M130" s="57" t="s">
        <v>49</v>
      </c>
      <c r="N130" s="58" t="s">
        <v>53</v>
      </c>
      <c r="O130" s="21"/>
      <c r="P130" s="21"/>
      <c r="Q130" s="21"/>
      <c r="R130" s="62"/>
    </row>
    <row r="131" spans="1:18" x14ac:dyDescent="0.2">
      <c r="A131" s="3" t="s">
        <v>2</v>
      </c>
      <c r="B131" s="66">
        <v>106.04591397098379</v>
      </c>
      <c r="C131" s="66">
        <v>106.14570900664235</v>
      </c>
      <c r="D131" s="66">
        <v>108.0622760940867</v>
      </c>
      <c r="E131" s="66">
        <v>107.60353156627234</v>
      </c>
      <c r="F131" s="66">
        <v>106.45520938812356</v>
      </c>
      <c r="G131" s="66">
        <v>107.80071718374759</v>
      </c>
      <c r="H131" s="66">
        <v>108.79882477826676</v>
      </c>
      <c r="I131" s="66">
        <v>109.470677795168</v>
      </c>
      <c r="J131" s="66">
        <v>109.00916862691597</v>
      </c>
      <c r="K131" s="66">
        <v>109.3305723919848</v>
      </c>
      <c r="L131" s="66">
        <v>108.48832025814706</v>
      </c>
      <c r="M131" s="66">
        <v>110.57255459040154</v>
      </c>
      <c r="N131" s="66">
        <f t="shared" ref="N131" si="10">AVERAGE(B131:M131)</f>
        <v>108.14862297089503</v>
      </c>
      <c r="R131" s="44" t="s">
        <v>3</v>
      </c>
    </row>
    <row r="132" spans="1:18" x14ac:dyDescent="0.2">
      <c r="A132" s="3" t="s">
        <v>4</v>
      </c>
      <c r="B132" s="66">
        <v>105.76314649587687</v>
      </c>
      <c r="C132" s="66">
        <v>105.84017067705894</v>
      </c>
      <c r="D132" s="66">
        <v>107.38065977980443</v>
      </c>
      <c r="E132" s="66">
        <v>107.05451486859238</v>
      </c>
      <c r="F132" s="66">
        <v>106.29739902192101</v>
      </c>
      <c r="G132" s="66">
        <v>107.6140431458269</v>
      </c>
      <c r="H132" s="66">
        <v>107.56931569433176</v>
      </c>
      <c r="I132" s="66">
        <v>108.48014993865839</v>
      </c>
      <c r="J132" s="66">
        <v>108.78649617607297</v>
      </c>
      <c r="K132" s="66">
        <v>108.3889321914358</v>
      </c>
      <c r="L132" s="66">
        <v>108.0488006912705</v>
      </c>
      <c r="M132" s="66">
        <v>109.57882459413432</v>
      </c>
      <c r="N132" s="66">
        <f>AVERAGE(B132:M132)</f>
        <v>107.56687110624871</v>
      </c>
      <c r="R132" s="44" t="s">
        <v>5</v>
      </c>
    </row>
    <row r="133" spans="1:18" x14ac:dyDescent="0.2">
      <c r="A133" s="4" t="s">
        <v>6</v>
      </c>
      <c r="B133" s="66">
        <v>107.11228449642826</v>
      </c>
      <c r="C133" s="66">
        <v>107.29795280320376</v>
      </c>
      <c r="D133" s="66">
        <v>110.63278229158246</v>
      </c>
      <c r="E133" s="66">
        <v>109.6739791103589</v>
      </c>
      <c r="F133" s="66">
        <v>107.05034262635893</v>
      </c>
      <c r="G133" s="66">
        <v>108.50470087858054</v>
      </c>
      <c r="H133" s="66">
        <v>113.43553997112433</v>
      </c>
      <c r="I133" s="66">
        <v>113.20614882278163</v>
      </c>
      <c r="J133" s="66">
        <v>109.848909259454</v>
      </c>
      <c r="K133" s="66">
        <v>112.88167866776567</v>
      </c>
      <c r="L133" s="66">
        <v>110.14583306543156</v>
      </c>
      <c r="M133" s="66">
        <v>114.32010150281955</v>
      </c>
      <c r="N133" s="66">
        <f t="shared" ref="N133:N143" si="11">AVERAGE(B133:M133)</f>
        <v>110.34252112465748</v>
      </c>
      <c r="R133" s="44" t="s">
        <v>7</v>
      </c>
    </row>
    <row r="134" spans="1:18" x14ac:dyDescent="0.2">
      <c r="A134" s="4" t="s">
        <v>8</v>
      </c>
      <c r="B134" s="66">
        <v>102.6918758072037</v>
      </c>
      <c r="C134" s="66">
        <v>102.70401139685214</v>
      </c>
      <c r="D134" s="66">
        <v>102.8091211741274</v>
      </c>
      <c r="E134" s="66">
        <v>102.57411868585123</v>
      </c>
      <c r="F134" s="66">
        <v>102.59823622633466</v>
      </c>
      <c r="G134" s="66">
        <v>102.57809368056932</v>
      </c>
      <c r="H134" s="66">
        <v>102.55130535010051</v>
      </c>
      <c r="I134" s="66">
        <v>102.55130535010051</v>
      </c>
      <c r="J134" s="66">
        <v>103.03261186225211</v>
      </c>
      <c r="K134" s="66">
        <v>103.05725027039813</v>
      </c>
      <c r="L134" s="66">
        <v>185.77019653570642</v>
      </c>
      <c r="M134" s="66">
        <v>210.32009994154558</v>
      </c>
      <c r="N134" s="66">
        <f t="shared" si="11"/>
        <v>118.60318552342012</v>
      </c>
      <c r="R134" s="44" t="s">
        <v>24</v>
      </c>
    </row>
    <row r="135" spans="1:18" x14ac:dyDescent="0.2">
      <c r="A135" s="4" t="s">
        <v>59</v>
      </c>
      <c r="B135" s="66">
        <v>102.34580177969001</v>
      </c>
      <c r="C135" s="66">
        <v>102.12379257890927</v>
      </c>
      <c r="D135" s="66">
        <v>102.12379257890927</v>
      </c>
      <c r="E135" s="66">
        <v>101.12152521995021</v>
      </c>
      <c r="F135" s="66">
        <v>101.01780803130551</v>
      </c>
      <c r="G135" s="66">
        <v>101.29198351264814</v>
      </c>
      <c r="H135" s="66">
        <v>101.29198351264814</v>
      </c>
      <c r="I135" s="66">
        <v>101.29198351264814</v>
      </c>
      <c r="J135" s="66">
        <v>101.31498174391663</v>
      </c>
      <c r="K135" s="66">
        <v>101.27671277050729</v>
      </c>
      <c r="L135" s="66">
        <v>101.41430523760744</v>
      </c>
      <c r="M135" s="66">
        <v>101.30515437141254</v>
      </c>
      <c r="N135" s="66">
        <f t="shared" si="11"/>
        <v>101.49331873751272</v>
      </c>
      <c r="R135" s="44" t="s">
        <v>9</v>
      </c>
    </row>
    <row r="136" spans="1:18" x14ac:dyDescent="0.2">
      <c r="A136" s="4" t="s">
        <v>60</v>
      </c>
      <c r="B136" s="66">
        <v>102.52309474290372</v>
      </c>
      <c r="C136" s="66">
        <v>104.48726168001151</v>
      </c>
      <c r="D136" s="66">
        <v>90.15175919652107</v>
      </c>
      <c r="E136" s="66">
        <v>86.312819371468336</v>
      </c>
      <c r="F136" s="66">
        <v>98.005170994734357</v>
      </c>
      <c r="G136" s="66">
        <v>106.75689663846626</v>
      </c>
      <c r="H136" s="66">
        <v>106.53138740116894</v>
      </c>
      <c r="I136" s="66">
        <v>103.75491402465519</v>
      </c>
      <c r="J136" s="66">
        <v>106.11819546983256</v>
      </c>
      <c r="K136" s="66">
        <v>104.64057573796116</v>
      </c>
      <c r="L136" s="66">
        <v>105.21888915546501</v>
      </c>
      <c r="M136" s="66">
        <v>103.73540618656908</v>
      </c>
      <c r="N136" s="66">
        <f t="shared" si="11"/>
        <v>101.51969754997975</v>
      </c>
      <c r="R136" s="44" t="s">
        <v>10</v>
      </c>
    </row>
    <row r="137" spans="1:18" x14ac:dyDescent="0.2">
      <c r="A137" s="4" t="s">
        <v>61</v>
      </c>
      <c r="B137" s="66">
        <v>99.992150572363443</v>
      </c>
      <c r="C137" s="66">
        <v>99.992150572363443</v>
      </c>
      <c r="D137" s="66">
        <v>99.992150572363443</v>
      </c>
      <c r="E137" s="66">
        <v>99.992150572363443</v>
      </c>
      <c r="F137" s="66">
        <v>99.992150572363443</v>
      </c>
      <c r="G137" s="66">
        <v>99.992150572363443</v>
      </c>
      <c r="H137" s="66">
        <v>99.992150572363443</v>
      </c>
      <c r="I137" s="66">
        <v>99.992150572363443</v>
      </c>
      <c r="J137" s="66">
        <v>99.992150572363443</v>
      </c>
      <c r="K137" s="66">
        <v>99.992150572363443</v>
      </c>
      <c r="L137" s="66">
        <v>99.99216247678946</v>
      </c>
      <c r="M137" s="66">
        <v>99.99216247678946</v>
      </c>
      <c r="N137" s="66">
        <f t="shared" si="11"/>
        <v>99.992152556434462</v>
      </c>
      <c r="R137" s="50" t="s">
        <v>58</v>
      </c>
    </row>
    <row r="138" spans="1:18" ht="25.5" x14ac:dyDescent="0.2">
      <c r="A138" s="3" t="s">
        <v>62</v>
      </c>
      <c r="B138" s="66">
        <v>105.63169179386485</v>
      </c>
      <c r="C138" s="66">
        <v>105.52655074303938</v>
      </c>
      <c r="D138" s="66">
        <v>105.63115251101492</v>
      </c>
      <c r="E138" s="66">
        <v>104.65032055221704</v>
      </c>
      <c r="F138" s="66">
        <v>104.6794374709883</v>
      </c>
      <c r="G138" s="66">
        <v>104.61347913628022</v>
      </c>
      <c r="H138" s="66">
        <v>104.5937896550153</v>
      </c>
      <c r="I138" s="66">
        <v>104.62698748484361</v>
      </c>
      <c r="J138" s="66">
        <v>104.74002702042063</v>
      </c>
      <c r="K138" s="66">
        <v>104.71333234704655</v>
      </c>
      <c r="L138" s="66">
        <v>104.8842940131432</v>
      </c>
      <c r="M138" s="66">
        <v>104.42302549727755</v>
      </c>
      <c r="N138" s="66">
        <f t="shared" si="11"/>
        <v>104.89284068542931</v>
      </c>
      <c r="R138" s="44" t="s">
        <v>11</v>
      </c>
    </row>
    <row r="139" spans="1:18" x14ac:dyDescent="0.2">
      <c r="A139" s="5" t="s">
        <v>12</v>
      </c>
      <c r="B139" s="66">
        <v>103.26211851068861</v>
      </c>
      <c r="C139" s="66">
        <v>103.26211851068861</v>
      </c>
      <c r="D139" s="66">
        <v>103.26211851068861</v>
      </c>
      <c r="E139" s="66">
        <v>103.75832291370213</v>
      </c>
      <c r="F139" s="66">
        <v>103.75832291370213</v>
      </c>
      <c r="G139" s="66">
        <v>104.27987168970373</v>
      </c>
      <c r="H139" s="66">
        <v>104.09030134701581</v>
      </c>
      <c r="I139" s="66">
        <v>104.09030134701581</v>
      </c>
      <c r="J139" s="66">
        <v>105.30404553662844</v>
      </c>
      <c r="K139" s="66">
        <v>105.30404553662844</v>
      </c>
      <c r="L139" s="66">
        <v>105.33387649344907</v>
      </c>
      <c r="M139" s="66">
        <v>105.52499239300613</v>
      </c>
      <c r="N139" s="66">
        <f t="shared" si="11"/>
        <v>104.26920297524315</v>
      </c>
      <c r="R139" s="44" t="s">
        <v>13</v>
      </c>
    </row>
    <row r="140" spans="1:18" x14ac:dyDescent="0.2">
      <c r="A140" s="5" t="s">
        <v>63</v>
      </c>
      <c r="B140" s="66">
        <v>104.75054350312755</v>
      </c>
      <c r="C140" s="66">
        <v>104.74081259718091</v>
      </c>
      <c r="D140" s="66">
        <v>104.74700797545223</v>
      </c>
      <c r="E140" s="66">
        <v>104.15975498509141</v>
      </c>
      <c r="F140" s="66">
        <v>103.99294824242939</v>
      </c>
      <c r="G140" s="66">
        <v>104.06293323048652</v>
      </c>
      <c r="H140" s="66">
        <v>104.06293323048652</v>
      </c>
      <c r="I140" s="66">
        <v>103.70956022339976</v>
      </c>
      <c r="J140" s="66">
        <v>103.70956022339976</v>
      </c>
      <c r="K140" s="66">
        <v>103.70956022339976</v>
      </c>
      <c r="L140" s="66">
        <v>105.83291775123855</v>
      </c>
      <c r="M140" s="66">
        <v>105.83786252235477</v>
      </c>
      <c r="N140" s="66">
        <f t="shared" si="11"/>
        <v>104.44303289233726</v>
      </c>
      <c r="R140" s="44" t="s">
        <v>14</v>
      </c>
    </row>
    <row r="141" spans="1:18" x14ac:dyDescent="0.2">
      <c r="A141" s="5" t="s">
        <v>64</v>
      </c>
      <c r="B141" s="66">
        <v>88.692452416384128</v>
      </c>
      <c r="C141" s="66">
        <v>88.88953117290653</v>
      </c>
      <c r="D141" s="66">
        <v>88.77417623377346</v>
      </c>
      <c r="E141" s="66">
        <v>88.232786946918864</v>
      </c>
      <c r="F141" s="66">
        <v>88.093753715084745</v>
      </c>
      <c r="G141" s="66">
        <v>88.192723679763205</v>
      </c>
      <c r="H141" s="66">
        <v>87.449081460192545</v>
      </c>
      <c r="I141" s="66">
        <v>86.632241116359339</v>
      </c>
      <c r="J141" s="66">
        <v>86.516678758315066</v>
      </c>
      <c r="K141" s="66">
        <v>87.405899817309475</v>
      </c>
      <c r="L141" s="66">
        <v>86.436147500785538</v>
      </c>
      <c r="M141" s="66">
        <v>85.45456825580095</v>
      </c>
      <c r="N141" s="66">
        <f t="shared" si="11"/>
        <v>87.564170089466145</v>
      </c>
      <c r="R141" s="44" t="s">
        <v>15</v>
      </c>
    </row>
    <row r="142" spans="1:18" x14ac:dyDescent="0.2">
      <c r="A142" s="3" t="s">
        <v>65</v>
      </c>
      <c r="B142" s="66">
        <v>98.435581829104436</v>
      </c>
      <c r="C142" s="66">
        <v>98.435581829104436</v>
      </c>
      <c r="D142" s="66">
        <v>98.456995681222438</v>
      </c>
      <c r="E142" s="66">
        <v>99.02943395860531</v>
      </c>
      <c r="F142" s="66">
        <v>99.02943395860531</v>
      </c>
      <c r="G142" s="66">
        <v>98.915598531848062</v>
      </c>
      <c r="H142" s="66">
        <v>98.915598531848062</v>
      </c>
      <c r="I142" s="66">
        <v>98.915598531848062</v>
      </c>
      <c r="J142" s="66">
        <v>98.915598531848062</v>
      </c>
      <c r="K142" s="66">
        <v>98.614849810200283</v>
      </c>
      <c r="L142" s="66">
        <v>98.651778541090053</v>
      </c>
      <c r="M142" s="66">
        <v>99.137634468861052</v>
      </c>
      <c r="N142" s="66">
        <f t="shared" si="11"/>
        <v>98.787807017015481</v>
      </c>
      <c r="R142" s="45" t="s">
        <v>16</v>
      </c>
    </row>
    <row r="143" spans="1:18" x14ac:dyDescent="0.2">
      <c r="A143" s="4" t="s">
        <v>66</v>
      </c>
      <c r="B143" s="66">
        <v>100.88702071413969</v>
      </c>
      <c r="C143" s="66">
        <v>100.88702071413969</v>
      </c>
      <c r="D143" s="66">
        <v>100.88702071413969</v>
      </c>
      <c r="E143" s="66">
        <v>101.03827123542099</v>
      </c>
      <c r="F143" s="66">
        <v>101.05103121368563</v>
      </c>
      <c r="G143" s="66">
        <v>101.07205369087387</v>
      </c>
      <c r="H143" s="66">
        <v>101.07205369087387</v>
      </c>
      <c r="I143" s="66">
        <v>101.07205369087387</v>
      </c>
      <c r="J143" s="66">
        <v>101.07205369087387</v>
      </c>
      <c r="K143" s="66">
        <v>101.07205369087387</v>
      </c>
      <c r="L143" s="66">
        <v>101.63803479429272</v>
      </c>
      <c r="M143" s="66">
        <v>101.63803479429272</v>
      </c>
      <c r="N143" s="66">
        <f t="shared" si="11"/>
        <v>101.11555855287338</v>
      </c>
      <c r="R143" s="45" t="s">
        <v>17</v>
      </c>
    </row>
    <row r="144" spans="1:18" x14ac:dyDescent="0.2">
      <c r="A144" s="4" t="s">
        <v>67</v>
      </c>
      <c r="B144" s="66">
        <v>103.96113354726396</v>
      </c>
      <c r="C144" s="66">
        <v>103.96113354726396</v>
      </c>
      <c r="D144" s="66">
        <v>103.96113354726396</v>
      </c>
      <c r="E144" s="66">
        <v>104.10425894902946</v>
      </c>
      <c r="F144" s="66">
        <v>104.10425894902946</v>
      </c>
      <c r="G144" s="66">
        <v>104.10425894902946</v>
      </c>
      <c r="H144" s="66">
        <v>104.10425894902946</v>
      </c>
      <c r="I144" s="66">
        <v>104.10425894902946</v>
      </c>
      <c r="J144" s="66">
        <v>104.10425894902946</v>
      </c>
      <c r="K144" s="66">
        <v>104.10425894902946</v>
      </c>
      <c r="L144" s="66">
        <v>104.19506754715609</v>
      </c>
      <c r="M144" s="66">
        <v>106.12089840254841</v>
      </c>
      <c r="N144" s="66">
        <f>AVERAGE(B144:M144)</f>
        <v>104.24409826955855</v>
      </c>
      <c r="O144" s="1"/>
      <c r="P144" s="1"/>
      <c r="Q144" s="1"/>
      <c r="R144" s="45" t="s">
        <v>18</v>
      </c>
    </row>
    <row r="145" spans="1:18" ht="17.25" x14ac:dyDescent="0.2">
      <c r="A145" s="4" t="s">
        <v>68</v>
      </c>
      <c r="B145" s="66">
        <v>107.14229868182086</v>
      </c>
      <c r="C145" s="66">
        <v>107.14229868182086</v>
      </c>
      <c r="D145" s="66">
        <v>107.14229868182086</v>
      </c>
      <c r="E145" s="66">
        <v>106.67117880051933</v>
      </c>
      <c r="F145" s="66">
        <v>106.67117880051933</v>
      </c>
      <c r="G145" s="66">
        <v>106.67117880051933</v>
      </c>
      <c r="H145" s="66">
        <v>106.67117880051933</v>
      </c>
      <c r="I145" s="66">
        <v>106.67117880051933</v>
      </c>
      <c r="J145" s="66">
        <v>106.67117880051933</v>
      </c>
      <c r="K145" s="66">
        <v>106.67117880051933</v>
      </c>
      <c r="L145" s="66">
        <v>107.48073556474178</v>
      </c>
      <c r="M145" s="66">
        <v>107.48073556474178</v>
      </c>
      <c r="N145" s="66">
        <f t="shared" ref="N145" si="12">AVERAGE(B145:M145)</f>
        <v>106.92388489821512</v>
      </c>
      <c r="O145" s="1"/>
      <c r="P145" s="1"/>
      <c r="Q145" s="1"/>
      <c r="R145" s="42" t="s">
        <v>70</v>
      </c>
    </row>
    <row r="146" spans="1:18" ht="25.5" x14ac:dyDescent="0.2">
      <c r="A146" s="3" t="s">
        <v>69</v>
      </c>
      <c r="B146" s="66">
        <v>103.06077926037244</v>
      </c>
      <c r="C146" s="66">
        <v>103.07758479166866</v>
      </c>
      <c r="D146" s="66">
        <v>103.23832728064284</v>
      </c>
      <c r="E146" s="66">
        <v>103.34050695994942</v>
      </c>
      <c r="F146" s="66">
        <v>103.32294126714059</v>
      </c>
      <c r="G146" s="66">
        <v>103.39439239096518</v>
      </c>
      <c r="H146" s="66">
        <v>103.32970223519411</v>
      </c>
      <c r="I146" s="66">
        <v>103.37946708630146</v>
      </c>
      <c r="J146" s="66">
        <v>103.56788227121415</v>
      </c>
      <c r="K146" s="66">
        <v>103.59834868512651</v>
      </c>
      <c r="L146" s="66">
        <v>103.00052947074006</v>
      </c>
      <c r="M146" s="66">
        <v>103.64219895856351</v>
      </c>
      <c r="N146" s="66">
        <f>AVERAGE(B146:M146)</f>
        <v>103.32938838815657</v>
      </c>
      <c r="O146" s="1"/>
      <c r="P146" s="1"/>
      <c r="Q146" s="1"/>
      <c r="R146" s="45" t="s">
        <v>19</v>
      </c>
    </row>
    <row r="147" spans="1:18" x14ac:dyDescent="0.2">
      <c r="A147" s="6" t="s">
        <v>20</v>
      </c>
      <c r="B147" s="68">
        <v>102.60790185868673</v>
      </c>
      <c r="C147" s="68">
        <v>102.86135515590713</v>
      </c>
      <c r="D147" s="68">
        <v>101.87554558054147</v>
      </c>
      <c r="E147" s="68">
        <v>101.12847363041348</v>
      </c>
      <c r="F147" s="68">
        <v>102.03730961277911</v>
      </c>
      <c r="G147" s="68">
        <v>103.49332231377178</v>
      </c>
      <c r="H147" s="68">
        <v>103.68384084721608</v>
      </c>
      <c r="I147" s="68">
        <v>103.47025552673975</v>
      </c>
      <c r="J147" s="68">
        <v>103.69631273670423</v>
      </c>
      <c r="K147" s="68">
        <v>103.71777748581002</v>
      </c>
      <c r="L147" s="68">
        <v>107.00466095698255</v>
      </c>
      <c r="M147" s="68">
        <v>108.48814437352884</v>
      </c>
      <c r="N147" s="68">
        <f t="shared" ref="N147:N148" si="13">AVERAGE(B147:M147)</f>
        <v>103.67207500659011</v>
      </c>
      <c r="R147" s="46" t="s">
        <v>21</v>
      </c>
    </row>
    <row r="148" spans="1:18" x14ac:dyDescent="0.2">
      <c r="A148" s="7" t="s">
        <v>22</v>
      </c>
      <c r="B148" s="69">
        <v>102.29202818674459</v>
      </c>
      <c r="C148" s="69">
        <v>102.55023496419889</v>
      </c>
      <c r="D148" s="69">
        <v>101.26143689163801</v>
      </c>
      <c r="E148" s="69">
        <v>100.52921277456724</v>
      </c>
      <c r="F148" s="69">
        <v>101.68576639966513</v>
      </c>
      <c r="G148" s="69">
        <v>103.14189512028811</v>
      </c>
      <c r="H148" s="69">
        <v>102.99999463394498</v>
      </c>
      <c r="I148" s="69">
        <v>102.78751771062043</v>
      </c>
      <c r="J148" s="69">
        <v>103.26485666116227</v>
      </c>
      <c r="K148" s="69">
        <v>103.07515110424877</v>
      </c>
      <c r="L148" s="69">
        <v>106.78438358538797</v>
      </c>
      <c r="M148" s="69">
        <v>108.07917340876158</v>
      </c>
      <c r="N148" s="69">
        <f t="shared" si="13"/>
        <v>103.204304286769</v>
      </c>
      <c r="O148" s="21"/>
      <c r="P148" s="21"/>
      <c r="Q148" s="21"/>
      <c r="R148" s="47" t="s">
        <v>23</v>
      </c>
    </row>
    <row r="149" spans="1:18" ht="17.25" x14ac:dyDescent="0.2">
      <c r="A149" s="43" t="s">
        <v>74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R149" s="42" t="s">
        <v>73</v>
      </c>
    </row>
    <row r="152" spans="1:18" ht="15" customHeight="1" x14ac:dyDescent="0.2">
      <c r="A152" s="74" t="s">
        <v>84</v>
      </c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</row>
    <row r="153" spans="1:18" ht="15" customHeight="1" x14ac:dyDescent="0.2">
      <c r="A153" s="71" t="s">
        <v>92</v>
      </c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</row>
    <row r="154" spans="1:18" ht="15" customHeight="1" x14ac:dyDescent="0.2">
      <c r="A154" s="72" t="s">
        <v>75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</row>
    <row r="155" spans="1:18" ht="12" x14ac:dyDescent="0.2">
      <c r="A155" s="73" t="s">
        <v>72</v>
      </c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</row>
    <row r="156" spans="1:18" x14ac:dyDescent="0.2">
      <c r="A156" s="17"/>
      <c r="B156" s="18"/>
      <c r="C156" s="19"/>
      <c r="D156" s="19"/>
      <c r="E156" s="18"/>
      <c r="F156" s="20"/>
      <c r="G156" s="20"/>
      <c r="H156" s="20"/>
      <c r="I156" s="20"/>
      <c r="J156" s="20"/>
      <c r="K156" s="20"/>
      <c r="L156" s="20"/>
      <c r="M156" s="20"/>
      <c r="O156" s="21"/>
      <c r="P156" s="21"/>
      <c r="Q156" s="21"/>
      <c r="R156" s="59"/>
    </row>
    <row r="157" spans="1:18" ht="15" x14ac:dyDescent="0.2">
      <c r="A157" s="22"/>
      <c r="B157" s="23" t="s">
        <v>86</v>
      </c>
      <c r="C157" s="24"/>
      <c r="D157" s="24"/>
      <c r="E157" s="23"/>
      <c r="F157" s="11"/>
      <c r="G157" s="25"/>
      <c r="H157" s="26"/>
      <c r="I157" s="26"/>
      <c r="J157" s="26"/>
      <c r="K157" s="26"/>
      <c r="L157" s="26"/>
      <c r="M157" s="25"/>
      <c r="N157" s="48" t="s">
        <v>90</v>
      </c>
      <c r="R157" s="46" t="s">
        <v>50</v>
      </c>
    </row>
    <row r="158" spans="1:18" x14ac:dyDescent="0.35">
      <c r="A158" s="27" t="s">
        <v>51</v>
      </c>
      <c r="B158" s="52" t="s">
        <v>25</v>
      </c>
      <c r="C158" s="52" t="s">
        <v>26</v>
      </c>
      <c r="D158" s="52" t="s">
        <v>27</v>
      </c>
      <c r="E158" s="52" t="s">
        <v>28</v>
      </c>
      <c r="F158" s="52" t="s">
        <v>29</v>
      </c>
      <c r="G158" s="53" t="s">
        <v>30</v>
      </c>
      <c r="H158" s="53" t="s">
        <v>31</v>
      </c>
      <c r="I158" s="53" t="s">
        <v>32</v>
      </c>
      <c r="J158" s="53" t="s">
        <v>33</v>
      </c>
      <c r="K158" s="53" t="s">
        <v>34</v>
      </c>
      <c r="L158" s="53" t="s">
        <v>35</v>
      </c>
      <c r="M158" s="53" t="s">
        <v>36</v>
      </c>
      <c r="N158" s="55" t="s">
        <v>37</v>
      </c>
      <c r="R158" s="60" t="s">
        <v>52</v>
      </c>
    </row>
    <row r="159" spans="1:18" x14ac:dyDescent="0.2">
      <c r="A159" s="41" t="s">
        <v>0</v>
      </c>
      <c r="B159" s="56" t="s">
        <v>38</v>
      </c>
      <c r="C159" s="57" t="s">
        <v>39</v>
      </c>
      <c r="D159" s="57" t="s">
        <v>40</v>
      </c>
      <c r="E159" s="57" t="s">
        <v>41</v>
      </c>
      <c r="F159" s="57" t="s">
        <v>42</v>
      </c>
      <c r="G159" s="57" t="s">
        <v>43</v>
      </c>
      <c r="H159" s="57" t="s">
        <v>44</v>
      </c>
      <c r="I159" s="57" t="s">
        <v>45</v>
      </c>
      <c r="J159" s="57" t="s">
        <v>46</v>
      </c>
      <c r="K159" s="57" t="s">
        <v>47</v>
      </c>
      <c r="L159" s="57" t="s">
        <v>48</v>
      </c>
      <c r="M159" s="57" t="s">
        <v>49</v>
      </c>
      <c r="N159" s="58" t="s">
        <v>53</v>
      </c>
      <c r="O159" s="40"/>
      <c r="P159" s="40"/>
      <c r="Q159" s="40"/>
      <c r="R159" s="49"/>
    </row>
    <row r="160" spans="1:18" x14ac:dyDescent="0.2">
      <c r="A160" s="3" t="s">
        <v>2</v>
      </c>
      <c r="B160" s="66">
        <v>101.80868421761069</v>
      </c>
      <c r="C160" s="66">
        <v>102.02748474611516</v>
      </c>
      <c r="D160" s="66">
        <v>103.0558804937836</v>
      </c>
      <c r="E160" s="66">
        <v>102.66124327445891</v>
      </c>
      <c r="F160" s="66">
        <v>102.04089630578062</v>
      </c>
      <c r="G160" s="66">
        <v>102.6955966383761</v>
      </c>
      <c r="H160" s="66">
        <v>103.35749827627396</v>
      </c>
      <c r="I160" s="66">
        <v>103.8051325374683</v>
      </c>
      <c r="J160" s="66">
        <v>105.80199406716467</v>
      </c>
      <c r="K160" s="66">
        <v>105.74241339578107</v>
      </c>
      <c r="L160" s="66">
        <v>105.26450790775235</v>
      </c>
      <c r="M160" s="66">
        <v>106.73818160690871</v>
      </c>
      <c r="N160" s="66">
        <f>AVERAGE(B160:M160)</f>
        <v>103.74995945562284</v>
      </c>
      <c r="R160" s="44" t="s">
        <v>3</v>
      </c>
    </row>
    <row r="161" spans="1:18" x14ac:dyDescent="0.2">
      <c r="A161" s="3" t="s">
        <v>4</v>
      </c>
      <c r="B161" s="66">
        <v>101.9100086426818</v>
      </c>
      <c r="C161" s="66">
        <v>102.22494413535532</v>
      </c>
      <c r="D161" s="66">
        <v>103.19137534553292</v>
      </c>
      <c r="E161" s="66">
        <v>103.02901682398486</v>
      </c>
      <c r="F161" s="66">
        <v>102.0438921533615</v>
      </c>
      <c r="G161" s="66">
        <v>102.25418667356094</v>
      </c>
      <c r="H161" s="66">
        <v>102.99008625175821</v>
      </c>
      <c r="I161" s="66">
        <v>103.46183523735854</v>
      </c>
      <c r="J161" s="66">
        <v>105.33074765432188</v>
      </c>
      <c r="K161" s="66">
        <v>105.31044690851211</v>
      </c>
      <c r="L161" s="66">
        <v>104.76573990236379</v>
      </c>
      <c r="M161" s="66">
        <v>106.20454530721219</v>
      </c>
      <c r="N161" s="66">
        <f t="shared" ref="N161" si="14">AVERAGE(B161:M161)</f>
        <v>103.55973541966699</v>
      </c>
      <c r="R161" s="44" t="s">
        <v>5</v>
      </c>
    </row>
    <row r="162" spans="1:18" x14ac:dyDescent="0.2">
      <c r="A162" s="4" t="s">
        <v>6</v>
      </c>
      <c r="B162" s="66">
        <v>101.3799586398199</v>
      </c>
      <c r="C162" s="66">
        <v>101.19199132305563</v>
      </c>
      <c r="D162" s="66">
        <v>102.48257244329992</v>
      </c>
      <c r="E162" s="66">
        <v>101.10511376860653</v>
      </c>
      <c r="F162" s="66">
        <v>102.02822022610711</v>
      </c>
      <c r="G162" s="66">
        <v>104.56329775856713</v>
      </c>
      <c r="H162" s="66">
        <v>104.9120980915434</v>
      </c>
      <c r="I162" s="66">
        <v>105.25769773327683</v>
      </c>
      <c r="J162" s="66">
        <v>107.79593965813257</v>
      </c>
      <c r="K162" s="66">
        <v>107.57015711809389</v>
      </c>
      <c r="L162" s="66">
        <v>107.3749033148196</v>
      </c>
      <c r="M162" s="66">
        <v>108.99611231568899</v>
      </c>
      <c r="N162" s="66">
        <f>AVERAGE(B162:M162)</f>
        <v>104.55483853258431</v>
      </c>
      <c r="R162" s="44" t="s">
        <v>7</v>
      </c>
    </row>
    <row r="163" spans="1:18" x14ac:dyDescent="0.2">
      <c r="A163" s="4" t="s">
        <v>8</v>
      </c>
      <c r="B163" s="66">
        <v>102.64418242969244</v>
      </c>
      <c r="C163" s="66">
        <v>106.28338435162448</v>
      </c>
      <c r="D163" s="66">
        <v>106.60692862795167</v>
      </c>
      <c r="E163" s="66">
        <v>106.57733635736476</v>
      </c>
      <c r="F163" s="66">
        <v>106.42514457653967</v>
      </c>
      <c r="G163" s="66">
        <v>106.49037230911975</v>
      </c>
      <c r="H163" s="66">
        <v>106.42597812937798</v>
      </c>
      <c r="I163" s="66">
        <v>106.55152873283041</v>
      </c>
      <c r="J163" s="66">
        <v>106.47261184324636</v>
      </c>
      <c r="K163" s="66">
        <v>106.43358257652727</v>
      </c>
      <c r="L163" s="66">
        <v>105.68689596759864</v>
      </c>
      <c r="M163" s="66">
        <v>105.71692099891202</v>
      </c>
      <c r="N163" s="66">
        <f>AVERAGE(B163:M163)</f>
        <v>106.0262389083988</v>
      </c>
      <c r="R163" s="44" t="s">
        <v>24</v>
      </c>
    </row>
    <row r="164" spans="1:18" x14ac:dyDescent="0.2">
      <c r="A164" s="4" t="s">
        <v>59</v>
      </c>
      <c r="B164" s="66">
        <v>100.62629859201154</v>
      </c>
      <c r="C164" s="66">
        <v>100.91777017089908</v>
      </c>
      <c r="D164" s="66">
        <v>101.02943817699341</v>
      </c>
      <c r="E164" s="66">
        <v>100.82961919943945</v>
      </c>
      <c r="F164" s="66">
        <v>100.81365077249347</v>
      </c>
      <c r="G164" s="66">
        <v>100.92253010934691</v>
      </c>
      <c r="H164" s="66">
        <v>100.9473706278915</v>
      </c>
      <c r="I164" s="66">
        <v>101.1163714778161</v>
      </c>
      <c r="J164" s="66">
        <v>101.17065396105544</v>
      </c>
      <c r="K164" s="66">
        <v>101.30611964040082</v>
      </c>
      <c r="L164" s="66">
        <v>101.84941790793034</v>
      </c>
      <c r="M164" s="66">
        <v>101.95876454883063</v>
      </c>
      <c r="N164" s="66">
        <f t="shared" ref="N164:N166" si="15">AVERAGE(B164:M164)</f>
        <v>101.12400043209239</v>
      </c>
      <c r="R164" s="44" t="s">
        <v>9</v>
      </c>
    </row>
    <row r="165" spans="1:18" x14ac:dyDescent="0.2">
      <c r="A165" s="4" t="s">
        <v>60</v>
      </c>
      <c r="B165" s="66">
        <v>100.20079280790273</v>
      </c>
      <c r="C165" s="66">
        <v>100.70005254041224</v>
      </c>
      <c r="D165" s="66">
        <v>101.28408199535653</v>
      </c>
      <c r="E165" s="66">
        <v>102.55487327171895</v>
      </c>
      <c r="F165" s="66">
        <v>101.78261218330435</v>
      </c>
      <c r="G165" s="66">
        <v>101.78616306960596</v>
      </c>
      <c r="H165" s="66">
        <v>101.10376413457473</v>
      </c>
      <c r="I165" s="66">
        <v>101.39367219644603</v>
      </c>
      <c r="J165" s="66">
        <v>101.50599116425225</v>
      </c>
      <c r="K165" s="66">
        <v>101.39716986543705</v>
      </c>
      <c r="L165" s="66">
        <v>101.23107940056106</v>
      </c>
      <c r="M165" s="66">
        <v>101.41323124329516</v>
      </c>
      <c r="N165" s="66">
        <f t="shared" si="15"/>
        <v>101.36279032273892</v>
      </c>
      <c r="R165" s="44" t="s">
        <v>10</v>
      </c>
    </row>
    <row r="166" spans="1:18" x14ac:dyDescent="0.2">
      <c r="A166" s="4" t="s">
        <v>61</v>
      </c>
      <c r="B166" s="66">
        <v>99.992138667940239</v>
      </c>
      <c r="C166" s="66">
        <v>99.992138667940239</v>
      </c>
      <c r="D166" s="66">
        <v>99.992138667940239</v>
      </c>
      <c r="E166" s="66">
        <v>99.992138667940239</v>
      </c>
      <c r="F166" s="66">
        <v>99.992138667940239</v>
      </c>
      <c r="G166" s="66">
        <v>99.992138667940239</v>
      </c>
      <c r="H166" s="66">
        <v>99.992138667940239</v>
      </c>
      <c r="I166" s="66">
        <v>99.992138667940239</v>
      </c>
      <c r="J166" s="66">
        <v>99.992138667940239</v>
      </c>
      <c r="K166" s="66">
        <v>99.992138667940239</v>
      </c>
      <c r="L166" s="66">
        <v>99.992150572363414</v>
      </c>
      <c r="M166" s="66">
        <v>99.992150572363414</v>
      </c>
      <c r="N166" s="66">
        <f t="shared" si="15"/>
        <v>99.992140652010775</v>
      </c>
      <c r="R166" s="50" t="s">
        <v>54</v>
      </c>
    </row>
    <row r="167" spans="1:18" ht="25.5" x14ac:dyDescent="0.2">
      <c r="A167" s="3" t="s">
        <v>62</v>
      </c>
      <c r="B167" s="66">
        <v>102.89547001133693</v>
      </c>
      <c r="C167" s="66">
        <v>101.37463633893148</v>
      </c>
      <c r="D167" s="66">
        <v>101.27439479151704</v>
      </c>
      <c r="E167" s="66">
        <v>102.91206217534241</v>
      </c>
      <c r="F167" s="66">
        <v>103.65592102798186</v>
      </c>
      <c r="G167" s="66">
        <v>103.60012997389035</v>
      </c>
      <c r="H167" s="66">
        <v>103.50558367439872</v>
      </c>
      <c r="I167" s="66">
        <v>104.20505754061308</v>
      </c>
      <c r="J167" s="66">
        <v>103.98985609439687</v>
      </c>
      <c r="K167" s="66">
        <v>104.05986141749672</v>
      </c>
      <c r="L167" s="66">
        <v>103.73568727655586</v>
      </c>
      <c r="M167" s="66">
        <v>103.65518385935161</v>
      </c>
      <c r="N167" s="66">
        <f>AVERAGE(B167:M167)</f>
        <v>103.23865368181775</v>
      </c>
      <c r="R167" s="44" t="s">
        <v>11</v>
      </c>
    </row>
    <row r="168" spans="1:18" x14ac:dyDescent="0.2">
      <c r="A168" s="5" t="s">
        <v>12</v>
      </c>
      <c r="B168" s="66">
        <v>103.99157543717241</v>
      </c>
      <c r="C168" s="66">
        <v>103.99157543717241</v>
      </c>
      <c r="D168" s="66">
        <v>103.99157543717241</v>
      </c>
      <c r="E168" s="66">
        <v>103.99157543717241</v>
      </c>
      <c r="F168" s="66">
        <v>103.99157543717241</v>
      </c>
      <c r="G168" s="66">
        <v>104.20452193117973</v>
      </c>
      <c r="H168" s="66">
        <v>104.20452193117973</v>
      </c>
      <c r="I168" s="66">
        <v>104.8459526911072</v>
      </c>
      <c r="J168" s="66">
        <v>104.84760806716766</v>
      </c>
      <c r="K168" s="66">
        <v>104.8455299068607</v>
      </c>
      <c r="L168" s="66">
        <v>104.8455299068607</v>
      </c>
      <c r="M168" s="66">
        <v>104.83905161102807</v>
      </c>
      <c r="N168" s="66">
        <f t="shared" ref="N168:N169" si="16">AVERAGE(B168:M168)</f>
        <v>104.38254943593715</v>
      </c>
      <c r="R168" s="44" t="s">
        <v>13</v>
      </c>
    </row>
    <row r="169" spans="1:18" x14ac:dyDescent="0.2">
      <c r="A169" s="5" t="s">
        <v>63</v>
      </c>
      <c r="B169" s="66">
        <v>101.59301699843289</v>
      </c>
      <c r="C169" s="66">
        <v>100.61910562250935</v>
      </c>
      <c r="D169" s="66">
        <v>100.82441429970913</v>
      </c>
      <c r="E169" s="66">
        <v>101.64909418747176</v>
      </c>
      <c r="F169" s="66">
        <v>101.9313182672236</v>
      </c>
      <c r="G169" s="66">
        <v>102.01556576648773</v>
      </c>
      <c r="H169" s="66">
        <v>103.95203491450148</v>
      </c>
      <c r="I169" s="66">
        <v>103.84588108941217</v>
      </c>
      <c r="J169" s="66">
        <v>104.27202907199781</v>
      </c>
      <c r="K169" s="66">
        <v>103.71422661577634</v>
      </c>
      <c r="L169" s="66">
        <v>103.64411994310228</v>
      </c>
      <c r="M169" s="66">
        <v>103.67154341579742</v>
      </c>
      <c r="N169" s="66">
        <f t="shared" si="16"/>
        <v>102.64436251603519</v>
      </c>
      <c r="R169" s="44" t="s">
        <v>14</v>
      </c>
    </row>
    <row r="170" spans="1:18" x14ac:dyDescent="0.2">
      <c r="A170" s="5" t="s">
        <v>64</v>
      </c>
      <c r="B170" s="66">
        <v>97.995314347959194</v>
      </c>
      <c r="C170" s="66">
        <v>98.966961329452857</v>
      </c>
      <c r="D170" s="66">
        <v>98.487195899848757</v>
      </c>
      <c r="E170" s="66">
        <v>96.604882313671823</v>
      </c>
      <c r="F170" s="66">
        <v>95.299253940736506</v>
      </c>
      <c r="G170" s="66">
        <v>94.491661814841692</v>
      </c>
      <c r="H170" s="66">
        <v>93.944926510647505</v>
      </c>
      <c r="I170" s="66">
        <v>92.336464733425601</v>
      </c>
      <c r="J170" s="66">
        <v>91.431791466195648</v>
      </c>
      <c r="K170" s="66">
        <v>91.430358310454068</v>
      </c>
      <c r="L170" s="66">
        <v>87.954507564926431</v>
      </c>
      <c r="M170" s="66">
        <v>87.869869292604591</v>
      </c>
      <c r="N170" s="66">
        <f>AVERAGE(B170:M170)</f>
        <v>93.90109896039705</v>
      </c>
      <c r="R170" s="44" t="s">
        <v>15</v>
      </c>
    </row>
    <row r="171" spans="1:18" x14ac:dyDescent="0.2">
      <c r="A171" s="3" t="s">
        <v>65</v>
      </c>
      <c r="B171" s="66">
        <v>101.10780478893604</v>
      </c>
      <c r="C171" s="66">
        <v>101.0912366645239</v>
      </c>
      <c r="D171" s="66">
        <v>100.73265199242722</v>
      </c>
      <c r="E171" s="66">
        <v>100.71075742062777</v>
      </c>
      <c r="F171" s="66">
        <v>100.68135022918892</v>
      </c>
      <c r="G171" s="66">
        <v>100.60218405380735</v>
      </c>
      <c r="H171" s="66">
        <v>100.57423432974902</v>
      </c>
      <c r="I171" s="66">
        <v>100.87771382839075</v>
      </c>
      <c r="J171" s="66">
        <v>100.99655307766243</v>
      </c>
      <c r="K171" s="66">
        <v>101.00412197255027</v>
      </c>
      <c r="L171" s="66">
        <v>101.00412197255027</v>
      </c>
      <c r="M171" s="66">
        <v>101.16203159438982</v>
      </c>
      <c r="N171" s="66">
        <f t="shared" ref="N171:N177" si="17">AVERAGE(B171:M171)</f>
        <v>100.87873016040032</v>
      </c>
      <c r="R171" s="45" t="s">
        <v>16</v>
      </c>
    </row>
    <row r="172" spans="1:18" x14ac:dyDescent="0.2">
      <c r="A172" s="4" t="s">
        <v>66</v>
      </c>
      <c r="B172" s="66">
        <v>102.94096122769429</v>
      </c>
      <c r="C172" s="66">
        <v>102.94096122769429</v>
      </c>
      <c r="D172" s="66">
        <v>102.94096122769429</v>
      </c>
      <c r="E172" s="66">
        <v>102.94096122769429</v>
      </c>
      <c r="F172" s="66">
        <v>102.94096122769429</v>
      </c>
      <c r="G172" s="66">
        <v>102.94096122769429</v>
      </c>
      <c r="H172" s="66">
        <v>102.94096122769429</v>
      </c>
      <c r="I172" s="66">
        <v>105.25812112245031</v>
      </c>
      <c r="J172" s="66">
        <v>105.25812112245031</v>
      </c>
      <c r="K172" s="66">
        <v>105.25812112245031</v>
      </c>
      <c r="L172" s="66">
        <v>105.3880891503201</v>
      </c>
      <c r="M172" s="66">
        <v>105.3880891503201</v>
      </c>
      <c r="N172" s="66">
        <f t="shared" si="17"/>
        <v>103.92810585515429</v>
      </c>
      <c r="R172" s="45" t="s">
        <v>17</v>
      </c>
    </row>
    <row r="173" spans="1:18" x14ac:dyDescent="0.2">
      <c r="A173" s="4" t="s">
        <v>67</v>
      </c>
      <c r="B173" s="66">
        <v>105.878112655537</v>
      </c>
      <c r="C173" s="66">
        <v>105.878112655537</v>
      </c>
      <c r="D173" s="66">
        <v>105.88123506848595</v>
      </c>
      <c r="E173" s="66">
        <v>105.88123506848595</v>
      </c>
      <c r="F173" s="66">
        <v>105.95676441898883</v>
      </c>
      <c r="G173" s="66">
        <v>105.95676441898883</v>
      </c>
      <c r="H173" s="66">
        <v>105.97314447719415</v>
      </c>
      <c r="I173" s="66">
        <v>105.97988026952255</v>
      </c>
      <c r="J173" s="66">
        <v>106.33924751851754</v>
      </c>
      <c r="K173" s="66">
        <v>106.26466898603617</v>
      </c>
      <c r="L173" s="66">
        <v>106.26466898603617</v>
      </c>
      <c r="M173" s="66">
        <v>106.2646689860362</v>
      </c>
      <c r="N173" s="66">
        <f t="shared" si="17"/>
        <v>106.04320862578054</v>
      </c>
      <c r="R173" s="45" t="s">
        <v>18</v>
      </c>
    </row>
    <row r="174" spans="1:18" ht="17.25" x14ac:dyDescent="0.2">
      <c r="A174" s="4" t="s">
        <v>68</v>
      </c>
      <c r="B174" s="66">
        <v>102.84271019348523</v>
      </c>
      <c r="C174" s="66">
        <v>102.84271019348523</v>
      </c>
      <c r="D174" s="66">
        <v>102.84271019348523</v>
      </c>
      <c r="E174" s="66">
        <v>103.94984455675434</v>
      </c>
      <c r="F174" s="66">
        <v>103.94984455675434</v>
      </c>
      <c r="G174" s="66">
        <v>104.65456154072498</v>
      </c>
      <c r="H174" s="66">
        <v>104.65456154072498</v>
      </c>
      <c r="I174" s="66">
        <v>104.1150471414086</v>
      </c>
      <c r="J174" s="66">
        <v>104.65456154072501</v>
      </c>
      <c r="K174" s="66">
        <v>104.65456154072501</v>
      </c>
      <c r="L174" s="66">
        <v>108.02079541021179</v>
      </c>
      <c r="M174" s="66">
        <v>108.02079541021179</v>
      </c>
      <c r="N174" s="66">
        <f t="shared" si="17"/>
        <v>104.60022531822472</v>
      </c>
      <c r="R174" s="42" t="s">
        <v>70</v>
      </c>
    </row>
    <row r="175" spans="1:18" ht="25.5" x14ac:dyDescent="0.2">
      <c r="A175" s="3" t="s">
        <v>69</v>
      </c>
      <c r="B175" s="66">
        <v>102.55725748894756</v>
      </c>
      <c r="C175" s="66">
        <v>102.11818267082117</v>
      </c>
      <c r="D175" s="66">
        <v>102.65383846186322</v>
      </c>
      <c r="E175" s="66">
        <v>103.34874457822883</v>
      </c>
      <c r="F175" s="66">
        <v>103.3197080823668</v>
      </c>
      <c r="G175" s="66">
        <v>103.58131552604969</v>
      </c>
      <c r="H175" s="66">
        <v>103.67754274004295</v>
      </c>
      <c r="I175" s="66">
        <v>103.80072195188731</v>
      </c>
      <c r="J175" s="66">
        <v>104.17166651082781</v>
      </c>
      <c r="K175" s="66">
        <v>104.25463187459761</v>
      </c>
      <c r="L175" s="66">
        <v>104.45173264980019</v>
      </c>
      <c r="M175" s="66">
        <v>104.53066305843167</v>
      </c>
      <c r="N175" s="66">
        <f t="shared" si="17"/>
        <v>103.53883379948876</v>
      </c>
      <c r="R175" s="45" t="s">
        <v>19</v>
      </c>
    </row>
    <row r="176" spans="1:18" x14ac:dyDescent="0.2">
      <c r="A176" s="6" t="s">
        <v>20</v>
      </c>
      <c r="B176" s="68">
        <v>101.42216371332282</v>
      </c>
      <c r="C176" s="68">
        <v>101.65491011494362</v>
      </c>
      <c r="D176" s="68">
        <v>102.04439698472262</v>
      </c>
      <c r="E176" s="68">
        <v>102.26549149779238</v>
      </c>
      <c r="F176" s="68">
        <v>101.8462110874533</v>
      </c>
      <c r="G176" s="68">
        <v>101.95463203462832</v>
      </c>
      <c r="H176" s="68">
        <v>102.01453362785789</v>
      </c>
      <c r="I176" s="68">
        <v>102.21516249909394</v>
      </c>
      <c r="J176" s="68">
        <v>102.67899844499642</v>
      </c>
      <c r="K176" s="68">
        <v>102.60619938670864</v>
      </c>
      <c r="L176" s="68">
        <v>102.09749970920586</v>
      </c>
      <c r="M176" s="68">
        <v>102.49147997631322</v>
      </c>
      <c r="N176" s="68">
        <f t="shared" si="17"/>
        <v>102.10763992308659</v>
      </c>
      <c r="O176" s="11"/>
      <c r="P176" s="11"/>
      <c r="Q176" s="11"/>
      <c r="R176" s="46" t="s">
        <v>21</v>
      </c>
    </row>
    <row r="177" spans="1:18" x14ac:dyDescent="0.2">
      <c r="A177" s="7" t="s">
        <v>22</v>
      </c>
      <c r="B177" s="69">
        <v>101.42414809278965</v>
      </c>
      <c r="C177" s="69">
        <v>101.676675425822</v>
      </c>
      <c r="D177" s="69">
        <v>102.02379504493892</v>
      </c>
      <c r="E177" s="69">
        <v>102.32004962430331</v>
      </c>
      <c r="F177" s="69">
        <v>101.83765346232568</v>
      </c>
      <c r="G177" s="69">
        <v>101.83197894416335</v>
      </c>
      <c r="H177" s="69">
        <v>101.87829722430833</v>
      </c>
      <c r="I177" s="69">
        <v>102.07210992401831</v>
      </c>
      <c r="J177" s="69">
        <v>102.43841236769291</v>
      </c>
      <c r="K177" s="69">
        <v>102.37280621904266</v>
      </c>
      <c r="L177" s="69">
        <v>101.84936908215028</v>
      </c>
      <c r="M177" s="69">
        <v>102.18564805180046</v>
      </c>
      <c r="N177" s="69">
        <f t="shared" si="17"/>
        <v>101.99257862194632</v>
      </c>
      <c r="O177" s="30"/>
      <c r="P177" s="30"/>
      <c r="Q177" s="30"/>
      <c r="R177" s="47" t="s">
        <v>23</v>
      </c>
    </row>
    <row r="178" spans="1:18" x14ac:dyDescent="0.35"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</row>
    <row r="179" spans="1:18" ht="15" x14ac:dyDescent="0.35">
      <c r="A179" s="31"/>
      <c r="B179" s="63"/>
      <c r="C179" s="63"/>
      <c r="D179" s="63"/>
      <c r="E179" s="63"/>
      <c r="F179" s="64"/>
      <c r="G179" s="63"/>
      <c r="H179" s="63"/>
      <c r="I179" s="39"/>
      <c r="J179" s="39"/>
      <c r="K179" s="39"/>
      <c r="L179" s="39"/>
      <c r="M179" s="32"/>
      <c r="N179" s="39"/>
    </row>
    <row r="180" spans="1:18" ht="15" x14ac:dyDescent="0.2">
      <c r="A180" s="22"/>
      <c r="B180" s="23" t="s">
        <v>86</v>
      </c>
      <c r="C180" s="24"/>
      <c r="D180" s="24"/>
      <c r="E180" s="23"/>
      <c r="F180" s="11"/>
      <c r="G180" s="25"/>
      <c r="H180" s="26"/>
      <c r="I180" s="26"/>
      <c r="J180" s="26"/>
      <c r="K180" s="26"/>
      <c r="L180" s="26"/>
      <c r="M180" s="25"/>
      <c r="N180" s="48" t="s">
        <v>90</v>
      </c>
      <c r="O180" s="10"/>
      <c r="P180" s="10"/>
      <c r="Q180" s="10"/>
      <c r="R180" s="51" t="s">
        <v>50</v>
      </c>
    </row>
    <row r="181" spans="1:18" x14ac:dyDescent="0.35">
      <c r="A181" s="27" t="s">
        <v>51</v>
      </c>
      <c r="B181" s="52" t="s">
        <v>25</v>
      </c>
      <c r="C181" s="52" t="s">
        <v>26</v>
      </c>
      <c r="D181" s="52" t="s">
        <v>27</v>
      </c>
      <c r="E181" s="52" t="s">
        <v>28</v>
      </c>
      <c r="F181" s="52" t="s">
        <v>29</v>
      </c>
      <c r="G181" s="53" t="s">
        <v>30</v>
      </c>
      <c r="H181" s="53" t="s">
        <v>31</v>
      </c>
      <c r="I181" s="53" t="s">
        <v>32</v>
      </c>
      <c r="J181" s="53" t="s">
        <v>33</v>
      </c>
      <c r="K181" s="53" t="s">
        <v>34</v>
      </c>
      <c r="L181" s="53" t="s">
        <v>35</v>
      </c>
      <c r="M181" s="53" t="s">
        <v>36</v>
      </c>
      <c r="N181" s="65" t="s">
        <v>37</v>
      </c>
      <c r="R181" s="60" t="s">
        <v>55</v>
      </c>
    </row>
    <row r="182" spans="1:18" x14ac:dyDescent="0.35">
      <c r="A182" s="28" t="s">
        <v>1</v>
      </c>
      <c r="B182" s="56" t="s">
        <v>38</v>
      </c>
      <c r="C182" s="57" t="s">
        <v>39</v>
      </c>
      <c r="D182" s="57" t="s">
        <v>40</v>
      </c>
      <c r="E182" s="57" t="s">
        <v>41</v>
      </c>
      <c r="F182" s="57" t="s">
        <v>42</v>
      </c>
      <c r="G182" s="57" t="s">
        <v>43</v>
      </c>
      <c r="H182" s="57" t="s">
        <v>44</v>
      </c>
      <c r="I182" s="57" t="s">
        <v>45</v>
      </c>
      <c r="J182" s="57" t="s">
        <v>46</v>
      </c>
      <c r="K182" s="57" t="s">
        <v>47</v>
      </c>
      <c r="L182" s="57" t="s">
        <v>48</v>
      </c>
      <c r="M182" s="57" t="s">
        <v>49</v>
      </c>
      <c r="N182" s="58" t="s">
        <v>53</v>
      </c>
      <c r="O182" s="21"/>
      <c r="P182" s="21"/>
      <c r="Q182" s="21"/>
      <c r="R182" s="62"/>
    </row>
    <row r="183" spans="1:18" x14ac:dyDescent="0.2">
      <c r="A183" s="3" t="s">
        <v>2</v>
      </c>
      <c r="B183" s="66">
        <v>101.65690176182416</v>
      </c>
      <c r="C183" s="66">
        <v>101.9874506369494</v>
      </c>
      <c r="D183" s="66">
        <v>102.65852511283059</v>
      </c>
      <c r="E183" s="66">
        <v>102.96282803073373</v>
      </c>
      <c r="F183" s="66">
        <v>101.75887402431842</v>
      </c>
      <c r="G183" s="66">
        <v>102.23264937102083</v>
      </c>
      <c r="H183" s="66">
        <v>102.86947158710859</v>
      </c>
      <c r="I183" s="66">
        <v>104.67457436606649</v>
      </c>
      <c r="J183" s="66">
        <v>106.45893942766936</v>
      </c>
      <c r="K183" s="66">
        <v>106.95021321129011</v>
      </c>
      <c r="L183" s="66">
        <v>105.31141915361536</v>
      </c>
      <c r="M183" s="66">
        <v>107.66008050935355</v>
      </c>
      <c r="N183" s="66">
        <f>AVERAGE(B183:M183)</f>
        <v>103.93182726606504</v>
      </c>
      <c r="R183" s="44" t="s">
        <v>3</v>
      </c>
    </row>
    <row r="184" spans="1:18" x14ac:dyDescent="0.2">
      <c r="A184" s="3" t="s">
        <v>4</v>
      </c>
      <c r="B184" s="66">
        <v>101.10065761622414</v>
      </c>
      <c r="C184" s="66">
        <v>101.30260296958357</v>
      </c>
      <c r="D184" s="66">
        <v>101.71641955211466</v>
      </c>
      <c r="E184" s="66">
        <v>102.03202379376494</v>
      </c>
      <c r="F184" s="66">
        <v>100.75515252800824</v>
      </c>
      <c r="G184" s="66">
        <v>101.0876034215957</v>
      </c>
      <c r="H184" s="66">
        <v>101.84085874378911</v>
      </c>
      <c r="I184" s="66">
        <v>103.75963149429192</v>
      </c>
      <c r="J184" s="66">
        <v>105.79347921286534</v>
      </c>
      <c r="K184" s="66">
        <v>106.31210536013997</v>
      </c>
      <c r="L184" s="66">
        <v>104.79978471856901</v>
      </c>
      <c r="M184" s="66">
        <v>106.62972317007545</v>
      </c>
      <c r="N184" s="66">
        <f t="shared" ref="N184:N190" si="18">AVERAGE(B184:M184)</f>
        <v>103.09417021508519</v>
      </c>
      <c r="R184" s="44" t="s">
        <v>5</v>
      </c>
    </row>
    <row r="185" spans="1:18" x14ac:dyDescent="0.2">
      <c r="A185" s="4" t="s">
        <v>6</v>
      </c>
      <c r="B185" s="66">
        <v>104.36996022015434</v>
      </c>
      <c r="C185" s="66">
        <v>105.32776760264136</v>
      </c>
      <c r="D185" s="66">
        <v>107.25360711119136</v>
      </c>
      <c r="E185" s="66">
        <v>107.50278827684772</v>
      </c>
      <c r="F185" s="66">
        <v>106.65448527148885</v>
      </c>
      <c r="G185" s="66">
        <v>107.81756495680814</v>
      </c>
      <c r="H185" s="66">
        <v>107.88648937864799</v>
      </c>
      <c r="I185" s="66">
        <v>109.13717144109589</v>
      </c>
      <c r="J185" s="66">
        <v>109.7046948728952</v>
      </c>
      <c r="K185" s="66">
        <v>110.06255860239925</v>
      </c>
      <c r="L185" s="66">
        <v>107.80689554209592</v>
      </c>
      <c r="M185" s="66">
        <v>112.68560700979975</v>
      </c>
      <c r="N185" s="66">
        <f t="shared" si="18"/>
        <v>108.01746585717213</v>
      </c>
      <c r="R185" s="44" t="s">
        <v>7</v>
      </c>
    </row>
    <row r="186" spans="1:18" x14ac:dyDescent="0.2">
      <c r="A186" s="4" t="s">
        <v>8</v>
      </c>
      <c r="B186" s="66">
        <v>102.63754374297741</v>
      </c>
      <c r="C186" s="66">
        <v>108.61819209370405</v>
      </c>
      <c r="D186" s="66">
        <v>109.00989320974605</v>
      </c>
      <c r="E186" s="66">
        <v>108.92759574360487</v>
      </c>
      <c r="F186" s="66">
        <v>108.84214632711108</v>
      </c>
      <c r="G186" s="66">
        <v>109.12946292337624</v>
      </c>
      <c r="H186" s="66">
        <v>109.211992225613</v>
      </c>
      <c r="I186" s="66">
        <v>109.33163544805087</v>
      </c>
      <c r="J186" s="66">
        <v>109.77960102317893</v>
      </c>
      <c r="K186" s="66">
        <v>109.8371045640931</v>
      </c>
      <c r="L186" s="66">
        <v>108.93918930450131</v>
      </c>
      <c r="M186" s="66">
        <v>108.72152108799155</v>
      </c>
      <c r="N186" s="66">
        <f t="shared" si="18"/>
        <v>108.58215647449568</v>
      </c>
      <c r="R186" s="44" t="s">
        <v>24</v>
      </c>
    </row>
    <row r="187" spans="1:18" x14ac:dyDescent="0.2">
      <c r="A187" s="4" t="s">
        <v>59</v>
      </c>
      <c r="B187" s="66">
        <v>100.75163795470844</v>
      </c>
      <c r="C187" s="66">
        <v>101.36394710430456</v>
      </c>
      <c r="D187" s="66">
        <v>101.37611348962649</v>
      </c>
      <c r="E187" s="66">
        <v>100.99686232867776</v>
      </c>
      <c r="F187" s="66">
        <v>100.97963162346674</v>
      </c>
      <c r="G187" s="66">
        <v>101.29879975975103</v>
      </c>
      <c r="H187" s="66">
        <v>101.28100041366743</v>
      </c>
      <c r="I187" s="66">
        <v>101.30563635011256</v>
      </c>
      <c r="J187" s="66">
        <v>101.33375291696501</v>
      </c>
      <c r="K187" s="66">
        <v>101.33474970207557</v>
      </c>
      <c r="L187" s="66">
        <v>101.33851922335927</v>
      </c>
      <c r="M187" s="66">
        <v>101.3501959793455</v>
      </c>
      <c r="N187" s="66">
        <f t="shared" si="18"/>
        <v>101.22590390383836</v>
      </c>
      <c r="R187" s="44" t="s">
        <v>9</v>
      </c>
    </row>
    <row r="188" spans="1:18" x14ac:dyDescent="0.2">
      <c r="A188" s="4" t="s">
        <v>60</v>
      </c>
      <c r="B188" s="66">
        <v>100.31645890539177</v>
      </c>
      <c r="C188" s="66">
        <v>100.46506474131313</v>
      </c>
      <c r="D188" s="66">
        <v>100.97173511360229</v>
      </c>
      <c r="E188" s="66">
        <v>101.75022770799393</v>
      </c>
      <c r="F188" s="66">
        <v>101.5190832308309</v>
      </c>
      <c r="G188" s="66">
        <v>101.48593533233543</v>
      </c>
      <c r="H188" s="66">
        <v>100.89510096260568</v>
      </c>
      <c r="I188" s="66">
        <v>101.25699801510569</v>
      </c>
      <c r="J188" s="66">
        <v>101.08561529391923</v>
      </c>
      <c r="K188" s="66">
        <v>100.77888331718803</v>
      </c>
      <c r="L188" s="66">
        <v>100.84540354315767</v>
      </c>
      <c r="M188" s="66">
        <v>101.07508753043786</v>
      </c>
      <c r="N188" s="66">
        <f t="shared" si="18"/>
        <v>101.03713280782347</v>
      </c>
      <c r="R188" s="44" t="s">
        <v>10</v>
      </c>
    </row>
    <row r="189" spans="1:18" x14ac:dyDescent="0.2">
      <c r="A189" s="4" t="s">
        <v>61</v>
      </c>
      <c r="B189" s="66">
        <v>99.992138667940239</v>
      </c>
      <c r="C189" s="66">
        <v>99.992138667940239</v>
      </c>
      <c r="D189" s="66">
        <v>99.992138667940239</v>
      </c>
      <c r="E189" s="66">
        <v>99.992138667940239</v>
      </c>
      <c r="F189" s="66">
        <v>99.992138667940239</v>
      </c>
      <c r="G189" s="66">
        <v>99.992138667940239</v>
      </c>
      <c r="H189" s="66">
        <v>99.992138667940239</v>
      </c>
      <c r="I189" s="66">
        <v>99.992138667940239</v>
      </c>
      <c r="J189" s="66">
        <v>99.992138667940239</v>
      </c>
      <c r="K189" s="66">
        <v>99.992138667940239</v>
      </c>
      <c r="L189" s="66">
        <v>99.992150572363443</v>
      </c>
      <c r="M189" s="66">
        <v>99.992150572363443</v>
      </c>
      <c r="N189" s="66">
        <f t="shared" si="18"/>
        <v>99.992140652010775</v>
      </c>
      <c r="R189" s="50" t="s">
        <v>54</v>
      </c>
    </row>
    <row r="190" spans="1:18" ht="25.5" x14ac:dyDescent="0.2">
      <c r="A190" s="3" t="s">
        <v>62</v>
      </c>
      <c r="B190" s="66">
        <v>101.19981533917228</v>
      </c>
      <c r="C190" s="66">
        <v>98.403295483036956</v>
      </c>
      <c r="D190" s="66">
        <v>98.245872689270556</v>
      </c>
      <c r="E190" s="66">
        <v>101.53264710099046</v>
      </c>
      <c r="F190" s="66">
        <v>101.16582962551725</v>
      </c>
      <c r="G190" s="66">
        <v>99.778244476213914</v>
      </c>
      <c r="H190" s="66">
        <v>99.556345843686884</v>
      </c>
      <c r="I190" s="66">
        <v>100.8916947959336</v>
      </c>
      <c r="J190" s="66">
        <v>100.39608633729384</v>
      </c>
      <c r="K190" s="66">
        <v>100.52343000040912</v>
      </c>
      <c r="L190" s="66">
        <v>100.78949764195276</v>
      </c>
      <c r="M190" s="66">
        <v>100.72973981016581</v>
      </c>
      <c r="N190" s="66">
        <f t="shared" si="18"/>
        <v>100.26770826197027</v>
      </c>
      <c r="R190" s="44" t="s">
        <v>11</v>
      </c>
    </row>
    <row r="191" spans="1:18" x14ac:dyDescent="0.2">
      <c r="A191" s="5" t="s">
        <v>12</v>
      </c>
      <c r="B191" s="66">
        <v>104.65565435350058</v>
      </c>
      <c r="C191" s="66">
        <v>104.65565435350058</v>
      </c>
      <c r="D191" s="66">
        <v>104.65565435350058</v>
      </c>
      <c r="E191" s="66">
        <v>104.65565435350058</v>
      </c>
      <c r="F191" s="66">
        <v>104.65565435350058</v>
      </c>
      <c r="G191" s="66">
        <v>105.04374599219506</v>
      </c>
      <c r="H191" s="66">
        <v>105.04374599219506</v>
      </c>
      <c r="I191" s="66">
        <v>105.94782768251699</v>
      </c>
      <c r="J191" s="66">
        <v>106.13181367488576</v>
      </c>
      <c r="K191" s="66">
        <v>106.13181367488576</v>
      </c>
      <c r="L191" s="66">
        <v>106.13181367488576</v>
      </c>
      <c r="M191" s="66">
        <v>106.13181367488576</v>
      </c>
      <c r="N191" s="66">
        <f>AVERAGE(B191:M191)</f>
        <v>105.32007051116274</v>
      </c>
      <c r="R191" s="44" t="s">
        <v>13</v>
      </c>
    </row>
    <row r="192" spans="1:18" x14ac:dyDescent="0.2">
      <c r="A192" s="5" t="s">
        <v>63</v>
      </c>
      <c r="B192" s="66">
        <v>103.02620146162663</v>
      </c>
      <c r="C192" s="66">
        <v>101.53518838049334</v>
      </c>
      <c r="D192" s="66">
        <v>102.18884256163425</v>
      </c>
      <c r="E192" s="66">
        <v>103.15579709434346</v>
      </c>
      <c r="F192" s="66">
        <v>103.15803807437467</v>
      </c>
      <c r="G192" s="66">
        <v>103.43939926401825</v>
      </c>
      <c r="H192" s="66">
        <v>102.21700195714453</v>
      </c>
      <c r="I192" s="66">
        <v>102.10590246026494</v>
      </c>
      <c r="J192" s="66">
        <v>102.88312324653052</v>
      </c>
      <c r="K192" s="66">
        <v>101.96543673259613</v>
      </c>
      <c r="L192" s="66">
        <v>101.95734321965325</v>
      </c>
      <c r="M192" s="66">
        <v>102.1913899154156</v>
      </c>
      <c r="N192" s="66">
        <f t="shared" ref="N192:N198" si="19">AVERAGE(B192:M192)</f>
        <v>102.48530536400796</v>
      </c>
      <c r="R192" s="44" t="s">
        <v>14</v>
      </c>
    </row>
    <row r="193" spans="1:18" x14ac:dyDescent="0.2">
      <c r="A193" s="5" t="s">
        <v>64</v>
      </c>
      <c r="B193" s="66">
        <v>97.88262190082753</v>
      </c>
      <c r="C193" s="66">
        <v>98.852132218061143</v>
      </c>
      <c r="D193" s="66">
        <v>98.118113600625136</v>
      </c>
      <c r="E193" s="66">
        <v>95.651863674485668</v>
      </c>
      <c r="F193" s="66">
        <v>94.454201740035387</v>
      </c>
      <c r="G193" s="66">
        <v>93.895349850033639</v>
      </c>
      <c r="H193" s="66">
        <v>93.33274887028503</v>
      </c>
      <c r="I193" s="66">
        <v>91.584399379187403</v>
      </c>
      <c r="J193" s="66">
        <v>90.563002240018946</v>
      </c>
      <c r="K193" s="66">
        <v>90.563002240018946</v>
      </c>
      <c r="L193" s="66">
        <v>87.169366153387202</v>
      </c>
      <c r="M193" s="66">
        <v>87.086347766909114</v>
      </c>
      <c r="N193" s="66">
        <f t="shared" si="19"/>
        <v>93.262762469489587</v>
      </c>
      <c r="R193" s="44" t="s">
        <v>15</v>
      </c>
    </row>
    <row r="194" spans="1:18" x14ac:dyDescent="0.2">
      <c r="A194" s="3" t="s">
        <v>65</v>
      </c>
      <c r="B194" s="66">
        <v>103.57770860910355</v>
      </c>
      <c r="C194" s="66">
        <v>103.57770860910355</v>
      </c>
      <c r="D194" s="66">
        <v>103.57770860910355</v>
      </c>
      <c r="E194" s="66">
        <v>103.50174762383934</v>
      </c>
      <c r="F194" s="66">
        <v>103.50174762383934</v>
      </c>
      <c r="G194" s="66">
        <v>103.10668447954902</v>
      </c>
      <c r="H194" s="66">
        <v>103.10668447954902</v>
      </c>
      <c r="I194" s="66">
        <v>103.7017244303112</v>
      </c>
      <c r="J194" s="66">
        <v>103.94242228229946</v>
      </c>
      <c r="K194" s="66">
        <v>103.95775237528301</v>
      </c>
      <c r="L194" s="66">
        <v>103.95775237528301</v>
      </c>
      <c r="M194" s="66">
        <v>103.95775237528301</v>
      </c>
      <c r="N194" s="66">
        <f t="shared" si="19"/>
        <v>103.62228282271225</v>
      </c>
      <c r="R194" s="45" t="s">
        <v>16</v>
      </c>
    </row>
    <row r="195" spans="1:18" x14ac:dyDescent="0.2">
      <c r="A195" s="4" t="s">
        <v>66</v>
      </c>
      <c r="B195" s="66">
        <v>104.0537477226346</v>
      </c>
      <c r="C195" s="66">
        <v>104.0537477226346</v>
      </c>
      <c r="D195" s="66">
        <v>104.0537477226346</v>
      </c>
      <c r="E195" s="66">
        <v>104.0537477226346</v>
      </c>
      <c r="F195" s="66">
        <v>104.0537477226346</v>
      </c>
      <c r="G195" s="66">
        <v>104.0537477226346</v>
      </c>
      <c r="H195" s="66">
        <v>104.0537477226346</v>
      </c>
      <c r="I195" s="66">
        <v>107.41077935345608</v>
      </c>
      <c r="J195" s="66">
        <v>107.41077935345608</v>
      </c>
      <c r="K195" s="66">
        <v>107.41077935345608</v>
      </c>
      <c r="L195" s="66">
        <v>107.41077935345608</v>
      </c>
      <c r="M195" s="66">
        <v>107.41077935345608</v>
      </c>
      <c r="N195" s="66">
        <f t="shared" si="19"/>
        <v>105.45251090214356</v>
      </c>
      <c r="R195" s="45" t="s">
        <v>17</v>
      </c>
    </row>
    <row r="196" spans="1:18" x14ac:dyDescent="0.2">
      <c r="A196" s="4" t="s">
        <v>67</v>
      </c>
      <c r="B196" s="66">
        <v>106.78129481301409</v>
      </c>
      <c r="C196" s="66">
        <v>106.78129481301409</v>
      </c>
      <c r="D196" s="66">
        <v>106.78129481301409</v>
      </c>
      <c r="E196" s="66">
        <v>106.78129481301409</v>
      </c>
      <c r="F196" s="66">
        <v>106.89288617803848</v>
      </c>
      <c r="G196" s="66">
        <v>106.89288617803848</v>
      </c>
      <c r="H196" s="66">
        <v>106.89288617803848</v>
      </c>
      <c r="I196" s="66">
        <v>106.87753968400646</v>
      </c>
      <c r="J196" s="66">
        <v>107.37800079192753</v>
      </c>
      <c r="K196" s="66">
        <v>107.36450802729254</v>
      </c>
      <c r="L196" s="66">
        <v>107.36450802729254</v>
      </c>
      <c r="M196" s="66">
        <v>107.36450802729254</v>
      </c>
      <c r="N196" s="66">
        <f t="shared" si="19"/>
        <v>107.01274186199861</v>
      </c>
      <c r="R196" s="45" t="s">
        <v>18</v>
      </c>
    </row>
    <row r="197" spans="1:18" ht="17.25" x14ac:dyDescent="0.2">
      <c r="A197" s="4" t="s">
        <v>68</v>
      </c>
      <c r="B197" s="66">
        <v>102.98373713697787</v>
      </c>
      <c r="C197" s="66">
        <v>102.98373713697787</v>
      </c>
      <c r="D197" s="66">
        <v>102.98373713697787</v>
      </c>
      <c r="E197" s="66">
        <v>104.14579647136971</v>
      </c>
      <c r="F197" s="66">
        <v>104.14579647136971</v>
      </c>
      <c r="G197" s="66">
        <v>104.88547448742325</v>
      </c>
      <c r="H197" s="66">
        <v>104.88547448742325</v>
      </c>
      <c r="I197" s="66">
        <v>104.31919476152513</v>
      </c>
      <c r="J197" s="66">
        <v>104.88547448742327</v>
      </c>
      <c r="K197" s="66">
        <v>104.88547448742327</v>
      </c>
      <c r="L197" s="66">
        <v>108.41870732669004</v>
      </c>
      <c r="M197" s="66">
        <v>108.41870732669004</v>
      </c>
      <c r="N197" s="66">
        <f t="shared" si="19"/>
        <v>104.82844264318929</v>
      </c>
      <c r="R197" s="42" t="s">
        <v>70</v>
      </c>
    </row>
    <row r="198" spans="1:18" ht="25.5" x14ac:dyDescent="0.2">
      <c r="A198" s="3" t="s">
        <v>69</v>
      </c>
      <c r="B198" s="66">
        <v>102.79902062398651</v>
      </c>
      <c r="C198" s="66">
        <v>102.82942595480419</v>
      </c>
      <c r="D198" s="66">
        <v>103.67324801560271</v>
      </c>
      <c r="E198" s="66">
        <v>105.05010987172514</v>
      </c>
      <c r="F198" s="66">
        <v>105.01739452556473</v>
      </c>
      <c r="G198" s="66">
        <v>105.37020734495472</v>
      </c>
      <c r="H198" s="66">
        <v>105.49679815986669</v>
      </c>
      <c r="I198" s="66">
        <v>105.94027553239636</v>
      </c>
      <c r="J198" s="66">
        <v>106.38485353128445</v>
      </c>
      <c r="K198" s="66">
        <v>106.68099341104002</v>
      </c>
      <c r="L198" s="66">
        <v>107.16528332088389</v>
      </c>
      <c r="M198" s="66">
        <v>107.46350202870413</v>
      </c>
      <c r="N198" s="66">
        <f t="shared" si="19"/>
        <v>105.32259269340113</v>
      </c>
      <c r="R198" s="45" t="s">
        <v>19</v>
      </c>
    </row>
    <row r="199" spans="1:18" x14ac:dyDescent="0.2">
      <c r="A199" s="6" t="s">
        <v>20</v>
      </c>
      <c r="B199" s="68">
        <v>101.50019003715295</v>
      </c>
      <c r="C199" s="68">
        <v>101.63972040243814</v>
      </c>
      <c r="D199" s="68">
        <v>101.9396674528779</v>
      </c>
      <c r="E199" s="68">
        <v>102.26462490400158</v>
      </c>
      <c r="F199" s="68">
        <v>101.83216663353582</v>
      </c>
      <c r="G199" s="68">
        <v>101.85309019284675</v>
      </c>
      <c r="H199" s="68">
        <v>101.63850691436146</v>
      </c>
      <c r="I199" s="68">
        <v>102.21014028818244</v>
      </c>
      <c r="J199" s="68">
        <v>102.46380945130063</v>
      </c>
      <c r="K199" s="68">
        <v>102.41470713243777</v>
      </c>
      <c r="L199" s="68">
        <v>101.81982261244018</v>
      </c>
      <c r="M199" s="68">
        <v>102.33823449877254</v>
      </c>
      <c r="N199" s="68">
        <f>AVERAGE(B199:M199)</f>
        <v>101.99289004336235</v>
      </c>
      <c r="R199" s="46" t="s">
        <v>21</v>
      </c>
    </row>
    <row r="200" spans="1:18" x14ac:dyDescent="0.2">
      <c r="A200" s="7" t="s">
        <v>22</v>
      </c>
      <c r="B200" s="69">
        <v>101.40795692619955</v>
      </c>
      <c r="C200" s="69">
        <v>101.5211882396076</v>
      </c>
      <c r="D200" s="69">
        <v>101.76887984451535</v>
      </c>
      <c r="E200" s="69">
        <v>102.09627271105541</v>
      </c>
      <c r="F200" s="69">
        <v>101.67717950159695</v>
      </c>
      <c r="G200" s="69">
        <v>101.66139468149817</v>
      </c>
      <c r="H200" s="69">
        <v>101.43769959422237</v>
      </c>
      <c r="I200" s="69">
        <v>101.98750865144412</v>
      </c>
      <c r="J200" s="69">
        <v>102.23109068084061</v>
      </c>
      <c r="K200" s="69">
        <v>102.16890865792492</v>
      </c>
      <c r="L200" s="69">
        <v>101.62740080630461</v>
      </c>
      <c r="M200" s="69">
        <v>102.00567464344371</v>
      </c>
      <c r="N200" s="69">
        <f t="shared" ref="N200" si="20">AVERAGE(B200:M200)</f>
        <v>101.79926291155444</v>
      </c>
      <c r="O200" s="21"/>
      <c r="P200" s="21"/>
      <c r="Q200" s="21"/>
      <c r="R200" s="47" t="s">
        <v>23</v>
      </c>
    </row>
    <row r="201" spans="1:18" x14ac:dyDescent="0.35"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</row>
    <row r="202" spans="1:18" ht="15" x14ac:dyDescent="0.35">
      <c r="A202" s="31"/>
      <c r="B202" s="63"/>
      <c r="C202" s="63"/>
      <c r="D202" s="63"/>
      <c r="E202" s="63"/>
      <c r="F202" s="64"/>
      <c r="G202" s="63"/>
      <c r="H202" s="63"/>
      <c r="I202" s="39"/>
      <c r="J202" s="39"/>
      <c r="K202" s="39"/>
      <c r="L202" s="39"/>
      <c r="M202" s="32"/>
      <c r="N202" s="39"/>
    </row>
    <row r="203" spans="1:18" ht="15" x14ac:dyDescent="0.2">
      <c r="A203" s="34" t="s">
        <v>51</v>
      </c>
      <c r="B203" s="23" t="s">
        <v>86</v>
      </c>
      <c r="C203" s="24"/>
      <c r="D203" s="24"/>
      <c r="E203" s="23"/>
      <c r="F203" s="11"/>
      <c r="G203" s="25"/>
      <c r="H203" s="26"/>
      <c r="I203" s="26"/>
      <c r="J203" s="26"/>
      <c r="K203" s="26"/>
      <c r="L203" s="26"/>
      <c r="M203" s="25"/>
      <c r="N203" s="48" t="s">
        <v>90</v>
      </c>
      <c r="O203" s="10"/>
      <c r="P203" s="10"/>
      <c r="Q203" s="10"/>
      <c r="R203" s="51" t="s">
        <v>50</v>
      </c>
    </row>
    <row r="204" spans="1:18" x14ac:dyDescent="0.2">
      <c r="A204" s="27" t="s">
        <v>56</v>
      </c>
      <c r="B204" s="52" t="s">
        <v>25</v>
      </c>
      <c r="C204" s="52" t="s">
        <v>26</v>
      </c>
      <c r="D204" s="52" t="s">
        <v>27</v>
      </c>
      <c r="E204" s="52" t="s">
        <v>28</v>
      </c>
      <c r="F204" s="52" t="s">
        <v>29</v>
      </c>
      <c r="G204" s="53" t="s">
        <v>30</v>
      </c>
      <c r="H204" s="53" t="s">
        <v>31</v>
      </c>
      <c r="I204" s="53" t="s">
        <v>32</v>
      </c>
      <c r="J204" s="53" t="s">
        <v>33</v>
      </c>
      <c r="K204" s="53" t="s">
        <v>34</v>
      </c>
      <c r="L204" s="53" t="s">
        <v>35</v>
      </c>
      <c r="M204" s="53" t="s">
        <v>36</v>
      </c>
      <c r="N204" s="65" t="s">
        <v>37</v>
      </c>
      <c r="R204" s="46" t="s">
        <v>57</v>
      </c>
    </row>
    <row r="205" spans="1:18" x14ac:dyDescent="0.35">
      <c r="A205" s="35"/>
      <c r="B205" s="56" t="s">
        <v>38</v>
      </c>
      <c r="C205" s="57" t="s">
        <v>39</v>
      </c>
      <c r="D205" s="57" t="s">
        <v>40</v>
      </c>
      <c r="E205" s="57" t="s">
        <v>41</v>
      </c>
      <c r="F205" s="57" t="s">
        <v>42</v>
      </c>
      <c r="G205" s="57" t="s">
        <v>43</v>
      </c>
      <c r="H205" s="57" t="s">
        <v>44</v>
      </c>
      <c r="I205" s="57" t="s">
        <v>45</v>
      </c>
      <c r="J205" s="57" t="s">
        <v>46</v>
      </c>
      <c r="K205" s="57" t="s">
        <v>47</v>
      </c>
      <c r="L205" s="57" t="s">
        <v>48</v>
      </c>
      <c r="M205" s="57" t="s">
        <v>49</v>
      </c>
      <c r="N205" s="58" t="s">
        <v>53</v>
      </c>
      <c r="O205" s="21"/>
      <c r="P205" s="21"/>
      <c r="Q205" s="21"/>
      <c r="R205" s="62"/>
    </row>
    <row r="206" spans="1:18" x14ac:dyDescent="0.2">
      <c r="A206" s="3" t="s">
        <v>2</v>
      </c>
      <c r="B206" s="66">
        <v>101.94178141872855</v>
      </c>
      <c r="C206" s="66">
        <v>102.06259043637164</v>
      </c>
      <c r="D206" s="66">
        <v>103.40431924304431</v>
      </c>
      <c r="E206" s="66">
        <v>102.39678525951912</v>
      </c>
      <c r="F206" s="66">
        <v>102.28820009409385</v>
      </c>
      <c r="G206" s="66">
        <v>103.10155255225865</v>
      </c>
      <c r="H206" s="66">
        <v>103.78544619727798</v>
      </c>
      <c r="I206" s="66">
        <v>103.04272377736773</v>
      </c>
      <c r="J206" s="66">
        <v>105.22592229182375</v>
      </c>
      <c r="K206" s="66">
        <v>104.6833003769416</v>
      </c>
      <c r="L206" s="66">
        <v>105.22337169413022</v>
      </c>
      <c r="M206" s="66">
        <v>105.92977352711304</v>
      </c>
      <c r="N206" s="66">
        <f t="shared" ref="N206" si="21">AVERAGE(B206:M206)</f>
        <v>103.59048057238921</v>
      </c>
      <c r="R206" s="44" t="s">
        <v>3</v>
      </c>
    </row>
    <row r="207" spans="1:18" x14ac:dyDescent="0.2">
      <c r="A207" s="3" t="s">
        <v>4</v>
      </c>
      <c r="B207" s="66">
        <v>102.65514635316366</v>
      </c>
      <c r="C207" s="66">
        <v>103.07410743048865</v>
      </c>
      <c r="D207" s="66">
        <v>104.54930922964741</v>
      </c>
      <c r="E207" s="66">
        <v>103.94690915947241</v>
      </c>
      <c r="F207" s="66">
        <v>103.23038412341059</v>
      </c>
      <c r="G207" s="66">
        <v>103.32821406716353</v>
      </c>
      <c r="H207" s="66">
        <v>104.04813489334556</v>
      </c>
      <c r="I207" s="66">
        <v>103.1876659167207</v>
      </c>
      <c r="J207" s="66">
        <v>104.90472887775972</v>
      </c>
      <c r="K207" s="66">
        <v>104.38825930272432</v>
      </c>
      <c r="L207" s="66">
        <v>104.7343961768705</v>
      </c>
      <c r="M207" s="66">
        <v>105.81310074369786</v>
      </c>
      <c r="N207" s="66">
        <f>AVERAGE(B207:M207)</f>
        <v>103.98836302287206</v>
      </c>
      <c r="R207" s="44" t="s">
        <v>5</v>
      </c>
    </row>
    <row r="208" spans="1:18" x14ac:dyDescent="0.2">
      <c r="A208" s="4" t="s">
        <v>6</v>
      </c>
      <c r="B208" s="66">
        <v>99.251545069306161</v>
      </c>
      <c r="C208" s="66">
        <v>98.247965334582872</v>
      </c>
      <c r="D208" s="66">
        <v>99.08634181943647</v>
      </c>
      <c r="E208" s="66">
        <v>96.550969940512758</v>
      </c>
      <c r="F208" s="66">
        <v>98.735042935450736</v>
      </c>
      <c r="G208" s="66">
        <v>102.24676839203778</v>
      </c>
      <c r="H208" s="66">
        <v>102.79479660878526</v>
      </c>
      <c r="I208" s="66">
        <v>102.49611909717127</v>
      </c>
      <c r="J208" s="66">
        <v>106.43720442246916</v>
      </c>
      <c r="K208" s="66">
        <v>105.79595700487164</v>
      </c>
      <c r="L208" s="66">
        <v>107.06739240079916</v>
      </c>
      <c r="M208" s="66">
        <v>106.36976902980837</v>
      </c>
      <c r="N208" s="66">
        <f t="shared" ref="N208:N218" si="22">AVERAGE(B208:M208)</f>
        <v>102.08998933793596</v>
      </c>
      <c r="R208" s="44" t="s">
        <v>7</v>
      </c>
    </row>
    <row r="209" spans="1:18" x14ac:dyDescent="0.2">
      <c r="A209" s="4" t="s">
        <v>8</v>
      </c>
      <c r="B209" s="66">
        <v>102.65065656935151</v>
      </c>
      <c r="C209" s="66">
        <v>104.00644735366581</v>
      </c>
      <c r="D209" s="66">
        <v>104.26352413152894</v>
      </c>
      <c r="E209" s="66">
        <v>104.28533070101747</v>
      </c>
      <c r="F209" s="66">
        <v>104.06805083780414</v>
      </c>
      <c r="G209" s="66">
        <v>103.91669442024397</v>
      </c>
      <c r="H209" s="66">
        <v>103.70901841649732</v>
      </c>
      <c r="I209" s="66">
        <v>103.84032998011388</v>
      </c>
      <c r="J209" s="66">
        <v>103.24758997959131</v>
      </c>
      <c r="K209" s="66">
        <v>103.11442057565422</v>
      </c>
      <c r="L209" s="66">
        <v>102.51521425113634</v>
      </c>
      <c r="M209" s="66">
        <v>102.78679318427581</v>
      </c>
      <c r="N209" s="66">
        <f t="shared" si="22"/>
        <v>103.53367253340673</v>
      </c>
      <c r="R209" s="44" t="s">
        <v>24</v>
      </c>
    </row>
    <row r="210" spans="1:18" x14ac:dyDescent="0.2">
      <c r="A210" s="4" t="s">
        <v>59</v>
      </c>
      <c r="B210" s="66">
        <v>100.49132233197382</v>
      </c>
      <c r="C210" s="66">
        <v>100.43728828164781</v>
      </c>
      <c r="D210" s="66">
        <v>100.65610823387117</v>
      </c>
      <c r="E210" s="66">
        <v>100.64951734144468</v>
      </c>
      <c r="F210" s="66">
        <v>100.63490824484533</v>
      </c>
      <c r="G210" s="66">
        <v>100.51733042518978</v>
      </c>
      <c r="H210" s="66">
        <v>100.58808923573933</v>
      </c>
      <c r="I210" s="66">
        <v>100.91255470334542</v>
      </c>
      <c r="J210" s="66">
        <v>100.9950149071218</v>
      </c>
      <c r="K210" s="66">
        <v>101.27528831521805</v>
      </c>
      <c r="L210" s="66">
        <v>102.39959777335957</v>
      </c>
      <c r="M210" s="66">
        <v>102.61412378888213</v>
      </c>
      <c r="N210" s="66">
        <f t="shared" si="22"/>
        <v>101.01426196521992</v>
      </c>
      <c r="R210" s="44" t="s">
        <v>9</v>
      </c>
    </row>
    <row r="211" spans="1:18" x14ac:dyDescent="0.2">
      <c r="A211" s="4" t="s">
        <v>60</v>
      </c>
      <c r="B211" s="66">
        <v>99.646520573237424</v>
      </c>
      <c r="C211" s="66">
        <v>101.82611467402972</v>
      </c>
      <c r="D211" s="66">
        <v>102.78084905069048</v>
      </c>
      <c r="E211" s="66">
        <v>106.4107368687559</v>
      </c>
      <c r="F211" s="66">
        <v>103.04544359680722</v>
      </c>
      <c r="G211" s="66">
        <v>103.22485515361249</v>
      </c>
      <c r="H211" s="66">
        <v>102.10367858773216</v>
      </c>
      <c r="I211" s="66">
        <v>102.04861522259698</v>
      </c>
      <c r="J211" s="66">
        <v>103.52043340884262</v>
      </c>
      <c r="K211" s="66">
        <v>104.36000058421277</v>
      </c>
      <c r="L211" s="66">
        <v>103.07923909454281</v>
      </c>
      <c r="M211" s="66">
        <v>103.03361677917944</v>
      </c>
      <c r="N211" s="66">
        <f t="shared" si="22"/>
        <v>102.92334196618667</v>
      </c>
      <c r="R211" s="44" t="s">
        <v>10</v>
      </c>
    </row>
    <row r="212" spans="1:18" x14ac:dyDescent="0.2">
      <c r="A212" s="4" t="s">
        <v>61</v>
      </c>
      <c r="B212" s="66">
        <v>99.992138667940239</v>
      </c>
      <c r="C212" s="66">
        <v>99.992138667940239</v>
      </c>
      <c r="D212" s="66">
        <v>99.992138667940239</v>
      </c>
      <c r="E212" s="66">
        <v>99.992138667940239</v>
      </c>
      <c r="F212" s="66">
        <v>99.992138667940239</v>
      </c>
      <c r="G212" s="66">
        <v>99.992138667940239</v>
      </c>
      <c r="H212" s="66">
        <v>99.992138667940239</v>
      </c>
      <c r="I212" s="66">
        <v>99.992138667940239</v>
      </c>
      <c r="J212" s="66">
        <v>99.992138667940239</v>
      </c>
      <c r="K212" s="66">
        <v>99.992138667940239</v>
      </c>
      <c r="L212" s="66">
        <v>99.992150572363443</v>
      </c>
      <c r="M212" s="66">
        <v>99.992150572363443</v>
      </c>
      <c r="N212" s="66">
        <f t="shared" si="22"/>
        <v>99.992140652010775</v>
      </c>
      <c r="R212" s="50" t="s">
        <v>58</v>
      </c>
    </row>
    <row r="213" spans="1:18" ht="25.5" x14ac:dyDescent="0.2">
      <c r="A213" s="3" t="s">
        <v>62</v>
      </c>
      <c r="B213" s="66">
        <v>104.5402223359215</v>
      </c>
      <c r="C213" s="66">
        <v>104.25677965507425</v>
      </c>
      <c r="D213" s="66">
        <v>104.21200281365444</v>
      </c>
      <c r="E213" s="66">
        <v>104.25006818998162</v>
      </c>
      <c r="F213" s="66">
        <v>106.07126165709904</v>
      </c>
      <c r="G213" s="66">
        <v>107.30728518644</v>
      </c>
      <c r="H213" s="66">
        <v>107.33626819349863</v>
      </c>
      <c r="I213" s="66">
        <v>107.41895549163071</v>
      </c>
      <c r="J213" s="66">
        <v>107.47574343870571</v>
      </c>
      <c r="K213" s="66">
        <v>107.49013167798753</v>
      </c>
      <c r="L213" s="66">
        <v>106.59343439318683</v>
      </c>
      <c r="M213" s="66">
        <v>106.4928081582886</v>
      </c>
      <c r="N213" s="66">
        <f t="shared" si="22"/>
        <v>106.12041343262241</v>
      </c>
      <c r="R213" s="44" t="s">
        <v>11</v>
      </c>
    </row>
    <row r="214" spans="1:18" x14ac:dyDescent="0.2">
      <c r="A214" s="5" t="s">
        <v>12</v>
      </c>
      <c r="B214" s="66">
        <v>103.18152070732482</v>
      </c>
      <c r="C214" s="66">
        <v>103.18152070732482</v>
      </c>
      <c r="D214" s="66">
        <v>103.18152070732482</v>
      </c>
      <c r="E214" s="66">
        <v>103.18152070732482</v>
      </c>
      <c r="F214" s="66">
        <v>103.18152070732482</v>
      </c>
      <c r="G214" s="66">
        <v>103.18082218208031</v>
      </c>
      <c r="H214" s="66">
        <v>103.18082218208031</v>
      </c>
      <c r="I214" s="66">
        <v>103.50186688060217</v>
      </c>
      <c r="J214" s="66">
        <v>103.28111227720835</v>
      </c>
      <c r="K214" s="66">
        <v>103.27649914169795</v>
      </c>
      <c r="L214" s="66">
        <v>103.27649914169795</v>
      </c>
      <c r="M214" s="66">
        <v>103.26211851068861</v>
      </c>
      <c r="N214" s="66">
        <f t="shared" si="22"/>
        <v>103.23894532105665</v>
      </c>
      <c r="R214" s="44" t="s">
        <v>13</v>
      </c>
    </row>
    <row r="215" spans="1:18" x14ac:dyDescent="0.2">
      <c r="A215" s="5" t="s">
        <v>63</v>
      </c>
      <c r="B215" s="66">
        <v>100.46915052475224</v>
      </c>
      <c r="C215" s="66">
        <v>99.900737034755579</v>
      </c>
      <c r="D215" s="66">
        <v>99.754464674450915</v>
      </c>
      <c r="E215" s="66">
        <v>100.4675764370931</v>
      </c>
      <c r="F215" s="66">
        <v>100.96935607794275</v>
      </c>
      <c r="G215" s="66">
        <v>100.89903208008973</v>
      </c>
      <c r="H215" s="66">
        <v>105.31260323043138</v>
      </c>
      <c r="I215" s="66">
        <v>105.21032767423047</v>
      </c>
      <c r="J215" s="66">
        <v>105.36117337437459</v>
      </c>
      <c r="K215" s="66">
        <v>105.08558275986846</v>
      </c>
      <c r="L215" s="66">
        <v>104.96684695888695</v>
      </c>
      <c r="M215" s="66">
        <v>104.83224180299118</v>
      </c>
      <c r="N215" s="66">
        <f t="shared" si="22"/>
        <v>102.76909105248893</v>
      </c>
      <c r="R215" s="44" t="s">
        <v>14</v>
      </c>
    </row>
    <row r="216" spans="1:18" x14ac:dyDescent="0.2">
      <c r="A216" s="5" t="s">
        <v>64</v>
      </c>
      <c r="B216" s="66">
        <v>98.151248953988912</v>
      </c>
      <c r="C216" s="66">
        <v>99.125852477008536</v>
      </c>
      <c r="D216" s="66">
        <v>98.997901846758666</v>
      </c>
      <c r="E216" s="66">
        <v>97.923591684379105</v>
      </c>
      <c r="F216" s="66">
        <v>96.468568170259871</v>
      </c>
      <c r="G216" s="66">
        <v>95.316789617723671</v>
      </c>
      <c r="H216" s="66">
        <v>94.792007939792356</v>
      </c>
      <c r="I216" s="66">
        <v>93.377111357992277</v>
      </c>
      <c r="J216" s="66">
        <v>92.633951053239144</v>
      </c>
      <c r="K216" s="66">
        <v>92.630534813611902</v>
      </c>
      <c r="L216" s="66">
        <v>89.040922136640731</v>
      </c>
      <c r="M216" s="66">
        <v>88.954042398565974</v>
      </c>
      <c r="N216" s="66">
        <f t="shared" si="22"/>
        <v>94.784376870830087</v>
      </c>
      <c r="R216" s="44" t="s">
        <v>15</v>
      </c>
    </row>
    <row r="217" spans="1:18" x14ac:dyDescent="0.2">
      <c r="A217" s="3" t="s">
        <v>65</v>
      </c>
      <c r="B217" s="66">
        <v>98.699099049508803</v>
      </c>
      <c r="C217" s="66">
        <v>98.666373317647682</v>
      </c>
      <c r="D217" s="66">
        <v>97.958088810805478</v>
      </c>
      <c r="E217" s="66">
        <v>97.98892102106106</v>
      </c>
      <c r="F217" s="66">
        <v>97.930835275331646</v>
      </c>
      <c r="G217" s="66">
        <v>98.159738926744595</v>
      </c>
      <c r="H217" s="66">
        <v>98.104532003355231</v>
      </c>
      <c r="I217" s="66">
        <v>98.123675193563372</v>
      </c>
      <c r="J217" s="66">
        <v>98.123675193563372</v>
      </c>
      <c r="K217" s="66">
        <v>98.123675193563372</v>
      </c>
      <c r="L217" s="66">
        <v>98.123675193563372</v>
      </c>
      <c r="M217" s="66">
        <v>98.435581829104436</v>
      </c>
      <c r="N217" s="66">
        <f t="shared" si="22"/>
        <v>98.203155917317702</v>
      </c>
      <c r="R217" s="45" t="s">
        <v>16</v>
      </c>
    </row>
    <row r="218" spans="1:18" x14ac:dyDescent="0.2">
      <c r="A218" s="4" t="s">
        <v>66</v>
      </c>
      <c r="B218" s="66">
        <v>100.46469068422795</v>
      </c>
      <c r="C218" s="66">
        <v>100.46469068422795</v>
      </c>
      <c r="D218" s="66">
        <v>100.46469068422795</v>
      </c>
      <c r="E218" s="66">
        <v>100.46469068422795</v>
      </c>
      <c r="F218" s="66">
        <v>100.46469068422795</v>
      </c>
      <c r="G218" s="66">
        <v>100.46469068422795</v>
      </c>
      <c r="H218" s="66">
        <v>100.46469068422795</v>
      </c>
      <c r="I218" s="66">
        <v>100.46783638065361</v>
      </c>
      <c r="J218" s="66">
        <v>100.46783638065361</v>
      </c>
      <c r="K218" s="66">
        <v>100.46783638065361</v>
      </c>
      <c r="L218" s="66">
        <v>100.88702071413969</v>
      </c>
      <c r="M218" s="66">
        <v>100.88702071413969</v>
      </c>
      <c r="N218" s="66">
        <f t="shared" si="22"/>
        <v>100.53586544665298</v>
      </c>
      <c r="R218" s="45" t="s">
        <v>17</v>
      </c>
    </row>
    <row r="219" spans="1:18" x14ac:dyDescent="0.2">
      <c r="A219" s="4" t="s">
        <v>67</v>
      </c>
      <c r="B219" s="66">
        <v>103.98646121439654</v>
      </c>
      <c r="C219" s="66">
        <v>103.98646121439654</v>
      </c>
      <c r="D219" s="66">
        <v>103.99612330143647</v>
      </c>
      <c r="E219" s="66">
        <v>103.99612330143647</v>
      </c>
      <c r="F219" s="66">
        <v>103.99612330143647</v>
      </c>
      <c r="G219" s="66">
        <v>103.99612330143647</v>
      </c>
      <c r="H219" s="66">
        <v>104.04681023833015</v>
      </c>
      <c r="I219" s="66">
        <v>104.09979582475768</v>
      </c>
      <c r="J219" s="66">
        <v>104.1636519198132</v>
      </c>
      <c r="K219" s="66">
        <v>103.96113354726396</v>
      </c>
      <c r="L219" s="66">
        <v>103.96113354726396</v>
      </c>
      <c r="M219" s="66">
        <v>103.96113354726396</v>
      </c>
      <c r="N219" s="66">
        <f>AVERAGE(B219:M219)</f>
        <v>104.01258952160265</v>
      </c>
      <c r="O219" s="1"/>
      <c r="P219" s="1"/>
      <c r="Q219" s="1"/>
      <c r="R219" s="45" t="s">
        <v>18</v>
      </c>
    </row>
    <row r="220" spans="1:18" ht="17.25" x14ac:dyDescent="0.2">
      <c r="A220" s="4" t="s">
        <v>68</v>
      </c>
      <c r="B220" s="66">
        <v>102.53135558624007</v>
      </c>
      <c r="C220" s="66">
        <v>102.53135558624007</v>
      </c>
      <c r="D220" s="66">
        <v>102.53135558624007</v>
      </c>
      <c r="E220" s="66">
        <v>103.5172284204116</v>
      </c>
      <c r="F220" s="66">
        <v>103.5172284204116</v>
      </c>
      <c r="G220" s="66">
        <v>104.14475959758913</v>
      </c>
      <c r="H220" s="66">
        <v>104.14475959758913</v>
      </c>
      <c r="I220" s="66">
        <v>103.66433679835467</v>
      </c>
      <c r="J220" s="66">
        <v>104.14475959758916</v>
      </c>
      <c r="K220" s="66">
        <v>104.14475959758916</v>
      </c>
      <c r="L220" s="66">
        <v>107.14229868182086</v>
      </c>
      <c r="M220" s="66">
        <v>107.14229868182086</v>
      </c>
      <c r="N220" s="66">
        <f t="shared" ref="N220" si="23">AVERAGE(B220:M220)</f>
        <v>104.0963746793247</v>
      </c>
      <c r="O220" s="1"/>
      <c r="P220" s="1"/>
      <c r="Q220" s="1"/>
      <c r="R220" s="42" t="s">
        <v>70</v>
      </c>
    </row>
    <row r="221" spans="1:18" ht="25.5" x14ac:dyDescent="0.2">
      <c r="A221" s="3" t="s">
        <v>69</v>
      </c>
      <c r="B221" s="66">
        <v>101.63919890195628</v>
      </c>
      <c r="C221" s="66">
        <v>101.85567689491094</v>
      </c>
      <c r="D221" s="66">
        <v>102.23000390535245</v>
      </c>
      <c r="E221" s="66">
        <v>102.45490960486627</v>
      </c>
      <c r="F221" s="66">
        <v>102.42394615122343</v>
      </c>
      <c r="G221" s="66">
        <v>102.65246234242542</v>
      </c>
      <c r="H221" s="66">
        <v>102.73928481954017</v>
      </c>
      <c r="I221" s="66">
        <v>102.60587247199034</v>
      </c>
      <c r="J221" s="66">
        <v>102.97828866312045</v>
      </c>
      <c r="K221" s="66">
        <v>102.89043417858117</v>
      </c>
      <c r="L221" s="66">
        <v>102.87275806589902</v>
      </c>
      <c r="M221" s="66">
        <v>102.77506277140506</v>
      </c>
      <c r="N221" s="66">
        <f>AVERAGE(B221:M221)</f>
        <v>102.50982489760594</v>
      </c>
      <c r="O221" s="1"/>
      <c r="P221" s="1"/>
      <c r="Q221" s="1"/>
      <c r="R221" s="45" t="s">
        <v>19</v>
      </c>
    </row>
    <row r="222" spans="1:18" x14ac:dyDescent="0.2">
      <c r="A222" s="6" t="s">
        <v>20</v>
      </c>
      <c r="B222" s="68">
        <v>101.30527630637265</v>
      </c>
      <c r="C222" s="68">
        <v>101.6776650778834</v>
      </c>
      <c r="D222" s="68">
        <v>102.20128715726347</v>
      </c>
      <c r="E222" s="68">
        <v>102.2667896994263</v>
      </c>
      <c r="F222" s="68">
        <v>101.86725039470068</v>
      </c>
      <c r="G222" s="68">
        <v>102.10674688510663</v>
      </c>
      <c r="H222" s="68">
        <v>102.577840795581</v>
      </c>
      <c r="I222" s="68">
        <v>102.22268602681879</v>
      </c>
      <c r="J222" s="68">
        <v>103.00136251705095</v>
      </c>
      <c r="K222" s="68">
        <v>102.89306453623821</v>
      </c>
      <c r="L222" s="68">
        <v>102.51347414215574</v>
      </c>
      <c r="M222" s="68">
        <v>102.7210495064063</v>
      </c>
      <c r="N222" s="68">
        <f t="shared" ref="N222:N223" si="24">AVERAGE(B222:M222)</f>
        <v>102.27954108708366</v>
      </c>
      <c r="R222" s="46" t="s">
        <v>21</v>
      </c>
    </row>
    <row r="223" spans="1:18" x14ac:dyDescent="0.2">
      <c r="A223" s="7" t="s">
        <v>22</v>
      </c>
      <c r="B223" s="69">
        <v>101.4492959599427</v>
      </c>
      <c r="C223" s="69">
        <v>101.91817569580874</v>
      </c>
      <c r="D223" s="69">
        <v>102.41972535421287</v>
      </c>
      <c r="E223" s="69">
        <v>102.66761643210208</v>
      </c>
      <c r="F223" s="69">
        <v>102.08689911262884</v>
      </c>
      <c r="G223" s="69">
        <v>102.09692775758077</v>
      </c>
      <c r="H223" s="69">
        <v>102.56262658425005</v>
      </c>
      <c r="I223" s="69">
        <v>102.20351129968994</v>
      </c>
      <c r="J223" s="69">
        <v>102.76042117477162</v>
      </c>
      <c r="K223" s="69">
        <v>102.6894967274918</v>
      </c>
      <c r="L223" s="69">
        <v>102.19412674257441</v>
      </c>
      <c r="M223" s="69">
        <v>102.46517993971207</v>
      </c>
      <c r="N223" s="69">
        <f t="shared" si="24"/>
        <v>102.29283356506382</v>
      </c>
      <c r="O223" s="21"/>
      <c r="P223" s="21"/>
      <c r="Q223" s="21"/>
      <c r="R223" s="47" t="s">
        <v>23</v>
      </c>
    </row>
    <row r="224" spans="1:18" ht="17.25" x14ac:dyDescent="0.2">
      <c r="A224" s="43" t="s">
        <v>74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R224" s="42" t="s">
        <v>73</v>
      </c>
    </row>
    <row r="227" spans="1:18" ht="15" customHeight="1" x14ac:dyDescent="0.2">
      <c r="A227" s="74" t="s">
        <v>85</v>
      </c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</row>
    <row r="228" spans="1:18" ht="15" customHeight="1" x14ac:dyDescent="0.2">
      <c r="A228" s="71" t="s">
        <v>93</v>
      </c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</row>
    <row r="229" spans="1:18" ht="15" customHeight="1" x14ac:dyDescent="0.2">
      <c r="A229" s="72" t="s">
        <v>75</v>
      </c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</row>
    <row r="230" spans="1:18" ht="12" x14ac:dyDescent="0.2">
      <c r="A230" s="73" t="s">
        <v>72</v>
      </c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</row>
    <row r="231" spans="1:18" x14ac:dyDescent="0.2">
      <c r="A231" s="17"/>
      <c r="B231" s="18"/>
      <c r="C231" s="19"/>
      <c r="D231" s="19"/>
      <c r="E231" s="18"/>
      <c r="F231" s="20"/>
      <c r="G231" s="20"/>
      <c r="H231" s="20"/>
      <c r="I231" s="20"/>
      <c r="J231" s="20"/>
      <c r="K231" s="20"/>
      <c r="L231" s="20"/>
      <c r="M231" s="20"/>
      <c r="O231" s="21"/>
      <c r="P231" s="21"/>
      <c r="Q231" s="21"/>
      <c r="R231" s="59"/>
    </row>
    <row r="232" spans="1:18" ht="15" x14ac:dyDescent="0.2">
      <c r="A232" s="22"/>
      <c r="B232" s="23" t="s">
        <v>87</v>
      </c>
      <c r="C232" s="24"/>
      <c r="D232" s="24"/>
      <c r="E232" s="23"/>
      <c r="F232" s="11"/>
      <c r="G232" s="25"/>
      <c r="H232" s="26"/>
      <c r="I232" s="26"/>
      <c r="J232" s="26"/>
      <c r="K232" s="26"/>
      <c r="L232" s="26"/>
      <c r="M232" s="25"/>
      <c r="N232" s="48" t="s">
        <v>89</v>
      </c>
      <c r="R232" s="46" t="s">
        <v>50</v>
      </c>
    </row>
    <row r="233" spans="1:18" x14ac:dyDescent="0.35">
      <c r="A233" s="27" t="s">
        <v>51</v>
      </c>
      <c r="B233" s="52" t="s">
        <v>25</v>
      </c>
      <c r="C233" s="52" t="s">
        <v>26</v>
      </c>
      <c r="D233" s="52" t="s">
        <v>27</v>
      </c>
      <c r="E233" s="52" t="s">
        <v>28</v>
      </c>
      <c r="F233" s="52" t="s">
        <v>29</v>
      </c>
      <c r="G233" s="53" t="s">
        <v>30</v>
      </c>
      <c r="H233" s="53" t="s">
        <v>31</v>
      </c>
      <c r="I233" s="53" t="s">
        <v>32</v>
      </c>
      <c r="J233" s="53" t="s">
        <v>33</v>
      </c>
      <c r="K233" s="53" t="s">
        <v>34</v>
      </c>
      <c r="L233" s="53" t="s">
        <v>35</v>
      </c>
      <c r="M233" s="53" t="s">
        <v>36</v>
      </c>
      <c r="N233" s="55" t="s">
        <v>37</v>
      </c>
      <c r="R233" s="60" t="s">
        <v>52</v>
      </c>
    </row>
    <row r="234" spans="1:18" x14ac:dyDescent="0.2">
      <c r="A234" s="41" t="s">
        <v>0</v>
      </c>
      <c r="B234" s="56" t="s">
        <v>38</v>
      </c>
      <c r="C234" s="57" t="s">
        <v>39</v>
      </c>
      <c r="D234" s="57" t="s">
        <v>40</v>
      </c>
      <c r="E234" s="57" t="s">
        <v>41</v>
      </c>
      <c r="F234" s="57" t="s">
        <v>42</v>
      </c>
      <c r="G234" s="57" t="s">
        <v>43</v>
      </c>
      <c r="H234" s="57" t="s">
        <v>44</v>
      </c>
      <c r="I234" s="57" t="s">
        <v>45</v>
      </c>
      <c r="J234" s="57" t="s">
        <v>46</v>
      </c>
      <c r="K234" s="57" t="s">
        <v>47</v>
      </c>
      <c r="L234" s="57" t="s">
        <v>48</v>
      </c>
      <c r="M234" s="57" t="s">
        <v>49</v>
      </c>
      <c r="N234" s="58" t="s">
        <v>53</v>
      </c>
      <c r="O234" s="40"/>
      <c r="P234" s="40"/>
      <c r="Q234" s="40"/>
      <c r="R234" s="49"/>
    </row>
    <row r="235" spans="1:18" x14ac:dyDescent="0.2">
      <c r="A235" s="3" t="s">
        <v>2</v>
      </c>
      <c r="B235" s="66">
        <v>94.422697515549842</v>
      </c>
      <c r="C235" s="66">
        <v>94.789323717867049</v>
      </c>
      <c r="D235" s="66">
        <v>95.422735028472957</v>
      </c>
      <c r="E235" s="66">
        <v>96.530260456959596</v>
      </c>
      <c r="F235" s="66">
        <v>97.496470719691374</v>
      </c>
      <c r="G235" s="66">
        <v>98.255789673352353</v>
      </c>
      <c r="H235" s="66">
        <v>98.917791359827817</v>
      </c>
      <c r="I235" s="66">
        <v>99.981705107970683</v>
      </c>
      <c r="J235" s="66">
        <v>100.27777364381068</v>
      </c>
      <c r="K235" s="66">
        <v>100.22343918571519</v>
      </c>
      <c r="L235" s="66">
        <v>100</v>
      </c>
      <c r="M235" s="66">
        <v>100.53842787431924</v>
      </c>
      <c r="N235" s="66">
        <f>AVERAGE(B235:M235)</f>
        <v>98.071367856961388</v>
      </c>
      <c r="R235" s="44" t="s">
        <v>3</v>
      </c>
    </row>
    <row r="236" spans="1:18" x14ac:dyDescent="0.2">
      <c r="A236" s="3" t="s">
        <v>4</v>
      </c>
      <c r="B236" s="66">
        <v>94.460649787083611</v>
      </c>
      <c r="C236" s="66">
        <v>94.816221246641376</v>
      </c>
      <c r="D236" s="66">
        <v>95.357323255493469</v>
      </c>
      <c r="E236" s="66">
        <v>96.320192461720126</v>
      </c>
      <c r="F236" s="66">
        <v>96.645054145349789</v>
      </c>
      <c r="G236" s="66">
        <v>96.815278293614597</v>
      </c>
      <c r="H236" s="66">
        <v>97.610607295212986</v>
      </c>
      <c r="I236" s="66">
        <v>99.18933158031092</v>
      </c>
      <c r="J236" s="66">
        <v>99.39676218637257</v>
      </c>
      <c r="K236" s="66">
        <v>98.877506703077657</v>
      </c>
      <c r="L236" s="66">
        <v>100</v>
      </c>
      <c r="M236" s="66">
        <v>100.72818207999504</v>
      </c>
      <c r="N236" s="66">
        <f t="shared" ref="N236" si="25">AVERAGE(B236:M236)</f>
        <v>97.518092419572682</v>
      </c>
      <c r="R236" s="44" t="s">
        <v>5</v>
      </c>
    </row>
    <row r="237" spans="1:18" x14ac:dyDescent="0.2">
      <c r="A237" s="4" t="s">
        <v>6</v>
      </c>
      <c r="B237" s="66">
        <v>94.24668472740278</v>
      </c>
      <c r="C237" s="66">
        <v>94.664579958336773</v>
      </c>
      <c r="D237" s="66">
        <v>95.726097859588876</v>
      </c>
      <c r="E237" s="66">
        <v>97.504501313917331</v>
      </c>
      <c r="F237" s="66">
        <v>101.44511988002142</v>
      </c>
      <c r="G237" s="66">
        <v>104.93650769254987</v>
      </c>
      <c r="H237" s="66">
        <v>104.98017188504809</v>
      </c>
      <c r="I237" s="66">
        <v>103.656527937302</v>
      </c>
      <c r="J237" s="66">
        <v>104.36367619315247</v>
      </c>
      <c r="K237" s="66">
        <v>106.46552481992717</v>
      </c>
      <c r="L237" s="66">
        <v>100</v>
      </c>
      <c r="M237" s="66">
        <v>99.735536750984508</v>
      </c>
      <c r="N237" s="66">
        <f>AVERAGE(B237:M237)</f>
        <v>100.6437440848526</v>
      </c>
      <c r="R237" s="44" t="s">
        <v>7</v>
      </c>
    </row>
    <row r="238" spans="1:18" x14ac:dyDescent="0.2">
      <c r="A238" s="4" t="s">
        <v>8</v>
      </c>
      <c r="B238" s="66">
        <v>99.517703400583073</v>
      </c>
      <c r="C238" s="66">
        <v>100.25237295485059</v>
      </c>
      <c r="D238" s="66">
        <v>100.21335202131132</v>
      </c>
      <c r="E238" s="66">
        <v>99.373879657645276</v>
      </c>
      <c r="F238" s="66">
        <v>100.50710160101978</v>
      </c>
      <c r="G238" s="66">
        <v>101.02788793438795</v>
      </c>
      <c r="H238" s="66">
        <v>100.80026106637472</v>
      </c>
      <c r="I238" s="66">
        <v>100.80026106637472</v>
      </c>
      <c r="J238" s="66">
        <v>100.84007438419323</v>
      </c>
      <c r="K238" s="66">
        <v>100.57103008165133</v>
      </c>
      <c r="L238" s="66">
        <v>100</v>
      </c>
      <c r="M238" s="66">
        <v>99.828048518855169</v>
      </c>
      <c r="N238" s="66">
        <f>AVERAGE(B238:M238)</f>
        <v>100.31099772393725</v>
      </c>
      <c r="R238" s="44" t="s">
        <v>24</v>
      </c>
    </row>
    <row r="239" spans="1:18" x14ac:dyDescent="0.2">
      <c r="A239" s="4" t="s">
        <v>59</v>
      </c>
      <c r="B239" s="66">
        <v>98.665575561985548</v>
      </c>
      <c r="C239" s="66">
        <v>98.780369060095992</v>
      </c>
      <c r="D239" s="66">
        <v>98.2525445403964</v>
      </c>
      <c r="E239" s="66">
        <v>98.267629637697155</v>
      </c>
      <c r="F239" s="66">
        <v>99.300002231307175</v>
      </c>
      <c r="G239" s="66">
        <v>99.740638062076556</v>
      </c>
      <c r="H239" s="66">
        <v>100.04265697575281</v>
      </c>
      <c r="I239" s="66">
        <v>100.04265697575281</v>
      </c>
      <c r="J239" s="66">
        <v>99.552434084153802</v>
      </c>
      <c r="K239" s="66">
        <v>100.10817052554563</v>
      </c>
      <c r="L239" s="66">
        <v>100</v>
      </c>
      <c r="M239" s="66">
        <v>100.12778832118119</v>
      </c>
      <c r="N239" s="66">
        <f t="shared" ref="N239:N241" si="26">AVERAGE(B239:M239)</f>
        <v>99.406705497995418</v>
      </c>
      <c r="R239" s="44" t="s">
        <v>9</v>
      </c>
    </row>
    <row r="240" spans="1:18" x14ac:dyDescent="0.2">
      <c r="A240" s="4" t="s">
        <v>60</v>
      </c>
      <c r="B240" s="66">
        <v>99.992541761322812</v>
      </c>
      <c r="C240" s="66">
        <v>100.18827786834044</v>
      </c>
      <c r="D240" s="66">
        <v>100.13283090200001</v>
      </c>
      <c r="E240" s="66">
        <v>100.07177010967965</v>
      </c>
      <c r="F240" s="66">
        <v>100.09515308585779</v>
      </c>
      <c r="G240" s="66">
        <v>100.16204394100889</v>
      </c>
      <c r="H240" s="66">
        <v>100.17592769575072</v>
      </c>
      <c r="I240" s="66">
        <v>100.19682407577636</v>
      </c>
      <c r="J240" s="66">
        <v>100.21062634459075</v>
      </c>
      <c r="K240" s="66">
        <v>99.80023201288337</v>
      </c>
      <c r="L240" s="66">
        <v>100</v>
      </c>
      <c r="M240" s="66">
        <v>100.21232026061249</v>
      </c>
      <c r="N240" s="66">
        <f t="shared" si="26"/>
        <v>100.10321233815192</v>
      </c>
      <c r="R240" s="44" t="s">
        <v>10</v>
      </c>
    </row>
    <row r="241" spans="1:18" x14ac:dyDescent="0.2">
      <c r="A241" s="4" t="s">
        <v>61</v>
      </c>
      <c r="B241" s="66">
        <v>100.90233358387275</v>
      </c>
      <c r="C241" s="66">
        <v>100.81768263253255</v>
      </c>
      <c r="D241" s="66">
        <v>100.76119142691293</v>
      </c>
      <c r="E241" s="66">
        <v>100.65859550465865</v>
      </c>
      <c r="F241" s="66">
        <v>100.51404676341606</v>
      </c>
      <c r="G241" s="66">
        <v>100.42115237786307</v>
      </c>
      <c r="H241" s="66">
        <v>100.42115237786307</v>
      </c>
      <c r="I241" s="66">
        <v>100.42115237786307</v>
      </c>
      <c r="J241" s="66">
        <v>100.42698792694624</v>
      </c>
      <c r="K241" s="66">
        <v>99.669297893960319</v>
      </c>
      <c r="L241" s="66">
        <v>100</v>
      </c>
      <c r="M241" s="66">
        <v>100</v>
      </c>
      <c r="N241" s="66">
        <f t="shared" si="26"/>
        <v>100.41779940549073</v>
      </c>
      <c r="R241" s="50" t="s">
        <v>54</v>
      </c>
    </row>
    <row r="242" spans="1:18" ht="25.5" x14ac:dyDescent="0.2">
      <c r="A242" s="3" t="s">
        <v>62</v>
      </c>
      <c r="B242" s="66">
        <v>96.981386031878529</v>
      </c>
      <c r="C242" s="66">
        <v>98.017284075322507</v>
      </c>
      <c r="D242" s="66">
        <v>97.727583808447051</v>
      </c>
      <c r="E242" s="66">
        <v>98.032020871856034</v>
      </c>
      <c r="F242" s="66">
        <v>98.564350802813394</v>
      </c>
      <c r="G242" s="66">
        <v>99.039277553406293</v>
      </c>
      <c r="H242" s="66">
        <v>99.600040424083019</v>
      </c>
      <c r="I242" s="66">
        <v>99.15959894183213</v>
      </c>
      <c r="J242" s="66">
        <v>99.488666217704676</v>
      </c>
      <c r="K242" s="66">
        <v>99.590685182063368</v>
      </c>
      <c r="L242" s="66">
        <v>100</v>
      </c>
      <c r="M242" s="66">
        <v>101.64137009483825</v>
      </c>
      <c r="N242" s="66">
        <f>AVERAGE(B242:M242)</f>
        <v>98.986855333687103</v>
      </c>
      <c r="R242" s="44" t="s">
        <v>11</v>
      </c>
    </row>
    <row r="243" spans="1:18" x14ac:dyDescent="0.2">
      <c r="A243" s="5" t="s">
        <v>12</v>
      </c>
      <c r="B243" s="66">
        <v>98.870588632187477</v>
      </c>
      <c r="C243" s="66">
        <v>99.289782101826759</v>
      </c>
      <c r="D243" s="66">
        <v>99.725358938896932</v>
      </c>
      <c r="E243" s="66">
        <v>99.684923340355681</v>
      </c>
      <c r="F243" s="66">
        <v>99.684923340355681</v>
      </c>
      <c r="G243" s="66">
        <v>99.684923340355681</v>
      </c>
      <c r="H243" s="66">
        <v>99.684923340355681</v>
      </c>
      <c r="I243" s="66">
        <v>99.684923340355681</v>
      </c>
      <c r="J243" s="66">
        <v>99.684923340355681</v>
      </c>
      <c r="K243" s="66">
        <v>99.696758020327181</v>
      </c>
      <c r="L243" s="66">
        <v>100</v>
      </c>
      <c r="M243" s="66">
        <v>102.72906823066211</v>
      </c>
      <c r="N243" s="66">
        <f t="shared" ref="N243:N244" si="27">AVERAGE(B243:M243)</f>
        <v>99.868424663836208</v>
      </c>
      <c r="R243" s="44" t="s">
        <v>13</v>
      </c>
    </row>
    <row r="244" spans="1:18" x14ac:dyDescent="0.2">
      <c r="A244" s="5" t="s">
        <v>63</v>
      </c>
      <c r="B244" s="66">
        <v>91.18418854166363</v>
      </c>
      <c r="C244" s="66">
        <v>91.628470539535613</v>
      </c>
      <c r="D244" s="66">
        <v>93.329058526227271</v>
      </c>
      <c r="E244" s="66">
        <v>93.397417404158816</v>
      </c>
      <c r="F244" s="66">
        <v>96.624836094984204</v>
      </c>
      <c r="G244" s="66">
        <v>100.15826302792303</v>
      </c>
      <c r="H244" s="66">
        <v>100.51460982439934</v>
      </c>
      <c r="I244" s="66">
        <v>99.682439385616277</v>
      </c>
      <c r="J244" s="66">
        <v>100.07408311017585</v>
      </c>
      <c r="K244" s="66">
        <v>100.04634643448804</v>
      </c>
      <c r="L244" s="66">
        <v>100</v>
      </c>
      <c r="M244" s="66">
        <v>100.55918377095475</v>
      </c>
      <c r="N244" s="66">
        <f t="shared" si="27"/>
        <v>97.266574721677216</v>
      </c>
      <c r="R244" s="44" t="s">
        <v>14</v>
      </c>
    </row>
    <row r="245" spans="1:18" x14ac:dyDescent="0.2">
      <c r="A245" s="5" t="s">
        <v>64</v>
      </c>
      <c r="B245" s="66">
        <v>103.62217461059832</v>
      </c>
      <c r="C245" s="66">
        <v>103.17918077137161</v>
      </c>
      <c r="D245" s="66">
        <v>103.32941576065402</v>
      </c>
      <c r="E245" s="66">
        <v>103.23566875898852</v>
      </c>
      <c r="F245" s="66">
        <v>103.76356543157748</v>
      </c>
      <c r="G245" s="66">
        <v>101.76448414408917</v>
      </c>
      <c r="H245" s="66">
        <v>100.3382032811538</v>
      </c>
      <c r="I245" s="66">
        <v>100.15440306662823</v>
      </c>
      <c r="J245" s="66">
        <v>100.3381729189601</v>
      </c>
      <c r="K245" s="66">
        <v>100.3008287862166</v>
      </c>
      <c r="L245" s="66">
        <v>100</v>
      </c>
      <c r="M245" s="66">
        <v>98.24548458294187</v>
      </c>
      <c r="N245" s="66">
        <f>AVERAGE(B245:M245)</f>
        <v>101.52263184276497</v>
      </c>
      <c r="R245" s="44" t="s">
        <v>15</v>
      </c>
    </row>
    <row r="246" spans="1:18" x14ac:dyDescent="0.2">
      <c r="A246" s="3" t="s">
        <v>65</v>
      </c>
      <c r="B246" s="66">
        <v>99.599067793700939</v>
      </c>
      <c r="C246" s="66">
        <v>99.496480695014611</v>
      </c>
      <c r="D246" s="66">
        <v>99.724442782508177</v>
      </c>
      <c r="E246" s="66">
        <v>99.627324668614449</v>
      </c>
      <c r="F246" s="66">
        <v>99.619131247505806</v>
      </c>
      <c r="G246" s="66">
        <v>100.16620592741987</v>
      </c>
      <c r="H246" s="66">
        <v>100.16620592741987</v>
      </c>
      <c r="I246" s="66">
        <v>100.16620592741987</v>
      </c>
      <c r="J246" s="66">
        <v>100.16620592741987</v>
      </c>
      <c r="K246" s="66">
        <v>100.16620592741987</v>
      </c>
      <c r="L246" s="66">
        <v>100</v>
      </c>
      <c r="M246" s="66">
        <v>99.997526291925183</v>
      </c>
      <c r="N246" s="66">
        <f t="shared" ref="N246:N252" si="28">AVERAGE(B246:M246)</f>
        <v>99.907916926364067</v>
      </c>
      <c r="R246" s="45" t="s">
        <v>16</v>
      </c>
    </row>
    <row r="247" spans="1:18" x14ac:dyDescent="0.2">
      <c r="A247" s="4" t="s">
        <v>66</v>
      </c>
      <c r="B247" s="66">
        <v>98.383199306243014</v>
      </c>
      <c r="C247" s="66">
        <v>98.383199306243014</v>
      </c>
      <c r="D247" s="66">
        <v>98.383199306243014</v>
      </c>
      <c r="E247" s="66">
        <v>98.383199306243014</v>
      </c>
      <c r="F247" s="66">
        <v>98.383199306243014</v>
      </c>
      <c r="G247" s="66">
        <v>98.383199306243014</v>
      </c>
      <c r="H247" s="66">
        <v>98.383199306243014</v>
      </c>
      <c r="I247" s="66">
        <v>100.31754724349669</v>
      </c>
      <c r="J247" s="66">
        <v>100.31754724349669</v>
      </c>
      <c r="K247" s="66">
        <v>100.31754724349669</v>
      </c>
      <c r="L247" s="66">
        <v>100</v>
      </c>
      <c r="M247" s="66">
        <v>102.94096122769429</v>
      </c>
      <c r="N247" s="66">
        <f t="shared" si="28"/>
        <v>99.381333175157138</v>
      </c>
      <c r="R247" s="45" t="s">
        <v>17</v>
      </c>
    </row>
    <row r="248" spans="1:18" x14ac:dyDescent="0.2">
      <c r="A248" s="4" t="s">
        <v>67</v>
      </c>
      <c r="B248" s="66">
        <v>99.162835818005746</v>
      </c>
      <c r="C248" s="66">
        <v>99.255664601436038</v>
      </c>
      <c r="D248" s="66">
        <v>99.237667711412641</v>
      </c>
      <c r="E248" s="66">
        <v>99.296370963655548</v>
      </c>
      <c r="F248" s="66">
        <v>99.362674160421989</v>
      </c>
      <c r="G248" s="66">
        <v>99.362674160421989</v>
      </c>
      <c r="H248" s="66">
        <v>99.362674160421989</v>
      </c>
      <c r="I248" s="66">
        <v>99.362674160421989</v>
      </c>
      <c r="J248" s="66">
        <v>100</v>
      </c>
      <c r="K248" s="66">
        <v>100</v>
      </c>
      <c r="L248" s="66">
        <v>100</v>
      </c>
      <c r="M248" s="66">
        <v>100.44808570691627</v>
      </c>
      <c r="N248" s="66">
        <f t="shared" si="28"/>
        <v>99.570943453592861</v>
      </c>
      <c r="R248" s="45" t="s">
        <v>18</v>
      </c>
    </row>
    <row r="249" spans="1:18" ht="17.25" x14ac:dyDescent="0.2">
      <c r="A249" s="4" t="s">
        <v>68</v>
      </c>
      <c r="B249" s="66">
        <v>100</v>
      </c>
      <c r="C249" s="66">
        <v>100</v>
      </c>
      <c r="D249" s="66">
        <v>100</v>
      </c>
      <c r="E249" s="66">
        <v>100</v>
      </c>
      <c r="F249" s="66">
        <v>100</v>
      </c>
      <c r="G249" s="66">
        <v>100</v>
      </c>
      <c r="H249" s="66">
        <v>100</v>
      </c>
      <c r="I249" s="66">
        <v>100</v>
      </c>
      <c r="J249" s="66">
        <v>100</v>
      </c>
      <c r="K249" s="66">
        <v>100</v>
      </c>
      <c r="L249" s="66">
        <v>100</v>
      </c>
      <c r="M249" s="66">
        <v>100</v>
      </c>
      <c r="N249" s="66">
        <f t="shared" si="28"/>
        <v>100</v>
      </c>
      <c r="R249" s="42" t="s">
        <v>70</v>
      </c>
    </row>
    <row r="250" spans="1:18" ht="25.5" x14ac:dyDescent="0.2">
      <c r="A250" s="3" t="s">
        <v>69</v>
      </c>
      <c r="B250" s="66">
        <v>97.54549728009647</v>
      </c>
      <c r="C250" s="66">
        <v>98.790906214322447</v>
      </c>
      <c r="D250" s="66">
        <v>98.629282580963491</v>
      </c>
      <c r="E250" s="66">
        <v>98.824280689461673</v>
      </c>
      <c r="F250" s="66">
        <v>98.552844811816257</v>
      </c>
      <c r="G250" s="66">
        <v>98.686225380972786</v>
      </c>
      <c r="H250" s="66">
        <v>98.956512235737165</v>
      </c>
      <c r="I250" s="66">
        <v>99.021079154581543</v>
      </c>
      <c r="J250" s="66">
        <v>99.039616731674911</v>
      </c>
      <c r="K250" s="66">
        <v>99.253559744161663</v>
      </c>
      <c r="L250" s="66">
        <v>100</v>
      </c>
      <c r="M250" s="66">
        <v>100.61779095800534</v>
      </c>
      <c r="N250" s="66">
        <f t="shared" si="28"/>
        <v>98.993132981816132</v>
      </c>
      <c r="R250" s="45" t="s">
        <v>19</v>
      </c>
    </row>
    <row r="251" spans="1:18" x14ac:dyDescent="0.2">
      <c r="A251" s="6" t="s">
        <v>20</v>
      </c>
      <c r="B251" s="68">
        <v>97.556557812203124</v>
      </c>
      <c r="C251" s="68">
        <v>97.886772810315676</v>
      </c>
      <c r="D251" s="68">
        <v>98.168544560245266</v>
      </c>
      <c r="E251" s="68">
        <v>98.428978856159119</v>
      </c>
      <c r="F251" s="68">
        <v>99.083543768344995</v>
      </c>
      <c r="G251" s="68">
        <v>99.526247398871192</v>
      </c>
      <c r="H251" s="68">
        <v>99.673862415771794</v>
      </c>
      <c r="I251" s="68">
        <v>99.896795864747617</v>
      </c>
      <c r="J251" s="68">
        <v>100.05423219650741</v>
      </c>
      <c r="K251" s="68">
        <v>99.981268073710126</v>
      </c>
      <c r="L251" s="68">
        <v>100</v>
      </c>
      <c r="M251" s="68">
        <v>100.45974968122353</v>
      </c>
      <c r="N251" s="68">
        <f t="shared" si="28"/>
        <v>99.226379453174971</v>
      </c>
      <c r="O251" s="11"/>
      <c r="P251" s="11"/>
      <c r="Q251" s="11"/>
      <c r="R251" s="46" t="s">
        <v>21</v>
      </c>
    </row>
    <row r="252" spans="1:18" x14ac:dyDescent="0.2">
      <c r="A252" s="7" t="s">
        <v>22</v>
      </c>
      <c r="B252" s="69">
        <v>97.703761893168675</v>
      </c>
      <c r="C252" s="69">
        <v>98.030077379801298</v>
      </c>
      <c r="D252" s="69">
        <v>98.277170514372855</v>
      </c>
      <c r="E252" s="69">
        <v>98.470094289740132</v>
      </c>
      <c r="F252" s="69">
        <v>98.978514471981853</v>
      </c>
      <c r="G252" s="69">
        <v>99.285630198782727</v>
      </c>
      <c r="H252" s="69">
        <v>99.437868349314044</v>
      </c>
      <c r="I252" s="69">
        <v>99.729584648415312</v>
      </c>
      <c r="J252" s="69">
        <v>99.8625729616233</v>
      </c>
      <c r="K252" s="69">
        <v>99.692885700545432</v>
      </c>
      <c r="L252" s="69">
        <v>100</v>
      </c>
      <c r="M252" s="69">
        <v>100.49380040425537</v>
      </c>
      <c r="N252" s="69">
        <f t="shared" si="28"/>
        <v>99.163496734333407</v>
      </c>
      <c r="O252" s="30"/>
      <c r="P252" s="30"/>
      <c r="Q252" s="30"/>
      <c r="R252" s="47" t="s">
        <v>23</v>
      </c>
    </row>
    <row r="253" spans="1:18" x14ac:dyDescent="0.35"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</row>
    <row r="254" spans="1:18" ht="15" x14ac:dyDescent="0.35">
      <c r="A254" s="31"/>
      <c r="B254" s="63"/>
      <c r="C254" s="63"/>
      <c r="D254" s="63"/>
      <c r="E254" s="63"/>
      <c r="F254" s="64"/>
      <c r="G254" s="63"/>
      <c r="H254" s="63"/>
      <c r="I254" s="39"/>
      <c r="J254" s="39"/>
      <c r="K254" s="39"/>
      <c r="L254" s="39"/>
      <c r="M254" s="32"/>
      <c r="N254" s="39"/>
    </row>
    <row r="255" spans="1:18" ht="15" x14ac:dyDescent="0.2">
      <c r="A255" s="22"/>
      <c r="B255" s="23" t="s">
        <v>87</v>
      </c>
      <c r="C255" s="24"/>
      <c r="D255" s="24"/>
      <c r="E255" s="23"/>
      <c r="F255" s="11"/>
      <c r="G255" s="25"/>
      <c r="H255" s="26"/>
      <c r="I255" s="26"/>
      <c r="J255" s="26"/>
      <c r="K255" s="26"/>
      <c r="L255" s="26"/>
      <c r="M255" s="25"/>
      <c r="N255" s="48" t="s">
        <v>88</v>
      </c>
      <c r="O255" s="10"/>
      <c r="P255" s="10"/>
      <c r="Q255" s="10"/>
      <c r="R255" s="51" t="s">
        <v>50</v>
      </c>
    </row>
    <row r="256" spans="1:18" x14ac:dyDescent="0.35">
      <c r="A256" s="27" t="s">
        <v>51</v>
      </c>
      <c r="B256" s="52" t="s">
        <v>25</v>
      </c>
      <c r="C256" s="52" t="s">
        <v>26</v>
      </c>
      <c r="D256" s="52" t="s">
        <v>27</v>
      </c>
      <c r="E256" s="52" t="s">
        <v>28</v>
      </c>
      <c r="F256" s="52" t="s">
        <v>29</v>
      </c>
      <c r="G256" s="53" t="s">
        <v>30</v>
      </c>
      <c r="H256" s="53" t="s">
        <v>31</v>
      </c>
      <c r="I256" s="53" t="s">
        <v>32</v>
      </c>
      <c r="J256" s="53" t="s">
        <v>33</v>
      </c>
      <c r="K256" s="53" t="s">
        <v>34</v>
      </c>
      <c r="L256" s="53" t="s">
        <v>35</v>
      </c>
      <c r="M256" s="53" t="s">
        <v>36</v>
      </c>
      <c r="N256" s="65" t="s">
        <v>37</v>
      </c>
      <c r="R256" s="60" t="s">
        <v>55</v>
      </c>
    </row>
    <row r="257" spans="1:18" x14ac:dyDescent="0.35">
      <c r="A257" s="28" t="s">
        <v>1</v>
      </c>
      <c r="B257" s="56" t="s">
        <v>38</v>
      </c>
      <c r="C257" s="57" t="s">
        <v>39</v>
      </c>
      <c r="D257" s="57" t="s">
        <v>40</v>
      </c>
      <c r="E257" s="57" t="s">
        <v>41</v>
      </c>
      <c r="F257" s="57" t="s">
        <v>42</v>
      </c>
      <c r="G257" s="57" t="s">
        <v>43</v>
      </c>
      <c r="H257" s="57" t="s">
        <v>44</v>
      </c>
      <c r="I257" s="57" t="s">
        <v>45</v>
      </c>
      <c r="J257" s="57" t="s">
        <v>46</v>
      </c>
      <c r="K257" s="57" t="s">
        <v>47</v>
      </c>
      <c r="L257" s="57" t="s">
        <v>48</v>
      </c>
      <c r="M257" s="57" t="s">
        <v>49</v>
      </c>
      <c r="N257" s="58" t="s">
        <v>53</v>
      </c>
      <c r="O257" s="21"/>
      <c r="P257" s="21"/>
      <c r="Q257" s="21"/>
      <c r="R257" s="62"/>
    </row>
    <row r="258" spans="1:18" x14ac:dyDescent="0.2">
      <c r="A258" s="3" t="s">
        <v>2</v>
      </c>
      <c r="B258" s="66">
        <v>93.706931340645909</v>
      </c>
      <c r="C258" s="66">
        <v>94.251997728769183</v>
      </c>
      <c r="D258" s="66">
        <v>94.828263869913172</v>
      </c>
      <c r="E258" s="66">
        <v>95.328885075905475</v>
      </c>
      <c r="F258" s="66">
        <v>97.505314598245988</v>
      </c>
      <c r="G258" s="66">
        <v>98.19886673026808</v>
      </c>
      <c r="H258" s="66">
        <v>99.187912250502023</v>
      </c>
      <c r="I258" s="66">
        <v>100.11984710528105</v>
      </c>
      <c r="J258" s="66">
        <v>100.97313098618605</v>
      </c>
      <c r="K258" s="66">
        <v>100.88877557686537</v>
      </c>
      <c r="L258" s="66">
        <v>100</v>
      </c>
      <c r="M258" s="66">
        <v>100.25932876556827</v>
      </c>
      <c r="N258" s="66">
        <f>AVERAGE(B258:M258)</f>
        <v>97.937437835679205</v>
      </c>
      <c r="R258" s="44" t="s">
        <v>3</v>
      </c>
    </row>
    <row r="259" spans="1:18" x14ac:dyDescent="0.2">
      <c r="A259" s="3" t="s">
        <v>4</v>
      </c>
      <c r="B259" s="66">
        <v>93.977327090127744</v>
      </c>
      <c r="C259" s="66">
        <v>94.616171276902534</v>
      </c>
      <c r="D259" s="66">
        <v>95.234066483556106</v>
      </c>
      <c r="E259" s="66">
        <v>95.49248766429163</v>
      </c>
      <c r="F259" s="66">
        <v>96.924751029263376</v>
      </c>
      <c r="G259" s="66">
        <v>97.249645952738589</v>
      </c>
      <c r="H259" s="66">
        <v>98.045422440904645</v>
      </c>
      <c r="I259" s="66">
        <v>99.980913592629065</v>
      </c>
      <c r="J259" s="66">
        <v>100.07737738196771</v>
      </c>
      <c r="K259" s="66">
        <v>99.506711235133295</v>
      </c>
      <c r="L259" s="66">
        <v>100</v>
      </c>
      <c r="M259" s="66">
        <v>100.09071980183511</v>
      </c>
      <c r="N259" s="66">
        <f t="shared" ref="N259:N265" si="29">AVERAGE(B259:M259)</f>
        <v>97.59963282911248</v>
      </c>
      <c r="R259" s="44" t="s">
        <v>5</v>
      </c>
    </row>
    <row r="260" spans="1:18" x14ac:dyDescent="0.2">
      <c r="A260" s="4" t="s">
        <v>6</v>
      </c>
      <c r="B260" s="66">
        <v>92.362542553019935</v>
      </c>
      <c r="C260" s="66">
        <v>92.441352273732647</v>
      </c>
      <c r="D260" s="66">
        <v>92.810641607668344</v>
      </c>
      <c r="E260" s="66">
        <v>94.515464429040847</v>
      </c>
      <c r="F260" s="66">
        <v>100.39183612878074</v>
      </c>
      <c r="G260" s="66">
        <v>102.91832616237029</v>
      </c>
      <c r="H260" s="66">
        <v>104.86829181616899</v>
      </c>
      <c r="I260" s="66">
        <v>100.81061482996898</v>
      </c>
      <c r="J260" s="66">
        <v>105.42675536561728</v>
      </c>
      <c r="K260" s="66">
        <v>107.76030298941932</v>
      </c>
      <c r="L260" s="66">
        <v>100</v>
      </c>
      <c r="M260" s="66">
        <v>101.08171220784807</v>
      </c>
      <c r="N260" s="66">
        <f t="shared" si="29"/>
        <v>99.61565336363627</v>
      </c>
      <c r="R260" s="44" t="s">
        <v>7</v>
      </c>
    </row>
    <row r="261" spans="1:18" x14ac:dyDescent="0.2">
      <c r="A261" s="4" t="s">
        <v>8</v>
      </c>
      <c r="B261" s="66">
        <v>97.876223878543016</v>
      </c>
      <c r="C261" s="66">
        <v>99.188177294938399</v>
      </c>
      <c r="D261" s="66">
        <v>99.188177294938399</v>
      </c>
      <c r="E261" s="66">
        <v>96.940165448512758</v>
      </c>
      <c r="F261" s="66">
        <v>99.701888307160061</v>
      </c>
      <c r="G261" s="66">
        <v>101.1864680477179</v>
      </c>
      <c r="H261" s="66">
        <v>100.71670635661698</v>
      </c>
      <c r="I261" s="66">
        <v>100.71670635661698</v>
      </c>
      <c r="J261" s="66">
        <v>100.93167276157561</v>
      </c>
      <c r="K261" s="66">
        <v>100.93167276157561</v>
      </c>
      <c r="L261" s="66">
        <v>100</v>
      </c>
      <c r="M261" s="66">
        <v>99.999509304789342</v>
      </c>
      <c r="N261" s="66">
        <f t="shared" si="29"/>
        <v>99.781447317748757</v>
      </c>
      <c r="R261" s="44" t="s">
        <v>24</v>
      </c>
    </row>
    <row r="262" spans="1:18" x14ac:dyDescent="0.2">
      <c r="A262" s="4" t="s">
        <v>59</v>
      </c>
      <c r="B262" s="66">
        <v>97.52085867838241</v>
      </c>
      <c r="C262" s="66">
        <v>97.73753287185707</v>
      </c>
      <c r="D262" s="66">
        <v>96.921229528397276</v>
      </c>
      <c r="E262" s="66">
        <v>96.921229528397276</v>
      </c>
      <c r="F262" s="66">
        <v>99.103942041962682</v>
      </c>
      <c r="G262" s="66">
        <v>99.971465515544097</v>
      </c>
      <c r="H262" s="66">
        <v>99.971465515544097</v>
      </c>
      <c r="I262" s="66">
        <v>99.971465515544097</v>
      </c>
      <c r="J262" s="66">
        <v>99.971465515544097</v>
      </c>
      <c r="K262" s="66">
        <v>100.04854076767535</v>
      </c>
      <c r="L262" s="66">
        <v>100</v>
      </c>
      <c r="M262" s="66">
        <v>99.992077539280714</v>
      </c>
      <c r="N262" s="66">
        <f t="shared" si="29"/>
        <v>99.010939418177415</v>
      </c>
      <c r="R262" s="44" t="s">
        <v>9</v>
      </c>
    </row>
    <row r="263" spans="1:18" x14ac:dyDescent="0.2">
      <c r="A263" s="4" t="s">
        <v>60</v>
      </c>
      <c r="B263" s="66">
        <v>100.52669395101761</v>
      </c>
      <c r="C263" s="66">
        <v>100.52567250201321</v>
      </c>
      <c r="D263" s="66">
        <v>100.46294952296822</v>
      </c>
      <c r="E263" s="66">
        <v>100.38835118913991</v>
      </c>
      <c r="F263" s="66">
        <v>100.35347989465325</v>
      </c>
      <c r="G263" s="66">
        <v>100.30747356022691</v>
      </c>
      <c r="H263" s="66">
        <v>100.30025544001271</v>
      </c>
      <c r="I263" s="66">
        <v>100.30594390415042</v>
      </c>
      <c r="J263" s="66">
        <v>100.310466408728</v>
      </c>
      <c r="K263" s="66">
        <v>99.759543799008483</v>
      </c>
      <c r="L263" s="66">
        <v>100</v>
      </c>
      <c r="M263" s="66">
        <v>100.27140873980669</v>
      </c>
      <c r="N263" s="66">
        <f t="shared" si="29"/>
        <v>100.29268657597713</v>
      </c>
      <c r="R263" s="44" t="s">
        <v>10</v>
      </c>
    </row>
    <row r="264" spans="1:18" x14ac:dyDescent="0.2">
      <c r="A264" s="4" t="s">
        <v>61</v>
      </c>
      <c r="B264" s="66">
        <v>100.90233358555139</v>
      </c>
      <c r="C264" s="66">
        <v>100.81768263459925</v>
      </c>
      <c r="D264" s="66">
        <v>100.76119142894228</v>
      </c>
      <c r="E264" s="66">
        <v>100.65859550558088</v>
      </c>
      <c r="F264" s="66">
        <v>100.51404676463567</v>
      </c>
      <c r="G264" s="66">
        <v>100.42115237751896</v>
      </c>
      <c r="H264" s="66">
        <v>100.42115237751896</v>
      </c>
      <c r="I264" s="66">
        <v>100.42115237751896</v>
      </c>
      <c r="J264" s="66">
        <v>100.42698792642568</v>
      </c>
      <c r="K264" s="66">
        <v>99.669297895774861</v>
      </c>
      <c r="L264" s="66">
        <v>100</v>
      </c>
      <c r="M264" s="66">
        <v>100</v>
      </c>
      <c r="N264" s="66">
        <f t="shared" si="29"/>
        <v>100.41779940617225</v>
      </c>
      <c r="R264" s="50" t="s">
        <v>54</v>
      </c>
    </row>
    <row r="265" spans="1:18" ht="25.5" x14ac:dyDescent="0.2">
      <c r="A265" s="3" t="s">
        <v>62</v>
      </c>
      <c r="B265" s="66">
        <v>96.584372736915128</v>
      </c>
      <c r="C265" s="66">
        <v>98.638265528768997</v>
      </c>
      <c r="D265" s="66">
        <v>97.927925660659184</v>
      </c>
      <c r="E265" s="66">
        <v>97.925949854840724</v>
      </c>
      <c r="F265" s="66">
        <v>99.420251057896607</v>
      </c>
      <c r="G265" s="66">
        <v>100.1280648743664</v>
      </c>
      <c r="H265" s="66">
        <v>100.24824648707933</v>
      </c>
      <c r="I265" s="66">
        <v>99.377216715935901</v>
      </c>
      <c r="J265" s="66">
        <v>99.377216715935901</v>
      </c>
      <c r="K265" s="66">
        <v>99.505343709545954</v>
      </c>
      <c r="L265" s="66">
        <v>100</v>
      </c>
      <c r="M265" s="66">
        <v>100.00295678160533</v>
      </c>
      <c r="N265" s="66">
        <f t="shared" si="29"/>
        <v>99.094650843629111</v>
      </c>
      <c r="R265" s="44" t="s">
        <v>11</v>
      </c>
    </row>
    <row r="266" spans="1:18" x14ac:dyDescent="0.2">
      <c r="A266" s="5" t="s">
        <v>12</v>
      </c>
      <c r="B266" s="66">
        <v>98.538890590514995</v>
      </c>
      <c r="C266" s="66">
        <v>98.914896427990001</v>
      </c>
      <c r="D266" s="66">
        <v>99.848494171614888</v>
      </c>
      <c r="E266" s="66">
        <v>99.583157087584738</v>
      </c>
      <c r="F266" s="66">
        <v>99.583157087584738</v>
      </c>
      <c r="G266" s="66">
        <v>99.583157087584738</v>
      </c>
      <c r="H266" s="66">
        <v>99.583157087584738</v>
      </c>
      <c r="I266" s="66">
        <v>99.583157087584738</v>
      </c>
      <c r="J266" s="66">
        <v>99.583157087584738</v>
      </c>
      <c r="K266" s="66">
        <v>99.608523061111327</v>
      </c>
      <c r="L266" s="66">
        <v>100</v>
      </c>
      <c r="M266" s="66">
        <v>103.08436388211966</v>
      </c>
      <c r="N266" s="66">
        <f>AVERAGE(B266:M266)</f>
        <v>99.791175888238286</v>
      </c>
      <c r="R266" s="44" t="s">
        <v>13</v>
      </c>
    </row>
    <row r="267" spans="1:18" x14ac:dyDescent="0.2">
      <c r="A267" s="5" t="s">
        <v>63</v>
      </c>
      <c r="B267" s="66">
        <v>92.403864348586211</v>
      </c>
      <c r="C267" s="66">
        <v>93.055463923231557</v>
      </c>
      <c r="D267" s="66">
        <v>94.600384918312869</v>
      </c>
      <c r="E267" s="66">
        <v>94.708884255295345</v>
      </c>
      <c r="F267" s="66">
        <v>97.146607330988914</v>
      </c>
      <c r="G267" s="66">
        <v>100.31616634137583</v>
      </c>
      <c r="H267" s="66">
        <v>100.6509811282706</v>
      </c>
      <c r="I267" s="66">
        <v>100.05151556243921</v>
      </c>
      <c r="J267" s="66">
        <v>99.999824836285228</v>
      </c>
      <c r="K267" s="66">
        <v>100</v>
      </c>
      <c r="L267" s="66">
        <v>100</v>
      </c>
      <c r="M267" s="66">
        <v>100.77953406628663</v>
      </c>
      <c r="N267" s="66">
        <f t="shared" ref="N267:N273" si="30">AVERAGE(B267:M267)</f>
        <v>97.809435559256045</v>
      </c>
      <c r="R267" s="44" t="s">
        <v>14</v>
      </c>
    </row>
    <row r="268" spans="1:18" x14ac:dyDescent="0.2">
      <c r="A268" s="5" t="s">
        <v>64</v>
      </c>
      <c r="B268" s="66">
        <v>103.35996842755399</v>
      </c>
      <c r="C268" s="66">
        <v>102.882884627408</v>
      </c>
      <c r="D268" s="66">
        <v>102.9648778052793</v>
      </c>
      <c r="E268" s="66">
        <v>102.94465532021593</v>
      </c>
      <c r="F268" s="66">
        <v>103.73475730266344</v>
      </c>
      <c r="G268" s="66">
        <v>101.7833370557876</v>
      </c>
      <c r="H268" s="66">
        <v>100.52399133463716</v>
      </c>
      <c r="I268" s="66">
        <v>100.17969676251627</v>
      </c>
      <c r="J268" s="66">
        <v>100.29533603581309</v>
      </c>
      <c r="K268" s="66">
        <v>100.27111121582857</v>
      </c>
      <c r="L268" s="66">
        <v>100</v>
      </c>
      <c r="M268" s="66">
        <v>98.207389454652073</v>
      </c>
      <c r="N268" s="66">
        <f t="shared" si="30"/>
        <v>101.42900044519627</v>
      </c>
      <c r="R268" s="44" t="s">
        <v>15</v>
      </c>
    </row>
    <row r="269" spans="1:18" x14ac:dyDescent="0.2">
      <c r="A269" s="3" t="s">
        <v>65</v>
      </c>
      <c r="B269" s="66">
        <v>100.30382080290782</v>
      </c>
      <c r="C269" s="66">
        <v>100.06532786877646</v>
      </c>
      <c r="D269" s="66">
        <v>100.4864662881516</v>
      </c>
      <c r="E269" s="66">
        <v>100.30704974820148</v>
      </c>
      <c r="F269" s="66">
        <v>100.30704974820148</v>
      </c>
      <c r="G269" s="66">
        <v>100.30704974820148</v>
      </c>
      <c r="H269" s="66">
        <v>100.30704974820148</v>
      </c>
      <c r="I269" s="66">
        <v>100.30704974820148</v>
      </c>
      <c r="J269" s="66">
        <v>100.30704974820148</v>
      </c>
      <c r="K269" s="66">
        <v>100.30704974820148</v>
      </c>
      <c r="L269" s="66">
        <v>100</v>
      </c>
      <c r="M269" s="66">
        <v>99.990459446411606</v>
      </c>
      <c r="N269" s="66">
        <f t="shared" si="30"/>
        <v>100.24961855363819</v>
      </c>
      <c r="R269" s="45" t="s">
        <v>16</v>
      </c>
    </row>
    <row r="270" spans="1:18" x14ac:dyDescent="0.2">
      <c r="A270" s="4" t="s">
        <v>66</v>
      </c>
      <c r="B270" s="66">
        <v>97.429708706604018</v>
      </c>
      <c r="C270" s="66">
        <v>97.429708706604018</v>
      </c>
      <c r="D270" s="66">
        <v>97.429708706604018</v>
      </c>
      <c r="E270" s="66">
        <v>97.429708706604018</v>
      </c>
      <c r="F270" s="66">
        <v>97.429708706604018</v>
      </c>
      <c r="G270" s="66">
        <v>97.429708706604018</v>
      </c>
      <c r="H270" s="66">
        <v>97.429708706604018</v>
      </c>
      <c r="I270" s="66">
        <v>100</v>
      </c>
      <c r="J270" s="66">
        <v>100</v>
      </c>
      <c r="K270" s="66">
        <v>100</v>
      </c>
      <c r="L270" s="66">
        <v>100</v>
      </c>
      <c r="M270" s="66">
        <v>104.0537477226346</v>
      </c>
      <c r="N270" s="66">
        <f t="shared" si="30"/>
        <v>98.838475722405235</v>
      </c>
      <c r="R270" s="45" t="s">
        <v>17</v>
      </c>
    </row>
    <row r="271" spans="1:18" x14ac:dyDescent="0.2">
      <c r="A271" s="4" t="s">
        <v>67</v>
      </c>
      <c r="B271" s="66">
        <v>99.929220948624319</v>
      </c>
      <c r="C271" s="66">
        <v>99.935210721843603</v>
      </c>
      <c r="D271" s="66">
        <v>99.906974243542408</v>
      </c>
      <c r="E271" s="66">
        <v>99.999077551725776</v>
      </c>
      <c r="F271" s="66">
        <v>99.999077551725776</v>
      </c>
      <c r="G271" s="66">
        <v>99.999077551725776</v>
      </c>
      <c r="H271" s="66">
        <v>99.999077551725776</v>
      </c>
      <c r="I271" s="66">
        <v>99.999077551725776</v>
      </c>
      <c r="J271" s="66">
        <v>100</v>
      </c>
      <c r="K271" s="66">
        <v>100</v>
      </c>
      <c r="L271" s="66">
        <v>100</v>
      </c>
      <c r="M271" s="66">
        <v>100.34508207765191</v>
      </c>
      <c r="N271" s="66">
        <f t="shared" si="30"/>
        <v>100.00932297919094</v>
      </c>
      <c r="R271" s="45" t="s">
        <v>18</v>
      </c>
    </row>
    <row r="272" spans="1:18" ht="17.25" x14ac:dyDescent="0.2">
      <c r="A272" s="4" t="s">
        <v>68</v>
      </c>
      <c r="B272" s="66">
        <v>100</v>
      </c>
      <c r="C272" s="66">
        <v>100</v>
      </c>
      <c r="D272" s="66">
        <v>100</v>
      </c>
      <c r="E272" s="66">
        <v>100</v>
      </c>
      <c r="F272" s="66">
        <v>100</v>
      </c>
      <c r="G272" s="66">
        <v>100</v>
      </c>
      <c r="H272" s="66">
        <v>100</v>
      </c>
      <c r="I272" s="66">
        <v>100</v>
      </c>
      <c r="J272" s="66">
        <v>100</v>
      </c>
      <c r="K272" s="66">
        <v>100</v>
      </c>
      <c r="L272" s="66">
        <v>100</v>
      </c>
      <c r="M272" s="66">
        <v>100</v>
      </c>
      <c r="N272" s="66">
        <f t="shared" si="30"/>
        <v>100</v>
      </c>
      <c r="R272" s="42" t="s">
        <v>70</v>
      </c>
    </row>
    <row r="273" spans="1:18" ht="25.5" x14ac:dyDescent="0.2">
      <c r="A273" s="3" t="s">
        <v>69</v>
      </c>
      <c r="B273" s="66">
        <v>96.193764112540805</v>
      </c>
      <c r="C273" s="66">
        <v>98.579851245267918</v>
      </c>
      <c r="D273" s="66">
        <v>98.181578392413655</v>
      </c>
      <c r="E273" s="66">
        <v>98.494693554535999</v>
      </c>
      <c r="F273" s="66">
        <v>97.95670396583651</v>
      </c>
      <c r="G273" s="66">
        <v>98.188538874049158</v>
      </c>
      <c r="H273" s="66">
        <v>98.675789391184921</v>
      </c>
      <c r="I273" s="66">
        <v>98.849561386785965</v>
      </c>
      <c r="J273" s="66">
        <v>98.809086420177934</v>
      </c>
      <c r="K273" s="66">
        <v>99.296323736951535</v>
      </c>
      <c r="L273" s="66">
        <v>100</v>
      </c>
      <c r="M273" s="66">
        <v>100.93153976846163</v>
      </c>
      <c r="N273" s="66">
        <f t="shared" si="30"/>
        <v>98.67978590401718</v>
      </c>
      <c r="R273" s="45" t="s">
        <v>19</v>
      </c>
    </row>
    <row r="274" spans="1:18" x14ac:dyDescent="0.2">
      <c r="A274" s="6" t="s">
        <v>20</v>
      </c>
      <c r="B274" s="68">
        <v>97.828421573715033</v>
      </c>
      <c r="C274" s="68">
        <v>98.233535223452947</v>
      </c>
      <c r="D274" s="68">
        <v>98.420876712381684</v>
      </c>
      <c r="E274" s="68">
        <v>98.469778024456261</v>
      </c>
      <c r="F274" s="68">
        <v>99.327403603820088</v>
      </c>
      <c r="G274" s="68">
        <v>99.658949961100134</v>
      </c>
      <c r="H274" s="68">
        <v>99.818903051901685</v>
      </c>
      <c r="I274" s="68">
        <v>100.03687971150563</v>
      </c>
      <c r="J274" s="68">
        <v>100.21988434716123</v>
      </c>
      <c r="K274" s="68">
        <v>100.07080371582366</v>
      </c>
      <c r="L274" s="68">
        <v>100</v>
      </c>
      <c r="M274" s="68">
        <v>100.4119554124222</v>
      </c>
      <c r="N274" s="68">
        <f>AVERAGE(B274:M274)</f>
        <v>99.374782611478395</v>
      </c>
      <c r="R274" s="46" t="s">
        <v>21</v>
      </c>
    </row>
    <row r="275" spans="1:18" x14ac:dyDescent="0.2">
      <c r="A275" s="7" t="s">
        <v>22</v>
      </c>
      <c r="B275" s="69">
        <v>98.02336856846145</v>
      </c>
      <c r="C275" s="69">
        <v>98.440120231059979</v>
      </c>
      <c r="D275" s="69">
        <v>98.620972336405501</v>
      </c>
      <c r="E275" s="69">
        <v>98.610813263032213</v>
      </c>
      <c r="F275" s="69">
        <v>99.289439367680615</v>
      </c>
      <c r="G275" s="69">
        <v>99.54270048086471</v>
      </c>
      <c r="H275" s="69">
        <v>99.638810671303204</v>
      </c>
      <c r="I275" s="69">
        <v>100.00928353978227</v>
      </c>
      <c r="J275" s="69">
        <v>100.03417517701001</v>
      </c>
      <c r="K275" s="69">
        <v>99.796548693197579</v>
      </c>
      <c r="L275" s="69">
        <v>100</v>
      </c>
      <c r="M275" s="69">
        <v>100.39042973305241</v>
      </c>
      <c r="N275" s="69">
        <f t="shared" ref="N275" si="31">AVERAGE(B275:M275)</f>
        <v>99.366388505154148</v>
      </c>
      <c r="O275" s="21"/>
      <c r="P275" s="21"/>
      <c r="Q275" s="21"/>
      <c r="R275" s="47" t="s">
        <v>23</v>
      </c>
    </row>
    <row r="276" spans="1:18" x14ac:dyDescent="0.35"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</row>
    <row r="277" spans="1:18" ht="15" x14ac:dyDescent="0.35">
      <c r="A277" s="31"/>
      <c r="B277" s="63"/>
      <c r="C277" s="63"/>
      <c r="D277" s="63"/>
      <c r="E277" s="63"/>
      <c r="F277" s="64"/>
      <c r="G277" s="63"/>
      <c r="H277" s="63"/>
      <c r="I277" s="39"/>
      <c r="J277" s="39"/>
      <c r="K277" s="39"/>
      <c r="L277" s="39"/>
      <c r="M277" s="32"/>
      <c r="N277" s="39"/>
    </row>
    <row r="278" spans="1:18" ht="15" x14ac:dyDescent="0.2">
      <c r="A278" s="34" t="s">
        <v>51</v>
      </c>
      <c r="B278" s="23" t="s">
        <v>87</v>
      </c>
      <c r="C278" s="24"/>
      <c r="D278" s="24"/>
      <c r="E278" s="23"/>
      <c r="F278" s="11"/>
      <c r="G278" s="25"/>
      <c r="H278" s="26"/>
      <c r="I278" s="26"/>
      <c r="J278" s="26"/>
      <c r="K278" s="26"/>
      <c r="L278" s="26"/>
      <c r="M278" s="25"/>
      <c r="N278" s="48" t="s">
        <v>88</v>
      </c>
      <c r="O278" s="10"/>
      <c r="P278" s="10"/>
      <c r="Q278" s="10"/>
      <c r="R278" s="51" t="s">
        <v>50</v>
      </c>
    </row>
    <row r="279" spans="1:18" x14ac:dyDescent="0.2">
      <c r="A279" s="27" t="s">
        <v>56</v>
      </c>
      <c r="B279" s="52" t="s">
        <v>25</v>
      </c>
      <c r="C279" s="52" t="s">
        <v>26</v>
      </c>
      <c r="D279" s="52" t="s">
        <v>27</v>
      </c>
      <c r="E279" s="52" t="s">
        <v>28</v>
      </c>
      <c r="F279" s="52" t="s">
        <v>29</v>
      </c>
      <c r="G279" s="53" t="s">
        <v>30</v>
      </c>
      <c r="H279" s="53" t="s">
        <v>31</v>
      </c>
      <c r="I279" s="53" t="s">
        <v>32</v>
      </c>
      <c r="J279" s="53" t="s">
        <v>33</v>
      </c>
      <c r="K279" s="53" t="s">
        <v>34</v>
      </c>
      <c r="L279" s="53" t="s">
        <v>35</v>
      </c>
      <c r="M279" s="53" t="s">
        <v>36</v>
      </c>
      <c r="N279" s="65" t="s">
        <v>37</v>
      </c>
      <c r="R279" s="46" t="s">
        <v>57</v>
      </c>
    </row>
    <row r="280" spans="1:18" x14ac:dyDescent="0.35">
      <c r="A280" s="35"/>
      <c r="B280" s="56" t="s">
        <v>38</v>
      </c>
      <c r="C280" s="57" t="s">
        <v>39</v>
      </c>
      <c r="D280" s="57" t="s">
        <v>40</v>
      </c>
      <c r="E280" s="57" t="s">
        <v>41</v>
      </c>
      <c r="F280" s="57" t="s">
        <v>42</v>
      </c>
      <c r="G280" s="57" t="s">
        <v>43</v>
      </c>
      <c r="H280" s="57" t="s">
        <v>44</v>
      </c>
      <c r="I280" s="57" t="s">
        <v>45</v>
      </c>
      <c r="J280" s="57" t="s">
        <v>46</v>
      </c>
      <c r="K280" s="57" t="s">
        <v>47</v>
      </c>
      <c r="L280" s="57" t="s">
        <v>48</v>
      </c>
      <c r="M280" s="57" t="s">
        <v>49</v>
      </c>
      <c r="N280" s="58" t="s">
        <v>53</v>
      </c>
      <c r="O280" s="21"/>
      <c r="P280" s="21"/>
      <c r="Q280" s="21"/>
      <c r="R280" s="62"/>
    </row>
    <row r="281" spans="1:18" x14ac:dyDescent="0.2">
      <c r="A281" s="3" t="s">
        <v>2</v>
      </c>
      <c r="B281" s="66">
        <v>95.099891259922614</v>
      </c>
      <c r="C281" s="66">
        <v>95.297693366034366</v>
      </c>
      <c r="D281" s="66">
        <v>95.985170309576873</v>
      </c>
      <c r="E281" s="66">
        <v>97.666894068910537</v>
      </c>
      <c r="F281" s="66">
        <v>97.488103435174281</v>
      </c>
      <c r="G281" s="66">
        <v>98.309645055625978</v>
      </c>
      <c r="H281" s="66">
        <v>98.662227205216141</v>
      </c>
      <c r="I281" s="66">
        <v>99.851007542629191</v>
      </c>
      <c r="J281" s="66">
        <v>99.61988890593031</v>
      </c>
      <c r="K281" s="66">
        <v>99.593957578749155</v>
      </c>
      <c r="L281" s="66">
        <v>100</v>
      </c>
      <c r="M281" s="66">
        <v>100.78316834855094</v>
      </c>
      <c r="N281" s="66">
        <f t="shared" ref="N281" si="32">AVERAGE(B281:M281)</f>
        <v>98.196470589693376</v>
      </c>
      <c r="R281" s="44" t="s">
        <v>3</v>
      </c>
    </row>
    <row r="282" spans="1:18" x14ac:dyDescent="0.2">
      <c r="A282" s="3" t="s">
        <v>4</v>
      </c>
      <c r="B282" s="66">
        <v>94.928788235842646</v>
      </c>
      <c r="C282" s="66">
        <v>95.009986371055504</v>
      </c>
      <c r="D282" s="66">
        <v>95.476707746181006</v>
      </c>
      <c r="E282" s="66">
        <v>97.121893772953882</v>
      </c>
      <c r="F282" s="66">
        <v>96.374144324266112</v>
      </c>
      <c r="G282" s="66">
        <v>96.394556892749179</v>
      </c>
      <c r="H282" s="66">
        <v>97.189452466186665</v>
      </c>
      <c r="I282" s="66">
        <v>98.422618207142023</v>
      </c>
      <c r="J282" s="66">
        <v>98.737529454546618</v>
      </c>
      <c r="K282" s="66">
        <v>98.26806949798916</v>
      </c>
      <c r="L282" s="66">
        <v>100</v>
      </c>
      <c r="M282" s="66">
        <v>101.31506856921789</v>
      </c>
      <c r="N282" s="66">
        <f>AVERAGE(B282:M282)</f>
        <v>97.436567961510889</v>
      </c>
      <c r="R282" s="44" t="s">
        <v>5</v>
      </c>
    </row>
    <row r="283" spans="1:18" x14ac:dyDescent="0.2">
      <c r="A283" s="4" t="s">
        <v>6</v>
      </c>
      <c r="B283" s="66">
        <v>95.844918712013879</v>
      </c>
      <c r="C283" s="66">
        <v>96.550445095996267</v>
      </c>
      <c r="D283" s="66">
        <v>98.199149694964618</v>
      </c>
      <c r="E283" s="66">
        <v>100.0399683267666</v>
      </c>
      <c r="F283" s="66">
        <v>102.33857362759906</v>
      </c>
      <c r="G283" s="66">
        <v>106.64844129952624</v>
      </c>
      <c r="H283" s="66">
        <v>105.07507477014575</v>
      </c>
      <c r="I283" s="66">
        <v>106.07058941696708</v>
      </c>
      <c r="J283" s="66">
        <v>103.46191342553006</v>
      </c>
      <c r="K283" s="66">
        <v>105.36722210097614</v>
      </c>
      <c r="L283" s="66">
        <v>100</v>
      </c>
      <c r="M283" s="66">
        <v>98.77727033081743</v>
      </c>
      <c r="N283" s="66">
        <f t="shared" ref="N283:N293" si="33">AVERAGE(B283:M283)</f>
        <v>101.53113056677525</v>
      </c>
      <c r="R283" s="44" t="s">
        <v>7</v>
      </c>
    </row>
    <row r="284" spans="1:18" x14ac:dyDescent="0.2">
      <c r="A284" s="4" t="s">
        <v>8</v>
      </c>
      <c r="B284" s="66">
        <v>100.6253880943061</v>
      </c>
      <c r="C284" s="66">
        <v>100.97050146500482</v>
      </c>
      <c r="D284" s="66">
        <v>100.90514886528518</v>
      </c>
      <c r="E284" s="66">
        <v>101.01617122580447</v>
      </c>
      <c r="F284" s="66">
        <v>101.0504665524645</v>
      </c>
      <c r="G284" s="66">
        <v>100.92087669123453</v>
      </c>
      <c r="H284" s="66">
        <v>100.85664451304251</v>
      </c>
      <c r="I284" s="66">
        <v>100.85664451304251</v>
      </c>
      <c r="J284" s="66">
        <v>100.77826300047872</v>
      </c>
      <c r="K284" s="66">
        <v>100.32766525675308</v>
      </c>
      <c r="L284" s="66">
        <v>100</v>
      </c>
      <c r="M284" s="66">
        <v>99.660837574606347</v>
      </c>
      <c r="N284" s="66">
        <f t="shared" si="33"/>
        <v>100.6640506460019</v>
      </c>
      <c r="R284" s="44" t="s">
        <v>24</v>
      </c>
    </row>
    <row r="285" spans="1:18" x14ac:dyDescent="0.2">
      <c r="A285" s="4" t="s">
        <v>59</v>
      </c>
      <c r="B285" s="66">
        <v>99.84715878065073</v>
      </c>
      <c r="C285" s="66">
        <v>99.85679045082577</v>
      </c>
      <c r="D285" s="66">
        <v>99.626735398824081</v>
      </c>
      <c r="E285" s="66">
        <v>99.657391418575386</v>
      </c>
      <c r="F285" s="66">
        <v>99.502376663707111</v>
      </c>
      <c r="G285" s="66">
        <v>99.502376663707111</v>
      </c>
      <c r="H285" s="66">
        <v>100.11614120220196</v>
      </c>
      <c r="I285" s="66">
        <v>100.11614120220196</v>
      </c>
      <c r="J285" s="66">
        <v>99.119907479090088</v>
      </c>
      <c r="K285" s="66">
        <v>100.16972069768147</v>
      </c>
      <c r="L285" s="66">
        <v>100</v>
      </c>
      <c r="M285" s="66">
        <v>100.2739334219187</v>
      </c>
      <c r="N285" s="66">
        <f t="shared" si="33"/>
        <v>99.815722781615364</v>
      </c>
      <c r="R285" s="44" t="s">
        <v>9</v>
      </c>
    </row>
    <row r="286" spans="1:18" x14ac:dyDescent="0.2">
      <c r="A286" s="4" t="s">
        <v>60</v>
      </c>
      <c r="B286" s="66">
        <v>98.249096305988942</v>
      </c>
      <c r="C286" s="66">
        <v>99.087039022784239</v>
      </c>
      <c r="D286" s="66">
        <v>99.055340590152852</v>
      </c>
      <c r="E286" s="66">
        <v>99.03846564163085</v>
      </c>
      <c r="F286" s="66">
        <v>99.251987580830715</v>
      </c>
      <c r="G286" s="66">
        <v>99.687369094423644</v>
      </c>
      <c r="H286" s="66">
        <v>99.770128290848362</v>
      </c>
      <c r="I286" s="66">
        <v>99.840662531302982</v>
      </c>
      <c r="J286" s="66">
        <v>99.884753476448452</v>
      </c>
      <c r="K286" s="66">
        <v>99.933036264058174</v>
      </c>
      <c r="L286" s="66">
        <v>100</v>
      </c>
      <c r="M286" s="66">
        <v>99.929168117357705</v>
      </c>
      <c r="N286" s="66">
        <f t="shared" si="33"/>
        <v>99.477253909652248</v>
      </c>
      <c r="R286" s="44" t="s">
        <v>10</v>
      </c>
    </row>
    <row r="287" spans="1:18" x14ac:dyDescent="0.2">
      <c r="A287" s="4" t="s">
        <v>61</v>
      </c>
      <c r="B287" s="66">
        <v>100.90233353223574</v>
      </c>
      <c r="C287" s="66">
        <v>100.81768256895826</v>
      </c>
      <c r="D287" s="66">
        <v>100.76119136448793</v>
      </c>
      <c r="E287" s="66">
        <v>100.6585954762905</v>
      </c>
      <c r="F287" s="66">
        <v>100.51404672589945</v>
      </c>
      <c r="G287" s="66">
        <v>100.42115238844656</v>
      </c>
      <c r="H287" s="66">
        <v>100.42115238844656</v>
      </c>
      <c r="I287" s="66">
        <v>100.42115238844656</v>
      </c>
      <c r="J287" s="66">
        <v>100.42698794295805</v>
      </c>
      <c r="K287" s="66">
        <v>99.66929783814426</v>
      </c>
      <c r="L287" s="66">
        <v>100</v>
      </c>
      <c r="M287" s="66">
        <v>100</v>
      </c>
      <c r="N287" s="66">
        <f t="shared" si="33"/>
        <v>100.41779938452616</v>
      </c>
      <c r="R287" s="50" t="s">
        <v>58</v>
      </c>
    </row>
    <row r="288" spans="1:18" ht="25.5" x14ac:dyDescent="0.2">
      <c r="A288" s="3" t="s">
        <v>62</v>
      </c>
      <c r="B288" s="66">
        <v>97.329390875906086</v>
      </c>
      <c r="C288" s="66">
        <v>97.472958339654994</v>
      </c>
      <c r="D288" s="66">
        <v>97.551972724597221</v>
      </c>
      <c r="E288" s="66">
        <v>98.124998180678034</v>
      </c>
      <c r="F288" s="66">
        <v>97.814105310906314</v>
      </c>
      <c r="G288" s="66">
        <v>98.08489323777539</v>
      </c>
      <c r="H288" s="66">
        <v>99.031850762143321</v>
      </c>
      <c r="I288" s="66">
        <v>98.968844525052162</v>
      </c>
      <c r="J288" s="66">
        <v>99.586358075816321</v>
      </c>
      <c r="K288" s="66">
        <v>99.665491860351665</v>
      </c>
      <c r="L288" s="66">
        <v>100</v>
      </c>
      <c r="M288" s="66">
        <v>103.23059940538532</v>
      </c>
      <c r="N288" s="66">
        <f t="shared" si="33"/>
        <v>98.905121941522239</v>
      </c>
      <c r="R288" s="44" t="s">
        <v>11</v>
      </c>
    </row>
    <row r="289" spans="1:18" x14ac:dyDescent="0.2">
      <c r="A289" s="5" t="s">
        <v>12</v>
      </c>
      <c r="B289" s="66">
        <v>99.160696902648553</v>
      </c>
      <c r="C289" s="66">
        <v>99.617662947637768</v>
      </c>
      <c r="D289" s="66">
        <v>99.617662947637768</v>
      </c>
      <c r="E289" s="66">
        <v>99.773929689123449</v>
      </c>
      <c r="F289" s="66">
        <v>99.773929689123449</v>
      </c>
      <c r="G289" s="66">
        <v>99.773929689123449</v>
      </c>
      <c r="H289" s="66">
        <v>99.773929689123449</v>
      </c>
      <c r="I289" s="66">
        <v>99.773929689123449</v>
      </c>
      <c r="J289" s="66">
        <v>99.773929689123449</v>
      </c>
      <c r="K289" s="66">
        <v>99.773929689123449</v>
      </c>
      <c r="L289" s="66">
        <v>100</v>
      </c>
      <c r="M289" s="66">
        <v>102.29567256656114</v>
      </c>
      <c r="N289" s="66">
        <f t="shared" si="33"/>
        <v>99.925766932362436</v>
      </c>
      <c r="R289" s="44" t="s">
        <v>13</v>
      </c>
    </row>
    <row r="290" spans="1:18" x14ac:dyDescent="0.2">
      <c r="A290" s="5" t="s">
        <v>63</v>
      </c>
      <c r="B290" s="66">
        <v>90.104859399918169</v>
      </c>
      <c r="C290" s="66">
        <v>90.365679611520832</v>
      </c>
      <c r="D290" s="66">
        <v>92.204022171599306</v>
      </c>
      <c r="E290" s="66">
        <v>92.236859506043018</v>
      </c>
      <c r="F290" s="66">
        <v>96.163104463391605</v>
      </c>
      <c r="G290" s="66">
        <v>100.018529463626</v>
      </c>
      <c r="H290" s="66">
        <v>100.39393060658534</v>
      </c>
      <c r="I290" s="66">
        <v>99.355832371762247</v>
      </c>
      <c r="J290" s="66">
        <v>100.13979657154889</v>
      </c>
      <c r="K290" s="66">
        <v>100.08735983909523</v>
      </c>
      <c r="L290" s="66">
        <v>100</v>
      </c>
      <c r="M290" s="66">
        <v>100.3863907245961</v>
      </c>
      <c r="N290" s="66">
        <f t="shared" si="33"/>
        <v>96.788030394140591</v>
      </c>
      <c r="R290" s="44" t="s">
        <v>14</v>
      </c>
    </row>
    <row r="291" spans="1:18" x14ac:dyDescent="0.2">
      <c r="A291" s="5" t="s">
        <v>64</v>
      </c>
      <c r="B291" s="66">
        <v>103.92245652340553</v>
      </c>
      <c r="C291" s="66">
        <v>103.51850294842238</v>
      </c>
      <c r="D291" s="66">
        <v>103.7468893429312</v>
      </c>
      <c r="E291" s="66">
        <v>103.56894111371587</v>
      </c>
      <c r="F291" s="66">
        <v>103.79655687348132</v>
      </c>
      <c r="G291" s="66">
        <v>101.74289354572478</v>
      </c>
      <c r="H291" s="66">
        <v>100.12543639888985</v>
      </c>
      <c r="I291" s="66">
        <v>100.12543639888985</v>
      </c>
      <c r="J291" s="66">
        <v>100.38723027169203</v>
      </c>
      <c r="K291" s="66">
        <v>100.33486173226125</v>
      </c>
      <c r="L291" s="66">
        <v>100</v>
      </c>
      <c r="M291" s="66">
        <v>98.298197510673219</v>
      </c>
      <c r="N291" s="66">
        <f t="shared" si="33"/>
        <v>101.63061688834061</v>
      </c>
      <c r="R291" s="44" t="s">
        <v>15</v>
      </c>
    </row>
    <row r="292" spans="1:18" x14ac:dyDescent="0.2">
      <c r="A292" s="3" t="s">
        <v>65</v>
      </c>
      <c r="B292" s="66">
        <v>98.76740810961158</v>
      </c>
      <c r="C292" s="66">
        <v>98.825199757373312</v>
      </c>
      <c r="D292" s="66">
        <v>98.825199757373312</v>
      </c>
      <c r="E292" s="66">
        <v>98.825199757373312</v>
      </c>
      <c r="F292" s="66">
        <v>98.807337504884302</v>
      </c>
      <c r="G292" s="66">
        <v>100</v>
      </c>
      <c r="H292" s="66">
        <v>100</v>
      </c>
      <c r="I292" s="66">
        <v>100</v>
      </c>
      <c r="J292" s="66">
        <v>100</v>
      </c>
      <c r="K292" s="66">
        <v>100</v>
      </c>
      <c r="L292" s="66">
        <v>100</v>
      </c>
      <c r="M292" s="66">
        <v>100.00441803856293</v>
      </c>
      <c r="N292" s="66">
        <f t="shared" si="33"/>
        <v>99.504563577098224</v>
      </c>
      <c r="R292" s="45" t="s">
        <v>16</v>
      </c>
    </row>
    <row r="293" spans="1:18" x14ac:dyDescent="0.2">
      <c r="A293" s="4" t="s">
        <v>66</v>
      </c>
      <c r="B293" s="66">
        <v>101.19780310923477</v>
      </c>
      <c r="C293" s="66">
        <v>101.19780310923477</v>
      </c>
      <c r="D293" s="66">
        <v>101.19780310923477</v>
      </c>
      <c r="E293" s="66">
        <v>101.19780310923477</v>
      </c>
      <c r="F293" s="66">
        <v>101.19780310923477</v>
      </c>
      <c r="G293" s="66">
        <v>101.19780310923477</v>
      </c>
      <c r="H293" s="66">
        <v>101.19780310923477</v>
      </c>
      <c r="I293" s="66">
        <v>101.25491325372651</v>
      </c>
      <c r="J293" s="66">
        <v>101.25491325372651</v>
      </c>
      <c r="K293" s="66">
        <v>101.25491325372651</v>
      </c>
      <c r="L293" s="66">
        <v>100</v>
      </c>
      <c r="M293" s="66">
        <v>100.46469068422795</v>
      </c>
      <c r="N293" s="66">
        <f t="shared" si="33"/>
        <v>101.05117101750422</v>
      </c>
      <c r="R293" s="45" t="s">
        <v>17</v>
      </c>
    </row>
    <row r="294" spans="1:18" x14ac:dyDescent="0.2">
      <c r="A294" s="4" t="s">
        <v>67</v>
      </c>
      <c r="B294" s="66">
        <v>97.815853054920765</v>
      </c>
      <c r="C294" s="66">
        <v>98.061308298918149</v>
      </c>
      <c r="D294" s="66">
        <v>98.061308298918149</v>
      </c>
      <c r="E294" s="66">
        <v>98.061308298918149</v>
      </c>
      <c r="F294" s="66">
        <v>98.244144632372283</v>
      </c>
      <c r="G294" s="66">
        <v>98.244144632372283</v>
      </c>
      <c r="H294" s="66">
        <v>98.244144632372283</v>
      </c>
      <c r="I294" s="66">
        <v>98.244144632372283</v>
      </c>
      <c r="J294" s="66">
        <v>100</v>
      </c>
      <c r="K294" s="66">
        <v>100</v>
      </c>
      <c r="L294" s="66">
        <v>100</v>
      </c>
      <c r="M294" s="66">
        <v>100.66381955653623</v>
      </c>
      <c r="N294" s="66">
        <f>AVERAGE(B294:M294)</f>
        <v>98.803348003141707</v>
      </c>
      <c r="O294" s="1"/>
      <c r="P294" s="1"/>
      <c r="Q294" s="1"/>
      <c r="R294" s="45" t="s">
        <v>18</v>
      </c>
    </row>
    <row r="295" spans="1:18" ht="17.25" x14ac:dyDescent="0.2">
      <c r="A295" s="4" t="s">
        <v>68</v>
      </c>
      <c r="B295" s="66">
        <v>100</v>
      </c>
      <c r="C295" s="66">
        <v>100</v>
      </c>
      <c r="D295" s="66">
        <v>100</v>
      </c>
      <c r="E295" s="66">
        <v>100</v>
      </c>
      <c r="F295" s="66">
        <v>100</v>
      </c>
      <c r="G295" s="66">
        <v>100</v>
      </c>
      <c r="H295" s="66">
        <v>100</v>
      </c>
      <c r="I295" s="66">
        <v>100</v>
      </c>
      <c r="J295" s="66">
        <v>100</v>
      </c>
      <c r="K295" s="66">
        <v>100</v>
      </c>
      <c r="L295" s="66">
        <v>100</v>
      </c>
      <c r="M295" s="66">
        <v>100</v>
      </c>
      <c r="N295" s="66">
        <f t="shared" ref="N295" si="34">AVERAGE(B295:M295)</f>
        <v>100</v>
      </c>
      <c r="O295" s="1"/>
      <c r="P295" s="1"/>
      <c r="Q295" s="1"/>
      <c r="R295" s="42" t="s">
        <v>70</v>
      </c>
    </row>
    <row r="296" spans="1:18" ht="25.5" x14ac:dyDescent="0.2">
      <c r="A296" s="3" t="s">
        <v>69</v>
      </c>
      <c r="B296" s="66">
        <v>98.943814177825786</v>
      </c>
      <c r="C296" s="66">
        <v>99.009234606835193</v>
      </c>
      <c r="D296" s="66">
        <v>99.092415651202046</v>
      </c>
      <c r="E296" s="66">
        <v>99.165226129806314</v>
      </c>
      <c r="F296" s="66">
        <v>99.169529996709286</v>
      </c>
      <c r="G296" s="66">
        <v>99.20106327139878</v>
      </c>
      <c r="H296" s="66">
        <v>99.246909413625318</v>
      </c>
      <c r="I296" s="66">
        <v>99.198507805979517</v>
      </c>
      <c r="J296" s="66">
        <v>99.278091630229</v>
      </c>
      <c r="K296" s="66">
        <v>99.209322009105875</v>
      </c>
      <c r="L296" s="66">
        <v>100</v>
      </c>
      <c r="M296" s="66">
        <v>100.41858331571684</v>
      </c>
      <c r="N296" s="66">
        <f>AVERAGE(B296:M296)</f>
        <v>99.327724834036175</v>
      </c>
      <c r="O296" s="1"/>
      <c r="P296" s="1"/>
      <c r="Q296" s="1"/>
      <c r="R296" s="45" t="s">
        <v>19</v>
      </c>
    </row>
    <row r="297" spans="1:18" x14ac:dyDescent="0.2">
      <c r="A297" s="6" t="s">
        <v>20</v>
      </c>
      <c r="B297" s="68">
        <v>97.199884259259264</v>
      </c>
      <c r="C297" s="68">
        <v>97.433327824526273</v>
      </c>
      <c r="D297" s="68">
        <v>97.837497617006704</v>
      </c>
      <c r="E297" s="68">
        <v>98.375452423490543</v>
      </c>
      <c r="F297" s="68">
        <v>98.763612073437429</v>
      </c>
      <c r="G297" s="68">
        <v>99.352148390029583</v>
      </c>
      <c r="H297" s="68">
        <v>99.483576481816726</v>
      </c>
      <c r="I297" s="68">
        <v>99.713012986213542</v>
      </c>
      <c r="J297" s="68">
        <v>99.836905004350058</v>
      </c>
      <c r="K297" s="68">
        <v>99.863407582968904</v>
      </c>
      <c r="L297" s="68">
        <v>100</v>
      </c>
      <c r="M297" s="68">
        <v>100.53134793003287</v>
      </c>
      <c r="N297" s="68">
        <f t="shared" ref="N297:N298" si="35">AVERAGE(B297:M297)</f>
        <v>99.032514381094316</v>
      </c>
      <c r="R297" s="46" t="s">
        <v>21</v>
      </c>
    </row>
    <row r="298" spans="1:18" x14ac:dyDescent="0.2">
      <c r="A298" s="7" t="s">
        <v>22</v>
      </c>
      <c r="B298" s="69">
        <v>97.276116528758337</v>
      </c>
      <c r="C298" s="69">
        <v>97.48299858252625</v>
      </c>
      <c r="D298" s="69">
        <v>97.817151162982924</v>
      </c>
      <c r="E298" s="69">
        <v>98.281807181662856</v>
      </c>
      <c r="F298" s="69">
        <v>98.562485644662942</v>
      </c>
      <c r="G298" s="69">
        <v>98.941660804653679</v>
      </c>
      <c r="H298" s="69">
        <v>99.169000208703793</v>
      </c>
      <c r="I298" s="69">
        <v>99.355337351439346</v>
      </c>
      <c r="J298" s="69">
        <v>99.632962951552159</v>
      </c>
      <c r="K298" s="69">
        <v>99.553764376497156</v>
      </c>
      <c r="L298" s="69">
        <v>100</v>
      </c>
      <c r="M298" s="69">
        <v>100.65435411682819</v>
      </c>
      <c r="N298" s="69">
        <f t="shared" si="35"/>
        <v>98.893969909188968</v>
      </c>
      <c r="O298" s="21"/>
      <c r="P298" s="21"/>
      <c r="Q298" s="21"/>
      <c r="R298" s="47" t="s">
        <v>23</v>
      </c>
    </row>
    <row r="299" spans="1:18" ht="17.25" x14ac:dyDescent="0.2">
      <c r="A299" s="43" t="s">
        <v>74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R299" s="42" t="s">
        <v>73</v>
      </c>
    </row>
  </sheetData>
  <mergeCells count="16">
    <mergeCell ref="A228:R228"/>
    <mergeCell ref="A229:R229"/>
    <mergeCell ref="A230:R230"/>
    <mergeCell ref="A152:R152"/>
    <mergeCell ref="A153:R153"/>
    <mergeCell ref="A154:R154"/>
    <mergeCell ref="A155:R155"/>
    <mergeCell ref="A227:R227"/>
    <mergeCell ref="A78:R78"/>
    <mergeCell ref="A79:R79"/>
    <mergeCell ref="A80:R80"/>
    <mergeCell ref="A1:R1"/>
    <mergeCell ref="A2:R2"/>
    <mergeCell ref="A3:R3"/>
    <mergeCell ref="A4:R4"/>
    <mergeCell ref="A77:R77"/>
  </mergeCells>
  <pageMargins left="0.7" right="0.7" top="0.75" bottom="0.75" header="0.3" footer="0.3"/>
  <pageSetup scale="1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2026-05-05T08:52:27Z</cp:lastPrinted>
  <dcterms:created xsi:type="dcterms:W3CDTF">2019-03-21T03:27:43Z</dcterms:created>
  <dcterms:modified xsi:type="dcterms:W3CDTF">2026-05-05T08:53:51Z</dcterms:modified>
</cp:coreProperties>
</file>