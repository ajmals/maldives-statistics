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17. Prices\"/>
    </mc:Choice>
  </mc:AlternateContent>
  <xr:revisionPtr revIDLastSave="0" documentId="13_ncr:1_{4788DFA4-DD78-4460-84A8-2A94D0CF649A}" xr6:coauthVersionLast="47" xr6:coauthVersionMax="47" xr10:uidLastSave="{00000000-0000-0000-0000-000000000000}"/>
  <bookViews>
    <workbookView xWindow="-120" yWindow="-120" windowWidth="29040" windowHeight="15720" tabRatio="793" xr2:uid="{00000000-000D-0000-FFFF-FFFF00000000}"/>
  </bookViews>
  <sheets>
    <sheet name="17.2" sheetId="2" r:id="rId1"/>
  </sheets>
  <externalReferences>
    <externalReference r:id="rId2"/>
  </externalReferences>
  <definedNames>
    <definedName name="_xlnm.Print_Area" localSheetId="0">'17.2'!$A$1:$Z$35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9" i="2" l="1"/>
  <c r="X8" i="2"/>
</calcChain>
</file>

<file path=xl/sharedStrings.xml><?xml version="1.0" encoding="utf-8"?>
<sst xmlns="http://schemas.openxmlformats.org/spreadsheetml/2006/main" count="73" uniqueCount="54">
  <si>
    <t>na</t>
  </si>
  <si>
    <t>Major Groups - Republic</t>
  </si>
  <si>
    <t>cSwa ejcaWr - cawtiawb uDnwgiawm</t>
  </si>
  <si>
    <t>Food and beverages including fish</t>
  </si>
  <si>
    <t xml:space="preserve"> cniaubIrWycawt iaWaWnWk</t>
  </si>
  <si>
    <t>Food and beverages excluding fish</t>
  </si>
  <si>
    <t>(Wnwmihuncswm) cniaubIrWycawt iaWaWnWk</t>
  </si>
  <si>
    <t>Fish Index</t>
  </si>
  <si>
    <t>uDnwgcnim eguhwm</t>
  </si>
  <si>
    <t xml:space="preserve">Tobacco and Aracanuts </t>
  </si>
  <si>
    <t>cnWviawf iaWTUb idwa unuawncnwa</t>
  </si>
  <si>
    <t>cawtctwvWb egulet idwa csEg ,uTcnwrwk ,cnef ,ilukegEg</t>
  </si>
  <si>
    <t xml:space="preserve"> ilukegEg</t>
  </si>
  <si>
    <t>cnurukctWmWrwm  iaWCcaekwt  ELugcneg Wfih ,cnixem,rwCInrwf</t>
  </si>
  <si>
    <t>Health</t>
  </si>
  <si>
    <t>ctwmcdiK IHcaiB</t>
  </si>
  <si>
    <t xml:space="preserve"> urutwfurutwd</t>
  </si>
  <si>
    <t>ctwmudiK ItWlwBWvum</t>
  </si>
  <si>
    <t>cawtcawtcnwk IfWqws iaWrwviLuk</t>
  </si>
  <si>
    <t>cmIluAwt</t>
  </si>
  <si>
    <t xml:space="preserve">  cTcnwrOTcser idwa Efek ,WToh</t>
  </si>
  <si>
    <t>ctwmcdiK iaWlwdum cnehinehea</t>
  </si>
  <si>
    <t>All groups CPI (Total)</t>
  </si>
  <si>
    <t>wlcmuj</t>
  </si>
  <si>
    <t>Total excluding fish</t>
  </si>
  <si>
    <t xml:space="preserve"> Wnwmihuncswm uDnwgcnim wlcmuj</t>
  </si>
  <si>
    <t>cawtctwvWb egumufud iaWtwfcnud</t>
  </si>
  <si>
    <t>Note:</t>
  </si>
  <si>
    <t>Prior to June 2004,  the food and non-beverages category includes tobacco &amp; narcotics category</t>
  </si>
  <si>
    <t>Prior to January 1996, the fish category seperately is not available</t>
  </si>
  <si>
    <t>Prior to June 2004, the transport category includes communication category</t>
  </si>
  <si>
    <t>Prior to June 2004, the recreation &amp; cultute category includes education category</t>
  </si>
  <si>
    <t xml:space="preserve">Prior to June 1996, the housing, water. Electricity, gas and other fuels category includes only rent </t>
  </si>
  <si>
    <t>na- Not available</t>
  </si>
  <si>
    <t>Clothing &amp; footwear</t>
  </si>
  <si>
    <t>Housing, water, electricity, gas &amp; other fuels</t>
  </si>
  <si>
    <t>Actual rentals for housing</t>
  </si>
  <si>
    <t>Furnishing, household equip., Carpets &amp; Other Floor covering</t>
  </si>
  <si>
    <t>Transport</t>
  </si>
  <si>
    <t>Information &amp; Communication</t>
  </si>
  <si>
    <t xml:space="preserve">Recreation, Sports &amp; culture </t>
  </si>
  <si>
    <t xml:space="preserve">Education Services                                             </t>
  </si>
  <si>
    <t>Restaurants and Accomodation services</t>
  </si>
  <si>
    <t>Insurance and Financial Services</t>
  </si>
  <si>
    <t>Personal Care, Social Protection and Miscellaneous goods and services</t>
  </si>
  <si>
    <t>އިންޝުއަރެންސް އަދި މާލީ ޚިދުމަތްތައް</t>
  </si>
  <si>
    <t>In 2019, base of index: Aug 2019=100, COICOP 2018 has been adopted in the rebased series</t>
  </si>
  <si>
    <t xml:space="preserve">Source:  Maldives  Bureau of Statistics   </t>
  </si>
  <si>
    <t>(Index - base: Nov 2022 =100)</t>
  </si>
  <si>
    <r>
      <t xml:space="preserve">(cnegiawlwbcSwa 100 IkwDnwgcnim eg </t>
    </r>
    <r>
      <rPr>
        <b/>
        <sz val="9"/>
        <color theme="1"/>
        <rFont val="Faruma"/>
      </rPr>
      <t>ނޮވެންބަރ</t>
    </r>
    <r>
      <rPr>
        <b/>
        <sz val="9"/>
        <color theme="1"/>
        <rFont val="A_Faseyha"/>
      </rPr>
      <t xml:space="preserve"> 2022 )</t>
    </r>
  </si>
  <si>
    <r>
      <t xml:space="preserve">Annual CPI     </t>
    </r>
    <r>
      <rPr>
        <b/>
        <sz val="9"/>
        <color theme="1"/>
        <rFont val="A_Faseyha"/>
      </rPr>
      <t xml:space="preserve">iawa.Ip.Is </t>
    </r>
  </si>
  <si>
    <t>Data have been revised fom 2022 onwards</t>
  </si>
  <si>
    <t>Table 17.2 :   CPI GROUPS, REPUBLIC,  2003 - 2025</t>
  </si>
  <si>
    <t>2025 - 2003 ,cSwaejcaWr ,uDnwgcnim egugwa egurWzWb : 17.2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</si>
</sst>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.0"/>
    <numFmt numFmtId="170" formatCode="0.00_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color theme="1"/>
      <name val="A_Randhoo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i/>
      <sz val="9"/>
      <color rgb="FF000000"/>
      <name val="Calibri"/>
      <family val="2"/>
    </font>
    <font>
      <i/>
      <sz val="9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A_Randhoo"/>
    </font>
    <font>
      <b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2"/>
      <color theme="1"/>
      <name val="A_Faseyha"/>
    </font>
    <font>
      <sz val="11"/>
      <color theme="1"/>
      <name val="A_Faseyha"/>
    </font>
    <font>
      <b/>
      <sz val="9"/>
      <color theme="1"/>
      <name val="A_Faseyha"/>
    </font>
    <font>
      <b/>
      <sz val="10"/>
      <color theme="1"/>
      <name val="A_Faseyha"/>
    </font>
    <font>
      <sz val="10"/>
      <color theme="1"/>
      <name val="Calibri"/>
      <family val="2"/>
      <scheme val="minor"/>
    </font>
    <font>
      <sz val="9"/>
      <color theme="1"/>
      <name val="A_Faseyha"/>
    </font>
    <font>
      <b/>
      <sz val="10"/>
      <color theme="1"/>
      <name val="Arial"/>
      <family val="2"/>
    </font>
    <font>
      <sz val="9"/>
      <color theme="1"/>
      <name val="Faruma"/>
    </font>
    <font>
      <sz val="9"/>
      <color theme="1"/>
      <name val="A_Randhoo"/>
    </font>
    <font>
      <b/>
      <sz val="9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</borders>
  <cellStyleXfs count="21">
    <xf numFmtId="0" fontId="0" fillId="0" borderId="0"/>
    <xf numFmtId="165" fontId="3" fillId="0" borderId="0"/>
    <xf numFmtId="0" fontId="6" fillId="0" borderId="0"/>
    <xf numFmtId="165" fontId="3" fillId="0" borderId="0"/>
    <xf numFmtId="165" fontId="3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14" fillId="0" borderId="0"/>
    <xf numFmtId="0" fontId="6" fillId="0" borderId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0" fontId="15" fillId="0" borderId="0"/>
    <xf numFmtId="9" fontId="6" fillId="0" borderId="0" applyFont="0" applyFill="0" applyBorder="0" applyAlignment="0" applyProtection="0"/>
    <xf numFmtId="0" fontId="1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4" fillId="0" borderId="0"/>
    <xf numFmtId="0" fontId="6" fillId="0" borderId="0"/>
    <xf numFmtId="0" fontId="6" fillId="0" borderId="0"/>
  </cellStyleXfs>
  <cellXfs count="57">
    <xf numFmtId="0" fontId="0" fillId="0" borderId="0" xfId="0"/>
    <xf numFmtId="165" fontId="4" fillId="2" borderId="0" xfId="1" applyFont="1" applyFill="1" applyAlignment="1">
      <alignment horizontal="center" vertical="center"/>
    </xf>
    <xf numFmtId="0" fontId="9" fillId="2" borderId="0" xfId="0" applyFont="1" applyFill="1"/>
    <xf numFmtId="0" fontId="9" fillId="2" borderId="0" xfId="2" applyFont="1" applyFill="1"/>
    <xf numFmtId="0" fontId="12" fillId="2" borderId="0" xfId="0" applyFont="1" applyFill="1"/>
    <xf numFmtId="0" fontId="12" fillId="2" borderId="0" xfId="0" applyFont="1" applyFill="1" applyAlignment="1">
      <alignment horizontal="left" vertical="center" indent="1"/>
    </xf>
    <xf numFmtId="0" fontId="13" fillId="2" borderId="0" xfId="0" applyFont="1" applyFill="1"/>
    <xf numFmtId="0" fontId="11" fillId="2" borderId="1" xfId="2" applyFont="1" applyFill="1" applyBorder="1" applyAlignment="1">
      <alignment horizontal="right" vertical="center"/>
    </xf>
    <xf numFmtId="165" fontId="8" fillId="2" borderId="0" xfId="1" applyFont="1" applyFill="1" applyAlignment="1">
      <alignment horizontal="left" vertical="center"/>
    </xf>
    <xf numFmtId="0" fontId="17" fillId="2" borderId="0" xfId="0" applyFont="1" applyFill="1"/>
    <xf numFmtId="165" fontId="20" fillId="2" borderId="0" xfId="4" applyFont="1" applyFill="1" applyAlignment="1">
      <alignment vertical="center" wrapText="1"/>
    </xf>
    <xf numFmtId="166" fontId="20" fillId="2" borderId="0" xfId="5" applyNumberFormat="1" applyFont="1" applyFill="1" applyAlignment="1">
      <alignment horizontal="right" vertical="center"/>
    </xf>
    <xf numFmtId="166" fontId="20" fillId="2" borderId="0" xfId="2" applyNumberFormat="1" applyFont="1" applyFill="1" applyAlignment="1">
      <alignment horizontal="right" vertical="center"/>
    </xf>
    <xf numFmtId="166" fontId="20" fillId="2" borderId="0" xfId="4" applyNumberFormat="1" applyFont="1" applyFill="1" applyAlignment="1">
      <alignment horizontal="right" vertical="center"/>
    </xf>
    <xf numFmtId="165" fontId="21" fillId="2" borderId="0" xfId="3" applyFont="1" applyFill="1" applyAlignment="1">
      <alignment horizontal="right" vertical="center"/>
    </xf>
    <xf numFmtId="0" fontId="9" fillId="2" borderId="0" xfId="2" applyFont="1" applyFill="1" applyAlignment="1">
      <alignment vertical="center"/>
    </xf>
    <xf numFmtId="165" fontId="20" fillId="2" borderId="0" xfId="4" applyFont="1" applyFill="1" applyAlignment="1">
      <alignment vertical="center"/>
    </xf>
    <xf numFmtId="165" fontId="21" fillId="2" borderId="0" xfId="3" applyFont="1" applyFill="1" applyAlignment="1">
      <alignment horizontal="right" vertical="center" indent="1"/>
    </xf>
    <xf numFmtId="0" fontId="20" fillId="2" borderId="0" xfId="5" applyFont="1" applyFill="1" applyAlignment="1">
      <alignment vertical="center"/>
    </xf>
    <xf numFmtId="165" fontId="21" fillId="2" borderId="0" xfId="1" applyFont="1" applyFill="1" applyAlignment="1">
      <alignment horizontal="right" vertical="center"/>
    </xf>
    <xf numFmtId="165" fontId="5" fillId="2" borderId="0" xfId="4" applyFont="1" applyFill="1" applyAlignment="1">
      <alignment vertical="center"/>
    </xf>
    <xf numFmtId="166" fontId="5" fillId="2" borderId="0" xfId="2" applyNumberFormat="1" applyFont="1" applyFill="1" applyAlignment="1">
      <alignment horizontal="right" vertical="center"/>
    </xf>
    <xf numFmtId="166" fontId="5" fillId="2" borderId="0" xfId="4" applyNumberFormat="1" applyFont="1" applyFill="1" applyAlignment="1">
      <alignment horizontal="right" vertical="center"/>
    </xf>
    <xf numFmtId="165" fontId="18" fillId="2" borderId="0" xfId="3" applyFont="1" applyFill="1" applyAlignment="1">
      <alignment horizontal="right" vertical="center"/>
    </xf>
    <xf numFmtId="0" fontId="22" fillId="2" borderId="0" xfId="2" applyFont="1" applyFill="1" applyAlignment="1">
      <alignment vertical="center"/>
    </xf>
    <xf numFmtId="165" fontId="11" fillId="2" borderId="0" xfId="1" applyFont="1" applyFill="1" applyAlignment="1">
      <alignment horizontal="center" vertical="center"/>
    </xf>
    <xf numFmtId="165" fontId="18" fillId="2" borderId="0" xfId="1" applyFont="1" applyFill="1" applyAlignment="1">
      <alignment horizontal="center" vertical="center"/>
    </xf>
    <xf numFmtId="165" fontId="10" fillId="2" borderId="0" xfId="3" applyFont="1" applyFill="1" applyAlignment="1">
      <alignment horizontal="right" vertical="center"/>
    </xf>
    <xf numFmtId="0" fontId="11" fillId="2" borderId="0" xfId="2" applyFont="1" applyFill="1" applyAlignment="1">
      <alignment horizontal="right" vertical="center"/>
    </xf>
    <xf numFmtId="0" fontId="1" fillId="2" borderId="0" xfId="0" applyFont="1" applyFill="1"/>
    <xf numFmtId="2" fontId="1" fillId="2" borderId="0" xfId="0" applyNumberFormat="1" applyFont="1" applyFill="1"/>
    <xf numFmtId="2" fontId="9" fillId="2" borderId="0" xfId="2" applyNumberFormat="1" applyFont="1" applyFill="1" applyAlignment="1">
      <alignment vertical="center"/>
    </xf>
    <xf numFmtId="165" fontId="23" fillId="2" borderId="0" xfId="1" applyFon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2" fontId="1" fillId="2" borderId="0" xfId="0" applyNumberFormat="1" applyFont="1" applyFill="1" applyAlignment="1">
      <alignment vertical="center"/>
    </xf>
    <xf numFmtId="165" fontId="5" fillId="2" borderId="1" xfId="4" applyFont="1" applyFill="1" applyBorder="1" applyAlignment="1">
      <alignment vertical="center"/>
    </xf>
    <xf numFmtId="166" fontId="5" fillId="2" borderId="1" xfId="4" applyNumberFormat="1" applyFont="1" applyFill="1" applyBorder="1" applyAlignment="1">
      <alignment horizontal="right" vertical="center"/>
    </xf>
    <xf numFmtId="165" fontId="18" fillId="2" borderId="1" xfId="1" applyFont="1" applyFill="1" applyBorder="1" applyAlignment="1">
      <alignment horizontal="right" vertical="center"/>
    </xf>
    <xf numFmtId="166" fontId="1" fillId="2" borderId="0" xfId="0" applyNumberFormat="1" applyFont="1" applyFill="1"/>
    <xf numFmtId="165" fontId="24" fillId="2" borderId="0" xfId="1" applyFont="1" applyFill="1" applyAlignment="1">
      <alignment horizontal="right" vertical="center"/>
    </xf>
    <xf numFmtId="2" fontId="5" fillId="2" borderId="0" xfId="4" applyNumberFormat="1" applyFont="1" applyFill="1" applyAlignment="1">
      <alignment horizontal="right" vertical="center"/>
    </xf>
    <xf numFmtId="2" fontId="5" fillId="2" borderId="1" xfId="4" applyNumberFormat="1" applyFont="1" applyFill="1" applyBorder="1" applyAlignment="1">
      <alignment horizontal="right" vertical="center"/>
    </xf>
    <xf numFmtId="0" fontId="7" fillId="2" borderId="0" xfId="0" applyFont="1" applyFill="1" applyAlignment="1">
      <alignment horizontal="left" vertical="center"/>
    </xf>
    <xf numFmtId="2" fontId="20" fillId="2" borderId="0" xfId="4" applyNumberFormat="1" applyFont="1" applyFill="1" applyAlignment="1">
      <alignment horizontal="right" vertical="center"/>
    </xf>
    <xf numFmtId="2" fontId="20" fillId="2" borderId="0" xfId="2" applyNumberFormat="1" applyFont="1" applyFill="1" applyAlignment="1">
      <alignment horizontal="right" vertical="center"/>
    </xf>
    <xf numFmtId="2" fontId="5" fillId="2" borderId="3" xfId="4" applyNumberFormat="1" applyFont="1" applyFill="1" applyBorder="1" applyAlignment="1">
      <alignment horizontal="right" vertical="center"/>
    </xf>
    <xf numFmtId="165" fontId="16" fillId="2" borderId="0" xfId="1" applyFont="1" applyFill="1" applyAlignment="1">
      <alignment horizontal="center" vertical="center"/>
    </xf>
    <xf numFmtId="0" fontId="2" fillId="2" borderId="0" xfId="0" applyFont="1" applyFill="1" applyAlignment="1">
      <alignment horizontal="center" wrapText="1"/>
    </xf>
    <xf numFmtId="165" fontId="11" fillId="2" borderId="1" xfId="1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left" vertical="center"/>
    </xf>
    <xf numFmtId="0" fontId="5" fillId="2" borderId="1" xfId="2" applyFont="1" applyFill="1" applyBorder="1" applyAlignment="1">
      <alignment horizontal="left" vertical="center"/>
    </xf>
    <xf numFmtId="0" fontId="19" fillId="2" borderId="2" xfId="2" applyFont="1" applyFill="1" applyBorder="1" applyAlignment="1">
      <alignment horizontal="right" vertical="center"/>
    </xf>
    <xf numFmtId="0" fontId="19" fillId="2" borderId="1" xfId="2" applyFont="1" applyFill="1" applyBorder="1" applyAlignment="1">
      <alignment horizontal="right" vertical="center"/>
    </xf>
    <xf numFmtId="165" fontId="4" fillId="2" borderId="0" xfId="1" applyFont="1" applyFill="1" applyAlignment="1">
      <alignment horizontal="center" vertical="center"/>
    </xf>
    <xf numFmtId="165" fontId="18" fillId="2" borderId="0" xfId="1" applyFont="1" applyFill="1" applyAlignment="1">
      <alignment horizontal="center" vertical="center" wrapText="1"/>
    </xf>
    <xf numFmtId="165" fontId="11" fillId="2" borderId="0" xfId="1" applyFont="1" applyFill="1" applyAlignment="1">
      <alignment horizontal="center" vertical="center"/>
    </xf>
    <xf numFmtId="0" fontId="11" fillId="2" borderId="4" xfId="2" applyFont="1" applyFill="1" applyBorder="1" applyAlignment="1">
      <alignment horizontal="center" vertical="center"/>
    </xf>
  </cellXfs>
  <cellStyles count="21">
    <cellStyle name="1" xfId="10" xr:uid="{00000000-0005-0000-0000-000000000000}"/>
    <cellStyle name="Comma 2" xfId="11" xr:uid="{00000000-0005-0000-0000-000001000000}"/>
    <cellStyle name="Comma 2 2" xfId="16" xr:uid="{00000000-0005-0000-0000-000002000000}"/>
    <cellStyle name="Comma 3" xfId="12" xr:uid="{00000000-0005-0000-0000-000003000000}"/>
    <cellStyle name="Comma 3 2" xfId="6" xr:uid="{00000000-0005-0000-0000-000004000000}"/>
    <cellStyle name="Normal" xfId="0" builtinId="0"/>
    <cellStyle name="Normal - Style1" xfId="13" xr:uid="{00000000-0005-0000-0000-000007000000}"/>
    <cellStyle name="Normal 2" xfId="15" xr:uid="{00000000-0005-0000-0000-000008000000}"/>
    <cellStyle name="Normal 3" xfId="7" xr:uid="{00000000-0005-0000-0000-000009000000}"/>
    <cellStyle name="Normal 4" xfId="8" xr:uid="{00000000-0005-0000-0000-00000A000000}"/>
    <cellStyle name="Normal 5" xfId="9" xr:uid="{00000000-0005-0000-0000-00000B000000}"/>
    <cellStyle name="Normal 5 2" xfId="19" xr:uid="{00000000-0005-0000-0000-00000C000000}"/>
    <cellStyle name="Normal 6" xfId="18" xr:uid="{00000000-0005-0000-0000-00000D000000}"/>
    <cellStyle name="Normal 6 2" xfId="20" xr:uid="{00000000-0005-0000-0000-00000E000000}"/>
    <cellStyle name="Normal_17 Prices_done" xfId="2" xr:uid="{00000000-0005-0000-0000-00000F000000}"/>
    <cellStyle name="Normal_CPI new tables" xfId="5" xr:uid="{00000000-0005-0000-0000-000010000000}"/>
    <cellStyle name="Normal_Dec97" xfId="4" xr:uid="{00000000-0005-0000-0000-000011000000}"/>
    <cellStyle name="Normal_XII-11(Commerce)" xfId="3" xr:uid="{00000000-0005-0000-0000-000013000000}"/>
    <cellStyle name="Normal_XII-12 (Commerce)" xfId="1" xr:uid="{00000000-0005-0000-0000-000014000000}"/>
    <cellStyle name="Percent 2" xfId="14" xr:uid="{00000000-0005-0000-0000-000015000000}"/>
    <cellStyle name="Percent 2 2" xfId="17" xr:uid="{00000000-0005-0000-0000-000016000000}"/>
  </cellStyles>
  <dxfs count="0"/>
  <tableStyles count="0" defaultTableStyle="TableStyleMedium2" defaultPivotStyle="PivotStyleLight16"/>
  <colors>
    <mruColors>
      <color rgb="FF003300"/>
      <color rgb="FFF4F9F1"/>
      <color rgb="FF2F75B5"/>
      <color rgb="FFFF3399"/>
      <color rgb="FF336600"/>
      <color rgb="FFD0F5F4"/>
      <color rgb="FF7E5400"/>
      <color rgb="FF003399"/>
      <color rgb="FFF2F2F2"/>
      <color rgb="FFAEAA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erver\ST2\PES\STI\CPI%20(consumer%20price%20index)\Census%20Server%20CPI\Rebasing%202022\Documentaion\Writeup\Tables\2025\Annual\Graphs%20&amp;%20tables%20used_annual%202025.xlsx" TargetMode="External"/><Relationship Id="rId1" Type="http://schemas.openxmlformats.org/officeDocument/2006/relationships/externalLinkPath" Target="file:///\\fileserver\ST2\PES\STI\CPI%20(consumer%20price%20index)\Census%20Server%20CPI\Rebasing%202022\Documentaion\Writeup\Tables\2025\Annual\Graphs%20&amp;%20tables%20used_annual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public data"/>
      <sheetName val="Chnages in rep."/>
      <sheetName val="Male"/>
      <sheetName val="Male,month on month &amp;monthly19"/>
      <sheetName val="ATOLLS"/>
      <sheetName val="ATOLLS Month on Month &amp; Monthly"/>
      <sheetName val="Index Total"/>
      <sheetName val="Annual 2024 product price"/>
      <sheetName val="annual 2025"/>
      <sheetName val="Inf rate selected major Rep2025"/>
      <sheetName val="Annual graph 2025"/>
      <sheetName val="Food n beverages graph 2025"/>
      <sheetName val="Major group  graph 2025"/>
      <sheetName val="Annual index &amp; inf CPI 2025"/>
      <sheetName val="Inflation &amp; Index table annual "/>
      <sheetName val="Republic 2025 monthly"/>
      <sheetName val="Male' 2025 monthly"/>
      <sheetName val="Atolls 2025monthly"/>
      <sheetName val="Table 4"/>
      <sheetName val="Table 5"/>
      <sheetName val="Table 6"/>
      <sheetName val="Inf rep"/>
      <sheetName val="Inf male"/>
      <sheetName val="Inf atoll"/>
      <sheetName val="Annual rep"/>
      <sheetName val="Annual male"/>
      <sheetName val="Annual Atoll"/>
    </sheetNames>
    <sheetDataSet>
      <sheetData sheetId="0">
        <row r="4">
          <cell r="GB4">
            <v>114.93655054067652</v>
          </cell>
        </row>
        <row r="571">
          <cell r="GB571">
            <v>112.81093260528537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H46"/>
  <sheetViews>
    <sheetView tabSelected="1" zoomScale="96" zoomScaleNormal="96" zoomScaleSheetLayoutView="93" workbookViewId="0">
      <pane xSplit="1" topLeftCell="B1" activePane="topRight" state="frozen"/>
      <selection activeCell="A25" sqref="A25"/>
      <selection pane="topRight" activeCell="F40" sqref="F40"/>
    </sheetView>
  </sheetViews>
  <sheetFormatPr defaultColWidth="9.140625" defaultRowHeight="18" x14ac:dyDescent="0.45"/>
  <cols>
    <col min="1" max="1" width="36.28515625" style="29" customWidth="1"/>
    <col min="2" max="2" width="12.42578125" style="29" customWidth="1"/>
    <col min="3" max="3" width="9.140625" style="29" customWidth="1"/>
    <col min="4" max="4" width="9.42578125" style="29" customWidth="1"/>
    <col min="5" max="16" width="9.140625" style="29" customWidth="1"/>
    <col min="17" max="24" width="9.42578125" style="29" customWidth="1"/>
    <col min="25" max="25" width="42.7109375" style="9" customWidth="1"/>
    <col min="26" max="26" width="3" style="29" customWidth="1"/>
    <col min="27" max="33" width="9.140625" style="29"/>
    <col min="34" max="34" width="11.42578125" style="29" bestFit="1" customWidth="1"/>
    <col min="35" max="16384" width="9.140625" style="29"/>
  </cols>
  <sheetData>
    <row r="1" spans="1:34" s="2" customFormat="1" ht="19.5" x14ac:dyDescent="0.2">
      <c r="A1" s="46" t="s">
        <v>53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1"/>
      <c r="AA1" s="53"/>
      <c r="AB1" s="53"/>
      <c r="AC1" s="53"/>
      <c r="AD1" s="53"/>
      <c r="AE1" s="53"/>
      <c r="AF1" s="53"/>
      <c r="AG1" s="53"/>
      <c r="AH1" s="53"/>
    </row>
    <row r="2" spans="1:34" s="2" customFormat="1" ht="12.75" customHeight="1" x14ac:dyDescent="0.25">
      <c r="A2" s="47" t="s">
        <v>52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</row>
    <row r="3" spans="1:34" s="3" customFormat="1" ht="15" customHeight="1" x14ac:dyDescent="0.2">
      <c r="A3" s="54" t="s">
        <v>49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</row>
    <row r="4" spans="1:34" s="3" customFormat="1" ht="12.75" x14ac:dyDescent="0.2">
      <c r="A4" s="55" t="s">
        <v>48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34" s="3" customFormat="1" ht="14.25" x14ac:dyDescent="0.2">
      <c r="A5" s="25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25"/>
      <c r="Q5" s="25"/>
      <c r="R5" s="25"/>
      <c r="S5" s="25"/>
      <c r="T5" s="25"/>
      <c r="U5" s="25"/>
      <c r="V5" s="25"/>
      <c r="W5" s="25"/>
      <c r="X5" s="25"/>
      <c r="Y5" s="26"/>
      <c r="Z5" s="25"/>
    </row>
    <row r="6" spans="1:34" s="3" customFormat="1" ht="15" customHeight="1" x14ac:dyDescent="0.2">
      <c r="A6" s="49" t="s">
        <v>1</v>
      </c>
      <c r="B6" s="56" t="s">
        <v>50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1" t="s">
        <v>2</v>
      </c>
      <c r="Z6" s="27"/>
    </row>
    <row r="7" spans="1:34" s="3" customFormat="1" ht="12.75" customHeight="1" x14ac:dyDescent="0.2">
      <c r="A7" s="50"/>
      <c r="B7" s="7">
        <v>2003</v>
      </c>
      <c r="C7" s="7">
        <v>2004</v>
      </c>
      <c r="D7" s="7">
        <v>2005</v>
      </c>
      <c r="E7" s="7">
        <v>2006</v>
      </c>
      <c r="F7" s="7">
        <v>2007</v>
      </c>
      <c r="G7" s="7">
        <v>2008</v>
      </c>
      <c r="H7" s="7">
        <v>2009</v>
      </c>
      <c r="I7" s="7">
        <v>2010</v>
      </c>
      <c r="J7" s="7">
        <v>2011</v>
      </c>
      <c r="K7" s="7">
        <v>2012</v>
      </c>
      <c r="L7" s="7">
        <v>2013</v>
      </c>
      <c r="M7" s="7">
        <v>2014</v>
      </c>
      <c r="N7" s="7">
        <v>2015</v>
      </c>
      <c r="O7" s="7">
        <v>2016</v>
      </c>
      <c r="P7" s="7">
        <v>2017</v>
      </c>
      <c r="Q7" s="7">
        <v>2018</v>
      </c>
      <c r="R7" s="7">
        <v>2019</v>
      </c>
      <c r="S7" s="7">
        <v>2020</v>
      </c>
      <c r="T7" s="7">
        <v>2021</v>
      </c>
      <c r="U7" s="7">
        <v>2022</v>
      </c>
      <c r="V7" s="7">
        <v>2023</v>
      </c>
      <c r="W7" s="7">
        <v>2024</v>
      </c>
      <c r="X7" s="7">
        <v>2025</v>
      </c>
      <c r="Y7" s="52"/>
      <c r="Z7" s="28"/>
    </row>
    <row r="8" spans="1:34" s="15" customFormat="1" ht="15" x14ac:dyDescent="0.25">
      <c r="A8" s="10" t="s">
        <v>3</v>
      </c>
      <c r="B8" s="12">
        <v>28.899623127290081</v>
      </c>
      <c r="C8" s="12">
        <v>33.512316757830398</v>
      </c>
      <c r="D8" s="12">
        <v>36.113371368682792</v>
      </c>
      <c r="E8" s="13">
        <v>37.559372568196373</v>
      </c>
      <c r="F8" s="13">
        <v>43.634779937232985</v>
      </c>
      <c r="G8" s="13">
        <v>51.955921823408893</v>
      </c>
      <c r="H8" s="13">
        <v>52.225054146864075</v>
      </c>
      <c r="I8" s="13">
        <v>56.130108743001976</v>
      </c>
      <c r="J8" s="13">
        <v>67.316856640180674</v>
      </c>
      <c r="K8" s="13">
        <v>79.187977631962909</v>
      </c>
      <c r="L8" s="13">
        <v>84.861415873236822</v>
      </c>
      <c r="M8" s="13">
        <v>50.180555214857939</v>
      </c>
      <c r="N8" s="13">
        <v>85.886538689114388</v>
      </c>
      <c r="O8" s="13">
        <v>86.382001830261984</v>
      </c>
      <c r="P8" s="13">
        <v>91.218576873588219</v>
      </c>
      <c r="Q8" s="13">
        <v>90.230191669566679</v>
      </c>
      <c r="R8" s="13">
        <v>89.516899115017722</v>
      </c>
      <c r="S8" s="13">
        <v>91.957302780576924</v>
      </c>
      <c r="T8" s="13">
        <v>93.613428265500076</v>
      </c>
      <c r="U8" s="43">
        <v>98.071367856961388</v>
      </c>
      <c r="V8" s="43">
        <v>103.74995945562284</v>
      </c>
      <c r="W8" s="43">
        <v>109.77670670174727</v>
      </c>
      <c r="X8" s="43">
        <f>'[1]Republic data'!$GB$4</f>
        <v>114.93655054067652</v>
      </c>
      <c r="Y8" s="14" t="s">
        <v>4</v>
      </c>
      <c r="Z8" s="11"/>
      <c r="AA8" s="29"/>
      <c r="AB8" s="30"/>
      <c r="AC8" s="31"/>
    </row>
    <row r="9" spans="1:34" s="15" customFormat="1" ht="15" x14ac:dyDescent="0.25">
      <c r="A9" s="10" t="s">
        <v>5</v>
      </c>
      <c r="B9" s="12">
        <v>36.058286490812378</v>
      </c>
      <c r="C9" s="12">
        <v>39.494610409238369</v>
      </c>
      <c r="D9" s="12">
        <v>42.208714263371789</v>
      </c>
      <c r="E9" s="13">
        <v>44.728268881686006</v>
      </c>
      <c r="F9" s="13">
        <v>49.369134511915398</v>
      </c>
      <c r="G9" s="13">
        <v>59.897981957172938</v>
      </c>
      <c r="H9" s="13">
        <v>61.650815053972195</v>
      </c>
      <c r="I9" s="13">
        <v>66.23034454901925</v>
      </c>
      <c r="J9" s="13">
        <v>74.56005177871603</v>
      </c>
      <c r="K9" s="13">
        <v>78.675582825674681</v>
      </c>
      <c r="L9" s="13">
        <v>82.955530776688036</v>
      </c>
      <c r="M9" s="13">
        <v>56.171562678321543</v>
      </c>
      <c r="N9" s="13">
        <v>83.947075250832341</v>
      </c>
      <c r="O9" s="13">
        <v>85.217788731563687</v>
      </c>
      <c r="P9" s="13">
        <v>90.843829420506566</v>
      </c>
      <c r="Q9" s="13">
        <v>88.826152498496512</v>
      </c>
      <c r="R9" s="13">
        <v>88.721801845231369</v>
      </c>
      <c r="S9" s="13">
        <v>91.170725645695825</v>
      </c>
      <c r="T9" s="13">
        <v>93.355133148695998</v>
      </c>
      <c r="U9" s="43">
        <v>97.518092419572682</v>
      </c>
      <c r="V9" s="43">
        <v>103.55973541966699</v>
      </c>
      <c r="W9" s="43">
        <v>108.4913307614096</v>
      </c>
      <c r="X9" s="43">
        <f>'[1]Republic data'!$GB$571</f>
        <v>112.81093260528537</v>
      </c>
      <c r="Y9" s="14" t="s">
        <v>6</v>
      </c>
      <c r="Z9" s="11"/>
      <c r="AA9" s="29"/>
    </row>
    <row r="10" spans="1:34" s="15" customFormat="1" ht="15" x14ac:dyDescent="0.25">
      <c r="A10" s="16" t="s">
        <v>7</v>
      </c>
      <c r="B10" s="12">
        <v>13.678916272704853</v>
      </c>
      <c r="C10" s="12">
        <v>19.426960223356062</v>
      </c>
      <c r="D10" s="12">
        <v>21.383599052235244</v>
      </c>
      <c r="E10" s="13">
        <v>20.117964467933504</v>
      </c>
      <c r="F10" s="13">
        <v>30.00798150087283</v>
      </c>
      <c r="G10" s="13">
        <v>32.880453091930015</v>
      </c>
      <c r="H10" s="13">
        <v>29.360693740314144</v>
      </c>
      <c r="I10" s="13">
        <v>31.633664676228744</v>
      </c>
      <c r="J10" s="13">
        <v>50.3958105427688</v>
      </c>
      <c r="K10" s="13">
        <v>82.389028736385228</v>
      </c>
      <c r="L10" s="13">
        <v>91.76300251140168</v>
      </c>
      <c r="M10" s="13">
        <v>36.490267577429591</v>
      </c>
      <c r="N10" s="13">
        <v>92.898480851311433</v>
      </c>
      <c r="O10" s="13">
        <v>91.423868751485642</v>
      </c>
      <c r="P10" s="13">
        <v>94.357831720581615</v>
      </c>
      <c r="Q10" s="13">
        <v>95.977190248676379</v>
      </c>
      <c r="R10" s="13">
        <v>93.3031119490675</v>
      </c>
      <c r="S10" s="13">
        <v>95.60524344415245</v>
      </c>
      <c r="T10" s="13">
        <v>94.811333999099986</v>
      </c>
      <c r="U10" s="43">
        <v>100.6437440848526</v>
      </c>
      <c r="V10" s="43">
        <v>104.55483853258431</v>
      </c>
      <c r="W10" s="43">
        <v>115.21541057115449</v>
      </c>
      <c r="X10" s="43">
        <v>123.93050019174585</v>
      </c>
      <c r="Y10" s="14" t="s">
        <v>8</v>
      </c>
      <c r="Z10" s="11"/>
      <c r="AA10" s="29"/>
    </row>
    <row r="11" spans="1:34" s="15" customFormat="1" ht="15" x14ac:dyDescent="0.25">
      <c r="A11" s="16" t="s">
        <v>9</v>
      </c>
      <c r="B11" s="12" t="s">
        <v>0</v>
      </c>
      <c r="C11" s="12">
        <v>19.403244745979286</v>
      </c>
      <c r="D11" s="12">
        <v>19.980775766004225</v>
      </c>
      <c r="E11" s="13">
        <v>20.887061254854387</v>
      </c>
      <c r="F11" s="13">
        <v>21.140649527825627</v>
      </c>
      <c r="G11" s="13">
        <v>21.863087214269456</v>
      </c>
      <c r="H11" s="13">
        <v>21.468502846067679</v>
      </c>
      <c r="I11" s="13">
        <v>21.39744485019779</v>
      </c>
      <c r="J11" s="13">
        <v>27.225564632240829</v>
      </c>
      <c r="K11" s="13">
        <v>42.87021805260526</v>
      </c>
      <c r="L11" s="13">
        <v>41.499182127841173</v>
      </c>
      <c r="M11" s="13">
        <v>25.773573101788571</v>
      </c>
      <c r="N11" s="13">
        <v>49.738316119387207</v>
      </c>
      <c r="O11" s="13">
        <v>51.737355764729124</v>
      </c>
      <c r="P11" s="13">
        <v>65.384517644618157</v>
      </c>
      <c r="Q11" s="13">
        <v>70.858419283338478</v>
      </c>
      <c r="R11" s="13">
        <v>70.210904591705955</v>
      </c>
      <c r="S11" s="13">
        <v>78.949918217847951</v>
      </c>
      <c r="T11" s="13">
        <v>95.225770662492081</v>
      </c>
      <c r="U11" s="43">
        <v>100.31099772393725</v>
      </c>
      <c r="V11" s="43">
        <v>106.0262389083988</v>
      </c>
      <c r="W11" s="43">
        <v>121.74959615026808</v>
      </c>
      <c r="X11" s="43">
        <v>219.92231757530553</v>
      </c>
      <c r="Y11" s="14" t="s">
        <v>26</v>
      </c>
      <c r="Z11" s="11"/>
      <c r="AA11" s="29"/>
      <c r="AB11" s="30"/>
      <c r="AC11" s="31"/>
    </row>
    <row r="12" spans="1:34" s="15" customFormat="1" ht="15" x14ac:dyDescent="0.25">
      <c r="A12" s="16" t="s">
        <v>34</v>
      </c>
      <c r="B12" s="12">
        <v>69.332965534121143</v>
      </c>
      <c r="C12" s="12">
        <v>66.893601216741715</v>
      </c>
      <c r="D12" s="12">
        <v>69.762181883033819</v>
      </c>
      <c r="E12" s="13">
        <v>70.169971717405431</v>
      </c>
      <c r="F12" s="13">
        <v>69.160743808724519</v>
      </c>
      <c r="G12" s="13">
        <v>70.958591736146616</v>
      </c>
      <c r="H12" s="13">
        <v>73.239518843627337</v>
      </c>
      <c r="I12" s="13">
        <v>75.410731120279721</v>
      </c>
      <c r="J12" s="13">
        <v>85.128406205352363</v>
      </c>
      <c r="K12" s="13">
        <v>102.25959912411368</v>
      </c>
      <c r="L12" s="13">
        <v>105.55200745712159</v>
      </c>
      <c r="M12" s="13">
        <v>77.278817245188975</v>
      </c>
      <c r="N12" s="13">
        <v>105.56734778954592</v>
      </c>
      <c r="O12" s="13">
        <v>105.00069846898327</v>
      </c>
      <c r="P12" s="13">
        <v>104.26773550592623</v>
      </c>
      <c r="Q12" s="13">
        <v>102.04820894635083</v>
      </c>
      <c r="R12" s="13">
        <v>99.336291704299015</v>
      </c>
      <c r="S12" s="13">
        <v>97.409225377156261</v>
      </c>
      <c r="T12" s="13">
        <v>98.164259532793508</v>
      </c>
      <c r="U12" s="43">
        <v>99.406705497995418</v>
      </c>
      <c r="V12" s="43">
        <v>101.12400043209239</v>
      </c>
      <c r="W12" s="43">
        <v>101.36571391766894</v>
      </c>
      <c r="X12" s="43">
        <v>102.49547096549976</v>
      </c>
      <c r="Y12" s="14" t="s">
        <v>10</v>
      </c>
      <c r="Z12" s="11"/>
      <c r="AA12" s="29"/>
      <c r="AB12" s="30"/>
      <c r="AC12" s="31"/>
    </row>
    <row r="13" spans="1:34" s="15" customFormat="1" ht="15" x14ac:dyDescent="0.25">
      <c r="A13" s="16" t="s">
        <v>35</v>
      </c>
      <c r="B13" s="12">
        <v>62.670046418135648</v>
      </c>
      <c r="C13" s="12">
        <v>61.483020243370071</v>
      </c>
      <c r="D13" s="12">
        <v>62.686554180419144</v>
      </c>
      <c r="E13" s="13">
        <v>64.387224715365761</v>
      </c>
      <c r="F13" s="13">
        <v>66.831192376853252</v>
      </c>
      <c r="G13" s="13">
        <v>74.208058649046919</v>
      </c>
      <c r="H13" s="13">
        <v>80.013095604631289</v>
      </c>
      <c r="I13" s="13">
        <v>86.083190277299295</v>
      </c>
      <c r="J13" s="13">
        <v>88.58868129789812</v>
      </c>
      <c r="K13" s="13">
        <v>91.769280193012037</v>
      </c>
      <c r="L13" s="13">
        <v>95.042789124691367</v>
      </c>
      <c r="M13" s="13">
        <v>74.75032319965463</v>
      </c>
      <c r="N13" s="13">
        <v>98.96166289459704</v>
      </c>
      <c r="O13" s="13">
        <v>99.257758344051368</v>
      </c>
      <c r="P13" s="13">
        <v>100.51588739261939</v>
      </c>
      <c r="Q13" s="13">
        <v>100.34798537710726</v>
      </c>
      <c r="R13" s="13">
        <v>102.56359166923089</v>
      </c>
      <c r="S13" s="13">
        <v>97.739895795010526</v>
      </c>
      <c r="T13" s="13">
        <v>98.612419137399698</v>
      </c>
      <c r="U13" s="43">
        <v>100.10321233815192</v>
      </c>
      <c r="V13" s="43">
        <v>101.36279032273892</v>
      </c>
      <c r="W13" s="43">
        <v>100.93282859430421</v>
      </c>
      <c r="X13" s="43">
        <v>99.542435273497986</v>
      </c>
      <c r="Y13" s="14" t="s">
        <v>11</v>
      </c>
      <c r="Z13" s="11"/>
      <c r="AA13" s="29"/>
      <c r="AB13" s="30"/>
      <c r="AC13" s="31"/>
    </row>
    <row r="14" spans="1:34" s="15" customFormat="1" ht="15" x14ac:dyDescent="0.25">
      <c r="A14" s="16" t="s">
        <v>36</v>
      </c>
      <c r="B14" s="12" t="s">
        <v>0</v>
      </c>
      <c r="C14" s="12">
        <v>47.789533893965704</v>
      </c>
      <c r="D14" s="12">
        <v>48.304927931576508</v>
      </c>
      <c r="E14" s="13">
        <v>50.69057127018565</v>
      </c>
      <c r="F14" s="13">
        <v>52.804824414679103</v>
      </c>
      <c r="G14" s="13">
        <v>58.69146267370698</v>
      </c>
      <c r="H14" s="13">
        <v>67.080621872487981</v>
      </c>
      <c r="I14" s="13">
        <v>71.385595374781559</v>
      </c>
      <c r="J14" s="13">
        <v>74.571470121941644</v>
      </c>
      <c r="K14" s="13">
        <v>78.466107589618645</v>
      </c>
      <c r="L14" s="13">
        <v>81.617487504433157</v>
      </c>
      <c r="M14" s="13">
        <v>63.140260264737698</v>
      </c>
      <c r="N14" s="13">
        <v>88.109561681207154</v>
      </c>
      <c r="O14" s="13">
        <v>91.423145789361214</v>
      </c>
      <c r="P14" s="13">
        <v>95.662531021863245</v>
      </c>
      <c r="Q14" s="13">
        <v>101.35811180333668</v>
      </c>
      <c r="R14" s="13">
        <v>105.90213009337187</v>
      </c>
      <c r="S14" s="13">
        <v>102.03974424277681</v>
      </c>
      <c r="T14" s="13">
        <v>100.41346038559912</v>
      </c>
      <c r="U14" s="43">
        <v>100.41779940549073</v>
      </c>
      <c r="V14" s="43">
        <v>99.992140652010775</v>
      </c>
      <c r="W14" s="43">
        <v>99.992152556434419</v>
      </c>
      <c r="X14" s="43">
        <v>99.992162476789431</v>
      </c>
      <c r="Y14" s="17" t="s">
        <v>12</v>
      </c>
      <c r="Z14" s="11"/>
      <c r="AA14" s="29"/>
      <c r="AB14" s="30"/>
      <c r="AC14" s="31"/>
    </row>
    <row r="15" spans="1:34" s="15" customFormat="1" ht="25.5" x14ac:dyDescent="0.25">
      <c r="A15" s="10" t="s">
        <v>37</v>
      </c>
      <c r="B15" s="12">
        <v>59.013409138325052</v>
      </c>
      <c r="C15" s="12">
        <v>58.516074932418427</v>
      </c>
      <c r="D15" s="12">
        <v>60.925087805048349</v>
      </c>
      <c r="E15" s="13">
        <v>62.883153251093255</v>
      </c>
      <c r="F15" s="13">
        <v>66.096870617643205</v>
      </c>
      <c r="G15" s="13">
        <v>68.485374993872853</v>
      </c>
      <c r="H15" s="13">
        <v>75.97448897474024</v>
      </c>
      <c r="I15" s="13">
        <v>80.520593252394818</v>
      </c>
      <c r="J15" s="13">
        <v>83.902210906911847</v>
      </c>
      <c r="K15" s="13">
        <v>98.805948380114685</v>
      </c>
      <c r="L15" s="13">
        <v>97.178036297442006</v>
      </c>
      <c r="M15" s="13">
        <v>72.703075100886522</v>
      </c>
      <c r="N15" s="13">
        <v>96.76682814391495</v>
      </c>
      <c r="O15" s="13">
        <v>97.648075030804065</v>
      </c>
      <c r="P15" s="13">
        <v>98.739404711554371</v>
      </c>
      <c r="Q15" s="13">
        <v>97.418929922228656</v>
      </c>
      <c r="R15" s="13">
        <v>96.896726959406621</v>
      </c>
      <c r="S15" s="13">
        <v>96.342916132728419</v>
      </c>
      <c r="T15" s="13">
        <v>96.059004676678384</v>
      </c>
      <c r="U15" s="43">
        <v>98.986855333687103</v>
      </c>
      <c r="V15" s="43">
        <v>103.23865368181775</v>
      </c>
      <c r="W15" s="43">
        <v>102.65579647273681</v>
      </c>
      <c r="X15" s="43">
        <v>102.86513699904542</v>
      </c>
      <c r="Y15" s="14" t="s">
        <v>13</v>
      </c>
      <c r="Z15" s="11"/>
      <c r="AA15" s="29"/>
    </row>
    <row r="16" spans="1:34" s="15" customFormat="1" ht="15" x14ac:dyDescent="0.25">
      <c r="A16" s="18" t="s">
        <v>14</v>
      </c>
      <c r="B16" s="12">
        <v>57.533758799536251</v>
      </c>
      <c r="C16" s="12">
        <v>57.602179232306149</v>
      </c>
      <c r="D16" s="12">
        <v>57.748492065870984</v>
      </c>
      <c r="E16" s="13">
        <v>64.78598605285201</v>
      </c>
      <c r="F16" s="13">
        <v>70.727652490396679</v>
      </c>
      <c r="G16" s="13">
        <v>84.991338027411061</v>
      </c>
      <c r="H16" s="13">
        <v>86.905065814536428</v>
      </c>
      <c r="I16" s="13">
        <v>90.95313565443314</v>
      </c>
      <c r="J16" s="13">
        <v>100.56218105105857</v>
      </c>
      <c r="K16" s="13">
        <v>76.18744665035716</v>
      </c>
      <c r="L16" s="13">
        <v>81.836336787975284</v>
      </c>
      <c r="M16" s="13">
        <v>74.037622529948436</v>
      </c>
      <c r="N16" s="13">
        <v>91.313915774641757</v>
      </c>
      <c r="O16" s="13">
        <v>92.961666343156978</v>
      </c>
      <c r="P16" s="13">
        <v>92.748308294158278</v>
      </c>
      <c r="Q16" s="13">
        <v>93.179015765056803</v>
      </c>
      <c r="R16" s="13">
        <v>94.985205480604137</v>
      </c>
      <c r="S16" s="13">
        <v>95.470350184753286</v>
      </c>
      <c r="T16" s="13">
        <v>95.460554804185492</v>
      </c>
      <c r="U16" s="43">
        <v>99.868424663836208</v>
      </c>
      <c r="V16" s="43">
        <v>104.38254943593715</v>
      </c>
      <c r="W16" s="43">
        <v>107.98840364627034</v>
      </c>
      <c r="X16" s="43">
        <v>109.48584499650586</v>
      </c>
      <c r="Y16" s="14" t="s">
        <v>15</v>
      </c>
      <c r="Z16" s="11"/>
      <c r="AA16" s="29"/>
      <c r="AB16" s="30"/>
      <c r="AC16" s="31"/>
    </row>
    <row r="17" spans="1:34" s="15" customFormat="1" ht="15" x14ac:dyDescent="0.25">
      <c r="A17" s="18" t="s">
        <v>38</v>
      </c>
      <c r="B17" s="12">
        <v>44.150901817575516</v>
      </c>
      <c r="C17" s="12">
        <v>45.343477501736338</v>
      </c>
      <c r="D17" s="12">
        <v>50.731227972398642</v>
      </c>
      <c r="E17" s="13">
        <v>53.239238891797562</v>
      </c>
      <c r="F17" s="13">
        <v>55.76685171563102</v>
      </c>
      <c r="G17" s="13">
        <v>67.551098339637164</v>
      </c>
      <c r="H17" s="13">
        <v>68.215171621050899</v>
      </c>
      <c r="I17" s="13">
        <v>70.482906505072307</v>
      </c>
      <c r="J17" s="13">
        <v>80.169238483418852</v>
      </c>
      <c r="K17" s="13">
        <v>87.438649707865025</v>
      </c>
      <c r="L17" s="13">
        <v>89.384829447300987</v>
      </c>
      <c r="M17" s="13">
        <v>63.135512007515224</v>
      </c>
      <c r="N17" s="13">
        <v>90.040636392094711</v>
      </c>
      <c r="O17" s="13">
        <v>88.656635317854764</v>
      </c>
      <c r="P17" s="13">
        <v>89.087687407462383</v>
      </c>
      <c r="Q17" s="13">
        <v>89.988006999541696</v>
      </c>
      <c r="R17" s="13">
        <v>90.236172032783188</v>
      </c>
      <c r="S17" s="13">
        <v>89.274657699033753</v>
      </c>
      <c r="T17" s="13">
        <v>91.766348582536295</v>
      </c>
      <c r="U17" s="43">
        <v>97.266574721677216</v>
      </c>
      <c r="V17" s="43">
        <v>102.64436251603519</v>
      </c>
      <c r="W17" s="43">
        <v>102.63897905787216</v>
      </c>
      <c r="X17" s="43">
        <v>101.96481012522997</v>
      </c>
      <c r="Y17" s="14" t="s">
        <v>16</v>
      </c>
      <c r="Z17" s="11"/>
      <c r="AA17" s="29"/>
      <c r="AB17" s="30"/>
      <c r="AC17" s="31"/>
    </row>
    <row r="18" spans="1:34" s="15" customFormat="1" ht="15" x14ac:dyDescent="0.25">
      <c r="A18" s="18" t="s">
        <v>39</v>
      </c>
      <c r="B18" s="12" t="s">
        <v>0</v>
      </c>
      <c r="C18" s="12">
        <v>197.52720488220643</v>
      </c>
      <c r="D18" s="12">
        <v>170.15694865667822</v>
      </c>
      <c r="E18" s="13">
        <v>153.7689959481857</v>
      </c>
      <c r="F18" s="13">
        <v>139.61523212091393</v>
      </c>
      <c r="G18" s="13">
        <v>134.52568387870608</v>
      </c>
      <c r="H18" s="13">
        <v>133.51863146870036</v>
      </c>
      <c r="I18" s="13">
        <v>133.82337441116326</v>
      </c>
      <c r="J18" s="13">
        <v>134.13874960917988</v>
      </c>
      <c r="K18" s="13">
        <v>133.31984974460542</v>
      </c>
      <c r="L18" s="13">
        <v>132.04742335226669</v>
      </c>
      <c r="M18" s="13">
        <v>146.2442094072606</v>
      </c>
      <c r="N18" s="13">
        <v>134.05645400868852</v>
      </c>
      <c r="O18" s="13">
        <v>133.03777044542409</v>
      </c>
      <c r="P18" s="13">
        <v>132.85874073411944</v>
      </c>
      <c r="Q18" s="13">
        <v>133.85946590712581</v>
      </c>
      <c r="R18" s="13">
        <v>133.77090847382075</v>
      </c>
      <c r="S18" s="13">
        <v>120.71323382674304</v>
      </c>
      <c r="T18" s="13">
        <v>110.18958597189248</v>
      </c>
      <c r="U18" s="43">
        <v>101.52263184276497</v>
      </c>
      <c r="V18" s="43">
        <v>93.90109896039705</v>
      </c>
      <c r="W18" s="43">
        <v>86.146928847849821</v>
      </c>
      <c r="X18" s="43">
        <v>82.212328777607311</v>
      </c>
      <c r="Y18" s="14" t="s">
        <v>17</v>
      </c>
      <c r="Z18" s="11"/>
      <c r="AA18" s="29"/>
      <c r="AB18" s="30"/>
      <c r="AC18" s="31"/>
    </row>
    <row r="19" spans="1:34" s="15" customFormat="1" ht="15" x14ac:dyDescent="0.25">
      <c r="A19" s="10" t="s">
        <v>40</v>
      </c>
      <c r="B19" s="12">
        <v>107.40938233076872</v>
      </c>
      <c r="C19" s="12">
        <v>104.40573864729447</v>
      </c>
      <c r="D19" s="12">
        <v>95.850878998004475</v>
      </c>
      <c r="E19" s="13">
        <v>93.132323463529431</v>
      </c>
      <c r="F19" s="13">
        <v>94.84942668634018</v>
      </c>
      <c r="G19" s="13">
        <v>88.422687758398169</v>
      </c>
      <c r="H19" s="13">
        <v>92.84989422173669</v>
      </c>
      <c r="I19" s="13">
        <v>98.181942838979424</v>
      </c>
      <c r="J19" s="13">
        <v>96.094848112623637</v>
      </c>
      <c r="K19" s="13">
        <v>97.703619944119922</v>
      </c>
      <c r="L19" s="13">
        <v>97.01284678579259</v>
      </c>
      <c r="M19" s="13">
        <v>97.779835017364476</v>
      </c>
      <c r="N19" s="13">
        <v>100.08361598387046</v>
      </c>
      <c r="O19" s="13">
        <v>98.847577355929772</v>
      </c>
      <c r="P19" s="13">
        <v>98.736556023209303</v>
      </c>
      <c r="Q19" s="13">
        <v>97.210771249022983</v>
      </c>
      <c r="R19" s="13">
        <v>95.189820432897463</v>
      </c>
      <c r="S19" s="13">
        <v>94.972975898628604</v>
      </c>
      <c r="T19" s="13">
        <v>96.828834322180683</v>
      </c>
      <c r="U19" s="43">
        <v>99.907916926364067</v>
      </c>
      <c r="V19" s="43">
        <v>100.87873016040032</v>
      </c>
      <c r="W19" s="43">
        <v>101.28209521240619</v>
      </c>
      <c r="X19" s="43">
        <v>101.73052720437148</v>
      </c>
      <c r="Y19" s="19" t="s">
        <v>18</v>
      </c>
      <c r="Z19" s="11"/>
      <c r="AA19" s="29"/>
      <c r="AB19" s="30"/>
      <c r="AC19" s="31"/>
    </row>
    <row r="20" spans="1:34" s="15" customFormat="1" ht="15" x14ac:dyDescent="0.25">
      <c r="A20" s="16" t="s">
        <v>41</v>
      </c>
      <c r="B20" s="12">
        <v>32.352794104245362</v>
      </c>
      <c r="C20" s="12">
        <v>32.645608406769817</v>
      </c>
      <c r="D20" s="12">
        <v>33.231387632502589</v>
      </c>
      <c r="E20" s="13">
        <v>34.822093204575218</v>
      </c>
      <c r="F20" s="13">
        <v>35.62262978458682</v>
      </c>
      <c r="G20" s="13">
        <v>36.275007469390744</v>
      </c>
      <c r="H20" s="13">
        <v>49.005010620187591</v>
      </c>
      <c r="I20" s="13">
        <v>53.63277233722269</v>
      </c>
      <c r="J20" s="13">
        <v>63.46670276892258</v>
      </c>
      <c r="K20" s="13">
        <v>74.210859424786307</v>
      </c>
      <c r="L20" s="13">
        <v>78.268262659077209</v>
      </c>
      <c r="M20" s="13">
        <v>46.259803297875258</v>
      </c>
      <c r="N20" s="13">
        <v>88.079670847187671</v>
      </c>
      <c r="O20" s="13">
        <v>92.368877567454987</v>
      </c>
      <c r="P20" s="13">
        <v>96.273491847506492</v>
      </c>
      <c r="Q20" s="13">
        <v>98.523866578684263</v>
      </c>
      <c r="R20" s="13">
        <v>98.548033540010763</v>
      </c>
      <c r="S20" s="13">
        <v>98.463470664371997</v>
      </c>
      <c r="T20" s="13">
        <v>98.81617575254495</v>
      </c>
      <c r="U20" s="43">
        <v>99.381333175157138</v>
      </c>
      <c r="V20" s="43">
        <v>103.92810585515429</v>
      </c>
      <c r="W20" s="43">
        <v>105.98523558623013</v>
      </c>
      <c r="X20" s="43">
        <v>106.55168445438518</v>
      </c>
      <c r="Y20" s="19" t="s">
        <v>19</v>
      </c>
      <c r="Z20" s="11"/>
      <c r="AA20" s="29"/>
      <c r="AB20" s="30"/>
      <c r="AC20" s="31"/>
    </row>
    <row r="21" spans="1:34" s="15" customFormat="1" ht="15" x14ac:dyDescent="0.25">
      <c r="A21" s="16" t="s">
        <v>42</v>
      </c>
      <c r="B21" s="12" t="s">
        <v>0</v>
      </c>
      <c r="C21" s="12">
        <v>34.028860953116769</v>
      </c>
      <c r="D21" s="12">
        <v>32.90111623415924</v>
      </c>
      <c r="E21" s="13">
        <v>35.015904196075503</v>
      </c>
      <c r="F21" s="13">
        <v>40.875884123718187</v>
      </c>
      <c r="G21" s="13">
        <v>47.265345008110103</v>
      </c>
      <c r="H21" s="13">
        <v>48.480502731881096</v>
      </c>
      <c r="I21" s="13">
        <v>50.045914002352639</v>
      </c>
      <c r="J21" s="13">
        <v>57.860807085869915</v>
      </c>
      <c r="K21" s="13">
        <v>73.86714332977742</v>
      </c>
      <c r="L21" s="13">
        <v>82.684918641374281</v>
      </c>
      <c r="M21" s="13">
        <v>50.302639630643519</v>
      </c>
      <c r="N21" s="13">
        <v>86.345002893723404</v>
      </c>
      <c r="O21" s="13">
        <v>87.832814042515977</v>
      </c>
      <c r="P21" s="13">
        <v>89.603682404264774</v>
      </c>
      <c r="Q21" s="13">
        <v>91.458026661920485</v>
      </c>
      <c r="R21" s="13">
        <v>95.148551344009888</v>
      </c>
      <c r="S21" s="13">
        <v>96.092888801587335</v>
      </c>
      <c r="T21" s="13">
        <v>96.446358898496669</v>
      </c>
      <c r="U21" s="43">
        <v>99.570943453592861</v>
      </c>
      <c r="V21" s="43">
        <v>106.04320862578054</v>
      </c>
      <c r="W21" s="43">
        <v>106.44651978309686</v>
      </c>
      <c r="X21" s="43">
        <v>112.27961330238685</v>
      </c>
      <c r="Y21" s="19" t="s">
        <v>20</v>
      </c>
      <c r="Z21" s="11"/>
      <c r="AA21" s="29"/>
      <c r="AB21" s="30"/>
      <c r="AC21" s="31"/>
    </row>
    <row r="22" spans="1:34" s="15" customFormat="1" ht="17.25" x14ac:dyDescent="0.25">
      <c r="A22" s="16" t="s">
        <v>43</v>
      </c>
      <c r="B22" s="12" t="s">
        <v>0</v>
      </c>
      <c r="C22" s="12" t="s">
        <v>0</v>
      </c>
      <c r="D22" s="12" t="s">
        <v>0</v>
      </c>
      <c r="E22" s="12" t="s">
        <v>0</v>
      </c>
      <c r="F22" s="12" t="s">
        <v>0</v>
      </c>
      <c r="G22" s="12" t="s">
        <v>0</v>
      </c>
      <c r="H22" s="12" t="s">
        <v>0</v>
      </c>
      <c r="I22" s="12" t="s">
        <v>0</v>
      </c>
      <c r="J22" s="12" t="s">
        <v>0</v>
      </c>
      <c r="K22" s="12" t="s">
        <v>0</v>
      </c>
      <c r="L22" s="12" t="s">
        <v>0</v>
      </c>
      <c r="M22" s="12" t="s">
        <v>0</v>
      </c>
      <c r="N22" s="12" t="s">
        <v>0</v>
      </c>
      <c r="O22" s="12" t="s">
        <v>0</v>
      </c>
      <c r="P22" s="12" t="s">
        <v>0</v>
      </c>
      <c r="Q22" s="12" t="s">
        <v>0</v>
      </c>
      <c r="R22" s="12">
        <v>100</v>
      </c>
      <c r="S22" s="12">
        <v>100</v>
      </c>
      <c r="T22" s="12">
        <v>100</v>
      </c>
      <c r="U22" s="44">
        <v>99.876121977952849</v>
      </c>
      <c r="V22" s="44">
        <v>104.60022531822472</v>
      </c>
      <c r="W22" s="44">
        <v>107.77551691499413</v>
      </c>
      <c r="X22" s="44">
        <v>110.73760582083831</v>
      </c>
      <c r="Y22" s="32" t="s">
        <v>45</v>
      </c>
      <c r="Z22" s="11"/>
      <c r="AA22" s="29"/>
      <c r="AB22" s="30"/>
      <c r="AC22" s="31"/>
    </row>
    <row r="23" spans="1:34" s="15" customFormat="1" ht="25.5" x14ac:dyDescent="0.25">
      <c r="A23" s="10" t="s">
        <v>44</v>
      </c>
      <c r="B23" s="12">
        <v>63.141427086592479</v>
      </c>
      <c r="C23" s="12">
        <v>65.313073727066708</v>
      </c>
      <c r="D23" s="12">
        <v>65.616772341818731</v>
      </c>
      <c r="E23" s="13">
        <v>66.007618412687904</v>
      </c>
      <c r="F23" s="13">
        <v>67.539666617182164</v>
      </c>
      <c r="G23" s="13">
        <v>71.80518927140325</v>
      </c>
      <c r="H23" s="13">
        <v>76.904041018576876</v>
      </c>
      <c r="I23" s="13">
        <v>80.691673541204409</v>
      </c>
      <c r="J23" s="13">
        <v>86.675751878498545</v>
      </c>
      <c r="K23" s="13">
        <v>100.54171570265981</v>
      </c>
      <c r="L23" s="13">
        <v>98.958837899618345</v>
      </c>
      <c r="M23" s="13">
        <v>75.550211002478946</v>
      </c>
      <c r="N23" s="13">
        <v>98.678507757565356</v>
      </c>
      <c r="O23" s="13">
        <v>98.412191325550111</v>
      </c>
      <c r="P23" s="13">
        <v>98.261033128661765</v>
      </c>
      <c r="Q23" s="13">
        <v>97.605694163468058</v>
      </c>
      <c r="R23" s="13">
        <v>97.332464287208651</v>
      </c>
      <c r="S23" s="13">
        <v>97.246842799002408</v>
      </c>
      <c r="T23" s="13">
        <v>97.320534195896258</v>
      </c>
      <c r="U23" s="43">
        <v>100.05148257983377</v>
      </c>
      <c r="V23" s="43">
        <v>103.53883379948876</v>
      </c>
      <c r="W23" s="43">
        <v>105.5959529083069</v>
      </c>
      <c r="X23" s="43">
        <v>108.08781910255489</v>
      </c>
      <c r="Y23" s="19" t="s">
        <v>21</v>
      </c>
      <c r="Z23" s="11"/>
      <c r="AA23" s="29"/>
      <c r="AB23" s="30"/>
      <c r="AC23" s="31"/>
    </row>
    <row r="24" spans="1:34" s="24" customFormat="1" ht="15" x14ac:dyDescent="0.25">
      <c r="A24" s="20" t="s">
        <v>22</v>
      </c>
      <c r="B24" s="21">
        <v>52.707730633670771</v>
      </c>
      <c r="C24" s="21">
        <v>51.819388150972223</v>
      </c>
      <c r="D24" s="21">
        <v>52.493182705076642</v>
      </c>
      <c r="E24" s="22">
        <v>53.930667209730281</v>
      </c>
      <c r="F24" s="22">
        <v>57.595133914865869</v>
      </c>
      <c r="G24" s="22">
        <v>64.530427977145379</v>
      </c>
      <c r="H24" s="22">
        <v>67.453770319649763</v>
      </c>
      <c r="I24" s="22">
        <v>71.60209987036616</v>
      </c>
      <c r="J24" s="22">
        <v>79.674101455063806</v>
      </c>
      <c r="K24" s="22">
        <v>88.346384917142288</v>
      </c>
      <c r="L24" s="22">
        <v>91.708521453587323</v>
      </c>
      <c r="M24" s="22">
        <v>65.436840276861872</v>
      </c>
      <c r="N24" s="40">
        <v>94.545447909154305</v>
      </c>
      <c r="O24" s="40">
        <v>95.020547685039091</v>
      </c>
      <c r="P24" s="40">
        <v>97.697726323823602</v>
      </c>
      <c r="Q24" s="40">
        <v>97.567423558065627</v>
      </c>
      <c r="R24" s="40">
        <v>97.782100897727858</v>
      </c>
      <c r="S24" s="40">
        <v>96.442706852950039</v>
      </c>
      <c r="T24" s="40">
        <v>96.96653511503132</v>
      </c>
      <c r="U24" s="40">
        <v>99.226379453174971</v>
      </c>
      <c r="V24" s="40">
        <v>102.10763992308659</v>
      </c>
      <c r="W24" s="40">
        <v>103.54831263741941</v>
      </c>
      <c r="X24" s="40">
        <v>107.6962353519027</v>
      </c>
      <c r="Y24" s="23" t="s">
        <v>23</v>
      </c>
      <c r="Z24" s="11"/>
      <c r="AA24" s="33"/>
      <c r="AB24" s="34"/>
      <c r="AD24" s="15"/>
      <c r="AH24" s="15"/>
    </row>
    <row r="25" spans="1:34" s="15" customFormat="1" ht="15" x14ac:dyDescent="0.25">
      <c r="A25" s="35" t="s">
        <v>24</v>
      </c>
      <c r="B25" s="36">
        <v>52.765121268399071</v>
      </c>
      <c r="C25" s="36">
        <v>54.05739918712743</v>
      </c>
      <c r="D25" s="36">
        <v>55.136302880102456</v>
      </c>
      <c r="E25" s="36">
        <v>56.880606342731291</v>
      </c>
      <c r="F25" s="36">
        <v>59.666145671444497</v>
      </c>
      <c r="G25" s="36">
        <v>66.944651651589169</v>
      </c>
      <c r="H25" s="36">
        <v>70.611746699965451</v>
      </c>
      <c r="I25" s="36">
        <v>74.895105958844582</v>
      </c>
      <c r="J25" s="36">
        <v>81.413859115813452</v>
      </c>
      <c r="K25" s="36">
        <v>88.928569633690245</v>
      </c>
      <c r="L25" s="36">
        <v>91.533137569154277</v>
      </c>
      <c r="M25" s="36">
        <v>67.244455404932765</v>
      </c>
      <c r="N25" s="41">
        <v>94.527570378093742</v>
      </c>
      <c r="O25" s="41">
        <v>95.18830941396125</v>
      </c>
      <c r="P25" s="41">
        <v>97.835954859787037</v>
      </c>
      <c r="Q25" s="41">
        <v>97.538511046655515</v>
      </c>
      <c r="R25" s="41">
        <v>98.003082630129597</v>
      </c>
      <c r="S25" s="41">
        <v>96.479952399312879</v>
      </c>
      <c r="T25" s="41">
        <v>97.062386040864055</v>
      </c>
      <c r="U25" s="41">
        <v>99.163496734333407</v>
      </c>
      <c r="V25" s="41">
        <v>101.99257862194632</v>
      </c>
      <c r="W25" s="41">
        <v>102.99975419039491</v>
      </c>
      <c r="X25" s="45">
        <v>106.93293987262341</v>
      </c>
      <c r="Y25" s="37" t="s">
        <v>25</v>
      </c>
      <c r="Z25" s="11"/>
      <c r="AA25" s="33"/>
      <c r="AB25" s="34"/>
    </row>
    <row r="26" spans="1:34" x14ac:dyDescent="0.45">
      <c r="A26" s="4" t="s">
        <v>27</v>
      </c>
    </row>
    <row r="27" spans="1:34" x14ac:dyDescent="0.45">
      <c r="A27" s="5" t="s">
        <v>28</v>
      </c>
      <c r="B27" s="6"/>
    </row>
    <row r="28" spans="1:34" x14ac:dyDescent="0.45">
      <c r="A28" s="5" t="s">
        <v>29</v>
      </c>
    </row>
    <row r="29" spans="1:34" x14ac:dyDescent="0.45">
      <c r="A29" s="5" t="s">
        <v>30</v>
      </c>
    </row>
    <row r="30" spans="1:34" x14ac:dyDescent="0.45">
      <c r="A30" s="5" t="s">
        <v>31</v>
      </c>
    </row>
    <row r="31" spans="1:34" x14ac:dyDescent="0.45">
      <c r="A31" s="5" t="s">
        <v>32</v>
      </c>
    </row>
    <row r="32" spans="1:34" x14ac:dyDescent="0.45">
      <c r="A32" s="5" t="s">
        <v>33</v>
      </c>
      <c r="AB32" s="38"/>
    </row>
    <row r="33" spans="1:28" ht="15" customHeight="1" x14ac:dyDescent="0.45">
      <c r="A33" s="5" t="s">
        <v>46</v>
      </c>
      <c r="B33" s="5"/>
      <c r="C33" s="5"/>
      <c r="D33" s="5"/>
      <c r="E33" s="5"/>
      <c r="F33" s="5"/>
      <c r="G33" s="5"/>
      <c r="H33" s="5"/>
      <c r="I33" s="5"/>
      <c r="J33" s="5"/>
      <c r="AB33" s="38"/>
    </row>
    <row r="34" spans="1:28" x14ac:dyDescent="0.45">
      <c r="A34" s="42" t="s">
        <v>51</v>
      </c>
      <c r="J34" s="39"/>
      <c r="AB34" s="38"/>
    </row>
    <row r="35" spans="1:28" x14ac:dyDescent="0.45">
      <c r="A35" s="8" t="s">
        <v>47</v>
      </c>
      <c r="AB35" s="38"/>
    </row>
    <row r="36" spans="1:28" x14ac:dyDescent="0.45">
      <c r="AB36" s="38"/>
    </row>
    <row r="37" spans="1:28" x14ac:dyDescent="0.45">
      <c r="AB37" s="38"/>
    </row>
    <row r="38" spans="1:28" x14ac:dyDescent="0.45">
      <c r="AB38" s="38"/>
    </row>
    <row r="39" spans="1:28" x14ac:dyDescent="0.45">
      <c r="AB39" s="38"/>
    </row>
    <row r="40" spans="1:28" x14ac:dyDescent="0.45">
      <c r="AB40" s="38"/>
    </row>
    <row r="41" spans="1:28" x14ac:dyDescent="0.45">
      <c r="AB41" s="38"/>
    </row>
    <row r="42" spans="1:28" x14ac:dyDescent="0.45">
      <c r="AB42" s="38"/>
    </row>
    <row r="43" spans="1:28" x14ac:dyDescent="0.45">
      <c r="AB43" s="38"/>
    </row>
    <row r="44" spans="1:28" x14ac:dyDescent="0.45">
      <c r="AB44" s="38"/>
    </row>
    <row r="45" spans="1:28" x14ac:dyDescent="0.45">
      <c r="AB45" s="38"/>
    </row>
    <row r="46" spans="1:28" x14ac:dyDescent="0.45">
      <c r="AB46" s="38"/>
    </row>
  </sheetData>
  <mergeCells count="9">
    <mergeCell ref="B5:O5"/>
    <mergeCell ref="A6:A7"/>
    <mergeCell ref="Y6:Y7"/>
    <mergeCell ref="AA1:AH1"/>
    <mergeCell ref="A1:Y1"/>
    <mergeCell ref="A2:Y2"/>
    <mergeCell ref="A3:Y3"/>
    <mergeCell ref="A4:Y4"/>
    <mergeCell ref="B6:X6"/>
  </mergeCells>
  <pageMargins left="0.7" right="0.7" top="0.75" bottom="0.75" header="0.3" footer="0.3"/>
  <pageSetup scale="30" orientation="portrait" r:id="rId1"/>
  <colBreaks count="1" manualBreakCount="1">
    <brk id="26" max="3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17.2</vt:lpstr>
      <vt:lpstr>'17.2'!Print_Area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2026-05-05T08:14:27Z</cp:lastPrinted>
  <dcterms:created xsi:type="dcterms:W3CDTF">2019-03-21T03:27:43Z</dcterms:created>
  <dcterms:modified xsi:type="dcterms:W3CDTF">2026-05-05T08:14:33Z</dcterms:modified>
</cp:coreProperties>
</file>