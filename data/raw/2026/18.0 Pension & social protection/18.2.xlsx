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ension &amp; Social Protection\"/>
    </mc:Choice>
  </mc:AlternateContent>
  <xr:revisionPtr revIDLastSave="0" documentId="13_ncr:1_{4D1EE3C0-3647-4475-A4FF-BDE7368A8948}" xr6:coauthVersionLast="47" xr6:coauthVersionMax="47" xr10:uidLastSave="{00000000-0000-0000-0000-000000000000}"/>
  <bookViews>
    <workbookView xWindow="-120" yWindow="-120" windowWidth="29040" windowHeight="15720" tabRatio="756" xr2:uid="{00000000-000D-0000-FFFF-FFFF00000000}"/>
  </bookViews>
  <sheets>
    <sheet name="18.2" sheetId="2" r:id="rId1"/>
  </sheets>
  <definedNames>
    <definedName name="_xlnm.Print_Area" localSheetId="0">'18.2'!$A$1:$AA$40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27" i="2" l="1"/>
  <c r="S8" i="2"/>
  <c r="BC25" i="2" s="1"/>
  <c r="AV25" i="2" s="1"/>
  <c r="M8" i="2"/>
  <c r="BC26" i="2" s="1"/>
  <c r="AV26" i="2" s="1"/>
  <c r="G8" i="2"/>
  <c r="BC24" i="2" s="1"/>
  <c r="AV24" i="2" l="1"/>
  <c r="BC28" i="2"/>
  <c r="AX27" i="2" l="1"/>
  <c r="AQ27" i="2" s="1"/>
  <c r="BB27" i="2"/>
  <c r="BA27" i="2"/>
  <c r="AT27" i="2" s="1"/>
  <c r="AZ27" i="2"/>
  <c r="AS27" i="2" s="1"/>
  <c r="AY27" i="2"/>
  <c r="AR27" i="2" s="1"/>
  <c r="AJ27" i="2"/>
  <c r="AI27" i="2"/>
  <c r="AH27" i="2"/>
  <c r="AR26" i="2"/>
  <c r="AQ26" i="2"/>
  <c r="AP26" i="2"/>
  <c r="AH26" i="2"/>
  <c r="AR25" i="2"/>
  <c r="AQ25" i="2"/>
  <c r="AP25" i="2"/>
  <c r="AH25" i="2"/>
  <c r="AH24" i="2"/>
  <c r="Y8" i="2"/>
  <c r="AW27" i="2" s="1"/>
  <c r="X8" i="2"/>
  <c r="W8" i="2"/>
  <c r="V8" i="2"/>
  <c r="AM27" i="2" s="1"/>
  <c r="U8" i="2"/>
  <c r="T8" i="2"/>
  <c r="R8" i="2"/>
  <c r="BB25" i="2" s="1"/>
  <c r="AU25" i="2" s="1"/>
  <c r="Q8" i="2"/>
  <c r="BA25" i="2" s="1"/>
  <c r="AT25" i="2" s="1"/>
  <c r="P8" i="2"/>
  <c r="AZ25" i="2" s="1"/>
  <c r="AS25" i="2" s="1"/>
  <c r="O8" i="2"/>
  <c r="N8" i="2"/>
  <c r="L8" i="2"/>
  <c r="BB26" i="2" s="1"/>
  <c r="AU26" i="2" s="1"/>
  <c r="K8" i="2"/>
  <c r="BA26" i="2" s="1"/>
  <c r="J8" i="2"/>
  <c r="AZ26" i="2" s="1"/>
  <c r="AS26" i="2" s="1"/>
  <c r="I8" i="2"/>
  <c r="H8" i="2"/>
  <c r="F8" i="2"/>
  <c r="BB24" i="2" s="1"/>
  <c r="E8" i="2"/>
  <c r="BA24" i="2" s="1"/>
  <c r="AT24" i="2" s="1"/>
  <c r="D8" i="2"/>
  <c r="AZ24" i="2" s="1"/>
  <c r="C8" i="2"/>
  <c r="AY24" i="2" s="1"/>
  <c r="B8" i="2"/>
  <c r="AX24" i="2" s="1"/>
  <c r="AW24" i="2"/>
  <c r="AX28" i="2" l="1"/>
  <c r="AW28" i="2"/>
  <c r="AJ25" i="2"/>
  <c r="AO27" i="2"/>
  <c r="AO24" i="2"/>
  <c r="AN26" i="2"/>
  <c r="AN27" i="2"/>
  <c r="AO26" i="2"/>
  <c r="AN25" i="2"/>
  <c r="AO25" i="2"/>
  <c r="AP27" i="2"/>
  <c r="AN24" i="2"/>
  <c r="AK26" i="2"/>
  <c r="AK27" i="2"/>
  <c r="AL27" i="2"/>
  <c r="AM26" i="2"/>
  <c r="AK25" i="2"/>
  <c r="AM25" i="2"/>
  <c r="AL25" i="2"/>
  <c r="AJ26" i="2"/>
  <c r="AM24" i="2"/>
  <c r="AI25" i="2"/>
  <c r="AL24" i="2"/>
  <c r="AI24" i="2"/>
  <c r="AK24" i="2"/>
  <c r="AJ24" i="2"/>
  <c r="AI26" i="2"/>
  <c r="AL26" i="2"/>
  <c r="BB28" i="2"/>
  <c r="AU24" i="2"/>
  <c r="AQ24" i="2"/>
  <c r="AY28" i="2"/>
  <c r="AR24" i="2"/>
  <c r="AZ28" i="2"/>
  <c r="AS24" i="2"/>
  <c r="AT26" i="2"/>
  <c r="BA28" i="2"/>
  <c r="AP24" i="2"/>
</calcChain>
</file>

<file path=xl/sharedStrings.xml><?xml version="1.0" encoding="utf-8"?>
<sst xmlns="http://schemas.openxmlformats.org/spreadsheetml/2006/main" count="45" uniqueCount="45">
  <si>
    <t>ޖުމްލަ</t>
  </si>
  <si>
    <t>Total</t>
  </si>
  <si>
    <t>އަސާސީ ޕެންޝަން</t>
  </si>
  <si>
    <t>ރިޓަޔަރމަންޓް ޕެންޝަން</t>
  </si>
  <si>
    <t>އެހެނިހެން ޕެންޝަން</t>
  </si>
  <si>
    <t>(In MVR)</t>
  </si>
  <si>
    <t>Month</t>
  </si>
  <si>
    <t>ސީނިއަ ސިޓިޒަން އެލަވަންސް</t>
  </si>
  <si>
    <t>މަސް</t>
  </si>
  <si>
    <t>Basic pension</t>
  </si>
  <si>
    <t>Retirement  pension</t>
  </si>
  <si>
    <t>Other  pension</t>
  </si>
  <si>
    <t xml:space="preserve"> Senior Citizen Allowance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</si>
  <si>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</si>
  <si>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</si>
  <si>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</si>
  <si>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</si>
  <si>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</si>
  <si>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</si>
  <si>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</si>
  <si>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</si>
  <si>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</si>
  <si>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</si>
  <si>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</si>
  <si>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</si>
  <si>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</si>
  <si>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</si>
  <si>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</si>
  <si>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</si>
  <si>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</si>
  <si>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</si>
  <si>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</si>
  <si>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</si>
  <si>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</si>
  <si>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</si>
  <si>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</si>
  <si>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</si>
  <si>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Note: Senior Citizen Allowance was introduced in February 2014 and discontinued in March 2019.</t>
  </si>
  <si>
    <t xml:space="preserve">ސީނިއަރ ސިޓިޒަން އެލަވަންސް ސްކީމް ތަޢާރަފުކުރެވިފައިވާ ފެބްރުއަރީ 2014 ގައެވެ. އަދި މާރޗް 2019 ގައި ވަނީ ހުއްޓާލާފައެވެ.  </t>
  </si>
  <si>
    <t>Source: Maldives Pension Administration Office</t>
  </si>
  <si>
    <t>މަޢުލޫމާތު ދެއްވި ފަރާތް: މޯލްޑިވްސް ޕެންޝަން އެޑްމިނިސްޓްރޭޝަން</t>
  </si>
  <si>
    <t>In million Rf</t>
  </si>
  <si>
    <t>In Rf</t>
  </si>
  <si>
    <t>TABLE   18.2: MONTHLY PENSION PAYOUTS BY SCHEME, 2020- 2025</t>
  </si>
  <si>
    <t>ތާވަލު 18.2: އެކި މަސްމަހު ޕެންޝަންގެ ގޮތުގައި ސްކީމްތަކުން ދެވުނު މިންވަރު، 2020 - 2025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</si>
</sst>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9"/>
      <color rgb="FF262626"/>
      <name val="Calibri"/>
      <family val="2"/>
    </font>
    <font>
      <i/>
      <sz val="9"/>
      <color rgb="FF000000"/>
      <name val="Calibri"/>
      <family val="2"/>
    </font>
    <font>
      <sz val="8"/>
      <color rgb="FF000000"/>
      <name val="Faruma"/>
    </font>
    <font>
      <sz val="9"/>
      <color rgb="FF000000"/>
      <name val="Faruma"/>
    </font>
    <font>
      <b/>
      <sz val="9"/>
      <color rgb="FFFF0000"/>
      <name val="Calibri"/>
      <family val="2"/>
    </font>
    <font>
      <b/>
      <sz val="9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name val="Courier"/>
      <family val="3"/>
    </font>
    <font>
      <sz val="11"/>
      <color rgb="FF000000"/>
      <name val="Calibri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2">
    <xf numFmtId="0" fontId="0" fillId="0" borderId="0"/>
    <xf numFmtId="164" fontId="15" fillId="0" borderId="23"/>
    <xf numFmtId="43" fontId="3" fillId="0" borderId="23" applyFont="0" applyFill="0" applyBorder="0" applyAlignment="0" applyProtection="0"/>
    <xf numFmtId="43" fontId="3" fillId="0" borderId="23" applyFont="0" applyFill="0" applyBorder="0" applyAlignment="0" applyProtection="0"/>
    <xf numFmtId="0" fontId="14" fillId="0" borderId="23"/>
    <xf numFmtId="0" fontId="3" fillId="0" borderId="23"/>
    <xf numFmtId="0" fontId="3" fillId="0" borderId="23"/>
    <xf numFmtId="0" fontId="3" fillId="0" borderId="23"/>
    <xf numFmtId="0" fontId="14" fillId="0" borderId="23"/>
    <xf numFmtId="0" fontId="14" fillId="0" borderId="23"/>
    <xf numFmtId="0" fontId="3" fillId="0" borderId="23"/>
    <xf numFmtId="0" fontId="3" fillId="0" borderId="23"/>
    <xf numFmtId="0" fontId="16" fillId="0" borderId="23"/>
    <xf numFmtId="0" fontId="16" fillId="0" borderId="23"/>
    <xf numFmtId="0" fontId="16" fillId="0" borderId="23"/>
    <xf numFmtId="0" fontId="16" fillId="0" borderId="23"/>
    <xf numFmtId="0" fontId="16" fillId="0" borderId="23"/>
    <xf numFmtId="0" fontId="16" fillId="0" borderId="23"/>
    <xf numFmtId="0" fontId="16" fillId="0" borderId="23"/>
    <xf numFmtId="0" fontId="16" fillId="0" borderId="23"/>
    <xf numFmtId="0" fontId="16" fillId="0" borderId="23"/>
    <xf numFmtId="0" fontId="16" fillId="0" borderId="23"/>
    <xf numFmtId="0" fontId="16" fillId="0" borderId="23"/>
    <xf numFmtId="0" fontId="16" fillId="0" borderId="23"/>
    <xf numFmtId="0" fontId="16" fillId="0" borderId="23"/>
    <xf numFmtId="0" fontId="16" fillId="0" borderId="23"/>
    <xf numFmtId="0" fontId="16" fillId="0" borderId="23"/>
    <xf numFmtId="0" fontId="16" fillId="0" borderId="23"/>
    <xf numFmtId="0" fontId="16" fillId="0" borderId="23"/>
    <xf numFmtId="0" fontId="16" fillId="0" borderId="23"/>
    <xf numFmtId="0" fontId="16" fillId="0" borderId="23"/>
    <xf numFmtId="0" fontId="16" fillId="0" borderId="23"/>
  </cellStyleXfs>
  <cellXfs count="97">
    <xf numFmtId="0" fontId="0" fillId="0" borderId="0" xfId="0"/>
    <xf numFmtId="0" fontId="3" fillId="2" borderId="4" xfId="0" applyFont="1" applyFill="1" applyBorder="1"/>
    <xf numFmtId="0" fontId="4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vertical="center"/>
    </xf>
    <xf numFmtId="0" fontId="4" fillId="2" borderId="11" xfId="0" applyFont="1" applyFill="1" applyBorder="1" applyAlignment="1">
      <alignment horizontal="right" vertical="center"/>
    </xf>
    <xf numFmtId="0" fontId="4" fillId="2" borderId="13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164" fontId="3" fillId="2" borderId="4" xfId="0" applyNumberFormat="1" applyFont="1" applyFill="1" applyBorder="1"/>
    <xf numFmtId="0" fontId="1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3" fontId="4" fillId="2" borderId="4" xfId="0" applyNumberFormat="1" applyFont="1" applyFill="1" applyBorder="1" applyAlignment="1">
      <alignment horizontal="right" vertical="center"/>
    </xf>
    <xf numFmtId="3" fontId="4" fillId="2" borderId="4" xfId="0" applyNumberFormat="1" applyFont="1" applyFill="1" applyBorder="1" applyAlignment="1">
      <alignment vertical="center"/>
    </xf>
    <xf numFmtId="3" fontId="4" fillId="2" borderId="6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3" fontId="3" fillId="2" borderId="4" xfId="0" applyNumberFormat="1" applyFont="1" applyFill="1" applyBorder="1" applyAlignment="1">
      <alignment vertical="center"/>
    </xf>
    <xf numFmtId="3" fontId="3" fillId="2" borderId="4" xfId="0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3" fontId="5" fillId="2" borderId="4" xfId="0" applyNumberFormat="1" applyFont="1" applyFill="1" applyBorder="1" applyAlignment="1">
      <alignment horizontal="right" vertical="center"/>
    </xf>
    <xf numFmtId="3" fontId="3" fillId="2" borderId="4" xfId="0" applyNumberFormat="1" applyFont="1" applyFill="1" applyBorder="1"/>
    <xf numFmtId="3" fontId="6" fillId="2" borderId="4" xfId="0" applyNumberFormat="1" applyFont="1" applyFill="1" applyBorder="1" applyAlignment="1">
      <alignment horizontal="center"/>
    </xf>
    <xf numFmtId="0" fontId="7" fillId="2" borderId="4" xfId="0" applyFont="1" applyFill="1" applyBorder="1"/>
    <xf numFmtId="0" fontId="5" fillId="2" borderId="4" xfId="0" applyFont="1" applyFill="1" applyBorder="1" applyAlignment="1">
      <alignment horizontal="right"/>
    </xf>
    <xf numFmtId="3" fontId="3" fillId="2" borderId="11" xfId="0" applyNumberFormat="1" applyFont="1" applyFill="1" applyBorder="1" applyAlignment="1">
      <alignment vertical="center"/>
    </xf>
    <xf numFmtId="3" fontId="3" fillId="2" borderId="11" xfId="0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vertical="center"/>
    </xf>
    <xf numFmtId="0" fontId="6" fillId="2" borderId="4" xfId="0" applyFont="1" applyFill="1" applyBorder="1"/>
    <xf numFmtId="3" fontId="6" fillId="2" borderId="4" xfId="0" applyNumberFormat="1" applyFont="1" applyFill="1" applyBorder="1"/>
    <xf numFmtId="0" fontId="10" fillId="2" borderId="4" xfId="0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9" fillId="2" borderId="4" xfId="0" applyFont="1" applyFill="1" applyBorder="1"/>
    <xf numFmtId="0" fontId="11" fillId="2" borderId="4" xfId="0" applyFont="1" applyFill="1" applyBorder="1"/>
    <xf numFmtId="0" fontId="6" fillId="2" borderId="19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right" vertical="center"/>
    </xf>
    <xf numFmtId="164" fontId="3" fillId="2" borderId="19" xfId="0" applyNumberFormat="1" applyFont="1" applyFill="1" applyBorder="1"/>
    <xf numFmtId="0" fontId="3" fillId="2" borderId="19" xfId="0" applyFont="1" applyFill="1" applyBorder="1"/>
    <xf numFmtId="0" fontId="0" fillId="3" borderId="0" xfId="0" applyFill="1"/>
    <xf numFmtId="0" fontId="3" fillId="2" borderId="23" xfId="0" applyFont="1" applyFill="1" applyBorder="1"/>
    <xf numFmtId="0" fontId="3" fillId="2" borderId="4" xfId="0" applyFont="1" applyFill="1" applyBorder="1" applyAlignment="1">
      <alignment horizontal="left" vertical="center" indent="1"/>
    </xf>
    <xf numFmtId="0" fontId="3" fillId="2" borderId="11" xfId="0" applyFont="1" applyFill="1" applyBorder="1" applyAlignment="1">
      <alignment horizontal="left" vertical="center" indent="1"/>
    </xf>
    <xf numFmtId="0" fontId="5" fillId="2" borderId="4" xfId="0" applyFont="1" applyFill="1" applyBorder="1" applyAlignment="1">
      <alignment horizontal="right" vertical="center" indent="1"/>
    </xf>
    <xf numFmtId="0" fontId="5" fillId="2" borderId="4" xfId="0" applyFont="1" applyFill="1" applyBorder="1" applyAlignment="1">
      <alignment horizontal="right" indent="1"/>
    </xf>
    <xf numFmtId="0" fontId="5" fillId="2" borderId="11" xfId="0" applyFont="1" applyFill="1" applyBorder="1" applyAlignment="1">
      <alignment horizontal="right" vertical="center" indent="1"/>
    </xf>
    <xf numFmtId="0" fontId="7" fillId="2" borderId="23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/>
    </xf>
    <xf numFmtId="164" fontId="3" fillId="2" borderId="23" xfId="0" applyNumberFormat="1" applyFont="1" applyFill="1" applyBorder="1"/>
    <xf numFmtId="0" fontId="7" fillId="2" borderId="23" xfId="0" applyFont="1" applyFill="1" applyBorder="1"/>
    <xf numFmtId="0" fontId="10" fillId="2" borderId="4" xfId="0" applyFont="1" applyFill="1" applyBorder="1"/>
    <xf numFmtId="3" fontId="4" fillId="4" borderId="23" xfId="0" applyNumberFormat="1" applyFont="1" applyFill="1" applyBorder="1" applyAlignment="1">
      <alignment vertical="center"/>
    </xf>
    <xf numFmtId="3" fontId="3" fillId="4" borderId="23" xfId="0" applyNumberFormat="1" applyFont="1" applyFill="1" applyBorder="1" applyAlignment="1">
      <alignment vertical="center"/>
    </xf>
    <xf numFmtId="3" fontId="3" fillId="4" borderId="24" xfId="0" applyNumberFormat="1" applyFont="1" applyFill="1" applyBorder="1" applyAlignment="1">
      <alignment vertical="center"/>
    </xf>
    <xf numFmtId="0" fontId="6" fillId="2" borderId="23" xfId="0" applyFont="1" applyFill="1" applyBorder="1"/>
    <xf numFmtId="3" fontId="6" fillId="2" borderId="23" xfId="0" applyNumberFormat="1" applyFont="1" applyFill="1" applyBorder="1"/>
    <xf numFmtId="3" fontId="4" fillId="4" borderId="28" xfId="0" applyNumberFormat="1" applyFont="1" applyFill="1" applyBorder="1" applyAlignment="1">
      <alignment vertical="center"/>
    </xf>
    <xf numFmtId="3" fontId="4" fillId="2" borderId="23" xfId="0" applyNumberFormat="1" applyFont="1" applyFill="1" applyBorder="1" applyAlignment="1">
      <alignment vertical="center"/>
    </xf>
    <xf numFmtId="3" fontId="4" fillId="2" borderId="28" xfId="0" applyNumberFormat="1" applyFont="1" applyFill="1" applyBorder="1" applyAlignment="1">
      <alignment vertical="center"/>
    </xf>
    <xf numFmtId="0" fontId="12" fillId="2" borderId="23" xfId="0" applyFont="1" applyFill="1" applyBorder="1" applyAlignment="1">
      <alignment horizontal="center"/>
    </xf>
    <xf numFmtId="3" fontId="17" fillId="4" borderId="28" xfId="13" applyNumberFormat="1" applyFont="1" applyFill="1" applyBorder="1" applyAlignment="1">
      <alignment horizontal="right"/>
    </xf>
    <xf numFmtId="3" fontId="17" fillId="4" borderId="28" xfId="14" applyNumberFormat="1" applyFont="1" applyFill="1" applyBorder="1" applyAlignment="1">
      <alignment horizontal="right"/>
    </xf>
    <xf numFmtId="3" fontId="17" fillId="4" borderId="28" xfId="15" applyNumberFormat="1" applyFont="1" applyFill="1" applyBorder="1" applyAlignment="1">
      <alignment horizontal="right"/>
    </xf>
    <xf numFmtId="3" fontId="17" fillId="4" borderId="12" xfId="13" applyNumberFormat="1" applyFont="1" applyFill="1" applyBorder="1" applyAlignment="1">
      <alignment horizontal="right"/>
    </xf>
    <xf numFmtId="3" fontId="17" fillId="4" borderId="12" xfId="14" applyNumberFormat="1" applyFont="1" applyFill="1" applyBorder="1" applyAlignment="1">
      <alignment horizontal="right"/>
    </xf>
    <xf numFmtId="3" fontId="17" fillId="4" borderId="12" xfId="15" applyNumberFormat="1" applyFont="1" applyFill="1" applyBorder="1" applyAlignment="1">
      <alignment horizontal="right"/>
    </xf>
    <xf numFmtId="0" fontId="4" fillId="2" borderId="22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2" fillId="3" borderId="23" xfId="0" applyFont="1" applyFill="1" applyBorder="1"/>
    <xf numFmtId="0" fontId="2" fillId="3" borderId="3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1" fillId="2" borderId="5" xfId="0" applyFont="1" applyFill="1" applyBorder="1" applyAlignment="1">
      <alignment horizontal="right" vertical="center"/>
    </xf>
    <xf numFmtId="0" fontId="12" fillId="2" borderId="2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2" fillId="3" borderId="17" xfId="0" applyFont="1" applyFill="1" applyBorder="1"/>
    <xf numFmtId="0" fontId="2" fillId="3" borderId="18" xfId="0" applyFont="1" applyFill="1" applyBorder="1"/>
    <xf numFmtId="0" fontId="1" fillId="2" borderId="15" xfId="0" applyFont="1" applyFill="1" applyBorder="1" applyAlignment="1">
      <alignment horizontal="center" vertical="center"/>
    </xf>
    <xf numFmtId="0" fontId="2" fillId="3" borderId="7" xfId="0" applyFont="1" applyFill="1" applyBorder="1"/>
    <xf numFmtId="0" fontId="2" fillId="3" borderId="8" xfId="0" applyFont="1" applyFill="1" applyBorder="1"/>
    <xf numFmtId="0" fontId="12" fillId="2" borderId="1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</cellXfs>
  <cellStyles count="32">
    <cellStyle name="Comma 23" xfId="2" xr:uid="{94027C67-5182-4251-874E-333D39869C41}"/>
    <cellStyle name="Comma 3" xfId="3" xr:uid="{32D59405-9255-4528-A182-E2FB87AEA447}"/>
    <cellStyle name="Normal" xfId="0" builtinId="0"/>
    <cellStyle name="Normal 10" xfId="6" xr:uid="{EBA83A1A-0725-4264-B217-6FB255D01D9A}"/>
    <cellStyle name="Normal 11" xfId="8" xr:uid="{141512A6-9575-4B9F-B0CD-71B08DB8B8DD}"/>
    <cellStyle name="Normal 12" xfId="18" xr:uid="{EBB53E00-7290-4E95-B00B-97E70B994095}"/>
    <cellStyle name="Normal 13" xfId="19" xr:uid="{5089EADD-6FB8-455A-99B7-4CE3F8EA2523}"/>
    <cellStyle name="Normal 14" xfId="20" xr:uid="{6D8E876D-C549-4F8C-BBB2-9044945BA1DE}"/>
    <cellStyle name="Normal 15" xfId="21" xr:uid="{FC8B6F0F-4F04-414B-856A-E9EF52594A17}"/>
    <cellStyle name="Normal 16" xfId="22" xr:uid="{A9472295-1693-4D41-8C43-FD2ACA0018F7}"/>
    <cellStyle name="Normal 17" xfId="23" xr:uid="{AD84AE3E-C9FD-40C7-9E44-467A53F078DC}"/>
    <cellStyle name="Normal 18" xfId="24" xr:uid="{3ECF2013-8279-4761-949D-EDD1A3769A1A}"/>
    <cellStyle name="Normal 19" xfId="25" xr:uid="{2DA431D7-B0FC-4CC3-83FB-38993139A464}"/>
    <cellStyle name="Normal 2" xfId="1" xr:uid="{5582CC97-B3B3-49F0-A32C-77365FA866E7}"/>
    <cellStyle name="Normal 20" xfId="26" xr:uid="{BF15BF13-2BA4-453C-A5D4-7F378D5A7AB0}"/>
    <cellStyle name="Normal 21" xfId="27" xr:uid="{EB16884D-319E-44C4-BACF-AAE219752D74}"/>
    <cellStyle name="Normal 22" xfId="28" xr:uid="{0BC55367-C80F-4644-A253-56F0D6C8449D}"/>
    <cellStyle name="Normal 23" xfId="29" xr:uid="{70D0A6B6-C10D-4B03-BE3E-BCA8F6F565D6}"/>
    <cellStyle name="Normal 24" xfId="30" xr:uid="{5D1C52F0-96A7-41A3-BA9A-F4828B3BA100}"/>
    <cellStyle name="Normal 25" xfId="31" xr:uid="{98DE4CB4-469A-4E2E-95F6-679D1ED1E259}"/>
    <cellStyle name="Normal 3" xfId="12" xr:uid="{41F67738-7CBD-405C-A2E8-93EC8D754E04}"/>
    <cellStyle name="Normal 30 2" xfId="5" xr:uid="{319A01A9-484D-401C-B51C-AFA22C8C147A}"/>
    <cellStyle name="Normal 39" xfId="7" xr:uid="{358DB4F3-2572-40C1-8528-73DD19838977}"/>
    <cellStyle name="Normal 4" xfId="13" xr:uid="{F9DB212B-6BED-4D0E-9812-6AF8B0852E4C}"/>
    <cellStyle name="Normal 5" xfId="14" xr:uid="{2E2DF4F8-9240-4060-8DF2-DBD25985C646}"/>
    <cellStyle name="Normal 58" xfId="11" xr:uid="{5FADB181-8394-4B9F-BF6B-8B2AABC26B0E}"/>
    <cellStyle name="Normal 59" xfId="10" xr:uid="{BC46D8EB-1784-4261-8D55-F234E5AA2CF7}"/>
    <cellStyle name="Normal 6" xfId="15" xr:uid="{FD6A37D1-7F80-4842-A6BE-097A50A4815D}"/>
    <cellStyle name="Normal 7" xfId="16" xr:uid="{D3073D1C-C63F-4665-88AD-8A1CCCB7F8E6}"/>
    <cellStyle name="Normal 8" xfId="17" xr:uid="{994E9518-379D-453B-A8BE-5A00EF9195C3}"/>
    <cellStyle name="Normal 9" xfId="4" xr:uid="{625F25BA-A41A-4C28-BF91-33331014C8BC}"/>
    <cellStyle name="Normal 9 2" xfId="9" xr:uid="{9FC5A332-BEB2-4834-8023-4E42B3DA4A83}"/>
  </cellStyles>
  <dxfs count="0"/>
  <tableStyles count="0" defaultTableStyle="TableStyleMedium2" defaultPivotStyle="PivotStyleLight16"/>
  <colors>
    <mruColors>
      <color rgb="FF336600"/>
      <color rgb="FFF9FFF3"/>
      <color rgb="FFAEAAAA"/>
      <color rgb="FF003300"/>
      <color rgb="FF2F75B5"/>
      <color rgb="FFFF3399"/>
      <color rgb="FF9BC2E6"/>
      <color rgb="FF33CCCC"/>
      <color rgb="FF003399"/>
      <color rgb="FF7E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6.308142401313914E-2"/>
          <c:y val="0.19454337438589406"/>
          <c:w val="0.9132163513611371"/>
          <c:h val="0.7088434618749579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'18.2'!$AT$23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003300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'18.2'!$AH$24:$AH$26</c:f>
              <c:strCache>
                <c:ptCount val="3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</c:strCache>
            </c:strRef>
          </c:cat>
          <c:val>
            <c:numRef>
              <c:f>'18.2'!$AT$24:$AT$26</c:f>
              <c:numCache>
                <c:formatCode>_(* #,##0_);_(* \(#,##0\);_(* "-"??_);_(@_)</c:formatCode>
                <c:ptCount val="3"/>
                <c:pt idx="0">
                  <c:v>1229.37825363</c:v>
                </c:pt>
                <c:pt idx="1">
                  <c:v>358.78517656999998</c:v>
                </c:pt>
                <c:pt idx="2">
                  <c:v>146.26467091000001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068-46D6-B897-11AEA60B057D}"/>
            </c:ext>
          </c:extLst>
        </c:ser>
        <c:ser>
          <c:idx val="1"/>
          <c:order val="1"/>
          <c:tx>
            <c:strRef>
              <c:f>'18.2'!$AU$23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336600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'18.2'!$AH$24:$AH$26</c:f>
              <c:strCache>
                <c:ptCount val="3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</c:strCache>
            </c:strRef>
          </c:cat>
          <c:val>
            <c:numRef>
              <c:f>'18.2'!$AU$24:$AU$26</c:f>
              <c:numCache>
                <c:formatCode>_(* #,##0_);_(* \(#,##0\);_(* "-"??_);_(@_)</c:formatCode>
                <c:ptCount val="3"/>
                <c:pt idx="0">
                  <c:v>1320.3192331000002</c:v>
                </c:pt>
                <c:pt idx="1">
                  <c:v>364.73942460000001</c:v>
                </c:pt>
                <c:pt idx="2">
                  <c:v>165.54492053999999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068-46D6-B897-11AEA60B057D}"/>
            </c:ext>
          </c:extLst>
        </c:ser>
        <c:ser>
          <c:idx val="2"/>
          <c:order val="2"/>
          <c:tx>
            <c:strRef>
              <c:f>'18.2'!$AV$23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C5E0B4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'18.2'!$AH$24:$AH$26</c:f>
              <c:strCache>
                <c:ptCount val="3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</c:strCache>
            </c:strRef>
          </c:cat>
          <c:val>
            <c:numRef>
              <c:f>'18.2'!$AV$24:$AV$26</c:f>
              <c:numCache>
                <c:formatCode>_(* #,##0_);_(* \(#,##0\);_(* "-"??_);_(@_)</c:formatCode>
                <c:ptCount val="3"/>
                <c:pt idx="0">
                  <c:v>1418.7253849099998</c:v>
                </c:pt>
                <c:pt idx="1">
                  <c:v>388.17149153999992</c:v>
                </c:pt>
                <c:pt idx="2">
                  <c:v>185.90385397999998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068-46D6-B897-11AEA60B0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6292742"/>
        <c:axId val="124687748"/>
      </c:barChart>
      <c:catAx>
        <c:axId val="10762927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4687748"/>
        <c:crosses val="autoZero"/>
        <c:auto val="1"/>
        <c:lblAlgn val="ctr"/>
        <c:lblOffset val="100"/>
        <c:noMultiLvlLbl val="1"/>
      </c:catAx>
      <c:valAx>
        <c:axId val="124687748"/>
        <c:scaling>
          <c:orientation val="minMax"/>
        </c:scaling>
        <c:delete val="0"/>
        <c:axPos val="l"/>
        <c:majorGridlines>
          <c:spPr>
            <a:ln>
              <a:solidFill>
                <a:schemeClr val="accent6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8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800" b="1" i="0">
                    <a:solidFill>
                      <a:srgbClr val="000000"/>
                    </a:solidFill>
                    <a:latin typeface="+mn-lt"/>
                  </a:rPr>
                  <a:t>In million MVR</a:t>
                </a:r>
              </a:p>
            </c:rich>
          </c:tx>
          <c:layout>
            <c:manualLayout>
              <c:xMode val="edge"/>
              <c:yMode val="edge"/>
              <c:x val="9.5238095238095247E-3"/>
              <c:y val="0.39679067966798098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76292742"/>
        <c:crosses val="autoZero"/>
        <c:crossBetween val="between"/>
      </c:valAx>
      <c:spPr>
        <a:solidFill>
          <a:srgbClr val="F9FFF3"/>
        </a:solidFill>
        <a:ln>
          <a:solidFill>
            <a:schemeClr val="bg2">
              <a:lumMod val="8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5833132906272473"/>
          <c:y val="0.28531798909751666"/>
          <c:w val="0.22342535257058249"/>
          <c:h val="8.6533077596069707E-2"/>
        </c:manualLayout>
      </c:layout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620023</xdr:colOff>
      <xdr:row>23</xdr:row>
      <xdr:rowOff>2576</xdr:rowOff>
    </xdr:from>
    <xdr:ext cx="7824958" cy="2971800"/>
    <xdr:graphicFrame macro="">
      <xdr:nvGraphicFramePr>
        <xdr:cNvPr id="1079206764" name="Chart 4">
          <a:extLst>
            <a:ext uri="{FF2B5EF4-FFF2-40B4-BE49-F238E27FC236}">
              <a16:creationId xmlns:a16="http://schemas.microsoft.com/office/drawing/2014/main" id="{00000000-0008-0000-0100-00006C635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404579</xdr:colOff>
      <xdr:row>23</xdr:row>
      <xdr:rowOff>184118</xdr:rowOff>
    </xdr:from>
    <xdr:ext cx="4314825" cy="3714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634343" y="5746359"/>
          <a:ext cx="431482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63"/>
            <a:buFont typeface="Consolas"/>
            <a:buNone/>
          </a:pPr>
          <a:r>
            <a:rPr lang="en-US" sz="105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Figure 18.4: Pension payments made under different schemes, 2023-2025</a:t>
          </a:r>
          <a:endParaRPr sz="1400"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BC87"/>
  <sheetViews>
    <sheetView tabSelected="1" zoomScale="106" zoomScaleNormal="106" zoomScaleSheetLayoutView="37" workbookViewId="0">
      <selection activeCell="D12" sqref="D12"/>
    </sheetView>
  </sheetViews>
  <sheetFormatPr defaultColWidth="14.42578125" defaultRowHeight="15" customHeight="1" x14ac:dyDescent="0.25"/>
  <cols>
    <col min="1" max="1" width="9.7109375" style="40" customWidth="1"/>
    <col min="2" max="19" width="13.7109375" style="40" customWidth="1"/>
    <col min="20" max="20" width="12.85546875" style="40" customWidth="1"/>
    <col min="21" max="21" width="13" style="40" customWidth="1"/>
    <col min="22" max="24" width="12" style="40" customWidth="1"/>
    <col min="25" max="25" width="12.28515625" style="40" customWidth="1"/>
    <col min="26" max="26" width="15" style="40" customWidth="1"/>
    <col min="27" max="32" width="15.140625" style="40" customWidth="1"/>
    <col min="33" max="33" width="24.7109375" style="40" customWidth="1"/>
    <col min="34" max="34" width="17" style="40" customWidth="1"/>
    <col min="35" max="35" width="9.7109375" style="40" hidden="1" customWidth="1"/>
    <col min="36" max="37" width="9.85546875" style="40" hidden="1" customWidth="1"/>
    <col min="38" max="38" width="10.140625" style="40" hidden="1" customWidth="1"/>
    <col min="39" max="42" width="10" style="40" hidden="1" customWidth="1"/>
    <col min="43" max="48" width="10" style="40" customWidth="1"/>
    <col min="49" max="49" width="17.7109375" style="40" customWidth="1"/>
    <col min="50" max="53" width="14.42578125" style="40" customWidth="1"/>
    <col min="54" max="16384" width="14.42578125" style="40"/>
  </cols>
  <sheetData>
    <row r="1" spans="1:53" ht="20.25" customHeight="1" x14ac:dyDescent="0.25">
      <c r="A1" s="78" t="s">
        <v>44</v>
      </c>
      <c r="B1" s="71"/>
      <c r="C1" s="71"/>
      <c r="D1" s="71"/>
      <c r="E1" s="71"/>
      <c r="F1" s="71"/>
      <c r="G1" s="72"/>
      <c r="H1" s="71"/>
      <c r="I1" s="71"/>
      <c r="J1" s="71"/>
      <c r="K1" s="71"/>
      <c r="L1" s="71"/>
      <c r="M1" s="72"/>
      <c r="N1" s="71"/>
      <c r="O1" s="71"/>
      <c r="P1" s="71"/>
      <c r="Q1" s="71"/>
      <c r="R1" s="71"/>
      <c r="S1" s="72"/>
      <c r="T1" s="71"/>
      <c r="U1" s="71"/>
      <c r="V1" s="71"/>
      <c r="W1" s="71"/>
      <c r="X1" s="71"/>
      <c r="Y1" s="71"/>
      <c r="Z1" s="73"/>
      <c r="AA1" s="9"/>
      <c r="AB1" s="9"/>
      <c r="AC1" s="9"/>
      <c r="AD1" s="9"/>
      <c r="AE1" s="9"/>
      <c r="AF1" s="9"/>
      <c r="AG1" s="79"/>
      <c r="AH1" s="71"/>
      <c r="AI1" s="73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41"/>
      <c r="AV1" s="41"/>
      <c r="AW1" s="1"/>
      <c r="AX1" s="1"/>
      <c r="AY1" s="1"/>
      <c r="AZ1" s="1"/>
      <c r="BA1" s="1"/>
    </row>
    <row r="2" spans="1:53" x14ac:dyDescent="0.25">
      <c r="A2" s="79" t="s">
        <v>43</v>
      </c>
      <c r="B2" s="71"/>
      <c r="C2" s="71"/>
      <c r="D2" s="71"/>
      <c r="E2" s="71"/>
      <c r="F2" s="71"/>
      <c r="G2" s="72"/>
      <c r="H2" s="71"/>
      <c r="I2" s="71"/>
      <c r="J2" s="71"/>
      <c r="K2" s="71"/>
      <c r="L2" s="71"/>
      <c r="M2" s="72"/>
      <c r="N2" s="71"/>
      <c r="O2" s="71"/>
      <c r="P2" s="71"/>
      <c r="Q2" s="71"/>
      <c r="R2" s="71"/>
      <c r="S2" s="72"/>
      <c r="T2" s="71"/>
      <c r="U2" s="71"/>
      <c r="V2" s="71"/>
      <c r="W2" s="71"/>
      <c r="X2" s="71"/>
      <c r="Y2" s="71"/>
      <c r="Z2" s="73"/>
      <c r="AA2" s="2"/>
      <c r="AB2" s="2"/>
      <c r="AC2" s="2"/>
      <c r="AD2" s="2"/>
      <c r="AE2" s="2"/>
      <c r="AF2" s="2"/>
      <c r="AG2" s="1"/>
      <c r="AH2" s="10"/>
      <c r="AI2" s="10"/>
      <c r="AJ2" s="10"/>
      <c r="AK2" s="10"/>
      <c r="AL2" s="10"/>
      <c r="AM2" s="11"/>
      <c r="AN2" s="11"/>
      <c r="AO2" s="11"/>
      <c r="AP2" s="11"/>
      <c r="AQ2" s="11"/>
      <c r="AR2" s="11"/>
      <c r="AS2" s="11"/>
      <c r="AT2" s="11"/>
      <c r="AU2" s="47"/>
      <c r="AV2" s="47"/>
      <c r="AW2" s="1"/>
      <c r="AX2" s="1"/>
      <c r="AY2" s="1"/>
      <c r="AZ2" s="1"/>
      <c r="BA2" s="1"/>
    </row>
    <row r="3" spans="1:53" ht="17.25" customHeight="1" x14ac:dyDescent="0.25">
      <c r="A3" s="80" t="s">
        <v>5</v>
      </c>
      <c r="B3" s="71"/>
      <c r="C3" s="71"/>
      <c r="D3" s="71"/>
      <c r="E3" s="71"/>
      <c r="F3" s="71"/>
      <c r="G3" s="72"/>
      <c r="H3" s="71"/>
      <c r="I3" s="71"/>
      <c r="J3" s="71"/>
      <c r="K3" s="71"/>
      <c r="L3" s="71"/>
      <c r="M3" s="72"/>
      <c r="N3" s="71"/>
      <c r="O3" s="71"/>
      <c r="P3" s="71"/>
      <c r="Q3" s="71"/>
      <c r="R3" s="71"/>
      <c r="S3" s="72"/>
      <c r="T3" s="71"/>
      <c r="U3" s="71"/>
      <c r="V3" s="71"/>
      <c r="W3" s="71"/>
      <c r="X3" s="71"/>
      <c r="Y3" s="71"/>
      <c r="Z3" s="73"/>
      <c r="AA3" s="2"/>
      <c r="AB3" s="2"/>
      <c r="AC3" s="2"/>
      <c r="AD3" s="2"/>
      <c r="AE3" s="2"/>
      <c r="AF3" s="2"/>
      <c r="AG3" s="4"/>
      <c r="AH3" s="12"/>
      <c r="AI3" s="12"/>
      <c r="AJ3" s="12"/>
      <c r="AK3" s="12"/>
      <c r="AL3" s="12"/>
      <c r="AM3" s="13"/>
      <c r="AN3" s="13"/>
      <c r="AO3" s="13"/>
      <c r="AP3" s="13"/>
      <c r="AQ3" s="13"/>
      <c r="AR3" s="13"/>
      <c r="AS3" s="13"/>
      <c r="AT3" s="13"/>
      <c r="AU3" s="48"/>
      <c r="AV3" s="48"/>
      <c r="AW3" s="1"/>
      <c r="AX3" s="1"/>
      <c r="AY3" s="1"/>
      <c r="AZ3" s="1"/>
      <c r="BA3" s="1"/>
    </row>
    <row r="4" spans="1:53" ht="1.5" customHeight="1" x14ac:dyDescent="0.25">
      <c r="A4" s="1"/>
      <c r="B4" s="96" t="s">
        <v>2</v>
      </c>
      <c r="C4" s="96"/>
      <c r="D4" s="96"/>
      <c r="E4" s="96"/>
      <c r="F4" s="96"/>
      <c r="G4" s="96"/>
      <c r="H4" s="1"/>
      <c r="I4" s="1"/>
      <c r="J4" s="1"/>
      <c r="K4" s="1"/>
      <c r="L4" s="1"/>
      <c r="M4" s="41"/>
      <c r="N4" s="1"/>
      <c r="O4" s="1"/>
      <c r="P4" s="1"/>
      <c r="Q4" s="1"/>
      <c r="R4" s="1"/>
      <c r="S4" s="4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0"/>
      <c r="AI4" s="10"/>
      <c r="AJ4" s="10"/>
      <c r="AK4" s="10"/>
      <c r="AL4" s="10"/>
      <c r="AM4" s="11"/>
      <c r="AN4" s="11"/>
      <c r="AO4" s="11"/>
      <c r="AP4" s="11"/>
      <c r="AQ4" s="11"/>
      <c r="AR4" s="11"/>
      <c r="AS4" s="11"/>
      <c r="AT4" s="11"/>
      <c r="AU4" s="47"/>
      <c r="AV4" s="47"/>
      <c r="AW4" s="1"/>
      <c r="AX4" s="1"/>
      <c r="AY4" s="1"/>
      <c r="AZ4" s="1"/>
      <c r="BA4" s="1"/>
    </row>
    <row r="5" spans="1:53" ht="17.25" customHeight="1" x14ac:dyDescent="0.25">
      <c r="A5" s="81" t="s">
        <v>6</v>
      </c>
      <c r="B5" s="95"/>
      <c r="C5" s="95"/>
      <c r="D5" s="95"/>
      <c r="E5" s="95"/>
      <c r="F5" s="95"/>
      <c r="G5" s="95"/>
      <c r="H5" s="93" t="s">
        <v>3</v>
      </c>
      <c r="I5" s="89"/>
      <c r="J5" s="89"/>
      <c r="K5" s="89"/>
      <c r="L5" s="89"/>
      <c r="M5" s="90"/>
      <c r="N5" s="93" t="s">
        <v>4</v>
      </c>
      <c r="O5" s="89"/>
      <c r="P5" s="89"/>
      <c r="Q5" s="89"/>
      <c r="R5" s="89"/>
      <c r="S5" s="90"/>
      <c r="T5" s="85" t="s">
        <v>7</v>
      </c>
      <c r="U5" s="86"/>
      <c r="V5" s="86"/>
      <c r="W5" s="86"/>
      <c r="X5" s="86"/>
      <c r="Y5" s="87"/>
      <c r="Z5" s="76" t="s">
        <v>8</v>
      </c>
      <c r="AA5" s="3"/>
      <c r="AB5" s="3"/>
      <c r="AC5" s="3"/>
      <c r="AD5" s="3"/>
      <c r="AE5" s="3"/>
      <c r="AF5" s="3"/>
      <c r="AG5" s="1"/>
      <c r="AH5" s="10"/>
      <c r="AI5" s="10"/>
      <c r="AJ5" s="10"/>
      <c r="AK5" s="10"/>
      <c r="AL5" s="10"/>
      <c r="AM5" s="11"/>
      <c r="AN5" s="11"/>
      <c r="AO5" s="11"/>
      <c r="AP5" s="11"/>
      <c r="AQ5" s="11"/>
      <c r="AR5" s="11"/>
      <c r="AS5" s="11"/>
      <c r="AT5" s="11"/>
      <c r="AU5" s="47"/>
      <c r="AV5" s="47"/>
      <c r="AW5" s="1"/>
      <c r="AX5" s="1"/>
      <c r="AY5" s="1"/>
      <c r="AZ5" s="1"/>
      <c r="BA5" s="1"/>
    </row>
    <row r="6" spans="1:53" ht="15" customHeight="1" x14ac:dyDescent="0.25">
      <c r="A6" s="74"/>
      <c r="B6" s="91" t="s">
        <v>9</v>
      </c>
      <c r="C6" s="91"/>
      <c r="D6" s="91"/>
      <c r="E6" s="91"/>
      <c r="F6" s="91"/>
      <c r="G6" s="92"/>
      <c r="H6" s="94" t="s">
        <v>10</v>
      </c>
      <c r="I6" s="91"/>
      <c r="J6" s="91"/>
      <c r="K6" s="91"/>
      <c r="L6" s="91"/>
      <c r="M6" s="92"/>
      <c r="N6" s="68" t="s">
        <v>11</v>
      </c>
      <c r="O6" s="69"/>
      <c r="P6" s="69"/>
      <c r="Q6" s="69"/>
      <c r="R6" s="69"/>
      <c r="S6" s="70"/>
      <c r="T6" s="82" t="s">
        <v>12</v>
      </c>
      <c r="U6" s="83"/>
      <c r="V6" s="83"/>
      <c r="W6" s="83"/>
      <c r="X6" s="83"/>
      <c r="Y6" s="84"/>
      <c r="Z6" s="74"/>
      <c r="AA6" s="3"/>
      <c r="AB6" s="3"/>
      <c r="AC6" s="3"/>
      <c r="AD6" s="3"/>
      <c r="AE6" s="3"/>
      <c r="AF6" s="3"/>
      <c r="AG6" s="1"/>
      <c r="AH6" s="10"/>
      <c r="AI6" s="10"/>
      <c r="AJ6" s="10"/>
      <c r="AK6" s="10"/>
      <c r="AL6" s="10"/>
      <c r="AM6" s="11"/>
      <c r="AN6" s="11"/>
      <c r="AO6" s="11"/>
      <c r="AP6" s="11"/>
      <c r="AQ6" s="11"/>
      <c r="AR6" s="11"/>
      <c r="AS6" s="11"/>
      <c r="AT6" s="11"/>
      <c r="AU6" s="47"/>
      <c r="AV6" s="47"/>
      <c r="AW6" s="1"/>
      <c r="AX6" s="1"/>
      <c r="AY6" s="1"/>
      <c r="AZ6" s="1"/>
      <c r="BA6" s="1"/>
    </row>
    <row r="7" spans="1:53" ht="18" customHeight="1" x14ac:dyDescent="0.25">
      <c r="A7" s="75"/>
      <c r="B7" s="5">
        <v>2020</v>
      </c>
      <c r="C7" s="5">
        <v>2021</v>
      </c>
      <c r="D7" s="5">
        <v>2022</v>
      </c>
      <c r="E7" s="6">
        <v>2023</v>
      </c>
      <c r="F7" s="6">
        <v>2024</v>
      </c>
      <c r="G7" s="7">
        <v>2025</v>
      </c>
      <c r="H7" s="5">
        <v>2020</v>
      </c>
      <c r="I7" s="5">
        <v>2021</v>
      </c>
      <c r="J7" s="6">
        <v>2022</v>
      </c>
      <c r="K7" s="6">
        <v>2023</v>
      </c>
      <c r="L7" s="6">
        <v>2024</v>
      </c>
      <c r="M7" s="7">
        <v>2025</v>
      </c>
      <c r="N7" s="6">
        <v>2020</v>
      </c>
      <c r="O7" s="6">
        <v>2021</v>
      </c>
      <c r="P7" s="6">
        <v>2022</v>
      </c>
      <c r="Q7" s="6">
        <v>2023</v>
      </c>
      <c r="R7" s="6">
        <v>2024</v>
      </c>
      <c r="S7" s="7">
        <v>2025</v>
      </c>
      <c r="T7" s="6">
        <v>2014</v>
      </c>
      <c r="U7" s="6">
        <v>2015</v>
      </c>
      <c r="V7" s="5">
        <v>2016</v>
      </c>
      <c r="W7" s="5">
        <v>2017</v>
      </c>
      <c r="X7" s="5">
        <v>2018</v>
      </c>
      <c r="Y7" s="6">
        <v>2019</v>
      </c>
      <c r="Z7" s="75"/>
      <c r="AA7" s="3"/>
      <c r="AB7" s="3"/>
      <c r="AC7" s="3"/>
      <c r="AD7" s="3"/>
      <c r="AE7" s="3"/>
      <c r="AF7" s="3"/>
      <c r="AG7" s="1"/>
      <c r="AH7" s="10"/>
      <c r="AI7" s="10"/>
      <c r="AJ7" s="10"/>
      <c r="AK7" s="10"/>
      <c r="AL7" s="10"/>
      <c r="AM7" s="11"/>
      <c r="AN7" s="11"/>
      <c r="AO7" s="11"/>
      <c r="AP7" s="11"/>
      <c r="AQ7" s="11"/>
      <c r="AR7" s="11"/>
      <c r="AS7" s="11"/>
      <c r="AT7" s="11"/>
      <c r="AU7" s="47"/>
      <c r="AV7" s="47"/>
      <c r="AW7" s="1"/>
      <c r="AX7" s="1"/>
      <c r="AY7" s="1"/>
      <c r="AZ7" s="1"/>
      <c r="BA7" s="1"/>
    </row>
    <row r="8" spans="1:53" ht="21.75" customHeight="1" x14ac:dyDescent="0.25">
      <c r="A8" s="14" t="s">
        <v>1</v>
      </c>
      <c r="B8" s="16">
        <f t="shared" ref="B8:Y8" si="0">SUM(B9:B20)</f>
        <v>1033206966.9300001</v>
      </c>
      <c r="C8" s="16">
        <f t="shared" si="0"/>
        <v>1091327117.3300002</v>
      </c>
      <c r="D8" s="16">
        <f t="shared" si="0"/>
        <v>1157136335.3399999</v>
      </c>
      <c r="E8" s="16">
        <f t="shared" si="0"/>
        <v>1229378253.6300001</v>
      </c>
      <c r="F8" s="53">
        <f t="shared" si="0"/>
        <v>1320319233.1000001</v>
      </c>
      <c r="G8" s="58">
        <f t="shared" ref="G8" si="1">SUM(G9:G20)</f>
        <v>1418725384.9099998</v>
      </c>
      <c r="H8" s="16">
        <f t="shared" si="0"/>
        <v>102480521.42999998</v>
      </c>
      <c r="I8" s="17">
        <f t="shared" si="0"/>
        <v>123388416.45</v>
      </c>
      <c r="J8" s="17">
        <f t="shared" si="0"/>
        <v>128539842.67</v>
      </c>
      <c r="K8" s="17">
        <f t="shared" si="0"/>
        <v>146264670.91</v>
      </c>
      <c r="L8" s="53">
        <f t="shared" si="0"/>
        <v>165544920.53999999</v>
      </c>
      <c r="M8" s="58">
        <f t="shared" ref="M8" si="2">SUM(M9:M20)</f>
        <v>185903853.97999999</v>
      </c>
      <c r="N8" s="16">
        <f t="shared" si="0"/>
        <v>292838541.17999995</v>
      </c>
      <c r="O8" s="16">
        <f t="shared" si="0"/>
        <v>315639967.15999997</v>
      </c>
      <c r="P8" s="16">
        <f t="shared" si="0"/>
        <v>337854635.94999999</v>
      </c>
      <c r="Q8" s="16">
        <f t="shared" si="0"/>
        <v>358785176.56999999</v>
      </c>
      <c r="R8" s="59">
        <f t="shared" si="0"/>
        <v>364739424.60000002</v>
      </c>
      <c r="S8" s="60">
        <f t="shared" ref="S8" si="3">SUM(S9:S20)</f>
        <v>388171491.5399999</v>
      </c>
      <c r="T8" s="16">
        <f t="shared" si="0"/>
        <v>471311711.34999996</v>
      </c>
      <c r="U8" s="15">
        <f t="shared" si="0"/>
        <v>524547328.45999992</v>
      </c>
      <c r="V8" s="15">
        <f t="shared" si="0"/>
        <v>533482537.69000006</v>
      </c>
      <c r="W8" s="15">
        <f t="shared" si="0"/>
        <v>539036947.02999997</v>
      </c>
      <c r="X8" s="15">
        <f t="shared" si="0"/>
        <v>550823763.64999998</v>
      </c>
      <c r="Y8" s="15">
        <f t="shared" si="0"/>
        <v>93669343.139999986</v>
      </c>
      <c r="Z8" s="18" t="s">
        <v>0</v>
      </c>
      <c r="AA8" s="18"/>
      <c r="AB8" s="18"/>
      <c r="AC8" s="18"/>
      <c r="AD8" s="18"/>
      <c r="AE8" s="18"/>
      <c r="AF8" s="18"/>
      <c r="AG8" s="1"/>
      <c r="AH8" s="10"/>
      <c r="AI8" s="10"/>
      <c r="AJ8" s="10"/>
      <c r="AK8" s="10"/>
      <c r="AL8" s="10"/>
      <c r="AM8" s="11"/>
      <c r="AN8" s="11"/>
      <c r="AO8" s="11"/>
      <c r="AP8" s="11"/>
      <c r="AQ8" s="11"/>
      <c r="AR8" s="11"/>
      <c r="AS8" s="11"/>
      <c r="AT8" s="11"/>
      <c r="AU8" s="47"/>
      <c r="AV8" s="47"/>
      <c r="AW8" s="1"/>
      <c r="AX8" s="1"/>
      <c r="AY8" s="1"/>
      <c r="AZ8" s="1"/>
      <c r="BA8" s="1"/>
    </row>
    <row r="9" spans="1:53" ht="21.75" customHeight="1" x14ac:dyDescent="0.25">
      <c r="A9" s="42" t="s">
        <v>13</v>
      </c>
      <c r="B9" s="19">
        <v>84205179.430000007</v>
      </c>
      <c r="C9" s="19">
        <v>89024014.049999997</v>
      </c>
      <c r="D9" s="19">
        <v>94109382.299999997</v>
      </c>
      <c r="E9" s="19">
        <v>100186558.25</v>
      </c>
      <c r="F9" s="54">
        <v>106721468.25</v>
      </c>
      <c r="G9" s="62">
        <v>114750717.42</v>
      </c>
      <c r="H9" s="19">
        <v>7908459.1699999999</v>
      </c>
      <c r="I9" s="19">
        <v>9405236.0500000007</v>
      </c>
      <c r="J9" s="19">
        <v>10618355.619999999</v>
      </c>
      <c r="K9" s="19">
        <v>10568383.58</v>
      </c>
      <c r="L9" s="54">
        <v>11793093.189999999</v>
      </c>
      <c r="M9" s="63">
        <v>16260454.890000001</v>
      </c>
      <c r="N9" s="19">
        <v>24744606.129999999</v>
      </c>
      <c r="O9" s="19">
        <v>26928109.16</v>
      </c>
      <c r="P9" s="19">
        <v>26141954.390000001</v>
      </c>
      <c r="Q9" s="19">
        <v>32347317.719999999</v>
      </c>
      <c r="R9" s="54">
        <v>30930639.16</v>
      </c>
      <c r="S9" s="64">
        <v>32523383.289999999</v>
      </c>
      <c r="T9" s="19">
        <v>0</v>
      </c>
      <c r="U9" s="20">
        <v>43131466.32</v>
      </c>
      <c r="V9" s="20">
        <v>44468675.030000001</v>
      </c>
      <c r="W9" s="20">
        <v>44461770.149999999</v>
      </c>
      <c r="X9" s="20">
        <v>45577506.369999997</v>
      </c>
      <c r="Y9" s="20">
        <v>46596972.479999997</v>
      </c>
      <c r="Z9" s="44" t="s">
        <v>14</v>
      </c>
      <c r="AA9" s="21"/>
      <c r="AB9" s="21"/>
      <c r="AC9" s="22"/>
      <c r="AD9" s="21"/>
      <c r="AE9" s="21"/>
      <c r="AF9" s="21"/>
      <c r="AG9" s="23"/>
      <c r="AH9" s="24"/>
      <c r="AI9" s="10"/>
      <c r="AJ9" s="10"/>
      <c r="AK9" s="10"/>
      <c r="AL9" s="1"/>
      <c r="AM9" s="11"/>
      <c r="AN9" s="11"/>
      <c r="AO9" s="11"/>
      <c r="AP9" s="11"/>
      <c r="AQ9" s="11"/>
      <c r="AR9" s="11"/>
      <c r="AS9" s="11"/>
      <c r="AT9" s="11"/>
      <c r="AU9" s="47"/>
      <c r="AV9" s="47"/>
      <c r="AW9" s="1"/>
      <c r="AX9" s="1"/>
      <c r="AY9" s="1"/>
      <c r="AZ9" s="1"/>
      <c r="BA9" s="1"/>
    </row>
    <row r="10" spans="1:53" ht="21.75" customHeight="1" x14ac:dyDescent="0.25">
      <c r="A10" s="42" t="s">
        <v>15</v>
      </c>
      <c r="B10" s="19">
        <v>85047798.390000001</v>
      </c>
      <c r="C10" s="19">
        <v>89765954.069999993</v>
      </c>
      <c r="D10" s="19">
        <v>94923581.439999998</v>
      </c>
      <c r="E10" s="19">
        <v>101065666.63</v>
      </c>
      <c r="F10" s="54">
        <v>107599554.51000001</v>
      </c>
      <c r="G10" s="62">
        <v>115685711.88</v>
      </c>
      <c r="H10" s="19">
        <v>9223041.8300000001</v>
      </c>
      <c r="I10" s="19">
        <v>10240812.98</v>
      </c>
      <c r="J10" s="19">
        <v>8998572.8599999994</v>
      </c>
      <c r="K10" s="19">
        <v>11960731.91</v>
      </c>
      <c r="L10" s="54">
        <v>14354309.07</v>
      </c>
      <c r="M10" s="63">
        <v>13237781.23</v>
      </c>
      <c r="N10" s="19">
        <v>24562857.760000002</v>
      </c>
      <c r="O10" s="19">
        <v>25222298.84</v>
      </c>
      <c r="P10" s="19">
        <v>29136776.829999998</v>
      </c>
      <c r="Q10" s="19">
        <v>30985335.210000001</v>
      </c>
      <c r="R10" s="54">
        <v>30413475.41</v>
      </c>
      <c r="S10" s="64">
        <v>34813777.920000002</v>
      </c>
      <c r="T10" s="19">
        <v>42210402.700000003</v>
      </c>
      <c r="U10" s="20">
        <v>43254914.210000001</v>
      </c>
      <c r="V10" s="20">
        <v>44633060.780000001</v>
      </c>
      <c r="W10" s="20">
        <v>44810914.170000002</v>
      </c>
      <c r="X10" s="20">
        <v>46034387.5</v>
      </c>
      <c r="Y10" s="20">
        <v>47072370.659999996</v>
      </c>
      <c r="Z10" s="44" t="s">
        <v>16</v>
      </c>
      <c r="AA10" s="21"/>
      <c r="AB10" s="21"/>
      <c r="AC10" s="22"/>
      <c r="AD10" s="21"/>
      <c r="AE10" s="21"/>
      <c r="AF10" s="21"/>
      <c r="AG10" s="1"/>
      <c r="AH10" s="24"/>
      <c r="AI10" s="10"/>
      <c r="AJ10" s="10"/>
      <c r="AK10" s="10"/>
      <c r="AL10" s="1"/>
      <c r="AM10" s="11"/>
      <c r="AN10" s="11"/>
      <c r="AO10" s="11"/>
      <c r="AP10" s="11"/>
      <c r="AQ10" s="11"/>
      <c r="AR10" s="11"/>
      <c r="AS10" s="11"/>
      <c r="AT10" s="11"/>
      <c r="AU10" s="47"/>
      <c r="AV10" s="47"/>
      <c r="AW10" s="1"/>
      <c r="AX10" s="1"/>
      <c r="AY10" s="1"/>
      <c r="AZ10" s="1"/>
      <c r="BA10" s="1"/>
    </row>
    <row r="11" spans="1:53" ht="21.75" customHeight="1" x14ac:dyDescent="0.25">
      <c r="A11" s="42" t="s">
        <v>17</v>
      </c>
      <c r="B11" s="19">
        <v>85530868.75</v>
      </c>
      <c r="C11" s="19">
        <v>90397315.459999993</v>
      </c>
      <c r="D11" s="19">
        <v>95185539.5</v>
      </c>
      <c r="E11" s="19">
        <v>101282326.29000001</v>
      </c>
      <c r="F11" s="54">
        <v>108243385.06999999</v>
      </c>
      <c r="G11" s="62">
        <v>116029391.68000001</v>
      </c>
      <c r="H11" s="19">
        <v>9275531.8399999999</v>
      </c>
      <c r="I11" s="19">
        <v>9546770.7400000002</v>
      </c>
      <c r="J11" s="19">
        <v>10249196.550000001</v>
      </c>
      <c r="K11" s="19">
        <v>13988224.960000001</v>
      </c>
      <c r="L11" s="54">
        <v>12419207.58</v>
      </c>
      <c r="M11" s="63">
        <v>13143348.439999999</v>
      </c>
      <c r="N11" s="19">
        <v>27314533.890000001</v>
      </c>
      <c r="O11" s="19">
        <v>25319492</v>
      </c>
      <c r="P11" s="19">
        <v>27551049.829999998</v>
      </c>
      <c r="Q11" s="19">
        <v>26543748.18</v>
      </c>
      <c r="R11" s="54">
        <v>29187638.18</v>
      </c>
      <c r="S11" s="64">
        <v>31689197.600000001</v>
      </c>
      <c r="T11" s="19">
        <v>42833238.119999997</v>
      </c>
      <c r="U11" s="20">
        <v>44149568.780000001</v>
      </c>
      <c r="V11" s="20">
        <v>44537862.530000001</v>
      </c>
      <c r="W11" s="20">
        <v>44721757.189999998</v>
      </c>
      <c r="X11" s="20">
        <v>45909139.420000002</v>
      </c>
      <c r="Y11" s="20">
        <v>0</v>
      </c>
      <c r="Z11" s="44" t="s">
        <v>18</v>
      </c>
      <c r="AA11" s="21"/>
      <c r="AB11" s="21"/>
      <c r="AC11" s="22"/>
      <c r="AD11" s="21"/>
      <c r="AE11" s="21"/>
      <c r="AF11" s="21"/>
      <c r="AG11" s="1"/>
      <c r="AH11" s="24"/>
      <c r="AI11" s="10"/>
      <c r="AJ11" s="10"/>
      <c r="AK11" s="10"/>
      <c r="AL11" s="10"/>
      <c r="AM11" s="11"/>
      <c r="AN11" s="11"/>
      <c r="AO11" s="11"/>
      <c r="AP11" s="11"/>
      <c r="AQ11" s="11"/>
      <c r="AR11" s="11"/>
      <c r="AS11" s="11"/>
      <c r="AT11" s="11"/>
      <c r="AU11" s="47"/>
      <c r="AV11" s="47"/>
      <c r="AW11" s="1"/>
      <c r="AX11" s="1"/>
      <c r="AY11" s="1"/>
      <c r="AZ11" s="1"/>
      <c r="BA11" s="1"/>
    </row>
    <row r="12" spans="1:53" ht="21.75" customHeight="1" x14ac:dyDescent="0.25">
      <c r="A12" s="42" t="s">
        <v>19</v>
      </c>
      <c r="B12" s="19">
        <v>85495145.260000005</v>
      </c>
      <c r="C12" s="19">
        <v>90459261.060000002</v>
      </c>
      <c r="D12" s="19">
        <v>96084879.540000007</v>
      </c>
      <c r="E12" s="19">
        <v>101759312.18000001</v>
      </c>
      <c r="F12" s="54">
        <v>108921735.88</v>
      </c>
      <c r="G12" s="62">
        <v>116714693.08</v>
      </c>
      <c r="H12" s="19">
        <v>7369249.71</v>
      </c>
      <c r="I12" s="19">
        <v>9415966.2599999998</v>
      </c>
      <c r="J12" s="19">
        <v>10592280.42</v>
      </c>
      <c r="K12" s="19">
        <v>11850368.800000001</v>
      </c>
      <c r="L12" s="54">
        <v>12232034.33</v>
      </c>
      <c r="M12" s="63">
        <v>14243612.560000001</v>
      </c>
      <c r="N12" s="19">
        <v>23545193.949999999</v>
      </c>
      <c r="O12" s="19">
        <v>28555799.079999998</v>
      </c>
      <c r="P12" s="19">
        <v>26874495.079999998</v>
      </c>
      <c r="Q12" s="19">
        <v>27993778.789999999</v>
      </c>
      <c r="R12" s="54">
        <v>29375402.68</v>
      </c>
      <c r="S12" s="64">
        <v>32150811.609999999</v>
      </c>
      <c r="T12" s="19">
        <v>43089362.960000001</v>
      </c>
      <c r="U12" s="20">
        <v>43619940.25</v>
      </c>
      <c r="V12" s="20">
        <v>44571685.759999998</v>
      </c>
      <c r="W12" s="20">
        <v>44880317.399999999</v>
      </c>
      <c r="X12" s="20">
        <v>45996533.189999998</v>
      </c>
      <c r="Y12" s="20">
        <v>0</v>
      </c>
      <c r="Z12" s="44" t="s">
        <v>20</v>
      </c>
      <c r="AA12" s="21"/>
      <c r="AB12" s="21"/>
      <c r="AC12" s="22"/>
      <c r="AD12" s="21"/>
      <c r="AE12" s="21"/>
      <c r="AF12" s="21"/>
      <c r="AG12" s="1"/>
      <c r="AH12" s="24"/>
      <c r="AI12" s="10"/>
      <c r="AJ12" s="10"/>
      <c r="AK12" s="10"/>
      <c r="AL12" s="10"/>
      <c r="AM12" s="11"/>
      <c r="AN12" s="11"/>
      <c r="AO12" s="11"/>
      <c r="AP12" s="11"/>
      <c r="AQ12" s="11"/>
      <c r="AR12" s="11"/>
      <c r="AS12" s="11"/>
      <c r="AT12" s="11"/>
      <c r="AU12" s="47"/>
      <c r="AV12" s="47"/>
      <c r="AW12" s="1"/>
      <c r="AX12" s="1"/>
      <c r="AY12" s="1"/>
      <c r="AZ12" s="1"/>
      <c r="BA12" s="1"/>
    </row>
    <row r="13" spans="1:53" ht="21.75" customHeight="1" x14ac:dyDescent="0.25">
      <c r="A13" s="42" t="s">
        <v>21</v>
      </c>
      <c r="B13" s="19">
        <v>85433568.219999999</v>
      </c>
      <c r="C13" s="19">
        <v>90676522.090000004</v>
      </c>
      <c r="D13" s="19">
        <v>96467349.769999996</v>
      </c>
      <c r="E13" s="19">
        <v>101701098.01000001</v>
      </c>
      <c r="F13" s="54">
        <v>109376676.65000001</v>
      </c>
      <c r="G13" s="62">
        <v>117591316.31999999</v>
      </c>
      <c r="H13" s="19">
        <v>7054956.5499999998</v>
      </c>
      <c r="I13" s="19">
        <v>10948229.890000001</v>
      </c>
      <c r="J13" s="19">
        <v>13325792.289999999</v>
      </c>
      <c r="K13" s="19">
        <v>12920950.859999999</v>
      </c>
      <c r="L13" s="54">
        <v>16516544.91</v>
      </c>
      <c r="M13" s="63">
        <v>15744866.640000001</v>
      </c>
      <c r="N13" s="19">
        <v>24089928.109999999</v>
      </c>
      <c r="O13" s="19">
        <v>26470935.940000001</v>
      </c>
      <c r="P13" s="19">
        <v>25677596.23</v>
      </c>
      <c r="Q13" s="19">
        <v>27811723.829999998</v>
      </c>
      <c r="R13" s="54">
        <v>31882995.609999999</v>
      </c>
      <c r="S13" s="64">
        <v>31739017.440000001</v>
      </c>
      <c r="T13" s="19">
        <v>42951893.25</v>
      </c>
      <c r="U13" s="20">
        <v>43724982.609999999</v>
      </c>
      <c r="V13" s="20">
        <v>44559908.899999999</v>
      </c>
      <c r="W13" s="20">
        <v>45031827.07</v>
      </c>
      <c r="X13" s="20">
        <v>45905014</v>
      </c>
      <c r="Y13" s="20">
        <v>0</v>
      </c>
      <c r="Z13" s="44" t="s">
        <v>22</v>
      </c>
      <c r="AA13" s="21"/>
      <c r="AB13" s="21"/>
      <c r="AC13" s="21"/>
      <c r="AD13" s="21"/>
      <c r="AE13" s="21"/>
      <c r="AF13" s="21"/>
      <c r="AG13" s="1"/>
      <c r="AH13" s="24"/>
      <c r="AI13" s="10"/>
      <c r="AJ13" s="10"/>
      <c r="AK13" s="10"/>
      <c r="AL13" s="10"/>
      <c r="AM13" s="11"/>
      <c r="AN13" s="11"/>
      <c r="AO13" s="11"/>
      <c r="AP13" s="11"/>
      <c r="AQ13" s="11"/>
      <c r="AR13" s="11"/>
      <c r="AS13" s="11"/>
      <c r="AT13" s="11"/>
      <c r="AU13" s="47"/>
      <c r="AV13" s="47"/>
      <c r="AW13" s="1"/>
      <c r="AX13" s="1"/>
      <c r="AY13" s="1"/>
      <c r="AZ13" s="1"/>
      <c r="BA13" s="1"/>
    </row>
    <row r="14" spans="1:53" ht="21.75" customHeight="1" x14ac:dyDescent="0.25">
      <c r="A14" s="42" t="s">
        <v>23</v>
      </c>
      <c r="B14" s="19">
        <v>85894473.629999995</v>
      </c>
      <c r="C14" s="19">
        <v>90597280.329999998</v>
      </c>
      <c r="D14" s="19">
        <v>96673697.530000001</v>
      </c>
      <c r="E14" s="19">
        <v>102145083.08</v>
      </c>
      <c r="F14" s="54">
        <v>109828119.95999999</v>
      </c>
      <c r="G14" s="62">
        <v>118098336.62</v>
      </c>
      <c r="H14" s="19">
        <v>8321216.6799999997</v>
      </c>
      <c r="I14" s="19">
        <v>10046283.880000001</v>
      </c>
      <c r="J14" s="19">
        <v>10196624.869999999</v>
      </c>
      <c r="K14" s="19">
        <v>11099236.359999999</v>
      </c>
      <c r="L14" s="54">
        <v>11612749.300000001</v>
      </c>
      <c r="M14" s="63">
        <v>15218046.99</v>
      </c>
      <c r="N14" s="19">
        <v>23527835.149999999</v>
      </c>
      <c r="O14" s="19">
        <v>24784633.620000001</v>
      </c>
      <c r="P14" s="19">
        <v>26777259.68</v>
      </c>
      <c r="Q14" s="19">
        <v>29752356.879999999</v>
      </c>
      <c r="R14" s="54">
        <v>29443158.760000002</v>
      </c>
      <c r="S14" s="64">
        <v>30760363.140000001</v>
      </c>
      <c r="T14" s="19">
        <v>42755542.670000002</v>
      </c>
      <c r="U14" s="20">
        <v>43737662.259999998</v>
      </c>
      <c r="V14" s="20">
        <v>44460131.060000002</v>
      </c>
      <c r="W14" s="20">
        <v>44946197.149999999</v>
      </c>
      <c r="X14" s="20">
        <v>45901185.25</v>
      </c>
      <c r="Y14" s="20">
        <v>0</v>
      </c>
      <c r="Z14" s="44" t="s">
        <v>24</v>
      </c>
      <c r="AA14" s="21"/>
      <c r="AB14" s="21"/>
      <c r="AC14" s="21"/>
      <c r="AD14" s="21"/>
      <c r="AE14" s="21"/>
      <c r="AF14" s="21"/>
      <c r="AG14" s="1"/>
      <c r="AH14" s="24"/>
      <c r="AI14" s="10"/>
      <c r="AJ14" s="10"/>
      <c r="AK14" s="10"/>
      <c r="AL14" s="10"/>
      <c r="AM14" s="11"/>
      <c r="AN14" s="11"/>
      <c r="AO14" s="11"/>
      <c r="AP14" s="11"/>
      <c r="AQ14" s="11"/>
      <c r="AR14" s="11"/>
      <c r="AS14" s="11"/>
      <c r="AT14" s="11"/>
      <c r="AU14" s="47"/>
      <c r="AV14" s="47"/>
      <c r="AW14" s="1"/>
      <c r="AX14" s="1"/>
      <c r="AY14" s="1"/>
      <c r="AZ14" s="1"/>
      <c r="BA14" s="1"/>
    </row>
    <row r="15" spans="1:53" ht="21.75" customHeight="1" x14ac:dyDescent="0.25">
      <c r="A15" s="42" t="s">
        <v>25</v>
      </c>
      <c r="B15" s="19">
        <v>86286402.700000003</v>
      </c>
      <c r="C15" s="19">
        <v>90796978.950000003</v>
      </c>
      <c r="D15" s="19">
        <v>96520922.420000002</v>
      </c>
      <c r="E15" s="19">
        <v>102696962.29000001</v>
      </c>
      <c r="F15" s="54">
        <v>110631391.93000001</v>
      </c>
      <c r="G15" s="62">
        <v>119017461.20999999</v>
      </c>
      <c r="H15" s="19">
        <v>8882763.3300000001</v>
      </c>
      <c r="I15" s="19">
        <v>10129299.859999999</v>
      </c>
      <c r="J15" s="19">
        <v>9864487.0999999996</v>
      </c>
      <c r="K15" s="19">
        <v>11006552.32</v>
      </c>
      <c r="L15" s="54">
        <v>17217468.550000001</v>
      </c>
      <c r="M15" s="63">
        <v>15178891.84</v>
      </c>
      <c r="N15" s="19">
        <v>24101938.379999999</v>
      </c>
      <c r="O15" s="19">
        <v>25400549.43</v>
      </c>
      <c r="P15" s="19">
        <v>28046897.710000001</v>
      </c>
      <c r="Q15" s="19">
        <v>28000449.190000001</v>
      </c>
      <c r="R15" s="54">
        <v>33052669.75</v>
      </c>
      <c r="S15" s="64">
        <v>34353070.979999997</v>
      </c>
      <c r="T15" s="19">
        <v>43020315.149999999</v>
      </c>
      <c r="U15" s="20">
        <v>43752500.329999998</v>
      </c>
      <c r="V15" s="20">
        <v>44393636.399999999</v>
      </c>
      <c r="W15" s="20">
        <v>44989173.789999999</v>
      </c>
      <c r="X15" s="20">
        <v>45986715.799999997</v>
      </c>
      <c r="Y15" s="20">
        <v>0</v>
      </c>
      <c r="Z15" s="44" t="s">
        <v>26</v>
      </c>
      <c r="AA15" s="21"/>
      <c r="AB15" s="21"/>
      <c r="AC15" s="21"/>
      <c r="AD15" s="21"/>
      <c r="AE15" s="21"/>
      <c r="AF15" s="21"/>
      <c r="AG15" s="1"/>
      <c r="AH15" s="24"/>
      <c r="AI15" s="10"/>
      <c r="AJ15" s="10"/>
      <c r="AK15" s="10"/>
      <c r="AL15" s="10"/>
      <c r="AM15" s="11"/>
      <c r="AN15" s="11"/>
      <c r="AO15" s="11"/>
      <c r="AP15" s="11"/>
      <c r="AQ15" s="11"/>
      <c r="AR15" s="11"/>
      <c r="AS15" s="11"/>
      <c r="AT15" s="11"/>
      <c r="AU15" s="47"/>
      <c r="AV15" s="47"/>
      <c r="AW15" s="1"/>
      <c r="AX15" s="1"/>
      <c r="AY15" s="1"/>
      <c r="AZ15" s="1"/>
      <c r="BA15" s="1"/>
    </row>
    <row r="16" spans="1:53" ht="21.75" customHeight="1" x14ac:dyDescent="0.25">
      <c r="A16" s="42" t="s">
        <v>27</v>
      </c>
      <c r="B16" s="19">
        <v>86468412.319999993</v>
      </c>
      <c r="C16" s="19">
        <v>91503229.530000001</v>
      </c>
      <c r="D16" s="19">
        <v>96822922.019999996</v>
      </c>
      <c r="E16" s="19">
        <v>103189534.34</v>
      </c>
      <c r="F16" s="54">
        <v>111179631.97</v>
      </c>
      <c r="G16" s="62">
        <v>119255693.56</v>
      </c>
      <c r="H16" s="19">
        <v>8232170.2400000002</v>
      </c>
      <c r="I16" s="19">
        <v>10453579.65</v>
      </c>
      <c r="J16" s="19">
        <v>11333459.91</v>
      </c>
      <c r="K16" s="19">
        <v>12104001.779999999</v>
      </c>
      <c r="L16" s="54">
        <v>13541327.68</v>
      </c>
      <c r="M16" s="63">
        <v>17325011.84</v>
      </c>
      <c r="N16" s="19">
        <v>23542787.829999998</v>
      </c>
      <c r="O16" s="19">
        <v>25384848.5</v>
      </c>
      <c r="P16" s="19">
        <v>29350585.350000001</v>
      </c>
      <c r="Q16" s="19">
        <v>29387438.420000002</v>
      </c>
      <c r="R16" s="54">
        <v>29601700.629999999</v>
      </c>
      <c r="S16" s="64">
        <v>31904371.559999999</v>
      </c>
      <c r="T16" s="19">
        <v>42960311.329999998</v>
      </c>
      <c r="U16" s="20">
        <v>43870459</v>
      </c>
      <c r="V16" s="20">
        <v>44528204.109999999</v>
      </c>
      <c r="W16" s="20">
        <v>45041925.409999996</v>
      </c>
      <c r="X16" s="20">
        <v>46020459.649999999</v>
      </c>
      <c r="Y16" s="20">
        <v>0</v>
      </c>
      <c r="Z16" s="44" t="s">
        <v>28</v>
      </c>
      <c r="AA16" s="21"/>
      <c r="AB16" s="21"/>
      <c r="AC16" s="21"/>
      <c r="AD16" s="21"/>
      <c r="AE16" s="21"/>
      <c r="AF16" s="21"/>
      <c r="AG16" s="1"/>
      <c r="AH16" s="24"/>
      <c r="AI16" s="10"/>
      <c r="AJ16" s="10"/>
      <c r="AK16" s="10"/>
      <c r="AL16" s="10"/>
      <c r="AM16" s="11"/>
      <c r="AN16" s="11"/>
      <c r="AO16" s="11"/>
      <c r="AP16" s="11"/>
      <c r="AQ16" s="11"/>
      <c r="AR16" s="11"/>
      <c r="AS16" s="11"/>
      <c r="AT16" s="11"/>
      <c r="AU16" s="47"/>
      <c r="AV16" s="47"/>
      <c r="AW16" s="1"/>
      <c r="AX16" s="1"/>
      <c r="AY16" s="1"/>
      <c r="AZ16" s="1"/>
      <c r="BA16" s="1"/>
    </row>
    <row r="17" spans="1:55" ht="21.75" customHeight="1" x14ac:dyDescent="0.25">
      <c r="A17" s="42" t="s">
        <v>29</v>
      </c>
      <c r="B17" s="19">
        <v>87650800.219999999</v>
      </c>
      <c r="C17" s="19">
        <v>91784097.930000007</v>
      </c>
      <c r="D17" s="19">
        <v>97203262.280000001</v>
      </c>
      <c r="E17" s="19">
        <v>103353735.64</v>
      </c>
      <c r="F17" s="54">
        <v>111549096.83</v>
      </c>
      <c r="G17" s="62">
        <v>119668258.66</v>
      </c>
      <c r="H17" s="19">
        <v>10867602.789999999</v>
      </c>
      <c r="I17" s="19">
        <v>11255233.67</v>
      </c>
      <c r="J17" s="19">
        <v>10682899.32</v>
      </c>
      <c r="K17" s="19">
        <v>12534110.99</v>
      </c>
      <c r="L17" s="54">
        <v>14158862.550000001</v>
      </c>
      <c r="M17" s="63">
        <v>15192647.76</v>
      </c>
      <c r="N17" s="19">
        <v>24651010.469999999</v>
      </c>
      <c r="O17" s="19">
        <v>27296824.289999999</v>
      </c>
      <c r="P17" s="19">
        <v>28539708.84</v>
      </c>
      <c r="Q17" s="19">
        <v>30213407.440000001</v>
      </c>
      <c r="R17" s="54">
        <v>30481766.940000001</v>
      </c>
      <c r="S17" s="64">
        <v>31699972</v>
      </c>
      <c r="T17" s="19">
        <v>42967536.020000003</v>
      </c>
      <c r="U17" s="20">
        <v>43935052.659999996</v>
      </c>
      <c r="V17" s="20">
        <v>44435147.43</v>
      </c>
      <c r="W17" s="20">
        <v>45281804.299999997</v>
      </c>
      <c r="X17" s="20">
        <v>45982647.130000003</v>
      </c>
      <c r="Y17" s="20">
        <v>0</v>
      </c>
      <c r="Z17" s="44" t="s">
        <v>30</v>
      </c>
      <c r="AA17" s="21"/>
      <c r="AB17" s="21"/>
      <c r="AC17" s="21"/>
      <c r="AD17" s="21"/>
      <c r="AE17" s="21"/>
      <c r="AF17" s="21"/>
      <c r="AG17" s="1"/>
      <c r="AH17" s="24"/>
      <c r="AI17" s="10"/>
      <c r="AJ17" s="10"/>
      <c r="AK17" s="10"/>
      <c r="AL17" s="10"/>
      <c r="AM17" s="11"/>
      <c r="AN17" s="11"/>
      <c r="AO17" s="11"/>
      <c r="AP17" s="11"/>
      <c r="AQ17" s="11"/>
      <c r="AR17" s="11"/>
      <c r="AS17" s="11"/>
      <c r="AT17" s="11"/>
      <c r="AU17" s="47"/>
      <c r="AV17" s="47"/>
      <c r="AW17" s="1"/>
      <c r="AX17" s="1"/>
      <c r="AY17" s="1"/>
      <c r="AZ17" s="1"/>
      <c r="BA17" s="1"/>
    </row>
    <row r="18" spans="1:55" ht="21.75" customHeight="1" x14ac:dyDescent="0.25">
      <c r="A18" s="42" t="s">
        <v>31</v>
      </c>
      <c r="B18" s="19">
        <v>87032361.140000001</v>
      </c>
      <c r="C18" s="19">
        <v>91984224.239999995</v>
      </c>
      <c r="D18" s="19">
        <v>98103575.209999993</v>
      </c>
      <c r="E18" s="19">
        <v>103768501.04000001</v>
      </c>
      <c r="F18" s="54">
        <v>111823074.84999999</v>
      </c>
      <c r="G18" s="62">
        <v>120331343.08</v>
      </c>
      <c r="H18" s="19">
        <v>7840916.3700000001</v>
      </c>
      <c r="I18" s="19">
        <v>8617969.8699999992</v>
      </c>
      <c r="J18" s="19">
        <v>10585595.109999999</v>
      </c>
      <c r="K18" s="19">
        <v>12564204.869999999</v>
      </c>
      <c r="L18" s="54">
        <v>14094780.119999999</v>
      </c>
      <c r="M18" s="63">
        <v>15775020.25</v>
      </c>
      <c r="N18" s="19">
        <v>23501154.859999999</v>
      </c>
      <c r="O18" s="19">
        <v>24199617.809999999</v>
      </c>
      <c r="P18" s="19">
        <v>29792973.670000002</v>
      </c>
      <c r="Q18" s="19">
        <v>30030072.59</v>
      </c>
      <c r="R18" s="54">
        <v>29220452.859999999</v>
      </c>
      <c r="S18" s="64">
        <v>32408990.079999998</v>
      </c>
      <c r="T18" s="19">
        <v>43043959.509999998</v>
      </c>
      <c r="U18" s="20">
        <v>43913866.189999998</v>
      </c>
      <c r="V18" s="20">
        <v>44405359.340000004</v>
      </c>
      <c r="W18" s="20">
        <v>44969354.149999999</v>
      </c>
      <c r="X18" s="20">
        <v>45894130.229999997</v>
      </c>
      <c r="Y18" s="20">
        <v>0</v>
      </c>
      <c r="Z18" s="44" t="s">
        <v>32</v>
      </c>
      <c r="AA18" s="21"/>
      <c r="AB18" s="21"/>
      <c r="AC18" s="21"/>
      <c r="AD18" s="21"/>
      <c r="AE18" s="21"/>
      <c r="AF18" s="21"/>
      <c r="AG18" s="1"/>
      <c r="AH18" s="24"/>
      <c r="AI18" s="10"/>
      <c r="AJ18" s="10"/>
      <c r="AK18" s="10"/>
      <c r="AL18" s="10"/>
      <c r="AM18" s="11"/>
      <c r="AN18" s="11"/>
      <c r="AO18" s="11"/>
      <c r="AP18" s="11"/>
      <c r="AQ18" s="11"/>
      <c r="AR18" s="11"/>
      <c r="AS18" s="11"/>
      <c r="AT18" s="11"/>
      <c r="AU18" s="47"/>
      <c r="AV18" s="47"/>
      <c r="AW18" s="1"/>
      <c r="AX18" s="1"/>
      <c r="AY18" s="1"/>
      <c r="AZ18" s="1"/>
      <c r="BA18" s="1"/>
    </row>
    <row r="19" spans="1:55" ht="21.75" customHeight="1" x14ac:dyDescent="0.55000000000000004">
      <c r="A19" s="42" t="s">
        <v>33</v>
      </c>
      <c r="B19" s="19">
        <v>86878170.810000002</v>
      </c>
      <c r="C19" s="19">
        <v>91956764.840000004</v>
      </c>
      <c r="D19" s="19">
        <v>97469091.599999994</v>
      </c>
      <c r="E19" s="19">
        <v>104079649.63</v>
      </c>
      <c r="F19" s="54">
        <v>112117503.81</v>
      </c>
      <c r="G19" s="62">
        <v>120607503.11</v>
      </c>
      <c r="H19" s="19">
        <v>8670293.7899999991</v>
      </c>
      <c r="I19" s="19">
        <v>9285648.3000000007</v>
      </c>
      <c r="J19" s="19">
        <v>10685785.789999999</v>
      </c>
      <c r="K19" s="19">
        <v>12028687.18</v>
      </c>
      <c r="L19" s="54">
        <v>14132005.02</v>
      </c>
      <c r="M19" s="63">
        <v>14381674.310000001</v>
      </c>
      <c r="N19" s="19">
        <v>25078148.149999999</v>
      </c>
      <c r="O19" s="19">
        <v>28150427.670000002</v>
      </c>
      <c r="P19" s="19">
        <v>29644130.32</v>
      </c>
      <c r="Q19" s="19">
        <v>29703121.390000001</v>
      </c>
      <c r="R19" s="54">
        <v>29235554.41</v>
      </c>
      <c r="S19" s="64">
        <v>31253893.149999999</v>
      </c>
      <c r="T19" s="19">
        <v>42800573.149999999</v>
      </c>
      <c r="U19" s="20">
        <v>43822391.649999999</v>
      </c>
      <c r="V19" s="20">
        <v>44228858.57</v>
      </c>
      <c r="W19" s="20">
        <v>45004333.439999998</v>
      </c>
      <c r="X19" s="20">
        <v>45831243.82</v>
      </c>
      <c r="Y19" s="20">
        <v>0</v>
      </c>
      <c r="Z19" s="45" t="s">
        <v>34</v>
      </c>
      <c r="AA19" s="26"/>
      <c r="AB19" s="26"/>
      <c r="AC19" s="26"/>
      <c r="AD19" s="26"/>
      <c r="AE19" s="26"/>
      <c r="AF19" s="26"/>
      <c r="AG19" s="1"/>
      <c r="AH19" s="24"/>
      <c r="AI19" s="10"/>
      <c r="AJ19" s="10"/>
      <c r="AK19" s="10"/>
      <c r="AL19" s="10"/>
      <c r="AM19" s="11"/>
      <c r="AN19" s="11"/>
      <c r="AO19" s="11"/>
      <c r="AP19" s="11"/>
      <c r="AQ19" s="11"/>
      <c r="AR19" s="11"/>
      <c r="AS19" s="11"/>
      <c r="AT19" s="11"/>
      <c r="AU19" s="47"/>
      <c r="AV19" s="47"/>
      <c r="AW19" s="1"/>
      <c r="AX19" s="1"/>
      <c r="AY19" s="1"/>
      <c r="AZ19" s="1"/>
      <c r="BA19" s="1"/>
    </row>
    <row r="20" spans="1:55" ht="21.75" customHeight="1" x14ac:dyDescent="0.25">
      <c r="A20" s="43" t="s">
        <v>35</v>
      </c>
      <c r="B20" s="27">
        <v>87283786.060000002</v>
      </c>
      <c r="C20" s="27">
        <v>92381474.780000001</v>
      </c>
      <c r="D20" s="27">
        <v>97572131.730000004</v>
      </c>
      <c r="E20" s="27">
        <v>104149826.25</v>
      </c>
      <c r="F20" s="55">
        <v>112327593.39</v>
      </c>
      <c r="G20" s="65">
        <v>120974958.29000001</v>
      </c>
      <c r="H20" s="27">
        <v>8834319.1300000008</v>
      </c>
      <c r="I20" s="27">
        <v>14043385.300000001</v>
      </c>
      <c r="J20" s="27">
        <v>11406792.83</v>
      </c>
      <c r="K20" s="27">
        <v>13639217.300000001</v>
      </c>
      <c r="L20" s="55">
        <v>13472538.24</v>
      </c>
      <c r="M20" s="66">
        <v>20202497.23</v>
      </c>
      <c r="N20" s="27">
        <v>24178546.5</v>
      </c>
      <c r="O20" s="27">
        <v>27926430.82</v>
      </c>
      <c r="P20" s="27">
        <v>30321208.02</v>
      </c>
      <c r="Q20" s="27">
        <v>36016426.93</v>
      </c>
      <c r="R20" s="55">
        <v>31913970.210000001</v>
      </c>
      <c r="S20" s="67">
        <v>32874642.77</v>
      </c>
      <c r="T20" s="27">
        <v>42678576.490000002</v>
      </c>
      <c r="U20" s="28">
        <v>43634524.200000003</v>
      </c>
      <c r="V20" s="28">
        <v>44260007.780000001</v>
      </c>
      <c r="W20" s="28">
        <v>44897572.810000002</v>
      </c>
      <c r="X20" s="28">
        <v>45784801.289999999</v>
      </c>
      <c r="Y20" s="28">
        <v>0</v>
      </c>
      <c r="Z20" s="46" t="s">
        <v>36</v>
      </c>
      <c r="AA20" s="21"/>
      <c r="AB20" s="21"/>
      <c r="AC20" s="21"/>
      <c r="AD20" s="21"/>
      <c r="AE20" s="21"/>
      <c r="AF20" s="21"/>
      <c r="AG20" s="1"/>
      <c r="AH20" s="24"/>
      <c r="AI20" s="10"/>
      <c r="AJ20" s="10"/>
      <c r="AK20" s="10"/>
      <c r="AL20" s="10"/>
      <c r="AM20" s="11"/>
      <c r="AN20" s="11"/>
      <c r="AO20" s="11"/>
      <c r="AP20" s="11"/>
      <c r="AQ20" s="11"/>
      <c r="AR20" s="11"/>
      <c r="AS20" s="11"/>
      <c r="AT20" s="11"/>
      <c r="AU20" s="47"/>
      <c r="AV20" s="47"/>
      <c r="AW20" s="1"/>
      <c r="AX20" s="1"/>
      <c r="AY20" s="1"/>
      <c r="AZ20" s="1"/>
      <c r="BA20" s="1"/>
    </row>
    <row r="21" spans="1:55" ht="17.25" customHeight="1" x14ac:dyDescent="0.25">
      <c r="A21" s="29" t="s">
        <v>37</v>
      </c>
      <c r="B21" s="30"/>
      <c r="C21" s="30"/>
      <c r="D21" s="30"/>
      <c r="E21" s="30"/>
      <c r="F21" s="30"/>
      <c r="G21" s="56"/>
      <c r="H21" s="31"/>
      <c r="I21" s="31"/>
      <c r="J21" s="31"/>
      <c r="K21" s="31"/>
      <c r="L21" s="31"/>
      <c r="M21" s="57"/>
      <c r="N21" s="30"/>
      <c r="O21" s="30"/>
      <c r="P21" s="30"/>
      <c r="Q21" s="30"/>
      <c r="R21" s="30"/>
      <c r="S21" s="56"/>
      <c r="T21" s="30"/>
      <c r="U21" s="30"/>
      <c r="V21" s="30"/>
      <c r="W21" s="30"/>
      <c r="X21" s="30"/>
      <c r="Y21" s="30"/>
      <c r="Z21" s="32" t="s">
        <v>38</v>
      </c>
      <c r="AA21" s="33"/>
      <c r="AB21" s="33"/>
      <c r="AC21" s="33"/>
      <c r="AD21" s="33"/>
      <c r="AE21" s="33"/>
      <c r="AF21" s="33"/>
      <c r="AG21" s="30"/>
      <c r="AH21" s="24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49"/>
      <c r="AV21" s="49"/>
      <c r="AW21" s="1"/>
      <c r="AX21" s="1"/>
      <c r="AY21" s="1"/>
      <c r="AZ21" s="1"/>
      <c r="BA21" s="1"/>
    </row>
    <row r="22" spans="1:55" ht="17.25" customHeight="1" x14ac:dyDescent="0.45">
      <c r="A22" s="34" t="s">
        <v>39</v>
      </c>
      <c r="B22" s="30"/>
      <c r="C22" s="30"/>
      <c r="D22" s="30"/>
      <c r="E22" s="30"/>
      <c r="F22" s="30"/>
      <c r="G22" s="56"/>
      <c r="H22" s="31"/>
      <c r="I22" s="31"/>
      <c r="J22" s="31"/>
      <c r="K22" s="31"/>
      <c r="L22" s="31"/>
      <c r="M22" s="57"/>
      <c r="N22" s="30"/>
      <c r="O22" s="30"/>
      <c r="P22" s="30"/>
      <c r="Q22" s="30"/>
      <c r="R22" s="30"/>
      <c r="S22" s="56"/>
      <c r="T22" s="30"/>
      <c r="U22" s="30"/>
      <c r="V22" s="30"/>
      <c r="W22" s="30"/>
      <c r="X22" s="30"/>
      <c r="Y22" s="30"/>
      <c r="Z22" s="52" t="s">
        <v>40</v>
      </c>
      <c r="AA22" s="35"/>
      <c r="AB22" s="35"/>
      <c r="AC22" s="35"/>
      <c r="AD22" s="35"/>
      <c r="AE22" s="35"/>
      <c r="AF22" s="35"/>
      <c r="AG22" s="30"/>
      <c r="AH22" s="24"/>
      <c r="AI22" s="88" t="s">
        <v>41</v>
      </c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61"/>
      <c r="AW22" s="77" t="s">
        <v>42</v>
      </c>
      <c r="AX22" s="77"/>
      <c r="AY22" s="77"/>
      <c r="AZ22" s="77"/>
      <c r="BA22" s="77"/>
      <c r="BB22" s="77"/>
    </row>
    <row r="23" spans="1:55" ht="15.75" customHeight="1" x14ac:dyDescent="0.25">
      <c r="A23" s="1"/>
      <c r="B23" s="1"/>
      <c r="C23" s="1"/>
      <c r="D23" s="1"/>
      <c r="E23" s="1"/>
      <c r="F23" s="1"/>
      <c r="G23" s="41"/>
      <c r="H23" s="1"/>
      <c r="I23" s="1"/>
      <c r="J23" s="1"/>
      <c r="K23" s="1"/>
      <c r="L23" s="1"/>
      <c r="M23" s="41"/>
      <c r="N23" s="1"/>
      <c r="O23" s="1"/>
      <c r="P23" s="1"/>
      <c r="Q23" s="1"/>
      <c r="R23" s="1"/>
      <c r="S23" s="4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24"/>
      <c r="AI23" s="10">
        <v>2012</v>
      </c>
      <c r="AJ23" s="10">
        <v>2013</v>
      </c>
      <c r="AK23" s="10">
        <v>2014</v>
      </c>
      <c r="AL23" s="10">
        <v>2015</v>
      </c>
      <c r="AM23" s="10">
        <v>2016</v>
      </c>
      <c r="AN23" s="10">
        <v>2017</v>
      </c>
      <c r="AO23" s="10">
        <v>2018</v>
      </c>
      <c r="AP23" s="10">
        <v>2019</v>
      </c>
      <c r="AQ23" s="10">
        <v>2020</v>
      </c>
      <c r="AR23" s="10">
        <v>2021</v>
      </c>
      <c r="AS23" s="10">
        <v>2022</v>
      </c>
      <c r="AT23" s="36">
        <v>2023</v>
      </c>
      <c r="AU23" s="10">
        <v>2024</v>
      </c>
      <c r="AV23" s="10">
        <v>2025</v>
      </c>
      <c r="AW23" s="37">
        <v>2019</v>
      </c>
      <c r="AX23" s="1">
        <v>2020</v>
      </c>
      <c r="AY23" s="1">
        <v>2021</v>
      </c>
      <c r="AZ23" s="1">
        <v>2022</v>
      </c>
      <c r="BA23" s="1">
        <v>2023</v>
      </c>
      <c r="BB23" s="1">
        <v>2024</v>
      </c>
      <c r="BC23" s="1">
        <v>2025</v>
      </c>
    </row>
    <row r="24" spans="1:55" ht="15.75" customHeight="1" x14ac:dyDescent="0.25">
      <c r="A24" s="4"/>
      <c r="B24" s="1"/>
      <c r="C24" s="1"/>
      <c r="D24" s="1"/>
      <c r="E24" s="1"/>
      <c r="F24" s="1"/>
      <c r="G24" s="41"/>
      <c r="H24" s="1"/>
      <c r="I24" s="1"/>
      <c r="J24" s="1"/>
      <c r="K24" s="1"/>
      <c r="L24" s="1"/>
      <c r="M24" s="41"/>
      <c r="N24" s="1"/>
      <c r="O24" s="1"/>
      <c r="P24" s="1"/>
      <c r="Q24" s="1"/>
      <c r="R24" s="1"/>
      <c r="S24" s="4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tr">
        <f>B6</f>
        <v>Basic pension</v>
      </c>
      <c r="AI24" s="8" t="e">
        <f>#REF!/1000000</f>
        <v>#REF!</v>
      </c>
      <c r="AJ24" s="8" t="e">
        <f>#REF!/1000000</f>
        <v>#REF!</v>
      </c>
      <c r="AK24" s="8" t="e">
        <f>#REF!/1000000</f>
        <v>#REF!</v>
      </c>
      <c r="AL24" s="8" t="e">
        <f>#REF!/1000000</f>
        <v>#REF!</v>
      </c>
      <c r="AM24" s="8" t="e">
        <f>#REF!/1000000</f>
        <v>#REF!</v>
      </c>
      <c r="AN24" s="8" t="e">
        <f>#REF!/1000000</f>
        <v>#REF!</v>
      </c>
      <c r="AO24" s="8" t="e">
        <f>#REF!/1000000</f>
        <v>#REF!</v>
      </c>
      <c r="AP24" s="8" t="e">
        <f t="shared" ref="AP24:AV26" si="4">AW24/1000000</f>
        <v>#REF!</v>
      </c>
      <c r="AQ24" s="8">
        <f t="shared" si="4"/>
        <v>1033.2069669300001</v>
      </c>
      <c r="AR24" s="8">
        <f t="shared" si="4"/>
        <v>1091.3271173300002</v>
      </c>
      <c r="AS24" s="8">
        <f t="shared" si="4"/>
        <v>1157.13633534</v>
      </c>
      <c r="AT24" s="38">
        <f t="shared" si="4"/>
        <v>1229.37825363</v>
      </c>
      <c r="AU24" s="38">
        <f t="shared" si="4"/>
        <v>1320.3192331000002</v>
      </c>
      <c r="AV24" s="38">
        <f t="shared" si="4"/>
        <v>1418.7253849099998</v>
      </c>
      <c r="AW24" s="20" t="e">
        <f>#REF!</f>
        <v>#REF!</v>
      </c>
      <c r="AX24" s="20">
        <f>B8</f>
        <v>1033206966.9300001</v>
      </c>
      <c r="AY24" s="20">
        <f>C8</f>
        <v>1091327117.3300002</v>
      </c>
      <c r="AZ24" s="20">
        <f>D8</f>
        <v>1157136335.3399999</v>
      </c>
      <c r="BA24" s="20">
        <f>E8</f>
        <v>1229378253.6300001</v>
      </c>
      <c r="BB24" s="20">
        <f>F8</f>
        <v>1320319233.1000001</v>
      </c>
      <c r="BC24" s="20">
        <f>G8</f>
        <v>1418725384.9099998</v>
      </c>
    </row>
    <row r="25" spans="1:55" ht="15.75" customHeight="1" x14ac:dyDescent="0.25">
      <c r="A25" s="1"/>
      <c r="B25" s="1"/>
      <c r="C25" s="1"/>
      <c r="D25" s="1"/>
      <c r="E25" s="1"/>
      <c r="F25" s="1"/>
      <c r="G25" s="41"/>
      <c r="H25" s="1"/>
      <c r="I25" s="1"/>
      <c r="J25" s="1"/>
      <c r="K25" s="1"/>
      <c r="L25" s="1"/>
      <c r="M25" s="41"/>
      <c r="N25" s="1"/>
      <c r="O25" s="1"/>
      <c r="P25" s="1"/>
      <c r="Q25" s="1"/>
      <c r="R25" s="1"/>
      <c r="S25" s="4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tr">
        <f>N6</f>
        <v>Other  pension</v>
      </c>
      <c r="AI25" s="8" t="e">
        <f>#REF!/1000000</f>
        <v>#REF!</v>
      </c>
      <c r="AJ25" s="8" t="e">
        <f>#REF!/1000000</f>
        <v>#REF!</v>
      </c>
      <c r="AK25" s="8" t="e">
        <f>#REF!/1000000</f>
        <v>#REF!</v>
      </c>
      <c r="AL25" s="8" t="e">
        <f>#REF!/1000000</f>
        <v>#REF!</v>
      </c>
      <c r="AM25" s="8" t="e">
        <f>#REF!/1000000</f>
        <v>#REF!</v>
      </c>
      <c r="AN25" s="8" t="e">
        <f>#REF!/1000000</f>
        <v>#REF!</v>
      </c>
      <c r="AO25" s="8" t="e">
        <f>#REF!/1000000</f>
        <v>#REF!</v>
      </c>
      <c r="AP25" s="8">
        <f t="shared" si="4"/>
        <v>297.50286885000003</v>
      </c>
      <c r="AQ25" s="8">
        <f t="shared" si="4"/>
        <v>292.83854117999994</v>
      </c>
      <c r="AR25" s="8">
        <f t="shared" si="4"/>
        <v>315.63996715999997</v>
      </c>
      <c r="AS25" s="8">
        <f t="shared" si="4"/>
        <v>337.85463594999999</v>
      </c>
      <c r="AT25" s="38">
        <f t="shared" si="4"/>
        <v>358.78517656999998</v>
      </c>
      <c r="AU25" s="38">
        <f t="shared" si="4"/>
        <v>364.73942460000001</v>
      </c>
      <c r="AV25" s="38">
        <f t="shared" si="4"/>
        <v>388.17149153999992</v>
      </c>
      <c r="AW25" s="20">
        <v>297502868.85000002</v>
      </c>
      <c r="AX25" s="20">
        <v>292838541.17999995</v>
      </c>
      <c r="AY25" s="20">
        <v>315639967.15999997</v>
      </c>
      <c r="AZ25" s="20">
        <f>P8</f>
        <v>337854635.94999999</v>
      </c>
      <c r="BA25" s="20">
        <f>Q8</f>
        <v>358785176.56999999</v>
      </c>
      <c r="BB25" s="20">
        <f>R8</f>
        <v>364739424.60000002</v>
      </c>
      <c r="BC25" s="20">
        <f>S8</f>
        <v>388171491.5399999</v>
      </c>
    </row>
    <row r="26" spans="1:55" ht="15.75" customHeight="1" x14ac:dyDescent="0.25">
      <c r="A26" s="1"/>
      <c r="B26" s="1"/>
      <c r="C26" s="1"/>
      <c r="D26" s="1"/>
      <c r="E26" s="1"/>
      <c r="F26" s="1"/>
      <c r="G26" s="41"/>
      <c r="H26" s="1"/>
      <c r="I26" s="1"/>
      <c r="J26" s="1"/>
      <c r="K26" s="1"/>
      <c r="L26" s="1"/>
      <c r="M26" s="41"/>
      <c r="N26" s="1"/>
      <c r="O26" s="1"/>
      <c r="P26" s="1"/>
      <c r="Q26" s="1"/>
      <c r="R26" s="1"/>
      <c r="S26" s="4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tr">
        <f>H6</f>
        <v>Retirement  pension</v>
      </c>
      <c r="AI26" s="8" t="e">
        <f>#REF!/1000000</f>
        <v>#REF!</v>
      </c>
      <c r="AJ26" s="8" t="e">
        <f>#REF!/1000000</f>
        <v>#REF!</v>
      </c>
      <c r="AK26" s="8" t="e">
        <f>#REF!/1000000</f>
        <v>#REF!</v>
      </c>
      <c r="AL26" s="8" t="e">
        <f>#REF!/1000000</f>
        <v>#REF!</v>
      </c>
      <c r="AM26" s="8" t="e">
        <f>#REF!/1000000</f>
        <v>#REF!</v>
      </c>
      <c r="AN26" s="8" t="e">
        <f>#REF!/1000000</f>
        <v>#REF!</v>
      </c>
      <c r="AO26" s="8" t="e">
        <f>#REF!/1000000</f>
        <v>#REF!</v>
      </c>
      <c r="AP26" s="8">
        <f t="shared" si="4"/>
        <v>90.949201129999992</v>
      </c>
      <c r="AQ26" s="8">
        <f t="shared" si="4"/>
        <v>102.48052142999998</v>
      </c>
      <c r="AR26" s="8">
        <f t="shared" si="4"/>
        <v>123.38841645000001</v>
      </c>
      <c r="AS26" s="8">
        <f t="shared" si="4"/>
        <v>128.53984267000001</v>
      </c>
      <c r="AT26" s="38">
        <f t="shared" si="4"/>
        <v>146.26467091000001</v>
      </c>
      <c r="AU26" s="38">
        <f t="shared" si="4"/>
        <v>165.54492053999999</v>
      </c>
      <c r="AV26" s="38">
        <f t="shared" si="4"/>
        <v>185.90385397999998</v>
      </c>
      <c r="AW26" s="20">
        <v>90949201.129999995</v>
      </c>
      <c r="AX26" s="20">
        <v>102480521.42999998</v>
      </c>
      <c r="AY26" s="20">
        <v>123388416.45</v>
      </c>
      <c r="AZ26" s="20">
        <f>J8</f>
        <v>128539842.67</v>
      </c>
      <c r="BA26" s="20">
        <f>K8</f>
        <v>146264670.91</v>
      </c>
      <c r="BB26" s="20">
        <f>L8</f>
        <v>165544920.53999999</v>
      </c>
      <c r="BC26" s="20">
        <f>M8</f>
        <v>185903853.97999999</v>
      </c>
    </row>
    <row r="27" spans="1:55" ht="15.75" customHeight="1" x14ac:dyDescent="0.25">
      <c r="A27" s="1"/>
      <c r="B27" s="1"/>
      <c r="C27" s="1"/>
      <c r="D27" s="1"/>
      <c r="E27" s="1"/>
      <c r="F27" s="1"/>
      <c r="G27" s="41"/>
      <c r="H27" s="1"/>
      <c r="I27" s="1"/>
      <c r="J27" s="1"/>
      <c r="K27" s="1"/>
      <c r="L27" s="1"/>
      <c r="M27" s="41"/>
      <c r="N27" s="1"/>
      <c r="O27" s="1"/>
      <c r="P27" s="1"/>
      <c r="Q27" s="1"/>
      <c r="R27" s="1"/>
      <c r="S27" s="4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tr">
        <f>T6</f>
        <v xml:space="preserve"> Senior Citizen Allowance</v>
      </c>
      <c r="AI27" s="8" t="e">
        <f>#REF!/1000000</f>
        <v>#REF!</v>
      </c>
      <c r="AJ27" s="8" t="e">
        <f>#REF!/1000000</f>
        <v>#REF!</v>
      </c>
      <c r="AK27" s="8" t="e">
        <f>#REF!/1000000</f>
        <v>#REF!</v>
      </c>
      <c r="AL27" s="8" t="e">
        <f>#REF!/1000000</f>
        <v>#REF!</v>
      </c>
      <c r="AM27" s="8" t="e">
        <f>#REF!/1000000</f>
        <v>#REF!</v>
      </c>
      <c r="AN27" s="8" t="e">
        <f>#REF!/1000000</f>
        <v>#REF!</v>
      </c>
      <c r="AO27" s="8" t="e">
        <f>#REF!/1000000</f>
        <v>#REF!</v>
      </c>
      <c r="AP27" s="8">
        <f>AW27/1000000</f>
        <v>93.669343139999981</v>
      </c>
      <c r="AQ27" s="8">
        <f>AX27/1000000</f>
        <v>0</v>
      </c>
      <c r="AR27" s="8">
        <f>AY27/1000000</f>
        <v>0</v>
      </c>
      <c r="AS27" s="8">
        <f>AZ27/1000000</f>
        <v>0</v>
      </c>
      <c r="AT27" s="38">
        <f>BA27/1000000</f>
        <v>0</v>
      </c>
      <c r="AU27" s="50"/>
      <c r="AV27" s="50"/>
      <c r="AW27" s="20">
        <f>Y8</f>
        <v>93669343.139999986</v>
      </c>
      <c r="AX27" s="8">
        <f t="shared" ref="AX27:BC27" si="5">BG27/1000000</f>
        <v>0</v>
      </c>
      <c r="AY27" s="8">
        <f t="shared" si="5"/>
        <v>0</v>
      </c>
      <c r="AZ27" s="8">
        <f t="shared" si="5"/>
        <v>0</v>
      </c>
      <c r="BA27" s="8">
        <f t="shared" si="5"/>
        <v>0</v>
      </c>
      <c r="BB27" s="8">
        <f t="shared" si="5"/>
        <v>0</v>
      </c>
      <c r="BC27" s="8">
        <f t="shared" si="5"/>
        <v>0</v>
      </c>
    </row>
    <row r="28" spans="1:55" ht="15.75" customHeight="1" x14ac:dyDescent="0.25">
      <c r="A28" s="1"/>
      <c r="B28" s="1"/>
      <c r="C28" s="1"/>
      <c r="D28" s="1"/>
      <c r="E28" s="1"/>
      <c r="F28" s="1"/>
      <c r="G28" s="41"/>
      <c r="H28" s="1"/>
      <c r="I28" s="1"/>
      <c r="J28" s="1"/>
      <c r="K28" s="1"/>
      <c r="L28" s="1"/>
      <c r="M28" s="41"/>
      <c r="N28" s="1"/>
      <c r="O28" s="1"/>
      <c r="P28" s="1"/>
      <c r="Q28" s="1"/>
      <c r="R28" s="1"/>
      <c r="S28" s="4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0"/>
      <c r="AI28" s="10"/>
      <c r="AJ28" s="11"/>
      <c r="AK28" s="11"/>
      <c r="AL28" s="1"/>
      <c r="AM28" s="1"/>
      <c r="AN28" s="1"/>
      <c r="AO28" s="1"/>
      <c r="AP28" s="1"/>
      <c r="AQ28" s="1"/>
      <c r="AR28" s="1"/>
      <c r="AS28" s="1"/>
      <c r="AT28" s="39"/>
      <c r="AU28" s="41"/>
      <c r="AV28" s="41"/>
      <c r="AW28" s="23" t="e">
        <f t="shared" ref="AW28:BA28" si="6">SUM(AW24:AW27)</f>
        <v>#REF!</v>
      </c>
      <c r="AX28" s="23">
        <f t="shared" si="6"/>
        <v>1428526029.5400002</v>
      </c>
      <c r="AY28" s="23">
        <f t="shared" si="6"/>
        <v>1530355500.9400003</v>
      </c>
      <c r="AZ28" s="23">
        <f t="shared" si="6"/>
        <v>1623530813.96</v>
      </c>
      <c r="BA28" s="23">
        <f t="shared" si="6"/>
        <v>1734428101.1100001</v>
      </c>
      <c r="BB28" s="23">
        <f t="shared" ref="BB28:BC28" si="7">SUM(BB24:BB27)</f>
        <v>1850603578.2400002</v>
      </c>
      <c r="BC28" s="23">
        <f t="shared" si="7"/>
        <v>1992800730.4299998</v>
      </c>
    </row>
    <row r="29" spans="1:55" ht="15.75" customHeight="1" x14ac:dyDescent="0.25">
      <c r="A29" s="1"/>
      <c r="B29" s="1"/>
      <c r="C29" s="1"/>
      <c r="D29" s="1"/>
      <c r="E29" s="1"/>
      <c r="F29" s="1"/>
      <c r="G29" s="41"/>
      <c r="H29" s="1"/>
      <c r="I29" s="1"/>
      <c r="J29" s="1"/>
      <c r="K29" s="1"/>
      <c r="L29" s="1"/>
      <c r="M29" s="41"/>
      <c r="N29" s="1"/>
      <c r="O29" s="1"/>
      <c r="P29" s="1"/>
      <c r="Q29" s="1"/>
      <c r="R29" s="1"/>
      <c r="S29" s="4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0"/>
      <c r="AI29" s="10"/>
      <c r="AJ29" s="11"/>
      <c r="AK29" s="11"/>
      <c r="AL29" s="11"/>
      <c r="AM29" s="25"/>
      <c r="AN29" s="25"/>
      <c r="AO29" s="25"/>
      <c r="AP29" s="25"/>
      <c r="AQ29" s="25"/>
      <c r="AR29" s="25"/>
      <c r="AS29" s="25"/>
      <c r="AT29" s="25"/>
      <c r="AU29" s="51"/>
      <c r="AV29" s="51"/>
      <c r="AW29" s="1"/>
      <c r="AX29" s="1"/>
      <c r="AY29" s="1"/>
      <c r="AZ29" s="1"/>
      <c r="BA29" s="1"/>
    </row>
    <row r="30" spans="1:55" ht="15.75" customHeight="1" x14ac:dyDescent="0.25">
      <c r="A30" s="1"/>
      <c r="B30" s="1"/>
      <c r="C30" s="1"/>
      <c r="D30" s="1"/>
      <c r="E30" s="1"/>
      <c r="F30" s="1"/>
      <c r="G30" s="41"/>
      <c r="H30" s="1"/>
      <c r="I30" s="1"/>
      <c r="J30" s="1"/>
      <c r="K30" s="1"/>
      <c r="L30" s="1"/>
      <c r="M30" s="41"/>
      <c r="N30" s="1"/>
      <c r="O30" s="1"/>
      <c r="P30" s="1"/>
      <c r="Q30" s="1"/>
      <c r="R30" s="1"/>
      <c r="S30" s="4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41"/>
      <c r="AV30" s="41"/>
      <c r="AW30" s="1"/>
      <c r="AX30" s="1"/>
      <c r="AY30" s="1"/>
      <c r="AZ30" s="1"/>
      <c r="BA30" s="1"/>
    </row>
    <row r="31" spans="1:55" ht="15.75" customHeight="1" x14ac:dyDescent="0.25">
      <c r="A31" s="1"/>
      <c r="B31" s="1"/>
      <c r="C31" s="1"/>
      <c r="D31" s="1"/>
      <c r="E31" s="1"/>
      <c r="F31" s="1"/>
      <c r="G31" s="41"/>
      <c r="H31" s="1"/>
      <c r="I31" s="1"/>
      <c r="J31" s="1"/>
      <c r="K31" s="1"/>
      <c r="L31" s="1"/>
      <c r="M31" s="41"/>
      <c r="N31" s="1"/>
      <c r="O31" s="1"/>
      <c r="P31" s="1"/>
      <c r="Q31" s="1"/>
      <c r="R31" s="1"/>
      <c r="S31" s="4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41"/>
      <c r="AV31" s="41"/>
      <c r="AW31" s="1"/>
      <c r="AX31" s="1"/>
      <c r="AY31" s="1"/>
      <c r="AZ31" s="1"/>
      <c r="BA31" s="1"/>
    </row>
    <row r="32" spans="1:55" ht="15.75" customHeight="1" x14ac:dyDescent="0.25">
      <c r="A32" s="1"/>
      <c r="B32" s="1"/>
      <c r="C32" s="1"/>
      <c r="D32" s="1"/>
      <c r="E32" s="1"/>
      <c r="F32" s="1"/>
      <c r="G32" s="41"/>
      <c r="H32" s="1"/>
      <c r="I32" s="1"/>
      <c r="J32" s="1"/>
      <c r="K32" s="1"/>
      <c r="L32" s="1"/>
      <c r="M32" s="41"/>
      <c r="N32" s="1"/>
      <c r="O32" s="1"/>
      <c r="P32" s="1"/>
      <c r="Q32" s="1"/>
      <c r="R32" s="1"/>
      <c r="S32" s="4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41"/>
      <c r="AV32" s="41"/>
      <c r="AW32" s="1"/>
      <c r="AX32" s="1"/>
      <c r="AY32" s="1"/>
      <c r="AZ32" s="1"/>
      <c r="BA32" s="1"/>
    </row>
    <row r="33" spans="1:53" ht="15.75" customHeight="1" x14ac:dyDescent="0.25">
      <c r="A33" s="1"/>
      <c r="B33" s="1"/>
      <c r="C33" s="1"/>
      <c r="D33" s="1"/>
      <c r="E33" s="1"/>
      <c r="F33" s="1"/>
      <c r="G33" s="41"/>
      <c r="H33" s="1"/>
      <c r="I33" s="1"/>
      <c r="J33" s="1"/>
      <c r="K33" s="1"/>
      <c r="L33" s="1"/>
      <c r="M33" s="41"/>
      <c r="N33" s="1"/>
      <c r="O33" s="1"/>
      <c r="P33" s="1"/>
      <c r="Q33" s="1"/>
      <c r="R33" s="1"/>
      <c r="S33" s="4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41"/>
      <c r="AV33" s="41"/>
      <c r="AW33" s="1"/>
      <c r="AX33" s="1"/>
      <c r="AY33" s="1"/>
      <c r="AZ33" s="1"/>
      <c r="BA33" s="1"/>
    </row>
    <row r="34" spans="1:53" ht="15.75" customHeight="1" x14ac:dyDescent="0.25">
      <c r="A34" s="1"/>
      <c r="B34" s="1"/>
      <c r="C34" s="1"/>
      <c r="D34" s="1"/>
      <c r="E34" s="1"/>
      <c r="F34" s="1"/>
      <c r="G34" s="41"/>
      <c r="H34" s="1"/>
      <c r="I34" s="1"/>
      <c r="J34" s="1"/>
      <c r="K34" s="1"/>
      <c r="L34" s="1"/>
      <c r="M34" s="41"/>
      <c r="N34" s="1"/>
      <c r="O34" s="1"/>
      <c r="P34" s="1"/>
      <c r="Q34" s="1"/>
      <c r="R34" s="1"/>
      <c r="S34" s="4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41"/>
      <c r="AV34" s="41"/>
      <c r="AW34" s="1"/>
      <c r="AX34" s="1"/>
      <c r="AY34" s="1"/>
      <c r="AZ34" s="1"/>
      <c r="BA34" s="1"/>
    </row>
    <row r="35" spans="1:53" ht="15.75" customHeight="1" x14ac:dyDescent="0.25">
      <c r="A35" s="1"/>
      <c r="B35" s="1"/>
      <c r="C35" s="1"/>
      <c r="D35" s="1"/>
      <c r="E35" s="1"/>
      <c r="F35" s="1"/>
      <c r="G35" s="41"/>
      <c r="H35" s="1"/>
      <c r="I35" s="1"/>
      <c r="J35" s="1"/>
      <c r="K35" s="1"/>
      <c r="L35" s="1"/>
      <c r="M35" s="41"/>
      <c r="N35" s="1"/>
      <c r="O35" s="1"/>
      <c r="P35" s="1"/>
      <c r="Q35" s="1"/>
      <c r="R35" s="1"/>
      <c r="S35" s="4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41"/>
      <c r="AV35" s="41"/>
      <c r="AW35" s="1"/>
      <c r="AX35" s="1"/>
      <c r="AY35" s="1"/>
      <c r="AZ35" s="1"/>
      <c r="BA35" s="1"/>
    </row>
    <row r="36" spans="1:53" ht="15.75" customHeight="1" x14ac:dyDescent="0.25">
      <c r="A36" s="1"/>
      <c r="B36" s="1"/>
      <c r="C36" s="1"/>
      <c r="D36" s="1"/>
      <c r="E36" s="1"/>
      <c r="F36" s="1"/>
      <c r="G36" s="41"/>
      <c r="H36" s="1"/>
      <c r="I36" s="1"/>
      <c r="J36" s="1"/>
      <c r="K36" s="1"/>
      <c r="L36" s="1"/>
      <c r="M36" s="41"/>
      <c r="N36" s="1"/>
      <c r="O36" s="1"/>
      <c r="P36" s="1"/>
      <c r="Q36" s="1"/>
      <c r="R36" s="1"/>
      <c r="S36" s="4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41"/>
      <c r="AV36" s="41"/>
      <c r="AW36" s="1"/>
      <c r="AX36" s="1"/>
      <c r="AY36" s="1"/>
      <c r="AZ36" s="1"/>
      <c r="BA36" s="1"/>
    </row>
    <row r="37" spans="1:53" ht="15.75" customHeight="1" x14ac:dyDescent="0.25">
      <c r="A37" s="1"/>
      <c r="B37" s="1"/>
      <c r="C37" s="1"/>
      <c r="D37" s="1"/>
      <c r="E37" s="1"/>
      <c r="F37" s="1"/>
      <c r="G37" s="41"/>
      <c r="H37" s="1"/>
      <c r="I37" s="1"/>
      <c r="J37" s="1"/>
      <c r="K37" s="1"/>
      <c r="L37" s="1"/>
      <c r="M37" s="41"/>
      <c r="N37" s="1"/>
      <c r="O37" s="1"/>
      <c r="P37" s="1"/>
      <c r="Q37" s="1"/>
      <c r="R37" s="1"/>
      <c r="S37" s="4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41"/>
      <c r="AV37" s="41"/>
      <c r="AW37" s="1"/>
      <c r="AX37" s="1"/>
      <c r="AY37" s="1"/>
      <c r="AZ37" s="1"/>
      <c r="BA37" s="1"/>
    </row>
    <row r="38" spans="1:53" ht="15.75" customHeight="1" x14ac:dyDescent="0.25">
      <c r="A38" s="1"/>
      <c r="B38" s="1"/>
      <c r="C38" s="1"/>
      <c r="D38" s="1"/>
      <c r="E38" s="1"/>
      <c r="F38" s="1"/>
      <c r="G38" s="41"/>
      <c r="H38" s="1"/>
      <c r="I38" s="1"/>
      <c r="J38" s="1"/>
      <c r="K38" s="1"/>
      <c r="L38" s="1"/>
      <c r="M38" s="41"/>
      <c r="N38" s="1"/>
      <c r="O38" s="1"/>
      <c r="P38" s="1"/>
      <c r="Q38" s="1"/>
      <c r="R38" s="1"/>
      <c r="S38" s="4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41"/>
      <c r="AV38" s="41"/>
      <c r="AW38" s="1"/>
      <c r="AX38" s="1"/>
      <c r="AY38" s="1"/>
      <c r="AZ38" s="1"/>
      <c r="BA38" s="1"/>
    </row>
    <row r="39" spans="1:53" ht="15.75" customHeight="1" x14ac:dyDescent="0.25">
      <c r="A39" s="1"/>
      <c r="B39" s="1"/>
      <c r="C39" s="1"/>
      <c r="D39" s="1"/>
      <c r="E39" s="1"/>
      <c r="F39" s="1"/>
      <c r="G39" s="41"/>
      <c r="H39" s="1"/>
      <c r="I39" s="1"/>
      <c r="J39" s="1"/>
      <c r="K39" s="1"/>
      <c r="L39" s="1"/>
      <c r="M39" s="41"/>
      <c r="N39" s="1"/>
      <c r="O39" s="1"/>
      <c r="P39" s="1"/>
      <c r="Q39" s="1"/>
      <c r="R39" s="1"/>
      <c r="S39" s="4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41"/>
      <c r="AV39" s="41"/>
      <c r="AW39" s="1"/>
      <c r="AX39" s="1"/>
      <c r="AY39" s="1"/>
      <c r="AZ39" s="1"/>
      <c r="BA39" s="1"/>
    </row>
    <row r="40" spans="1:53" ht="15.75" customHeight="1" x14ac:dyDescent="0.25">
      <c r="A40" s="1"/>
      <c r="B40" s="1"/>
      <c r="C40" s="1"/>
      <c r="D40" s="1"/>
      <c r="E40" s="1"/>
      <c r="F40" s="1"/>
      <c r="G40" s="41"/>
      <c r="H40" s="1"/>
      <c r="I40" s="1"/>
      <c r="J40" s="1"/>
      <c r="K40" s="1"/>
      <c r="L40" s="1"/>
      <c r="M40" s="41"/>
      <c r="N40" s="1"/>
      <c r="O40" s="1"/>
      <c r="P40" s="1"/>
      <c r="Q40" s="1"/>
      <c r="R40" s="1"/>
      <c r="S40" s="4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41"/>
      <c r="AV40" s="41"/>
      <c r="AW40" s="1"/>
      <c r="AX40" s="1"/>
      <c r="AY40" s="1"/>
      <c r="AZ40" s="1"/>
      <c r="BA40" s="1"/>
    </row>
    <row r="41" spans="1:53" ht="15.75" customHeight="1" x14ac:dyDescent="0.25">
      <c r="A41" s="1"/>
      <c r="B41" s="1"/>
      <c r="C41" s="1"/>
      <c r="D41" s="1"/>
      <c r="E41" s="1"/>
      <c r="F41" s="1"/>
      <c r="G41" s="41"/>
      <c r="H41" s="1"/>
      <c r="I41" s="1"/>
      <c r="J41" s="1"/>
      <c r="K41" s="1"/>
      <c r="L41" s="1"/>
      <c r="M41" s="41"/>
      <c r="N41" s="1"/>
      <c r="O41" s="1"/>
      <c r="P41" s="1"/>
      <c r="Q41" s="1"/>
      <c r="R41" s="1"/>
      <c r="S41" s="4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41"/>
      <c r="AV41" s="41"/>
      <c r="AW41" s="1"/>
      <c r="AX41" s="1"/>
      <c r="AY41" s="1"/>
      <c r="AZ41" s="1"/>
      <c r="BA41" s="1"/>
    </row>
    <row r="42" spans="1:53" ht="15.75" customHeight="1" x14ac:dyDescent="0.25">
      <c r="A42" s="1"/>
      <c r="B42" s="1"/>
      <c r="C42" s="1"/>
      <c r="D42" s="1"/>
      <c r="E42" s="1"/>
      <c r="F42" s="1"/>
      <c r="G42" s="41"/>
      <c r="H42" s="1"/>
      <c r="I42" s="1"/>
      <c r="J42" s="1"/>
      <c r="K42" s="1"/>
      <c r="L42" s="1"/>
      <c r="M42" s="41"/>
      <c r="N42" s="1"/>
      <c r="O42" s="1"/>
      <c r="P42" s="1"/>
      <c r="Q42" s="1"/>
      <c r="R42" s="1"/>
      <c r="S42" s="4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41"/>
      <c r="AV42" s="41"/>
      <c r="AW42" s="1"/>
      <c r="AX42" s="1"/>
      <c r="AY42" s="1"/>
      <c r="AZ42" s="1"/>
      <c r="BA42" s="1"/>
    </row>
    <row r="43" spans="1:53" ht="15.75" customHeight="1" x14ac:dyDescent="0.25">
      <c r="A43" s="1"/>
      <c r="B43" s="1"/>
      <c r="C43" s="1"/>
      <c r="D43" s="1"/>
      <c r="E43" s="1"/>
      <c r="F43" s="1"/>
      <c r="G43" s="41"/>
      <c r="H43" s="1"/>
      <c r="I43" s="1"/>
      <c r="J43" s="1"/>
      <c r="K43" s="1"/>
      <c r="L43" s="1"/>
      <c r="M43" s="41"/>
      <c r="N43" s="1"/>
      <c r="O43" s="1"/>
      <c r="P43" s="1"/>
      <c r="Q43" s="1"/>
      <c r="R43" s="1"/>
      <c r="S43" s="4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41"/>
      <c r="AV43" s="41"/>
      <c r="AW43" s="1"/>
      <c r="AX43" s="1"/>
      <c r="AY43" s="1"/>
      <c r="AZ43" s="1"/>
      <c r="BA43" s="1"/>
    </row>
    <row r="44" spans="1:53" ht="15.75" customHeight="1" x14ac:dyDescent="0.25">
      <c r="A44" s="1"/>
      <c r="B44" s="1"/>
      <c r="C44" s="1"/>
      <c r="D44" s="1"/>
      <c r="E44" s="1"/>
      <c r="F44" s="1"/>
      <c r="G44" s="41"/>
      <c r="H44" s="1"/>
      <c r="I44" s="1"/>
      <c r="J44" s="1"/>
      <c r="K44" s="1"/>
      <c r="L44" s="1"/>
      <c r="M44" s="41"/>
      <c r="N44" s="1"/>
      <c r="O44" s="1"/>
      <c r="P44" s="1"/>
      <c r="Q44" s="1"/>
      <c r="R44" s="1"/>
      <c r="S44" s="4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41"/>
      <c r="AV44" s="41"/>
      <c r="AW44" s="1"/>
      <c r="AX44" s="1"/>
      <c r="AY44" s="1"/>
      <c r="AZ44" s="1"/>
      <c r="BA44" s="1"/>
    </row>
    <row r="45" spans="1:53" ht="15.75" customHeight="1" x14ac:dyDescent="0.25">
      <c r="A45" s="1"/>
      <c r="B45" s="1"/>
      <c r="C45" s="1"/>
      <c r="D45" s="1"/>
      <c r="E45" s="1"/>
      <c r="F45" s="1"/>
      <c r="G45" s="41"/>
      <c r="H45" s="1"/>
      <c r="I45" s="1"/>
      <c r="J45" s="1"/>
      <c r="K45" s="1"/>
      <c r="L45" s="1"/>
      <c r="M45" s="41"/>
      <c r="N45" s="1"/>
      <c r="O45" s="1"/>
      <c r="P45" s="1"/>
      <c r="Q45" s="1"/>
      <c r="R45" s="1"/>
      <c r="S45" s="4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41"/>
      <c r="AV45" s="41"/>
      <c r="AW45" s="1"/>
      <c r="AX45" s="1"/>
      <c r="AY45" s="1"/>
      <c r="AZ45" s="1"/>
      <c r="BA45" s="1"/>
    </row>
    <row r="46" spans="1:53" ht="15.75" customHeight="1" x14ac:dyDescent="0.25">
      <c r="A46" s="1"/>
      <c r="B46" s="1"/>
      <c r="C46" s="1"/>
      <c r="D46" s="1"/>
      <c r="E46" s="1"/>
      <c r="F46" s="1"/>
      <c r="G46" s="41"/>
      <c r="H46" s="1"/>
      <c r="I46" s="1"/>
      <c r="J46" s="1"/>
      <c r="K46" s="1"/>
      <c r="L46" s="1"/>
      <c r="M46" s="41"/>
      <c r="N46" s="1"/>
      <c r="O46" s="1"/>
      <c r="P46" s="1"/>
      <c r="Q46" s="1"/>
      <c r="R46" s="1"/>
      <c r="S46" s="4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41"/>
      <c r="AV46" s="41"/>
      <c r="AW46" s="1"/>
      <c r="AX46" s="1"/>
      <c r="AY46" s="1"/>
      <c r="AZ46" s="1"/>
      <c r="BA46" s="1"/>
    </row>
    <row r="47" spans="1:53" ht="15.75" customHeight="1" x14ac:dyDescent="0.25">
      <c r="A47" s="1"/>
      <c r="B47" s="1"/>
      <c r="C47" s="1"/>
      <c r="D47" s="1"/>
      <c r="E47" s="1"/>
      <c r="F47" s="1"/>
      <c r="G47" s="41"/>
      <c r="H47" s="1"/>
      <c r="I47" s="1"/>
      <c r="J47" s="1"/>
      <c r="K47" s="1"/>
      <c r="L47" s="1"/>
      <c r="M47" s="41"/>
      <c r="N47" s="1"/>
      <c r="O47" s="1"/>
      <c r="P47" s="1"/>
      <c r="Q47" s="1"/>
      <c r="R47" s="1"/>
      <c r="S47" s="4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41"/>
      <c r="AV47" s="41"/>
      <c r="AW47" s="1"/>
      <c r="AX47" s="1"/>
      <c r="AY47" s="1"/>
      <c r="AZ47" s="1"/>
      <c r="BA47" s="1"/>
    </row>
    <row r="48" spans="1:53" ht="15.75" customHeight="1" x14ac:dyDescent="0.25">
      <c r="A48" s="1"/>
      <c r="B48" s="1"/>
      <c r="C48" s="1"/>
      <c r="D48" s="1"/>
      <c r="E48" s="1"/>
      <c r="F48" s="1"/>
      <c r="G48" s="41"/>
      <c r="H48" s="1"/>
      <c r="I48" s="1"/>
      <c r="J48" s="1"/>
      <c r="K48" s="1"/>
      <c r="L48" s="1"/>
      <c r="M48" s="41"/>
      <c r="N48" s="1"/>
      <c r="O48" s="1"/>
      <c r="P48" s="1"/>
      <c r="Q48" s="1"/>
      <c r="R48" s="1"/>
      <c r="S48" s="4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41"/>
      <c r="AV48" s="41"/>
      <c r="AW48" s="1"/>
      <c r="AX48" s="1"/>
      <c r="AY48" s="1"/>
      <c r="AZ48" s="1"/>
      <c r="BA48" s="1"/>
    </row>
    <row r="49" spans="1:53" ht="15.75" customHeight="1" x14ac:dyDescent="0.25">
      <c r="A49" s="1"/>
      <c r="B49" s="1"/>
      <c r="C49" s="1"/>
      <c r="D49" s="1"/>
      <c r="E49" s="1"/>
      <c r="F49" s="1"/>
      <c r="G49" s="41"/>
      <c r="H49" s="1"/>
      <c r="I49" s="1"/>
      <c r="J49" s="1"/>
      <c r="K49" s="1"/>
      <c r="L49" s="1"/>
      <c r="M49" s="41"/>
      <c r="N49" s="1"/>
      <c r="O49" s="1"/>
      <c r="P49" s="1"/>
      <c r="Q49" s="1"/>
      <c r="R49" s="1"/>
      <c r="S49" s="4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41"/>
      <c r="AV49" s="41"/>
      <c r="AW49" s="1"/>
      <c r="AX49" s="1"/>
      <c r="AY49" s="1"/>
      <c r="AZ49" s="1"/>
      <c r="BA49" s="1"/>
    </row>
    <row r="50" spans="1:53" ht="15.75" customHeight="1" x14ac:dyDescent="0.25">
      <c r="A50" s="1"/>
      <c r="B50" s="1"/>
      <c r="C50" s="1"/>
      <c r="D50" s="1"/>
      <c r="E50" s="1"/>
      <c r="F50" s="1"/>
      <c r="G50" s="41"/>
      <c r="H50" s="1"/>
      <c r="I50" s="1"/>
      <c r="J50" s="1"/>
      <c r="K50" s="1"/>
      <c r="L50" s="1"/>
      <c r="M50" s="41"/>
      <c r="N50" s="1"/>
      <c r="O50" s="1"/>
      <c r="P50" s="1"/>
      <c r="Q50" s="1"/>
      <c r="R50" s="1"/>
      <c r="S50" s="4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41"/>
      <c r="AV50" s="41"/>
      <c r="AW50" s="1"/>
      <c r="AX50" s="1"/>
      <c r="AY50" s="1"/>
      <c r="AZ50" s="1"/>
      <c r="BA50" s="1"/>
    </row>
    <row r="51" spans="1:53" ht="15.75" customHeight="1" x14ac:dyDescent="0.25">
      <c r="A51" s="1"/>
      <c r="B51" s="1"/>
      <c r="C51" s="1"/>
      <c r="D51" s="1"/>
      <c r="E51" s="1"/>
      <c r="F51" s="1"/>
      <c r="G51" s="41"/>
      <c r="H51" s="1"/>
      <c r="I51" s="1"/>
      <c r="J51" s="1"/>
      <c r="K51" s="1"/>
      <c r="L51" s="1"/>
      <c r="M51" s="41"/>
      <c r="N51" s="1"/>
      <c r="O51" s="1"/>
      <c r="P51" s="1"/>
      <c r="Q51" s="1"/>
      <c r="R51" s="1"/>
      <c r="S51" s="4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41"/>
      <c r="AV51" s="41"/>
      <c r="AW51" s="1"/>
      <c r="AX51" s="1"/>
      <c r="AY51" s="1"/>
      <c r="AZ51" s="1"/>
      <c r="BA51" s="1"/>
    </row>
    <row r="52" spans="1:53" ht="15.75" customHeight="1" x14ac:dyDescent="0.25">
      <c r="A52" s="1"/>
      <c r="B52" s="1"/>
      <c r="C52" s="1"/>
      <c r="D52" s="1"/>
      <c r="E52" s="1"/>
      <c r="F52" s="1"/>
      <c r="G52" s="41"/>
      <c r="H52" s="1"/>
      <c r="I52" s="1"/>
      <c r="J52" s="1"/>
      <c r="K52" s="1"/>
      <c r="L52" s="1"/>
      <c r="M52" s="41"/>
      <c r="N52" s="1"/>
      <c r="O52" s="1"/>
      <c r="P52" s="1"/>
      <c r="Q52" s="1"/>
      <c r="R52" s="1"/>
      <c r="S52" s="4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41"/>
      <c r="AV52" s="41"/>
      <c r="AW52" s="1"/>
      <c r="AX52" s="1"/>
      <c r="AY52" s="1"/>
      <c r="AZ52" s="1"/>
      <c r="BA52" s="1"/>
    </row>
    <row r="53" spans="1:53" ht="15.75" customHeight="1" x14ac:dyDescent="0.25">
      <c r="A53" s="1"/>
      <c r="B53" s="1"/>
      <c r="C53" s="1"/>
      <c r="D53" s="1"/>
      <c r="E53" s="1"/>
      <c r="F53" s="1"/>
      <c r="G53" s="41"/>
      <c r="H53" s="1"/>
      <c r="I53" s="1"/>
      <c r="J53" s="1"/>
      <c r="K53" s="1"/>
      <c r="L53" s="1"/>
      <c r="M53" s="41"/>
      <c r="N53" s="1"/>
      <c r="O53" s="1"/>
      <c r="P53" s="1"/>
      <c r="Q53" s="1"/>
      <c r="R53" s="1"/>
      <c r="S53" s="4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41"/>
      <c r="AV53" s="41"/>
      <c r="AW53" s="1"/>
      <c r="AX53" s="1"/>
      <c r="AY53" s="1"/>
      <c r="AZ53" s="1"/>
      <c r="BA53" s="1"/>
    </row>
    <row r="54" spans="1:53" ht="15.75" customHeight="1" x14ac:dyDescent="0.25">
      <c r="A54" s="1"/>
      <c r="B54" s="1"/>
      <c r="C54" s="1"/>
      <c r="D54" s="1"/>
      <c r="E54" s="1"/>
      <c r="F54" s="1"/>
      <c r="G54" s="41"/>
      <c r="H54" s="1"/>
      <c r="I54" s="1"/>
      <c r="J54" s="1"/>
      <c r="K54" s="1"/>
      <c r="L54" s="1"/>
      <c r="M54" s="41"/>
      <c r="N54" s="1"/>
      <c r="O54" s="1"/>
      <c r="P54" s="1"/>
      <c r="Q54" s="1"/>
      <c r="R54" s="1"/>
      <c r="S54" s="4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41"/>
      <c r="AV54" s="41"/>
      <c r="AW54" s="1"/>
      <c r="AX54" s="1"/>
      <c r="AY54" s="1"/>
      <c r="AZ54" s="1"/>
      <c r="BA54" s="1"/>
    </row>
    <row r="55" spans="1:53" ht="15.75" customHeight="1" x14ac:dyDescent="0.25">
      <c r="A55" s="1"/>
      <c r="B55" s="1"/>
      <c r="C55" s="1"/>
      <c r="D55" s="1"/>
      <c r="E55" s="1"/>
      <c r="F55" s="1"/>
      <c r="G55" s="41"/>
      <c r="H55" s="1"/>
      <c r="I55" s="1"/>
      <c r="J55" s="1"/>
      <c r="K55" s="1"/>
      <c r="L55" s="1"/>
      <c r="M55" s="41"/>
      <c r="N55" s="1"/>
      <c r="O55" s="1"/>
      <c r="P55" s="1"/>
      <c r="Q55" s="1"/>
      <c r="R55" s="1"/>
      <c r="S55" s="4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41"/>
      <c r="AV55" s="41"/>
      <c r="AW55" s="1"/>
      <c r="AX55" s="1"/>
      <c r="AY55" s="1"/>
      <c r="AZ55" s="1"/>
      <c r="BA55" s="1"/>
    </row>
    <row r="56" spans="1:53" ht="15.75" customHeight="1" x14ac:dyDescent="0.25">
      <c r="A56" s="1"/>
      <c r="B56" s="1"/>
      <c r="C56" s="1"/>
      <c r="D56" s="1"/>
      <c r="E56" s="1"/>
      <c r="F56" s="1"/>
      <c r="G56" s="41"/>
      <c r="H56" s="1"/>
      <c r="I56" s="1"/>
      <c r="J56" s="1"/>
      <c r="K56" s="1"/>
      <c r="L56" s="1"/>
      <c r="M56" s="41"/>
      <c r="N56" s="1"/>
      <c r="O56" s="1"/>
      <c r="P56" s="1"/>
      <c r="Q56" s="1"/>
      <c r="R56" s="1"/>
      <c r="S56" s="4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41"/>
      <c r="AV56" s="41"/>
      <c r="AW56" s="1"/>
      <c r="AX56" s="1"/>
      <c r="AY56" s="1"/>
      <c r="AZ56" s="1"/>
      <c r="BA56" s="1"/>
    </row>
    <row r="57" spans="1:53" ht="15.75" customHeight="1" x14ac:dyDescent="0.25">
      <c r="A57" s="1"/>
      <c r="B57" s="1"/>
      <c r="C57" s="1"/>
      <c r="D57" s="1"/>
      <c r="E57" s="1"/>
      <c r="F57" s="1"/>
      <c r="G57" s="41"/>
      <c r="H57" s="1"/>
      <c r="I57" s="1"/>
      <c r="J57" s="1"/>
      <c r="K57" s="1"/>
      <c r="L57" s="1"/>
      <c r="M57" s="41"/>
      <c r="N57" s="1"/>
      <c r="O57" s="1"/>
      <c r="P57" s="1"/>
      <c r="Q57" s="1"/>
      <c r="R57" s="1"/>
      <c r="S57" s="4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41"/>
      <c r="AV57" s="41"/>
      <c r="AW57" s="1"/>
      <c r="AX57" s="1"/>
      <c r="AY57" s="1"/>
      <c r="AZ57" s="1"/>
      <c r="BA57" s="1"/>
    </row>
    <row r="58" spans="1:53" ht="15.75" customHeight="1" x14ac:dyDescent="0.25">
      <c r="A58" s="1"/>
      <c r="B58" s="1"/>
      <c r="C58" s="1"/>
      <c r="D58" s="1"/>
      <c r="E58" s="1"/>
      <c r="F58" s="1"/>
      <c r="G58" s="41"/>
      <c r="H58" s="1"/>
      <c r="I58" s="1"/>
      <c r="J58" s="1"/>
      <c r="K58" s="1"/>
      <c r="L58" s="1"/>
      <c r="M58" s="41"/>
      <c r="N58" s="1"/>
      <c r="O58" s="1"/>
      <c r="P58" s="1"/>
      <c r="Q58" s="1"/>
      <c r="R58" s="1"/>
      <c r="S58" s="4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41"/>
      <c r="AV58" s="41"/>
      <c r="AW58" s="1"/>
      <c r="AX58" s="1"/>
      <c r="AY58" s="1"/>
      <c r="AZ58" s="1"/>
      <c r="BA58" s="1"/>
    </row>
    <row r="59" spans="1:53" ht="15.75" customHeight="1" x14ac:dyDescent="0.25">
      <c r="A59" s="1"/>
      <c r="B59" s="1"/>
      <c r="C59" s="1"/>
      <c r="D59" s="1"/>
      <c r="E59" s="1"/>
      <c r="F59" s="1"/>
      <c r="G59" s="41"/>
      <c r="H59" s="1"/>
      <c r="I59" s="1"/>
      <c r="J59" s="1"/>
      <c r="K59" s="1"/>
      <c r="L59" s="1"/>
      <c r="M59" s="41"/>
      <c r="N59" s="1"/>
      <c r="O59" s="1"/>
      <c r="P59" s="1"/>
      <c r="Q59" s="1"/>
      <c r="R59" s="1"/>
      <c r="S59" s="4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41"/>
      <c r="AV59" s="41"/>
      <c r="AW59" s="1"/>
      <c r="AX59" s="1"/>
      <c r="AY59" s="1"/>
      <c r="AZ59" s="1"/>
      <c r="BA59" s="1"/>
    </row>
    <row r="60" spans="1:53" ht="15.75" customHeight="1" x14ac:dyDescent="0.25">
      <c r="A60" s="1"/>
      <c r="B60" s="1"/>
      <c r="C60" s="1"/>
      <c r="D60" s="1"/>
      <c r="E60" s="1"/>
      <c r="F60" s="1"/>
      <c r="G60" s="41"/>
      <c r="H60" s="1"/>
      <c r="I60" s="1"/>
      <c r="J60" s="1"/>
      <c r="K60" s="1"/>
      <c r="L60" s="1"/>
      <c r="M60" s="41"/>
      <c r="N60" s="1"/>
      <c r="O60" s="1"/>
      <c r="P60" s="1"/>
      <c r="Q60" s="1"/>
      <c r="R60" s="1"/>
      <c r="S60" s="4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41"/>
      <c r="AV60" s="41"/>
      <c r="AW60" s="1"/>
      <c r="AX60" s="1"/>
      <c r="AY60" s="1"/>
      <c r="AZ60" s="1"/>
      <c r="BA60" s="1"/>
    </row>
    <row r="61" spans="1:53" ht="15.75" customHeight="1" x14ac:dyDescent="0.25">
      <c r="A61" s="1"/>
      <c r="B61" s="1"/>
      <c r="C61" s="1"/>
      <c r="D61" s="1"/>
      <c r="E61" s="1"/>
      <c r="F61" s="1"/>
      <c r="G61" s="41"/>
      <c r="H61" s="1"/>
      <c r="I61" s="1"/>
      <c r="J61" s="1"/>
      <c r="K61" s="1"/>
      <c r="L61" s="1"/>
      <c r="M61" s="41"/>
      <c r="N61" s="1"/>
      <c r="O61" s="1"/>
      <c r="P61" s="1"/>
      <c r="Q61" s="1"/>
      <c r="R61" s="1"/>
      <c r="S61" s="4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41"/>
      <c r="AV61" s="41"/>
      <c r="AW61" s="1"/>
      <c r="AX61" s="1"/>
      <c r="AY61" s="1"/>
      <c r="AZ61" s="1"/>
      <c r="BA61" s="1"/>
    </row>
    <row r="62" spans="1:53" ht="15.75" customHeight="1" x14ac:dyDescent="0.25">
      <c r="A62" s="1"/>
      <c r="B62" s="1"/>
      <c r="C62" s="1"/>
      <c r="D62" s="1"/>
      <c r="E62" s="1"/>
      <c r="F62" s="1"/>
      <c r="G62" s="41"/>
      <c r="H62" s="1"/>
      <c r="I62" s="1"/>
      <c r="J62" s="1"/>
      <c r="K62" s="1"/>
      <c r="L62" s="1"/>
      <c r="M62" s="41"/>
      <c r="N62" s="1"/>
      <c r="O62" s="1"/>
      <c r="P62" s="1"/>
      <c r="Q62" s="1"/>
      <c r="R62" s="1"/>
      <c r="S62" s="4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41"/>
      <c r="AV62" s="41"/>
      <c r="AW62" s="1"/>
      <c r="AX62" s="1"/>
      <c r="AY62" s="1"/>
      <c r="AZ62" s="1"/>
      <c r="BA62" s="1"/>
    </row>
    <row r="63" spans="1:53" ht="15.75" customHeight="1" x14ac:dyDescent="0.25">
      <c r="A63" s="1"/>
      <c r="B63" s="1"/>
      <c r="C63" s="1"/>
      <c r="D63" s="1"/>
      <c r="E63" s="1"/>
      <c r="F63" s="1"/>
      <c r="G63" s="41"/>
      <c r="H63" s="1"/>
      <c r="I63" s="1"/>
      <c r="J63" s="1"/>
      <c r="K63" s="1"/>
      <c r="L63" s="1"/>
      <c r="M63" s="41"/>
      <c r="N63" s="1"/>
      <c r="O63" s="1"/>
      <c r="P63" s="1"/>
      <c r="Q63" s="1"/>
      <c r="R63" s="1"/>
      <c r="S63" s="4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41"/>
      <c r="AV63" s="41"/>
      <c r="AW63" s="1"/>
      <c r="AX63" s="1"/>
      <c r="AY63" s="1"/>
      <c r="AZ63" s="1"/>
      <c r="BA63" s="1"/>
    </row>
    <row r="64" spans="1:53" ht="15.75" customHeight="1" x14ac:dyDescent="0.25">
      <c r="A64" s="1"/>
      <c r="B64" s="1"/>
      <c r="C64" s="1"/>
      <c r="D64" s="1"/>
      <c r="E64" s="1"/>
      <c r="F64" s="1"/>
      <c r="G64" s="41"/>
      <c r="H64" s="1"/>
      <c r="I64" s="1"/>
      <c r="J64" s="1"/>
      <c r="K64" s="1"/>
      <c r="L64" s="1"/>
      <c r="M64" s="41"/>
      <c r="N64" s="1"/>
      <c r="O64" s="1"/>
      <c r="P64" s="1"/>
      <c r="Q64" s="1"/>
      <c r="R64" s="1"/>
      <c r="S64" s="4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41"/>
      <c r="AV64" s="41"/>
      <c r="AW64" s="1"/>
      <c r="AX64" s="1"/>
      <c r="AY64" s="1"/>
      <c r="AZ64" s="1"/>
      <c r="BA64" s="1"/>
    </row>
    <row r="65" spans="1:53" ht="15.75" customHeight="1" x14ac:dyDescent="0.25">
      <c r="A65" s="1"/>
      <c r="B65" s="1"/>
      <c r="C65" s="1"/>
      <c r="D65" s="1"/>
      <c r="E65" s="1"/>
      <c r="F65" s="1"/>
      <c r="G65" s="41"/>
      <c r="H65" s="1"/>
      <c r="I65" s="1"/>
      <c r="J65" s="1"/>
      <c r="K65" s="1"/>
      <c r="L65" s="1"/>
      <c r="M65" s="41"/>
      <c r="N65" s="1"/>
      <c r="O65" s="1"/>
      <c r="P65" s="1"/>
      <c r="Q65" s="1"/>
      <c r="R65" s="1"/>
      <c r="S65" s="4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41"/>
      <c r="AV65" s="41"/>
      <c r="AW65" s="1"/>
      <c r="AX65" s="1"/>
      <c r="AY65" s="1"/>
      <c r="AZ65" s="1"/>
      <c r="BA65" s="1"/>
    </row>
    <row r="66" spans="1:53" ht="15.75" customHeight="1" x14ac:dyDescent="0.25">
      <c r="A66" s="1"/>
      <c r="B66" s="1"/>
      <c r="C66" s="1"/>
      <c r="D66" s="1"/>
      <c r="E66" s="1"/>
      <c r="F66" s="1"/>
      <c r="G66" s="41"/>
      <c r="H66" s="1"/>
      <c r="I66" s="1"/>
      <c r="J66" s="1"/>
      <c r="K66" s="1"/>
      <c r="L66" s="1"/>
      <c r="M66" s="41"/>
      <c r="N66" s="1"/>
      <c r="O66" s="1"/>
      <c r="P66" s="1"/>
      <c r="Q66" s="1"/>
      <c r="R66" s="1"/>
      <c r="S66" s="4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41"/>
      <c r="AV66" s="41"/>
      <c r="AW66" s="1"/>
      <c r="AX66" s="1"/>
      <c r="AY66" s="1"/>
      <c r="AZ66" s="1"/>
      <c r="BA66" s="1"/>
    </row>
    <row r="67" spans="1:53" ht="15.75" customHeight="1" x14ac:dyDescent="0.25">
      <c r="A67" s="1"/>
      <c r="B67" s="1"/>
      <c r="C67" s="1"/>
      <c r="D67" s="1"/>
      <c r="E67" s="1"/>
      <c r="F67" s="1"/>
      <c r="G67" s="41"/>
      <c r="H67" s="1"/>
      <c r="I67" s="1"/>
      <c r="J67" s="1"/>
      <c r="K67" s="1"/>
      <c r="L67" s="1"/>
      <c r="M67" s="41"/>
      <c r="N67" s="1"/>
      <c r="O67" s="1"/>
      <c r="P67" s="1"/>
      <c r="Q67" s="1"/>
      <c r="R67" s="1"/>
      <c r="S67" s="4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41"/>
      <c r="AV67" s="41"/>
      <c r="AW67" s="1"/>
      <c r="AX67" s="1"/>
      <c r="AY67" s="1"/>
      <c r="AZ67" s="1"/>
      <c r="BA67" s="1"/>
    </row>
    <row r="68" spans="1:53" ht="15.75" customHeight="1" x14ac:dyDescent="0.25">
      <c r="A68" s="1"/>
      <c r="B68" s="1"/>
      <c r="C68" s="1"/>
      <c r="D68" s="1"/>
      <c r="E68" s="1"/>
      <c r="F68" s="1"/>
      <c r="G68" s="41"/>
      <c r="H68" s="1"/>
      <c r="I68" s="1"/>
      <c r="J68" s="1"/>
      <c r="K68" s="1"/>
      <c r="L68" s="1"/>
      <c r="M68" s="41"/>
      <c r="N68" s="1"/>
      <c r="O68" s="1"/>
      <c r="P68" s="1"/>
      <c r="Q68" s="1"/>
      <c r="R68" s="1"/>
      <c r="S68" s="4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41"/>
      <c r="AV68" s="41"/>
      <c r="AW68" s="1"/>
      <c r="AX68" s="1"/>
      <c r="AY68" s="1"/>
      <c r="AZ68" s="1"/>
      <c r="BA68" s="1"/>
    </row>
    <row r="69" spans="1:53" ht="15.75" customHeight="1" x14ac:dyDescent="0.25">
      <c r="A69" s="1"/>
      <c r="B69" s="1"/>
      <c r="C69" s="1"/>
      <c r="D69" s="1"/>
      <c r="E69" s="1"/>
      <c r="F69" s="1"/>
      <c r="G69" s="41"/>
      <c r="H69" s="1"/>
      <c r="I69" s="1"/>
      <c r="J69" s="1"/>
      <c r="K69" s="1"/>
      <c r="L69" s="1"/>
      <c r="M69" s="41"/>
      <c r="N69" s="1"/>
      <c r="O69" s="1"/>
      <c r="P69" s="1"/>
      <c r="Q69" s="1"/>
      <c r="R69" s="1"/>
      <c r="S69" s="4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41"/>
      <c r="AV69" s="41"/>
      <c r="AW69" s="1"/>
      <c r="AX69" s="1"/>
      <c r="AY69" s="1"/>
      <c r="AZ69" s="1"/>
      <c r="BA69" s="1"/>
    </row>
    <row r="70" spans="1:53" ht="15.75" customHeight="1" x14ac:dyDescent="0.25">
      <c r="A70" s="1"/>
      <c r="B70" s="1"/>
      <c r="C70" s="1"/>
      <c r="D70" s="1"/>
      <c r="E70" s="1"/>
      <c r="F70" s="1"/>
      <c r="G70" s="41"/>
      <c r="H70" s="1"/>
      <c r="I70" s="1"/>
      <c r="J70" s="1"/>
      <c r="K70" s="1"/>
      <c r="L70" s="1"/>
      <c r="M70" s="41"/>
      <c r="N70" s="1"/>
      <c r="O70" s="1"/>
      <c r="P70" s="1"/>
      <c r="Q70" s="1"/>
      <c r="R70" s="1"/>
      <c r="S70" s="4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41"/>
      <c r="AV70" s="41"/>
      <c r="AW70" s="1"/>
      <c r="AX70" s="1"/>
      <c r="AY70" s="1"/>
      <c r="AZ70" s="1"/>
      <c r="BA70" s="1"/>
    </row>
    <row r="71" spans="1:53" ht="15.75" customHeight="1" x14ac:dyDescent="0.25">
      <c r="A71" s="1"/>
      <c r="B71" s="1"/>
      <c r="C71" s="1"/>
      <c r="D71" s="1"/>
      <c r="E71" s="1"/>
      <c r="F71" s="1"/>
      <c r="G71" s="41"/>
      <c r="H71" s="1"/>
      <c r="I71" s="1"/>
      <c r="J71" s="1"/>
      <c r="K71" s="1"/>
      <c r="L71" s="1"/>
      <c r="M71" s="41"/>
      <c r="N71" s="1"/>
      <c r="O71" s="1"/>
      <c r="P71" s="1"/>
      <c r="Q71" s="1"/>
      <c r="R71" s="1"/>
      <c r="S71" s="4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41"/>
      <c r="AV71" s="41"/>
      <c r="AW71" s="1"/>
      <c r="AX71" s="1"/>
      <c r="AY71" s="1"/>
      <c r="AZ71" s="1"/>
      <c r="BA71" s="1"/>
    </row>
    <row r="72" spans="1:53" ht="15.75" customHeight="1" x14ac:dyDescent="0.25">
      <c r="A72" s="1"/>
      <c r="B72" s="1"/>
      <c r="C72" s="1"/>
      <c r="D72" s="1"/>
      <c r="E72" s="1"/>
      <c r="F72" s="1"/>
      <c r="G72" s="41"/>
      <c r="H72" s="1"/>
      <c r="I72" s="1"/>
      <c r="J72" s="1"/>
      <c r="K72" s="1"/>
      <c r="L72" s="1"/>
      <c r="M72" s="41"/>
      <c r="N72" s="1"/>
      <c r="O72" s="1"/>
      <c r="P72" s="1"/>
      <c r="Q72" s="1"/>
      <c r="R72" s="1"/>
      <c r="S72" s="4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41"/>
      <c r="AV72" s="41"/>
      <c r="AW72" s="1"/>
      <c r="AX72" s="1"/>
      <c r="AY72" s="1"/>
      <c r="AZ72" s="1"/>
      <c r="BA72" s="1"/>
    </row>
    <row r="73" spans="1:53" ht="15.75" customHeight="1" x14ac:dyDescent="0.25">
      <c r="A73" s="1"/>
      <c r="B73" s="1"/>
      <c r="C73" s="1"/>
      <c r="D73" s="1"/>
      <c r="E73" s="1"/>
      <c r="F73" s="1"/>
      <c r="G73" s="41"/>
      <c r="H73" s="1"/>
      <c r="I73" s="1"/>
      <c r="J73" s="1"/>
      <c r="K73" s="1"/>
      <c r="L73" s="1"/>
      <c r="M73" s="41"/>
      <c r="N73" s="1"/>
      <c r="O73" s="1"/>
      <c r="P73" s="1"/>
      <c r="Q73" s="1"/>
      <c r="R73" s="1"/>
      <c r="S73" s="4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41"/>
      <c r="AV73" s="41"/>
      <c r="AW73" s="1"/>
      <c r="AX73" s="1"/>
      <c r="AY73" s="1"/>
      <c r="AZ73" s="1"/>
      <c r="BA73" s="1"/>
    </row>
    <row r="74" spans="1:53" ht="15.75" customHeight="1" x14ac:dyDescent="0.25">
      <c r="A74" s="1"/>
      <c r="B74" s="1"/>
      <c r="C74" s="1"/>
      <c r="D74" s="1"/>
      <c r="E74" s="1"/>
      <c r="F74" s="1"/>
      <c r="G74" s="41"/>
      <c r="H74" s="1"/>
      <c r="I74" s="1"/>
      <c r="J74" s="1"/>
      <c r="K74" s="1"/>
      <c r="L74" s="1"/>
      <c r="M74" s="41"/>
      <c r="N74" s="1"/>
      <c r="O74" s="1"/>
      <c r="P74" s="1"/>
      <c r="Q74" s="1"/>
      <c r="R74" s="1"/>
      <c r="S74" s="4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41"/>
      <c r="AV74" s="41"/>
      <c r="AW74" s="1"/>
      <c r="AX74" s="1"/>
      <c r="AY74" s="1"/>
      <c r="AZ74" s="1"/>
      <c r="BA74" s="1"/>
    </row>
    <row r="75" spans="1:53" ht="15.75" customHeight="1" x14ac:dyDescent="0.25">
      <c r="A75" s="1"/>
      <c r="B75" s="1"/>
      <c r="C75" s="1"/>
      <c r="D75" s="1"/>
      <c r="E75" s="1"/>
      <c r="F75" s="1"/>
      <c r="G75" s="41"/>
      <c r="H75" s="1"/>
      <c r="I75" s="1"/>
      <c r="J75" s="1"/>
      <c r="K75" s="1"/>
      <c r="L75" s="1"/>
      <c r="M75" s="41"/>
      <c r="N75" s="1"/>
      <c r="O75" s="1"/>
      <c r="P75" s="1"/>
      <c r="Q75" s="1"/>
      <c r="R75" s="1"/>
      <c r="S75" s="4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41"/>
      <c r="AV75" s="41"/>
      <c r="AW75" s="1"/>
      <c r="AX75" s="1"/>
      <c r="AY75" s="1"/>
      <c r="AZ75" s="1"/>
      <c r="BA75" s="1"/>
    </row>
    <row r="76" spans="1:53" ht="15.75" customHeight="1" x14ac:dyDescent="0.25">
      <c r="A76" s="1"/>
      <c r="B76" s="1"/>
      <c r="C76" s="1"/>
      <c r="D76" s="1"/>
      <c r="E76" s="1"/>
      <c r="F76" s="1"/>
      <c r="G76" s="41"/>
      <c r="H76" s="1"/>
      <c r="I76" s="1"/>
      <c r="J76" s="1"/>
      <c r="K76" s="1"/>
      <c r="L76" s="1"/>
      <c r="M76" s="41"/>
      <c r="N76" s="1"/>
      <c r="O76" s="1"/>
      <c r="P76" s="1"/>
      <c r="Q76" s="1"/>
      <c r="R76" s="1"/>
      <c r="S76" s="4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41"/>
      <c r="AV76" s="41"/>
      <c r="AW76" s="1"/>
      <c r="AX76" s="1"/>
      <c r="AY76" s="1"/>
      <c r="AZ76" s="1"/>
      <c r="BA76" s="1"/>
    </row>
    <row r="77" spans="1:53" ht="15.75" customHeight="1" x14ac:dyDescent="0.25">
      <c r="A77" s="1"/>
      <c r="B77" s="1"/>
      <c r="C77" s="1"/>
      <c r="D77" s="1"/>
      <c r="E77" s="1"/>
      <c r="F77" s="1"/>
      <c r="G77" s="41"/>
      <c r="H77" s="1"/>
      <c r="I77" s="1"/>
      <c r="J77" s="1"/>
      <c r="K77" s="1"/>
      <c r="L77" s="1"/>
      <c r="M77" s="41"/>
      <c r="N77" s="1"/>
      <c r="O77" s="1"/>
      <c r="P77" s="1"/>
      <c r="Q77" s="1"/>
      <c r="R77" s="1"/>
      <c r="S77" s="4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41"/>
      <c r="AV77" s="41"/>
      <c r="AW77" s="1"/>
      <c r="AX77" s="1"/>
      <c r="AY77" s="1"/>
      <c r="AZ77" s="1"/>
      <c r="BA77" s="1"/>
    </row>
    <row r="78" spans="1:53" ht="15.75" customHeight="1" x14ac:dyDescent="0.25">
      <c r="A78" s="1"/>
      <c r="B78" s="1"/>
      <c r="C78" s="1"/>
      <c r="D78" s="1"/>
      <c r="E78" s="1"/>
      <c r="F78" s="1"/>
      <c r="G78" s="41"/>
      <c r="H78" s="1"/>
      <c r="I78" s="1"/>
      <c r="J78" s="1"/>
      <c r="K78" s="1"/>
      <c r="L78" s="1"/>
      <c r="M78" s="41"/>
      <c r="N78" s="1"/>
      <c r="O78" s="1"/>
      <c r="P78" s="1"/>
      <c r="Q78" s="1"/>
      <c r="R78" s="1"/>
      <c r="S78" s="4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41"/>
      <c r="AV78" s="41"/>
      <c r="AW78" s="1"/>
      <c r="AX78" s="1"/>
      <c r="AY78" s="1"/>
      <c r="AZ78" s="1"/>
      <c r="BA78" s="1"/>
    </row>
    <row r="79" spans="1:53" ht="15.75" customHeight="1" x14ac:dyDescent="0.25">
      <c r="A79" s="1"/>
      <c r="B79" s="1"/>
      <c r="C79" s="1"/>
      <c r="D79" s="1"/>
      <c r="E79" s="1"/>
      <c r="F79" s="1"/>
      <c r="G79" s="41"/>
      <c r="H79" s="1"/>
      <c r="I79" s="1"/>
      <c r="J79" s="1"/>
      <c r="K79" s="1"/>
      <c r="L79" s="1"/>
      <c r="M79" s="41"/>
      <c r="N79" s="1"/>
      <c r="O79" s="1"/>
      <c r="P79" s="1"/>
      <c r="Q79" s="1"/>
      <c r="R79" s="1"/>
      <c r="S79" s="4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41"/>
      <c r="AV79" s="41"/>
      <c r="AW79" s="1"/>
      <c r="AX79" s="1"/>
      <c r="AY79" s="1"/>
      <c r="AZ79" s="1"/>
      <c r="BA79" s="1"/>
    </row>
    <row r="80" spans="1:53" ht="15.75" customHeight="1" x14ac:dyDescent="0.25">
      <c r="A80" s="1"/>
      <c r="B80" s="1"/>
      <c r="C80" s="1"/>
      <c r="D80" s="1"/>
      <c r="E80" s="1"/>
      <c r="F80" s="1"/>
      <c r="G80" s="41"/>
      <c r="H80" s="1"/>
      <c r="I80" s="1"/>
      <c r="J80" s="1"/>
      <c r="K80" s="1"/>
      <c r="L80" s="1"/>
      <c r="M80" s="41"/>
      <c r="N80" s="1"/>
      <c r="O80" s="1"/>
      <c r="P80" s="1"/>
      <c r="Q80" s="1"/>
      <c r="R80" s="1"/>
      <c r="S80" s="4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41"/>
      <c r="AV80" s="41"/>
      <c r="AW80" s="1"/>
      <c r="AX80" s="1"/>
      <c r="AY80" s="1"/>
      <c r="AZ80" s="1"/>
      <c r="BA80" s="1"/>
    </row>
    <row r="81" spans="1:53" ht="15.75" customHeight="1" x14ac:dyDescent="0.25">
      <c r="A81" s="1"/>
      <c r="B81" s="1"/>
      <c r="C81" s="1"/>
      <c r="D81" s="1"/>
      <c r="E81" s="1"/>
      <c r="F81" s="1"/>
      <c r="G81" s="41"/>
      <c r="H81" s="1"/>
      <c r="I81" s="1"/>
      <c r="J81" s="1"/>
      <c r="K81" s="1"/>
      <c r="L81" s="1"/>
      <c r="M81" s="41"/>
      <c r="N81" s="1"/>
      <c r="O81" s="1"/>
      <c r="P81" s="1"/>
      <c r="Q81" s="1"/>
      <c r="R81" s="1"/>
      <c r="S81" s="4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41"/>
      <c r="AV81" s="41"/>
      <c r="AW81" s="1"/>
      <c r="AX81" s="1"/>
      <c r="AY81" s="1"/>
      <c r="AZ81" s="1"/>
      <c r="BA81" s="1"/>
    </row>
    <row r="82" spans="1:53" ht="15.75" customHeight="1" x14ac:dyDescent="0.25">
      <c r="A82" s="1"/>
      <c r="B82" s="1"/>
      <c r="C82" s="1"/>
      <c r="D82" s="1"/>
      <c r="E82" s="1"/>
      <c r="F82" s="1"/>
      <c r="G82" s="41"/>
      <c r="H82" s="1"/>
      <c r="I82" s="1"/>
      <c r="J82" s="1"/>
      <c r="K82" s="1"/>
      <c r="L82" s="1"/>
      <c r="M82" s="41"/>
      <c r="N82" s="1"/>
      <c r="O82" s="1"/>
      <c r="P82" s="1"/>
      <c r="Q82" s="1"/>
      <c r="R82" s="1"/>
      <c r="S82" s="4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41"/>
      <c r="AV82" s="41"/>
      <c r="AW82" s="1"/>
      <c r="AX82" s="1"/>
      <c r="AY82" s="1"/>
      <c r="AZ82" s="1"/>
      <c r="BA82" s="1"/>
    </row>
    <row r="83" spans="1:53" ht="15.75" customHeight="1" x14ac:dyDescent="0.25">
      <c r="A83" s="1"/>
      <c r="B83" s="1"/>
      <c r="C83" s="1"/>
      <c r="D83" s="1"/>
      <c r="E83" s="1"/>
      <c r="F83" s="1"/>
      <c r="G83" s="41"/>
      <c r="H83" s="1"/>
      <c r="I83" s="1"/>
      <c r="J83" s="1"/>
      <c r="K83" s="1"/>
      <c r="L83" s="1"/>
      <c r="M83" s="41"/>
      <c r="N83" s="1"/>
      <c r="O83" s="1"/>
      <c r="P83" s="1"/>
      <c r="Q83" s="1"/>
      <c r="R83" s="1"/>
      <c r="S83" s="4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41"/>
      <c r="AV83" s="41"/>
      <c r="AW83" s="1"/>
      <c r="AX83" s="1"/>
      <c r="AY83" s="1"/>
      <c r="AZ83" s="1"/>
      <c r="BA83" s="1"/>
    </row>
    <row r="84" spans="1:53" ht="15.75" customHeight="1" x14ac:dyDescent="0.25">
      <c r="A84" s="1"/>
      <c r="B84" s="1"/>
      <c r="C84" s="1"/>
      <c r="D84" s="1"/>
      <c r="E84" s="1"/>
      <c r="F84" s="1"/>
      <c r="G84" s="41"/>
      <c r="H84" s="1"/>
      <c r="I84" s="1"/>
      <c r="J84" s="1"/>
      <c r="K84" s="1"/>
      <c r="L84" s="1"/>
      <c r="M84" s="41"/>
      <c r="N84" s="1"/>
      <c r="O84" s="1"/>
      <c r="P84" s="1"/>
      <c r="Q84" s="1"/>
      <c r="R84" s="1"/>
      <c r="S84" s="4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41"/>
      <c r="AV84" s="41"/>
      <c r="AW84" s="1"/>
      <c r="AX84" s="1"/>
      <c r="AY84" s="1"/>
      <c r="AZ84" s="1"/>
      <c r="BA84" s="1"/>
    </row>
    <row r="85" spans="1:53" ht="15.75" customHeight="1" x14ac:dyDescent="0.25">
      <c r="A85" s="1"/>
      <c r="B85" s="1"/>
      <c r="C85" s="1"/>
      <c r="D85" s="1"/>
      <c r="E85" s="1"/>
      <c r="F85" s="1"/>
      <c r="G85" s="41"/>
      <c r="H85" s="1"/>
      <c r="I85" s="1"/>
      <c r="J85" s="1"/>
      <c r="K85" s="1"/>
      <c r="L85" s="1"/>
      <c r="M85" s="41"/>
      <c r="N85" s="1"/>
      <c r="O85" s="1"/>
      <c r="P85" s="1"/>
      <c r="Q85" s="1"/>
      <c r="R85" s="1"/>
      <c r="S85" s="4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41"/>
      <c r="AV85" s="41"/>
      <c r="AW85" s="1"/>
      <c r="AX85" s="1"/>
      <c r="AY85" s="1"/>
      <c r="AZ85" s="1"/>
      <c r="BA85" s="1"/>
    </row>
    <row r="86" spans="1:53" ht="15.75" customHeight="1" x14ac:dyDescent="0.25">
      <c r="A86" s="1"/>
      <c r="B86" s="1"/>
      <c r="C86" s="1"/>
      <c r="D86" s="1"/>
      <c r="E86" s="1"/>
      <c r="F86" s="1"/>
      <c r="G86" s="41"/>
      <c r="H86" s="1"/>
      <c r="I86" s="1"/>
      <c r="J86" s="1"/>
      <c r="K86" s="1"/>
      <c r="L86" s="1"/>
      <c r="M86" s="41"/>
      <c r="N86" s="1"/>
      <c r="O86" s="1"/>
      <c r="P86" s="1"/>
      <c r="Q86" s="1"/>
      <c r="R86" s="1"/>
      <c r="S86" s="4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41"/>
      <c r="AV86" s="41"/>
      <c r="AW86" s="1"/>
      <c r="AX86" s="1"/>
      <c r="AY86" s="1"/>
      <c r="AZ86" s="1"/>
      <c r="BA86" s="1"/>
    </row>
    <row r="87" spans="1:53" ht="15.75" customHeight="1" x14ac:dyDescent="0.25">
      <c r="A87" s="1"/>
      <c r="B87" s="1"/>
      <c r="C87" s="1"/>
      <c r="D87" s="1"/>
      <c r="E87" s="1"/>
      <c r="F87" s="1"/>
      <c r="G87" s="41"/>
      <c r="H87" s="1"/>
      <c r="I87" s="1"/>
      <c r="J87" s="1"/>
      <c r="K87" s="1"/>
      <c r="L87" s="1"/>
      <c r="M87" s="41"/>
      <c r="N87" s="1"/>
      <c r="O87" s="1"/>
      <c r="P87" s="1"/>
      <c r="Q87" s="1"/>
      <c r="R87" s="1"/>
      <c r="S87" s="4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41"/>
      <c r="AV87" s="41"/>
      <c r="AW87" s="1"/>
      <c r="AX87" s="1"/>
      <c r="AY87" s="1"/>
      <c r="AZ87" s="1"/>
      <c r="BA87" s="1"/>
    </row>
  </sheetData>
  <mergeCells count="16">
    <mergeCell ref="H5:M5"/>
    <mergeCell ref="H6:M6"/>
    <mergeCell ref="B4:G5"/>
    <mergeCell ref="B6:G6"/>
    <mergeCell ref="N5:S5"/>
    <mergeCell ref="N6:S6"/>
    <mergeCell ref="AW22:BB22"/>
    <mergeCell ref="A1:Z1"/>
    <mergeCell ref="AG1:AI1"/>
    <mergeCell ref="A2:Z2"/>
    <mergeCell ref="A3:Z3"/>
    <mergeCell ref="A5:A7"/>
    <mergeCell ref="Z5:Z7"/>
    <mergeCell ref="T6:Y6"/>
    <mergeCell ref="T5:Y5"/>
    <mergeCell ref="AI22:AU22"/>
  </mergeCells>
  <pageMargins left="0.7" right="0.7" top="0.75" bottom="0.75" header="0" footer="0"/>
  <pageSetup paperSize="9" scale="3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</vt:lpstr>
      <vt:lpstr>'18.2'!Print_Area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2026-05-06T06:47:56Z</cp:lastPrinted>
  <dcterms:created xsi:type="dcterms:W3CDTF">2025-05-19T08:29:05Z</dcterms:created>
  <dcterms:modified xsi:type="dcterms:W3CDTF">2026-05-06T06:48:03Z</dcterms:modified>
</cp:coreProperties>
</file>