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9190CE3F-6D51-45BF-8E39-A2EBF58DFE51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4" sheetId="14" r:id="rId1"/>
  </sheets>
  <definedNames>
    <definedName name="_xlnm.Print_Area" localSheetId="0">'18.14'!$A$1:$J$36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4" l="1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F6" i="14"/>
  <c r="E6" i="14"/>
  <c r="D6" i="14"/>
  <c r="C6" i="14"/>
  <c r="B6" i="14"/>
  <c r="G6" i="14" l="1"/>
  <c r="H17" i="14" l="1"/>
  <c r="H19" i="14"/>
  <c r="H18" i="14"/>
  <c r="H10" i="14"/>
  <c r="H16" i="14"/>
  <c r="H15" i="14"/>
  <c r="H28" i="14"/>
  <c r="H29" i="14"/>
  <c r="H24" i="14"/>
  <c r="H20" i="14"/>
  <c r="H30" i="14"/>
  <c r="H31" i="14"/>
  <c r="H25" i="14"/>
  <c r="H12" i="14"/>
  <c r="H13" i="14"/>
  <c r="H26" i="14"/>
  <c r="H32" i="14"/>
  <c r="H22" i="14"/>
  <c r="H6" i="14"/>
  <c r="H8" i="14"/>
  <c r="H27" i="14"/>
  <c r="H11" i="14"/>
  <c r="H23" i="14"/>
  <c r="H14" i="14"/>
  <c r="H9" i="14"/>
  <c r="H7" i="14"/>
</calcChain>
</file>

<file path=xl/sharedStrings.xml><?xml version="1.0" encoding="utf-8"?>
<sst xmlns="http://schemas.openxmlformats.org/spreadsheetml/2006/main" count="69" uniqueCount="68">
  <si>
    <t>% share</t>
  </si>
  <si>
    <t>ޖުމްލަ</t>
  </si>
  <si>
    <t>Total</t>
  </si>
  <si>
    <t>މަޢުލޫމާތު ދެއްވި ފަރާތް: މޯލްޑިވްސް ޕެންޝަން އެޑްމިނިސްޓްރޭޝަން</t>
  </si>
  <si>
    <t>Source: Maldives Pension Administration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</si>
  <si>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</si>
  <si>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</si>
  <si>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</si>
  <si>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</si>
  <si>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</si>
  <si>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</si>
  <si>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</si>
  <si>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</si>
  <si>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</si>
  <si>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</si>
  <si>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</si>
  <si>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</si>
  <si>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</si>
  <si>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</si>
  <si>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</si>
  <si>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</si>
  <si>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</si>
  <si>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</si>
  <si>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</si>
  <si>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</si>
  <si>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</si>
  <si>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</si>
  <si>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</si>
  <si>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</si>
  <si>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</si>
  <si>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</si>
  <si>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</si>
  <si>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</si>
  <si>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</si>
  <si>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</si>
  <si>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</si>
  <si>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</si>
  <si>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</si>
  <si>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</si>
  <si>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</si>
  <si>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</si>
  <si>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</si>
  <si>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</si>
  <si>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</si>
  <si>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</si>
  <si>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</si>
  <si>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</si>
  <si>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</si>
  <si>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</si>
  <si>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</si>
  <si>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</si>
  <si>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</si>
  <si>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</si>
  <si>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</si>
  <si>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</si>
  <si>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</si>
  <si>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</si>
  <si>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</si>
  <si>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</si>
  <si>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</si>
  <si>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</si>
  <si>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</si>
  <si>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</si>
  <si>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</si>
  <si>
    <t>Employment size</t>
  </si>
  <si>
    <t xml:space="preserve">Note: The Difference between values in this table  is due to  some members having multiple contracts with more than one employer </t>
  </si>
  <si>
    <t>TABLE   18.14: EMPLOYEES  REGISTERED IN THE RETIREMENT PENSION SCHEME, BY EMPLOYMENT SIZE, END  2025</t>
  </si>
  <si>
    <t>ތާވަލު  18.14 : އެކި ދާއިރާތަކުން ރިޓާޔަމަންޓް ޕެންޝަން ސްކީމްގައި ރެޖިސްޓަރކޮށްފައިވާ މުވައްޒަފުންގެ ޢަދަދު، ތަނުގެމުވައްޒަފުންގެ ގިންތިން،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</si>
</sst>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4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Faruma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32">
    <xf numFmtId="0" fontId="0" fillId="0" borderId="0"/>
    <xf numFmtId="164" fontId="11" fillId="0" borderId="18"/>
    <xf numFmtId="43" fontId="3" fillId="0" borderId="18" applyFont="0" applyFill="0" applyBorder="0" applyAlignment="0" applyProtection="0"/>
    <xf numFmtId="43" fontId="3" fillId="0" borderId="18" applyFont="0" applyFill="0" applyBorder="0" applyAlignment="0" applyProtection="0"/>
    <xf numFmtId="0" fontId="10" fillId="0" borderId="18"/>
    <xf numFmtId="0" fontId="3" fillId="0" borderId="18"/>
    <xf numFmtId="0" fontId="3" fillId="0" borderId="18"/>
    <xf numFmtId="0" fontId="3" fillId="0" borderId="18"/>
    <xf numFmtId="0" fontId="10" fillId="0" borderId="18"/>
    <xf numFmtId="0" fontId="10" fillId="0" borderId="18"/>
    <xf numFmtId="0" fontId="3" fillId="0" borderId="18"/>
    <xf numFmtId="0" fontId="3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</cellStyleXfs>
  <cellXfs count="4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5" fillId="2" borderId="4" xfId="0" applyFont="1" applyFill="1" applyBorder="1"/>
    <xf numFmtId="0" fontId="5" fillId="2" borderId="11" xfId="0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8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3" fontId="3" fillId="2" borderId="12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9" fontId="4" fillId="2" borderId="14" xfId="0" applyNumberFormat="1" applyFont="1" applyFill="1" applyBorder="1" applyAlignment="1">
      <alignment horizontal="right" vertical="center"/>
    </xf>
    <xf numFmtId="0" fontId="9" fillId="2" borderId="4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8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3" borderId="20" xfId="0" applyFont="1" applyFill="1" applyBorder="1"/>
    <xf numFmtId="3" fontId="13" fillId="4" borderId="18" xfId="27" applyNumberFormat="1" applyFont="1" applyFill="1" applyAlignment="1">
      <alignment horizontal="right" vertical="center"/>
    </xf>
    <xf numFmtId="3" fontId="13" fillId="4" borderId="18" xfId="27" applyNumberFormat="1" applyFont="1" applyFill="1" applyAlignment="1">
      <alignment horizontal="right" vertical="center" wrapText="1"/>
    </xf>
    <xf numFmtId="3" fontId="13" fillId="4" borderId="19" xfId="27" applyNumberFormat="1" applyFont="1" applyFill="1" applyBorder="1" applyAlignment="1">
      <alignment horizontal="right" vertical="center"/>
    </xf>
    <xf numFmtId="165" fontId="4" fillId="2" borderId="16" xfId="0" applyNumberFormat="1" applyFont="1" applyFill="1" applyBorder="1" applyAlignment="1">
      <alignment horizontal="right" vertical="center" indent="3"/>
    </xf>
    <xf numFmtId="165" fontId="3" fillId="2" borderId="15" xfId="0" applyNumberFormat="1" applyFont="1" applyFill="1" applyBorder="1" applyAlignment="1">
      <alignment horizontal="right" vertical="center" indent="3"/>
    </xf>
    <xf numFmtId="165" fontId="3" fillId="2" borderId="13" xfId="0" applyNumberFormat="1" applyFont="1" applyFill="1" applyBorder="1" applyAlignment="1">
      <alignment horizontal="right" vertical="center" indent="3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C36"/>
  <sheetViews>
    <sheetView tabSelected="1" zoomScaleNormal="100" workbookViewId="0">
      <selection activeCell="H6" sqref="H6:H32"/>
    </sheetView>
  </sheetViews>
  <sheetFormatPr defaultColWidth="14.42578125" defaultRowHeight="15" customHeight="1" x14ac:dyDescent="0.25"/>
  <cols>
    <col min="1" max="1" width="51.5703125" style="24" customWidth="1"/>
    <col min="2" max="7" width="11.42578125" style="24" customWidth="1"/>
    <col min="8" max="8" width="12.140625" style="24" customWidth="1"/>
    <col min="9" max="9" width="41.42578125" style="24" customWidth="1"/>
    <col min="10" max="10" width="5.85546875" style="24" customWidth="1"/>
    <col min="11" max="29" width="12.7109375" style="24" customWidth="1"/>
    <col min="30" max="16384" width="14.42578125" style="24"/>
  </cols>
  <sheetData>
    <row r="1" spans="1:29" ht="21" customHeight="1" x14ac:dyDescent="0.55000000000000004">
      <c r="A1" s="28" t="s">
        <v>67</v>
      </c>
      <c r="B1" s="29"/>
      <c r="C1" s="29"/>
      <c r="D1" s="29"/>
      <c r="E1" s="29"/>
      <c r="F1" s="29"/>
      <c r="G1" s="29"/>
      <c r="H1" s="29"/>
      <c r="I1" s="3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35" t="s">
        <v>66</v>
      </c>
      <c r="B2" s="29"/>
      <c r="C2" s="29"/>
      <c r="D2" s="29"/>
      <c r="E2" s="29"/>
      <c r="F2" s="29"/>
      <c r="G2" s="29"/>
      <c r="H2" s="29"/>
      <c r="I2" s="3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1"/>
      <c r="C3" s="11"/>
      <c r="D3" s="11"/>
      <c r="E3" s="11"/>
      <c r="F3" s="11"/>
      <c r="G3" s="11"/>
      <c r="H3" s="1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32" t="s">
        <v>5</v>
      </c>
      <c r="B4" s="25" t="s">
        <v>64</v>
      </c>
      <c r="C4" s="26"/>
      <c r="D4" s="26"/>
      <c r="E4" s="26"/>
      <c r="F4" s="26"/>
      <c r="G4" s="27"/>
      <c r="H4" s="36" t="s">
        <v>0</v>
      </c>
      <c r="I4" s="34" t="s">
        <v>57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</row>
    <row r="5" spans="1:29" ht="15" customHeight="1" x14ac:dyDescent="0.25">
      <c r="A5" s="30"/>
      <c r="B5" s="17" t="s">
        <v>58</v>
      </c>
      <c r="C5" s="17" t="s">
        <v>59</v>
      </c>
      <c r="D5" s="17" t="s">
        <v>60</v>
      </c>
      <c r="E5" s="17" t="s">
        <v>61</v>
      </c>
      <c r="F5" s="20" t="s">
        <v>62</v>
      </c>
      <c r="G5" s="20" t="s">
        <v>2</v>
      </c>
      <c r="H5" s="37"/>
      <c r="I5" s="3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</row>
    <row r="6" spans="1:29" ht="21" customHeight="1" x14ac:dyDescent="0.55000000000000004">
      <c r="A6" s="18" t="s">
        <v>2</v>
      </c>
      <c r="B6" s="14">
        <f t="shared" ref="B6:G6" si="0">SUM(B7:B32)</f>
        <v>4597</v>
      </c>
      <c r="C6" s="14">
        <f t="shared" si="0"/>
        <v>13122</v>
      </c>
      <c r="D6" s="14">
        <f t="shared" si="0"/>
        <v>10955</v>
      </c>
      <c r="E6" s="14">
        <f t="shared" si="0"/>
        <v>26729</v>
      </c>
      <c r="F6" s="14">
        <f t="shared" si="0"/>
        <v>52987</v>
      </c>
      <c r="G6" s="14">
        <f t="shared" si="0"/>
        <v>108390</v>
      </c>
      <c r="H6" s="41">
        <f>G6/G6*100</f>
        <v>100</v>
      </c>
      <c r="I6" s="4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  <c r="AB6" s="1"/>
      <c r="AC6" s="1"/>
    </row>
    <row r="7" spans="1:29" ht="21" customHeight="1" x14ac:dyDescent="0.55000000000000004">
      <c r="A7" s="7" t="s">
        <v>6</v>
      </c>
      <c r="B7" s="38">
        <v>20</v>
      </c>
      <c r="C7" s="38">
        <v>51</v>
      </c>
      <c r="D7" s="38">
        <v>60</v>
      </c>
      <c r="E7" s="38">
        <v>291</v>
      </c>
      <c r="F7" s="38">
        <v>0</v>
      </c>
      <c r="G7" s="8">
        <f t="shared" ref="G7:G32" si="1">SUM(B7:F7)</f>
        <v>422</v>
      </c>
      <c r="H7" s="42">
        <f t="shared" ref="H7:H20" si="2">G7/$G$6*100</f>
        <v>0.38933480948426974</v>
      </c>
      <c r="I7" s="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7" t="s">
        <v>8</v>
      </c>
      <c r="B8" s="38">
        <v>21</v>
      </c>
      <c r="C8" s="38">
        <v>55</v>
      </c>
      <c r="D8" s="38">
        <v>100</v>
      </c>
      <c r="E8" s="38">
        <v>513</v>
      </c>
      <c r="F8" s="38">
        <v>7498</v>
      </c>
      <c r="G8" s="8">
        <f t="shared" si="1"/>
        <v>8187</v>
      </c>
      <c r="H8" s="42">
        <f t="shared" si="2"/>
        <v>7.5532798228618869</v>
      </c>
      <c r="I8" s="5" t="s">
        <v>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7" t="s">
        <v>10</v>
      </c>
      <c r="B9" s="38">
        <v>5</v>
      </c>
      <c r="C9" s="38">
        <v>0</v>
      </c>
      <c r="D9" s="38">
        <v>0</v>
      </c>
      <c r="E9" s="38">
        <v>0</v>
      </c>
      <c r="F9" s="38">
        <v>0</v>
      </c>
      <c r="G9" s="8">
        <f t="shared" si="1"/>
        <v>5</v>
      </c>
      <c r="H9" s="42">
        <f t="shared" si="2"/>
        <v>4.6129716763539073E-3</v>
      </c>
      <c r="I9" s="5" t="s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7" t="s">
        <v>12</v>
      </c>
      <c r="B10" s="38">
        <v>22</v>
      </c>
      <c r="C10" s="38">
        <v>23</v>
      </c>
      <c r="D10" s="38">
        <v>0</v>
      </c>
      <c r="E10" s="38">
        <v>0</v>
      </c>
      <c r="F10" s="38">
        <v>0</v>
      </c>
      <c r="G10" s="8">
        <f t="shared" si="1"/>
        <v>45</v>
      </c>
      <c r="H10" s="42">
        <f t="shared" si="2"/>
        <v>4.1516745087185163E-2</v>
      </c>
      <c r="I10" s="5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7" t="s">
        <v>14</v>
      </c>
      <c r="B11" s="38">
        <v>291</v>
      </c>
      <c r="C11" s="38">
        <v>437</v>
      </c>
      <c r="D11" s="38">
        <v>260</v>
      </c>
      <c r="E11" s="38">
        <v>657</v>
      </c>
      <c r="F11" s="38">
        <v>0</v>
      </c>
      <c r="G11" s="8">
        <f t="shared" si="1"/>
        <v>1645</v>
      </c>
      <c r="H11" s="42">
        <f t="shared" si="2"/>
        <v>1.5176676815204355</v>
      </c>
      <c r="I11" s="5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7" t="s">
        <v>16</v>
      </c>
      <c r="B12" s="38">
        <v>36</v>
      </c>
      <c r="C12" s="38">
        <v>10</v>
      </c>
      <c r="D12" s="38">
        <v>65</v>
      </c>
      <c r="E12" s="38">
        <v>0</v>
      </c>
      <c r="F12" s="38">
        <v>0</v>
      </c>
      <c r="G12" s="8">
        <f t="shared" si="1"/>
        <v>111</v>
      </c>
      <c r="H12" s="42">
        <f t="shared" si="2"/>
        <v>0.10240797121505675</v>
      </c>
      <c r="I12" s="5" t="s">
        <v>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19" t="s">
        <v>18</v>
      </c>
      <c r="B13" s="39">
        <v>144</v>
      </c>
      <c r="C13" s="39">
        <v>650</v>
      </c>
      <c r="D13" s="39">
        <v>127</v>
      </c>
      <c r="E13" s="39">
        <v>432</v>
      </c>
      <c r="F13" s="39">
        <v>2923</v>
      </c>
      <c r="G13" s="8">
        <f t="shared" si="1"/>
        <v>4276</v>
      </c>
      <c r="H13" s="42">
        <f t="shared" si="2"/>
        <v>3.9450133776178613</v>
      </c>
      <c r="I13" s="16" t="s">
        <v>19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7" t="s">
        <v>20</v>
      </c>
      <c r="B14" s="38">
        <v>43</v>
      </c>
      <c r="C14" s="38">
        <v>32</v>
      </c>
      <c r="D14" s="38">
        <v>0</v>
      </c>
      <c r="E14" s="38">
        <v>143</v>
      </c>
      <c r="F14" s="38">
        <v>1018</v>
      </c>
      <c r="G14" s="8">
        <f t="shared" si="1"/>
        <v>1236</v>
      </c>
      <c r="H14" s="42">
        <f t="shared" si="2"/>
        <v>1.140326598394686</v>
      </c>
      <c r="I14" s="5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7" t="s">
        <v>22</v>
      </c>
      <c r="B15" s="38">
        <v>35</v>
      </c>
      <c r="C15" s="38">
        <v>102</v>
      </c>
      <c r="D15" s="38">
        <v>92</v>
      </c>
      <c r="E15" s="38">
        <v>0</v>
      </c>
      <c r="F15" s="38">
        <v>0</v>
      </c>
      <c r="G15" s="8">
        <f t="shared" si="1"/>
        <v>229</v>
      </c>
      <c r="H15" s="42">
        <f t="shared" si="2"/>
        <v>0.21127410277700898</v>
      </c>
      <c r="I15" s="5" t="s">
        <v>23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7" t="s">
        <v>24</v>
      </c>
      <c r="B16" s="38">
        <v>161</v>
      </c>
      <c r="C16" s="38">
        <v>5229</v>
      </c>
      <c r="D16" s="38">
        <v>3910</v>
      </c>
      <c r="E16" s="38">
        <v>9362</v>
      </c>
      <c r="F16" s="38">
        <v>19897</v>
      </c>
      <c r="G16" s="8">
        <f t="shared" si="1"/>
        <v>38559</v>
      </c>
      <c r="H16" s="42">
        <f t="shared" si="2"/>
        <v>35.574314973706059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7" t="s">
        <v>26</v>
      </c>
      <c r="B17" s="38">
        <v>86</v>
      </c>
      <c r="C17" s="38">
        <v>332</v>
      </c>
      <c r="D17" s="38">
        <v>219</v>
      </c>
      <c r="E17" s="38">
        <v>218</v>
      </c>
      <c r="F17" s="38">
        <v>382</v>
      </c>
      <c r="G17" s="8">
        <f t="shared" si="1"/>
        <v>1237</v>
      </c>
      <c r="H17" s="42">
        <f t="shared" si="2"/>
        <v>1.1412491927299566</v>
      </c>
      <c r="I17" s="5" t="s">
        <v>27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7" t="s">
        <v>28</v>
      </c>
      <c r="B18" s="38">
        <v>589</v>
      </c>
      <c r="C18" s="38">
        <v>1333</v>
      </c>
      <c r="D18" s="38">
        <v>3882</v>
      </c>
      <c r="E18" s="38">
        <v>9461</v>
      </c>
      <c r="F18" s="38">
        <v>3147</v>
      </c>
      <c r="G18" s="8">
        <f t="shared" si="1"/>
        <v>18412</v>
      </c>
      <c r="H18" s="42">
        <f t="shared" si="2"/>
        <v>16.986806901005629</v>
      </c>
      <c r="I18" s="5" t="s">
        <v>29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7" t="s">
        <v>63</v>
      </c>
      <c r="B19" s="38">
        <v>9</v>
      </c>
      <c r="C19" s="38">
        <v>0</v>
      </c>
      <c r="D19" s="38">
        <v>55</v>
      </c>
      <c r="E19" s="38">
        <v>0</v>
      </c>
      <c r="F19" s="38">
        <v>0</v>
      </c>
      <c r="G19" s="8">
        <f t="shared" si="1"/>
        <v>64</v>
      </c>
      <c r="H19" s="42">
        <f t="shared" si="2"/>
        <v>5.904603745733001E-2</v>
      </c>
      <c r="I19" s="5" t="s">
        <v>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7" t="s">
        <v>31</v>
      </c>
      <c r="B20" s="38">
        <v>9</v>
      </c>
      <c r="C20" s="38">
        <v>0</v>
      </c>
      <c r="D20" s="38">
        <v>0</v>
      </c>
      <c r="E20" s="38">
        <v>0</v>
      </c>
      <c r="F20" s="38">
        <v>842</v>
      </c>
      <c r="G20" s="8">
        <f t="shared" si="1"/>
        <v>851</v>
      </c>
      <c r="H20" s="42">
        <f t="shared" si="2"/>
        <v>0.78512777931543498</v>
      </c>
      <c r="I20" s="5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7" t="s">
        <v>33</v>
      </c>
      <c r="B21" s="38">
        <v>5</v>
      </c>
      <c r="C21" s="38">
        <v>0</v>
      </c>
      <c r="D21" s="38">
        <v>0</v>
      </c>
      <c r="E21" s="38">
        <v>0</v>
      </c>
      <c r="F21" s="38">
        <v>0</v>
      </c>
      <c r="G21" s="8">
        <f t="shared" si="1"/>
        <v>5</v>
      </c>
      <c r="H21" s="42"/>
      <c r="I21" s="5" t="s">
        <v>34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25">
      <c r="A22" s="7" t="s">
        <v>37</v>
      </c>
      <c r="B22" s="38">
        <v>2</v>
      </c>
      <c r="C22" s="38">
        <v>0</v>
      </c>
      <c r="D22" s="38">
        <v>0</v>
      </c>
      <c r="E22" s="38">
        <v>0</v>
      </c>
      <c r="F22" s="38">
        <v>0</v>
      </c>
      <c r="G22" s="8">
        <f t="shared" si="1"/>
        <v>2</v>
      </c>
      <c r="H22" s="42">
        <f t="shared" ref="H22:H32" si="3">G22/$G$6*100</f>
        <v>1.8451886705415628E-3</v>
      </c>
      <c r="I22" s="21" t="s">
        <v>38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7" t="s">
        <v>39</v>
      </c>
      <c r="B23" s="38">
        <v>28</v>
      </c>
      <c r="C23" s="38">
        <v>90</v>
      </c>
      <c r="D23" s="38">
        <v>0</v>
      </c>
      <c r="E23" s="38">
        <v>0</v>
      </c>
      <c r="F23" s="38">
        <v>0</v>
      </c>
      <c r="G23" s="8">
        <f t="shared" si="1"/>
        <v>118</v>
      </c>
      <c r="H23" s="42">
        <f t="shared" si="3"/>
        <v>0.10886613156195221</v>
      </c>
      <c r="I23" s="5" t="s">
        <v>40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7" t="s">
        <v>41</v>
      </c>
      <c r="B24" s="38">
        <v>72</v>
      </c>
      <c r="C24" s="38">
        <v>79</v>
      </c>
      <c r="D24" s="38">
        <v>0</v>
      </c>
      <c r="E24" s="38">
        <v>0</v>
      </c>
      <c r="F24" s="38">
        <v>0</v>
      </c>
      <c r="G24" s="8">
        <f t="shared" si="1"/>
        <v>151</v>
      </c>
      <c r="H24" s="42">
        <f t="shared" si="3"/>
        <v>0.139311744625888</v>
      </c>
      <c r="I24" s="5" t="s">
        <v>42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7" t="s">
        <v>43</v>
      </c>
      <c r="B25" s="38">
        <v>1</v>
      </c>
      <c r="C25" s="38">
        <v>27</v>
      </c>
      <c r="D25" s="38">
        <v>62</v>
      </c>
      <c r="E25" s="38">
        <v>0</v>
      </c>
      <c r="F25" s="38">
        <v>0</v>
      </c>
      <c r="G25" s="8">
        <f t="shared" si="1"/>
        <v>90</v>
      </c>
      <c r="H25" s="42">
        <f t="shared" si="3"/>
        <v>8.3033490174370325E-2</v>
      </c>
      <c r="I25" s="5" t="s">
        <v>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7" t="s">
        <v>45</v>
      </c>
      <c r="B26" s="38">
        <v>132</v>
      </c>
      <c r="C26" s="38">
        <v>564</v>
      </c>
      <c r="D26" s="38">
        <v>752</v>
      </c>
      <c r="E26" s="38">
        <v>1274</v>
      </c>
      <c r="F26" s="38">
        <v>0</v>
      </c>
      <c r="G26" s="8">
        <f t="shared" si="1"/>
        <v>2722</v>
      </c>
      <c r="H26" s="42">
        <f t="shared" si="3"/>
        <v>2.511301780607067</v>
      </c>
      <c r="I26" s="5" t="s">
        <v>46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7" t="s">
        <v>47</v>
      </c>
      <c r="B27" s="38">
        <v>109</v>
      </c>
      <c r="C27" s="38">
        <v>240</v>
      </c>
      <c r="D27" s="38">
        <v>139</v>
      </c>
      <c r="E27" s="38">
        <v>819</v>
      </c>
      <c r="F27" s="38">
        <v>5142</v>
      </c>
      <c r="G27" s="8">
        <f t="shared" si="1"/>
        <v>6449</v>
      </c>
      <c r="H27" s="42">
        <f t="shared" si="3"/>
        <v>5.9498108681612694</v>
      </c>
      <c r="I27" s="5" t="s">
        <v>48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7" t="s">
        <v>49</v>
      </c>
      <c r="B28" s="38">
        <v>656</v>
      </c>
      <c r="C28" s="38">
        <v>1131</v>
      </c>
      <c r="D28" s="38">
        <v>180</v>
      </c>
      <c r="E28" s="38">
        <v>767</v>
      </c>
      <c r="F28" s="38">
        <v>0</v>
      </c>
      <c r="G28" s="8">
        <f t="shared" si="1"/>
        <v>2734</v>
      </c>
      <c r="H28" s="42">
        <f t="shared" si="3"/>
        <v>2.5223729126303165</v>
      </c>
      <c r="I28" s="5" t="s">
        <v>50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7" t="s">
        <v>51</v>
      </c>
      <c r="B29" s="38">
        <v>26</v>
      </c>
      <c r="C29" s="38">
        <v>89</v>
      </c>
      <c r="D29" s="38">
        <v>0</v>
      </c>
      <c r="E29" s="38">
        <v>123</v>
      </c>
      <c r="F29" s="38">
        <v>1184</v>
      </c>
      <c r="G29" s="8">
        <f t="shared" si="1"/>
        <v>1422</v>
      </c>
      <c r="H29" s="42">
        <f t="shared" si="3"/>
        <v>1.3119291447550512</v>
      </c>
      <c r="I29" s="5" t="s">
        <v>52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7" t="s">
        <v>53</v>
      </c>
      <c r="B30" s="38">
        <v>4</v>
      </c>
      <c r="C30" s="38">
        <v>36</v>
      </c>
      <c r="D30" s="38">
        <v>0</v>
      </c>
      <c r="E30" s="38">
        <v>0</v>
      </c>
      <c r="F30" s="38">
        <v>0</v>
      </c>
      <c r="G30" s="8">
        <f t="shared" si="1"/>
        <v>40</v>
      </c>
      <c r="H30" s="42">
        <f t="shared" si="3"/>
        <v>3.6903773410831259E-2</v>
      </c>
      <c r="I30" s="5" t="s">
        <v>54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7" t="s">
        <v>55</v>
      </c>
      <c r="B31" s="38">
        <v>414</v>
      </c>
      <c r="C31" s="38">
        <v>722</v>
      </c>
      <c r="D31" s="38">
        <v>156</v>
      </c>
      <c r="E31" s="38">
        <v>436</v>
      </c>
      <c r="F31" s="38">
        <v>2533</v>
      </c>
      <c r="G31" s="8">
        <f t="shared" si="1"/>
        <v>4261</v>
      </c>
      <c r="H31" s="42">
        <f t="shared" si="3"/>
        <v>3.9311744625887997</v>
      </c>
      <c r="I31" s="5" t="s">
        <v>56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75" customHeight="1" x14ac:dyDescent="0.55000000000000004">
      <c r="A32" s="9" t="s">
        <v>35</v>
      </c>
      <c r="B32" s="40">
        <v>1677</v>
      </c>
      <c r="C32" s="40">
        <v>1890</v>
      </c>
      <c r="D32" s="40">
        <v>896</v>
      </c>
      <c r="E32" s="40">
        <v>2233</v>
      </c>
      <c r="F32" s="40">
        <v>8421</v>
      </c>
      <c r="G32" s="12">
        <f t="shared" si="1"/>
        <v>15117</v>
      </c>
      <c r="H32" s="43">
        <f t="shared" si="3"/>
        <v>13.946858566288403</v>
      </c>
      <c r="I32" s="6" t="s">
        <v>36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22" t="s">
        <v>65</v>
      </c>
      <c r="B33" s="8"/>
      <c r="C33" s="8"/>
      <c r="D33" s="8"/>
      <c r="E33" s="8"/>
      <c r="F33" s="8"/>
      <c r="G33" s="11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13" t="s">
        <v>4</v>
      </c>
      <c r="B34" s="11"/>
      <c r="C34" s="11"/>
      <c r="D34" s="11"/>
      <c r="E34" s="11"/>
      <c r="F34" s="11"/>
      <c r="G34" s="11"/>
      <c r="H34" s="15"/>
      <c r="I34" s="10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11"/>
      <c r="C35" s="11"/>
      <c r="D35" s="11"/>
      <c r="E35" s="11"/>
      <c r="F35" s="11"/>
      <c r="G35" s="11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1"/>
      <c r="C36" s="11"/>
      <c r="D36" s="11"/>
      <c r="E36" s="11"/>
      <c r="F36" s="11"/>
      <c r="G36" s="1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</sheetData>
  <mergeCells count="6">
    <mergeCell ref="A1:I1"/>
    <mergeCell ref="A2:I2"/>
    <mergeCell ref="A4:A5"/>
    <mergeCell ref="B4:G4"/>
    <mergeCell ref="H4:H5"/>
    <mergeCell ref="I4:I5"/>
  </mergeCells>
  <pageMargins left="0.7" right="0.7" top="0.75" bottom="0.75" header="0" footer="0"/>
  <pageSetup paperSize="9" scale="67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2026-05-07T05:01:33Z</cp:lastPrinted>
  <dcterms:created xsi:type="dcterms:W3CDTF">2025-05-19T08:29:05Z</dcterms:created>
  <dcterms:modified xsi:type="dcterms:W3CDTF">2026-05-07T05:02:23Z</dcterms:modified>
</cp:coreProperties>
</file>