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Pension &amp; Social Protection\"/>
    </mc:Choice>
  </mc:AlternateContent>
  <xr:revisionPtr revIDLastSave="0" documentId="13_ncr:1_{239674B2-4960-4C0A-9FD0-313DDCDE9D28}" xr6:coauthVersionLast="47" xr6:coauthVersionMax="47" xr10:uidLastSave="{00000000-0000-0000-0000-000000000000}"/>
  <bookViews>
    <workbookView xWindow="-120" yWindow="-120" windowWidth="29040" windowHeight="15720" tabRatio="756" xr2:uid="{00000000-000D-0000-FFFF-FFFF00000000}"/>
  </bookViews>
  <sheets>
    <sheet name="18.8" sheetId="8" r:id="rId1"/>
  </sheets>
  <definedNames>
    <definedName name="_xlnm.Print_Area" localSheetId="0">'18.8'!$A$1:$I$25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8" l="1"/>
  <c r="B9" i="8"/>
  <c r="B8" i="8"/>
  <c r="G7" i="8"/>
  <c r="F7" i="8"/>
  <c r="E7" i="8"/>
  <c r="D7" i="8"/>
  <c r="C7" i="8"/>
  <c r="B7" i="8" l="1"/>
</calcChain>
</file>

<file path=xl/sharedStrings.xml><?xml version="1.0" encoding="utf-8"?>
<sst xmlns="http://schemas.openxmlformats.org/spreadsheetml/2006/main" count="25" uniqueCount="24">
  <si>
    <t>Type of pension</t>
  </si>
  <si>
    <t>ޕެންޝަންގެ ބާވަތް</t>
  </si>
  <si>
    <t>ޖުމްލަ</t>
  </si>
  <si>
    <t>Basic Pension</t>
  </si>
  <si>
    <t>އަސާސީ ޕެންޝަން</t>
  </si>
  <si>
    <t>Retirement Pension</t>
  </si>
  <si>
    <t>ރިޓަޔަރމަންޓް ޕެންޝަން</t>
  </si>
  <si>
    <t>Other Pension</t>
  </si>
  <si>
    <t>އެހެނިހެން ޕެންޝަން</t>
  </si>
  <si>
    <t>މަޢުލޫމާތު ދެއްވި ފަރާތް: މޯލްޑިވްސް ޕެންޝަން އެޑްމިނިސްޓްރޭޝަން</t>
  </si>
  <si>
    <t>Source: Maldives Pension Administration</t>
  </si>
  <si>
    <t>65-69</t>
  </si>
  <si>
    <t>70-74</t>
  </si>
  <si>
    <t>&lt; 55</t>
  </si>
  <si>
    <t>55-64</t>
  </si>
  <si>
    <t>75 +</t>
  </si>
  <si>
    <t xml:space="preserve">ސީނިއަރ ސިޓިޒަން އެލަވަންސް ސްކީމް ތަޢާރަފުކުރެވިފައިވާ ފެބްރުއަރީ 2014 ގައެވެ. އަދި މާރޗް 2019 ގައި ވަނީ ހުއްޓާލާފައެވެ. </t>
  </si>
  <si>
    <t>Age groups, ( as of end year)</t>
  </si>
  <si>
    <t>All ages</t>
  </si>
  <si>
    <t xml:space="preserve">Total </t>
  </si>
  <si>
    <t>Senior Citizen Allowance was introduced in February 2014 and discontinued in March 2019.</t>
  </si>
  <si>
    <t>_</t>
  </si>
  <si>
    <t>TABLE 18.8: NUMBER OF BEFEFICIARIES BY AGE GROUP FOR  DIFFERENT  PENSION SCHEMES, 2025</t>
  </si>
  <si>
    <t>ތާވަލު 18.8:  އެކި ޕެންޝަން ސްކީމްތަކުން ޕެންޝަން ލިބޭ މީހުންގެ އަދަދު އަދި އުމުރުފުރާ،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</si>
</sst>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6" x14ac:knownFonts="1">
    <font>
      <sz val="11"/>
      <color rgb="FF000000"/>
      <name val="Calibri"/>
      <scheme val="minor"/>
    </font>
    <font>
      <b/>
      <sz val="11"/>
      <color rgb="FF000000"/>
      <name val="Faruma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Faruma"/>
    </font>
    <font>
      <sz val="9"/>
      <color rgb="FF000000"/>
      <name val="Calibri"/>
      <family val="2"/>
    </font>
    <font>
      <i/>
      <sz val="9"/>
      <color rgb="FF000000"/>
      <name val="Calibri"/>
      <family val="2"/>
    </font>
    <font>
      <sz val="8"/>
      <color rgb="FF000000"/>
      <name val="Faruma"/>
    </font>
    <font>
      <sz val="9"/>
      <color rgb="FF000000"/>
      <name val="Faruma"/>
    </font>
    <font>
      <b/>
      <sz val="12"/>
      <color rgb="FF000000"/>
      <name val="Calibri"/>
      <family val="2"/>
    </font>
    <font>
      <b/>
      <sz val="12"/>
      <color rgb="FF000000"/>
      <name val="Faruma"/>
    </font>
    <font>
      <sz val="11"/>
      <color rgb="FF000000"/>
      <name val="Calibri"/>
      <family val="2"/>
      <scheme val="minor"/>
    </font>
    <font>
      <sz val="10"/>
      <name val="Courier"/>
      <family val="3"/>
    </font>
    <font>
      <sz val="11"/>
      <color rgb="FF000000"/>
      <name val="Calibri"/>
      <scheme val="minor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2EFD9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32">
    <xf numFmtId="0" fontId="0" fillId="0" borderId="0"/>
    <xf numFmtId="164" fontId="13" fillId="0" borderId="13"/>
    <xf numFmtId="43" fontId="3" fillId="0" borderId="13" applyFont="0" applyFill="0" applyBorder="0" applyAlignment="0" applyProtection="0"/>
    <xf numFmtId="43" fontId="3" fillId="0" borderId="13" applyFont="0" applyFill="0" applyBorder="0" applyAlignment="0" applyProtection="0"/>
    <xf numFmtId="0" fontId="12" fillId="0" borderId="13"/>
    <xf numFmtId="0" fontId="3" fillId="0" borderId="13"/>
    <xf numFmtId="0" fontId="3" fillId="0" borderId="13"/>
    <xf numFmtId="0" fontId="3" fillId="0" borderId="13"/>
    <xf numFmtId="0" fontId="12" fillId="0" borderId="13"/>
    <xf numFmtId="0" fontId="12" fillId="0" borderId="13"/>
    <xf numFmtId="0" fontId="3" fillId="0" borderId="13"/>
    <xf numFmtId="0" fontId="3" fillId="0" borderId="13"/>
    <xf numFmtId="0" fontId="14" fillId="0" borderId="13"/>
    <xf numFmtId="0" fontId="14" fillId="0" borderId="13"/>
    <xf numFmtId="0" fontId="14" fillId="0" borderId="13"/>
    <xf numFmtId="0" fontId="14" fillId="0" borderId="13"/>
    <xf numFmtId="0" fontId="14" fillId="0" borderId="13"/>
    <xf numFmtId="0" fontId="14" fillId="0" borderId="13"/>
    <xf numFmtId="0" fontId="14" fillId="0" borderId="13"/>
    <xf numFmtId="0" fontId="14" fillId="0" borderId="13"/>
    <xf numFmtId="0" fontId="14" fillId="0" borderId="13"/>
    <xf numFmtId="0" fontId="14" fillId="0" borderId="13"/>
    <xf numFmtId="0" fontId="14" fillId="0" borderId="13"/>
    <xf numFmtId="0" fontId="14" fillId="0" borderId="13"/>
    <xf numFmtId="0" fontId="14" fillId="0" borderId="13"/>
    <xf numFmtId="0" fontId="14" fillId="0" borderId="13"/>
    <xf numFmtId="0" fontId="14" fillId="0" borderId="13"/>
    <xf numFmtId="0" fontId="14" fillId="0" borderId="13"/>
    <xf numFmtId="0" fontId="14" fillId="0" borderId="13"/>
    <xf numFmtId="0" fontId="14" fillId="0" borderId="13"/>
    <xf numFmtId="0" fontId="14" fillId="0" borderId="13"/>
    <xf numFmtId="0" fontId="14" fillId="0" borderId="13"/>
  </cellStyleXfs>
  <cellXfs count="40">
    <xf numFmtId="0" fontId="0" fillId="0" borderId="0" xfId="0"/>
    <xf numFmtId="0" fontId="3" fillId="2" borderId="4" xfId="0" applyFont="1" applyFill="1" applyBorder="1"/>
    <xf numFmtId="0" fontId="1" fillId="2" borderId="4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vertical="center"/>
    </xf>
    <xf numFmtId="0" fontId="4" fillId="2" borderId="11" xfId="0" applyFont="1" applyFill="1" applyBorder="1" applyAlignment="1">
      <alignment horizontal="right" vertical="center"/>
    </xf>
    <xf numFmtId="0" fontId="5" fillId="2" borderId="4" xfId="0" applyFont="1" applyFill="1" applyBorder="1"/>
    <xf numFmtId="0" fontId="5" fillId="2" borderId="11" xfId="0" applyFont="1" applyFill="1" applyBorder="1"/>
    <xf numFmtId="0" fontId="4" fillId="2" borderId="4" xfId="0" applyFont="1" applyFill="1" applyBorder="1" applyAlignment="1">
      <alignment horizontal="left" vertical="center"/>
    </xf>
    <xf numFmtId="3" fontId="4" fillId="2" borderId="4" xfId="0" applyNumberFormat="1" applyFont="1" applyFill="1" applyBorder="1" applyAlignment="1">
      <alignment horizontal="right" vertical="center"/>
    </xf>
    <xf numFmtId="0" fontId="6" fillId="2" borderId="4" xfId="0" applyFont="1" applyFill="1" applyBorder="1"/>
    <xf numFmtId="0" fontId="7" fillId="2" borderId="4" xfId="0" applyFont="1" applyFill="1" applyBorder="1"/>
    <xf numFmtId="0" fontId="9" fillId="2" borderId="4" xfId="0" applyFont="1" applyFill="1" applyBorder="1"/>
    <xf numFmtId="0" fontId="3" fillId="2" borderId="4" xfId="0" applyFont="1" applyFill="1" applyBorder="1" applyAlignment="1">
      <alignment horizontal="right" vertical="center"/>
    </xf>
    <xf numFmtId="164" fontId="4" fillId="2" borderId="4" xfId="0" applyNumberFormat="1" applyFont="1" applyFill="1" applyBorder="1" applyAlignment="1">
      <alignment horizontal="right" vertical="center"/>
    </xf>
    <xf numFmtId="37" fontId="4" fillId="2" borderId="4" xfId="0" applyNumberFormat="1" applyFont="1" applyFill="1" applyBorder="1" applyAlignment="1">
      <alignment horizontal="right" vertical="center"/>
    </xf>
    <xf numFmtId="37" fontId="3" fillId="2" borderId="4" xfId="0" applyNumberFormat="1" applyFont="1" applyFill="1" applyBorder="1" applyAlignment="1">
      <alignment horizontal="right" vertical="center"/>
    </xf>
    <xf numFmtId="0" fontId="3" fillId="2" borderId="11" xfId="0" applyFont="1" applyFill="1" applyBorder="1" applyAlignment="1">
      <alignment vertical="center"/>
    </xf>
    <xf numFmtId="0" fontId="4" fillId="2" borderId="4" xfId="0" applyFont="1" applyFill="1" applyBorder="1" applyAlignment="1">
      <alignment horizontal="right" vertical="center"/>
    </xf>
    <xf numFmtId="164" fontId="4" fillId="2" borderId="11" xfId="0" applyNumberFormat="1" applyFont="1" applyFill="1" applyBorder="1" applyAlignment="1">
      <alignment horizontal="right" vertical="center"/>
    </xf>
    <xf numFmtId="3" fontId="4" fillId="2" borderId="6" xfId="0" applyNumberFormat="1" applyFont="1" applyFill="1" applyBorder="1" applyAlignment="1">
      <alignment horizontal="right" vertical="center"/>
    </xf>
    <xf numFmtId="3" fontId="4" fillId="2" borderId="11" xfId="0" applyNumberFormat="1" applyFont="1" applyFill="1" applyBorder="1" applyAlignment="1">
      <alignment horizontal="right" vertical="center"/>
    </xf>
    <xf numFmtId="0" fontId="0" fillId="3" borderId="0" xfId="0" applyFill="1"/>
    <xf numFmtId="3" fontId="15" fillId="4" borderId="13" xfId="20" applyNumberFormat="1" applyFont="1" applyFill="1" applyAlignment="1">
      <alignment horizontal="right"/>
    </xf>
    <xf numFmtId="3" fontId="15" fillId="4" borderId="14" xfId="20" applyNumberFormat="1" applyFont="1" applyFill="1" applyBorder="1" applyAlignment="1">
      <alignment horizontal="right"/>
    </xf>
    <xf numFmtId="0" fontId="4" fillId="2" borderId="7" xfId="0" applyFont="1" applyFill="1" applyBorder="1" applyAlignment="1">
      <alignment horizontal="center" vertical="center"/>
    </xf>
    <xf numFmtId="0" fontId="2" fillId="3" borderId="8" xfId="0" applyFont="1" applyFill="1" applyBorder="1"/>
    <xf numFmtId="0" fontId="2" fillId="3" borderId="9" xfId="0" applyFont="1" applyFill="1" applyBorder="1"/>
    <xf numFmtId="0" fontId="2" fillId="3" borderId="2" xfId="0" applyFont="1" applyFill="1" applyBorder="1"/>
    <xf numFmtId="0" fontId="2" fillId="3" borderId="13" xfId="0" applyFont="1" applyFill="1" applyBorder="1"/>
    <xf numFmtId="0" fontId="2" fillId="3" borderId="3" xfId="0" applyFont="1" applyFill="1" applyBorder="1"/>
    <xf numFmtId="0" fontId="4" fillId="2" borderId="5" xfId="0" applyFont="1" applyFill="1" applyBorder="1" applyAlignment="1">
      <alignment horizontal="left" vertical="center"/>
    </xf>
    <xf numFmtId="0" fontId="2" fillId="3" borderId="10" xfId="0" applyFont="1" applyFill="1" applyBorder="1"/>
    <xf numFmtId="0" fontId="1" fillId="2" borderId="5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right" vertical="center" wrapText="1"/>
    </xf>
    <xf numFmtId="0" fontId="11" fillId="2" borderId="1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right" vertical="center"/>
    </xf>
  </cellXfs>
  <cellStyles count="32">
    <cellStyle name="Comma 23" xfId="2" xr:uid="{94027C67-5182-4251-874E-333D39869C41}"/>
    <cellStyle name="Comma 3" xfId="3" xr:uid="{32D59405-9255-4528-A182-E2FB87AEA447}"/>
    <cellStyle name="Normal" xfId="0" builtinId="0"/>
    <cellStyle name="Normal 10" xfId="6" xr:uid="{EBA83A1A-0725-4264-B217-6FB255D01D9A}"/>
    <cellStyle name="Normal 11" xfId="8" xr:uid="{141512A6-9575-4B9F-B0CD-71B08DB8B8DD}"/>
    <cellStyle name="Normal 12" xfId="18" xr:uid="{EBB53E00-7290-4E95-B00B-97E70B994095}"/>
    <cellStyle name="Normal 13" xfId="19" xr:uid="{5089EADD-6FB8-455A-99B7-4CE3F8EA2523}"/>
    <cellStyle name="Normal 14" xfId="20" xr:uid="{6D8E876D-C549-4F8C-BBB2-9044945BA1DE}"/>
    <cellStyle name="Normal 15" xfId="21" xr:uid="{FC8B6F0F-4F04-414B-856A-E9EF52594A17}"/>
    <cellStyle name="Normal 16" xfId="22" xr:uid="{A9472295-1693-4D41-8C43-FD2ACA0018F7}"/>
    <cellStyle name="Normal 17" xfId="23" xr:uid="{AD84AE3E-C9FD-40C7-9E44-467A53F078DC}"/>
    <cellStyle name="Normal 18" xfId="24" xr:uid="{3ECF2013-8279-4761-949D-EDD1A3769A1A}"/>
    <cellStyle name="Normal 19" xfId="25" xr:uid="{2DA431D7-B0FC-4CC3-83FB-38993139A464}"/>
    <cellStyle name="Normal 2" xfId="1" xr:uid="{5582CC97-B3B3-49F0-A32C-77365FA866E7}"/>
    <cellStyle name="Normal 20" xfId="26" xr:uid="{BF15BF13-2BA4-453C-A5D4-7F378D5A7AB0}"/>
    <cellStyle name="Normal 21" xfId="27" xr:uid="{EB16884D-319E-44C4-BACF-AAE219752D74}"/>
    <cellStyle name="Normal 22" xfId="28" xr:uid="{0BC55367-C80F-4644-A253-56F0D6C8449D}"/>
    <cellStyle name="Normal 23" xfId="29" xr:uid="{70D0A6B6-C10D-4B03-BE3E-BCA8F6F565D6}"/>
    <cellStyle name="Normal 24" xfId="30" xr:uid="{5D1C52F0-96A7-41A3-BA9A-F4828B3BA100}"/>
    <cellStyle name="Normal 25" xfId="31" xr:uid="{98DE4CB4-469A-4E2E-95F6-679D1ED1E259}"/>
    <cellStyle name="Normal 3" xfId="12" xr:uid="{41F67738-7CBD-405C-A2E8-93EC8D754E04}"/>
    <cellStyle name="Normal 30 2" xfId="5" xr:uid="{319A01A9-484D-401C-B51C-AFA22C8C147A}"/>
    <cellStyle name="Normal 39" xfId="7" xr:uid="{358DB4F3-2572-40C1-8528-73DD19838977}"/>
    <cellStyle name="Normal 4" xfId="13" xr:uid="{F9DB212B-6BED-4D0E-9812-6AF8B0852E4C}"/>
    <cellStyle name="Normal 5" xfId="14" xr:uid="{2E2DF4F8-9240-4060-8DF2-DBD25985C646}"/>
    <cellStyle name="Normal 58" xfId="11" xr:uid="{5FADB181-8394-4B9F-BF6B-8B2AABC26B0E}"/>
    <cellStyle name="Normal 59" xfId="10" xr:uid="{BC46D8EB-1784-4261-8D55-F234E5AA2CF7}"/>
    <cellStyle name="Normal 6" xfId="15" xr:uid="{FD6A37D1-7F80-4842-A6BE-097A50A4815D}"/>
    <cellStyle name="Normal 7" xfId="16" xr:uid="{D3073D1C-C63F-4665-88AD-8A1CCCB7F8E6}"/>
    <cellStyle name="Normal 8" xfId="17" xr:uid="{994E9518-379D-453B-A8BE-5A00EF9195C3}"/>
    <cellStyle name="Normal 9" xfId="4" xr:uid="{625F25BA-A41A-4C28-BF91-33331014C8BC}"/>
    <cellStyle name="Normal 9 2" xfId="9" xr:uid="{9FC5A332-BEB2-4834-8023-4E42B3DA4A83}"/>
  </cellStyles>
  <dxfs count="0"/>
  <tableStyles count="0" defaultTableStyle="TableStyleMedium2" defaultPivotStyle="PivotStyleLight16"/>
  <colors>
    <mruColors>
      <color rgb="FF336600"/>
      <color rgb="FFF9FFF3"/>
      <color rgb="FFAEAAAA"/>
      <color rgb="FF003300"/>
      <color rgb="FF2F75B5"/>
      <color rgb="FFFF3399"/>
      <color rgb="FF9BC2E6"/>
      <color rgb="FF33CCCC"/>
      <color rgb="FF003399"/>
      <color rgb="FF7E54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32095059657200709"/>
          <c:y val="0.21786356642723734"/>
          <c:w val="0.37568663948110687"/>
          <c:h val="0.75726178428323421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AEAAAA"/>
              </a:solidFill>
            </c:spPr>
            <c:extLst>
              <c:ext xmlns:c16="http://schemas.microsoft.com/office/drawing/2014/chart" uri="{C3380CC4-5D6E-409C-BE32-E72D297353CC}">
                <c16:uniqueId val="{00000001-DC76-4327-9B35-16D996166460}"/>
              </c:ext>
            </c:extLst>
          </c:dPt>
          <c:dPt>
            <c:idx val="1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2-DC76-4327-9B35-16D996166460}"/>
              </c:ext>
            </c:extLst>
          </c:dPt>
          <c:dPt>
            <c:idx val="2"/>
            <c:bubble3D val="0"/>
            <c:spPr>
              <a:solidFill>
                <a:srgbClr val="336600"/>
              </a:solidFill>
            </c:spPr>
            <c:extLst>
              <c:ext xmlns:c16="http://schemas.microsoft.com/office/drawing/2014/chart" uri="{C3380CC4-5D6E-409C-BE32-E72D297353CC}">
                <c16:uniqueId val="{00000003-DC76-4327-9B35-16D996166460}"/>
              </c:ext>
            </c:extLst>
          </c:dPt>
          <c:dPt>
            <c:idx val="3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4-DC76-4327-9B35-16D996166460}"/>
              </c:ext>
            </c:extLst>
          </c:dPt>
          <c:dPt>
            <c:idx val="4"/>
            <c:bubble3D val="0"/>
            <c:spPr>
              <a:solidFill>
                <a:srgbClr val="003300"/>
              </a:solidFill>
            </c:spPr>
            <c:extLst>
              <c:ext xmlns:c16="http://schemas.microsoft.com/office/drawing/2014/chart" uri="{C3380CC4-5D6E-409C-BE32-E72D297353CC}">
                <c16:uniqueId val="{00000005-DC76-4327-9B35-16D996166460}"/>
              </c:ext>
            </c:extLst>
          </c:dPt>
          <c:dLbls>
            <c:dLbl>
              <c:idx val="0"/>
              <c:layout>
                <c:manualLayout>
                  <c:x val="2.0736132711249352E-3"/>
                  <c:y val="-9.613375130616513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C76-4327-9B35-16D996166460}"/>
                </c:ext>
              </c:extLst>
            </c:dLbl>
            <c:dLbl>
              <c:idx val="1"/>
              <c:spPr/>
              <c:txPr>
                <a:bodyPr/>
                <a:lstStyle/>
                <a:p>
                  <a:pPr lvl="0">
                    <a:defRPr b="1" i="0"/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DC76-4327-9B35-16D996166460}"/>
                </c:ext>
              </c:extLst>
            </c:dLbl>
            <c:dLbl>
              <c:idx val="2"/>
              <c:layout>
                <c:manualLayout>
                  <c:x val="-2.0736132711249352E-2"/>
                  <c:y val="7.5235109717868343E-2"/>
                </c:manualLayout>
              </c:layout>
              <c:spPr/>
              <c:txPr>
                <a:bodyPr/>
                <a:lstStyle/>
                <a:p>
                  <a:pPr lvl="0">
                    <a:defRPr b="1" i="0"/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C76-4327-9B35-16D996166460}"/>
                </c:ext>
              </c:extLst>
            </c:dLbl>
            <c:dLbl>
              <c:idx val="3"/>
              <c:spPr/>
              <c:txPr>
                <a:bodyPr/>
                <a:lstStyle/>
                <a:p>
                  <a:pPr lvl="0">
                    <a:defRPr b="1" i="0"/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DC76-4327-9B35-16D996166460}"/>
                </c:ext>
              </c:extLst>
            </c:dLbl>
            <c:dLbl>
              <c:idx val="4"/>
              <c:spPr/>
              <c:txPr>
                <a:bodyPr/>
                <a:lstStyle/>
                <a:p>
                  <a:pPr lvl="0">
                    <a:defRPr b="1" i="0">
                      <a:solidFill>
                        <a:schemeClr val="bg2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DC76-4327-9B35-16D99616646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'18.8'!$C$6:$G$6</c:f>
              <c:strCache>
                <c:ptCount val="5"/>
                <c:pt idx="0">
                  <c:v> &lt; 55 </c:v>
                </c:pt>
                <c:pt idx="1">
                  <c:v> 55-64 </c:v>
                </c:pt>
                <c:pt idx="2">
                  <c:v> 65-69 </c:v>
                </c:pt>
                <c:pt idx="3">
                  <c:v> 70-74 </c:v>
                </c:pt>
                <c:pt idx="4">
                  <c:v> 75 + </c:v>
                </c:pt>
              </c:strCache>
            </c:strRef>
          </c:cat>
          <c:val>
            <c:numRef>
              <c:f>'18.8'!$C$7:$G$7</c:f>
              <c:numCache>
                <c:formatCode>#,##0</c:formatCode>
                <c:ptCount val="5"/>
                <c:pt idx="0">
                  <c:v>558</c:v>
                </c:pt>
                <c:pt idx="1">
                  <c:v>2664</c:v>
                </c:pt>
                <c:pt idx="2">
                  <c:v>14991</c:v>
                </c:pt>
                <c:pt idx="3">
                  <c:v>7155</c:v>
                </c:pt>
                <c:pt idx="4">
                  <c:v>10055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C76-4327-9B35-16D9961664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solidFill>
          <a:srgbClr val="FFFFFF"/>
        </a:solidFill>
      </c:spPr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1181100</xdr:colOff>
      <xdr:row>12</xdr:row>
      <xdr:rowOff>66675</xdr:rowOff>
    </xdr:from>
    <xdr:ext cx="6124575" cy="3038475"/>
    <xdr:graphicFrame macro="">
      <xdr:nvGraphicFramePr>
        <xdr:cNvPr id="807112925" name="Chart 9">
          <a:extLst>
            <a:ext uri="{FF2B5EF4-FFF2-40B4-BE49-F238E27FC236}">
              <a16:creationId xmlns:a16="http://schemas.microsoft.com/office/drawing/2014/main" id="{00000000-0008-0000-0700-0000DD901B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457200</xdr:colOff>
      <xdr:row>13</xdr:row>
      <xdr:rowOff>76200</xdr:rowOff>
    </xdr:from>
    <xdr:ext cx="4953000" cy="46672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 txBox="1"/>
      </xdr:nvSpPr>
      <xdr:spPr>
        <a:xfrm>
          <a:off x="2874263" y="3551400"/>
          <a:ext cx="4943475" cy="4572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275"/>
            <a:buFont typeface="Consolas"/>
            <a:buNone/>
          </a:pPr>
          <a:r>
            <a:rPr lang="en-US" sz="1100" b="1" i="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  <a:t>Figure 18.9: Percentage of beneficiaries under different pension schemes by age-groups, end 2025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AE25"/>
  <sheetViews>
    <sheetView tabSelected="1" zoomScale="87" zoomScaleNormal="87" workbookViewId="0">
      <selection activeCell="V13" sqref="V13"/>
    </sheetView>
  </sheetViews>
  <sheetFormatPr defaultColWidth="14.42578125" defaultRowHeight="15" customHeight="1" x14ac:dyDescent="0.25"/>
  <cols>
    <col min="1" max="1" width="24.7109375" style="21" customWidth="1"/>
    <col min="2" max="2" width="9.42578125" style="21" customWidth="1"/>
    <col min="3" max="7" width="14.7109375" style="21" customWidth="1"/>
    <col min="8" max="8" width="25.5703125" style="21" customWidth="1"/>
    <col min="9" max="9" width="3" style="21" customWidth="1"/>
    <col min="10" max="31" width="8" style="21" customWidth="1"/>
    <col min="32" max="16384" width="14.42578125" style="21"/>
  </cols>
  <sheetData>
    <row r="1" spans="1:3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21.75" customHeight="1" x14ac:dyDescent="0.55000000000000004">
      <c r="A2" s="37" t="s">
        <v>23</v>
      </c>
      <c r="B2" s="27"/>
      <c r="C2" s="27"/>
      <c r="D2" s="27"/>
      <c r="E2" s="27"/>
      <c r="F2" s="27"/>
      <c r="G2" s="27"/>
      <c r="H2" s="29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9.5" customHeight="1" x14ac:dyDescent="0.25">
      <c r="A3" s="34" t="s">
        <v>22</v>
      </c>
      <c r="B3" s="27"/>
      <c r="C3" s="27"/>
      <c r="D3" s="27"/>
      <c r="E3" s="27"/>
      <c r="F3" s="27"/>
      <c r="G3" s="27"/>
      <c r="H3" s="29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24" customHeight="1" x14ac:dyDescent="0.25">
      <c r="A5" s="30" t="s">
        <v>0</v>
      </c>
      <c r="B5" s="24" t="s">
        <v>17</v>
      </c>
      <c r="C5" s="25"/>
      <c r="D5" s="25"/>
      <c r="E5" s="25"/>
      <c r="F5" s="25"/>
      <c r="G5" s="26"/>
      <c r="H5" s="32" t="s">
        <v>1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21" customHeight="1" x14ac:dyDescent="0.25">
      <c r="A6" s="31"/>
      <c r="B6" s="4" t="s">
        <v>18</v>
      </c>
      <c r="C6" s="18" t="s">
        <v>13</v>
      </c>
      <c r="D6" s="18" t="s">
        <v>14</v>
      </c>
      <c r="E6" s="18" t="s">
        <v>11</v>
      </c>
      <c r="F6" s="18" t="s">
        <v>12</v>
      </c>
      <c r="G6" s="18" t="s">
        <v>15</v>
      </c>
      <c r="H6" s="3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21" customHeight="1" x14ac:dyDescent="0.25">
      <c r="A7" s="7" t="s">
        <v>19</v>
      </c>
      <c r="B7" s="8">
        <f t="shared" ref="B7:B10" si="0">SUM(C7:G7)</f>
        <v>35423</v>
      </c>
      <c r="C7" s="19">
        <f t="shared" ref="C7:G7" si="1">SUM(C8:C10)</f>
        <v>558</v>
      </c>
      <c r="D7" s="19">
        <f t="shared" si="1"/>
        <v>2664</v>
      </c>
      <c r="E7" s="19">
        <f t="shared" si="1"/>
        <v>14991</v>
      </c>
      <c r="F7" s="19">
        <f t="shared" si="1"/>
        <v>7155</v>
      </c>
      <c r="G7" s="19">
        <f t="shared" si="1"/>
        <v>10055</v>
      </c>
      <c r="H7" s="2" t="s">
        <v>2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24" customHeight="1" x14ac:dyDescent="0.55000000000000004">
      <c r="A8" s="3" t="s">
        <v>3</v>
      </c>
      <c r="B8" s="8">
        <f t="shared" si="0"/>
        <v>25650</v>
      </c>
      <c r="C8" s="22" t="s">
        <v>21</v>
      </c>
      <c r="D8" s="22" t="s">
        <v>21</v>
      </c>
      <c r="E8" s="22">
        <v>11417</v>
      </c>
      <c r="F8" s="22">
        <v>5922</v>
      </c>
      <c r="G8" s="22">
        <v>8311</v>
      </c>
      <c r="H8" s="5" t="s">
        <v>4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24" customHeight="1" x14ac:dyDescent="0.55000000000000004">
      <c r="A9" s="3" t="s">
        <v>5</v>
      </c>
      <c r="B9" s="8">
        <f t="shared" si="0"/>
        <v>2437</v>
      </c>
      <c r="C9" s="22">
        <v>17</v>
      </c>
      <c r="D9" s="22">
        <v>9</v>
      </c>
      <c r="E9" s="22">
        <v>2050</v>
      </c>
      <c r="F9" s="22">
        <v>256</v>
      </c>
      <c r="G9" s="22">
        <v>105</v>
      </c>
      <c r="H9" s="5" t="s">
        <v>6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24" customHeight="1" x14ac:dyDescent="0.55000000000000004">
      <c r="A10" s="16" t="s">
        <v>7</v>
      </c>
      <c r="B10" s="20">
        <f t="shared" si="0"/>
        <v>7336</v>
      </c>
      <c r="C10" s="23">
        <v>541</v>
      </c>
      <c r="D10" s="23">
        <v>2655</v>
      </c>
      <c r="E10" s="23">
        <v>1524</v>
      </c>
      <c r="F10" s="23">
        <v>977</v>
      </c>
      <c r="G10" s="23">
        <v>1639</v>
      </c>
      <c r="H10" s="6" t="s">
        <v>8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33" customHeight="1" x14ac:dyDescent="0.25">
      <c r="A11" s="35" t="s">
        <v>20</v>
      </c>
      <c r="B11" s="27"/>
      <c r="C11" s="27"/>
      <c r="D11" s="29"/>
      <c r="E11" s="36" t="s">
        <v>16</v>
      </c>
      <c r="F11" s="27"/>
      <c r="G11" s="27"/>
      <c r="H11" s="29"/>
      <c r="I11" s="3"/>
      <c r="J11" s="3"/>
      <c r="K11" s="3"/>
      <c r="L11" s="3"/>
      <c r="M11" s="3"/>
      <c r="N11" s="3"/>
      <c r="O11" s="3"/>
      <c r="P11" s="3"/>
      <c r="Q11" s="3"/>
      <c r="R11" s="1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</row>
    <row r="12" spans="1:31" ht="18" x14ac:dyDescent="0.45">
      <c r="A12" s="10" t="s">
        <v>10</v>
      </c>
      <c r="B12" s="9"/>
      <c r="C12" s="9"/>
      <c r="D12" s="9"/>
      <c r="E12" s="9"/>
      <c r="F12" s="9"/>
      <c r="G12" s="9"/>
      <c r="H12" s="11" t="s">
        <v>9</v>
      </c>
      <c r="I12" s="9"/>
      <c r="J12" s="9"/>
      <c r="K12" s="9"/>
      <c r="L12" s="9"/>
      <c r="M12" s="9"/>
      <c r="N12" s="9"/>
      <c r="O12" s="9"/>
      <c r="P12" s="9"/>
      <c r="Q12" s="9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21.75" customHeight="1" x14ac:dyDescent="0.55000000000000004">
      <c r="A15" s="37"/>
      <c r="B15" s="27"/>
      <c r="C15" s="27"/>
      <c r="D15" s="27"/>
      <c r="E15" s="27"/>
      <c r="F15" s="27"/>
      <c r="G15" s="27"/>
      <c r="H15" s="29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19.5" customHeight="1" x14ac:dyDescent="0.25">
      <c r="A16" s="34"/>
      <c r="B16" s="27"/>
      <c r="C16" s="27"/>
      <c r="D16" s="27"/>
      <c r="E16" s="27"/>
      <c r="F16" s="27"/>
      <c r="G16" s="27"/>
      <c r="H16" s="29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24" customHeight="1" x14ac:dyDescent="0.25">
      <c r="A18" s="38"/>
      <c r="B18" s="33"/>
      <c r="C18" s="27"/>
      <c r="D18" s="27"/>
      <c r="E18" s="27"/>
      <c r="F18" s="27"/>
      <c r="G18" s="29"/>
      <c r="H18" s="39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21" customHeight="1" x14ac:dyDescent="0.25">
      <c r="A19" s="28"/>
      <c r="B19" s="17"/>
      <c r="C19" s="13"/>
      <c r="D19" s="13"/>
      <c r="E19" s="13"/>
      <c r="F19" s="13"/>
      <c r="G19" s="13"/>
      <c r="H19" s="28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21" customHeight="1" x14ac:dyDescent="0.25">
      <c r="A20" s="7"/>
      <c r="B20" s="14"/>
      <c r="C20" s="14"/>
      <c r="D20" s="14"/>
      <c r="E20" s="14"/>
      <c r="F20" s="14"/>
      <c r="G20" s="14"/>
      <c r="H20" s="2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24" customHeight="1" x14ac:dyDescent="0.55000000000000004">
      <c r="A21" s="3"/>
      <c r="B21" s="14"/>
      <c r="C21" s="12"/>
      <c r="D21" s="12"/>
      <c r="E21" s="15"/>
      <c r="F21" s="15"/>
      <c r="G21" s="15"/>
      <c r="H21" s="5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24" customHeight="1" x14ac:dyDescent="0.55000000000000004">
      <c r="A22" s="3"/>
      <c r="B22" s="14"/>
      <c r="C22" s="12"/>
      <c r="D22" s="12"/>
      <c r="E22" s="15"/>
      <c r="F22" s="15"/>
      <c r="G22" s="12"/>
      <c r="H22" s="5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24" customHeight="1" x14ac:dyDescent="0.55000000000000004">
      <c r="A23" s="3"/>
      <c r="B23" s="14"/>
      <c r="C23" s="15"/>
      <c r="D23" s="15"/>
      <c r="E23" s="15"/>
      <c r="F23" s="15"/>
      <c r="G23" s="15"/>
      <c r="H23" s="5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24" customHeight="1" x14ac:dyDescent="0.55000000000000004">
      <c r="A24" s="3"/>
      <c r="B24" s="14"/>
      <c r="C24" s="12"/>
      <c r="D24" s="12"/>
      <c r="E24" s="15"/>
      <c r="F24" s="15"/>
      <c r="G24" s="15"/>
      <c r="H24" s="5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</sheetData>
  <mergeCells count="12">
    <mergeCell ref="A15:H15"/>
    <mergeCell ref="A16:H16"/>
    <mergeCell ref="A18:A19"/>
    <mergeCell ref="B18:G18"/>
    <mergeCell ref="H18:H19"/>
    <mergeCell ref="A11:D11"/>
    <mergeCell ref="E11:H11"/>
    <mergeCell ref="A2:H2"/>
    <mergeCell ref="A3:H3"/>
    <mergeCell ref="A5:A6"/>
    <mergeCell ref="B5:G5"/>
    <mergeCell ref="H5:H6"/>
  </mergeCells>
  <pageMargins left="0.7" right="0.7" top="0.75" bottom="0.75" header="0" footer="0"/>
  <pageSetup paperSize="9" scale="9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18.8</vt:lpstr>
      <vt:lpstr>'18.8'!Print_Area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2026-05-07T04:43:22Z</cp:lastPrinted>
  <dcterms:created xsi:type="dcterms:W3CDTF">2025-05-19T08:29:05Z</dcterms:created>
  <dcterms:modified xsi:type="dcterms:W3CDTF">2026-05-07T04:43:44Z</dcterms:modified>
</cp:coreProperties>
</file>