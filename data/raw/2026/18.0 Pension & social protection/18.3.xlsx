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ileserver\ST4\Dissemination\Publications\Statistical Year Book\YEARBOOK 2026\Final\Pension &amp; Social Protection\"/>
    </mc:Choice>
  </mc:AlternateContent>
  <xr:revisionPtr revIDLastSave="0" documentId="13_ncr:1_{954C69D7-A366-4086-B57C-B7ABE36F77B5}" xr6:coauthVersionLast="47" xr6:coauthVersionMax="47" xr10:uidLastSave="{00000000-0000-0000-0000-000000000000}"/>
  <bookViews>
    <workbookView xWindow="-120" yWindow="-120" windowWidth="29040" windowHeight="15720" tabRatio="756" xr2:uid="{00000000-000D-0000-FFFF-FFFF00000000}"/>
  </bookViews>
  <sheets>
    <sheet name="18.3" sheetId="3" r:id="rId1"/>
  </sheets>
  <definedNames>
    <definedName name="_xlnm.Print_Area" localSheetId="0">'18.3'!$A$1:$Z$37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25" i="3" l="1"/>
  <c r="AG25" i="3"/>
  <c r="AH26" i="3" l="1"/>
  <c r="AH27" i="3"/>
  <c r="AH28" i="3"/>
  <c r="AG27" i="3"/>
  <c r="AG28" i="3"/>
  <c r="AG26" i="3"/>
  <c r="K12" i="3"/>
  <c r="U12" i="3" s="1"/>
  <c r="K11" i="3"/>
  <c r="K10" i="3"/>
  <c r="M9" i="3"/>
  <c r="L9" i="3"/>
  <c r="U11" i="3" l="1"/>
  <c r="U10" i="3"/>
  <c r="K9" i="3"/>
  <c r="U9" i="3" l="1"/>
  <c r="Q12" i="3"/>
  <c r="Q9" i="3"/>
  <c r="Q10" i="3"/>
  <c r="Q11" i="3"/>
  <c r="R16" i="3" l="1"/>
  <c r="R15" i="3"/>
  <c r="R14" i="3"/>
  <c r="R13" i="3"/>
  <c r="H12" i="3"/>
  <c r="E12" i="3"/>
  <c r="S12" i="3" s="1"/>
  <c r="B12" i="3"/>
  <c r="R12" i="3" s="1"/>
  <c r="H11" i="3"/>
  <c r="E11" i="3"/>
  <c r="B11" i="3"/>
  <c r="R11" i="3" s="1"/>
  <c r="H10" i="3"/>
  <c r="V10" i="3" s="1"/>
  <c r="E10" i="3"/>
  <c r="S10" i="3" s="1"/>
  <c r="B10" i="3"/>
  <c r="R10" i="3" s="1"/>
  <c r="J9" i="3"/>
  <c r="I9" i="3"/>
  <c r="G9" i="3"/>
  <c r="F9" i="3"/>
  <c r="D9" i="3"/>
  <c r="C9" i="3"/>
  <c r="B9" i="3" l="1"/>
  <c r="N12" i="3" s="1"/>
  <c r="T12" i="3"/>
  <c r="V12" i="3"/>
  <c r="T11" i="3"/>
  <c r="V11" i="3"/>
  <c r="T10" i="3"/>
  <c r="E9" i="3"/>
  <c r="S9" i="3" s="1"/>
  <c r="H9" i="3"/>
  <c r="V9" i="3" s="1"/>
  <c r="S11" i="3"/>
  <c r="N11" i="3" l="1"/>
  <c r="R9" i="3"/>
  <c r="N9" i="3"/>
  <c r="N10" i="3"/>
  <c r="O9" i="3"/>
  <c r="T9" i="3"/>
  <c r="P9" i="3"/>
  <c r="O10" i="3"/>
  <c r="O11" i="3"/>
  <c r="O12" i="3"/>
  <c r="P11" i="3"/>
  <c r="P12" i="3"/>
  <c r="P10" i="3"/>
</calcChain>
</file>

<file path=xl/sharedStrings.xml><?xml version="1.0" encoding="utf-8"?>
<sst xmlns="http://schemas.openxmlformats.org/spreadsheetml/2006/main" count="56" uniqueCount="33">
  <si>
    <t>Type of pension</t>
  </si>
  <si>
    <t>އިންސައްތަ</t>
  </si>
  <si>
    <t>އަންހެނުންގެ އިން ސައްތަ</t>
  </si>
  <si>
    <t>ޕެންޝަންގެ ބާވަތް</t>
  </si>
  <si>
    <t>% share</t>
  </si>
  <si>
    <t>% share of females</t>
  </si>
  <si>
    <t>% change</t>
  </si>
  <si>
    <t>ޖުމްލަ</t>
  </si>
  <si>
    <t>ފިރިހެން</t>
  </si>
  <si>
    <t>އަންހެން</t>
  </si>
  <si>
    <t>Total</t>
  </si>
  <si>
    <t>Male</t>
  </si>
  <si>
    <t>Female</t>
  </si>
  <si>
    <t>Basic Pension</t>
  </si>
  <si>
    <t>އަސާސީ ޕެންޝަން</t>
  </si>
  <si>
    <t>Retirement Pension</t>
  </si>
  <si>
    <t>ރިޓަޔަރމަންޓް ޕެންޝަން</t>
  </si>
  <si>
    <t>Other Pension</t>
  </si>
  <si>
    <t>އެހެނިހެން ޕެންޝަން</t>
  </si>
  <si>
    <t>މަޢުލޫމާތު ދެއްވި ފަރާތް: މޯލްޑިވްސް ޕެންޝަން އެޑްމިނިސްޓްރޭޝަން</t>
  </si>
  <si>
    <r>
      <rPr>
        <b/>
        <sz val="9"/>
        <color rgb="FF000000"/>
        <rFont val="Calibri"/>
        <family val="2"/>
      </rPr>
      <t xml:space="preserve">Benficiaries (end year)     </t>
    </r>
    <r>
      <rPr>
        <b/>
        <sz val="9"/>
        <color rgb="FF000000"/>
        <rFont val="Faruma"/>
      </rPr>
      <t>ޕެންޝަން ލިބޭ މީހުންގެ އަދަދު</t>
    </r>
  </si>
  <si>
    <r>
      <rPr>
        <sz val="11"/>
        <color rgb="FF000000"/>
        <rFont val="Calibri"/>
        <family val="2"/>
      </rPr>
      <t>Senior Citizen Allowance</t>
    </r>
    <r>
      <rPr>
        <vertAlign val="superscript"/>
        <sz val="11"/>
        <color rgb="FF000000"/>
        <rFont val="Calibri"/>
        <family val="2"/>
      </rPr>
      <t>1_/</t>
    </r>
  </si>
  <si>
    <r>
      <rPr>
        <vertAlign val="superscript"/>
        <sz val="11"/>
        <color rgb="FF000000"/>
        <rFont val="Faruma"/>
      </rPr>
      <t>1_/</t>
    </r>
    <r>
      <rPr>
        <sz val="11"/>
        <color rgb="FF000000"/>
        <rFont val="Faruma"/>
      </rPr>
      <t>ސީނިއަރ ސިޓިޒަން އެލަވަންސް</t>
    </r>
  </si>
  <si>
    <t xml:space="preserve">Note: </t>
  </si>
  <si>
    <t>1_/ Those pensioners receiving less than 5,000 mvr is given the balance amount to reach 5,000 mvr under this scheme. Senior Citizen Allowance was introduced in February 2014 and discontinued on March 2019.</t>
  </si>
  <si>
    <t>2_/ Payment for some MRPS pensioners was processed for two months in November which accounts for the decrease in MRPS pensioners processed in December 2016.  </t>
  </si>
  <si>
    <t>Source: Maldives Pension Administration</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</si>
  <si>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</si>
  <si>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beneficiaries</t>
  </si>
  <si>
    <t>ބަދަލުވި އިން ސައްތަ</t>
  </si>
  <si>
    <t>2024-2025</t>
  </si>
  <si>
    <t>TABLE   18.3:  NUMBER OF BENFICIARIES BY PENSION SCHEME AND SEX, 2022 - 2025</t>
  </si>
  <si>
    <t>ތާވަލު 18.3: އެކި ޕެންޝަން ސްކީމްތަކުން ޕެންޝަން ލިބޭ މީހުންގެ އަދަދު، 2022 - 2025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</si>
</sst>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5" x14ac:knownFonts="1">
    <font>
      <sz val="11"/>
      <color rgb="FF000000"/>
      <name val="Calibri"/>
      <scheme val="minor"/>
    </font>
    <font>
      <b/>
      <sz val="11"/>
      <color rgb="FF000000"/>
      <name val="Faruma"/>
    </font>
    <font>
      <sz val="11"/>
      <name val="Calibri"/>
      <family val="2"/>
    </font>
    <font>
      <sz val="11"/>
      <color rgb="FF000000"/>
      <name val="Calibri"/>
      <family val="2"/>
    </font>
    <font>
      <b/>
      <sz val="11"/>
      <color rgb="FF000000"/>
      <name val="Calibri"/>
      <family val="2"/>
    </font>
    <font>
      <b/>
      <sz val="10"/>
      <color rgb="FF000000"/>
      <name val="Faruma"/>
    </font>
    <font>
      <sz val="11"/>
      <color rgb="FF000000"/>
      <name val="Faruma"/>
    </font>
    <font>
      <i/>
      <sz val="10"/>
      <color rgb="FF000000"/>
      <name val="Calibri"/>
      <family val="2"/>
    </font>
    <font>
      <sz val="10"/>
      <color rgb="FF000000"/>
      <name val="Faruma"/>
    </font>
    <font>
      <vertAlign val="superscript"/>
      <sz val="10"/>
      <color rgb="FF000000"/>
      <name val="Faruma"/>
    </font>
    <font>
      <sz val="9"/>
      <color rgb="FF000000"/>
      <name val="Faruma"/>
    </font>
    <font>
      <b/>
      <sz val="9"/>
      <color rgb="FF000000"/>
      <name val="Calibri"/>
      <family val="2"/>
    </font>
    <font>
      <b/>
      <sz val="12"/>
      <color rgb="FF000000"/>
      <name val="Calibri"/>
      <family val="2"/>
    </font>
    <font>
      <b/>
      <sz val="9"/>
      <color rgb="FF262626"/>
      <name val="Faruma"/>
    </font>
    <font>
      <sz val="11"/>
      <color rgb="FF212529"/>
      <name val="Arial"/>
      <family val="2"/>
    </font>
    <font>
      <sz val="10"/>
      <color theme="1"/>
      <name val="Calibri"/>
      <family val="2"/>
    </font>
    <font>
      <i/>
      <sz val="11"/>
      <color rgb="FF000000"/>
      <name val="Calibri"/>
      <family val="2"/>
    </font>
    <font>
      <vertAlign val="superscript"/>
      <sz val="11"/>
      <color rgb="FF000000"/>
      <name val="Calibri"/>
      <family val="2"/>
    </font>
    <font>
      <b/>
      <sz val="9"/>
      <color rgb="FF000000"/>
      <name val="Faruma"/>
    </font>
    <font>
      <vertAlign val="superscript"/>
      <sz val="11"/>
      <color rgb="FF000000"/>
      <name val="Faruma"/>
    </font>
    <font>
      <sz val="11"/>
      <color rgb="FF000000"/>
      <name val="Calibri"/>
      <family val="2"/>
    </font>
    <font>
      <sz val="11"/>
      <color rgb="FF000000"/>
      <name val="Calibri"/>
      <family val="2"/>
      <scheme val="minor"/>
    </font>
    <font>
      <sz val="10"/>
      <name val="Courier"/>
      <family val="3"/>
    </font>
    <font>
      <sz val="11"/>
      <color rgb="FF000000"/>
      <name val="Calibri"/>
      <scheme val="minor"/>
    </font>
    <font>
      <sz val="11"/>
      <color theme="1"/>
      <name val="Calibri"/>
    </font>
  </fonts>
  <fills count="5">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E2EFD9"/>
      </patternFill>
    </fill>
  </fills>
  <borders count="36">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right style="hair">
        <color rgb="FF000000"/>
      </right>
      <top style="hair">
        <color rgb="FF000000"/>
      </top>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style="hair">
        <color rgb="FF000000"/>
      </left>
      <right/>
      <top/>
      <bottom/>
      <diagonal/>
    </border>
    <border>
      <left/>
      <right/>
      <top style="thin">
        <color rgb="FF000000"/>
      </top>
      <bottom/>
      <diagonal/>
    </border>
    <border>
      <left style="hair">
        <color rgb="FF000000"/>
      </left>
      <right/>
      <top style="thin">
        <color rgb="FF000000"/>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style="thin">
        <color rgb="FF000000"/>
      </left>
      <right/>
      <top/>
      <bottom/>
      <diagonal/>
    </border>
    <border>
      <left style="hair">
        <color rgb="FF000000"/>
      </left>
      <right/>
      <top/>
      <bottom style="hair">
        <color rgb="FF000000"/>
      </bottom>
      <diagonal/>
    </border>
    <border>
      <left style="thin">
        <color rgb="FF000000"/>
      </left>
      <right/>
      <top/>
      <bottom style="thin">
        <color rgb="FF000000"/>
      </bottom>
      <diagonal/>
    </border>
    <border>
      <left/>
      <right/>
      <top/>
      <bottom/>
      <diagonal/>
    </border>
    <border>
      <left/>
      <right/>
      <top/>
      <bottom style="thin">
        <color rgb="FF000000"/>
      </bottom>
      <diagonal/>
    </border>
    <border>
      <left/>
      <right style="hair">
        <color rgb="FF000000"/>
      </right>
      <top style="thin">
        <color rgb="FF000000"/>
      </top>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diagonal/>
    </border>
    <border>
      <left/>
      <right style="hair">
        <color rgb="FF000000"/>
      </right>
      <top/>
      <bottom/>
      <diagonal/>
    </border>
    <border>
      <left/>
      <right style="hair">
        <color rgb="FF000000"/>
      </right>
      <top/>
      <bottom style="thin">
        <color indexed="64"/>
      </bottom>
      <diagonal/>
    </border>
    <border>
      <left style="hair">
        <color rgb="FF000000"/>
      </left>
      <right/>
      <top/>
      <bottom style="thin">
        <color indexed="64"/>
      </bottom>
      <diagonal/>
    </border>
  </borders>
  <cellStyleXfs count="32">
    <xf numFmtId="0" fontId="0" fillId="0" borderId="0"/>
    <xf numFmtId="164" fontId="22" fillId="0" borderId="27"/>
    <xf numFmtId="43" fontId="3" fillId="0" borderId="27" applyFont="0" applyFill="0" applyBorder="0" applyAlignment="0" applyProtection="0"/>
    <xf numFmtId="43" fontId="3" fillId="0" borderId="27" applyFont="0" applyFill="0" applyBorder="0" applyAlignment="0" applyProtection="0"/>
    <xf numFmtId="0" fontId="21" fillId="0" borderId="27"/>
    <xf numFmtId="0" fontId="3" fillId="0" borderId="27"/>
    <xf numFmtId="0" fontId="3" fillId="0" borderId="27"/>
    <xf numFmtId="0" fontId="3" fillId="0" borderId="27"/>
    <xf numFmtId="0" fontId="21" fillId="0" borderId="27"/>
    <xf numFmtId="0" fontId="21" fillId="0" borderId="27"/>
    <xf numFmtId="0" fontId="3" fillId="0" borderId="27"/>
    <xf numFmtId="0" fontId="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xf numFmtId="0" fontId="23" fillId="0" borderId="27"/>
  </cellStyleXfs>
  <cellXfs count="104">
    <xf numFmtId="0" fontId="0" fillId="0" borderId="0" xfId="0"/>
    <xf numFmtId="0" fontId="3" fillId="2" borderId="4" xfId="0" applyFont="1" applyFill="1" applyBorder="1"/>
    <xf numFmtId="0" fontId="4" fillId="2" borderId="4" xfId="0" applyFont="1" applyFill="1" applyBorder="1"/>
    <xf numFmtId="0" fontId="5" fillId="2" borderId="9" xfId="0" applyFont="1" applyFill="1" applyBorder="1" applyAlignment="1">
      <alignment horizontal="right" vertical="center"/>
    </xf>
    <xf numFmtId="1" fontId="4" fillId="2" borderId="4"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xf>
    <xf numFmtId="1" fontId="3" fillId="2" borderId="4" xfId="0" applyNumberFormat="1" applyFont="1" applyFill="1" applyBorder="1" applyAlignment="1">
      <alignment horizontal="center" vertical="center"/>
    </xf>
    <xf numFmtId="0" fontId="6" fillId="2" borderId="4" xfId="0" applyFont="1" applyFill="1" applyBorder="1"/>
    <xf numFmtId="0" fontId="3" fillId="2" borderId="11" xfId="0" applyFont="1" applyFill="1" applyBorder="1"/>
    <xf numFmtId="1" fontId="3" fillId="2" borderId="11" xfId="0" applyNumberFormat="1" applyFont="1" applyFill="1" applyBorder="1" applyAlignment="1">
      <alignment horizontal="center" vertical="center"/>
    </xf>
    <xf numFmtId="0" fontId="7" fillId="2" borderId="4" xfId="0" applyFont="1" applyFill="1" applyBorder="1" applyAlignment="1">
      <alignment vertical="center"/>
    </xf>
    <xf numFmtId="0" fontId="8" fillId="2" borderId="4" xfId="0" applyFont="1" applyFill="1" applyBorder="1" applyAlignment="1">
      <alignment vertical="center"/>
    </xf>
    <xf numFmtId="0" fontId="9" fillId="2" borderId="4" xfId="0" applyFont="1" applyFill="1" applyBorder="1" applyAlignment="1">
      <alignment horizontal="left" vertical="center"/>
    </xf>
    <xf numFmtId="0" fontId="4" fillId="2" borderId="4" xfId="0" applyFont="1" applyFill="1" applyBorder="1" applyAlignment="1">
      <alignment horizontal="center"/>
    </xf>
    <xf numFmtId="164" fontId="3" fillId="2" borderId="4" xfId="0" applyNumberFormat="1" applyFont="1" applyFill="1" applyBorder="1"/>
    <xf numFmtId="0" fontId="1" fillId="2" borderId="4" xfId="0" applyFont="1" applyFill="1" applyBorder="1" applyAlignment="1">
      <alignment vertical="center"/>
    </xf>
    <xf numFmtId="0" fontId="6" fillId="2" borderId="11" xfId="0" applyFont="1" applyFill="1" applyBorder="1" applyAlignment="1">
      <alignment horizontal="right" vertical="center"/>
    </xf>
    <xf numFmtId="0" fontId="10" fillId="2" borderId="4" xfId="0" applyFont="1" applyFill="1" applyBorder="1" applyAlignment="1">
      <alignment vertical="center"/>
    </xf>
    <xf numFmtId="3" fontId="13" fillId="2" borderId="4" xfId="0" applyNumberFormat="1" applyFont="1" applyFill="1" applyBorder="1" applyAlignment="1">
      <alignment horizontal="right"/>
    </xf>
    <xf numFmtId="0" fontId="5" fillId="2" borderId="24" xfId="0" applyFont="1" applyFill="1" applyBorder="1" applyAlignment="1">
      <alignment horizontal="right" vertical="center"/>
    </xf>
    <xf numFmtId="0" fontId="4" fillId="2" borderId="25" xfId="0" applyFont="1" applyFill="1" applyBorder="1" applyAlignment="1">
      <alignment horizontal="center" vertical="center"/>
    </xf>
    <xf numFmtId="0" fontId="4" fillId="2" borderId="26" xfId="0" applyFont="1" applyFill="1" applyBorder="1" applyAlignment="1">
      <alignment horizontal="right"/>
    </xf>
    <xf numFmtId="0" fontId="4" fillId="2" borderId="12" xfId="0" applyFont="1" applyFill="1" applyBorder="1" applyAlignment="1">
      <alignment horizontal="right"/>
    </xf>
    <xf numFmtId="1" fontId="4" fillId="2" borderId="13" xfId="0" applyNumberFormat="1" applyFont="1" applyFill="1" applyBorder="1" applyAlignment="1">
      <alignment vertical="center"/>
    </xf>
    <xf numFmtId="1" fontId="4" fillId="2" borderId="13" xfId="0" applyNumberFormat="1" applyFont="1" applyFill="1" applyBorder="1" applyAlignment="1">
      <alignment horizontal="center" vertical="center"/>
    </xf>
    <xf numFmtId="0" fontId="4" fillId="2" borderId="15" xfId="0" applyFont="1" applyFill="1" applyBorder="1" applyAlignment="1">
      <alignment horizontal="center"/>
    </xf>
    <xf numFmtId="3" fontId="4" fillId="2" borderId="24" xfId="0" applyNumberFormat="1" applyFont="1" applyFill="1" applyBorder="1" applyAlignment="1">
      <alignment horizontal="right" vertical="center"/>
    </xf>
    <xf numFmtId="37" fontId="4" fillId="2" borderId="4" xfId="0" applyNumberFormat="1" applyFont="1" applyFill="1" applyBorder="1" applyAlignment="1">
      <alignment horizontal="right" vertical="center"/>
    </xf>
    <xf numFmtId="3" fontId="4" fillId="2" borderId="17" xfId="0" applyNumberFormat="1" applyFont="1" applyFill="1" applyBorder="1" applyAlignment="1">
      <alignment horizontal="center" vertical="center"/>
    </xf>
    <xf numFmtId="3" fontId="3" fillId="2" borderId="24" xfId="0" applyNumberFormat="1" applyFont="1" applyFill="1" applyBorder="1" applyAlignment="1">
      <alignment horizontal="right" vertical="center"/>
    </xf>
    <xf numFmtId="37" fontId="3" fillId="2" borderId="4" xfId="0" applyNumberFormat="1" applyFont="1" applyFill="1" applyBorder="1" applyAlignment="1">
      <alignment horizontal="right" vertical="center"/>
    </xf>
    <xf numFmtId="0" fontId="6" fillId="2" borderId="4" xfId="0" applyFont="1" applyFill="1" applyBorder="1" applyAlignment="1">
      <alignment vertical="center"/>
    </xf>
    <xf numFmtId="0" fontId="14" fillId="2" borderId="4" xfId="0" applyFont="1" applyFill="1" applyBorder="1" applyAlignment="1">
      <alignment vertical="center" wrapText="1"/>
    </xf>
    <xf numFmtId="3" fontId="3" fillId="2" borderId="26" xfId="0" applyNumberFormat="1" applyFont="1" applyFill="1" applyBorder="1" applyAlignment="1">
      <alignment horizontal="right" vertical="center"/>
    </xf>
    <xf numFmtId="3" fontId="3" fillId="2" borderId="12" xfId="0" applyNumberFormat="1" applyFont="1" applyFill="1" applyBorder="1" applyAlignment="1">
      <alignment horizontal="right" vertical="center"/>
    </xf>
    <xf numFmtId="37" fontId="3" fillId="2" borderId="11" xfId="0" applyNumberFormat="1" applyFont="1" applyFill="1" applyBorder="1" applyAlignment="1">
      <alignment horizontal="right" vertical="center"/>
    </xf>
    <xf numFmtId="0" fontId="6" fillId="2" borderId="11" xfId="0" applyFont="1" applyFill="1" applyBorder="1" applyAlignment="1">
      <alignment vertical="center"/>
    </xf>
    <xf numFmtId="0" fontId="3" fillId="2" borderId="11" xfId="0" applyFont="1" applyFill="1" applyBorder="1" applyAlignment="1">
      <alignment vertical="center"/>
    </xf>
    <xf numFmtId="164" fontId="15" fillId="2" borderId="26" xfId="0" applyNumberFormat="1" applyFont="1" applyFill="1" applyBorder="1" applyAlignment="1">
      <alignment horizontal="right" vertical="center"/>
    </xf>
    <xf numFmtId="164" fontId="15" fillId="2" borderId="11" xfId="0" applyNumberFormat="1" applyFont="1" applyFill="1" applyBorder="1" applyAlignment="1">
      <alignment horizontal="right" vertical="center"/>
    </xf>
    <xf numFmtId="164" fontId="15" fillId="2" borderId="12" xfId="0" applyNumberFormat="1" applyFont="1" applyFill="1" applyBorder="1" applyAlignment="1">
      <alignment horizontal="right" vertical="center"/>
    </xf>
    <xf numFmtId="1" fontId="4" fillId="2" borderId="16" xfId="0" applyNumberFormat="1" applyFont="1" applyFill="1" applyBorder="1" applyAlignment="1">
      <alignment horizontal="center" vertical="center"/>
    </xf>
    <xf numFmtId="0" fontId="16" fillId="2" borderId="4" xfId="0" applyFont="1" applyFill="1" applyBorder="1"/>
    <xf numFmtId="0" fontId="8" fillId="2" borderId="4" xfId="0" applyFont="1" applyFill="1" applyBorder="1"/>
    <xf numFmtId="0" fontId="0" fillId="3" borderId="0" xfId="0" applyFill="1"/>
    <xf numFmtId="0" fontId="3" fillId="2" borderId="27" xfId="0" applyFont="1" applyFill="1" applyBorder="1"/>
    <xf numFmtId="0" fontId="4" fillId="2" borderId="27" xfId="0" applyFont="1" applyFill="1" applyBorder="1"/>
    <xf numFmtId="0" fontId="6" fillId="2" borderId="27" xfId="0" applyFont="1" applyFill="1" applyBorder="1"/>
    <xf numFmtId="3" fontId="3" fillId="4" borderId="12" xfId="0" applyNumberFormat="1" applyFont="1" applyFill="1" applyBorder="1" applyAlignment="1">
      <alignment horizontal="right" vertical="center"/>
    </xf>
    <xf numFmtId="0" fontId="5" fillId="2" borderId="27" xfId="0" applyFont="1" applyFill="1" applyBorder="1" applyAlignment="1">
      <alignment horizontal="right" vertical="center"/>
    </xf>
    <xf numFmtId="3" fontId="3" fillId="4" borderId="27" xfId="0" applyNumberFormat="1" applyFont="1" applyFill="1" applyBorder="1" applyAlignment="1">
      <alignment horizontal="right" vertical="center"/>
    </xf>
    <xf numFmtId="3" fontId="3" fillId="4" borderId="28" xfId="0" applyNumberFormat="1" applyFont="1" applyFill="1" applyBorder="1" applyAlignment="1">
      <alignment horizontal="right" vertical="center"/>
    </xf>
    <xf numFmtId="164" fontId="15" fillId="2" borderId="28" xfId="0" applyNumberFormat="1" applyFont="1" applyFill="1" applyBorder="1" applyAlignment="1">
      <alignment horizontal="right" vertical="center"/>
    </xf>
    <xf numFmtId="1" fontId="4" fillId="4" borderId="13" xfId="0" applyNumberFormat="1" applyFont="1" applyFill="1" applyBorder="1" applyAlignment="1">
      <alignment vertical="center"/>
    </xf>
    <xf numFmtId="37" fontId="4" fillId="2" borderId="27" xfId="0" applyNumberFormat="1" applyFont="1" applyFill="1" applyBorder="1" applyAlignment="1">
      <alignment horizontal="right" vertical="center"/>
    </xf>
    <xf numFmtId="37" fontId="20" fillId="2" borderId="27" xfId="0" applyNumberFormat="1" applyFont="1" applyFill="1" applyBorder="1" applyAlignment="1">
      <alignment horizontal="right" vertical="center"/>
    </xf>
    <xf numFmtId="37" fontId="20" fillId="2" borderId="28" xfId="0" applyNumberFormat="1" applyFont="1" applyFill="1" applyBorder="1" applyAlignment="1">
      <alignment horizontal="right" vertical="center"/>
    </xf>
    <xf numFmtId="37" fontId="4" fillId="2" borderId="33" xfId="0" applyNumberFormat="1" applyFont="1" applyFill="1" applyBorder="1" applyAlignment="1">
      <alignment horizontal="right" vertical="center"/>
    </xf>
    <xf numFmtId="1" fontId="4" fillId="2" borderId="14" xfId="0" applyNumberFormat="1" applyFont="1" applyFill="1" applyBorder="1" applyAlignment="1">
      <alignment vertical="center"/>
    </xf>
    <xf numFmtId="1" fontId="4" fillId="2" borderId="27" xfId="0" applyNumberFormat="1" applyFont="1" applyFill="1" applyBorder="1" applyAlignment="1">
      <alignment horizontal="center" vertical="center"/>
    </xf>
    <xf numFmtId="37" fontId="3" fillId="2" borderId="33" xfId="0" applyNumberFormat="1" applyFont="1" applyFill="1" applyBorder="1" applyAlignment="1">
      <alignment horizontal="right" vertical="center"/>
    </xf>
    <xf numFmtId="3" fontId="3" fillId="2" borderId="32" xfId="0" applyNumberFormat="1" applyFont="1" applyFill="1" applyBorder="1" applyAlignment="1">
      <alignment horizontal="center" vertical="center"/>
    </xf>
    <xf numFmtId="3" fontId="24" fillId="4" borderId="28" xfId="16" applyNumberFormat="1" applyFont="1" applyFill="1" applyBorder="1" applyAlignment="1">
      <alignment horizontal="right"/>
    </xf>
    <xf numFmtId="3" fontId="24" fillId="4" borderId="12" xfId="16" applyNumberFormat="1" applyFont="1" applyFill="1" applyBorder="1" applyAlignment="1">
      <alignment horizontal="right"/>
    </xf>
    <xf numFmtId="37" fontId="3" fillId="2" borderId="12" xfId="0" applyNumberFormat="1" applyFont="1" applyFill="1" applyBorder="1" applyAlignment="1">
      <alignment horizontal="right" vertical="center"/>
    </xf>
    <xf numFmtId="1" fontId="3" fillId="2" borderId="34" xfId="0" applyNumberFormat="1" applyFont="1" applyFill="1" applyBorder="1" applyAlignment="1">
      <alignment horizontal="center" vertical="center"/>
    </xf>
    <xf numFmtId="3" fontId="3" fillId="2" borderId="35" xfId="0" applyNumberFormat="1" applyFont="1" applyFill="1" applyBorder="1" applyAlignment="1">
      <alignment horizontal="center" vertical="center"/>
    </xf>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2" fillId="3" borderId="2" xfId="0" applyFont="1" applyFill="1" applyBorder="1"/>
    <xf numFmtId="0" fontId="2" fillId="3" borderId="27" xfId="0" applyFont="1" applyFill="1" applyBorder="1"/>
    <xf numFmtId="0" fontId="2" fillId="3" borderId="3" xfId="0" applyFont="1" applyFill="1" applyBorder="1"/>
    <xf numFmtId="0" fontId="2" fillId="3" borderId="6" xfId="0" applyFont="1" applyFill="1" applyBorder="1"/>
    <xf numFmtId="0" fontId="2" fillId="3" borderId="10" xfId="0" applyFont="1" applyFill="1" applyBorder="1"/>
    <xf numFmtId="0" fontId="1" fillId="2" borderId="5" xfId="0" applyFont="1" applyFill="1" applyBorder="1" applyAlignment="1">
      <alignment horizontal="right" vertical="center"/>
    </xf>
    <xf numFmtId="0" fontId="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5" fillId="2" borderId="19" xfId="0" applyFont="1" applyFill="1" applyBorder="1" applyAlignment="1">
      <alignment horizontal="center" vertical="center" wrapText="1"/>
    </xf>
    <xf numFmtId="0" fontId="2" fillId="3" borderId="23" xfId="0" applyFont="1" applyFill="1" applyBorder="1"/>
    <xf numFmtId="0" fontId="4" fillId="2" borderId="20" xfId="0" applyFont="1" applyFill="1" applyBorder="1" applyAlignment="1">
      <alignment horizontal="center"/>
    </xf>
    <xf numFmtId="0" fontId="2" fillId="3" borderId="21" xfId="0" applyFont="1" applyFill="1" applyBorder="1"/>
    <xf numFmtId="0" fontId="2" fillId="3" borderId="22" xfId="0" applyFont="1" applyFill="1" applyBorder="1"/>
    <xf numFmtId="0" fontId="5" fillId="2" borderId="18"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1" fillId="2" borderId="30" xfId="0" applyFont="1" applyFill="1" applyBorder="1" applyAlignment="1">
      <alignment horizontal="center" vertical="center" wrapText="1"/>
    </xf>
    <xf numFmtId="0" fontId="11" fillId="2" borderId="31" xfId="0" applyFont="1" applyFill="1" applyBorder="1" applyAlignment="1">
      <alignment horizontal="center" vertical="center" wrapText="1"/>
    </xf>
    <xf numFmtId="0" fontId="11" fillId="2" borderId="8" xfId="0" applyFont="1" applyFill="1" applyBorder="1" applyAlignment="1">
      <alignment horizontal="center" vertical="center"/>
    </xf>
    <xf numFmtId="0" fontId="11" fillId="2" borderId="7" xfId="0" applyFont="1" applyFill="1" applyBorder="1" applyAlignment="1">
      <alignment horizontal="center" vertical="center"/>
    </xf>
    <xf numFmtId="0" fontId="5" fillId="2" borderId="27" xfId="0" applyFont="1" applyFill="1" applyBorder="1" applyAlignment="1">
      <alignment vertical="center" wrapText="1"/>
    </xf>
    <xf numFmtId="0" fontId="5" fillId="2" borderId="33" xfId="0" applyFont="1" applyFill="1" applyBorder="1" applyAlignment="1">
      <alignment vertical="center" wrapText="1"/>
    </xf>
    <xf numFmtId="0" fontId="4" fillId="2" borderId="18" xfId="0" applyFont="1" applyFill="1" applyBorder="1" applyAlignment="1">
      <alignment horizontal="left" vertical="center"/>
    </xf>
    <xf numFmtId="0" fontId="2" fillId="3" borderId="28" xfId="0" applyFont="1" applyFill="1" applyBorder="1"/>
    <xf numFmtId="0" fontId="3" fillId="2" borderId="28" xfId="0" applyFont="1" applyFill="1" applyBorder="1"/>
    <xf numFmtId="37" fontId="3" fillId="2" borderId="27" xfId="0" applyNumberFormat="1" applyFont="1" applyFill="1" applyBorder="1" applyAlignment="1">
      <alignment horizontal="right" vertical="center"/>
    </xf>
    <xf numFmtId="37" fontId="3" fillId="2" borderId="28" xfId="0" applyNumberFormat="1" applyFont="1" applyFill="1" applyBorder="1" applyAlignment="1">
      <alignment horizontal="right" vertical="center"/>
    </xf>
    <xf numFmtId="0" fontId="4" fillId="2" borderId="21" xfId="0" applyFont="1" applyFill="1" applyBorder="1" applyAlignment="1">
      <alignment horizontal="center"/>
    </xf>
    <xf numFmtId="0" fontId="4" fillId="2" borderId="28" xfId="0" applyFont="1" applyFill="1" applyBorder="1" applyAlignment="1">
      <alignment horizontal="right"/>
    </xf>
    <xf numFmtId="3" fontId="4" fillId="2" borderId="27" xfId="0" applyNumberFormat="1" applyFont="1" applyFill="1" applyBorder="1" applyAlignment="1">
      <alignment horizontal="right" vertical="center"/>
    </xf>
    <xf numFmtId="3" fontId="4" fillId="2" borderId="33" xfId="0" applyNumberFormat="1" applyFont="1" applyFill="1" applyBorder="1" applyAlignment="1">
      <alignment horizontal="right" vertical="center"/>
    </xf>
    <xf numFmtId="3" fontId="3" fillId="2" borderId="27" xfId="0" applyNumberFormat="1" applyFont="1" applyFill="1" applyBorder="1" applyAlignment="1">
      <alignment horizontal="right" vertical="center"/>
    </xf>
    <xf numFmtId="3" fontId="24" fillId="4" borderId="27" xfId="16" applyNumberFormat="1" applyFont="1" applyFill="1" applyBorder="1" applyAlignment="1">
      <alignment horizontal="right"/>
    </xf>
    <xf numFmtId="3" fontId="24" fillId="4" borderId="33" xfId="16" applyNumberFormat="1" applyFont="1" applyFill="1" applyBorder="1" applyAlignment="1">
      <alignment horizontal="right"/>
    </xf>
    <xf numFmtId="3" fontId="3" fillId="2" borderId="28" xfId="0" applyNumberFormat="1" applyFont="1" applyFill="1" applyBorder="1" applyAlignment="1">
      <alignment horizontal="right" vertical="center"/>
    </xf>
  </cellXfs>
  <cellStyles count="32">
    <cellStyle name="Comma 23" xfId="2" xr:uid="{94027C67-5182-4251-874E-333D39869C41}"/>
    <cellStyle name="Comma 3" xfId="3" xr:uid="{32D59405-9255-4528-A182-E2FB87AEA447}"/>
    <cellStyle name="Normal" xfId="0" builtinId="0"/>
    <cellStyle name="Normal 10" xfId="6" xr:uid="{EBA83A1A-0725-4264-B217-6FB255D01D9A}"/>
    <cellStyle name="Normal 11" xfId="8" xr:uid="{141512A6-9575-4B9F-B0CD-71B08DB8B8DD}"/>
    <cellStyle name="Normal 12" xfId="18" xr:uid="{EBB53E00-7290-4E95-B00B-97E70B994095}"/>
    <cellStyle name="Normal 13" xfId="19" xr:uid="{5089EADD-6FB8-455A-99B7-4CE3F8EA2523}"/>
    <cellStyle name="Normal 14" xfId="20" xr:uid="{6D8E876D-C549-4F8C-BBB2-9044945BA1DE}"/>
    <cellStyle name="Normal 15" xfId="21" xr:uid="{FC8B6F0F-4F04-414B-856A-E9EF52594A17}"/>
    <cellStyle name="Normal 16" xfId="22" xr:uid="{A9472295-1693-4D41-8C43-FD2ACA0018F7}"/>
    <cellStyle name="Normal 17" xfId="23" xr:uid="{AD84AE3E-C9FD-40C7-9E44-467A53F078DC}"/>
    <cellStyle name="Normal 18" xfId="24" xr:uid="{3ECF2013-8279-4761-949D-EDD1A3769A1A}"/>
    <cellStyle name="Normal 19" xfId="25" xr:uid="{2DA431D7-B0FC-4CC3-83FB-38993139A464}"/>
    <cellStyle name="Normal 2" xfId="1" xr:uid="{5582CC97-B3B3-49F0-A32C-77365FA866E7}"/>
    <cellStyle name="Normal 20" xfId="26" xr:uid="{BF15BF13-2BA4-453C-A5D4-7F378D5A7AB0}"/>
    <cellStyle name="Normal 21" xfId="27" xr:uid="{EB16884D-319E-44C4-BACF-AAE219752D74}"/>
    <cellStyle name="Normal 22" xfId="28" xr:uid="{0BC55367-C80F-4644-A253-56F0D6C8449D}"/>
    <cellStyle name="Normal 23" xfId="29" xr:uid="{70D0A6B6-C10D-4B03-BE3E-BCA8F6F565D6}"/>
    <cellStyle name="Normal 24" xfId="30" xr:uid="{5D1C52F0-96A7-41A3-BA9A-F4828B3BA100}"/>
    <cellStyle name="Normal 25" xfId="31" xr:uid="{98DE4CB4-469A-4E2E-95F6-679D1ED1E259}"/>
    <cellStyle name="Normal 3" xfId="12" xr:uid="{41F67738-7CBD-405C-A2E8-93EC8D754E04}"/>
    <cellStyle name="Normal 30 2" xfId="5" xr:uid="{319A01A9-484D-401C-B51C-AFA22C8C147A}"/>
    <cellStyle name="Normal 39" xfId="7" xr:uid="{358DB4F3-2572-40C1-8528-73DD19838977}"/>
    <cellStyle name="Normal 4" xfId="13" xr:uid="{F9DB212B-6BED-4D0E-9812-6AF8B0852E4C}"/>
    <cellStyle name="Normal 5" xfId="14" xr:uid="{2E2DF4F8-9240-4060-8DF2-DBD25985C646}"/>
    <cellStyle name="Normal 58" xfId="11" xr:uid="{5FADB181-8394-4B9F-BF6B-8B2AABC26B0E}"/>
    <cellStyle name="Normal 59" xfId="10" xr:uid="{BC46D8EB-1784-4261-8D55-F234E5AA2CF7}"/>
    <cellStyle name="Normal 6" xfId="15" xr:uid="{FD6A37D1-7F80-4842-A6BE-097A50A4815D}"/>
    <cellStyle name="Normal 7" xfId="16" xr:uid="{D3073D1C-C63F-4665-88AD-8A1CCCB7F8E6}"/>
    <cellStyle name="Normal 8" xfId="17" xr:uid="{994E9518-379D-453B-A8BE-5A00EF9195C3}"/>
    <cellStyle name="Normal 9" xfId="4" xr:uid="{625F25BA-A41A-4C28-BF91-33331014C8BC}"/>
    <cellStyle name="Normal 9 2" xfId="9" xr:uid="{9FC5A332-BEB2-4834-8023-4E42B3DA4A83}"/>
  </cellStyles>
  <dxfs count="0"/>
  <tableStyles count="0" defaultTableStyle="TableStyleMedium2" defaultPivotStyle="PivotStyleLight16"/>
  <colors>
    <mruColors>
      <color rgb="FF336600"/>
      <color rgb="FFF9FFF3"/>
      <color rgb="FFAEAAAA"/>
      <color rgb="FF003300"/>
      <color rgb="FF2F75B5"/>
      <color rgb="FFFF3399"/>
      <color rgb="FF9BC2E6"/>
      <color rgb="FF33CCCC"/>
      <color rgb="FF003399"/>
      <color rgb="FF7E5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Calibri"/>
              </a:defRPr>
            </a:pPr>
            <a:r>
              <a:rPr lang="en-US" sz="1200" b="1" i="0">
                <a:solidFill>
                  <a:srgbClr val="757575"/>
                </a:solidFill>
                <a:latin typeface="Calibri"/>
              </a:rPr>
              <a:t>Figure 18.5: Number of beneficiaries under different pension schemes by sex, 2025</a:t>
            </a:r>
          </a:p>
        </c:rich>
      </c:tx>
      <c:layout>
        <c:manualLayout>
          <c:xMode val="edge"/>
          <c:yMode val="edge"/>
          <c:x val="0.12585910652920962"/>
          <c:y val="5.3007135575942915E-2"/>
        </c:manualLayout>
      </c:layout>
      <c:overlay val="0"/>
    </c:title>
    <c:autoTitleDeleted val="0"/>
    <c:plotArea>
      <c:layout>
        <c:manualLayout>
          <c:layoutTarget val="inner"/>
          <c:xMode val="edge"/>
          <c:yMode val="edge"/>
          <c:x val="9.564615634385909E-2"/>
          <c:y val="0.20151733326912116"/>
          <c:w val="0.88323010525746126"/>
          <c:h val="0.68532061932625399"/>
        </c:manualLayout>
      </c:layout>
      <c:barChart>
        <c:barDir val="col"/>
        <c:grouping val="clustered"/>
        <c:varyColors val="1"/>
        <c:ser>
          <c:idx val="0"/>
          <c:order val="0"/>
          <c:tx>
            <c:v>Male</c:v>
          </c:tx>
          <c:spPr>
            <a:solidFill>
              <a:srgbClr val="003300"/>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'18.3'!$AF$26:$AF$28</c:f>
              <c:strCache>
                <c:ptCount val="3"/>
                <c:pt idx="0">
                  <c:v>Basic Pension</c:v>
                </c:pt>
                <c:pt idx="1">
                  <c:v>Retirement Pension</c:v>
                </c:pt>
                <c:pt idx="2">
                  <c:v>Other Pension</c:v>
                </c:pt>
              </c:strCache>
            </c:strRef>
          </c:cat>
          <c:val>
            <c:numRef>
              <c:f>'18.3'!$AG$26:$AG$28</c:f>
              <c:numCache>
                <c:formatCode>_(* #,##0_);_(* \(#,##0\);_(* "-"??_);_(@_)</c:formatCode>
                <c:ptCount val="3"/>
                <c:pt idx="0">
                  <c:v>12788</c:v>
                </c:pt>
                <c:pt idx="1">
                  <c:v>1880</c:v>
                </c:pt>
                <c:pt idx="2">
                  <c:v>4947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D10D-46F7-88CB-1E868DF94F70}"/>
            </c:ext>
          </c:extLst>
        </c:ser>
        <c:ser>
          <c:idx val="1"/>
          <c:order val="1"/>
          <c:tx>
            <c:v>Female</c:v>
          </c:tx>
          <c:spPr>
            <a:solidFill>
              <a:srgbClr val="336600"/>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'18.3'!$AF$26:$AF$28</c:f>
              <c:strCache>
                <c:ptCount val="3"/>
                <c:pt idx="0">
                  <c:v>Basic Pension</c:v>
                </c:pt>
                <c:pt idx="1">
                  <c:v>Retirement Pension</c:v>
                </c:pt>
                <c:pt idx="2">
                  <c:v>Other Pension</c:v>
                </c:pt>
              </c:strCache>
            </c:strRef>
          </c:cat>
          <c:val>
            <c:numRef>
              <c:f>'18.3'!$AH$26:$AH$28</c:f>
              <c:numCache>
                <c:formatCode>_(* #,##0_);_(* \(#,##0\);_(* "-"??_);_(@_)</c:formatCode>
                <c:ptCount val="3"/>
                <c:pt idx="0">
                  <c:v>12862</c:v>
                </c:pt>
                <c:pt idx="1">
                  <c:v>557</c:v>
                </c:pt>
                <c:pt idx="2">
                  <c:v>2389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D10D-46F7-88CB-1E868DF94F70}"/>
            </c:ext>
          </c:extLst>
        </c:ser>
        <c:dLbls>
          <c:showLegendKey val="0"/>
          <c:showVal val="0"/>
          <c:showCatName val="0"/>
          <c:showSerName val="0"/>
          <c:showPercent val="0"/>
          <c:showBubbleSize val="0"/>
        </c:dLbls>
        <c:gapWidth val="150"/>
        <c:axId val="1515009474"/>
        <c:axId val="97596992"/>
      </c:barChart>
      <c:catAx>
        <c:axId val="151500947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97596992"/>
        <c:crosses val="autoZero"/>
        <c:auto val="1"/>
        <c:lblAlgn val="ctr"/>
        <c:lblOffset val="100"/>
        <c:noMultiLvlLbl val="1"/>
      </c:catAx>
      <c:valAx>
        <c:axId val="97596992"/>
        <c:scaling>
          <c:orientation val="minMax"/>
        </c:scaling>
        <c:delete val="0"/>
        <c:axPos val="l"/>
        <c:majorGridlines>
          <c:spPr>
            <a:ln>
              <a:solidFill>
                <a:schemeClr val="accent6">
                  <a:lumMod val="40000"/>
                  <a:lumOff val="60000"/>
                </a:schemeClr>
              </a:solidFill>
            </a:ln>
          </c:spPr>
        </c:majorGridlines>
        <c:title>
          <c:tx>
            <c:rich>
              <a:bodyPr/>
              <a:lstStyle/>
              <a:p>
                <a:pPr lvl="0">
                  <a:defRPr b="1" i="0">
                    <a:solidFill>
                      <a:srgbClr val="000000"/>
                    </a:solidFill>
                    <a:latin typeface="+mn-lt"/>
                  </a:defRPr>
                </a:pPr>
                <a:r>
                  <a:rPr lang="en-US" b="1" i="0">
                    <a:solidFill>
                      <a:srgbClr val="000000"/>
                    </a:solidFill>
                    <a:latin typeface="+mn-lt"/>
                  </a:rPr>
                  <a:t>number of persons</a:t>
                </a:r>
              </a:p>
            </c:rich>
          </c:tx>
          <c:layout>
            <c:manualLayout>
              <c:xMode val="edge"/>
              <c:yMode val="edge"/>
              <c:x val="8.5798360256514345E-3"/>
              <c:y val="0.2818804530167674"/>
            </c:manualLayout>
          </c:layout>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1515009474"/>
        <c:crosses val="autoZero"/>
        <c:crossBetween val="between"/>
      </c:valAx>
      <c:spPr>
        <a:solidFill>
          <a:srgbClr val="F9FFF3"/>
        </a:solidFill>
        <a:ln>
          <a:solidFill>
            <a:schemeClr val="bg2">
              <a:lumMod val="85000"/>
            </a:schemeClr>
          </a:solidFill>
        </a:ln>
      </c:spPr>
    </c:plotArea>
    <c:legend>
      <c:legendPos val="r"/>
      <c:layout>
        <c:manualLayout>
          <c:xMode val="edge"/>
          <c:yMode val="edge"/>
          <c:x val="0.61923600400465406"/>
          <c:y val="0.21976385979275523"/>
          <c:w val="0.23664975512081612"/>
          <c:h val="7.750086285085922E-2"/>
        </c:manualLayout>
      </c:layout>
      <c:overlay val="0"/>
      <c:txPr>
        <a:bodyPr/>
        <a:lstStyle/>
        <a:p>
          <a:pPr lvl="0">
            <a:defRPr sz="1200" b="0"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57150</xdr:colOff>
      <xdr:row>18</xdr:row>
      <xdr:rowOff>152400</xdr:rowOff>
    </xdr:from>
    <xdr:ext cx="7391400" cy="3114675"/>
    <xdr:graphicFrame macro="">
      <xdr:nvGraphicFramePr>
        <xdr:cNvPr id="335629217" name="Chart 5">
          <a:extLst>
            <a:ext uri="{FF2B5EF4-FFF2-40B4-BE49-F238E27FC236}">
              <a16:creationId xmlns:a16="http://schemas.microsoft.com/office/drawing/2014/main" id="{00000000-0008-0000-0200-0000A14B0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O37"/>
  <sheetViews>
    <sheetView tabSelected="1" view="pageBreakPreview" zoomScale="112" zoomScaleNormal="100" zoomScaleSheetLayoutView="112" workbookViewId="0">
      <selection activeCell="AE44" sqref="AE44"/>
    </sheetView>
  </sheetViews>
  <sheetFormatPr defaultColWidth="14.42578125" defaultRowHeight="15" customHeight="1" x14ac:dyDescent="0.25"/>
  <cols>
    <col min="1" max="1" width="21.28515625" style="44" customWidth="1"/>
    <col min="2" max="9" width="9.7109375" style="44" customWidth="1"/>
    <col min="10" max="10" width="11.7109375" style="44" customWidth="1"/>
    <col min="11" max="12" width="9.7109375" style="44" customWidth="1"/>
    <col min="13" max="13" width="11.7109375" style="44" customWidth="1"/>
    <col min="14" max="21" width="8.85546875" style="44" customWidth="1"/>
    <col min="22" max="22" width="13.140625" style="44" customWidth="1"/>
    <col min="23" max="23" width="21.140625" style="44" customWidth="1"/>
    <col min="24" max="24" width="1.140625" style="44" customWidth="1"/>
    <col min="25" max="25" width="1.7109375" style="44" customWidth="1"/>
    <col min="26" max="26" width="1.85546875" style="44" customWidth="1"/>
    <col min="27" max="30" width="8" style="44" customWidth="1"/>
    <col min="31" max="31" width="44.42578125" style="44" customWidth="1"/>
    <col min="32" max="34" width="15.140625" style="44" customWidth="1"/>
    <col min="35" max="16384" width="14.42578125" style="44"/>
  </cols>
  <sheetData>
    <row r="1" spans="1:34" x14ac:dyDescent="0.25">
      <c r="A1" s="1"/>
      <c r="B1" s="1"/>
      <c r="C1" s="1"/>
      <c r="D1" s="1"/>
      <c r="E1" s="1"/>
      <c r="F1" s="1"/>
      <c r="G1" s="1"/>
      <c r="H1" s="1"/>
      <c r="I1" s="1"/>
      <c r="J1" s="1"/>
      <c r="K1" s="1"/>
      <c r="L1" s="1"/>
      <c r="M1" s="1"/>
      <c r="N1" s="1"/>
      <c r="O1" s="1"/>
      <c r="P1" s="1"/>
      <c r="Q1" s="45"/>
      <c r="R1" s="1"/>
      <c r="S1" s="1"/>
      <c r="T1" s="1"/>
      <c r="U1" s="45"/>
      <c r="V1" s="1"/>
      <c r="W1" s="1"/>
      <c r="X1" s="1"/>
      <c r="Y1" s="1"/>
      <c r="Z1" s="1"/>
      <c r="AA1" s="1"/>
      <c r="AB1" s="5"/>
      <c r="AC1" s="5"/>
      <c r="AD1" s="5"/>
      <c r="AE1" s="1"/>
      <c r="AF1" s="1"/>
      <c r="AG1" s="1"/>
      <c r="AH1" s="1"/>
    </row>
    <row r="2" spans="1:34" ht="21.75" customHeight="1" x14ac:dyDescent="0.25">
      <c r="A2" s="75" t="s">
        <v>32</v>
      </c>
      <c r="B2" s="69"/>
      <c r="C2" s="69"/>
      <c r="D2" s="69"/>
      <c r="E2" s="69"/>
      <c r="F2" s="69"/>
      <c r="G2" s="69"/>
      <c r="H2" s="69"/>
      <c r="I2" s="69"/>
      <c r="J2" s="69"/>
      <c r="K2" s="70"/>
      <c r="L2" s="70"/>
      <c r="M2" s="70"/>
      <c r="N2" s="69"/>
      <c r="O2" s="69"/>
      <c r="P2" s="69"/>
      <c r="Q2" s="70"/>
      <c r="R2" s="69"/>
      <c r="S2" s="69"/>
      <c r="T2" s="69"/>
      <c r="U2" s="70"/>
      <c r="V2" s="69"/>
      <c r="W2" s="71"/>
      <c r="X2" s="1"/>
      <c r="Y2" s="1"/>
      <c r="Z2" s="1"/>
      <c r="AA2" s="1"/>
      <c r="AB2" s="1"/>
      <c r="AC2" s="1"/>
      <c r="AD2" s="1"/>
      <c r="AE2" s="1"/>
      <c r="AF2" s="1"/>
      <c r="AG2" s="1"/>
      <c r="AH2" s="1"/>
    </row>
    <row r="3" spans="1:34" ht="15.75" customHeight="1" x14ac:dyDescent="0.25">
      <c r="A3" s="76" t="s">
        <v>31</v>
      </c>
      <c r="B3" s="69"/>
      <c r="C3" s="69"/>
      <c r="D3" s="69"/>
      <c r="E3" s="69"/>
      <c r="F3" s="69"/>
      <c r="G3" s="69"/>
      <c r="H3" s="69"/>
      <c r="I3" s="69"/>
      <c r="J3" s="69"/>
      <c r="K3" s="70"/>
      <c r="L3" s="70"/>
      <c r="M3" s="70"/>
      <c r="N3" s="69"/>
      <c r="O3" s="69"/>
      <c r="P3" s="69"/>
      <c r="Q3" s="70"/>
      <c r="R3" s="69"/>
      <c r="S3" s="69"/>
      <c r="T3" s="69"/>
      <c r="U3" s="70"/>
      <c r="V3" s="69"/>
      <c r="W3" s="71"/>
      <c r="X3" s="1"/>
      <c r="Y3" s="1"/>
      <c r="Z3" s="1"/>
      <c r="AA3" s="1"/>
      <c r="AB3" s="1"/>
      <c r="AC3" s="1"/>
      <c r="AD3" s="1"/>
      <c r="AE3" s="1"/>
      <c r="AF3" s="1"/>
      <c r="AG3" s="1"/>
      <c r="AH3" s="1"/>
    </row>
    <row r="4" spans="1:34" ht="5.25" customHeight="1" x14ac:dyDescent="0.45">
      <c r="A4" s="1"/>
      <c r="B4" s="1"/>
      <c r="C4" s="13"/>
      <c r="D4" s="18"/>
      <c r="E4" s="18"/>
      <c r="F4" s="18"/>
      <c r="G4" s="18"/>
      <c r="H4" s="18"/>
      <c r="I4" s="18"/>
      <c r="J4" s="18"/>
      <c r="K4" s="18"/>
      <c r="L4" s="18"/>
      <c r="M4" s="18"/>
      <c r="N4" s="1"/>
      <c r="O4" s="1"/>
      <c r="P4" s="1"/>
      <c r="Q4" s="45"/>
      <c r="R4" s="1"/>
      <c r="S4" s="1"/>
      <c r="T4" s="1"/>
      <c r="U4" s="45"/>
      <c r="V4" s="1"/>
      <c r="W4" s="1"/>
      <c r="X4" s="1"/>
      <c r="Y4" s="1"/>
      <c r="Z4" s="1"/>
      <c r="AA4" s="1"/>
      <c r="AB4" s="1"/>
      <c r="AC4" s="1"/>
      <c r="AD4" s="1"/>
      <c r="AE4" s="1"/>
      <c r="AF4" s="1"/>
      <c r="AG4" s="1"/>
      <c r="AH4" s="1"/>
    </row>
    <row r="5" spans="1:34" ht="17.25" customHeight="1" x14ac:dyDescent="0.25">
      <c r="A5" s="91" t="s">
        <v>0</v>
      </c>
      <c r="B5" s="87" t="s">
        <v>20</v>
      </c>
      <c r="C5" s="87"/>
      <c r="D5" s="87"/>
      <c r="E5" s="87"/>
      <c r="F5" s="87"/>
      <c r="G5" s="87"/>
      <c r="H5" s="87"/>
      <c r="I5" s="87"/>
      <c r="J5" s="87"/>
      <c r="K5" s="87"/>
      <c r="L5" s="87"/>
      <c r="M5" s="88"/>
      <c r="N5" s="82" t="s">
        <v>1</v>
      </c>
      <c r="O5" s="82"/>
      <c r="P5" s="82"/>
      <c r="Q5" s="83"/>
      <c r="R5" s="77" t="s">
        <v>2</v>
      </c>
      <c r="S5" s="82"/>
      <c r="T5" s="82"/>
      <c r="U5" s="83"/>
      <c r="V5" s="77" t="s">
        <v>29</v>
      </c>
      <c r="W5" s="74" t="s">
        <v>3</v>
      </c>
      <c r="X5" s="1"/>
      <c r="Y5" s="1"/>
      <c r="Z5" s="1"/>
      <c r="AA5" s="1"/>
      <c r="AB5" s="1"/>
      <c r="AC5" s="1"/>
      <c r="AD5" s="1"/>
      <c r="AE5" s="1"/>
      <c r="AF5" s="1"/>
      <c r="AG5" s="1"/>
      <c r="AH5" s="1"/>
    </row>
    <row r="6" spans="1:34" ht="12.75" customHeight="1" x14ac:dyDescent="0.25">
      <c r="A6" s="70"/>
      <c r="B6" s="96">
        <v>2022</v>
      </c>
      <c r="C6" s="80"/>
      <c r="D6" s="81"/>
      <c r="E6" s="79">
        <v>2023</v>
      </c>
      <c r="F6" s="80"/>
      <c r="G6" s="81"/>
      <c r="H6" s="79">
        <v>2024</v>
      </c>
      <c r="I6" s="80"/>
      <c r="J6" s="81"/>
      <c r="K6" s="79">
        <v>2025</v>
      </c>
      <c r="L6" s="80"/>
      <c r="M6" s="81"/>
      <c r="N6" s="89"/>
      <c r="O6" s="89"/>
      <c r="P6" s="89"/>
      <c r="Q6" s="90"/>
      <c r="R6" s="89"/>
      <c r="S6" s="89"/>
      <c r="T6" s="89"/>
      <c r="U6" s="90"/>
      <c r="V6" s="78"/>
      <c r="W6" s="72"/>
      <c r="X6" s="1"/>
      <c r="Y6" s="1"/>
      <c r="Z6" s="1"/>
      <c r="AA6" s="1"/>
      <c r="AB6" s="1"/>
      <c r="AC6" s="1"/>
      <c r="AD6" s="1"/>
      <c r="AE6" s="1"/>
      <c r="AF6" s="1"/>
      <c r="AG6" s="1"/>
      <c r="AH6" s="1"/>
    </row>
    <row r="7" spans="1:34" ht="16.5" customHeight="1" x14ac:dyDescent="0.25">
      <c r="A7" s="70"/>
      <c r="B7" s="49" t="s">
        <v>7</v>
      </c>
      <c r="C7" s="49" t="s">
        <v>8</v>
      </c>
      <c r="D7" s="3" t="s">
        <v>9</v>
      </c>
      <c r="E7" s="19" t="s">
        <v>7</v>
      </c>
      <c r="F7" s="49" t="s">
        <v>8</v>
      </c>
      <c r="G7" s="3" t="s">
        <v>9</v>
      </c>
      <c r="H7" s="19" t="s">
        <v>7</v>
      </c>
      <c r="I7" s="49" t="s">
        <v>8</v>
      </c>
      <c r="J7" s="3" t="s">
        <v>9</v>
      </c>
      <c r="K7" s="19" t="s">
        <v>7</v>
      </c>
      <c r="L7" s="49" t="s">
        <v>8</v>
      </c>
      <c r="M7" s="3" t="s">
        <v>9</v>
      </c>
      <c r="N7" s="67" t="s">
        <v>4</v>
      </c>
      <c r="O7" s="67"/>
      <c r="P7" s="67"/>
      <c r="Q7" s="68"/>
      <c r="R7" s="84" t="s">
        <v>5</v>
      </c>
      <c r="S7" s="85"/>
      <c r="T7" s="85"/>
      <c r="U7" s="86"/>
      <c r="V7" s="20" t="s">
        <v>6</v>
      </c>
      <c r="W7" s="72"/>
      <c r="X7" s="1"/>
      <c r="Y7" s="1"/>
      <c r="Z7" s="1"/>
      <c r="AA7" s="1"/>
      <c r="AB7" s="1"/>
      <c r="AC7" s="1"/>
      <c r="AD7" s="1"/>
      <c r="AE7" s="1"/>
      <c r="AF7" s="1"/>
      <c r="AG7" s="1"/>
      <c r="AH7" s="1"/>
    </row>
    <row r="8" spans="1:34" ht="13.5" customHeight="1" x14ac:dyDescent="0.25">
      <c r="A8" s="92"/>
      <c r="B8" s="97" t="s">
        <v>10</v>
      </c>
      <c r="C8" s="97" t="s">
        <v>11</v>
      </c>
      <c r="D8" s="22" t="s">
        <v>12</v>
      </c>
      <c r="E8" s="21" t="s">
        <v>10</v>
      </c>
      <c r="F8" s="97" t="s">
        <v>11</v>
      </c>
      <c r="G8" s="22" t="s">
        <v>12</v>
      </c>
      <c r="H8" s="21" t="s">
        <v>10</v>
      </c>
      <c r="I8" s="97" t="s">
        <v>11</v>
      </c>
      <c r="J8" s="22" t="s">
        <v>12</v>
      </c>
      <c r="K8" s="21" t="s">
        <v>10</v>
      </c>
      <c r="L8" s="97" t="s">
        <v>11</v>
      </c>
      <c r="M8" s="22" t="s">
        <v>12</v>
      </c>
      <c r="N8" s="23">
        <v>2022</v>
      </c>
      <c r="O8" s="23">
        <v>2023</v>
      </c>
      <c r="P8" s="53">
        <v>2024</v>
      </c>
      <c r="Q8" s="58">
        <v>2025</v>
      </c>
      <c r="R8" s="24">
        <v>2022</v>
      </c>
      <c r="S8" s="24">
        <v>2023</v>
      </c>
      <c r="T8" s="24">
        <v>2024</v>
      </c>
      <c r="U8" s="24">
        <v>2025</v>
      </c>
      <c r="V8" s="25" t="s">
        <v>30</v>
      </c>
      <c r="W8" s="73"/>
      <c r="X8" s="1"/>
      <c r="Y8" s="1"/>
      <c r="Z8" s="1"/>
      <c r="AA8" s="1"/>
      <c r="AB8" s="1"/>
      <c r="AC8" s="1"/>
      <c r="AD8" s="1"/>
      <c r="AE8" s="1"/>
      <c r="AF8" s="1"/>
      <c r="AG8" s="1"/>
      <c r="AH8" s="1"/>
    </row>
    <row r="9" spans="1:34" ht="21" customHeight="1" x14ac:dyDescent="0.25">
      <c r="A9" s="46" t="s">
        <v>10</v>
      </c>
      <c r="B9" s="98">
        <f>C9+D9</f>
        <v>29448</v>
      </c>
      <c r="C9" s="98">
        <f t="shared" ref="C9:D9" si="0">SUM(C10:C13)</f>
        <v>16534</v>
      </c>
      <c r="D9" s="98">
        <f t="shared" si="0"/>
        <v>12914</v>
      </c>
      <c r="E9" s="26">
        <f>F9+G9</f>
        <v>31133</v>
      </c>
      <c r="F9" s="98">
        <f t="shared" ref="F9:G9" si="1">SUM(F10:F13)</f>
        <v>17401</v>
      </c>
      <c r="G9" s="98">
        <f t="shared" si="1"/>
        <v>13732</v>
      </c>
      <c r="H9" s="26">
        <f>I9+J9</f>
        <v>33248</v>
      </c>
      <c r="I9" s="98">
        <f t="shared" ref="I9:J9" si="2">SUM(I10:I13)</f>
        <v>18492</v>
      </c>
      <c r="J9" s="98">
        <f t="shared" si="2"/>
        <v>14756</v>
      </c>
      <c r="K9" s="26">
        <f>L9+M9</f>
        <v>35423</v>
      </c>
      <c r="L9" s="98">
        <f t="shared" ref="L9:M9" si="3">SUM(L10:L13)</f>
        <v>19615</v>
      </c>
      <c r="M9" s="99">
        <f t="shared" si="3"/>
        <v>15808</v>
      </c>
      <c r="N9" s="54">
        <f t="shared" ref="N9:N12" si="4">B9/$B$9*100</f>
        <v>100</v>
      </c>
      <c r="O9" s="27">
        <f t="shared" ref="O9:O12" si="5">E9/$E$9*100</f>
        <v>100</v>
      </c>
      <c r="P9" s="54">
        <f>H9/$H$9*100</f>
        <v>100</v>
      </c>
      <c r="Q9" s="57">
        <f>K9/$K$9*100</f>
        <v>100</v>
      </c>
      <c r="R9" s="4">
        <f t="shared" ref="R9:R16" si="6">D9/B9*100</f>
        <v>43.853572398804673</v>
      </c>
      <c r="S9" s="4">
        <f t="shared" ref="S9:S12" si="7">G9/E9*100</f>
        <v>44.107538624610541</v>
      </c>
      <c r="T9" s="6">
        <f t="shared" ref="T9:T12" si="8">J9/H9*100</f>
        <v>44.381616939364775</v>
      </c>
      <c r="U9" s="6">
        <f>M9/K9*100</f>
        <v>44.626372695706181</v>
      </c>
      <c r="V9" s="28">
        <f>((K9-H9)/H9)*100</f>
        <v>6.5417468719923004</v>
      </c>
      <c r="W9" s="15" t="s">
        <v>7</v>
      </c>
      <c r="X9" s="2"/>
      <c r="Y9" s="2"/>
      <c r="Z9" s="2"/>
      <c r="AA9" s="2"/>
      <c r="AB9" s="2"/>
      <c r="AC9" s="2"/>
      <c r="AD9" s="2"/>
      <c r="AE9" s="1"/>
      <c r="AF9" s="1"/>
      <c r="AG9" s="1"/>
      <c r="AH9" s="1"/>
    </row>
    <row r="10" spans="1:34" ht="21" customHeight="1" x14ac:dyDescent="0.25">
      <c r="A10" s="45" t="s">
        <v>13</v>
      </c>
      <c r="B10" s="100">
        <f t="shared" ref="B10:B12" si="9">SUM(C10:D10)</f>
        <v>20593</v>
      </c>
      <c r="C10" s="100">
        <v>10272</v>
      </c>
      <c r="D10" s="100">
        <v>10321</v>
      </c>
      <c r="E10" s="29">
        <f t="shared" ref="E10:E12" si="10">SUM(F10:G10)</f>
        <v>22023</v>
      </c>
      <c r="F10" s="100">
        <v>10983</v>
      </c>
      <c r="G10" s="100">
        <v>11040</v>
      </c>
      <c r="H10" s="29">
        <f t="shared" ref="H10:H12" si="11">SUM(I10:J10)</f>
        <v>23811</v>
      </c>
      <c r="I10" s="50">
        <v>11886</v>
      </c>
      <c r="J10" s="50">
        <v>11925</v>
      </c>
      <c r="K10" s="29">
        <f t="shared" ref="K10:K12" si="12">SUM(L10:M10)</f>
        <v>25650</v>
      </c>
      <c r="L10" s="101">
        <v>12788</v>
      </c>
      <c r="M10" s="102">
        <v>12862</v>
      </c>
      <c r="N10" s="94">
        <f t="shared" si="4"/>
        <v>69.930046183102405</v>
      </c>
      <c r="O10" s="30">
        <f t="shared" si="5"/>
        <v>70.738444737095691</v>
      </c>
      <c r="P10" s="55">
        <f t="shared" ref="P10:P12" si="13">H10/$H$9*100</f>
        <v>71.616337824831561</v>
      </c>
      <c r="Q10" s="60">
        <f t="shared" ref="Q10:Q12" si="14">K10/$K$9*100</f>
        <v>72.410580696157865</v>
      </c>
      <c r="R10" s="6">
        <f t="shared" si="6"/>
        <v>50.118972466372071</v>
      </c>
      <c r="S10" s="6">
        <f t="shared" si="7"/>
        <v>50.129410162103262</v>
      </c>
      <c r="T10" s="6">
        <f t="shared" si="8"/>
        <v>50.081894922514806</v>
      </c>
      <c r="U10" s="6">
        <f t="shared" ref="U10:U12" si="15">M10/K10*100</f>
        <v>50.144249512670569</v>
      </c>
      <c r="V10" s="61">
        <f t="shared" ref="V10:V12" si="16">((K10-H10)/H10)*100</f>
        <v>7.7233211540884454</v>
      </c>
      <c r="W10" s="31" t="s">
        <v>14</v>
      </c>
      <c r="X10" s="1"/>
      <c r="Y10" s="1"/>
      <c r="Z10" s="1"/>
      <c r="AA10" s="1"/>
      <c r="AB10" s="1"/>
      <c r="AC10" s="1"/>
      <c r="AD10" s="1"/>
      <c r="AE10" s="1"/>
      <c r="AF10" s="1"/>
      <c r="AG10" s="1"/>
      <c r="AH10" s="1"/>
    </row>
    <row r="11" spans="1:34" ht="21" customHeight="1" x14ac:dyDescent="0.25">
      <c r="A11" s="45" t="s">
        <v>15</v>
      </c>
      <c r="B11" s="100">
        <f t="shared" si="9"/>
        <v>1666</v>
      </c>
      <c r="C11" s="100">
        <v>1309</v>
      </c>
      <c r="D11" s="100">
        <v>357</v>
      </c>
      <c r="E11" s="29">
        <f t="shared" si="10"/>
        <v>1869</v>
      </c>
      <c r="F11" s="100">
        <v>1458</v>
      </c>
      <c r="G11" s="100">
        <v>411</v>
      </c>
      <c r="H11" s="29">
        <f t="shared" si="11"/>
        <v>2166</v>
      </c>
      <c r="I11" s="50">
        <v>1667</v>
      </c>
      <c r="J11" s="50">
        <v>499</v>
      </c>
      <c r="K11" s="29">
        <f t="shared" si="12"/>
        <v>2437</v>
      </c>
      <c r="L11" s="101">
        <v>1880</v>
      </c>
      <c r="M11" s="102">
        <v>557</v>
      </c>
      <c r="N11" s="94">
        <f t="shared" si="4"/>
        <v>5.6574300461831024</v>
      </c>
      <c r="O11" s="30">
        <f t="shared" si="5"/>
        <v>6.0032762663411816</v>
      </c>
      <c r="P11" s="55">
        <f t="shared" si="13"/>
        <v>6.5146775745909533</v>
      </c>
      <c r="Q11" s="60">
        <f t="shared" si="14"/>
        <v>6.8797109222821327</v>
      </c>
      <c r="R11" s="6">
        <f t="shared" si="6"/>
        <v>21.428571428571427</v>
      </c>
      <c r="S11" s="6">
        <f t="shared" si="7"/>
        <v>21.990369181380416</v>
      </c>
      <c r="T11" s="6">
        <f t="shared" si="8"/>
        <v>23.037857802400737</v>
      </c>
      <c r="U11" s="6">
        <f t="shared" si="15"/>
        <v>22.855970455478047</v>
      </c>
      <c r="V11" s="61">
        <f t="shared" si="16"/>
        <v>12.511542012927054</v>
      </c>
      <c r="W11" s="31" t="s">
        <v>16</v>
      </c>
      <c r="X11" s="1"/>
      <c r="Y11" s="1"/>
      <c r="Z11" s="1"/>
      <c r="AA11" s="1"/>
      <c r="AB11" s="32"/>
      <c r="AC11" s="32"/>
      <c r="AD11" s="32"/>
      <c r="AE11" s="1"/>
      <c r="AF11" s="1"/>
      <c r="AG11" s="1"/>
      <c r="AH11" s="1"/>
    </row>
    <row r="12" spans="1:34" ht="21" customHeight="1" x14ac:dyDescent="0.25">
      <c r="A12" s="93" t="s">
        <v>17</v>
      </c>
      <c r="B12" s="103">
        <f t="shared" si="9"/>
        <v>7189</v>
      </c>
      <c r="C12" s="103">
        <v>4953</v>
      </c>
      <c r="D12" s="34">
        <v>2236</v>
      </c>
      <c r="E12" s="33">
        <f t="shared" si="10"/>
        <v>7241</v>
      </c>
      <c r="F12" s="103">
        <v>4960</v>
      </c>
      <c r="G12" s="34">
        <v>2281</v>
      </c>
      <c r="H12" s="33">
        <f t="shared" si="11"/>
        <v>7271</v>
      </c>
      <c r="I12" s="51">
        <v>4939</v>
      </c>
      <c r="J12" s="48">
        <v>2332</v>
      </c>
      <c r="K12" s="33">
        <f t="shared" si="12"/>
        <v>7336</v>
      </c>
      <c r="L12" s="62">
        <v>4947</v>
      </c>
      <c r="M12" s="63">
        <v>2389</v>
      </c>
      <c r="N12" s="95">
        <f t="shared" si="4"/>
        <v>24.412523770714483</v>
      </c>
      <c r="O12" s="35">
        <f t="shared" si="5"/>
        <v>23.258278996563135</v>
      </c>
      <c r="P12" s="56">
        <f t="shared" si="13"/>
        <v>21.86898460057748</v>
      </c>
      <c r="Q12" s="64">
        <f t="shared" si="14"/>
        <v>20.709708381560006</v>
      </c>
      <c r="R12" s="9">
        <f t="shared" si="6"/>
        <v>31.103074141048825</v>
      </c>
      <c r="S12" s="9">
        <f t="shared" si="7"/>
        <v>31.501173871012288</v>
      </c>
      <c r="T12" s="9">
        <f t="shared" si="8"/>
        <v>32.072617246596067</v>
      </c>
      <c r="U12" s="65">
        <f t="shared" si="15"/>
        <v>32.565430752453658</v>
      </c>
      <c r="V12" s="66">
        <f t="shared" si="16"/>
        <v>0.89396231605006182</v>
      </c>
      <c r="W12" s="36" t="s">
        <v>18</v>
      </c>
      <c r="X12" s="1"/>
      <c r="Y12" s="1"/>
      <c r="Z12" s="1"/>
      <c r="AA12" s="1"/>
      <c r="AB12" s="32"/>
      <c r="AC12" s="32"/>
      <c r="AD12" s="32"/>
      <c r="AE12" s="1"/>
      <c r="AF12" s="1"/>
      <c r="AG12" s="1"/>
      <c r="AH12" s="1"/>
    </row>
    <row r="13" spans="1:34" ht="21" hidden="1" customHeight="1" x14ac:dyDescent="0.25">
      <c r="A13" s="37" t="s">
        <v>21</v>
      </c>
      <c r="B13" s="38">
        <v>0</v>
      </c>
      <c r="C13" s="39">
        <v>0</v>
      </c>
      <c r="D13" s="39">
        <v>0</v>
      </c>
      <c r="E13" s="39"/>
      <c r="F13" s="39"/>
      <c r="G13" s="39"/>
      <c r="H13" s="39"/>
      <c r="I13" s="39"/>
      <c r="J13" s="39"/>
      <c r="K13" s="39"/>
      <c r="L13" s="39"/>
      <c r="M13" s="39"/>
      <c r="N13" s="40">
        <v>0</v>
      </c>
      <c r="O13" s="39"/>
      <c r="P13" s="39"/>
      <c r="Q13" s="52"/>
      <c r="R13" s="41" t="e">
        <f t="shared" si="6"/>
        <v>#DIV/0!</v>
      </c>
      <c r="S13" s="4"/>
      <c r="T13" s="4"/>
      <c r="U13" s="59"/>
      <c r="V13" s="39"/>
      <c r="W13" s="16" t="s">
        <v>22</v>
      </c>
      <c r="X13" s="1"/>
      <c r="Y13" s="1"/>
      <c r="Z13" s="1"/>
      <c r="AA13" s="1"/>
      <c r="AB13" s="1"/>
      <c r="AC13" s="1"/>
      <c r="AD13" s="1"/>
      <c r="AE13" s="1"/>
      <c r="AF13" s="1"/>
      <c r="AG13" s="1"/>
      <c r="AH13" s="1"/>
    </row>
    <row r="14" spans="1:34" ht="17.25" hidden="1" customHeight="1" x14ac:dyDescent="0.25">
      <c r="A14" s="42" t="s">
        <v>23</v>
      </c>
      <c r="B14" s="1"/>
      <c r="C14" s="1"/>
      <c r="D14" s="1"/>
      <c r="E14" s="1"/>
      <c r="F14" s="1"/>
      <c r="G14" s="1"/>
      <c r="H14" s="1"/>
      <c r="I14" s="1"/>
      <c r="J14" s="1"/>
      <c r="K14" s="1"/>
      <c r="L14" s="1"/>
      <c r="M14" s="1"/>
      <c r="N14" s="1"/>
      <c r="O14" s="1"/>
      <c r="P14" s="1"/>
      <c r="Q14" s="45"/>
      <c r="R14" s="41" t="e">
        <f t="shared" si="6"/>
        <v>#DIV/0!</v>
      </c>
      <c r="S14" s="4"/>
      <c r="T14" s="4"/>
      <c r="U14" s="59"/>
      <c r="V14" s="1"/>
      <c r="W14" s="1"/>
      <c r="X14" s="17"/>
      <c r="Y14" s="1"/>
      <c r="Z14" s="1"/>
      <c r="AA14" s="32"/>
      <c r="AB14" s="1"/>
      <c r="AC14" s="1"/>
      <c r="AD14" s="1"/>
      <c r="AE14" s="1"/>
      <c r="AF14" s="1"/>
      <c r="AG14" s="1"/>
      <c r="AH14" s="1"/>
    </row>
    <row r="15" spans="1:34" ht="17.25" hidden="1" customHeight="1" x14ac:dyDescent="0.25">
      <c r="A15" s="10" t="s">
        <v>24</v>
      </c>
      <c r="B15" s="1"/>
      <c r="C15" s="1"/>
      <c r="D15" s="1"/>
      <c r="E15" s="1"/>
      <c r="F15" s="1"/>
      <c r="G15" s="1"/>
      <c r="H15" s="1"/>
      <c r="I15" s="1"/>
      <c r="J15" s="1"/>
      <c r="K15" s="1"/>
      <c r="L15" s="1"/>
      <c r="M15" s="1"/>
      <c r="N15" s="1"/>
      <c r="O15" s="1"/>
      <c r="P15" s="1"/>
      <c r="Q15" s="45"/>
      <c r="R15" s="41" t="e">
        <f t="shared" si="6"/>
        <v>#DIV/0!</v>
      </c>
      <c r="S15" s="4"/>
      <c r="T15" s="4"/>
      <c r="U15" s="59"/>
      <c r="V15" s="1"/>
      <c r="W15" s="1"/>
      <c r="X15" s="17"/>
      <c r="Y15" s="1"/>
      <c r="Z15" s="1"/>
      <c r="AA15" s="32"/>
      <c r="AB15" s="1"/>
      <c r="AC15" s="1"/>
      <c r="AD15" s="1"/>
      <c r="AE15" s="1"/>
      <c r="AF15" s="1"/>
      <c r="AG15" s="1"/>
      <c r="AH15" s="1"/>
    </row>
    <row r="16" spans="1:34" ht="17.25" hidden="1" customHeight="1" x14ac:dyDescent="0.25">
      <c r="A16" s="10" t="s">
        <v>25</v>
      </c>
      <c r="B16" s="1"/>
      <c r="C16" s="1"/>
      <c r="D16" s="1"/>
      <c r="E16" s="1"/>
      <c r="F16" s="1"/>
      <c r="G16" s="1"/>
      <c r="H16" s="1"/>
      <c r="I16" s="1"/>
      <c r="J16" s="1"/>
      <c r="K16" s="1"/>
      <c r="L16" s="1"/>
      <c r="M16" s="1"/>
      <c r="N16" s="1"/>
      <c r="O16" s="1"/>
      <c r="P16" s="1"/>
      <c r="Q16" s="45"/>
      <c r="R16" s="41" t="e">
        <f t="shared" si="6"/>
        <v>#DIV/0!</v>
      </c>
      <c r="S16" s="4"/>
      <c r="T16" s="4"/>
      <c r="U16" s="59"/>
      <c r="V16" s="1"/>
      <c r="W16" s="1"/>
      <c r="X16" s="17"/>
      <c r="Y16" s="1"/>
      <c r="Z16" s="1"/>
      <c r="AA16" s="1"/>
      <c r="AB16" s="1"/>
      <c r="AC16" s="1"/>
      <c r="AD16" s="1"/>
      <c r="AE16" s="1"/>
      <c r="AF16" s="1"/>
      <c r="AG16" s="1"/>
      <c r="AH16" s="1"/>
    </row>
    <row r="17" spans="1:34" ht="19.5" customHeight="1" x14ac:dyDescent="0.5">
      <c r="A17" s="10" t="s">
        <v>26</v>
      </c>
      <c r="B17" s="1"/>
      <c r="C17" s="1"/>
      <c r="D17" s="1"/>
      <c r="E17" s="1"/>
      <c r="F17" s="1"/>
      <c r="G17" s="1"/>
      <c r="H17" s="1"/>
      <c r="I17" s="1"/>
      <c r="J17" s="1"/>
      <c r="K17" s="1"/>
      <c r="L17" s="1"/>
      <c r="M17" s="1"/>
      <c r="N17" s="1"/>
      <c r="O17" s="1"/>
      <c r="P17" s="1"/>
      <c r="Q17" s="45"/>
      <c r="R17" s="1"/>
      <c r="S17" s="1"/>
      <c r="T17" s="1"/>
      <c r="U17" s="45"/>
      <c r="V17" s="1"/>
      <c r="W17" s="43" t="s">
        <v>19</v>
      </c>
      <c r="X17" s="1"/>
      <c r="Y17" s="1"/>
      <c r="Z17" s="1"/>
      <c r="AA17" s="1"/>
      <c r="AB17" s="1"/>
      <c r="AC17" s="1"/>
      <c r="AD17" s="1"/>
      <c r="AE17" s="1"/>
      <c r="AF17" s="1"/>
      <c r="AG17" s="1"/>
      <c r="AH17" s="1"/>
    </row>
    <row r="18" spans="1:34" ht="18" hidden="1" customHeight="1" x14ac:dyDescent="0.55000000000000004">
      <c r="A18" s="7"/>
      <c r="B18" s="7"/>
      <c r="C18" s="7"/>
      <c r="D18" s="7"/>
      <c r="E18" s="7"/>
      <c r="F18" s="7"/>
      <c r="G18" s="7"/>
      <c r="H18" s="7"/>
      <c r="I18" s="7"/>
      <c r="J18" s="7"/>
      <c r="K18" s="7"/>
      <c r="L18" s="7"/>
      <c r="M18" s="7"/>
      <c r="N18" s="7"/>
      <c r="O18" s="7"/>
      <c r="P18" s="7"/>
      <c r="Q18" s="47"/>
      <c r="R18" s="7"/>
      <c r="S18" s="7"/>
      <c r="T18" s="7"/>
      <c r="U18" s="47"/>
      <c r="V18" s="7"/>
      <c r="W18" s="7"/>
      <c r="X18" s="11" t="s">
        <v>27</v>
      </c>
      <c r="Y18" s="7"/>
      <c r="Z18" s="7"/>
      <c r="AA18" s="7"/>
      <c r="AB18" s="7"/>
      <c r="AC18" s="7"/>
      <c r="AD18" s="7"/>
      <c r="AE18" s="7"/>
      <c r="AF18" s="7"/>
      <c r="AG18" s="7"/>
      <c r="AH18" s="7"/>
    </row>
    <row r="19" spans="1:34" x14ac:dyDescent="0.25">
      <c r="A19" s="1"/>
      <c r="B19" s="1"/>
      <c r="C19" s="1"/>
      <c r="D19" s="1"/>
      <c r="E19" s="1"/>
      <c r="F19" s="1"/>
      <c r="G19" s="1"/>
      <c r="H19" s="1"/>
      <c r="I19" s="1"/>
      <c r="J19" s="1"/>
      <c r="K19" s="1"/>
      <c r="L19" s="1"/>
      <c r="M19" s="1"/>
      <c r="N19" s="1"/>
      <c r="O19" s="1"/>
      <c r="P19" s="1"/>
      <c r="Q19" s="45"/>
      <c r="R19" s="1"/>
      <c r="S19" s="1"/>
      <c r="T19" s="1"/>
      <c r="U19" s="45"/>
      <c r="V19" s="1"/>
      <c r="W19" s="1"/>
      <c r="X19" s="1"/>
      <c r="Y19" s="1"/>
      <c r="Z19" s="1"/>
      <c r="AA19" s="1"/>
      <c r="AB19" s="1"/>
      <c r="AC19" s="1"/>
      <c r="AD19" s="1"/>
      <c r="AE19" s="1"/>
      <c r="AF19" s="1"/>
      <c r="AG19" s="1"/>
      <c r="AH19" s="1"/>
    </row>
    <row r="20" spans="1:34" x14ac:dyDescent="0.25">
      <c r="A20" s="1"/>
      <c r="B20" s="1"/>
      <c r="C20" s="14"/>
      <c r="D20" s="14"/>
      <c r="E20" s="14"/>
      <c r="F20" s="14"/>
      <c r="G20" s="14"/>
      <c r="H20" s="14"/>
      <c r="I20" s="14"/>
      <c r="J20" s="14"/>
      <c r="K20" s="14"/>
      <c r="L20" s="14"/>
      <c r="M20" s="14"/>
      <c r="N20" s="1"/>
      <c r="O20" s="1"/>
      <c r="P20" s="1"/>
      <c r="Q20" s="45"/>
      <c r="R20" s="1"/>
      <c r="S20" s="1"/>
      <c r="T20" s="1"/>
      <c r="U20" s="45"/>
      <c r="V20" s="1"/>
      <c r="W20" s="1"/>
      <c r="X20" s="1"/>
      <c r="Y20" s="1"/>
      <c r="Z20" s="1"/>
      <c r="AA20" s="1"/>
      <c r="AB20" s="1"/>
      <c r="AC20" s="1"/>
      <c r="AD20" s="1"/>
      <c r="AE20" s="1"/>
      <c r="AF20" s="1"/>
      <c r="AG20" s="1"/>
      <c r="AH20" s="1"/>
    </row>
    <row r="21" spans="1:34" ht="15.75" customHeight="1" x14ac:dyDescent="0.25">
      <c r="A21" s="1"/>
      <c r="B21" s="1"/>
      <c r="C21" s="14"/>
      <c r="D21" s="14"/>
      <c r="E21" s="14"/>
      <c r="F21" s="14"/>
      <c r="G21" s="14"/>
      <c r="H21" s="14"/>
      <c r="I21" s="14"/>
      <c r="J21" s="14"/>
      <c r="K21" s="14"/>
      <c r="L21" s="14"/>
      <c r="M21" s="14"/>
      <c r="N21" s="1"/>
      <c r="O21" s="1"/>
      <c r="P21" s="1"/>
      <c r="Q21" s="45"/>
      <c r="R21" s="1"/>
      <c r="S21" s="1"/>
      <c r="T21" s="1"/>
      <c r="U21" s="45"/>
      <c r="V21" s="1"/>
      <c r="W21" s="1"/>
      <c r="X21" s="1"/>
      <c r="Y21" s="1"/>
      <c r="Z21" s="1"/>
      <c r="AA21" s="1"/>
      <c r="AB21" s="1"/>
      <c r="AC21" s="1"/>
      <c r="AD21" s="1"/>
      <c r="AE21" s="1"/>
      <c r="AF21" s="1"/>
      <c r="AG21" s="1"/>
      <c r="AH21" s="1"/>
    </row>
    <row r="22" spans="1:34" ht="15.75" customHeight="1" x14ac:dyDescent="0.25">
      <c r="A22" s="1"/>
      <c r="B22" s="1"/>
      <c r="C22" s="1"/>
      <c r="D22" s="1"/>
      <c r="E22" s="1"/>
      <c r="F22" s="1"/>
      <c r="G22" s="1"/>
      <c r="H22" s="1"/>
      <c r="I22" s="1"/>
      <c r="J22" s="1"/>
      <c r="K22" s="1"/>
      <c r="L22" s="1"/>
      <c r="M22" s="1"/>
      <c r="N22" s="1"/>
      <c r="O22" s="1"/>
      <c r="P22" s="1"/>
      <c r="Q22" s="45"/>
      <c r="R22" s="1"/>
      <c r="S22" s="1"/>
      <c r="T22" s="1"/>
      <c r="U22" s="45"/>
      <c r="V22" s="1"/>
      <c r="W22" s="1"/>
      <c r="X22" s="1"/>
      <c r="Y22" s="1"/>
      <c r="Z22" s="1"/>
      <c r="AA22" s="1"/>
      <c r="AB22" s="1"/>
      <c r="AC22" s="1"/>
      <c r="AD22" s="1"/>
      <c r="AE22" s="1"/>
      <c r="AF22" s="1"/>
      <c r="AG22" s="1"/>
      <c r="AH22" s="1"/>
    </row>
    <row r="23" spans="1:34" ht="15.75" customHeight="1" x14ac:dyDescent="0.25">
      <c r="A23" s="1"/>
      <c r="B23" s="1"/>
      <c r="C23" s="1"/>
      <c r="D23" s="1"/>
      <c r="E23" s="1"/>
      <c r="F23" s="1"/>
      <c r="G23" s="1"/>
      <c r="H23" s="1"/>
      <c r="I23" s="1"/>
      <c r="J23" s="1"/>
      <c r="K23" s="1"/>
      <c r="L23" s="1"/>
      <c r="M23" s="1"/>
      <c r="N23" s="1"/>
      <c r="O23" s="1"/>
      <c r="P23" s="1"/>
      <c r="Q23" s="45"/>
      <c r="R23" s="1"/>
      <c r="S23" s="1"/>
      <c r="T23" s="1"/>
      <c r="U23" s="45"/>
      <c r="V23" s="1"/>
      <c r="W23" s="1"/>
      <c r="X23" s="1"/>
      <c r="Y23" s="1"/>
      <c r="Z23" s="1"/>
      <c r="AA23" s="1"/>
      <c r="AB23" s="1"/>
      <c r="AC23" s="1"/>
      <c r="AD23" s="1"/>
      <c r="AE23" s="1"/>
      <c r="AF23" s="1"/>
      <c r="AG23" s="1" t="s">
        <v>28</v>
      </c>
      <c r="AH23" s="1"/>
    </row>
    <row r="24" spans="1:34" ht="15.75" customHeight="1" x14ac:dyDescent="0.25">
      <c r="A24" s="1"/>
      <c r="B24" s="1"/>
      <c r="C24" s="1"/>
      <c r="D24" s="1"/>
      <c r="E24" s="1"/>
      <c r="F24" s="1"/>
      <c r="G24" s="1"/>
      <c r="H24" s="1"/>
      <c r="I24" s="1"/>
      <c r="J24" s="1"/>
      <c r="K24" s="1"/>
      <c r="L24" s="1"/>
      <c r="M24" s="1"/>
      <c r="N24" s="1"/>
      <c r="O24" s="1"/>
      <c r="P24" s="1"/>
      <c r="Q24" s="45"/>
      <c r="R24" s="1"/>
      <c r="S24" s="1"/>
      <c r="T24" s="1"/>
      <c r="U24" s="45"/>
      <c r="V24" s="1"/>
      <c r="W24" s="1"/>
      <c r="X24" s="1"/>
      <c r="Y24" s="1"/>
      <c r="Z24" s="1"/>
      <c r="AA24" s="1"/>
      <c r="AB24" s="1"/>
      <c r="AC24" s="1"/>
      <c r="AD24" s="1"/>
      <c r="AE24" s="1"/>
      <c r="AF24" s="1"/>
      <c r="AG24" s="1"/>
      <c r="AH24" s="1"/>
    </row>
    <row r="25" spans="1:34" ht="15.75" customHeight="1" x14ac:dyDescent="0.25">
      <c r="A25" s="1"/>
      <c r="B25" s="1"/>
      <c r="C25" s="1"/>
      <c r="D25" s="1"/>
      <c r="E25" s="1"/>
      <c r="F25" s="1"/>
      <c r="G25" s="1"/>
      <c r="H25" s="1"/>
      <c r="I25" s="1"/>
      <c r="J25" s="1"/>
      <c r="K25" s="1"/>
      <c r="L25" s="1"/>
      <c r="M25" s="1"/>
      <c r="N25" s="1"/>
      <c r="O25" s="1"/>
      <c r="P25" s="1"/>
      <c r="Q25" s="45"/>
      <c r="R25" s="1"/>
      <c r="S25" s="1"/>
      <c r="T25" s="1"/>
      <c r="U25" s="45"/>
      <c r="V25" s="1"/>
      <c r="W25" s="1"/>
      <c r="X25" s="1"/>
      <c r="Y25" s="1"/>
      <c r="Z25" s="1"/>
      <c r="AA25" s="1"/>
      <c r="AB25" s="1"/>
      <c r="AC25" s="1"/>
      <c r="AD25" s="1"/>
      <c r="AE25" s="1"/>
      <c r="AF25" s="1"/>
      <c r="AG25" s="14">
        <f>SUM(AG26:AG28)</f>
        <v>19615</v>
      </c>
      <c r="AH25" s="14">
        <f>SUM(AH26:AH28)</f>
        <v>15808</v>
      </c>
    </row>
    <row r="26" spans="1:34" ht="15.75" customHeight="1" x14ac:dyDescent="0.25">
      <c r="A26" s="1"/>
      <c r="B26" s="1"/>
      <c r="C26" s="1"/>
      <c r="D26" s="1"/>
      <c r="E26" s="1"/>
      <c r="F26" s="1"/>
      <c r="G26" s="1"/>
      <c r="H26" s="1"/>
      <c r="I26" s="1"/>
      <c r="J26" s="1"/>
      <c r="K26" s="1"/>
      <c r="L26" s="1"/>
      <c r="M26" s="1"/>
      <c r="N26" s="1"/>
      <c r="O26" s="1"/>
      <c r="P26" s="1"/>
      <c r="Q26" s="45"/>
      <c r="R26" s="1"/>
      <c r="S26" s="1"/>
      <c r="T26" s="1"/>
      <c r="U26" s="45"/>
      <c r="V26" s="1"/>
      <c r="W26" s="1"/>
      <c r="X26" s="1"/>
      <c r="Y26" s="1"/>
      <c r="Z26" s="1"/>
      <c r="AA26" s="1"/>
      <c r="AB26" s="1"/>
      <c r="AC26" s="1"/>
      <c r="AD26" s="1"/>
      <c r="AE26" s="1"/>
      <c r="AF26" s="1" t="s">
        <v>13</v>
      </c>
      <c r="AG26" s="5">
        <f>L10</f>
        <v>12788</v>
      </c>
      <c r="AH26" s="5">
        <f>M10</f>
        <v>12862</v>
      </c>
    </row>
    <row r="27" spans="1:34" ht="15.75" customHeight="1" x14ac:dyDescent="0.25">
      <c r="A27" s="1"/>
      <c r="B27" s="1"/>
      <c r="C27" s="1"/>
      <c r="D27" s="1"/>
      <c r="E27" s="1"/>
      <c r="F27" s="1"/>
      <c r="G27" s="1"/>
      <c r="H27" s="1"/>
      <c r="I27" s="1"/>
      <c r="J27" s="1"/>
      <c r="K27" s="1"/>
      <c r="L27" s="1"/>
      <c r="M27" s="1"/>
      <c r="N27" s="1"/>
      <c r="O27" s="1"/>
      <c r="P27" s="1"/>
      <c r="Q27" s="45"/>
      <c r="R27" s="1"/>
      <c r="S27" s="1"/>
      <c r="T27" s="1"/>
      <c r="U27" s="45"/>
      <c r="V27" s="1"/>
      <c r="W27" s="1"/>
      <c r="X27" s="1"/>
      <c r="Y27" s="1"/>
      <c r="Z27" s="1"/>
      <c r="AA27" s="1"/>
      <c r="AB27" s="1"/>
      <c r="AC27" s="1"/>
      <c r="AD27" s="1"/>
      <c r="AE27" s="1"/>
      <c r="AF27" s="1" t="s">
        <v>15</v>
      </c>
      <c r="AG27" s="5">
        <f t="shared" ref="AG27:AH28" si="17">L11</f>
        <v>1880</v>
      </c>
      <c r="AH27" s="5">
        <f t="shared" si="17"/>
        <v>557</v>
      </c>
    </row>
    <row r="28" spans="1:34" ht="15.75" customHeight="1" x14ac:dyDescent="0.25">
      <c r="A28" s="1"/>
      <c r="B28" s="1"/>
      <c r="C28" s="1"/>
      <c r="D28" s="1"/>
      <c r="E28" s="1"/>
      <c r="F28" s="1"/>
      <c r="G28" s="1"/>
      <c r="H28" s="1"/>
      <c r="I28" s="1"/>
      <c r="J28" s="1"/>
      <c r="K28" s="1"/>
      <c r="L28" s="1"/>
      <c r="M28" s="1"/>
      <c r="N28" s="1"/>
      <c r="O28" s="1"/>
      <c r="P28" s="1"/>
      <c r="Q28" s="45"/>
      <c r="R28" s="1"/>
      <c r="S28" s="1"/>
      <c r="T28" s="1"/>
      <c r="U28" s="45"/>
      <c r="V28" s="1"/>
      <c r="W28" s="1"/>
      <c r="X28" s="1"/>
      <c r="Y28" s="1"/>
      <c r="Z28" s="1"/>
      <c r="AA28" s="1"/>
      <c r="AB28" s="1"/>
      <c r="AC28" s="1"/>
      <c r="AD28" s="1"/>
      <c r="AE28" s="1"/>
      <c r="AF28" s="1" t="s">
        <v>17</v>
      </c>
      <c r="AG28" s="5">
        <f t="shared" si="17"/>
        <v>4947</v>
      </c>
      <c r="AH28" s="5">
        <f t="shared" si="17"/>
        <v>2389</v>
      </c>
    </row>
    <row r="29" spans="1:34" ht="15.75" customHeight="1" x14ac:dyDescent="0.25">
      <c r="A29" s="1"/>
      <c r="B29" s="1"/>
      <c r="C29" s="1"/>
      <c r="D29" s="1"/>
      <c r="E29" s="1"/>
      <c r="F29" s="1"/>
      <c r="G29" s="1"/>
      <c r="H29" s="1"/>
      <c r="I29" s="1"/>
      <c r="J29" s="1"/>
      <c r="K29" s="1"/>
      <c r="L29" s="1"/>
      <c r="M29" s="1"/>
      <c r="N29" s="1"/>
      <c r="O29" s="1"/>
      <c r="P29" s="1"/>
      <c r="Q29" s="45"/>
      <c r="R29" s="1"/>
      <c r="S29" s="1"/>
      <c r="T29" s="1"/>
      <c r="U29" s="45"/>
      <c r="V29" s="1"/>
      <c r="W29" s="1"/>
      <c r="X29" s="1"/>
      <c r="Y29" s="1"/>
      <c r="Z29" s="1"/>
      <c r="AA29" s="1"/>
      <c r="AB29" s="1"/>
      <c r="AC29" s="1"/>
      <c r="AD29" s="1"/>
      <c r="AE29" s="1"/>
      <c r="AF29" s="8"/>
      <c r="AG29" s="5"/>
      <c r="AH29" s="5"/>
    </row>
    <row r="30" spans="1:34" ht="15.75" customHeight="1" x14ac:dyDescent="0.25">
      <c r="A30" s="1"/>
      <c r="B30" s="1"/>
      <c r="C30" s="1"/>
      <c r="D30" s="1"/>
      <c r="E30" s="1"/>
      <c r="F30" s="1"/>
      <c r="G30" s="1"/>
      <c r="H30" s="1"/>
      <c r="I30" s="1"/>
      <c r="J30" s="1"/>
      <c r="K30" s="1"/>
      <c r="L30" s="1"/>
      <c r="M30" s="1"/>
      <c r="N30" s="1"/>
      <c r="O30" s="1"/>
      <c r="P30" s="1"/>
      <c r="Q30" s="45"/>
      <c r="R30" s="1"/>
      <c r="S30" s="1"/>
      <c r="T30" s="1"/>
      <c r="U30" s="45"/>
      <c r="V30" s="1"/>
      <c r="W30" s="1"/>
      <c r="X30" s="1"/>
      <c r="Y30" s="1"/>
      <c r="Z30" s="12"/>
      <c r="AA30" s="1"/>
      <c r="AB30" s="1"/>
      <c r="AC30" s="1"/>
      <c r="AD30" s="1"/>
      <c r="AE30" s="1"/>
      <c r="AF30" s="1"/>
      <c r="AG30" s="1"/>
      <c r="AH30" s="1"/>
    </row>
    <row r="31" spans="1:34" ht="15.75" customHeight="1" x14ac:dyDescent="0.25">
      <c r="A31" s="1"/>
      <c r="B31" s="1"/>
      <c r="C31" s="1"/>
      <c r="D31" s="1"/>
      <c r="E31" s="1"/>
      <c r="F31" s="1"/>
      <c r="G31" s="1"/>
      <c r="H31" s="1"/>
      <c r="I31" s="1"/>
      <c r="J31" s="1"/>
      <c r="K31" s="1"/>
      <c r="L31" s="1"/>
      <c r="M31" s="1"/>
      <c r="N31" s="1"/>
      <c r="O31" s="1"/>
      <c r="P31" s="1"/>
      <c r="Q31" s="45"/>
      <c r="R31" s="1"/>
      <c r="S31" s="1"/>
      <c r="T31" s="1"/>
      <c r="U31" s="45"/>
      <c r="V31" s="1"/>
      <c r="W31" s="1"/>
      <c r="X31" s="1"/>
      <c r="Y31" s="1"/>
      <c r="Z31" s="1"/>
      <c r="AA31" s="1"/>
      <c r="AB31" s="1"/>
      <c r="AC31" s="1"/>
      <c r="AD31" s="1"/>
      <c r="AE31" s="1"/>
      <c r="AF31" s="1"/>
      <c r="AG31" s="1"/>
      <c r="AH31" s="1"/>
    </row>
    <row r="32" spans="1:34" ht="15.75" customHeight="1" x14ac:dyDescent="0.25">
      <c r="A32" s="1"/>
      <c r="B32" s="1"/>
      <c r="C32" s="1"/>
      <c r="D32" s="1"/>
      <c r="E32" s="1"/>
      <c r="F32" s="1"/>
      <c r="G32" s="1"/>
      <c r="H32" s="1"/>
      <c r="I32" s="1"/>
      <c r="J32" s="1"/>
      <c r="K32" s="1"/>
      <c r="L32" s="1"/>
      <c r="M32" s="1"/>
      <c r="N32" s="1"/>
      <c r="O32" s="1"/>
      <c r="P32" s="1"/>
      <c r="Q32" s="45"/>
      <c r="R32" s="1"/>
      <c r="S32" s="1"/>
      <c r="T32" s="1"/>
      <c r="U32" s="45"/>
      <c r="V32" s="1"/>
      <c r="W32" s="1"/>
      <c r="X32" s="1"/>
      <c r="Y32" s="1"/>
      <c r="Z32" s="1"/>
      <c r="AA32" s="1"/>
      <c r="AB32" s="1"/>
      <c r="AC32" s="1"/>
      <c r="AD32" s="1"/>
      <c r="AE32" s="1"/>
      <c r="AF32" s="1"/>
      <c r="AG32" s="1"/>
      <c r="AH32" s="1"/>
    </row>
    <row r="33" spans="1:34" ht="15.75" customHeight="1" x14ac:dyDescent="0.25">
      <c r="A33" s="1"/>
      <c r="B33" s="1"/>
      <c r="C33" s="1"/>
      <c r="D33" s="1"/>
      <c r="E33" s="1"/>
      <c r="F33" s="1"/>
      <c r="G33" s="1"/>
      <c r="H33" s="1"/>
      <c r="I33" s="1"/>
      <c r="J33" s="1"/>
      <c r="K33" s="1"/>
      <c r="L33" s="1"/>
      <c r="M33" s="1"/>
      <c r="N33" s="1"/>
      <c r="O33" s="1"/>
      <c r="P33" s="1"/>
      <c r="Q33" s="45"/>
      <c r="R33" s="1"/>
      <c r="S33" s="1"/>
      <c r="T33" s="1"/>
      <c r="U33" s="45"/>
      <c r="V33" s="1"/>
      <c r="W33" s="1"/>
      <c r="X33" s="1"/>
      <c r="Y33" s="1"/>
      <c r="Z33" s="1"/>
      <c r="AA33" s="1"/>
      <c r="AB33" s="1"/>
      <c r="AC33" s="1"/>
      <c r="AD33" s="1"/>
      <c r="AE33" s="1"/>
      <c r="AF33" s="1"/>
      <c r="AG33" s="1"/>
      <c r="AH33" s="1"/>
    </row>
    <row r="34" spans="1:34" ht="15.75" customHeight="1" x14ac:dyDescent="0.25">
      <c r="A34" s="1"/>
      <c r="B34" s="1"/>
      <c r="C34" s="1"/>
      <c r="D34" s="1"/>
      <c r="E34" s="1"/>
      <c r="F34" s="1"/>
      <c r="G34" s="1"/>
      <c r="H34" s="1"/>
      <c r="I34" s="1"/>
      <c r="J34" s="1"/>
      <c r="K34" s="1"/>
      <c r="L34" s="1"/>
      <c r="M34" s="1"/>
      <c r="N34" s="1"/>
      <c r="O34" s="1"/>
      <c r="P34" s="1"/>
      <c r="Q34" s="45"/>
      <c r="R34" s="1"/>
      <c r="S34" s="1"/>
      <c r="T34" s="1"/>
      <c r="U34" s="45"/>
      <c r="V34" s="1"/>
      <c r="W34" s="1"/>
      <c r="X34" s="1"/>
      <c r="Y34" s="1"/>
      <c r="Z34" s="1"/>
      <c r="AA34" s="1"/>
      <c r="AB34" s="1"/>
      <c r="AC34" s="1"/>
      <c r="AD34" s="1"/>
      <c r="AE34" s="1"/>
      <c r="AF34" s="1"/>
      <c r="AG34" s="1"/>
      <c r="AH34" s="1"/>
    </row>
    <row r="35" spans="1:34" ht="15.75" customHeight="1" x14ac:dyDescent="0.25">
      <c r="A35" s="1"/>
      <c r="B35" s="1"/>
      <c r="C35" s="1"/>
      <c r="D35" s="1"/>
      <c r="E35" s="1"/>
      <c r="F35" s="1"/>
      <c r="G35" s="1"/>
      <c r="H35" s="1"/>
      <c r="I35" s="1"/>
      <c r="J35" s="1"/>
      <c r="K35" s="1"/>
      <c r="L35" s="1"/>
      <c r="M35" s="1"/>
      <c r="N35" s="1"/>
      <c r="O35" s="1"/>
      <c r="P35" s="1"/>
      <c r="Q35" s="45"/>
      <c r="R35" s="1"/>
      <c r="S35" s="1"/>
      <c r="T35" s="1"/>
      <c r="U35" s="45"/>
      <c r="V35" s="1"/>
      <c r="W35" s="1"/>
      <c r="X35" s="1"/>
      <c r="Y35" s="1"/>
      <c r="Z35" s="1"/>
      <c r="AA35" s="1"/>
      <c r="AB35" s="1"/>
      <c r="AC35" s="1"/>
      <c r="AD35" s="1"/>
      <c r="AE35" s="1"/>
      <c r="AF35" s="1"/>
      <c r="AG35" s="1"/>
      <c r="AH35" s="1"/>
    </row>
    <row r="36" spans="1:34" ht="15.75" customHeight="1" x14ac:dyDescent="0.25">
      <c r="A36" s="1"/>
      <c r="B36" s="1"/>
      <c r="C36" s="1"/>
      <c r="D36" s="1"/>
      <c r="E36" s="1"/>
      <c r="F36" s="1"/>
      <c r="G36" s="1"/>
      <c r="H36" s="1"/>
      <c r="I36" s="1"/>
      <c r="J36" s="1"/>
      <c r="K36" s="1"/>
      <c r="L36" s="1"/>
      <c r="M36" s="1"/>
      <c r="N36" s="1"/>
      <c r="O36" s="1"/>
      <c r="P36" s="1"/>
      <c r="Q36" s="45"/>
      <c r="R36" s="1"/>
      <c r="S36" s="1"/>
      <c r="T36" s="1"/>
      <c r="U36" s="45"/>
      <c r="V36" s="1"/>
      <c r="W36" s="1"/>
      <c r="X36" s="1"/>
      <c r="Y36" s="1"/>
      <c r="Z36" s="1"/>
      <c r="AA36" s="1"/>
      <c r="AB36" s="1"/>
      <c r="AC36" s="1"/>
      <c r="AD36" s="1"/>
      <c r="AE36" s="1"/>
      <c r="AF36" s="1"/>
      <c r="AG36" s="1"/>
      <c r="AH36" s="1"/>
    </row>
    <row r="37" spans="1:34" ht="15.75" customHeight="1" x14ac:dyDescent="0.25">
      <c r="A37" s="1"/>
      <c r="B37" s="1"/>
      <c r="C37" s="1"/>
      <c r="D37" s="1"/>
      <c r="E37" s="1"/>
      <c r="F37" s="1"/>
      <c r="G37" s="1"/>
      <c r="H37" s="1"/>
      <c r="I37" s="1"/>
      <c r="J37" s="1"/>
      <c r="K37" s="1"/>
      <c r="L37" s="1"/>
      <c r="M37" s="1"/>
      <c r="N37" s="1"/>
      <c r="O37" s="1"/>
      <c r="P37" s="1"/>
      <c r="Q37" s="45"/>
      <c r="R37" s="1"/>
      <c r="S37" s="1"/>
      <c r="T37" s="1"/>
      <c r="U37" s="45"/>
      <c r="V37" s="1"/>
      <c r="W37" s="1"/>
      <c r="X37" s="1"/>
      <c r="Y37" s="1"/>
      <c r="Z37" s="1"/>
      <c r="AA37" s="1"/>
      <c r="AB37" s="1"/>
      <c r="AC37" s="1"/>
      <c r="AD37" s="1"/>
      <c r="AE37" s="1"/>
      <c r="AF37" s="1"/>
      <c r="AG37" s="1"/>
      <c r="AH37" s="1"/>
    </row>
  </sheetData>
  <mergeCells count="14">
    <mergeCell ref="E6:G6"/>
    <mergeCell ref="H6:J6"/>
    <mergeCell ref="B5:M5"/>
    <mergeCell ref="N7:Q7"/>
    <mergeCell ref="N5:Q5"/>
    <mergeCell ref="R7:U7"/>
    <mergeCell ref="R5:U5"/>
    <mergeCell ref="A2:W2"/>
    <mergeCell ref="A3:W3"/>
    <mergeCell ref="V5:V6"/>
    <mergeCell ref="W5:W8"/>
    <mergeCell ref="B6:D6"/>
    <mergeCell ref="A5:A8"/>
    <mergeCell ref="K6:M6"/>
  </mergeCells>
  <pageMargins left="0.7" right="0.7" top="0.75" bottom="0.75" header="0" footer="0"/>
  <pageSetup paperSize="9" scale="5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18.3</vt:lpstr>
      <vt:lpstr>'18.3'!Print_Area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2026-05-06T06:52:41Z</cp:lastPrinted>
  <dcterms:created xsi:type="dcterms:W3CDTF">2025-05-19T08:29:05Z</dcterms:created>
  <dcterms:modified xsi:type="dcterms:W3CDTF">2026-05-06T06:52:48Z</dcterms:modified>
</cp:coreProperties>
</file>