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192.168.1.8\st4\Dissemination\Publications\Statistical Year Book\YEARBOOK 2026\Final\18.Pension &amp; Social Protection\"/>
    </mc:Choice>
  </mc:AlternateContent>
  <xr:revisionPtr revIDLastSave="0" documentId="13_ncr:1_{BBA46111-91D4-4A0F-BF76-E429BFBDE18C}" xr6:coauthVersionLast="47" xr6:coauthVersionMax="47" xr10:uidLastSave="{00000000-0000-0000-0000-000000000000}"/>
  <bookViews>
    <workbookView xWindow="-110" yWindow="-110" windowWidth="19420" windowHeight="10300" tabRatio="867" xr2:uid="{00000000-000D-0000-FFFF-FFFF00000000}"/>
  </bookViews>
  <sheets>
    <sheet name="18.23" sheetId="23" r:id="rId1"/>
  </sheets>
  <definedNames>
    <definedName name="_xlnm.Print_Area" localSheetId="0">'18.23'!$A$1:$J$57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23" l="1"/>
  <c r="F6" i="23" s="1"/>
  <c r="AB39" i="23" s="1"/>
  <c r="E8" i="23"/>
  <c r="E6" i="23" s="1"/>
  <c r="AA39" i="23" s="1"/>
  <c r="D8" i="23"/>
  <c r="D6" i="23" s="1"/>
  <c r="Z39" i="23" s="1"/>
  <c r="C8" i="23"/>
  <c r="C6" i="23" s="1"/>
  <c r="Y39" i="23" s="1"/>
  <c r="H6" i="23"/>
  <c r="AD39" i="23" s="1"/>
  <c r="G6" i="23"/>
  <c r="AC39" i="23" s="1"/>
  <c r="B6" i="23"/>
  <c r="I6" i="23" l="1"/>
  <c r="AE39" i="23" s="1"/>
</calcChain>
</file>

<file path=xl/sharedStrings.xml><?xml version="1.0" encoding="utf-8"?>
<sst xmlns="http://schemas.openxmlformats.org/spreadsheetml/2006/main" count="80" uniqueCount="75">
  <si>
    <t xml:space="preserve">Note: </t>
  </si>
  <si>
    <t>Pharmacies</t>
  </si>
  <si>
    <t>ތަން</t>
  </si>
  <si>
    <t>Locality</t>
  </si>
  <si>
    <t>Republic</t>
  </si>
  <si>
    <t xml:space="preserve">Male' </t>
  </si>
  <si>
    <t>މާލެ</t>
  </si>
  <si>
    <t>Atolls</t>
  </si>
  <si>
    <t>އަތޮޅުތައް</t>
  </si>
  <si>
    <t>North Thiladhunmathi (HA)</t>
  </si>
  <si>
    <t>South Thiladhunmathi (HDh)</t>
  </si>
  <si>
    <t>North Miladhunmadulu (Sh)</t>
  </si>
  <si>
    <t>South Miladhunmadulu (N)</t>
  </si>
  <si>
    <t>North Maalhosmadulu (R)</t>
  </si>
  <si>
    <t>South Maalhosmadulu (B)</t>
  </si>
  <si>
    <t>Faadhippolhu (Lh)</t>
  </si>
  <si>
    <t>N</t>
  </si>
  <si>
    <t>North Ari Atoll (AA)</t>
  </si>
  <si>
    <t>South Ari Atoll (ADh)</t>
  </si>
  <si>
    <t>Felidhu Atoll (V)</t>
  </si>
  <si>
    <t>Mulakatholhu (M)</t>
  </si>
  <si>
    <t>North Nilandhe Atoll (F)</t>
  </si>
  <si>
    <t>South Nilandhe Atoll (Dh)</t>
  </si>
  <si>
    <t>Kolhumadulu (Th)</t>
  </si>
  <si>
    <t>Hadhdhunmathi (L)</t>
  </si>
  <si>
    <t>North Huvadhu Atoll (GA)</t>
  </si>
  <si>
    <t>South Huvadhu Atoll (GDh)</t>
  </si>
  <si>
    <t>Fuvahmulah (Gn)</t>
  </si>
  <si>
    <t>Addu Atoll (S)</t>
  </si>
  <si>
    <t>L</t>
  </si>
  <si>
    <t>S</t>
  </si>
  <si>
    <t>Total Expenditure (MVR)</t>
  </si>
  <si>
    <t>Hospitals</t>
  </si>
  <si>
    <t>Opticals</t>
  </si>
  <si>
    <t>Clinics</t>
  </si>
  <si>
    <t>Emergency Evacuation - Air</t>
  </si>
  <si>
    <t>Emergency Evacuation - Sea</t>
  </si>
  <si>
    <t>ޖުމްލަ ޚަރަދު</t>
  </si>
  <si>
    <t>clwTiPcsoh</t>
  </si>
  <si>
    <t>IswmWf</t>
  </si>
  <si>
    <t>ctwmcdiKegulol</t>
  </si>
  <si>
    <t>ckiniluk</t>
  </si>
  <si>
    <t>ޓިކެޓް ޚަރަދު</t>
  </si>
  <si>
    <t>އިމަޖެންސީ އިވަކުއޭޝަން</t>
  </si>
  <si>
    <t>ރާއްޖެ</t>
  </si>
  <si>
    <r>
      <t xml:space="preserve">Airfare Tickets </t>
    </r>
    <r>
      <rPr>
        <b/>
        <vertAlign val="superscript"/>
        <sz val="9"/>
        <color theme="1"/>
        <rFont val="Calibri"/>
        <family val="2"/>
        <scheme val="minor"/>
      </rPr>
      <t>1_/</t>
    </r>
  </si>
  <si>
    <t>Emergency Evacuation - Air_/</t>
  </si>
  <si>
    <t>Emergency Evacuation - Sea2_/</t>
  </si>
  <si>
    <t xml:space="preserve">      ah </t>
  </si>
  <si>
    <t>dh</t>
  </si>
  <si>
    <t>n</t>
  </si>
  <si>
    <t>r</t>
  </si>
  <si>
    <t>b</t>
  </si>
  <si>
    <t>Male Atoll (K)</t>
  </si>
  <si>
    <t>k</t>
  </si>
  <si>
    <t>އa</t>
  </si>
  <si>
    <t>da</t>
  </si>
  <si>
    <t>v</t>
  </si>
  <si>
    <t>m</t>
  </si>
  <si>
    <t>f</t>
  </si>
  <si>
    <t>d</t>
  </si>
  <si>
    <t>t</t>
  </si>
  <si>
    <t>l</t>
  </si>
  <si>
    <t>ag</t>
  </si>
  <si>
    <t xml:space="preserve"> dg</t>
  </si>
  <si>
    <t>s</t>
  </si>
  <si>
    <t>Overseas hospitals</t>
  </si>
  <si>
    <t>ރާއްޖޭން ބޭރު ހޮސްޕިޓަލުތައް</t>
  </si>
  <si>
    <r>
      <rPr>
        <i/>
        <vertAlign val="superscript"/>
        <sz val="9"/>
        <color theme="1"/>
        <rFont val="Calibri"/>
        <family val="2"/>
        <scheme val="minor"/>
      </rPr>
      <t>1.</t>
    </r>
    <r>
      <rPr>
        <i/>
        <sz val="9"/>
        <color theme="1"/>
        <rFont val="Calibri"/>
        <family val="2"/>
        <scheme val="minor"/>
      </rPr>
      <t xml:space="preserve"> Type 'Airfare Tickets' is designated for the ticket expenditure on cases referred abroad</t>
    </r>
  </si>
  <si>
    <r>
      <rPr>
        <i/>
        <vertAlign val="superscript"/>
        <sz val="10"/>
        <color theme="1"/>
        <rFont val="Calibri"/>
        <family val="2"/>
        <scheme val="minor"/>
      </rPr>
      <t>2.</t>
    </r>
    <r>
      <rPr>
        <i/>
        <sz val="10"/>
        <color theme="1"/>
        <rFont val="Calibri"/>
        <family val="2"/>
        <scheme val="minor"/>
      </rPr>
      <t>Expenditure aggregated based on Service Provider's geograpical location as specified above</t>
    </r>
  </si>
  <si>
    <t>Source:  Aasandha Pvt Ltd</t>
  </si>
  <si>
    <t xml:space="preserve">Airfare Tickets </t>
  </si>
  <si>
    <t>Table 18.23 :  EXPENDITURE ON AASANDHA SERVICES BY TYPE OF INSTITUTION AND ATOLL ,  2025</t>
  </si>
  <si>
    <t>ތާވަލް 18.23: އިޖްތިމާއީ ރައްކާތެރިކަމުގެ ދަށުން އަތޮޅުތަކުން ދެވޭ ޙިދުމަތްތައް ފޯރުކޮށްދޭ ތަންތަނަށް ކުރެވިފައިވާ ޚަރަދު، 2025</t>
  </si>
  <si>
    <t>All expenditure related data has been provided based on blocked transactions, which were generated on 30th April 2026. As the data was compiled using blocked expenditures these figures are subject to change upon changes brought to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</si>
</sst>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General_)"/>
    <numFmt numFmtId="166" formatCode="_-* #,##0.00_-;\-* #,##0.00_-;_-* &quot;-&quot;??_-;_-@_-"/>
    <numFmt numFmtId="167" formatCode="_-* #,##0_-;\-* #,##0_-;_-* &quot;-&quot;??_-;_-@_-"/>
  </numFmts>
  <fonts count="38">
    <font>
      <sz val="11"/>
      <color rgb="FF000000"/>
      <name val="Calibri"/>
      <scheme val="minor"/>
    </font>
    <font>
      <sz val="11"/>
      <color rgb="FF000000"/>
      <name val="Calibri"/>
      <family val="2"/>
    </font>
    <font>
      <sz val="10"/>
      <name val="Arial"/>
      <family val="2"/>
    </font>
    <font>
      <sz val="11"/>
      <color rgb="FF000000"/>
      <name val="Calibri"/>
      <family val="2"/>
      <scheme val="minor"/>
    </font>
    <font>
      <b/>
      <sz val="11"/>
      <color theme="1"/>
      <name val="Calibri"/>
      <family val="2"/>
      <scheme val="minor"/>
    </font>
    <font>
      <b/>
      <sz val="11"/>
      <color theme="1" tint="0.14999847407452621"/>
      <name val="Faruma"/>
    </font>
    <font>
      <b/>
      <sz val="11"/>
      <color theme="1" tint="0.14999847407452621"/>
      <name val="Calibri"/>
      <family val="2"/>
      <scheme val="minor"/>
    </font>
    <font>
      <b/>
      <sz val="10"/>
      <color theme="1"/>
      <name val="Faruma"/>
    </font>
    <font>
      <sz val="9"/>
      <color theme="1"/>
      <name val="Faruma"/>
    </font>
    <font>
      <sz val="10"/>
      <name val="Courier"/>
      <family val="3"/>
    </font>
    <font>
      <b/>
      <sz val="10"/>
      <name val="Faruma"/>
    </font>
    <font>
      <b/>
      <sz val="10"/>
      <color theme="1"/>
      <name val="Calibri"/>
      <family val="2"/>
      <scheme val="minor"/>
    </font>
    <font>
      <b/>
      <sz val="10"/>
      <color theme="1" tint="0.14999847407452621"/>
      <name val="Calibri"/>
      <family val="2"/>
      <scheme val="minor"/>
    </font>
    <font>
      <b/>
      <sz val="11"/>
      <color theme="1"/>
      <name val="Calibri"/>
      <family val="2"/>
      <charset val="1"/>
      <scheme val="minor"/>
    </font>
    <font>
      <sz val="10"/>
      <color theme="1" tint="0.14999847407452621"/>
      <name val="Calibri"/>
      <family val="2"/>
      <scheme val="minor"/>
    </font>
    <font>
      <sz val="10"/>
      <color theme="1"/>
      <name val="Calibri"/>
      <family val="2"/>
      <scheme val="minor"/>
    </font>
    <font>
      <i/>
      <sz val="9"/>
      <color theme="1"/>
      <name val="Calibri"/>
      <family val="2"/>
      <scheme val="minor"/>
    </font>
    <font>
      <i/>
      <sz val="9"/>
      <name val="Calibri"/>
      <family val="2"/>
      <scheme val="minor"/>
    </font>
    <font>
      <b/>
      <sz val="11"/>
      <name val="Calibri"/>
      <family val="2"/>
      <scheme val="minor"/>
    </font>
    <font>
      <b/>
      <sz val="8"/>
      <name val="Calibri"/>
      <family val="2"/>
      <scheme val="minor"/>
    </font>
    <font>
      <sz val="10"/>
      <name val="Calibri"/>
      <family val="2"/>
      <charset val="1"/>
      <scheme val="minor"/>
    </font>
    <font>
      <b/>
      <sz val="11"/>
      <color theme="1"/>
      <name val="Faruma"/>
    </font>
    <font>
      <sz val="10"/>
      <color theme="1"/>
      <name val="Calibri"/>
      <family val="2"/>
      <charset val="1"/>
      <scheme val="minor"/>
    </font>
    <font>
      <b/>
      <sz val="10"/>
      <name val="A_Randhoo"/>
    </font>
    <font>
      <b/>
      <sz val="10"/>
      <color theme="1"/>
      <name val="Calibri"/>
      <family val="2"/>
      <charset val="1"/>
      <scheme val="minor"/>
    </font>
    <font>
      <b/>
      <sz val="11"/>
      <color rgb="FF000000"/>
      <name val="Calibri"/>
      <family val="2"/>
      <scheme val="minor"/>
    </font>
    <font>
      <b/>
      <vertAlign val="superscript"/>
      <sz val="9"/>
      <color theme="1"/>
      <name val="Calibri"/>
      <family val="2"/>
      <scheme val="minor"/>
    </font>
    <font>
      <sz val="10"/>
      <color theme="1" tint="0.14999847407452621"/>
      <name val="A_Funa"/>
    </font>
    <font>
      <sz val="8"/>
      <color theme="1"/>
      <name val="Calibri"/>
      <family val="2"/>
      <scheme val="minor"/>
    </font>
    <font>
      <b/>
      <sz val="8"/>
      <color theme="1"/>
      <name val="Calibri"/>
      <family val="2"/>
      <scheme val="minor"/>
    </font>
    <font>
      <sz val="10"/>
      <color theme="1" tint="0.14999847407452621"/>
      <name val="Faruma"/>
    </font>
    <font>
      <sz val="9"/>
      <color theme="1"/>
      <name val="Calibri"/>
      <family val="2"/>
      <charset val="1"/>
      <scheme val="minor"/>
    </font>
    <font>
      <i/>
      <vertAlign val="superscript"/>
      <sz val="9"/>
      <color theme="1"/>
      <name val="Calibri"/>
      <family val="2"/>
      <scheme val="minor"/>
    </font>
    <font>
      <i/>
      <sz val="10"/>
      <color theme="1"/>
      <name val="Calibri"/>
      <family val="2"/>
      <scheme val="minor"/>
    </font>
    <font>
      <i/>
      <vertAlign val="superscript"/>
      <sz val="10"/>
      <color theme="1"/>
      <name val="Calibri"/>
      <family val="2"/>
      <scheme val="minor"/>
    </font>
    <font>
      <i/>
      <sz val="10"/>
      <color rgb="FF000000"/>
      <name val="Calibri"/>
      <family val="2"/>
      <scheme val="minor"/>
    </font>
    <font>
      <sz val="11"/>
      <color rgb="FF000000"/>
      <name val="Calibri"/>
      <scheme val="minor"/>
    </font>
    <font>
      <b/>
      <sz val="9"/>
      <color theme="1" tint="0.1499984740745262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diagonal/>
    </border>
    <border>
      <left/>
      <right/>
      <top/>
      <bottom style="thin">
        <color indexed="64"/>
      </bottom>
      <diagonal/>
    </border>
    <border>
      <left/>
      <right/>
      <top style="thin">
        <color indexed="64"/>
      </top>
      <bottom/>
      <diagonal/>
    </border>
    <border>
      <left/>
      <right/>
      <top style="thin">
        <color indexed="64"/>
      </top>
      <bottom style="dotted">
        <color indexed="64"/>
      </bottom>
      <diagonal/>
    </border>
  </borders>
  <cellStyleXfs count="33">
    <xf numFmtId="0" fontId="0" fillId="0" borderId="0"/>
    <xf numFmtId="0" fontId="2" fillId="0" borderId="1"/>
    <xf numFmtId="164" fontId="9" fillId="0" borderId="1"/>
    <xf numFmtId="43" fontId="1" fillId="0" borderId="1" applyFont="0" applyFill="0" applyBorder="0" applyAlignment="0" applyProtection="0"/>
    <xf numFmtId="43" fontId="1" fillId="0" borderId="1" applyFont="0" applyFill="0" applyBorder="0" applyAlignment="0" applyProtection="0"/>
    <xf numFmtId="0" fontId="3" fillId="0" borderId="1"/>
    <xf numFmtId="0" fontId="1" fillId="0" borderId="1"/>
    <xf numFmtId="0" fontId="1" fillId="0" borderId="1"/>
    <xf numFmtId="0" fontId="1" fillId="0" borderId="1"/>
    <xf numFmtId="0" fontId="3" fillId="0" borderId="1"/>
    <xf numFmtId="0" fontId="3" fillId="0" borderId="1"/>
    <xf numFmtId="0" fontId="1" fillId="0" borderId="1"/>
    <xf numFmtId="0" fontId="1"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xf numFmtId="0" fontId="36" fillId="0" borderId="1"/>
  </cellStyleXfs>
  <cellXfs count="53">
    <xf numFmtId="0" fontId="0" fillId="0" borderId="0" xfId="0"/>
    <xf numFmtId="165" fontId="17" fillId="2" borderId="1" xfId="2" applyNumberFormat="1" applyFont="1" applyFill="1" applyAlignment="1">
      <alignment horizontal="left" vertical="center"/>
    </xf>
    <xf numFmtId="165" fontId="19" fillId="2" borderId="1" xfId="2" applyNumberFormat="1" applyFont="1" applyFill="1" applyAlignment="1">
      <alignment horizontal="right" vertical="center" wrapText="1"/>
    </xf>
    <xf numFmtId="0" fontId="3" fillId="2" borderId="1" xfId="9" applyFill="1"/>
    <xf numFmtId="0" fontId="3" fillId="2" borderId="1" xfId="9" applyFill="1" applyAlignment="1">
      <alignment horizontal="center" vertical="center"/>
    </xf>
    <xf numFmtId="166" fontId="4" fillId="2" borderId="4" xfId="4" applyNumberFormat="1" applyFont="1" applyFill="1" applyBorder="1" applyAlignment="1">
      <alignment horizontal="right" vertical="center" wrapText="1"/>
    </xf>
    <xf numFmtId="165" fontId="18" fillId="2" borderId="4" xfId="2" applyNumberFormat="1" applyFont="1" applyFill="1" applyBorder="1" applyAlignment="1">
      <alignment horizontal="right" vertical="center" wrapText="1"/>
    </xf>
    <xf numFmtId="166" fontId="4" fillId="2" borderId="4" xfId="4" applyNumberFormat="1" applyFont="1" applyFill="1" applyBorder="1" applyAlignment="1">
      <alignment horizontal="right" vertical="center"/>
    </xf>
    <xf numFmtId="166" fontId="11" fillId="2" borderId="4" xfId="4" applyNumberFormat="1" applyFont="1" applyFill="1" applyBorder="1" applyAlignment="1">
      <alignment horizontal="right" vertical="center" wrapText="1"/>
    </xf>
    <xf numFmtId="165" fontId="10" fillId="2" borderId="2" xfId="2" applyNumberFormat="1" applyFont="1" applyFill="1" applyBorder="1" applyAlignment="1">
      <alignment horizontal="right" vertical="center" wrapText="1"/>
    </xf>
    <xf numFmtId="165" fontId="23" fillId="2" borderId="2" xfId="2" applyNumberFormat="1" applyFont="1" applyFill="1" applyBorder="1" applyAlignment="1">
      <alignment horizontal="right" vertical="center" wrapText="1"/>
    </xf>
    <xf numFmtId="0" fontId="13" fillId="2" borderId="1" xfId="9" applyFont="1" applyFill="1" applyAlignment="1">
      <alignment horizontal="center" vertical="center"/>
    </xf>
    <xf numFmtId="167" fontId="24" fillId="2" borderId="1" xfId="9" applyNumberFormat="1" applyFont="1" applyFill="1" applyAlignment="1">
      <alignment horizontal="left" vertical="center"/>
    </xf>
    <xf numFmtId="164" fontId="20" fillId="2" borderId="1" xfId="4" applyNumberFormat="1" applyFont="1" applyFill="1" applyBorder="1" applyAlignment="1">
      <alignment horizontal="right" vertical="center"/>
    </xf>
    <xf numFmtId="3" fontId="6" fillId="2" borderId="1" xfId="1" applyNumberFormat="1" applyFont="1" applyFill="1" applyAlignment="1">
      <alignment horizontal="center" vertical="top" wrapText="1"/>
    </xf>
    <xf numFmtId="0" fontId="7" fillId="2" borderId="1" xfId="9" applyFont="1" applyFill="1" applyAlignment="1">
      <alignment horizontal="right" vertical="center" indent="3"/>
    </xf>
    <xf numFmtId="167" fontId="13" fillId="2" borderId="1" xfId="9" applyNumberFormat="1" applyFont="1" applyFill="1" applyAlignment="1">
      <alignment horizontal="center" vertical="center"/>
    </xf>
    <xf numFmtId="167" fontId="12" fillId="2" borderId="1" xfId="4" applyNumberFormat="1" applyFont="1" applyFill="1" applyBorder="1" applyAlignment="1"/>
    <xf numFmtId="0" fontId="13" fillId="2" borderId="1" xfId="9" applyFont="1" applyFill="1"/>
    <xf numFmtId="167" fontId="14" fillId="2" borderId="1" xfId="4" applyNumberFormat="1" applyFont="1" applyFill="1" applyBorder="1" applyAlignment="1"/>
    <xf numFmtId="3" fontId="27" fillId="2" borderId="1" xfId="1" applyNumberFormat="1" applyFont="1" applyFill="1" applyAlignment="1">
      <alignment horizontal="right" vertical="center" indent="3"/>
    </xf>
    <xf numFmtId="166" fontId="4" fillId="2" borderId="1" xfId="9" applyNumberFormat="1" applyFont="1" applyFill="1" applyAlignment="1">
      <alignment horizontal="right"/>
    </xf>
    <xf numFmtId="0" fontId="28" fillId="2" borderId="1" xfId="9" applyFont="1" applyFill="1"/>
    <xf numFmtId="167" fontId="22" fillId="2" borderId="1" xfId="4" applyNumberFormat="1" applyFont="1" applyFill="1" applyBorder="1" applyAlignment="1"/>
    <xf numFmtId="166" fontId="29" fillId="2" borderId="1" xfId="4" applyNumberFormat="1" applyFont="1" applyFill="1" applyBorder="1" applyAlignment="1">
      <alignment horizontal="right" vertical="center" wrapText="1"/>
    </xf>
    <xf numFmtId="166" fontId="29" fillId="2" borderId="1" xfId="4" applyNumberFormat="1" applyFont="1" applyFill="1" applyBorder="1" applyAlignment="1">
      <alignment horizontal="right" vertical="center"/>
    </xf>
    <xf numFmtId="167" fontId="29" fillId="2" borderId="1" xfId="4" applyNumberFormat="1" applyFont="1" applyFill="1" applyBorder="1" applyAlignment="1">
      <alignment horizontal="center" vertical="center"/>
    </xf>
    <xf numFmtId="167" fontId="29" fillId="2" borderId="1" xfId="4" applyNumberFormat="1" applyFont="1" applyFill="1" applyBorder="1" applyAlignment="1">
      <alignment horizontal="right" vertical="center"/>
    </xf>
    <xf numFmtId="167" fontId="28" fillId="2" borderId="1" xfId="4" applyNumberFormat="1" applyFont="1" applyFill="1" applyBorder="1"/>
    <xf numFmtId="167" fontId="3" fillId="2" borderId="1" xfId="9" applyNumberFormat="1" applyFill="1"/>
    <xf numFmtId="167" fontId="14" fillId="2" borderId="2" xfId="4" applyNumberFormat="1" applyFont="1" applyFill="1" applyBorder="1" applyAlignment="1"/>
    <xf numFmtId="3" fontId="30" fillId="2" borderId="2" xfId="1" applyNumberFormat="1" applyFont="1" applyFill="1" applyBorder="1" applyAlignment="1">
      <alignment horizontal="right" vertical="center"/>
    </xf>
    <xf numFmtId="0" fontId="31" fillId="2" borderId="1" xfId="9" applyFont="1" applyFill="1" applyAlignment="1">
      <alignment vertical="center"/>
    </xf>
    <xf numFmtId="3" fontId="30" fillId="2" borderId="1" xfId="1" applyNumberFormat="1" applyFont="1" applyFill="1" applyAlignment="1">
      <alignment horizontal="right" vertical="center"/>
    </xf>
    <xf numFmtId="0" fontId="16" fillId="2" borderId="1" xfId="9" applyFont="1" applyFill="1" applyAlignment="1">
      <alignment vertical="center"/>
    </xf>
    <xf numFmtId="0" fontId="8" fillId="2" borderId="1" xfId="9" applyFont="1" applyFill="1" applyAlignment="1">
      <alignment vertical="center"/>
    </xf>
    <xf numFmtId="0" fontId="33" fillId="2" borderId="1" xfId="9" applyFont="1" applyFill="1" applyAlignment="1">
      <alignment vertical="center"/>
    </xf>
    <xf numFmtId="166" fontId="0" fillId="2" borderId="1" xfId="4" applyNumberFormat="1" applyFont="1" applyFill="1"/>
    <xf numFmtId="166" fontId="0" fillId="2" borderId="1" xfId="4" applyNumberFormat="1" applyFont="1" applyFill="1" applyAlignment="1">
      <alignment horizontal="right"/>
    </xf>
    <xf numFmtId="166" fontId="4" fillId="2" borderId="1" xfId="4" applyNumberFormat="1" applyFont="1" applyFill="1"/>
    <xf numFmtId="167" fontId="15" fillId="2" borderId="2" xfId="4" applyNumberFormat="1" applyFont="1" applyFill="1" applyBorder="1" applyAlignment="1">
      <alignment vertical="center"/>
    </xf>
    <xf numFmtId="164" fontId="20" fillId="2" borderId="2" xfId="4" applyNumberFormat="1" applyFont="1" applyFill="1" applyBorder="1" applyAlignment="1">
      <alignment horizontal="right" vertical="center"/>
    </xf>
    <xf numFmtId="3" fontId="3" fillId="2" borderId="1" xfId="3" applyNumberFormat="1" applyFont="1" applyFill="1" applyAlignment="1">
      <alignment horizontal="right" vertical="center"/>
    </xf>
    <xf numFmtId="3" fontId="25" fillId="2" borderId="1" xfId="3" applyNumberFormat="1" applyFont="1" applyFill="1" applyAlignment="1">
      <alignment horizontal="right" vertical="center"/>
    </xf>
    <xf numFmtId="167" fontId="11" fillId="2" borderId="2" xfId="4" applyNumberFormat="1" applyFont="1" applyFill="1" applyBorder="1" applyAlignment="1">
      <alignment vertical="center"/>
    </xf>
    <xf numFmtId="3" fontId="37" fillId="2" borderId="1" xfId="1" applyNumberFormat="1" applyFont="1" applyFill="1" applyAlignment="1">
      <alignment vertical="center"/>
    </xf>
    <xf numFmtId="165" fontId="18" fillId="2" borderId="3" xfId="2" applyNumberFormat="1" applyFont="1" applyFill="1" applyBorder="1" applyAlignment="1">
      <alignment horizontal="left" vertical="center" wrapText="1"/>
    </xf>
    <xf numFmtId="165" fontId="18" fillId="2" borderId="2" xfId="2" applyNumberFormat="1" applyFont="1" applyFill="1" applyBorder="1" applyAlignment="1">
      <alignment horizontal="left" vertical="center" wrapText="1"/>
    </xf>
    <xf numFmtId="3" fontId="6" fillId="2" borderId="1" xfId="1" applyNumberFormat="1" applyFont="1" applyFill="1" applyAlignment="1">
      <alignment horizontal="center" vertical="top" wrapText="1"/>
    </xf>
    <xf numFmtId="0" fontId="21" fillId="2" borderId="3" xfId="9" applyFont="1" applyFill="1" applyBorder="1" applyAlignment="1">
      <alignment horizontal="right" vertical="center" indent="2"/>
    </xf>
    <xf numFmtId="0" fontId="21" fillId="2" borderId="2" xfId="9" applyFont="1" applyFill="1" applyBorder="1" applyAlignment="1">
      <alignment horizontal="right" vertical="center" indent="2"/>
    </xf>
    <xf numFmtId="3" fontId="5" fillId="2" borderId="1" xfId="1" applyNumberFormat="1" applyFont="1" applyFill="1" applyAlignment="1">
      <alignment horizontal="center" wrapText="1" readingOrder="2"/>
    </xf>
    <xf numFmtId="0" fontId="35" fillId="2" borderId="1" xfId="9" applyFont="1" applyFill="1" applyAlignment="1">
      <alignment horizontal="left" vertical="center" wrapText="1"/>
    </xf>
  </cellXfs>
  <cellStyles count="33">
    <cellStyle name="Comma 23" xfId="3" xr:uid="{94027C67-5182-4251-874E-333D39869C41}"/>
    <cellStyle name="Comma 3" xfId="4" xr:uid="{32D59405-9255-4528-A182-E2FB87AEA447}"/>
    <cellStyle name="Normal" xfId="0" builtinId="0"/>
    <cellStyle name="Normal 10" xfId="7" xr:uid="{EBA83A1A-0725-4264-B217-6FB255D01D9A}"/>
    <cellStyle name="Normal 11" xfId="9" xr:uid="{141512A6-9575-4B9F-B0CD-71B08DB8B8DD}"/>
    <cellStyle name="Normal 12" xfId="19" xr:uid="{EBB53E00-7290-4E95-B00B-97E70B994095}"/>
    <cellStyle name="Normal 13" xfId="20" xr:uid="{5089EADD-6FB8-455A-99B7-4CE3F8EA2523}"/>
    <cellStyle name="Normal 14" xfId="21" xr:uid="{6D8E876D-C549-4F8C-BBB2-9044945BA1DE}"/>
    <cellStyle name="Normal 15" xfId="22" xr:uid="{FC8B6F0F-4F04-414B-856A-E9EF52594A17}"/>
    <cellStyle name="Normal 16" xfId="23" xr:uid="{A9472295-1693-4D41-8C43-FD2ACA0018F7}"/>
    <cellStyle name="Normal 17" xfId="24" xr:uid="{AD84AE3E-C9FD-40C7-9E44-467A53F078DC}"/>
    <cellStyle name="Normal 18" xfId="25" xr:uid="{3ECF2013-8279-4761-949D-EDD1A3769A1A}"/>
    <cellStyle name="Normal 19" xfId="26" xr:uid="{2DA431D7-B0FC-4CC3-83FB-38993139A464}"/>
    <cellStyle name="Normal 2" xfId="2" xr:uid="{5582CC97-B3B3-49F0-A32C-77365FA866E7}"/>
    <cellStyle name="Normal 20" xfId="27" xr:uid="{BF15BF13-2BA4-453C-A5D4-7F378D5A7AB0}"/>
    <cellStyle name="Normal 21" xfId="28" xr:uid="{EB16884D-319E-44C4-BACF-AAE219752D74}"/>
    <cellStyle name="Normal 22" xfId="29" xr:uid="{0BC55367-C80F-4644-A253-56F0D6C8449D}"/>
    <cellStyle name="Normal 23" xfId="30" xr:uid="{70D0A6B6-C10D-4B03-BE3E-BCA8F6F565D6}"/>
    <cellStyle name="Normal 24" xfId="31" xr:uid="{5D1C52F0-96A7-41A3-BA9A-F4828B3BA100}"/>
    <cellStyle name="Normal 25" xfId="32" xr:uid="{98DE4CB4-469A-4E2E-95F6-679D1ED1E259}"/>
    <cellStyle name="Normal 3" xfId="13" xr:uid="{41F67738-7CBD-405C-A2E8-93EC8D754E04}"/>
    <cellStyle name="Normal 30 2" xfId="6" xr:uid="{319A01A9-484D-401C-B51C-AFA22C8C147A}"/>
    <cellStyle name="Normal 39" xfId="8" xr:uid="{358DB4F3-2572-40C1-8528-73DD19838977}"/>
    <cellStyle name="Normal 4" xfId="14" xr:uid="{F9DB212B-6BED-4D0E-9812-6AF8B0852E4C}"/>
    <cellStyle name="Normal 5" xfId="15" xr:uid="{2E2DF4F8-9240-4060-8DF2-DBD25985C646}"/>
    <cellStyle name="Normal 58" xfId="12" xr:uid="{5FADB181-8394-4B9F-BF6B-8B2AABC26B0E}"/>
    <cellStyle name="Normal 59" xfId="11" xr:uid="{BC46D8EB-1784-4261-8D55-F234E5AA2CF7}"/>
    <cellStyle name="Normal 6" xfId="16" xr:uid="{FD6A37D1-7F80-4842-A6BE-097A50A4815D}"/>
    <cellStyle name="Normal 7" xfId="17" xr:uid="{D3073D1C-C63F-4665-88AD-8A1CCCB7F8E6}"/>
    <cellStyle name="Normal 8" xfId="18" xr:uid="{994E9518-379D-453B-A8BE-5A00EF9195C3}"/>
    <cellStyle name="Normal 9" xfId="5" xr:uid="{625F25BA-A41A-4C28-BF91-33331014C8BC}"/>
    <cellStyle name="Normal 9 2" xfId="10" xr:uid="{9FC5A332-BEB2-4834-8023-4E42B3DA4A83}"/>
    <cellStyle name="Normal_II-15(Population) 2" xfId="1" xr:uid="{5D0B2EFE-2D76-4772-A3A8-4ED76F8D707D}"/>
  </cellStyles>
  <dxfs count="0"/>
  <tableStyles count="0" defaultTableStyle="TableStyleMedium2" defaultPivotStyle="PivotStyleLight16"/>
  <colors>
    <mruColors>
      <color rgb="FFF9FFF3"/>
      <color rgb="FF336600"/>
      <color rgb="FFAEAAAA"/>
      <color rgb="FF003300"/>
      <color rgb="FF2F75B5"/>
      <color rgb="FFFF3399"/>
      <color rgb="FF9BC2E6"/>
      <color rgb="FF33CCCC"/>
      <color rgb="FF003399"/>
      <color rgb="FF7E5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6"/>
    </mc:Choice>
    <mc:Fallback>
      <c:style val="16"/>
    </mc:Fallback>
  </mc:AlternateContent>
  <c:chart>
    <c:title>
      <c:tx>
        <c:rich>
          <a:bodyPr/>
          <a:lstStyle/>
          <a:p>
            <a:pPr>
              <a:defRPr sz="1000"/>
            </a:pPr>
            <a:r>
              <a:rPr lang="en-US" sz="1000">
                <a:latin typeface="Consolas" pitchFamily="49" charset="0"/>
                <a:cs typeface="Consolas" pitchFamily="49" charset="0"/>
              </a:rPr>
              <a:t>Figure 18.24: Percentage share of expenditure on Aasandha by Institution, 2025</a:t>
            </a:r>
          </a:p>
        </c:rich>
      </c:tx>
      <c:layout>
        <c:manualLayout>
          <c:xMode val="edge"/>
          <c:yMode val="edge"/>
          <c:x val="8.8488577237868293E-2"/>
          <c:y val="4.4936709259321063E-2"/>
        </c:manualLayout>
      </c:layout>
      <c:overlay val="0"/>
    </c:title>
    <c:autoTitleDeleted val="0"/>
    <c:plotArea>
      <c:layout>
        <c:manualLayout>
          <c:layoutTarget val="inner"/>
          <c:xMode val="edge"/>
          <c:yMode val="edge"/>
          <c:x val="0.269020019671666"/>
          <c:y val="0.21420093676913035"/>
          <c:w val="0.32249083637528503"/>
          <c:h val="0.81840157908845013"/>
        </c:manualLayout>
      </c:layout>
      <c:doughnutChart>
        <c:varyColors val="1"/>
        <c:ser>
          <c:idx val="0"/>
          <c:order val="0"/>
          <c:spPr>
            <a:effectLst/>
          </c:spPr>
          <c:explosion val="1"/>
          <c:dPt>
            <c:idx val="0"/>
            <c:bubble3D val="0"/>
            <c:explosion val="3"/>
            <c:spPr>
              <a:solidFill>
                <a:schemeClr val="accent6">
                  <a:lumMod val="50000"/>
                </a:schemeClr>
              </a:solidFill>
              <a:ln>
                <a:noFill/>
              </a:ln>
              <a:effectLst/>
            </c:spPr>
            <c:extLst>
              <c:ext xmlns:c16="http://schemas.microsoft.com/office/drawing/2014/chart" uri="{C3380CC4-5D6E-409C-BE32-E72D297353CC}">
                <c16:uniqueId val="{00000001-BD92-4C81-B0AB-2F1D8DF8BD9E}"/>
              </c:ext>
            </c:extLst>
          </c:dPt>
          <c:dPt>
            <c:idx val="1"/>
            <c:bubble3D val="0"/>
            <c:explosion val="3"/>
            <c:spPr>
              <a:solidFill>
                <a:schemeClr val="accent6">
                  <a:lumMod val="60000"/>
                  <a:lumOff val="40000"/>
                </a:schemeClr>
              </a:solidFill>
              <a:ln>
                <a:noFill/>
              </a:ln>
              <a:effectLst/>
            </c:spPr>
            <c:extLst>
              <c:ext xmlns:c16="http://schemas.microsoft.com/office/drawing/2014/chart" uri="{C3380CC4-5D6E-409C-BE32-E72D297353CC}">
                <c16:uniqueId val="{00000003-BD92-4C81-B0AB-2F1D8DF8BD9E}"/>
              </c:ext>
            </c:extLst>
          </c:dPt>
          <c:dPt>
            <c:idx val="2"/>
            <c:bubble3D val="0"/>
            <c:explosion val="3"/>
            <c:spPr>
              <a:solidFill>
                <a:schemeClr val="accent6">
                  <a:lumMod val="75000"/>
                </a:schemeClr>
              </a:solidFill>
              <a:ln>
                <a:noFill/>
              </a:ln>
              <a:effectLst/>
            </c:spPr>
            <c:extLst>
              <c:ext xmlns:c16="http://schemas.microsoft.com/office/drawing/2014/chart" uri="{C3380CC4-5D6E-409C-BE32-E72D297353CC}">
                <c16:uniqueId val="{00000007-BD92-4C81-B0AB-2F1D8DF8BD9E}"/>
              </c:ext>
            </c:extLst>
          </c:dPt>
          <c:dPt>
            <c:idx val="3"/>
            <c:bubble3D val="0"/>
            <c:explosion val="5"/>
            <c:spPr>
              <a:solidFill>
                <a:schemeClr val="accent6">
                  <a:lumMod val="20000"/>
                  <a:lumOff val="80000"/>
                </a:schemeClr>
              </a:solidFill>
              <a:ln>
                <a:noFill/>
              </a:ln>
              <a:effectLst/>
            </c:spPr>
            <c:extLst>
              <c:ext xmlns:c16="http://schemas.microsoft.com/office/drawing/2014/chart" uri="{C3380CC4-5D6E-409C-BE32-E72D297353CC}">
                <c16:uniqueId val="{00000009-BD92-4C81-B0AB-2F1D8DF8BD9E}"/>
              </c:ext>
            </c:extLst>
          </c:dPt>
          <c:dLbls>
            <c:dLbl>
              <c:idx val="0"/>
              <c:layout>
                <c:manualLayout>
                  <c:x val="-6.431013058586268E-3"/>
                  <c:y val="-1.9801913384824798E-2"/>
                </c:manualLayout>
              </c:layout>
              <c:spPr>
                <a:noFill/>
                <a:ln>
                  <a:noFill/>
                </a:ln>
                <a:effectLst/>
              </c:spPr>
              <c:txPr>
                <a:bodyPr/>
                <a:lstStyle/>
                <a:p>
                  <a:pPr>
                    <a:defRPr sz="900">
                      <a:solidFill>
                        <a:schemeClr val="bg1"/>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D92-4C81-B0AB-2F1D8DF8BD9E}"/>
                </c:ext>
              </c:extLst>
            </c:dLbl>
            <c:dLbl>
              <c:idx val="1"/>
              <c:layout>
                <c:manualLayout>
                  <c:x val="-1.4961257450445476E-2"/>
                  <c:y val="-2.948291308533624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D92-4C81-B0AB-2F1D8DF8BD9E}"/>
                </c:ext>
              </c:extLst>
            </c:dLbl>
            <c:dLbl>
              <c:idx val="2"/>
              <c:layout>
                <c:manualLayout>
                  <c:x val="0.11555459683309882"/>
                  <c:y val="-4.0948261696541179E-2"/>
                </c:manualLayout>
              </c:layout>
              <c:showLegendKey val="0"/>
              <c:showVal val="0"/>
              <c:showCatName val="1"/>
              <c:showSerName val="0"/>
              <c:showPercent val="1"/>
              <c:showBubbleSize val="0"/>
              <c:extLst>
                <c:ext xmlns:c15="http://schemas.microsoft.com/office/drawing/2012/chart" uri="{CE6537A1-D6FC-4f65-9D91-7224C49458BB}">
                  <c15:layout>
                    <c:manualLayout>
                      <c:w val="8.162067458536576E-2"/>
                      <c:h val="0.11853615496545677"/>
                    </c:manualLayout>
                  </c15:layout>
                </c:ext>
                <c:ext xmlns:c16="http://schemas.microsoft.com/office/drawing/2014/chart" uri="{C3380CC4-5D6E-409C-BE32-E72D297353CC}">
                  <c16:uniqueId val="{00000007-BD92-4C81-B0AB-2F1D8DF8BD9E}"/>
                </c:ext>
              </c:extLst>
            </c:dLbl>
            <c:dLbl>
              <c:idx val="3"/>
              <c:layout>
                <c:manualLayout>
                  <c:x val="0.1322833082718555"/>
                  <c:y val="3.83147578563015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D92-4C81-B0AB-2F1D8DF8BD9E}"/>
                </c:ext>
              </c:extLst>
            </c:dLbl>
            <c:dLbl>
              <c:idx val="4"/>
              <c:layout>
                <c:manualLayout>
                  <c:x val="0.13772707560689987"/>
                  <c:y val="0.12815842838600394"/>
                </c:manualLayout>
              </c:layout>
              <c:showLegendKey val="0"/>
              <c:showVal val="0"/>
              <c:showCatName val="1"/>
              <c:showSerName val="0"/>
              <c:showPercent val="1"/>
              <c:showBubbleSize val="0"/>
              <c:extLst>
                <c:ext xmlns:c15="http://schemas.microsoft.com/office/drawing/2012/chart" uri="{CE6537A1-D6FC-4f65-9D91-7224C49458BB}">
                  <c15:layout>
                    <c:manualLayout>
                      <c:w val="0.24082507741714948"/>
                      <c:h val="0.12117372768493603"/>
                    </c:manualLayout>
                  </c15:layout>
                </c:ext>
                <c:ext xmlns:c16="http://schemas.microsoft.com/office/drawing/2014/chart" uri="{C3380CC4-5D6E-409C-BE32-E72D297353CC}">
                  <c16:uniqueId val="{0000000C-BD92-4C81-B0AB-2F1D8DF8BD9E}"/>
                </c:ext>
              </c:extLst>
            </c:dLbl>
            <c:spPr>
              <a:noFill/>
              <a:ln>
                <a:noFill/>
              </a:ln>
              <a:effectLst/>
            </c:spPr>
            <c:txPr>
              <a:bodyPr/>
              <a:lstStyle/>
              <a:p>
                <a:pPr>
                  <a:defRPr sz="900"/>
                </a:pPr>
                <a:endParaRPr lang="en-US"/>
              </a:p>
            </c:txPr>
            <c:showLegendKey val="0"/>
            <c:showVal val="0"/>
            <c:showCatName val="1"/>
            <c:showSerName val="0"/>
            <c:showPercent val="1"/>
            <c:showBubbleSize val="0"/>
            <c:showLeaderLines val="1"/>
            <c:leaderLines>
              <c:spPr>
                <a:ln>
                  <a:solidFill>
                    <a:schemeClr val="bg1">
                      <a:lumMod val="85000"/>
                    </a:schemeClr>
                  </a:solidFill>
                </a:ln>
              </c:spPr>
            </c:leaderLines>
            <c:extLst>
              <c:ext xmlns:c15="http://schemas.microsoft.com/office/drawing/2012/chart" uri="{CE6537A1-D6FC-4f65-9D91-7224C49458BB}"/>
            </c:extLst>
          </c:dLbls>
          <c:cat>
            <c:strRef>
              <c:extLst>
                <c:ext xmlns:c15="http://schemas.microsoft.com/office/drawing/2012/chart" uri="{02D57815-91ED-43cb-92C2-25804820EDAC}">
                  <c15:fullRef>
                    <c15:sqref>'18.23'!$Y$38:$AE$38</c15:sqref>
                  </c15:fullRef>
                </c:ext>
              </c:extLst>
              <c:f>('18.23'!$Y$38:$Z$38,'18.23'!$AB$38:$AC$38,'18.23'!$AE$38)</c:f>
              <c:strCache>
                <c:ptCount val="5"/>
                <c:pt idx="0">
                  <c:v>Hospitals</c:v>
                </c:pt>
                <c:pt idx="1">
                  <c:v>Pharmacies</c:v>
                </c:pt>
                <c:pt idx="2">
                  <c:v>Clinics</c:v>
                </c:pt>
                <c:pt idx="3">
                  <c:v> Airfare Tickets  </c:v>
                </c:pt>
                <c:pt idx="4">
                  <c:v> Emergency Evacuation - Sea </c:v>
                </c:pt>
              </c:strCache>
            </c:strRef>
          </c:cat>
          <c:val>
            <c:numRef>
              <c:extLst>
                <c:ext xmlns:c15="http://schemas.microsoft.com/office/drawing/2012/chart" uri="{02D57815-91ED-43cb-92C2-25804820EDAC}">
                  <c15:fullRef>
                    <c15:sqref>'18.23'!$C$6:$I$6</c15:sqref>
                  </c15:fullRef>
                </c:ext>
              </c:extLst>
              <c:f>('18.23'!$C$6:$D$6,'18.23'!$F$6:$G$6,'18.23'!$I$6)</c:f>
              <c:numCache>
                <c:formatCode>#,##0</c:formatCode>
                <c:ptCount val="5"/>
                <c:pt idx="0">
                  <c:v>1904604890.9702005</c:v>
                </c:pt>
                <c:pt idx="1">
                  <c:v>971620682.29999995</c:v>
                </c:pt>
                <c:pt idx="2">
                  <c:v>180810919.50999999</c:v>
                </c:pt>
                <c:pt idx="3">
                  <c:v>97654282</c:v>
                </c:pt>
                <c:pt idx="4">
                  <c:v>19852296</c:v>
                </c:pt>
              </c:numCache>
            </c:numRef>
          </c:val>
          <c:extLst>
            <c:ext xmlns:c15="http://schemas.microsoft.com/office/drawing/2012/chart" uri="{02D57815-91ED-43cb-92C2-25804820EDAC}">
              <c15:categoryFilterExceptions>
                <c15:categoryFilterException>
                  <c15:sqref>'18.23'!$E$6</c15:sqref>
                  <c15:spPr xmlns:c15="http://schemas.microsoft.com/office/drawing/2012/chart">
                    <a:solidFill>
                      <a:schemeClr val="bg2">
                        <a:lumMod val="50000"/>
                      </a:schemeClr>
                    </a:solidFill>
                    <a:ln>
                      <a:noFill/>
                    </a:ln>
                    <a:effectLst/>
                  </c15:spPr>
                  <c15:bubble3D val="0"/>
                  <c15:dLbl>
                    <c:idx val="1"/>
                    <c:layout>
                      <c:manualLayout>
                        <c:x val="6.3517916677987035E-2"/>
                        <c:y val="-0.15964384528252837"/>
                      </c:manualLayout>
                    </c:layout>
                    <c:showLegendKey val="0"/>
                    <c:showVal val="0"/>
                    <c:showCatName val="1"/>
                    <c:showSerName val="0"/>
                    <c:showPercent val="1"/>
                    <c:showBubbleSize val="0"/>
                    <c:extLst>
                      <c:ext uri="{CE6537A1-D6FC-4f65-9D91-7224C49458BB}"/>
                      <c:ext xmlns:c16="http://schemas.microsoft.com/office/drawing/2014/chart" uri="{C3380CC4-5D6E-409C-BE32-E72D297353CC}">
                        <c16:uniqueId val="{00000009-F95C-4940-832B-54F743C936F6}"/>
                      </c:ext>
                    </c:extLst>
                  </c15:dLbl>
                </c15:categoryFilterException>
                <c15:categoryFilterException>
                  <c15:sqref>'18.23'!$H$6</c15:sqref>
                  <c15:spPr xmlns:c15="http://schemas.microsoft.com/office/drawing/2012/chart">
                    <a:solidFill>
                      <a:schemeClr val="bg1">
                        <a:lumMod val="65000"/>
                      </a:schemeClr>
                    </a:solidFill>
                    <a:ln>
                      <a:noFill/>
                    </a:ln>
                    <a:effectLst/>
                  </c15:spPr>
                  <c15:bubble3D val="0"/>
                  <c15:dLbl>
                    <c:idx val="3"/>
                    <c:layout>
                      <c:manualLayout>
                        <c:x val="0.1383829361594883"/>
                        <c:y val="8.4253250366647783E-2"/>
                      </c:manualLayout>
                    </c:layout>
                    <c:showLegendKey val="0"/>
                    <c:showVal val="0"/>
                    <c:showCatName val="1"/>
                    <c:showSerName val="0"/>
                    <c:showPercent val="1"/>
                    <c:showBubbleSize val="0"/>
                    <c:extLst>
                      <c:ext uri="{CE6537A1-D6FC-4f65-9D91-7224C49458BB}"/>
                      <c:ext xmlns:c16="http://schemas.microsoft.com/office/drawing/2014/chart" uri="{C3380CC4-5D6E-409C-BE32-E72D297353CC}">
                        <c16:uniqueId val="{0000000B-F95C-4940-832B-54F743C936F6}"/>
                      </c:ext>
                    </c:extLst>
                  </c15:dLbl>
                </c15:categoryFilterException>
              </c15:categoryFilterExceptions>
            </c:ext>
            <c:ext xmlns:c16="http://schemas.microsoft.com/office/drawing/2014/chart" uri="{C3380CC4-5D6E-409C-BE32-E72D297353CC}">
              <c16:uniqueId val="{0000000D-BD92-4C81-B0AB-2F1D8DF8BD9E}"/>
            </c:ext>
          </c:extLst>
        </c:ser>
        <c:dLbls>
          <c:showLegendKey val="0"/>
          <c:showVal val="0"/>
          <c:showCatName val="1"/>
          <c:showSerName val="0"/>
          <c:showPercent val="1"/>
          <c:showBubbleSize val="0"/>
          <c:showLeaderLines val="1"/>
        </c:dLbls>
        <c:firstSliceAng val="115"/>
        <c:holeSize val="50"/>
      </c:doughnutChart>
    </c:plotArea>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388929</xdr:colOff>
      <xdr:row>34</xdr:row>
      <xdr:rowOff>94709</xdr:rowOff>
    </xdr:from>
    <xdr:to>
      <xdr:col>8</xdr:col>
      <xdr:colOff>834236</xdr:colOff>
      <xdr:row>50</xdr:row>
      <xdr:rowOff>11997</xdr:rowOff>
    </xdr:to>
    <xdr:graphicFrame macro="">
      <xdr:nvGraphicFramePr>
        <xdr:cNvPr id="2" name="Chart 1">
          <a:extLst>
            <a:ext uri="{FF2B5EF4-FFF2-40B4-BE49-F238E27FC236}">
              <a16:creationId xmlns:a16="http://schemas.microsoft.com/office/drawing/2014/main" id="{357D16BA-2143-4315-B07E-7B3B5AFBF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8DC09-A4AE-4A20-A2C2-285C149BD5E2}">
  <sheetPr>
    <tabColor rgb="FF92D050"/>
  </sheetPr>
  <dimension ref="A1:AE52"/>
  <sheetViews>
    <sheetView tabSelected="1" zoomScale="75" zoomScaleNormal="75" workbookViewId="0">
      <selection activeCell="A60" sqref="A60:XFD96"/>
    </sheetView>
  </sheetViews>
  <sheetFormatPr defaultColWidth="9.1796875" defaultRowHeight="14.5"/>
  <cols>
    <col min="1" max="1" width="28.7265625" style="3" customWidth="1"/>
    <col min="2" max="2" width="18.26953125" style="3" customWidth="1"/>
    <col min="3" max="3" width="16.7265625" style="3" bestFit="1" customWidth="1"/>
    <col min="4" max="6" width="15.7265625" style="3" customWidth="1"/>
    <col min="7" max="9" width="18.26953125" style="3" customWidth="1"/>
    <col min="10" max="10" width="22" style="3" bestFit="1" customWidth="1"/>
    <col min="11" max="11" width="9.1796875" style="3"/>
    <col min="12" max="12" width="14.26953125" style="3" bestFit="1" customWidth="1"/>
    <col min="13" max="21" width="14.26953125" style="3" customWidth="1"/>
    <col min="22" max="22" width="9.1796875" style="3"/>
    <col min="23" max="23" width="10.7265625" style="3" customWidth="1"/>
    <col min="24" max="24" width="9.81640625" style="3" customWidth="1"/>
    <col min="25" max="25" width="15.26953125" style="3" customWidth="1"/>
    <col min="26" max="31" width="16.1796875" style="3" customWidth="1"/>
    <col min="32" max="16384" width="9.1796875" style="3"/>
  </cols>
  <sheetData>
    <row r="1" spans="1:28" ht="21" customHeight="1">
      <c r="A1" s="51" t="s">
        <v>73</v>
      </c>
      <c r="B1" s="51"/>
      <c r="C1" s="51"/>
      <c r="D1" s="51"/>
      <c r="E1" s="51"/>
      <c r="F1" s="51"/>
      <c r="G1" s="51"/>
      <c r="H1" s="51"/>
      <c r="I1" s="51"/>
      <c r="J1" s="51"/>
    </row>
    <row r="2" spans="1:28" s="4" customFormat="1" ht="15" customHeight="1">
      <c r="A2" s="48" t="s">
        <v>72</v>
      </c>
      <c r="B2" s="48"/>
      <c r="C2" s="48"/>
      <c r="D2" s="48"/>
      <c r="E2" s="48"/>
      <c r="F2" s="48"/>
      <c r="G2" s="48"/>
      <c r="H2" s="48"/>
      <c r="I2" s="48"/>
      <c r="J2" s="48"/>
    </row>
    <row r="3" spans="1:28" s="4" customFormat="1">
      <c r="A3" s="14"/>
      <c r="B3" s="14"/>
      <c r="C3" s="14"/>
      <c r="D3" s="14"/>
      <c r="E3" s="14"/>
      <c r="F3" s="14"/>
      <c r="G3" s="14"/>
      <c r="H3" s="14"/>
      <c r="I3" s="14"/>
      <c r="J3" s="14"/>
    </row>
    <row r="4" spans="1:28" s="4" customFormat="1" ht="29">
      <c r="A4" s="46" t="s">
        <v>3</v>
      </c>
      <c r="B4" s="5" t="s">
        <v>31</v>
      </c>
      <c r="C4" s="6" t="s">
        <v>32</v>
      </c>
      <c r="D4" s="6" t="s">
        <v>1</v>
      </c>
      <c r="E4" s="6" t="s">
        <v>33</v>
      </c>
      <c r="F4" s="6" t="s">
        <v>34</v>
      </c>
      <c r="G4" s="7" t="s">
        <v>45</v>
      </c>
      <c r="H4" s="8" t="s">
        <v>46</v>
      </c>
      <c r="I4" s="8" t="s">
        <v>47</v>
      </c>
      <c r="J4" s="49" t="s">
        <v>2</v>
      </c>
    </row>
    <row r="5" spans="1:28" s="4" customFormat="1" ht="18.75" customHeight="1">
      <c r="A5" s="47"/>
      <c r="B5" s="9" t="s">
        <v>37</v>
      </c>
      <c r="C5" s="10" t="s">
        <v>38</v>
      </c>
      <c r="D5" s="10" t="s">
        <v>39</v>
      </c>
      <c r="E5" s="10" t="s">
        <v>40</v>
      </c>
      <c r="F5" s="10" t="s">
        <v>41</v>
      </c>
      <c r="G5" s="9" t="s">
        <v>42</v>
      </c>
      <c r="H5" s="9" t="s">
        <v>43</v>
      </c>
      <c r="I5" s="9" t="s">
        <v>43</v>
      </c>
      <c r="J5" s="50"/>
    </row>
    <row r="6" spans="1:28" s="11" customFormat="1" ht="17.5">
      <c r="A6" s="12" t="s">
        <v>4</v>
      </c>
      <c r="B6" s="43">
        <f>SUM(B7+B8+B29)</f>
        <v>3324220578.9116092</v>
      </c>
      <c r="C6" s="43">
        <f t="shared" ref="C6:I6" si="0">SUM(C7+C8+C29)</f>
        <v>1904604890.9702005</v>
      </c>
      <c r="D6" s="43">
        <f t="shared" si="0"/>
        <v>971620682.29999995</v>
      </c>
      <c r="E6" s="43">
        <f t="shared" si="0"/>
        <v>80739101</v>
      </c>
      <c r="F6" s="43">
        <f t="shared" si="0"/>
        <v>180810919.50999999</v>
      </c>
      <c r="G6" s="43">
        <f t="shared" si="0"/>
        <v>97654282</v>
      </c>
      <c r="H6" s="43">
        <f t="shared" si="0"/>
        <v>3565464</v>
      </c>
      <c r="I6" s="43">
        <f t="shared" si="0"/>
        <v>19852296</v>
      </c>
      <c r="J6" s="15" t="s">
        <v>44</v>
      </c>
      <c r="L6" s="16"/>
      <c r="M6" s="16"/>
      <c r="N6" s="16"/>
      <c r="O6" s="16"/>
      <c r="P6" s="16"/>
      <c r="Q6" s="16"/>
      <c r="R6" s="16"/>
      <c r="S6" s="16"/>
      <c r="T6" s="16"/>
      <c r="U6" s="16"/>
    </row>
    <row r="7" spans="1:28" s="18" customFormat="1" ht="17.5">
      <c r="A7" s="17" t="s">
        <v>5</v>
      </c>
      <c r="B7" s="43">
        <v>1918822128.98001</v>
      </c>
      <c r="C7" s="43">
        <v>932703732</v>
      </c>
      <c r="D7" s="43">
        <v>613215669</v>
      </c>
      <c r="E7" s="43">
        <v>74044028</v>
      </c>
      <c r="F7" s="43">
        <v>159725616</v>
      </c>
      <c r="G7" s="43">
        <v>97654282</v>
      </c>
      <c r="H7" s="43">
        <v>3565464</v>
      </c>
      <c r="I7" s="43">
        <v>19852296</v>
      </c>
      <c r="J7" s="15" t="s">
        <v>6</v>
      </c>
    </row>
    <row r="8" spans="1:28" s="18" customFormat="1" ht="17.5">
      <c r="A8" s="17" t="s">
        <v>7</v>
      </c>
      <c r="B8" s="43">
        <v>987144181.26999903</v>
      </c>
      <c r="C8" s="43">
        <f>SUM(C9:C28)</f>
        <v>568579870.97000003</v>
      </c>
      <c r="D8" s="43">
        <f t="shared" ref="D8:F8" si="1">SUM(D9:D28)</f>
        <v>358405013.29999995</v>
      </c>
      <c r="E8" s="43">
        <f t="shared" si="1"/>
        <v>6695073</v>
      </c>
      <c r="F8" s="43">
        <f t="shared" si="1"/>
        <v>21085303.510000002</v>
      </c>
      <c r="G8" s="13">
        <v>0</v>
      </c>
      <c r="H8" s="13">
        <v>0</v>
      </c>
      <c r="I8" s="13">
        <v>0</v>
      </c>
      <c r="J8" s="15" t="s">
        <v>8</v>
      </c>
    </row>
    <row r="9" spans="1:28">
      <c r="A9" s="19" t="s">
        <v>9</v>
      </c>
      <c r="B9" s="43">
        <v>54287011.130000025</v>
      </c>
      <c r="C9" s="42">
        <v>29139683.399999999</v>
      </c>
      <c r="D9" s="42">
        <v>20482308.400000017</v>
      </c>
      <c r="E9" s="13">
        <v>0</v>
      </c>
      <c r="F9" s="42">
        <v>683013</v>
      </c>
      <c r="G9" s="13">
        <v>0</v>
      </c>
      <c r="H9" s="13">
        <v>0</v>
      </c>
      <c r="I9" s="13">
        <v>0</v>
      </c>
      <c r="J9" s="20" t="s">
        <v>48</v>
      </c>
    </row>
    <row r="10" spans="1:28">
      <c r="A10" s="19" t="s">
        <v>10</v>
      </c>
      <c r="B10" s="43">
        <v>137322175.10999992</v>
      </c>
      <c r="C10" s="42">
        <v>81240538.739999995</v>
      </c>
      <c r="D10" s="42">
        <v>44538291.779999971</v>
      </c>
      <c r="E10" s="42">
        <v>2389846</v>
      </c>
      <c r="F10" s="42">
        <v>3118132</v>
      </c>
      <c r="G10" s="13">
        <v>0</v>
      </c>
      <c r="H10" s="13">
        <v>0</v>
      </c>
      <c r="I10" s="13">
        <v>0</v>
      </c>
      <c r="J10" s="20" t="s">
        <v>49</v>
      </c>
    </row>
    <row r="11" spans="1:28">
      <c r="A11" s="19" t="s">
        <v>11</v>
      </c>
      <c r="B11" s="43">
        <v>35381858.329999954</v>
      </c>
      <c r="C11" s="42">
        <v>22016118.090000004</v>
      </c>
      <c r="D11" s="42">
        <v>15487289.009999992</v>
      </c>
      <c r="E11" s="13">
        <v>0</v>
      </c>
      <c r="F11" s="13">
        <v>0</v>
      </c>
      <c r="G11" s="13">
        <v>0</v>
      </c>
      <c r="H11" s="13">
        <v>0</v>
      </c>
      <c r="I11" s="13">
        <v>0</v>
      </c>
      <c r="J11" s="20" t="s">
        <v>30</v>
      </c>
      <c r="K11" s="21"/>
    </row>
    <row r="12" spans="1:28">
      <c r="A12" s="19" t="s">
        <v>12</v>
      </c>
      <c r="B12" s="43">
        <v>30213259.12999998</v>
      </c>
      <c r="C12" s="42">
        <v>17755306.5</v>
      </c>
      <c r="D12" s="42">
        <v>12899921.329999994</v>
      </c>
      <c r="E12" s="13">
        <v>0</v>
      </c>
      <c r="F12" s="13">
        <v>0</v>
      </c>
      <c r="G12" s="13">
        <v>0</v>
      </c>
      <c r="H12" s="13">
        <v>0</v>
      </c>
      <c r="I12" s="13">
        <v>0</v>
      </c>
      <c r="J12" s="20" t="s">
        <v>50</v>
      </c>
    </row>
    <row r="13" spans="1:28">
      <c r="A13" s="19" t="s">
        <v>13</v>
      </c>
      <c r="B13" s="43">
        <v>79936479.409999982</v>
      </c>
      <c r="C13" s="42">
        <v>53858887.610000014</v>
      </c>
      <c r="D13" s="42">
        <v>27144737.920000002</v>
      </c>
      <c r="E13" s="13">
        <v>0</v>
      </c>
      <c r="F13" s="42">
        <v>318815</v>
      </c>
      <c r="G13" s="13">
        <v>0</v>
      </c>
      <c r="H13" s="13">
        <v>0</v>
      </c>
      <c r="I13" s="13">
        <v>0</v>
      </c>
      <c r="J13" s="20" t="s">
        <v>51</v>
      </c>
    </row>
    <row r="14" spans="1:28">
      <c r="A14" s="19" t="s">
        <v>14</v>
      </c>
      <c r="B14" s="43">
        <v>36842321.279999971</v>
      </c>
      <c r="C14" s="42">
        <v>22506026.390000001</v>
      </c>
      <c r="D14" s="42">
        <v>14566034.880000001</v>
      </c>
      <c r="E14" s="13">
        <v>0</v>
      </c>
      <c r="F14" s="13">
        <v>0</v>
      </c>
      <c r="G14" s="13">
        <v>0</v>
      </c>
      <c r="H14" s="13">
        <v>0</v>
      </c>
      <c r="I14" s="13">
        <v>0</v>
      </c>
      <c r="J14" s="20" t="s">
        <v>52</v>
      </c>
    </row>
    <row r="15" spans="1:28">
      <c r="A15" s="19" t="s">
        <v>15</v>
      </c>
      <c r="B15" s="43">
        <v>34214869.020000026</v>
      </c>
      <c r="C15" s="42">
        <v>17414884.220000003</v>
      </c>
      <c r="D15" s="42">
        <v>16050701.600000001</v>
      </c>
      <c r="E15" s="13">
        <v>0</v>
      </c>
      <c r="F15" s="42">
        <v>85890</v>
      </c>
      <c r="G15" s="13">
        <v>0</v>
      </c>
      <c r="H15" s="13">
        <v>0</v>
      </c>
      <c r="I15" s="13">
        <v>0</v>
      </c>
      <c r="J15" s="20" t="s">
        <v>29</v>
      </c>
    </row>
    <row r="16" spans="1:28">
      <c r="A16" s="19" t="s">
        <v>53</v>
      </c>
      <c r="B16" s="43">
        <v>27744202.329999983</v>
      </c>
      <c r="C16" s="42">
        <v>13396625.92</v>
      </c>
      <c r="D16" s="42">
        <v>11843582.689999999</v>
      </c>
      <c r="E16" s="13">
        <v>0</v>
      </c>
      <c r="F16" s="42">
        <v>378250</v>
      </c>
      <c r="G16" s="13">
        <v>0</v>
      </c>
      <c r="H16" s="13">
        <v>0</v>
      </c>
      <c r="I16" s="13">
        <v>0</v>
      </c>
      <c r="J16" s="20" t="s">
        <v>54</v>
      </c>
      <c r="W16" s="22"/>
      <c r="X16" s="22"/>
      <c r="Y16" s="22"/>
      <c r="Z16" s="22"/>
      <c r="AA16" s="22"/>
      <c r="AB16" s="22"/>
    </row>
    <row r="17" spans="1:29">
      <c r="A17" s="23" t="s">
        <v>17</v>
      </c>
      <c r="B17" s="43">
        <v>15544643.890000004</v>
      </c>
      <c r="C17" s="42">
        <v>8808557.4800000004</v>
      </c>
      <c r="D17" s="42">
        <v>6202924.1799999969</v>
      </c>
      <c r="E17" s="13">
        <v>0</v>
      </c>
      <c r="F17" s="13">
        <v>0</v>
      </c>
      <c r="G17" s="13">
        <v>0</v>
      </c>
      <c r="H17" s="13">
        <v>0</v>
      </c>
      <c r="I17" s="13">
        <v>0</v>
      </c>
      <c r="J17" s="20" t="s">
        <v>55</v>
      </c>
      <c r="W17" s="24"/>
      <c r="X17" s="2"/>
      <c r="Y17" s="2"/>
      <c r="Z17" s="2"/>
      <c r="AA17" s="2"/>
      <c r="AB17" s="25"/>
      <c r="AC17" s="25"/>
    </row>
    <row r="18" spans="1:29">
      <c r="A18" s="19" t="s">
        <v>18</v>
      </c>
      <c r="B18" s="43">
        <v>32476057.359999996</v>
      </c>
      <c r="C18" s="42">
        <v>17162522.509999998</v>
      </c>
      <c r="D18" s="42">
        <v>9537319.0699999966</v>
      </c>
      <c r="E18" s="42">
        <v>12000</v>
      </c>
      <c r="F18" s="42">
        <v>3008421</v>
      </c>
      <c r="G18" s="13">
        <v>0</v>
      </c>
      <c r="H18" s="13">
        <v>0</v>
      </c>
      <c r="I18" s="13">
        <v>0</v>
      </c>
      <c r="J18" s="20" t="s">
        <v>56</v>
      </c>
      <c r="W18" s="26"/>
      <c r="X18" s="26"/>
      <c r="Y18" s="26"/>
      <c r="Z18" s="26"/>
      <c r="AA18" s="27"/>
      <c r="AB18" s="28"/>
      <c r="AC18" s="29"/>
    </row>
    <row r="19" spans="1:29">
      <c r="A19" s="19" t="s">
        <v>19</v>
      </c>
      <c r="B19" s="43">
        <v>3741727.4899999946</v>
      </c>
      <c r="C19" s="42">
        <v>2015349.96</v>
      </c>
      <c r="D19" s="42">
        <v>1786469.75</v>
      </c>
      <c r="E19" s="13">
        <v>0</v>
      </c>
      <c r="F19" s="13">
        <v>0</v>
      </c>
      <c r="G19" s="13">
        <v>0</v>
      </c>
      <c r="H19" s="13">
        <v>0</v>
      </c>
      <c r="I19" s="13">
        <v>0</v>
      </c>
      <c r="J19" s="20" t="s">
        <v>57</v>
      </c>
      <c r="W19" s="22"/>
      <c r="X19" s="22"/>
      <c r="Y19" s="22"/>
      <c r="Z19" s="22"/>
      <c r="AA19" s="22"/>
      <c r="AB19" s="22"/>
    </row>
    <row r="20" spans="1:29">
      <c r="A20" s="19" t="s">
        <v>20</v>
      </c>
      <c r="B20" s="43">
        <v>12266333.219999995</v>
      </c>
      <c r="C20" s="42">
        <v>7249262.7699999996</v>
      </c>
      <c r="D20" s="42">
        <v>5101708.2400000012</v>
      </c>
      <c r="E20" s="13">
        <v>0</v>
      </c>
      <c r="F20" s="13">
        <v>0</v>
      </c>
      <c r="G20" s="13">
        <v>0</v>
      </c>
      <c r="H20" s="13">
        <v>0</v>
      </c>
      <c r="I20" s="13">
        <v>0</v>
      </c>
      <c r="J20" s="20" t="s">
        <v>58</v>
      </c>
    </row>
    <row r="21" spans="1:29">
      <c r="A21" s="19" t="s">
        <v>21</v>
      </c>
      <c r="B21" s="43">
        <v>16938669.609999999</v>
      </c>
      <c r="C21" s="42">
        <v>11205749.709999999</v>
      </c>
      <c r="D21" s="42">
        <v>6029421.2699999996</v>
      </c>
      <c r="E21" s="13">
        <v>0</v>
      </c>
      <c r="F21" s="13">
        <v>0</v>
      </c>
      <c r="G21" s="13">
        <v>0</v>
      </c>
      <c r="H21" s="13">
        <v>0</v>
      </c>
      <c r="I21" s="13">
        <v>0</v>
      </c>
      <c r="J21" s="20" t="s">
        <v>59</v>
      </c>
    </row>
    <row r="22" spans="1:29">
      <c r="A22" s="19" t="s">
        <v>22</v>
      </c>
      <c r="B22" s="43">
        <v>22002015.38000001</v>
      </c>
      <c r="C22" s="42">
        <v>11872790.499999998</v>
      </c>
      <c r="D22" s="42">
        <v>9371501.3799999971</v>
      </c>
      <c r="E22" s="13">
        <v>0</v>
      </c>
      <c r="F22" s="13">
        <v>0</v>
      </c>
      <c r="G22" s="13">
        <v>0</v>
      </c>
      <c r="H22" s="13">
        <v>0</v>
      </c>
      <c r="I22" s="13">
        <v>0</v>
      </c>
      <c r="J22" s="20" t="s">
        <v>60</v>
      </c>
    </row>
    <row r="23" spans="1:29">
      <c r="A23" s="19" t="s">
        <v>23</v>
      </c>
      <c r="B23" s="43">
        <v>32527426.309999991</v>
      </c>
      <c r="C23" s="42">
        <v>21854890.789999999</v>
      </c>
      <c r="D23" s="42">
        <v>11585032.709999999</v>
      </c>
      <c r="E23" s="13">
        <v>0</v>
      </c>
      <c r="F23" s="13">
        <v>0</v>
      </c>
      <c r="G23" s="13">
        <v>0</v>
      </c>
      <c r="H23" s="13">
        <v>0</v>
      </c>
      <c r="I23" s="13">
        <v>0</v>
      </c>
      <c r="J23" s="20" t="s">
        <v>61</v>
      </c>
    </row>
    <row r="24" spans="1:29">
      <c r="A24" s="19" t="s">
        <v>24</v>
      </c>
      <c r="B24" s="43">
        <v>69535063.000000045</v>
      </c>
      <c r="C24" s="42">
        <v>41002320.370000005</v>
      </c>
      <c r="D24" s="42">
        <v>25213250.699999992</v>
      </c>
      <c r="E24" s="13">
        <v>0</v>
      </c>
      <c r="F24" s="13">
        <v>0</v>
      </c>
      <c r="G24" s="13">
        <v>0</v>
      </c>
      <c r="H24" s="13">
        <v>0</v>
      </c>
      <c r="I24" s="13">
        <v>0</v>
      </c>
      <c r="J24" s="20" t="s">
        <v>62</v>
      </c>
    </row>
    <row r="25" spans="1:29">
      <c r="A25" s="19" t="s">
        <v>25</v>
      </c>
      <c r="B25" s="43">
        <v>43056023.359999999</v>
      </c>
      <c r="C25" s="42">
        <v>19263418.98</v>
      </c>
      <c r="D25" s="42">
        <v>21518295.779999975</v>
      </c>
      <c r="E25" s="13">
        <v>0</v>
      </c>
      <c r="F25" s="42">
        <v>316305</v>
      </c>
      <c r="G25" s="13">
        <v>0</v>
      </c>
      <c r="H25" s="13">
        <v>0</v>
      </c>
      <c r="I25" s="13">
        <v>0</v>
      </c>
      <c r="J25" s="20" t="s">
        <v>63</v>
      </c>
    </row>
    <row r="26" spans="1:29">
      <c r="A26" s="19" t="s">
        <v>26</v>
      </c>
      <c r="B26" s="43">
        <v>68069331.739999935</v>
      </c>
      <c r="C26" s="42">
        <v>40749796.400000006</v>
      </c>
      <c r="D26" s="42">
        <v>24133690.779999994</v>
      </c>
      <c r="E26" s="42">
        <v>386772.5</v>
      </c>
      <c r="F26" s="42">
        <v>338965</v>
      </c>
      <c r="G26" s="13">
        <v>0</v>
      </c>
      <c r="H26" s="13">
        <v>0</v>
      </c>
      <c r="I26" s="13">
        <v>0</v>
      </c>
      <c r="J26" s="20" t="s">
        <v>64</v>
      </c>
    </row>
    <row r="27" spans="1:29">
      <c r="A27" s="19" t="s">
        <v>27</v>
      </c>
      <c r="B27" s="43">
        <v>43566784.929999962</v>
      </c>
      <c r="C27" s="42">
        <v>23166411</v>
      </c>
      <c r="D27" s="42">
        <v>17207150.450000003</v>
      </c>
      <c r="E27" s="42">
        <v>947068.5</v>
      </c>
      <c r="F27" s="42">
        <v>1435751.45</v>
      </c>
      <c r="G27" s="13">
        <v>0</v>
      </c>
      <c r="H27" s="13">
        <v>0</v>
      </c>
      <c r="I27" s="13">
        <v>0</v>
      </c>
      <c r="J27" s="20" t="s">
        <v>16</v>
      </c>
    </row>
    <row r="28" spans="1:29">
      <c r="A28" s="19" t="s">
        <v>28</v>
      </c>
      <c r="B28" s="43">
        <v>191477929.23999971</v>
      </c>
      <c r="C28" s="42">
        <v>106900729.63000001</v>
      </c>
      <c r="D28" s="42">
        <v>57705381.38000001</v>
      </c>
      <c r="E28" s="42">
        <v>2959386</v>
      </c>
      <c r="F28" s="42">
        <v>11401761.060000002</v>
      </c>
      <c r="G28" s="13">
        <v>0</v>
      </c>
      <c r="H28" s="13">
        <v>0</v>
      </c>
      <c r="I28" s="13">
        <v>0</v>
      </c>
      <c r="J28" s="20" t="s">
        <v>65</v>
      </c>
    </row>
    <row r="29" spans="1:29" ht="17.5">
      <c r="A29" s="30" t="s">
        <v>66</v>
      </c>
      <c r="B29" s="44">
        <v>418254268.66159999</v>
      </c>
      <c r="C29" s="40">
        <v>403321288.00020045</v>
      </c>
      <c r="D29" s="41">
        <v>0</v>
      </c>
      <c r="E29" s="41">
        <v>0</v>
      </c>
      <c r="F29" s="41">
        <v>0</v>
      </c>
      <c r="G29" s="41">
        <v>0</v>
      </c>
      <c r="H29" s="41">
        <v>0</v>
      </c>
      <c r="I29" s="41">
        <v>0</v>
      </c>
      <c r="J29" s="31" t="s">
        <v>67</v>
      </c>
    </row>
    <row r="30" spans="1:29" ht="17.5">
      <c r="A30" s="45" t="s">
        <v>0</v>
      </c>
      <c r="B30" s="32"/>
      <c r="C30" s="32"/>
      <c r="D30" s="32"/>
      <c r="E30" s="32"/>
      <c r="F30" s="32"/>
      <c r="G30" s="32"/>
      <c r="H30" s="32"/>
      <c r="I30" s="32"/>
      <c r="J30" s="33"/>
    </row>
    <row r="31" spans="1:29" ht="22.5" customHeight="1">
      <c r="A31" s="52" t="s">
        <v>74</v>
      </c>
      <c r="B31" s="52"/>
      <c r="C31" s="52"/>
      <c r="D31" s="52"/>
      <c r="E31" s="52"/>
      <c r="F31" s="52"/>
      <c r="G31" s="52"/>
      <c r="H31" s="52"/>
      <c r="I31" s="52"/>
      <c r="J31" s="52"/>
    </row>
    <row r="32" spans="1:29" s="32" customFormat="1" ht="16">
      <c r="A32" s="34" t="s">
        <v>68</v>
      </c>
      <c r="J32" s="35"/>
    </row>
    <row r="33" spans="1:31" s="32" customFormat="1" ht="16">
      <c r="A33" s="36" t="s">
        <v>69</v>
      </c>
      <c r="J33" s="35"/>
    </row>
    <row r="34" spans="1:31" ht="16">
      <c r="A34" s="1" t="s">
        <v>70</v>
      </c>
      <c r="B34" s="32"/>
      <c r="C34" s="32"/>
      <c r="D34" s="32"/>
      <c r="E34" s="32"/>
      <c r="F34" s="32"/>
      <c r="G34" s="32"/>
      <c r="H34" s="32"/>
      <c r="I34" s="32"/>
      <c r="J34" s="35"/>
    </row>
    <row r="36" spans="1:31" ht="24" customHeight="1"/>
    <row r="38" spans="1:31" ht="26">
      <c r="Y38" s="6" t="s">
        <v>32</v>
      </c>
      <c r="Z38" s="6" t="s">
        <v>1</v>
      </c>
      <c r="AA38" s="6" t="s">
        <v>33</v>
      </c>
      <c r="AB38" s="6" t="s">
        <v>34</v>
      </c>
      <c r="AC38" s="7" t="s">
        <v>71</v>
      </c>
      <c r="AD38" s="8" t="s">
        <v>35</v>
      </c>
      <c r="AE38" s="8" t="s">
        <v>36</v>
      </c>
    </row>
    <row r="39" spans="1:31">
      <c r="Y39" s="29">
        <f>C6</f>
        <v>1904604890.9702005</v>
      </c>
      <c r="Z39" s="29">
        <f t="shared" ref="Z39:AD39" si="2">D6</f>
        <v>971620682.29999995</v>
      </c>
      <c r="AA39" s="29">
        <f t="shared" si="2"/>
        <v>80739101</v>
      </c>
      <c r="AB39" s="29">
        <f t="shared" si="2"/>
        <v>180810919.50999999</v>
      </c>
      <c r="AC39" s="29">
        <f t="shared" si="2"/>
        <v>97654282</v>
      </c>
      <c r="AD39" s="29">
        <f t="shared" si="2"/>
        <v>3565464</v>
      </c>
      <c r="AE39" s="29">
        <f>I6</f>
        <v>19852296</v>
      </c>
    </row>
    <row r="42" spans="1:31">
      <c r="A42" s="37"/>
      <c r="C42" s="38"/>
      <c r="D42" s="38"/>
      <c r="E42" s="38"/>
      <c r="F42" s="38"/>
      <c r="G42" s="38"/>
      <c r="H42" s="38"/>
      <c r="I42" s="38"/>
    </row>
    <row r="43" spans="1:31">
      <c r="A43" s="37"/>
      <c r="B43" s="39"/>
      <c r="C43" s="38"/>
      <c r="D43" s="38"/>
      <c r="E43" s="38"/>
      <c r="F43" s="38"/>
      <c r="G43" s="38"/>
      <c r="H43" s="38"/>
      <c r="I43" s="38"/>
    </row>
    <row r="45" spans="1:31">
      <c r="A45" s="37"/>
      <c r="B45" s="39"/>
      <c r="C45" s="38"/>
      <c r="D45" s="38"/>
      <c r="E45" s="38"/>
      <c r="F45" s="38"/>
      <c r="G45" s="38"/>
      <c r="H45" s="38"/>
      <c r="I45" s="38"/>
    </row>
    <row r="46" spans="1:31">
      <c r="G46" s="38"/>
      <c r="H46" s="38"/>
      <c r="I46" s="38"/>
    </row>
    <row r="47" spans="1:31">
      <c r="G47" s="38"/>
      <c r="H47" s="38"/>
      <c r="I47" s="38"/>
    </row>
    <row r="48" spans="1:31">
      <c r="G48" s="38"/>
      <c r="H48" s="38"/>
      <c r="I48" s="38"/>
    </row>
    <row r="49" spans="7:9">
      <c r="G49" s="38"/>
      <c r="H49" s="38"/>
      <c r="I49" s="38"/>
    </row>
    <row r="50" spans="7:9">
      <c r="G50" s="38"/>
      <c r="H50" s="38"/>
      <c r="I50" s="38"/>
    </row>
    <row r="51" spans="7:9">
      <c r="G51" s="38"/>
      <c r="H51" s="38"/>
      <c r="I51" s="38"/>
    </row>
    <row r="52" spans="7:9">
      <c r="G52" s="38"/>
      <c r="H52" s="38"/>
      <c r="I52" s="38"/>
    </row>
  </sheetData>
  <mergeCells count="5">
    <mergeCell ref="A1:J1"/>
    <mergeCell ref="A2:J2"/>
    <mergeCell ref="A4:A5"/>
    <mergeCell ref="J4:J5"/>
    <mergeCell ref="A31:J31"/>
  </mergeCells>
  <pageMargins left="0.7" right="0.7" top="0.75" bottom="0.75" header="0.3" footer="0.3"/>
  <pageSetup scale="48" orientation="portrait" r:id="rId1"/>
  <colBreaks count="1" manualBreakCount="1">
    <brk id="10" max="5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18.23</vt:lpstr>
      <vt:lpstr>'18.23'!Print_Area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2026-07-27T20:43:53Z</cp:lastPrinted>
  <dcterms:created xsi:type="dcterms:W3CDTF">2025-05-19T08:29:05Z</dcterms:created>
  <dcterms:modified xsi:type="dcterms:W3CDTF">2026-07-27T20:44:19Z</dcterms:modified>
</cp:coreProperties>
</file>