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ension &amp; Social Protection\"/>
    </mc:Choice>
  </mc:AlternateContent>
  <xr:revisionPtr revIDLastSave="0" documentId="13_ncr:1_{3F3492AE-1048-40CA-987C-134EB1A3EF2E}" xr6:coauthVersionLast="47" xr6:coauthVersionMax="47" xr10:uidLastSave="{00000000-0000-0000-0000-000000000000}"/>
  <bookViews>
    <workbookView xWindow="-120" yWindow="-120" windowWidth="29040" windowHeight="15720" tabRatio="756" xr2:uid="{00000000-000D-0000-FFFF-FFFF00000000}"/>
  </bookViews>
  <sheets>
    <sheet name="18.17" sheetId="17" r:id="rId1"/>
  </sheets>
  <definedNames>
    <definedName name="_xlnm.Print_Area" localSheetId="0">'18.17'!$A$1:$AG$40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8" i="17" l="1"/>
  <c r="K19" i="17"/>
  <c r="AE19" i="17" s="1"/>
  <c r="K18" i="17"/>
  <c r="K17" i="17"/>
  <c r="AE17" i="17" s="1"/>
  <c r="K16" i="17"/>
  <c r="AE16" i="17" s="1"/>
  <c r="K15" i="17"/>
  <c r="AE15" i="17" s="1"/>
  <c r="K14" i="17"/>
  <c r="AE14" i="17" s="1"/>
  <c r="K13" i="17"/>
  <c r="AE13" i="17" s="1"/>
  <c r="K12" i="17"/>
  <c r="AE12" i="17" s="1"/>
  <c r="K11" i="17"/>
  <c r="AE11" i="17" s="1"/>
  <c r="K10" i="17"/>
  <c r="AE10" i="17" s="1"/>
  <c r="K9" i="17"/>
  <c r="AE9" i="17" s="1"/>
  <c r="K8" i="17"/>
  <c r="AE8" i="17" s="1"/>
  <c r="M7" i="17"/>
  <c r="L7" i="17"/>
  <c r="K7" i="17" l="1"/>
  <c r="V18" i="17" s="1"/>
  <c r="AE7" i="17" l="1"/>
  <c r="V11" i="17"/>
  <c r="V9" i="17"/>
  <c r="V12" i="17"/>
  <c r="V14" i="17"/>
  <c r="V7" i="17"/>
  <c r="V15" i="17"/>
  <c r="V13" i="17"/>
  <c r="V10" i="17"/>
  <c r="V17" i="17"/>
  <c r="V8" i="17"/>
  <c r="V19" i="17"/>
  <c r="V16" i="17"/>
  <c r="H19" i="17" l="1"/>
  <c r="AD19" i="17" s="1"/>
  <c r="E19" i="17"/>
  <c r="AC19" i="17" s="1"/>
  <c r="B19" i="17"/>
  <c r="AB19" i="17" s="1"/>
  <c r="H18" i="17"/>
  <c r="AD18" i="17" s="1"/>
  <c r="E18" i="17"/>
  <c r="AC18" i="17" s="1"/>
  <c r="B18" i="17"/>
  <c r="AB18" i="17" s="1"/>
  <c r="W18" i="17"/>
  <c r="W17" i="17"/>
  <c r="H17" i="17"/>
  <c r="AD17" i="17" s="1"/>
  <c r="E17" i="17"/>
  <c r="AC17" i="17" s="1"/>
  <c r="B17" i="17"/>
  <c r="X17" i="17"/>
  <c r="H16" i="17"/>
  <c r="E16" i="17"/>
  <c r="AC16" i="17" s="1"/>
  <c r="B16" i="17"/>
  <c r="AB16" i="17" s="1"/>
  <c r="Z16" i="17"/>
  <c r="Y16" i="17"/>
  <c r="X16" i="17"/>
  <c r="W16" i="17"/>
  <c r="H15" i="17"/>
  <c r="AD15" i="17" s="1"/>
  <c r="E15" i="17"/>
  <c r="AC15" i="17" s="1"/>
  <c r="B15" i="17"/>
  <c r="AB15" i="17" s="1"/>
  <c r="AA15" i="17"/>
  <c r="Z15" i="17"/>
  <c r="Y15" i="17"/>
  <c r="X15" i="17"/>
  <c r="W15" i="17"/>
  <c r="H14" i="17"/>
  <c r="AD14" i="17" s="1"/>
  <c r="E14" i="17"/>
  <c r="AC14" i="17" s="1"/>
  <c r="B14" i="17"/>
  <c r="AB14" i="17" s="1"/>
  <c r="AA14" i="17"/>
  <c r="Y14" i="17"/>
  <c r="X14" i="17"/>
  <c r="W14" i="17"/>
  <c r="H13" i="17"/>
  <c r="AD13" i="17" s="1"/>
  <c r="E13" i="17"/>
  <c r="AC13" i="17" s="1"/>
  <c r="B13" i="17"/>
  <c r="AA13" i="17"/>
  <c r="Z13" i="17"/>
  <c r="Y13" i="17"/>
  <c r="X13" i="17"/>
  <c r="W13" i="17"/>
  <c r="H12" i="17"/>
  <c r="E12" i="17"/>
  <c r="AC12" i="17" s="1"/>
  <c r="B12" i="17"/>
  <c r="AB12" i="17" s="1"/>
  <c r="AA12" i="17"/>
  <c r="Z12" i="17"/>
  <c r="Y12" i="17"/>
  <c r="X12" i="17"/>
  <c r="H11" i="17"/>
  <c r="AD11" i="17" s="1"/>
  <c r="E11" i="17"/>
  <c r="B11" i="17"/>
  <c r="AB11" i="17" s="1"/>
  <c r="AA11" i="17"/>
  <c r="Z11" i="17"/>
  <c r="Y11" i="17"/>
  <c r="X11" i="17"/>
  <c r="W11" i="17"/>
  <c r="H10" i="17"/>
  <c r="AD10" i="17" s="1"/>
  <c r="E10" i="17"/>
  <c r="B10" i="17"/>
  <c r="AB10" i="17" s="1"/>
  <c r="AA10" i="17"/>
  <c r="Z10" i="17"/>
  <c r="Y10" i="17"/>
  <c r="X10" i="17"/>
  <c r="W10" i="17"/>
  <c r="H9" i="17"/>
  <c r="AD9" i="17" s="1"/>
  <c r="E9" i="17"/>
  <c r="B9" i="17"/>
  <c r="AB9" i="17" s="1"/>
  <c r="AA9" i="17"/>
  <c r="Z9" i="17"/>
  <c r="Y9" i="17"/>
  <c r="X9" i="17"/>
  <c r="W9" i="17"/>
  <c r="H8" i="17"/>
  <c r="AD8" i="17" s="1"/>
  <c r="E8" i="17"/>
  <c r="AC8" i="17" s="1"/>
  <c r="B8" i="17"/>
  <c r="AA8" i="17"/>
  <c r="Z8" i="17"/>
  <c r="Y8" i="17"/>
  <c r="W8" i="17"/>
  <c r="J7" i="17"/>
  <c r="I7" i="17"/>
  <c r="G7" i="17"/>
  <c r="F7" i="17"/>
  <c r="D7" i="17"/>
  <c r="C7" i="17"/>
  <c r="AA19" i="17" l="1"/>
  <c r="B7" i="17"/>
  <c r="S18" i="17" s="1"/>
  <c r="E7" i="17"/>
  <c r="T18" i="17" s="1"/>
  <c r="N15" i="17"/>
  <c r="Q7" i="17"/>
  <c r="P7" i="17"/>
  <c r="AB8" i="17"/>
  <c r="Q17" i="17"/>
  <c r="P18" i="17"/>
  <c r="P19" i="17"/>
  <c r="O15" i="17"/>
  <c r="AC10" i="17"/>
  <c r="H7" i="17"/>
  <c r="U18" i="17" s="1"/>
  <c r="Q18" i="17"/>
  <c r="AC9" i="17"/>
  <c r="AC11" i="17"/>
  <c r="W12" i="17"/>
  <c r="P14" i="17"/>
  <c r="P15" i="17"/>
  <c r="AA16" i="17"/>
  <c r="Y17" i="17"/>
  <c r="Z17" i="17"/>
  <c r="X18" i="17"/>
  <c r="P9" i="17"/>
  <c r="N11" i="17"/>
  <c r="AA17" i="17"/>
  <c r="Y18" i="17"/>
  <c r="Q16" i="17"/>
  <c r="AD16" i="17"/>
  <c r="AB17" i="17"/>
  <c r="Z18" i="17"/>
  <c r="AA18" i="17"/>
  <c r="W19" i="17"/>
  <c r="X19" i="17"/>
  <c r="T16" i="17"/>
  <c r="Y19" i="17"/>
  <c r="X8" i="17"/>
  <c r="AD12" i="17"/>
  <c r="AB13" i="17"/>
  <c r="Z14" i="17"/>
  <c r="Z19" i="17"/>
  <c r="S10" i="17" l="1"/>
  <c r="S17" i="17"/>
  <c r="Q15" i="17"/>
  <c r="R9" i="17"/>
  <c r="Q13" i="17"/>
  <c r="Q10" i="17"/>
  <c r="Q8" i="17"/>
  <c r="T9" i="17"/>
  <c r="S12" i="17"/>
  <c r="S19" i="17"/>
  <c r="T17" i="17"/>
  <c r="N16" i="17"/>
  <c r="S9" i="17"/>
  <c r="N19" i="17"/>
  <c r="T11" i="17"/>
  <c r="S16" i="17"/>
  <c r="T13" i="17"/>
  <c r="N7" i="17"/>
  <c r="N9" i="17"/>
  <c r="S8" i="17"/>
  <c r="T12" i="17"/>
  <c r="T19" i="17"/>
  <c r="S14" i="17"/>
  <c r="N18" i="17"/>
  <c r="AB7" i="17"/>
  <c r="T10" i="17"/>
  <c r="N8" i="17"/>
  <c r="T7" i="17"/>
  <c r="S15" i="17"/>
  <c r="O11" i="17"/>
  <c r="T15" i="17"/>
  <c r="N10" i="17"/>
  <c r="O13" i="17"/>
  <c r="N12" i="17"/>
  <c r="O9" i="17"/>
  <c r="S13" i="17"/>
  <c r="N17" i="17"/>
  <c r="AC7" i="17"/>
  <c r="T8" i="17"/>
  <c r="T14" i="17"/>
  <c r="S7" i="17"/>
  <c r="S11" i="17"/>
  <c r="U13" i="17"/>
  <c r="U15" i="17"/>
  <c r="Q12" i="17"/>
  <c r="U8" i="17"/>
  <c r="U10" i="17"/>
  <c r="U12" i="17"/>
  <c r="U17" i="17"/>
  <c r="P12" i="17"/>
  <c r="U7" i="17"/>
  <c r="P17" i="17"/>
  <c r="Y7" i="17"/>
  <c r="R19" i="17"/>
  <c r="O12" i="17"/>
  <c r="Q19" i="17"/>
  <c r="P13" i="17"/>
  <c r="R18" i="17"/>
  <c r="P11" i="17"/>
  <c r="R14" i="17"/>
  <c r="Q9" i="17"/>
  <c r="Z7" i="17"/>
  <c r="P10" i="17"/>
  <c r="O7" i="17"/>
  <c r="P8" i="17"/>
  <c r="Q11" i="17"/>
  <c r="R10" i="17"/>
  <c r="P16" i="17"/>
  <c r="Q14" i="17"/>
  <c r="N14" i="17"/>
  <c r="N13" i="17"/>
  <c r="U19" i="17"/>
  <c r="R15" i="17"/>
  <c r="O19" i="17"/>
  <c r="W7" i="17"/>
  <c r="O18" i="17"/>
  <c r="O17" i="17"/>
  <c r="R7" i="17"/>
  <c r="U9" i="17"/>
  <c r="O14" i="17"/>
  <c r="O10" i="17"/>
  <c r="O16" i="17"/>
  <c r="U16" i="17"/>
  <c r="R13" i="17"/>
  <c r="R12" i="17"/>
  <c r="U11" i="17"/>
  <c r="U14" i="17"/>
  <c r="X7" i="17"/>
  <c r="O8" i="17"/>
  <c r="R17" i="17"/>
  <c r="AD7" i="17"/>
  <c r="R8" i="17" l="1"/>
  <c r="R11" i="17"/>
  <c r="AA7" i="17"/>
  <c r="R16" i="17"/>
</calcChain>
</file>

<file path=xl/sharedStrings.xml><?xml version="1.0" encoding="utf-8"?>
<sst xmlns="http://schemas.openxmlformats.org/spreadsheetml/2006/main" count="72" uniqueCount="40">
  <si>
    <t>އިންސައްތަ</t>
  </si>
  <si>
    <t>އަންހެނުންގެ އިން ސައްތަ</t>
  </si>
  <si>
    <t>% share of females</t>
  </si>
  <si>
    <t>ޖުމްލަ</t>
  </si>
  <si>
    <t>ފިރިހެން</t>
  </si>
  <si>
    <t>އަންހެން</t>
  </si>
  <si>
    <t>Total</t>
  </si>
  <si>
    <t>Male</t>
  </si>
  <si>
    <t>Female</t>
  </si>
  <si>
    <t>މަޢުލޫމާތު ދެއްވި ފަރާތް: މޯލްޑިވްސް ޕެންޝަން އެޑްމިނިސްޓްރޭޝަން</t>
  </si>
  <si>
    <t>Source: Maldives Pension Administration</t>
  </si>
  <si>
    <t>Others</t>
  </si>
  <si>
    <t>އެހެނިހެން</t>
  </si>
  <si>
    <t>Place</t>
  </si>
  <si>
    <t>%  share</t>
  </si>
  <si>
    <t>ތަން</t>
  </si>
  <si>
    <t>Government Offices</t>
  </si>
  <si>
    <t>ސަރުކާރު އޮފީސްތައް</t>
  </si>
  <si>
    <t>Independent Agencies</t>
  </si>
  <si>
    <t>މިނިވަން މުޢައްސަސާތައް</t>
  </si>
  <si>
    <t>Judiciary</t>
  </si>
  <si>
    <t xml:space="preserve">ޖުޑީޝަރީ </t>
  </si>
  <si>
    <t>City councils</t>
  </si>
  <si>
    <t xml:space="preserve">ސިޓީ ކައުންސިލްތައް </t>
  </si>
  <si>
    <t>Atoll councils</t>
  </si>
  <si>
    <t>އަތޮޅު ކައުންސިލްތައް</t>
  </si>
  <si>
    <t>Island councils</t>
  </si>
  <si>
    <t>ރަށު ކައުންސިލްތައް</t>
  </si>
  <si>
    <t>Hospitals/health Care facilities</t>
  </si>
  <si>
    <t>ހޮސްޕިޓަލް / ސިއްޙި ޚިދުމަތްދޭ ފަރާތްތައް</t>
  </si>
  <si>
    <t>Schools/universitiy</t>
  </si>
  <si>
    <t>ސްކޫލް / ޔުނިވަރސިޓީ</t>
  </si>
  <si>
    <t>Police/ NSS</t>
  </si>
  <si>
    <t>ފުލުހުން /  ސިފައިން</t>
  </si>
  <si>
    <t>State owned enterprises</t>
  </si>
  <si>
    <t>ސްޓޭޓް އޯންޑް އެންޓަރޕްރައިސަސް</t>
  </si>
  <si>
    <t>Other Private Sector</t>
  </si>
  <si>
    <t>އެހެނިހެން ޕްރައިވެޓް ސެކްޓަރ</t>
  </si>
  <si>
    <t>TABLE   18.17: EMPLOYEES CONTRIBUTING TO THE RETIREMENT PENSION SCHEME, BY TYPE OF EMPLOYER, 2022 - 2025</t>
  </si>
  <si>
    <t>ތާވަލު  18.17 : ތަނުގެ ބާވަތުން، ރިޓާޔަމަންޓް ޕެންޝަން ސްކީމުގައި ހިމެނޭ މުވައްޒަފުންގެ ޢަދަދު ، 2022 - 2025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</si>
</sst>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Faruma"/>
    </font>
    <font>
      <sz val="11"/>
      <color rgb="FF000000"/>
      <name val="Faruma"/>
    </font>
    <font>
      <sz val="10"/>
      <color rgb="FF000000"/>
      <name val="Faruma"/>
    </font>
    <font>
      <i/>
      <sz val="9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name val="Courier"/>
      <family val="3"/>
    </font>
    <font>
      <sz val="11"/>
      <color rgb="FF000000"/>
      <name val="Calibri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rgb="FF000000"/>
      </right>
      <top/>
      <bottom style="thin">
        <color indexed="64"/>
      </bottom>
      <diagonal/>
    </border>
  </borders>
  <cellStyleXfs count="32">
    <xf numFmtId="0" fontId="0" fillId="0" borderId="0"/>
    <xf numFmtId="164" fontId="11" fillId="0" borderId="22"/>
    <xf numFmtId="43" fontId="3" fillId="0" borderId="22" applyFont="0" applyFill="0" applyBorder="0" applyAlignment="0" applyProtection="0"/>
    <xf numFmtId="43" fontId="3" fillId="0" borderId="22" applyFont="0" applyFill="0" applyBorder="0" applyAlignment="0" applyProtection="0"/>
    <xf numFmtId="0" fontId="10" fillId="0" borderId="22"/>
    <xf numFmtId="0" fontId="3" fillId="0" borderId="22"/>
    <xf numFmtId="0" fontId="3" fillId="0" borderId="22"/>
    <xf numFmtId="0" fontId="3" fillId="0" borderId="22"/>
    <xf numFmtId="0" fontId="10" fillId="0" borderId="22"/>
    <xf numFmtId="0" fontId="10" fillId="0" borderId="22"/>
    <xf numFmtId="0" fontId="3" fillId="0" borderId="22"/>
    <xf numFmtId="0" fontId="3" fillId="0" borderId="22"/>
    <xf numFmtId="0" fontId="12" fillId="0" borderId="22"/>
    <xf numFmtId="0" fontId="12" fillId="0" borderId="22"/>
    <xf numFmtId="0" fontId="12" fillId="0" borderId="22"/>
    <xf numFmtId="0" fontId="12" fillId="0" borderId="22"/>
    <xf numFmtId="0" fontId="12" fillId="0" borderId="22"/>
    <xf numFmtId="0" fontId="12" fillId="0" borderId="22"/>
    <xf numFmtId="0" fontId="12" fillId="0" borderId="22"/>
    <xf numFmtId="0" fontId="12" fillId="0" borderId="22"/>
    <xf numFmtId="0" fontId="12" fillId="0" borderId="22"/>
    <xf numFmtId="0" fontId="12" fillId="0" borderId="22"/>
    <xf numFmtId="0" fontId="12" fillId="0" borderId="22"/>
    <xf numFmtId="0" fontId="12" fillId="0" borderId="22"/>
    <xf numFmtId="0" fontId="12" fillId="0" borderId="22"/>
    <xf numFmtId="0" fontId="12" fillId="0" borderId="22"/>
    <xf numFmtId="0" fontId="12" fillId="0" borderId="22"/>
    <xf numFmtId="0" fontId="12" fillId="0" borderId="22"/>
    <xf numFmtId="0" fontId="12" fillId="0" borderId="22"/>
    <xf numFmtId="0" fontId="12" fillId="0" borderId="22"/>
    <xf numFmtId="0" fontId="12" fillId="0" borderId="22"/>
    <xf numFmtId="0" fontId="12" fillId="0" borderId="22"/>
  </cellStyleXfs>
  <cellXfs count="75">
    <xf numFmtId="0" fontId="0" fillId="0" borderId="0" xfId="0"/>
    <xf numFmtId="0" fontId="3" fillId="2" borderId="4" xfId="0" applyFont="1" applyFill="1" applyBorder="1"/>
    <xf numFmtId="0" fontId="4" fillId="2" borderId="4" xfId="0" applyFont="1" applyFill="1" applyBorder="1"/>
    <xf numFmtId="0" fontId="4" fillId="2" borderId="16" xfId="0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right" vertical="center"/>
    </xf>
    <xf numFmtId="0" fontId="1" fillId="2" borderId="4" xfId="0" applyFont="1" applyFill="1" applyBorder="1"/>
    <xf numFmtId="0" fontId="6" fillId="2" borderId="4" xfId="0" applyFont="1" applyFill="1" applyBorder="1"/>
    <xf numFmtId="0" fontId="6" fillId="2" borderId="14" xfId="0" applyFont="1" applyFill="1" applyBorder="1"/>
    <xf numFmtId="0" fontId="4" fillId="2" borderId="4" xfId="0" applyFont="1" applyFill="1" applyBorder="1" applyAlignment="1">
      <alignment horizontal="left" vertical="center"/>
    </xf>
    <xf numFmtId="3" fontId="4" fillId="2" borderId="4" xfId="0" applyNumberFormat="1" applyFont="1" applyFill="1" applyBorder="1" applyAlignment="1">
      <alignment horizontal="right" vertical="center"/>
    </xf>
    <xf numFmtId="3" fontId="4" fillId="2" borderId="4" xfId="0" applyNumberFormat="1" applyFont="1" applyFill="1" applyBorder="1" applyAlignment="1">
      <alignment vertical="center"/>
    </xf>
    <xf numFmtId="3" fontId="4" fillId="2" borderId="18" xfId="0" applyNumberFormat="1" applyFont="1" applyFill="1" applyBorder="1" applyAlignment="1">
      <alignment vertical="center"/>
    </xf>
    <xf numFmtId="0" fontId="3" fillId="2" borderId="4" xfId="0" applyFont="1" applyFill="1" applyBorder="1" applyAlignment="1">
      <alignment horizontal="left" vertical="center"/>
    </xf>
    <xf numFmtId="3" fontId="3" fillId="2" borderId="4" xfId="0" applyNumberFormat="1" applyFont="1" applyFill="1" applyBorder="1" applyAlignment="1">
      <alignment vertical="center"/>
    </xf>
    <xf numFmtId="3" fontId="3" fillId="2" borderId="4" xfId="0" applyNumberFormat="1" applyFont="1" applyFill="1" applyBorder="1" applyAlignment="1">
      <alignment horizontal="right" vertical="center"/>
    </xf>
    <xf numFmtId="3" fontId="3" fillId="2" borderId="4" xfId="0" applyNumberFormat="1" applyFont="1" applyFill="1" applyBorder="1"/>
    <xf numFmtId="0" fontId="3" fillId="2" borderId="14" xfId="0" applyFont="1" applyFill="1" applyBorder="1" applyAlignment="1">
      <alignment horizontal="left" vertical="center"/>
    </xf>
    <xf numFmtId="3" fontId="3" fillId="2" borderId="14" xfId="0" applyNumberFormat="1" applyFont="1" applyFill="1" applyBorder="1" applyAlignment="1">
      <alignment vertical="center"/>
    </xf>
    <xf numFmtId="3" fontId="3" fillId="2" borderId="14" xfId="0" applyNumberFormat="1" applyFont="1" applyFill="1" applyBorder="1" applyAlignment="1">
      <alignment horizontal="right" vertical="center"/>
    </xf>
    <xf numFmtId="0" fontId="8" fillId="2" borderId="4" xfId="0" applyFont="1" applyFill="1" applyBorder="1"/>
    <xf numFmtId="0" fontId="7" fillId="2" borderId="4" xfId="0" applyFont="1" applyFill="1" applyBorder="1"/>
    <xf numFmtId="3" fontId="3" fillId="2" borderId="18" xfId="0" applyNumberFormat="1" applyFont="1" applyFill="1" applyBorder="1" applyAlignment="1">
      <alignment vertical="center"/>
    </xf>
    <xf numFmtId="3" fontId="3" fillId="2" borderId="15" xfId="0" applyNumberFormat="1" applyFont="1" applyFill="1" applyBorder="1" applyAlignment="1">
      <alignment vertical="center"/>
    </xf>
    <xf numFmtId="1" fontId="3" fillId="2" borderId="4" xfId="0" applyNumberFormat="1" applyFont="1" applyFill="1" applyBorder="1"/>
    <xf numFmtId="3" fontId="4" fillId="2" borderId="6" xfId="0" applyNumberFormat="1" applyFont="1" applyFill="1" applyBorder="1" applyAlignment="1">
      <alignment horizontal="right" vertical="center"/>
    </xf>
    <xf numFmtId="0" fontId="3" fillId="2" borderId="18" xfId="0" applyFont="1" applyFill="1" applyBorder="1"/>
    <xf numFmtId="0" fontId="4" fillId="2" borderId="11" xfId="0" applyFont="1" applyFill="1" applyBorder="1" applyAlignment="1">
      <alignment horizontal="right" vertical="center"/>
    </xf>
    <xf numFmtId="0" fontId="4" fillId="2" borderId="12" xfId="0" applyFont="1" applyFill="1" applyBorder="1" applyAlignment="1">
      <alignment horizontal="right" vertical="center"/>
    </xf>
    <xf numFmtId="0" fontId="1" fillId="2" borderId="14" xfId="0" applyFont="1" applyFill="1" applyBorder="1"/>
    <xf numFmtId="0" fontId="1" fillId="2" borderId="15" xfId="0" applyFont="1" applyFill="1" applyBorder="1"/>
    <xf numFmtId="0" fontId="4" fillId="2" borderId="16" xfId="0" applyFont="1" applyFill="1" applyBorder="1"/>
    <xf numFmtId="0" fontId="0" fillId="3" borderId="0" xfId="0" applyFill="1"/>
    <xf numFmtId="0" fontId="3" fillId="2" borderId="22" xfId="0" applyFont="1" applyFill="1" applyBorder="1"/>
    <xf numFmtId="0" fontId="4" fillId="2" borderId="22" xfId="0" applyFont="1" applyFill="1" applyBorder="1"/>
    <xf numFmtId="3" fontId="3" fillId="4" borderId="18" xfId="0" applyNumberFormat="1" applyFont="1" applyFill="1" applyBorder="1" applyAlignment="1">
      <alignment vertical="center"/>
    </xf>
    <xf numFmtId="3" fontId="3" fillId="4" borderId="15" xfId="0" applyNumberFormat="1" applyFont="1" applyFill="1" applyBorder="1" applyAlignment="1">
      <alignment vertical="center"/>
    </xf>
    <xf numFmtId="3" fontId="3" fillId="4" borderId="4" xfId="0" applyNumberFormat="1" applyFont="1" applyFill="1" applyBorder="1" applyAlignment="1">
      <alignment horizontal="right" vertical="center"/>
    </xf>
    <xf numFmtId="3" fontId="3" fillId="4" borderId="14" xfId="0" applyNumberFormat="1" applyFont="1" applyFill="1" applyBorder="1" applyAlignment="1">
      <alignment horizontal="right" vertical="center"/>
    </xf>
    <xf numFmtId="3" fontId="3" fillId="4" borderId="4" xfId="0" applyNumberFormat="1" applyFont="1" applyFill="1" applyBorder="1" applyAlignment="1">
      <alignment vertical="center"/>
    </xf>
    <xf numFmtId="3" fontId="3" fillId="4" borderId="14" xfId="0" applyNumberFormat="1" applyFont="1" applyFill="1" applyBorder="1" applyAlignment="1">
      <alignment vertical="center"/>
    </xf>
    <xf numFmtId="0" fontId="4" fillId="4" borderId="16" xfId="0" applyFont="1" applyFill="1" applyBorder="1"/>
    <xf numFmtId="3" fontId="4" fillId="4" borderId="4" xfId="0" applyNumberFormat="1" applyFont="1" applyFill="1" applyBorder="1" applyAlignment="1">
      <alignment horizontal="right" vertical="center"/>
    </xf>
    <xf numFmtId="3" fontId="3" fillId="4" borderId="22" xfId="0" applyNumberFormat="1" applyFont="1" applyFill="1" applyBorder="1" applyAlignment="1">
      <alignment horizontal="right" vertical="center"/>
    </xf>
    <xf numFmtId="3" fontId="3" fillId="4" borderId="23" xfId="0" applyNumberFormat="1" applyFont="1" applyFill="1" applyBorder="1" applyAlignment="1">
      <alignment horizontal="right" vertical="center"/>
    </xf>
    <xf numFmtId="3" fontId="9" fillId="4" borderId="22" xfId="0" applyNumberFormat="1" applyFont="1" applyFill="1" applyBorder="1" applyAlignment="1">
      <alignment horizontal="right" vertical="center"/>
    </xf>
    <xf numFmtId="3" fontId="9" fillId="4" borderId="27" xfId="0" applyNumberFormat="1" applyFont="1" applyFill="1" applyBorder="1" applyAlignment="1">
      <alignment horizontal="right" vertical="center"/>
    </xf>
    <xf numFmtId="3" fontId="13" fillId="4" borderId="22" xfId="30" applyNumberFormat="1" applyFont="1" applyFill="1" applyAlignment="1">
      <alignment horizontal="right"/>
    </xf>
    <xf numFmtId="3" fontId="13" fillId="4" borderId="27" xfId="30" applyNumberFormat="1" applyFont="1" applyFill="1" applyBorder="1" applyAlignment="1">
      <alignment horizontal="right"/>
    </xf>
    <xf numFmtId="3" fontId="3" fillId="4" borderId="27" xfId="0" applyNumberFormat="1" applyFont="1" applyFill="1" applyBorder="1" applyAlignment="1">
      <alignment horizontal="right" vertical="center"/>
    </xf>
    <xf numFmtId="3" fontId="13" fillId="4" borderId="23" xfId="30" applyNumberFormat="1" applyFont="1" applyFill="1" applyBorder="1" applyAlignment="1">
      <alignment horizontal="right"/>
    </xf>
    <xf numFmtId="3" fontId="13" fillId="4" borderId="15" xfId="30" applyNumberFormat="1" applyFont="1" applyFill="1" applyBorder="1" applyAlignment="1">
      <alignment horizontal="right"/>
    </xf>
    <xf numFmtId="3" fontId="3" fillId="4" borderId="29" xfId="0" applyNumberFormat="1" applyFont="1" applyFill="1" applyBorder="1" applyAlignment="1">
      <alignment horizontal="right" vertical="center"/>
    </xf>
    <xf numFmtId="3" fontId="3" fillId="4" borderId="28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22" xfId="0" applyFont="1" applyFill="1" applyBorder="1"/>
    <xf numFmtId="0" fontId="2" fillId="3" borderId="3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2" fillId="3" borderId="7" xfId="0" applyFont="1" applyFill="1" applyBorder="1"/>
    <xf numFmtId="0" fontId="2" fillId="3" borderId="13" xfId="0" applyFont="1" applyFill="1" applyBorder="1"/>
    <xf numFmtId="0" fontId="4" fillId="2" borderId="8" xfId="0" applyFont="1" applyFill="1" applyBorder="1" applyAlignment="1">
      <alignment horizontal="center"/>
    </xf>
    <xf numFmtId="0" fontId="2" fillId="3" borderId="9" xfId="0" applyFont="1" applyFill="1" applyBorder="1"/>
    <xf numFmtId="0" fontId="2" fillId="3" borderId="10" xfId="0" applyFont="1" applyFill="1" applyBorder="1"/>
    <xf numFmtId="0" fontId="1" fillId="2" borderId="5" xfId="0" applyFont="1" applyFill="1" applyBorder="1" applyAlignment="1">
      <alignment horizontal="right" vertical="center"/>
    </xf>
    <xf numFmtId="0" fontId="4" fillId="2" borderId="20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/>
    </xf>
    <xf numFmtId="0" fontId="5" fillId="2" borderId="25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</cellXfs>
  <cellStyles count="32">
    <cellStyle name="Comma 23" xfId="2" xr:uid="{94027C67-5182-4251-874E-333D39869C41}"/>
    <cellStyle name="Comma 3" xfId="3" xr:uid="{32D59405-9255-4528-A182-E2FB87AEA447}"/>
    <cellStyle name="Normal" xfId="0" builtinId="0"/>
    <cellStyle name="Normal 10" xfId="6" xr:uid="{EBA83A1A-0725-4264-B217-6FB255D01D9A}"/>
    <cellStyle name="Normal 11" xfId="8" xr:uid="{141512A6-9575-4B9F-B0CD-71B08DB8B8DD}"/>
    <cellStyle name="Normal 12" xfId="18" xr:uid="{EBB53E00-7290-4E95-B00B-97E70B994095}"/>
    <cellStyle name="Normal 13" xfId="19" xr:uid="{5089EADD-6FB8-455A-99B7-4CE3F8EA2523}"/>
    <cellStyle name="Normal 14" xfId="20" xr:uid="{6D8E876D-C549-4F8C-BBB2-9044945BA1DE}"/>
    <cellStyle name="Normal 15" xfId="21" xr:uid="{FC8B6F0F-4F04-414B-856A-E9EF52594A17}"/>
    <cellStyle name="Normal 16" xfId="22" xr:uid="{A9472295-1693-4D41-8C43-FD2ACA0018F7}"/>
    <cellStyle name="Normal 17" xfId="23" xr:uid="{AD84AE3E-C9FD-40C7-9E44-467A53F078DC}"/>
    <cellStyle name="Normal 18" xfId="24" xr:uid="{3ECF2013-8279-4761-949D-EDD1A3769A1A}"/>
    <cellStyle name="Normal 19" xfId="25" xr:uid="{2DA431D7-B0FC-4CC3-83FB-38993139A464}"/>
    <cellStyle name="Normal 2" xfId="1" xr:uid="{5582CC97-B3B3-49F0-A32C-77365FA866E7}"/>
    <cellStyle name="Normal 20" xfId="26" xr:uid="{BF15BF13-2BA4-453C-A5D4-7F378D5A7AB0}"/>
    <cellStyle name="Normal 21" xfId="27" xr:uid="{EB16884D-319E-44C4-BACF-AAE219752D74}"/>
    <cellStyle name="Normal 22" xfId="28" xr:uid="{0BC55367-C80F-4644-A253-56F0D6C8449D}"/>
    <cellStyle name="Normal 23" xfId="29" xr:uid="{70D0A6B6-C10D-4B03-BE3E-BCA8F6F565D6}"/>
    <cellStyle name="Normal 24" xfId="30" xr:uid="{5D1C52F0-96A7-41A3-BA9A-F4828B3BA100}"/>
    <cellStyle name="Normal 25" xfId="31" xr:uid="{98DE4CB4-469A-4E2E-95F6-679D1ED1E259}"/>
    <cellStyle name="Normal 3" xfId="12" xr:uid="{41F67738-7CBD-405C-A2E8-93EC8D754E04}"/>
    <cellStyle name="Normal 30 2" xfId="5" xr:uid="{319A01A9-484D-401C-B51C-AFA22C8C147A}"/>
    <cellStyle name="Normal 39" xfId="7" xr:uid="{358DB4F3-2572-40C1-8528-73DD19838977}"/>
    <cellStyle name="Normal 4" xfId="13" xr:uid="{F9DB212B-6BED-4D0E-9812-6AF8B0852E4C}"/>
    <cellStyle name="Normal 5" xfId="14" xr:uid="{2E2DF4F8-9240-4060-8DF2-DBD25985C646}"/>
    <cellStyle name="Normal 58" xfId="11" xr:uid="{5FADB181-8394-4B9F-BF6B-8B2AABC26B0E}"/>
    <cellStyle name="Normal 59" xfId="10" xr:uid="{BC46D8EB-1784-4261-8D55-F234E5AA2CF7}"/>
    <cellStyle name="Normal 6" xfId="15" xr:uid="{FD6A37D1-7F80-4842-A6BE-097A50A4815D}"/>
    <cellStyle name="Normal 7" xfId="16" xr:uid="{D3073D1C-C63F-4665-88AD-8A1CCCB7F8E6}"/>
    <cellStyle name="Normal 8" xfId="17" xr:uid="{994E9518-379D-453B-A8BE-5A00EF9195C3}"/>
    <cellStyle name="Normal 9" xfId="4" xr:uid="{625F25BA-A41A-4C28-BF91-33331014C8BC}"/>
    <cellStyle name="Normal 9 2" xfId="9" xr:uid="{9FC5A332-BEB2-4834-8023-4E42B3DA4A83}"/>
  </cellStyles>
  <dxfs count="0"/>
  <tableStyles count="0" defaultTableStyle="TableStyleMedium2" defaultPivotStyle="PivotStyleLight16"/>
  <colors>
    <mruColors>
      <color rgb="FF336600"/>
      <color rgb="FFF9FFF3"/>
      <color rgb="FFAEAAAA"/>
      <color rgb="FF003300"/>
      <color rgb="FF2F75B5"/>
      <color rgb="FFFF3399"/>
      <color rgb="FF9BC2E6"/>
      <color rgb="FF33CCCC"/>
      <color rgb="FF003399"/>
      <color rgb="FF7E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rgbClr val="757575"/>
                </a:solidFill>
                <a:latin typeface="Calibri"/>
              </a:defRPr>
            </a:pPr>
            <a:r>
              <a:rPr lang="en-US" sz="1100" b="1" i="0">
                <a:solidFill>
                  <a:srgbClr val="757575"/>
                </a:solidFill>
                <a:latin typeface="Calibri"/>
              </a:rPr>
              <a:t>Figure 18.16: Percentage share of female employees registered in the retirement pension scheme, by type of employer, end of  2025</a:t>
            </a:r>
          </a:p>
        </c:rich>
      </c:tx>
      <c:layout>
        <c:manualLayout>
          <c:xMode val="edge"/>
          <c:yMode val="edge"/>
          <c:x val="0.21566851684523045"/>
          <c:y val="3.65296803652968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44416554917535"/>
          <c:y val="0.17189394406639119"/>
          <c:w val="0.73421643801075087"/>
          <c:h val="0.70838126957367931"/>
        </c:manualLayout>
      </c:layout>
      <c:barChart>
        <c:barDir val="bar"/>
        <c:grouping val="clustered"/>
        <c:varyColors val="1"/>
        <c:ser>
          <c:idx val="0"/>
          <c:order val="0"/>
          <c:spPr>
            <a:solidFill>
              <a:srgbClr val="336600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'18.17'!$AY$24:$AY$35</c:f>
              <c:strCache>
                <c:ptCount val="12"/>
                <c:pt idx="0">
                  <c:v>Schools/universitiy</c:v>
                </c:pt>
                <c:pt idx="1">
                  <c:v>Hospitals/health Care facilities</c:v>
                </c:pt>
                <c:pt idx="2">
                  <c:v>City councils</c:v>
                </c:pt>
                <c:pt idx="3">
                  <c:v>Independent Agencies</c:v>
                </c:pt>
                <c:pt idx="4">
                  <c:v>Government Offices</c:v>
                </c:pt>
                <c:pt idx="5">
                  <c:v>Island councils</c:v>
                </c:pt>
                <c:pt idx="6">
                  <c:v>Judiciary</c:v>
                </c:pt>
                <c:pt idx="7">
                  <c:v>Atoll councils</c:v>
                </c:pt>
                <c:pt idx="8">
                  <c:v>Others</c:v>
                </c:pt>
                <c:pt idx="9">
                  <c:v>State owned enterprises</c:v>
                </c:pt>
                <c:pt idx="10">
                  <c:v>Other Private Sector</c:v>
                </c:pt>
                <c:pt idx="11">
                  <c:v>Police/ NSS</c:v>
                </c:pt>
              </c:strCache>
            </c:strRef>
          </c:cat>
          <c:val>
            <c:numRef>
              <c:f>'18.17'!$AZ$24:$AZ$35</c:f>
              <c:numCache>
                <c:formatCode>#,##0</c:formatCode>
                <c:ptCount val="12"/>
                <c:pt idx="0">
                  <c:v>80.36020583190394</c:v>
                </c:pt>
                <c:pt idx="1">
                  <c:v>71.765242511783484</c:v>
                </c:pt>
                <c:pt idx="2">
                  <c:v>59.959623149394346</c:v>
                </c:pt>
                <c:pt idx="3">
                  <c:v>55.959209687699172</c:v>
                </c:pt>
                <c:pt idx="4">
                  <c:v>54.821506312581626</c:v>
                </c:pt>
                <c:pt idx="5">
                  <c:v>49.414881872378011</c:v>
                </c:pt>
                <c:pt idx="6">
                  <c:v>48.216340621403916</c:v>
                </c:pt>
                <c:pt idx="7">
                  <c:v>48.141592920353979</c:v>
                </c:pt>
                <c:pt idx="8">
                  <c:v>42.115768463073856</c:v>
                </c:pt>
                <c:pt idx="9">
                  <c:v>25.461202647514437</c:v>
                </c:pt>
                <c:pt idx="10">
                  <c:v>23.133583358065994</c:v>
                </c:pt>
                <c:pt idx="11">
                  <c:v>16.039462978030919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721-4537-9454-5D9902C1D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356571"/>
        <c:axId val="814718531"/>
      </c:barChart>
      <c:catAx>
        <c:axId val="5023565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4718531"/>
        <c:crosses val="autoZero"/>
        <c:auto val="1"/>
        <c:lblAlgn val="ctr"/>
        <c:lblOffset val="100"/>
        <c:noMultiLvlLbl val="1"/>
      </c:catAx>
      <c:valAx>
        <c:axId val="8147185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Calibri"/>
                  </a:rPr>
                  <a:t>% share of  females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356571"/>
        <c:crosses val="max"/>
        <c:crossBetween val="between"/>
      </c:valAx>
      <c:spPr>
        <a:solidFill>
          <a:srgbClr val="F9FFF3"/>
        </a:solidFill>
        <a:ln>
          <a:solidFill>
            <a:schemeClr val="bg2">
              <a:lumMod val="85000"/>
            </a:schemeClr>
          </a:solidFill>
        </a:ln>
      </c:spPr>
    </c:plotArea>
    <c:plotVisOnly val="1"/>
    <c:dispBlanksAs val="zero"/>
    <c:showDLblsOverMax val="1"/>
  </c:chart>
  <c:spPr>
    <a:solidFill>
      <a:srgbClr val="F9FFF3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66675</xdr:rowOff>
    </xdr:from>
    <xdr:ext cx="8724900" cy="3648075"/>
    <xdr:graphicFrame macro="">
      <xdr:nvGraphicFramePr>
        <xdr:cNvPr id="512007430" name="Chart 17">
          <a:extLst>
            <a:ext uri="{FF2B5EF4-FFF2-40B4-BE49-F238E27FC236}">
              <a16:creationId xmlns:a16="http://schemas.microsoft.com/office/drawing/2014/main" id="{00000000-0008-0000-1000-0000069D8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AZ40"/>
  <sheetViews>
    <sheetView tabSelected="1" zoomScale="184" zoomScaleNormal="184" workbookViewId="0">
      <selection activeCell="G9" sqref="G9"/>
    </sheetView>
  </sheetViews>
  <sheetFormatPr defaultColWidth="14.42578125" defaultRowHeight="15" customHeight="1" x14ac:dyDescent="0.25"/>
  <cols>
    <col min="1" max="1" width="25.28515625" style="31" customWidth="1"/>
    <col min="2" max="13" width="9.28515625" style="31" customWidth="1"/>
    <col min="14" max="18" width="8" style="31" hidden="1" customWidth="1"/>
    <col min="19" max="22" width="8" style="31" customWidth="1"/>
    <col min="23" max="27" width="8" style="31" hidden="1" customWidth="1"/>
    <col min="28" max="31" width="8" style="31" customWidth="1"/>
    <col min="32" max="32" width="30.5703125" style="31" customWidth="1"/>
    <col min="33" max="33" width="4.140625" style="31" customWidth="1"/>
    <col min="34" max="52" width="8" style="31" customWidth="1"/>
    <col min="53" max="16384" width="14.42578125" style="31"/>
  </cols>
  <sheetData>
    <row r="1" spans="1:52" ht="19.5" customHeight="1" x14ac:dyDescent="0.55000000000000004">
      <c r="A1" s="53" t="s">
        <v>39</v>
      </c>
      <c r="B1" s="54"/>
      <c r="C1" s="54"/>
      <c r="D1" s="54"/>
      <c r="E1" s="54"/>
      <c r="F1" s="54"/>
      <c r="G1" s="54"/>
      <c r="H1" s="54"/>
      <c r="I1" s="54"/>
      <c r="J1" s="54"/>
      <c r="K1" s="55"/>
      <c r="L1" s="55"/>
      <c r="M1" s="55"/>
      <c r="N1" s="54"/>
      <c r="O1" s="54"/>
      <c r="P1" s="54"/>
      <c r="Q1" s="54"/>
      <c r="R1" s="54"/>
      <c r="S1" s="54"/>
      <c r="T1" s="54"/>
      <c r="U1" s="54"/>
      <c r="V1" s="55"/>
      <c r="W1" s="54"/>
      <c r="X1" s="54"/>
      <c r="Y1" s="54"/>
      <c r="Z1" s="54"/>
      <c r="AA1" s="54"/>
      <c r="AB1" s="54"/>
      <c r="AC1" s="54"/>
      <c r="AD1" s="54"/>
      <c r="AE1" s="55"/>
      <c r="AF1" s="56"/>
      <c r="AG1" s="1"/>
      <c r="AH1" s="1"/>
      <c r="AI1" s="1"/>
      <c r="AJ1" s="1"/>
      <c r="AK1" s="32"/>
      <c r="AL1" s="32"/>
      <c r="AM1" s="32"/>
      <c r="AN1" s="32"/>
      <c r="AO1" s="32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4.25" customHeight="1" x14ac:dyDescent="0.25">
      <c r="A2" s="57" t="s">
        <v>38</v>
      </c>
      <c r="B2" s="54"/>
      <c r="C2" s="54"/>
      <c r="D2" s="54"/>
      <c r="E2" s="54"/>
      <c r="F2" s="54"/>
      <c r="G2" s="54"/>
      <c r="H2" s="54"/>
      <c r="I2" s="54"/>
      <c r="J2" s="54"/>
      <c r="K2" s="55"/>
      <c r="L2" s="55"/>
      <c r="M2" s="55"/>
      <c r="N2" s="54"/>
      <c r="O2" s="54"/>
      <c r="P2" s="54"/>
      <c r="Q2" s="54"/>
      <c r="R2" s="54"/>
      <c r="S2" s="54"/>
      <c r="T2" s="54"/>
      <c r="U2" s="54"/>
      <c r="V2" s="55"/>
      <c r="W2" s="54"/>
      <c r="X2" s="54"/>
      <c r="Y2" s="54"/>
      <c r="Z2" s="54"/>
      <c r="AA2" s="54"/>
      <c r="AB2" s="54"/>
      <c r="AC2" s="54"/>
      <c r="AD2" s="54"/>
      <c r="AE2" s="55"/>
      <c r="AF2" s="56"/>
      <c r="AG2" s="1"/>
      <c r="AH2" s="1"/>
      <c r="AI2" s="1"/>
      <c r="AJ2" s="1"/>
      <c r="AK2" s="32"/>
      <c r="AL2" s="32"/>
      <c r="AM2" s="32"/>
      <c r="AN2" s="32"/>
      <c r="AO2" s="32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2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5"/>
      <c r="O3" s="1"/>
      <c r="P3" s="1"/>
      <c r="Q3" s="1"/>
      <c r="R3" s="1"/>
      <c r="S3" s="1"/>
      <c r="T3" s="1"/>
      <c r="U3" s="1"/>
      <c r="V3" s="32"/>
      <c r="W3" s="1"/>
      <c r="X3" s="1"/>
      <c r="Y3" s="1"/>
      <c r="Z3" s="1"/>
      <c r="AA3" s="1"/>
      <c r="AB3" s="1"/>
      <c r="AC3" s="1"/>
      <c r="AD3" s="1"/>
      <c r="AE3" s="32"/>
      <c r="AF3" s="1"/>
      <c r="AG3" s="1"/>
      <c r="AH3" s="1"/>
      <c r="AI3" s="1"/>
      <c r="AJ3" s="1"/>
      <c r="AK3" s="32"/>
      <c r="AL3" s="32"/>
      <c r="AM3" s="32"/>
      <c r="AN3" s="32"/>
      <c r="AO3" s="32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ht="14.25" customHeight="1" x14ac:dyDescent="0.25">
      <c r="A4" s="58" t="s">
        <v>13</v>
      </c>
      <c r="B4" s="61">
        <v>2022</v>
      </c>
      <c r="C4" s="62"/>
      <c r="D4" s="63"/>
      <c r="E4" s="61">
        <v>2023</v>
      </c>
      <c r="F4" s="62"/>
      <c r="G4" s="63"/>
      <c r="H4" s="61">
        <v>2024</v>
      </c>
      <c r="I4" s="62"/>
      <c r="J4" s="63"/>
      <c r="K4" s="61">
        <v>2025</v>
      </c>
      <c r="L4" s="62"/>
      <c r="M4" s="63"/>
      <c r="N4" s="72" t="s">
        <v>14</v>
      </c>
      <c r="O4" s="73"/>
      <c r="P4" s="73"/>
      <c r="Q4" s="73"/>
      <c r="R4" s="73"/>
      <c r="S4" s="73"/>
      <c r="T4" s="73"/>
      <c r="U4" s="73"/>
      <c r="V4" s="74"/>
      <c r="W4" s="65" t="s">
        <v>2</v>
      </c>
      <c r="X4" s="66"/>
      <c r="Y4" s="66"/>
      <c r="Z4" s="66"/>
      <c r="AA4" s="66"/>
      <c r="AB4" s="66"/>
      <c r="AC4" s="66"/>
      <c r="AD4" s="66"/>
      <c r="AE4" s="66"/>
      <c r="AF4" s="64" t="s">
        <v>15</v>
      </c>
      <c r="AG4" s="1"/>
      <c r="AH4" s="1"/>
      <c r="AI4" s="1"/>
      <c r="AJ4" s="1"/>
      <c r="AK4" s="32"/>
      <c r="AL4" s="32"/>
      <c r="AM4" s="32"/>
      <c r="AN4" s="32"/>
      <c r="AO4" s="32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8" customHeight="1" x14ac:dyDescent="0.5">
      <c r="A5" s="59"/>
      <c r="B5" s="26" t="s">
        <v>6</v>
      </c>
      <c r="C5" s="26" t="s">
        <v>7</v>
      </c>
      <c r="D5" s="27" t="s">
        <v>8</v>
      </c>
      <c r="E5" s="26" t="s">
        <v>6</v>
      </c>
      <c r="F5" s="26" t="s">
        <v>7</v>
      </c>
      <c r="G5" s="27" t="s">
        <v>8</v>
      </c>
      <c r="H5" s="26" t="s">
        <v>6</v>
      </c>
      <c r="I5" s="26" t="s">
        <v>7</v>
      </c>
      <c r="J5" s="27" t="s">
        <v>8</v>
      </c>
      <c r="K5" s="26" t="s">
        <v>6</v>
      </c>
      <c r="L5" s="26" t="s">
        <v>7</v>
      </c>
      <c r="M5" s="27" t="s">
        <v>8</v>
      </c>
      <c r="N5" s="69" t="s">
        <v>0</v>
      </c>
      <c r="O5" s="70"/>
      <c r="P5" s="70"/>
      <c r="Q5" s="70"/>
      <c r="R5" s="70"/>
      <c r="S5" s="70"/>
      <c r="T5" s="70"/>
      <c r="U5" s="70"/>
      <c r="V5" s="71"/>
      <c r="W5" s="67" t="s">
        <v>1</v>
      </c>
      <c r="X5" s="68"/>
      <c r="Y5" s="68"/>
      <c r="Z5" s="68"/>
      <c r="AA5" s="68"/>
      <c r="AB5" s="68"/>
      <c r="AC5" s="68"/>
      <c r="AD5" s="68"/>
      <c r="AE5" s="68"/>
      <c r="AF5" s="59"/>
      <c r="AG5" s="1"/>
      <c r="AH5" s="1"/>
      <c r="AI5" s="1"/>
      <c r="AJ5" s="1"/>
      <c r="AK5" s="32"/>
      <c r="AL5" s="32"/>
      <c r="AM5" s="32"/>
      <c r="AN5" s="32"/>
      <c r="AO5" s="32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21" customHeight="1" x14ac:dyDescent="0.55000000000000004">
      <c r="A6" s="60"/>
      <c r="B6" s="28" t="s">
        <v>3</v>
      </c>
      <c r="C6" s="28" t="s">
        <v>4</v>
      </c>
      <c r="D6" s="29" t="s">
        <v>5</v>
      </c>
      <c r="E6" s="28" t="s">
        <v>3</v>
      </c>
      <c r="F6" s="28" t="s">
        <v>4</v>
      </c>
      <c r="G6" s="29" t="s">
        <v>5</v>
      </c>
      <c r="H6" s="28" t="s">
        <v>3</v>
      </c>
      <c r="I6" s="28" t="s">
        <v>4</v>
      </c>
      <c r="J6" s="29" t="s">
        <v>5</v>
      </c>
      <c r="K6" s="28" t="s">
        <v>3</v>
      </c>
      <c r="L6" s="28" t="s">
        <v>4</v>
      </c>
      <c r="M6" s="29" t="s">
        <v>5</v>
      </c>
      <c r="N6" s="3">
        <v>2017</v>
      </c>
      <c r="O6" s="3">
        <v>2018</v>
      </c>
      <c r="P6" s="26">
        <v>2019</v>
      </c>
      <c r="Q6" s="26">
        <v>2020</v>
      </c>
      <c r="R6" s="3">
        <v>2021</v>
      </c>
      <c r="S6" s="3">
        <v>2022</v>
      </c>
      <c r="T6" s="3">
        <v>2023</v>
      </c>
      <c r="U6" s="3">
        <v>2024</v>
      </c>
      <c r="V6" s="4">
        <v>2025</v>
      </c>
      <c r="W6" s="30">
        <v>2017</v>
      </c>
      <c r="X6" s="30">
        <v>2018</v>
      </c>
      <c r="Y6" s="30">
        <v>2019</v>
      </c>
      <c r="Z6" s="30">
        <v>2020</v>
      </c>
      <c r="AA6" s="30">
        <v>2021</v>
      </c>
      <c r="AB6" s="30">
        <v>2022</v>
      </c>
      <c r="AC6" s="30">
        <v>2023</v>
      </c>
      <c r="AD6" s="40">
        <v>2024</v>
      </c>
      <c r="AE6" s="40">
        <v>2025</v>
      </c>
      <c r="AF6" s="60"/>
      <c r="AG6" s="1"/>
      <c r="AH6" s="1"/>
      <c r="AI6" s="1"/>
      <c r="AJ6" s="1"/>
      <c r="AK6" s="32"/>
      <c r="AL6" s="32"/>
      <c r="AM6" s="32"/>
      <c r="AN6" s="32"/>
      <c r="AO6" s="32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21" customHeight="1" x14ac:dyDescent="0.55000000000000004">
      <c r="A7" s="8" t="s">
        <v>6</v>
      </c>
      <c r="B7" s="10">
        <f t="shared" ref="B7:J7" si="0">SUM(B8:B19)</f>
        <v>110934</v>
      </c>
      <c r="C7" s="10">
        <f t="shared" si="0"/>
        <v>71912</v>
      </c>
      <c r="D7" s="11">
        <f t="shared" si="0"/>
        <v>39022</v>
      </c>
      <c r="E7" s="10">
        <f t="shared" si="0"/>
        <v>116560</v>
      </c>
      <c r="F7" s="10">
        <f t="shared" si="0"/>
        <v>74454</v>
      </c>
      <c r="G7" s="11">
        <f t="shared" si="0"/>
        <v>42106</v>
      </c>
      <c r="H7" s="10">
        <f t="shared" si="0"/>
        <v>117761</v>
      </c>
      <c r="I7" s="10">
        <f t="shared" si="0"/>
        <v>73919</v>
      </c>
      <c r="J7" s="11">
        <f t="shared" si="0"/>
        <v>43842</v>
      </c>
      <c r="K7" s="10">
        <f t="shared" ref="K7:M7" si="1">SUM(K8:K19)</f>
        <v>107783</v>
      </c>
      <c r="L7" s="10">
        <f t="shared" si="1"/>
        <v>70419</v>
      </c>
      <c r="M7" s="11">
        <f t="shared" si="1"/>
        <v>37364</v>
      </c>
      <c r="N7" s="24" t="e">
        <f>#REF!/#REF!*100</f>
        <v>#REF!</v>
      </c>
      <c r="O7" s="24" t="e">
        <f>#REF!/#REF!*100</f>
        <v>#REF!</v>
      </c>
      <c r="P7" s="24" t="e">
        <f>#REF!/#REF!*100</f>
        <v>#REF!</v>
      </c>
      <c r="Q7" s="24" t="e">
        <f>#REF!/#REF!*100</f>
        <v>#REF!</v>
      </c>
      <c r="R7" s="9" t="e">
        <f>#REF!/#REF!*100</f>
        <v>#REF!</v>
      </c>
      <c r="S7" s="9">
        <f t="shared" ref="S7:S19" si="2">B7/$B$7*100</f>
        <v>100</v>
      </c>
      <c r="T7" s="24">
        <f t="shared" ref="T7:T19" si="3">E7/$E$7*100</f>
        <v>100</v>
      </c>
      <c r="U7" s="44">
        <f t="shared" ref="U7:U19" si="4">H7/$H$7*100</f>
        <v>100</v>
      </c>
      <c r="V7" s="45">
        <f>K7/$K$7*100</f>
        <v>100</v>
      </c>
      <c r="W7" s="9" t="e">
        <f>#REF!/#REF!*100</f>
        <v>#REF!</v>
      </c>
      <c r="X7" s="9" t="e">
        <f>#REF!/#REF!*100</f>
        <v>#REF!</v>
      </c>
      <c r="Y7" s="9" t="e">
        <f>#REF!/#REF!*100</f>
        <v>#REF!</v>
      </c>
      <c r="Z7" s="9" t="e">
        <f>#REF!/#REF!*100</f>
        <v>#REF!</v>
      </c>
      <c r="AA7" s="9" t="e">
        <f>#REF!/#REF!*100</f>
        <v>#REF!</v>
      </c>
      <c r="AB7" s="9">
        <f t="shared" ref="AB7:AB19" si="5">D7/B7*100</f>
        <v>35.175870337317683</v>
      </c>
      <c r="AC7" s="24">
        <f t="shared" ref="AC7:AC19" si="6">G7/E7*100</f>
        <v>36.123884694577903</v>
      </c>
      <c r="AD7" s="41">
        <f t="shared" ref="AD7:AD19" si="7">J7/H7*100</f>
        <v>37.229643090666691</v>
      </c>
      <c r="AE7" s="41">
        <f>M7/K7*100</f>
        <v>34.665949175658497</v>
      </c>
      <c r="AF7" s="5" t="s">
        <v>3</v>
      </c>
      <c r="AG7" s="2"/>
      <c r="AH7" s="2"/>
      <c r="AI7" s="2"/>
      <c r="AJ7" s="2"/>
      <c r="AK7" s="33"/>
      <c r="AL7" s="33"/>
      <c r="AM7" s="33"/>
      <c r="AN7" s="33"/>
      <c r="AO7" s="33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21" customHeight="1" x14ac:dyDescent="0.55000000000000004">
      <c r="A8" s="12" t="s">
        <v>16</v>
      </c>
      <c r="B8" s="13">
        <f t="shared" ref="B8:B19" si="8">SUM(C8:D8)</f>
        <v>12580</v>
      </c>
      <c r="C8" s="13">
        <v>5420</v>
      </c>
      <c r="D8" s="21">
        <v>7160</v>
      </c>
      <c r="E8" s="13">
        <f t="shared" ref="E8:E19" si="9">SUM(F8:G8)</f>
        <v>12766</v>
      </c>
      <c r="F8" s="13">
        <v>5252</v>
      </c>
      <c r="G8" s="21">
        <v>7514</v>
      </c>
      <c r="H8" s="13">
        <f t="shared" ref="H8:H19" si="10">SUM(I8:J8)</f>
        <v>13670</v>
      </c>
      <c r="I8" s="38">
        <v>5708</v>
      </c>
      <c r="J8" s="34">
        <v>7962</v>
      </c>
      <c r="K8" s="13">
        <f t="shared" ref="K8:K19" si="11">SUM(L8:M8)</f>
        <v>9188</v>
      </c>
      <c r="L8" s="46">
        <v>4151</v>
      </c>
      <c r="M8" s="47">
        <v>5037</v>
      </c>
      <c r="N8" s="14" t="e">
        <f>#REF!/#REF!*100</f>
        <v>#REF!</v>
      </c>
      <c r="O8" s="14" t="e">
        <f>#REF!/#REF!*100</f>
        <v>#REF!</v>
      </c>
      <c r="P8" s="14" t="e">
        <f>#REF!/#REF!*100</f>
        <v>#REF!</v>
      </c>
      <c r="Q8" s="14" t="e">
        <f>#REF!/#REF!*100</f>
        <v>#REF!</v>
      </c>
      <c r="R8" s="14" t="e">
        <f>#REF!/#REF!*100</f>
        <v>#REF!</v>
      </c>
      <c r="S8" s="14">
        <f t="shared" si="2"/>
        <v>11.340076081273551</v>
      </c>
      <c r="T8" s="14">
        <f t="shared" si="3"/>
        <v>10.952299245024022</v>
      </c>
      <c r="U8" s="42">
        <f t="shared" si="4"/>
        <v>11.60825740270548</v>
      </c>
      <c r="V8" s="48">
        <f>K8/$K$7*100</f>
        <v>8.5245354091090437</v>
      </c>
      <c r="W8" s="14" t="e">
        <f>#REF!/#REF!*100</f>
        <v>#REF!</v>
      </c>
      <c r="X8" s="14" t="e">
        <f>#REF!/#REF!*100</f>
        <v>#REF!</v>
      </c>
      <c r="Y8" s="14" t="e">
        <f>#REF!/#REF!*100</f>
        <v>#REF!</v>
      </c>
      <c r="Z8" s="14" t="e">
        <f>#REF!/#REF!*100</f>
        <v>#REF!</v>
      </c>
      <c r="AA8" s="14" t="e">
        <f>#REF!/#REF!*100</f>
        <v>#REF!</v>
      </c>
      <c r="AB8" s="14">
        <f t="shared" si="5"/>
        <v>56.91573926868044</v>
      </c>
      <c r="AC8" s="14">
        <f t="shared" si="6"/>
        <v>58.859470468431773</v>
      </c>
      <c r="AD8" s="36">
        <f t="shared" si="7"/>
        <v>58.244330651060714</v>
      </c>
      <c r="AE8" s="42">
        <f t="shared" ref="AE8:AE19" si="12">M8/K8*100</f>
        <v>54.821506312581626</v>
      </c>
      <c r="AF8" s="6" t="s">
        <v>17</v>
      </c>
      <c r="AG8" s="1"/>
      <c r="AH8" s="2"/>
      <c r="AI8" s="1"/>
      <c r="AJ8" s="1"/>
      <c r="AK8" s="32"/>
      <c r="AL8" s="32"/>
      <c r="AM8" s="32"/>
      <c r="AN8" s="32"/>
      <c r="AO8" s="32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21" customHeight="1" x14ac:dyDescent="0.55000000000000004">
      <c r="A9" s="12" t="s">
        <v>18</v>
      </c>
      <c r="B9" s="13">
        <f t="shared" si="8"/>
        <v>2320</v>
      </c>
      <c r="C9" s="13">
        <v>1079</v>
      </c>
      <c r="D9" s="21">
        <v>1241</v>
      </c>
      <c r="E9" s="13">
        <f t="shared" si="9"/>
        <v>2092</v>
      </c>
      <c r="F9" s="13">
        <v>904</v>
      </c>
      <c r="G9" s="21">
        <v>1188</v>
      </c>
      <c r="H9" s="13">
        <f t="shared" si="10"/>
        <v>2032</v>
      </c>
      <c r="I9" s="38">
        <v>897</v>
      </c>
      <c r="J9" s="34">
        <v>1135</v>
      </c>
      <c r="K9" s="13">
        <f t="shared" si="11"/>
        <v>1569</v>
      </c>
      <c r="L9" s="46">
        <v>691</v>
      </c>
      <c r="M9" s="47">
        <v>878</v>
      </c>
      <c r="N9" s="14" t="e">
        <f>#REF!/#REF!*100</f>
        <v>#REF!</v>
      </c>
      <c r="O9" s="14" t="e">
        <f>#REF!/#REF!*100</f>
        <v>#REF!</v>
      </c>
      <c r="P9" s="14" t="e">
        <f>#REF!/#REF!*100</f>
        <v>#REF!</v>
      </c>
      <c r="Q9" s="14" t="e">
        <f>#REF!/#REF!*100</f>
        <v>#REF!</v>
      </c>
      <c r="R9" s="14" t="e">
        <f>#REF!/#REF!*100</f>
        <v>#REF!</v>
      </c>
      <c r="S9" s="14">
        <f t="shared" si="2"/>
        <v>2.0913335857356623</v>
      </c>
      <c r="T9" s="14">
        <f t="shared" si="3"/>
        <v>1.7947838023335623</v>
      </c>
      <c r="U9" s="42">
        <f t="shared" si="4"/>
        <v>1.7255288253326653</v>
      </c>
      <c r="V9" s="48">
        <f t="shared" ref="V9:V19" si="13">K9/$K$7*100</f>
        <v>1.4557026618297877</v>
      </c>
      <c r="W9" s="14" t="e">
        <f>#REF!/#REF!*100</f>
        <v>#REF!</v>
      </c>
      <c r="X9" s="14" t="e">
        <f>#REF!/#REF!*100</f>
        <v>#REF!</v>
      </c>
      <c r="Y9" s="14" t="e">
        <f>#REF!/#REF!*100</f>
        <v>#REF!</v>
      </c>
      <c r="Z9" s="14" t="e">
        <f>#REF!/#REF!*100</f>
        <v>#REF!</v>
      </c>
      <c r="AA9" s="14" t="e">
        <f>#REF!/#REF!*100</f>
        <v>#REF!</v>
      </c>
      <c r="AB9" s="14">
        <f t="shared" si="5"/>
        <v>53.491379310344826</v>
      </c>
      <c r="AC9" s="14">
        <f t="shared" si="6"/>
        <v>56.787762906309744</v>
      </c>
      <c r="AD9" s="36">
        <f t="shared" si="7"/>
        <v>55.856299212598429</v>
      </c>
      <c r="AE9" s="42">
        <f t="shared" si="12"/>
        <v>55.959209687699172</v>
      </c>
      <c r="AF9" s="6" t="s">
        <v>19</v>
      </c>
      <c r="AG9" s="1"/>
      <c r="AH9" s="2"/>
      <c r="AI9" s="2"/>
      <c r="AJ9" s="2"/>
      <c r="AK9" s="33"/>
      <c r="AL9" s="33"/>
      <c r="AM9" s="33"/>
      <c r="AN9" s="33"/>
      <c r="AO9" s="33"/>
      <c r="AP9" s="2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21" customHeight="1" x14ac:dyDescent="0.55000000000000004">
      <c r="A10" s="12" t="s">
        <v>20</v>
      </c>
      <c r="B10" s="13">
        <f t="shared" si="8"/>
        <v>1862</v>
      </c>
      <c r="C10" s="13">
        <v>1042</v>
      </c>
      <c r="D10" s="21">
        <v>820</v>
      </c>
      <c r="E10" s="13">
        <f t="shared" si="9"/>
        <v>561</v>
      </c>
      <c r="F10" s="13">
        <v>219</v>
      </c>
      <c r="G10" s="21">
        <v>342</v>
      </c>
      <c r="H10" s="13">
        <f t="shared" si="10"/>
        <v>1693</v>
      </c>
      <c r="I10" s="38">
        <v>916</v>
      </c>
      <c r="J10" s="34">
        <v>777</v>
      </c>
      <c r="K10" s="13">
        <f t="shared" si="11"/>
        <v>1738</v>
      </c>
      <c r="L10" s="46">
        <v>900</v>
      </c>
      <c r="M10" s="47">
        <v>838</v>
      </c>
      <c r="N10" s="14" t="e">
        <f>#REF!/#REF!*100</f>
        <v>#REF!</v>
      </c>
      <c r="O10" s="14" t="e">
        <f>#REF!/#REF!*100</f>
        <v>#REF!</v>
      </c>
      <c r="P10" s="14" t="e">
        <f>#REF!/#REF!*100</f>
        <v>#REF!</v>
      </c>
      <c r="Q10" s="14" t="e">
        <f>#REF!/#REF!*100</f>
        <v>#REF!</v>
      </c>
      <c r="R10" s="14" t="e">
        <f>#REF!/#REF!*100</f>
        <v>#REF!</v>
      </c>
      <c r="S10" s="14">
        <f t="shared" si="2"/>
        <v>1.6784754899309502</v>
      </c>
      <c r="T10" s="14">
        <f t="shared" si="3"/>
        <v>0.48129718599862731</v>
      </c>
      <c r="U10" s="42">
        <f t="shared" si="4"/>
        <v>1.4376576285867138</v>
      </c>
      <c r="V10" s="48">
        <f t="shared" si="13"/>
        <v>1.6124991881836654</v>
      </c>
      <c r="W10" s="14" t="e">
        <f>#REF!/#REF!*100</f>
        <v>#REF!</v>
      </c>
      <c r="X10" s="14" t="e">
        <f>#REF!/#REF!*100</f>
        <v>#REF!</v>
      </c>
      <c r="Y10" s="14" t="e">
        <f>#REF!/#REF!*100</f>
        <v>#REF!</v>
      </c>
      <c r="Z10" s="14" t="e">
        <f>#REF!/#REF!*100</f>
        <v>#REF!</v>
      </c>
      <c r="AA10" s="14" t="e">
        <f>#REF!/#REF!*100</f>
        <v>#REF!</v>
      </c>
      <c r="AB10" s="14">
        <f t="shared" si="5"/>
        <v>44.038668098818476</v>
      </c>
      <c r="AC10" s="14">
        <f t="shared" si="6"/>
        <v>60.962566844919785</v>
      </c>
      <c r="AD10" s="36">
        <f t="shared" si="7"/>
        <v>45.894861193148259</v>
      </c>
      <c r="AE10" s="42">
        <f t="shared" si="12"/>
        <v>48.216340621403916</v>
      </c>
      <c r="AF10" s="6" t="s">
        <v>21</v>
      </c>
      <c r="AG10" s="1"/>
      <c r="AH10" s="2"/>
      <c r="AI10" s="1"/>
      <c r="AJ10" s="1"/>
      <c r="AK10" s="32"/>
      <c r="AL10" s="32"/>
      <c r="AM10" s="32"/>
      <c r="AN10" s="32"/>
      <c r="AO10" s="32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21" customHeight="1" x14ac:dyDescent="0.55000000000000004">
      <c r="A11" s="12" t="s">
        <v>22</v>
      </c>
      <c r="B11" s="13">
        <f t="shared" si="8"/>
        <v>1038</v>
      </c>
      <c r="C11" s="13">
        <v>485</v>
      </c>
      <c r="D11" s="21">
        <v>553</v>
      </c>
      <c r="E11" s="13">
        <f t="shared" si="9"/>
        <v>1349</v>
      </c>
      <c r="F11" s="13">
        <v>588</v>
      </c>
      <c r="G11" s="21">
        <v>761</v>
      </c>
      <c r="H11" s="13">
        <f t="shared" si="10"/>
        <v>1475</v>
      </c>
      <c r="I11" s="38">
        <v>607</v>
      </c>
      <c r="J11" s="34">
        <v>868</v>
      </c>
      <c r="K11" s="13">
        <f t="shared" si="11"/>
        <v>1486</v>
      </c>
      <c r="L11" s="46">
        <v>595</v>
      </c>
      <c r="M11" s="47">
        <v>891</v>
      </c>
      <c r="N11" s="14" t="e">
        <f>#REF!/#REF!*100</f>
        <v>#REF!</v>
      </c>
      <c r="O11" s="14" t="e">
        <f>#REF!/#REF!*100</f>
        <v>#REF!</v>
      </c>
      <c r="P11" s="14" t="e">
        <f>#REF!/#REF!*100</f>
        <v>#REF!</v>
      </c>
      <c r="Q11" s="14" t="e">
        <f>#REF!/#REF!*100</f>
        <v>#REF!</v>
      </c>
      <c r="R11" s="14" t="e">
        <f>#REF!/#REF!*100</f>
        <v>#REF!</v>
      </c>
      <c r="S11" s="14">
        <f t="shared" si="2"/>
        <v>0.93569149223862846</v>
      </c>
      <c r="T11" s="14">
        <f t="shared" si="3"/>
        <v>1.157343857240906</v>
      </c>
      <c r="U11" s="42">
        <f t="shared" si="4"/>
        <v>1.252536917994922</v>
      </c>
      <c r="V11" s="48">
        <f t="shared" si="13"/>
        <v>1.3786960837980016</v>
      </c>
      <c r="W11" s="14" t="e">
        <f>#REF!/#REF!*100</f>
        <v>#REF!</v>
      </c>
      <c r="X11" s="14" t="e">
        <f>#REF!/#REF!*100</f>
        <v>#REF!</v>
      </c>
      <c r="Y11" s="14" t="e">
        <f>#REF!/#REF!*100</f>
        <v>#REF!</v>
      </c>
      <c r="Z11" s="14" t="e">
        <f>#REF!/#REF!*100</f>
        <v>#REF!</v>
      </c>
      <c r="AA11" s="14" t="e">
        <f>#REF!/#REF!*100</f>
        <v>#REF!</v>
      </c>
      <c r="AB11" s="14">
        <f t="shared" si="5"/>
        <v>53.275529865125236</v>
      </c>
      <c r="AC11" s="14">
        <f t="shared" si="6"/>
        <v>56.412157153446998</v>
      </c>
      <c r="AD11" s="36">
        <f t="shared" si="7"/>
        <v>58.847457627118651</v>
      </c>
      <c r="AE11" s="42">
        <f t="shared" si="12"/>
        <v>59.959623149394346</v>
      </c>
      <c r="AF11" s="6" t="s">
        <v>23</v>
      </c>
      <c r="AG11" s="1"/>
      <c r="AH11" s="2"/>
      <c r="AI11" s="2"/>
      <c r="AJ11" s="2"/>
      <c r="AK11" s="33"/>
      <c r="AL11" s="33"/>
      <c r="AM11" s="33"/>
      <c r="AN11" s="33"/>
      <c r="AO11" s="33"/>
      <c r="AP11" s="2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21" customHeight="1" x14ac:dyDescent="0.55000000000000004">
      <c r="A12" s="12" t="s">
        <v>24</v>
      </c>
      <c r="B12" s="13">
        <f t="shared" si="8"/>
        <v>447</v>
      </c>
      <c r="C12" s="13">
        <v>258</v>
      </c>
      <c r="D12" s="21">
        <v>189</v>
      </c>
      <c r="E12" s="13">
        <f t="shared" si="9"/>
        <v>562</v>
      </c>
      <c r="F12" s="13">
        <v>308</v>
      </c>
      <c r="G12" s="21">
        <v>254</v>
      </c>
      <c r="H12" s="13">
        <f t="shared" si="10"/>
        <v>570</v>
      </c>
      <c r="I12" s="38">
        <v>296</v>
      </c>
      <c r="J12" s="34">
        <v>274</v>
      </c>
      <c r="K12" s="13">
        <f t="shared" si="11"/>
        <v>565</v>
      </c>
      <c r="L12" s="46">
        <v>293</v>
      </c>
      <c r="M12" s="47">
        <v>272</v>
      </c>
      <c r="N12" s="14" t="e">
        <f>#REF!/#REF!*100</f>
        <v>#REF!</v>
      </c>
      <c r="O12" s="14" t="e">
        <f>#REF!/#REF!*100</f>
        <v>#REF!</v>
      </c>
      <c r="P12" s="14" t="e">
        <f>#REF!/#REF!*100</f>
        <v>#REF!</v>
      </c>
      <c r="Q12" s="14" t="e">
        <f>#REF!/#REF!*100</f>
        <v>#REF!</v>
      </c>
      <c r="R12" s="14" t="e">
        <f>#REF!/#REF!*100</f>
        <v>#REF!</v>
      </c>
      <c r="S12" s="14">
        <f t="shared" si="2"/>
        <v>0.40294229001027637</v>
      </c>
      <c r="T12" s="14">
        <f t="shared" si="3"/>
        <v>0.4821551132463967</v>
      </c>
      <c r="U12" s="42">
        <f t="shared" si="4"/>
        <v>0.48403121576752917</v>
      </c>
      <c r="V12" s="48">
        <f t="shared" si="13"/>
        <v>0.52420140467420651</v>
      </c>
      <c r="W12" s="14" t="e">
        <f>#REF!/#REF!*100</f>
        <v>#REF!</v>
      </c>
      <c r="X12" s="14" t="e">
        <f>#REF!/#REF!*100</f>
        <v>#REF!</v>
      </c>
      <c r="Y12" s="14" t="e">
        <f>#REF!/#REF!*100</f>
        <v>#REF!</v>
      </c>
      <c r="Z12" s="14" t="e">
        <f>#REF!/#REF!*100</f>
        <v>#REF!</v>
      </c>
      <c r="AA12" s="14" t="e">
        <f>#REF!/#REF!*100</f>
        <v>#REF!</v>
      </c>
      <c r="AB12" s="14">
        <f t="shared" si="5"/>
        <v>42.281879194630875</v>
      </c>
      <c r="AC12" s="14">
        <f t="shared" si="6"/>
        <v>45.195729537366546</v>
      </c>
      <c r="AD12" s="36">
        <f t="shared" si="7"/>
        <v>48.070175438596493</v>
      </c>
      <c r="AE12" s="42">
        <f t="shared" si="12"/>
        <v>48.141592920353979</v>
      </c>
      <c r="AF12" s="6" t="s">
        <v>25</v>
      </c>
      <c r="AG12" s="1"/>
      <c r="AH12" s="2"/>
      <c r="AI12" s="1"/>
      <c r="AJ12" s="1"/>
      <c r="AK12" s="32"/>
      <c r="AL12" s="32"/>
      <c r="AM12" s="32"/>
      <c r="AN12" s="32"/>
      <c r="AO12" s="32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21" customHeight="1" x14ac:dyDescent="0.55000000000000004">
      <c r="A13" s="12" t="s">
        <v>26</v>
      </c>
      <c r="B13" s="13">
        <f t="shared" si="8"/>
        <v>3640</v>
      </c>
      <c r="C13" s="13">
        <v>2160</v>
      </c>
      <c r="D13" s="21">
        <v>1480</v>
      </c>
      <c r="E13" s="13">
        <f t="shared" si="9"/>
        <v>4244</v>
      </c>
      <c r="F13" s="13">
        <v>2316</v>
      </c>
      <c r="G13" s="21">
        <v>1928</v>
      </c>
      <c r="H13" s="13">
        <f t="shared" si="10"/>
        <v>5139</v>
      </c>
      <c r="I13" s="38">
        <v>2705</v>
      </c>
      <c r="J13" s="34">
        <v>2434</v>
      </c>
      <c r="K13" s="13">
        <f t="shared" si="11"/>
        <v>4529</v>
      </c>
      <c r="L13" s="46">
        <v>2291</v>
      </c>
      <c r="M13" s="47">
        <v>2238</v>
      </c>
      <c r="N13" s="14" t="e">
        <f>#REF!/#REF!*100</f>
        <v>#REF!</v>
      </c>
      <c r="O13" s="14" t="e">
        <f>#REF!/#REF!*100</f>
        <v>#REF!</v>
      </c>
      <c r="P13" s="14" t="e">
        <f>#REF!/#REF!*100</f>
        <v>#REF!</v>
      </c>
      <c r="Q13" s="14" t="e">
        <f>#REF!/#REF!*100</f>
        <v>#REF!</v>
      </c>
      <c r="R13" s="14" t="e">
        <f>#REF!/#REF!*100</f>
        <v>#REF!</v>
      </c>
      <c r="S13" s="14">
        <f t="shared" si="2"/>
        <v>3.2812302810680225</v>
      </c>
      <c r="T13" s="14">
        <f t="shared" si="3"/>
        <v>3.6410432395332877</v>
      </c>
      <c r="U13" s="42">
        <f t="shared" si="4"/>
        <v>4.3639235400514602</v>
      </c>
      <c r="V13" s="48">
        <f t="shared" si="13"/>
        <v>4.2019613482645681</v>
      </c>
      <c r="W13" s="14" t="e">
        <f>#REF!/#REF!*100</f>
        <v>#REF!</v>
      </c>
      <c r="X13" s="14" t="e">
        <f>#REF!/#REF!*100</f>
        <v>#REF!</v>
      </c>
      <c r="Y13" s="14" t="e">
        <f>#REF!/#REF!*100</f>
        <v>#REF!</v>
      </c>
      <c r="Z13" s="14" t="e">
        <f>#REF!/#REF!*100</f>
        <v>#REF!</v>
      </c>
      <c r="AA13" s="14" t="e">
        <f>#REF!/#REF!*100</f>
        <v>#REF!</v>
      </c>
      <c r="AB13" s="14">
        <f t="shared" si="5"/>
        <v>40.659340659340657</v>
      </c>
      <c r="AC13" s="14">
        <f t="shared" si="6"/>
        <v>45.428840716305373</v>
      </c>
      <c r="AD13" s="36">
        <f t="shared" si="7"/>
        <v>47.363300252967505</v>
      </c>
      <c r="AE13" s="42">
        <f t="shared" si="12"/>
        <v>49.414881872378011</v>
      </c>
      <c r="AF13" s="6" t="s">
        <v>27</v>
      </c>
      <c r="AG13" s="1"/>
      <c r="AH13" s="2"/>
      <c r="AI13" s="2"/>
      <c r="AJ13" s="2"/>
      <c r="AK13" s="33"/>
      <c r="AL13" s="33"/>
      <c r="AM13" s="33"/>
      <c r="AN13" s="33"/>
      <c r="AO13" s="33"/>
      <c r="AP13" s="2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21" customHeight="1" x14ac:dyDescent="0.55000000000000004">
      <c r="A14" s="12" t="s">
        <v>28</v>
      </c>
      <c r="B14" s="13">
        <f t="shared" si="8"/>
        <v>7540</v>
      </c>
      <c r="C14" s="13">
        <v>2200</v>
      </c>
      <c r="D14" s="21">
        <v>5340</v>
      </c>
      <c r="E14" s="13">
        <f t="shared" si="9"/>
        <v>7969</v>
      </c>
      <c r="F14" s="13">
        <v>2250</v>
      </c>
      <c r="G14" s="21">
        <v>5719</v>
      </c>
      <c r="H14" s="13">
        <f t="shared" si="10"/>
        <v>8048</v>
      </c>
      <c r="I14" s="38">
        <v>2236</v>
      </c>
      <c r="J14" s="34">
        <v>5812</v>
      </c>
      <c r="K14" s="13">
        <f t="shared" si="11"/>
        <v>6577</v>
      </c>
      <c r="L14" s="46">
        <v>1857</v>
      </c>
      <c r="M14" s="47">
        <v>4720</v>
      </c>
      <c r="N14" s="14" t="e">
        <f>#REF!/#REF!*100</f>
        <v>#REF!</v>
      </c>
      <c r="O14" s="14" t="e">
        <f>#REF!/#REF!*100</f>
        <v>#REF!</v>
      </c>
      <c r="P14" s="14" t="e">
        <f>#REF!/#REF!*100</f>
        <v>#REF!</v>
      </c>
      <c r="Q14" s="14" t="e">
        <f>#REF!/#REF!*100</f>
        <v>#REF!</v>
      </c>
      <c r="R14" s="14" t="e">
        <f>#REF!/#REF!*100</f>
        <v>#REF!</v>
      </c>
      <c r="S14" s="14">
        <f t="shared" si="2"/>
        <v>6.7968341536409032</v>
      </c>
      <c r="T14" s="14">
        <f t="shared" si="3"/>
        <v>6.8368222374742622</v>
      </c>
      <c r="U14" s="42">
        <f t="shared" si="4"/>
        <v>6.8341810956089031</v>
      </c>
      <c r="V14" s="48">
        <f t="shared" si="13"/>
        <v>6.1020754664464709</v>
      </c>
      <c r="W14" s="14" t="e">
        <f>#REF!/#REF!*100</f>
        <v>#REF!</v>
      </c>
      <c r="X14" s="14" t="e">
        <f>#REF!/#REF!*100</f>
        <v>#REF!</v>
      </c>
      <c r="Y14" s="14" t="e">
        <f>#REF!/#REF!*100</f>
        <v>#REF!</v>
      </c>
      <c r="Z14" s="14" t="e">
        <f>#REF!/#REF!*100</f>
        <v>#REF!</v>
      </c>
      <c r="AA14" s="14" t="e">
        <f>#REF!/#REF!*100</f>
        <v>#REF!</v>
      </c>
      <c r="AB14" s="14">
        <f t="shared" si="5"/>
        <v>70.822281167108756</v>
      </c>
      <c r="AC14" s="14">
        <f t="shared" si="6"/>
        <v>71.765591667712386</v>
      </c>
      <c r="AD14" s="36">
        <f t="shared" si="7"/>
        <v>72.216699801192846</v>
      </c>
      <c r="AE14" s="42">
        <f t="shared" si="12"/>
        <v>71.765242511783484</v>
      </c>
      <c r="AF14" s="6" t="s">
        <v>29</v>
      </c>
      <c r="AG14" s="1"/>
      <c r="AH14" s="2"/>
      <c r="AI14" s="1"/>
      <c r="AJ14" s="1"/>
      <c r="AK14" s="32"/>
      <c r="AL14" s="32"/>
      <c r="AM14" s="32"/>
      <c r="AN14" s="32"/>
      <c r="AO14" s="32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21" customHeight="1" x14ac:dyDescent="0.55000000000000004">
      <c r="A15" s="12" t="s">
        <v>30</v>
      </c>
      <c r="B15" s="13">
        <f t="shared" si="8"/>
        <v>7458</v>
      </c>
      <c r="C15" s="13">
        <v>1532</v>
      </c>
      <c r="D15" s="21">
        <v>5926</v>
      </c>
      <c r="E15" s="13">
        <f t="shared" si="9"/>
        <v>7161</v>
      </c>
      <c r="F15" s="13">
        <v>1330</v>
      </c>
      <c r="G15" s="21">
        <v>5831</v>
      </c>
      <c r="H15" s="13">
        <f t="shared" si="10"/>
        <v>7772</v>
      </c>
      <c r="I15" s="38">
        <v>1552</v>
      </c>
      <c r="J15" s="34">
        <v>6220</v>
      </c>
      <c r="K15" s="13">
        <f t="shared" si="11"/>
        <v>5830</v>
      </c>
      <c r="L15" s="46">
        <v>1145</v>
      </c>
      <c r="M15" s="47">
        <v>4685</v>
      </c>
      <c r="N15" s="14" t="e">
        <f>#REF!/#REF!*100</f>
        <v>#REF!</v>
      </c>
      <c r="O15" s="14" t="e">
        <f>#REF!/#REF!*100</f>
        <v>#REF!</v>
      </c>
      <c r="P15" s="14" t="e">
        <f>#REF!/#REF!*100</f>
        <v>#REF!</v>
      </c>
      <c r="Q15" s="14" t="e">
        <f>#REF!/#REF!*100</f>
        <v>#REF!</v>
      </c>
      <c r="R15" s="14" t="e">
        <f>#REF!/#REF!*100</f>
        <v>#REF!</v>
      </c>
      <c r="S15" s="14">
        <f t="shared" si="2"/>
        <v>6.7229163286278331</v>
      </c>
      <c r="T15" s="14">
        <f t="shared" si="3"/>
        <v>6.1436170212765955</v>
      </c>
      <c r="U15" s="42">
        <f t="shared" si="4"/>
        <v>6.5998080858688359</v>
      </c>
      <c r="V15" s="48">
        <f t="shared" si="13"/>
        <v>5.409016264160396</v>
      </c>
      <c r="W15" s="14" t="e">
        <f>#REF!/#REF!*100</f>
        <v>#REF!</v>
      </c>
      <c r="X15" s="14" t="e">
        <f>#REF!/#REF!*100</f>
        <v>#REF!</v>
      </c>
      <c r="Y15" s="14" t="e">
        <f>#REF!/#REF!*100</f>
        <v>#REF!</v>
      </c>
      <c r="Z15" s="14" t="e">
        <f>#REF!/#REF!*100</f>
        <v>#REF!</v>
      </c>
      <c r="AA15" s="14" t="e">
        <f>#REF!/#REF!*100</f>
        <v>#REF!</v>
      </c>
      <c r="AB15" s="14">
        <f t="shared" si="5"/>
        <v>79.458299812282121</v>
      </c>
      <c r="AC15" s="14">
        <f t="shared" si="6"/>
        <v>81.427174975562082</v>
      </c>
      <c r="AD15" s="36">
        <f t="shared" si="7"/>
        <v>80.030880082346883</v>
      </c>
      <c r="AE15" s="42">
        <f t="shared" si="12"/>
        <v>80.36020583190394</v>
      </c>
      <c r="AF15" s="6" t="s">
        <v>31</v>
      </c>
      <c r="AG15" s="1"/>
      <c r="AH15" s="2"/>
      <c r="AI15" s="2"/>
      <c r="AJ15" s="2"/>
      <c r="AK15" s="33"/>
      <c r="AL15" s="33"/>
      <c r="AM15" s="33"/>
      <c r="AN15" s="33"/>
      <c r="AO15" s="33"/>
      <c r="AP15" s="2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21" customHeight="1" x14ac:dyDescent="0.55000000000000004">
      <c r="A16" s="12" t="s">
        <v>32</v>
      </c>
      <c r="B16" s="13">
        <f t="shared" si="8"/>
        <v>8565</v>
      </c>
      <c r="C16" s="13">
        <v>7492</v>
      </c>
      <c r="D16" s="21">
        <v>1073</v>
      </c>
      <c r="E16" s="13">
        <f t="shared" si="9"/>
        <v>9191</v>
      </c>
      <c r="F16" s="13">
        <v>7837</v>
      </c>
      <c r="G16" s="21">
        <v>1354</v>
      </c>
      <c r="H16" s="13">
        <f t="shared" si="10"/>
        <v>9647</v>
      </c>
      <c r="I16" s="38">
        <v>8128</v>
      </c>
      <c r="J16" s="34">
        <v>1519</v>
      </c>
      <c r="K16" s="13">
        <f t="shared" si="11"/>
        <v>9832</v>
      </c>
      <c r="L16" s="46">
        <v>8255</v>
      </c>
      <c r="M16" s="47">
        <v>1577</v>
      </c>
      <c r="N16" s="14" t="e">
        <f>#REF!/#REF!*100</f>
        <v>#REF!</v>
      </c>
      <c r="O16" s="14" t="e">
        <f>#REF!/#REF!*100</f>
        <v>#REF!</v>
      </c>
      <c r="P16" s="14" t="e">
        <f>#REF!/#REF!*100</f>
        <v>#REF!</v>
      </c>
      <c r="Q16" s="14" t="e">
        <f>#REF!/#REF!*100</f>
        <v>#REF!</v>
      </c>
      <c r="R16" s="14" t="e">
        <f>#REF!/#REF!*100</f>
        <v>#REF!</v>
      </c>
      <c r="S16" s="14">
        <f t="shared" si="2"/>
        <v>7.7208069663042886</v>
      </c>
      <c r="T16" s="14">
        <f t="shared" si="3"/>
        <v>7.8852093342484553</v>
      </c>
      <c r="U16" s="42">
        <f t="shared" si="4"/>
        <v>8.1920160324725497</v>
      </c>
      <c r="V16" s="48">
        <f t="shared" si="13"/>
        <v>9.122032231427962</v>
      </c>
      <c r="W16" s="14" t="e">
        <f>#REF!/#REF!*100</f>
        <v>#REF!</v>
      </c>
      <c r="X16" s="14" t="e">
        <f>#REF!/#REF!*100</f>
        <v>#REF!</v>
      </c>
      <c r="Y16" s="14" t="e">
        <f>#REF!/#REF!*100</f>
        <v>#REF!</v>
      </c>
      <c r="Z16" s="14" t="e">
        <f>#REF!/#REF!*100</f>
        <v>#REF!</v>
      </c>
      <c r="AA16" s="14" t="e">
        <f>#REF!/#REF!*100</f>
        <v>#REF!</v>
      </c>
      <c r="AB16" s="14">
        <f t="shared" si="5"/>
        <v>12.527729130180971</v>
      </c>
      <c r="AC16" s="14">
        <f t="shared" si="6"/>
        <v>14.731802850614731</v>
      </c>
      <c r="AD16" s="36">
        <f t="shared" si="7"/>
        <v>15.745827718461697</v>
      </c>
      <c r="AE16" s="42">
        <f t="shared" si="12"/>
        <v>16.039462978030919</v>
      </c>
      <c r="AF16" s="6" t="s">
        <v>33</v>
      </c>
      <c r="AG16" s="1"/>
      <c r="AH16" s="2"/>
      <c r="AI16" s="1"/>
      <c r="AJ16" s="1"/>
      <c r="AK16" s="32"/>
      <c r="AL16" s="32"/>
      <c r="AM16" s="32"/>
      <c r="AN16" s="32"/>
      <c r="AO16" s="32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21" customHeight="1" x14ac:dyDescent="0.55000000000000004">
      <c r="A17" s="12" t="s">
        <v>34</v>
      </c>
      <c r="B17" s="13">
        <f t="shared" si="8"/>
        <v>25875</v>
      </c>
      <c r="C17" s="13">
        <v>19601</v>
      </c>
      <c r="D17" s="21">
        <v>6274</v>
      </c>
      <c r="E17" s="13">
        <f t="shared" si="9"/>
        <v>30066</v>
      </c>
      <c r="F17" s="13">
        <v>22476</v>
      </c>
      <c r="G17" s="21">
        <v>7590</v>
      </c>
      <c r="H17" s="13">
        <f t="shared" si="10"/>
        <v>27923</v>
      </c>
      <c r="I17" s="38">
        <v>20710</v>
      </c>
      <c r="J17" s="34">
        <v>7213</v>
      </c>
      <c r="K17" s="13">
        <f t="shared" si="11"/>
        <v>28404</v>
      </c>
      <c r="L17" s="46">
        <v>21172</v>
      </c>
      <c r="M17" s="47">
        <v>7232</v>
      </c>
      <c r="N17" s="14" t="e">
        <f>#REF!/#REF!*100</f>
        <v>#REF!</v>
      </c>
      <c r="O17" s="14" t="e">
        <f>#REF!/#REF!*100</f>
        <v>#REF!</v>
      </c>
      <c r="P17" s="14" t="e">
        <f>#REF!/#REF!*100</f>
        <v>#REF!</v>
      </c>
      <c r="Q17" s="14" t="e">
        <f>#REF!/#REF!*100</f>
        <v>#REF!</v>
      </c>
      <c r="R17" s="14" t="e">
        <f>#REF!/#REF!*100</f>
        <v>#REF!</v>
      </c>
      <c r="S17" s="14">
        <f t="shared" si="2"/>
        <v>23.32467953918546</v>
      </c>
      <c r="T17" s="14">
        <f t="shared" si="3"/>
        <v>25.794440631434455</v>
      </c>
      <c r="U17" s="42">
        <f t="shared" si="4"/>
        <v>23.711585329608276</v>
      </c>
      <c r="V17" s="48">
        <f t="shared" si="13"/>
        <v>26.352949908612679</v>
      </c>
      <c r="W17" s="14" t="e">
        <f>#REF!/#REF!*100</f>
        <v>#REF!</v>
      </c>
      <c r="X17" s="14" t="e">
        <f>#REF!/#REF!*100</f>
        <v>#REF!</v>
      </c>
      <c r="Y17" s="14" t="e">
        <f>#REF!/#REF!*100</f>
        <v>#REF!</v>
      </c>
      <c r="Z17" s="14" t="e">
        <f>#REF!/#REF!*100</f>
        <v>#REF!</v>
      </c>
      <c r="AA17" s="14" t="e">
        <f>#REF!/#REF!*100</f>
        <v>#REF!</v>
      </c>
      <c r="AB17" s="14">
        <f t="shared" si="5"/>
        <v>24.247342995169081</v>
      </c>
      <c r="AC17" s="14">
        <f t="shared" si="6"/>
        <v>25.244462183196966</v>
      </c>
      <c r="AD17" s="36">
        <f t="shared" si="7"/>
        <v>25.831751602621495</v>
      </c>
      <c r="AE17" s="42">
        <f t="shared" si="12"/>
        <v>25.461202647514437</v>
      </c>
      <c r="AF17" s="6" t="s">
        <v>35</v>
      </c>
      <c r="AG17" s="1"/>
      <c r="AH17" s="2"/>
      <c r="AI17" s="2"/>
      <c r="AJ17" s="2"/>
      <c r="AK17" s="33"/>
      <c r="AL17" s="33"/>
      <c r="AM17" s="33"/>
      <c r="AN17" s="33"/>
      <c r="AO17" s="33"/>
      <c r="AP17" s="2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21" customHeight="1" x14ac:dyDescent="0.55000000000000004">
      <c r="A18" s="12" t="s">
        <v>36</v>
      </c>
      <c r="B18" s="13">
        <f t="shared" si="8"/>
        <v>38023</v>
      </c>
      <c r="C18" s="13">
        <v>29714</v>
      </c>
      <c r="D18" s="21">
        <v>8309</v>
      </c>
      <c r="E18" s="13">
        <f t="shared" si="9"/>
        <v>39020</v>
      </c>
      <c r="F18" s="13">
        <v>30066</v>
      </c>
      <c r="G18" s="21">
        <v>8954</v>
      </c>
      <c r="H18" s="13">
        <f t="shared" si="10"/>
        <v>38412</v>
      </c>
      <c r="I18" s="38">
        <v>29461</v>
      </c>
      <c r="J18" s="34">
        <v>8951</v>
      </c>
      <c r="K18" s="13">
        <f t="shared" si="11"/>
        <v>37063</v>
      </c>
      <c r="L18" s="46">
        <v>28489</v>
      </c>
      <c r="M18" s="47">
        <v>8574</v>
      </c>
      <c r="N18" s="14" t="e">
        <f>#REF!/#REF!*100</f>
        <v>#REF!</v>
      </c>
      <c r="O18" s="14" t="e">
        <f>#REF!/#REF!*100</f>
        <v>#REF!</v>
      </c>
      <c r="P18" s="14" t="e">
        <f>#REF!/#REF!*100</f>
        <v>#REF!</v>
      </c>
      <c r="Q18" s="14" t="e">
        <f>#REF!/#REF!*100</f>
        <v>#REF!</v>
      </c>
      <c r="R18" s="14" t="e">
        <f>#REF!/#REF!*100</f>
        <v>#REF!</v>
      </c>
      <c r="S18" s="14">
        <f t="shared" si="2"/>
        <v>34.275334883804788</v>
      </c>
      <c r="T18" s="14">
        <f t="shared" si="3"/>
        <v>33.476321207961561</v>
      </c>
      <c r="U18" s="42">
        <f t="shared" si="4"/>
        <v>32.618608877302336</v>
      </c>
      <c r="V18" s="48">
        <f t="shared" si="13"/>
        <v>34.386684356531177</v>
      </c>
      <c r="W18" s="14" t="e">
        <f>#REF!/#REF!*100</f>
        <v>#REF!</v>
      </c>
      <c r="X18" s="14" t="e">
        <f>#REF!/#REF!*100</f>
        <v>#REF!</v>
      </c>
      <c r="Y18" s="14" t="e">
        <f>#REF!/#REF!*100</f>
        <v>#REF!</v>
      </c>
      <c r="Z18" s="14" t="e">
        <f>#REF!/#REF!*100</f>
        <v>#REF!</v>
      </c>
      <c r="AA18" s="14" t="e">
        <f>#REF!/#REF!*100</f>
        <v>#REF!</v>
      </c>
      <c r="AB18" s="14">
        <f t="shared" si="5"/>
        <v>21.852562922441678</v>
      </c>
      <c r="AC18" s="14">
        <f t="shared" si="6"/>
        <v>22.947206560738085</v>
      </c>
      <c r="AD18" s="36">
        <f t="shared" si="7"/>
        <v>23.302613766531291</v>
      </c>
      <c r="AE18" s="42">
        <f t="shared" si="12"/>
        <v>23.133583358065994</v>
      </c>
      <c r="AF18" s="6" t="s">
        <v>37</v>
      </c>
      <c r="AG18" s="1"/>
      <c r="AH18" s="2"/>
      <c r="AI18" s="1"/>
      <c r="AJ18" s="1"/>
      <c r="AK18" s="32"/>
      <c r="AL18" s="32"/>
      <c r="AM18" s="32"/>
      <c r="AN18" s="32"/>
      <c r="AO18" s="32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21" customHeight="1" x14ac:dyDescent="0.55000000000000004">
      <c r="A19" s="16" t="s">
        <v>11</v>
      </c>
      <c r="B19" s="17">
        <f t="shared" si="8"/>
        <v>1586</v>
      </c>
      <c r="C19" s="17">
        <v>929</v>
      </c>
      <c r="D19" s="22">
        <v>657</v>
      </c>
      <c r="E19" s="17">
        <f t="shared" si="9"/>
        <v>1579</v>
      </c>
      <c r="F19" s="17">
        <v>908</v>
      </c>
      <c r="G19" s="22">
        <v>671</v>
      </c>
      <c r="H19" s="17">
        <f t="shared" si="10"/>
        <v>1380</v>
      </c>
      <c r="I19" s="39">
        <v>703</v>
      </c>
      <c r="J19" s="35">
        <v>677</v>
      </c>
      <c r="K19" s="17">
        <f t="shared" si="11"/>
        <v>1002</v>
      </c>
      <c r="L19" s="49">
        <v>580</v>
      </c>
      <c r="M19" s="50">
        <v>422</v>
      </c>
      <c r="N19" s="18" t="e">
        <f>#REF!/#REF!*100</f>
        <v>#REF!</v>
      </c>
      <c r="O19" s="18" t="e">
        <f>#REF!/#REF!*100</f>
        <v>#REF!</v>
      </c>
      <c r="P19" s="18" t="e">
        <f>#REF!/#REF!*100</f>
        <v>#REF!</v>
      </c>
      <c r="Q19" s="18" t="e">
        <f>#REF!/#REF!*100</f>
        <v>#REF!</v>
      </c>
      <c r="R19" s="18" t="e">
        <f>#REF!/#REF!*100</f>
        <v>#REF!</v>
      </c>
      <c r="S19" s="18">
        <f t="shared" si="2"/>
        <v>1.4296789081796384</v>
      </c>
      <c r="T19" s="18">
        <f t="shared" si="3"/>
        <v>1.3546671242278656</v>
      </c>
      <c r="U19" s="43">
        <f t="shared" si="4"/>
        <v>1.1718650487003337</v>
      </c>
      <c r="V19" s="51">
        <f t="shared" si="13"/>
        <v>0.92964567696204414</v>
      </c>
      <c r="W19" s="18" t="e">
        <f>#REF!/#REF!*100</f>
        <v>#REF!</v>
      </c>
      <c r="X19" s="18" t="e">
        <f>#REF!/#REF!*100</f>
        <v>#REF!</v>
      </c>
      <c r="Y19" s="18" t="e">
        <f>#REF!/#REF!*100</f>
        <v>#REF!</v>
      </c>
      <c r="Z19" s="18" t="e">
        <f>#REF!/#REF!*100</f>
        <v>#REF!</v>
      </c>
      <c r="AA19" s="18" t="e">
        <f>#REF!/#REF!*100</f>
        <v>#REF!</v>
      </c>
      <c r="AB19" s="18">
        <f t="shared" si="5"/>
        <v>41.424968474148805</v>
      </c>
      <c r="AC19" s="18">
        <f t="shared" si="6"/>
        <v>42.495250158328055</v>
      </c>
      <c r="AD19" s="37">
        <f t="shared" si="7"/>
        <v>49.05797101449275</v>
      </c>
      <c r="AE19" s="52">
        <f t="shared" si="12"/>
        <v>42.115768463073856</v>
      </c>
      <c r="AF19" s="7" t="s">
        <v>12</v>
      </c>
      <c r="AG19" s="1"/>
      <c r="AH19" s="2"/>
      <c r="AI19" s="1"/>
      <c r="AJ19" s="1"/>
      <c r="AK19" s="32"/>
      <c r="AL19" s="32"/>
      <c r="AM19" s="32"/>
      <c r="AN19" s="32"/>
      <c r="AO19" s="32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18.75" customHeight="1" x14ac:dyDescent="0.5">
      <c r="A20" s="19" t="s">
        <v>10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32"/>
      <c r="W20" s="1"/>
      <c r="X20" s="1"/>
      <c r="Y20" s="1"/>
      <c r="Z20" s="1"/>
      <c r="AA20" s="1"/>
      <c r="AB20" s="1"/>
      <c r="AC20" s="1"/>
      <c r="AD20" s="1"/>
      <c r="AE20" s="32"/>
      <c r="AF20" s="20" t="s">
        <v>9</v>
      </c>
      <c r="AG20" s="1"/>
      <c r="AH20" s="1"/>
      <c r="AI20" s="1"/>
      <c r="AJ20" s="1"/>
      <c r="AK20" s="32"/>
      <c r="AL20" s="32"/>
      <c r="AM20" s="32"/>
      <c r="AN20" s="32"/>
      <c r="AO20" s="32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8" customHeight="1" x14ac:dyDescent="0.25">
      <c r="A21" s="1"/>
      <c r="B21" s="15"/>
      <c r="C21" s="1"/>
      <c r="D21" s="1"/>
      <c r="E21" s="15"/>
      <c r="F21" s="1"/>
      <c r="G21" s="1"/>
      <c r="H21" s="15"/>
      <c r="I21" s="1"/>
      <c r="J21" s="1"/>
      <c r="K21" s="15"/>
      <c r="L21" s="1"/>
      <c r="M21" s="1"/>
      <c r="N21" s="1"/>
      <c r="O21" s="1"/>
      <c r="P21" s="1"/>
      <c r="Q21" s="1"/>
      <c r="R21" s="1"/>
      <c r="S21" s="1"/>
      <c r="T21" s="1"/>
      <c r="U21" s="1"/>
      <c r="V21" s="32"/>
      <c r="W21" s="1"/>
      <c r="X21" s="1"/>
      <c r="Y21" s="1"/>
      <c r="Z21" s="1"/>
      <c r="AA21" s="1"/>
      <c r="AB21" s="1"/>
      <c r="AC21" s="1"/>
      <c r="AD21" s="1"/>
      <c r="AE21" s="32"/>
      <c r="AF21" s="1"/>
      <c r="AG21" s="1"/>
      <c r="AH21" s="1"/>
      <c r="AI21" s="1"/>
      <c r="AJ21" s="1"/>
      <c r="AK21" s="32"/>
      <c r="AL21" s="32"/>
      <c r="AM21" s="32"/>
      <c r="AN21" s="32"/>
      <c r="AO21" s="32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5.75" customHeight="1" x14ac:dyDescent="0.25">
      <c r="A22" s="1"/>
      <c r="B22" s="15"/>
      <c r="C22" s="1"/>
      <c r="D22" s="1"/>
      <c r="E22" s="15"/>
      <c r="F22" s="1"/>
      <c r="G22" s="1"/>
      <c r="H22" s="15"/>
      <c r="I22" s="1"/>
      <c r="J22" s="1"/>
      <c r="K22" s="15"/>
      <c r="L22" s="1"/>
      <c r="M22" s="1"/>
      <c r="N22" s="1"/>
      <c r="O22" s="1"/>
      <c r="P22" s="1"/>
      <c r="Q22" s="1"/>
      <c r="R22" s="1"/>
      <c r="S22" s="1"/>
      <c r="T22" s="1"/>
      <c r="U22" s="1"/>
      <c r="V22" s="32"/>
      <c r="W22" s="1"/>
      <c r="X22" s="1"/>
      <c r="Y22" s="1"/>
      <c r="Z22" s="1"/>
      <c r="AA22" s="1"/>
      <c r="AB22" s="1"/>
      <c r="AC22" s="1"/>
      <c r="AD22" s="1"/>
      <c r="AE22" s="32"/>
      <c r="AF22" s="1"/>
      <c r="AG22" s="1"/>
      <c r="AH22" s="1"/>
      <c r="AI22" s="1"/>
      <c r="AJ22" s="1"/>
      <c r="AK22" s="32"/>
      <c r="AL22" s="32"/>
      <c r="AM22" s="32"/>
      <c r="AN22" s="32"/>
      <c r="AO22" s="32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5.75" customHeight="1" x14ac:dyDescent="0.25">
      <c r="A23" s="1"/>
      <c r="B23" s="15"/>
      <c r="C23" s="1"/>
      <c r="D23" s="1"/>
      <c r="E23" s="15"/>
      <c r="F23" s="1"/>
      <c r="G23" s="1"/>
      <c r="H23" s="15"/>
      <c r="I23" s="1"/>
      <c r="J23" s="1"/>
      <c r="K23" s="15"/>
      <c r="L23" s="1"/>
      <c r="M23" s="1"/>
      <c r="N23" s="1"/>
      <c r="O23" s="1"/>
      <c r="P23" s="1"/>
      <c r="Q23" s="1"/>
      <c r="R23" s="1"/>
      <c r="S23" s="1"/>
      <c r="T23" s="1"/>
      <c r="U23" s="1"/>
      <c r="V23" s="32"/>
      <c r="W23" s="1"/>
      <c r="X23" s="1"/>
      <c r="Y23" s="1"/>
      <c r="Z23" s="1"/>
      <c r="AA23" s="1"/>
      <c r="AB23" s="1"/>
      <c r="AC23" s="1"/>
      <c r="AD23" s="1"/>
      <c r="AE23" s="32"/>
      <c r="AF23" s="1"/>
      <c r="AG23" s="1"/>
      <c r="AH23" s="1"/>
      <c r="AI23" s="1"/>
      <c r="AJ23" s="1"/>
      <c r="AK23" s="32"/>
      <c r="AL23" s="32"/>
      <c r="AM23" s="32"/>
      <c r="AN23" s="32"/>
      <c r="AO23" s="32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5.75" customHeight="1" x14ac:dyDescent="0.25">
      <c r="A24" s="1"/>
      <c r="B24" s="15"/>
      <c r="C24" s="1"/>
      <c r="D24" s="1"/>
      <c r="E24" s="15"/>
      <c r="F24" s="1"/>
      <c r="G24" s="1"/>
      <c r="H24" s="15"/>
      <c r="I24" s="1"/>
      <c r="J24" s="1"/>
      <c r="K24" s="15"/>
      <c r="L24" s="1"/>
      <c r="M24" s="1"/>
      <c r="N24" s="1"/>
      <c r="O24" s="1"/>
      <c r="P24" s="1"/>
      <c r="Q24" s="1"/>
      <c r="R24" s="1"/>
      <c r="S24" s="1"/>
      <c r="T24" s="1"/>
      <c r="U24" s="1"/>
      <c r="V24" s="32"/>
      <c r="W24" s="1"/>
      <c r="X24" s="1"/>
      <c r="Y24" s="1"/>
      <c r="Z24" s="1"/>
      <c r="AA24" s="1"/>
      <c r="AB24" s="1"/>
      <c r="AC24" s="1"/>
      <c r="AD24" s="1"/>
      <c r="AE24" s="32"/>
      <c r="AF24" s="1"/>
      <c r="AG24" s="1"/>
      <c r="AH24" s="1"/>
      <c r="AI24" s="1"/>
      <c r="AJ24" s="1"/>
      <c r="AK24" s="32"/>
      <c r="AL24" s="32"/>
      <c r="AM24" s="32"/>
      <c r="AN24" s="32"/>
      <c r="AO24" s="32"/>
      <c r="AP24" s="1"/>
      <c r="AQ24" s="1"/>
      <c r="AR24" s="1"/>
      <c r="AS24" s="1"/>
      <c r="AT24" s="1"/>
      <c r="AU24" s="1"/>
      <c r="AV24" s="1"/>
      <c r="AW24" s="1"/>
      <c r="AX24" s="1"/>
      <c r="AY24" s="12" t="s">
        <v>30</v>
      </c>
      <c r="AZ24" s="36">
        <v>80.36020583190394</v>
      </c>
    </row>
    <row r="25" spans="1:52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32"/>
      <c r="W25" s="1"/>
      <c r="X25" s="1"/>
      <c r="Y25" s="1"/>
      <c r="Z25" s="1"/>
      <c r="AA25" s="1"/>
      <c r="AB25" s="1"/>
      <c r="AC25" s="1"/>
      <c r="AD25" s="1"/>
      <c r="AE25" s="32"/>
      <c r="AF25" s="1"/>
      <c r="AG25" s="1"/>
      <c r="AH25" s="1"/>
      <c r="AI25" s="1"/>
      <c r="AJ25" s="1"/>
      <c r="AK25" s="32"/>
      <c r="AL25" s="32"/>
      <c r="AM25" s="32"/>
      <c r="AN25" s="32"/>
      <c r="AO25" s="32"/>
      <c r="AP25" s="1"/>
      <c r="AQ25" s="1"/>
      <c r="AR25" s="1"/>
      <c r="AS25" s="1"/>
      <c r="AT25" s="1"/>
      <c r="AU25" s="1"/>
      <c r="AV25" s="1"/>
      <c r="AW25" s="1"/>
      <c r="AX25" s="1"/>
      <c r="AY25" s="12" t="s">
        <v>28</v>
      </c>
      <c r="AZ25" s="36">
        <v>71.765242511783484</v>
      </c>
    </row>
    <row r="26" spans="1:52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32"/>
      <c r="W26" s="1"/>
      <c r="X26" s="1"/>
      <c r="Y26" s="1"/>
      <c r="Z26" s="1"/>
      <c r="AA26" s="1"/>
      <c r="AB26" s="1"/>
      <c r="AC26" s="1"/>
      <c r="AD26" s="1"/>
      <c r="AE26" s="32"/>
      <c r="AF26" s="1"/>
      <c r="AG26" s="1"/>
      <c r="AH26" s="1"/>
      <c r="AI26" s="1"/>
      <c r="AJ26" s="1"/>
      <c r="AK26" s="32"/>
      <c r="AL26" s="32"/>
      <c r="AM26" s="32"/>
      <c r="AN26" s="32"/>
      <c r="AO26" s="32"/>
      <c r="AP26" s="1"/>
      <c r="AQ26" s="1"/>
      <c r="AR26" s="1"/>
      <c r="AS26" s="1"/>
      <c r="AT26" s="1"/>
      <c r="AU26" s="1"/>
      <c r="AV26" s="1"/>
      <c r="AW26" s="1"/>
      <c r="AX26" s="1"/>
      <c r="AY26" s="12" t="s">
        <v>22</v>
      </c>
      <c r="AZ26" s="36">
        <v>59.959623149394346</v>
      </c>
    </row>
    <row r="27" spans="1:52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32"/>
      <c r="W27" s="1"/>
      <c r="X27" s="1"/>
      <c r="Y27" s="1"/>
      <c r="Z27" s="1"/>
      <c r="AA27" s="1"/>
      <c r="AB27" s="1"/>
      <c r="AC27" s="1"/>
      <c r="AD27" s="1"/>
      <c r="AE27" s="32"/>
      <c r="AF27" s="1"/>
      <c r="AG27" s="1"/>
      <c r="AH27" s="1"/>
      <c r="AI27" s="1"/>
      <c r="AJ27" s="1"/>
      <c r="AK27" s="32"/>
      <c r="AL27" s="32"/>
      <c r="AM27" s="32"/>
      <c r="AN27" s="32"/>
      <c r="AO27" s="32"/>
      <c r="AP27" s="1"/>
      <c r="AQ27" s="1"/>
      <c r="AR27" s="1"/>
      <c r="AS27" s="1"/>
      <c r="AT27" s="1"/>
      <c r="AU27" s="1"/>
      <c r="AV27" s="1"/>
      <c r="AW27" s="1"/>
      <c r="AX27" s="1"/>
      <c r="AY27" s="12" t="s">
        <v>18</v>
      </c>
      <c r="AZ27" s="36">
        <v>55.959209687699172</v>
      </c>
    </row>
    <row r="28" spans="1:52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32"/>
      <c r="W28" s="1"/>
      <c r="X28" s="1"/>
      <c r="Y28" s="1"/>
      <c r="Z28" s="1"/>
      <c r="AA28" s="1"/>
      <c r="AB28" s="1"/>
      <c r="AC28" s="1"/>
      <c r="AD28" s="1"/>
      <c r="AE28" s="32"/>
      <c r="AF28" s="1"/>
      <c r="AG28" s="1"/>
      <c r="AH28" s="1"/>
      <c r="AI28" s="1"/>
      <c r="AJ28" s="1"/>
      <c r="AK28" s="32"/>
      <c r="AL28" s="32"/>
      <c r="AM28" s="32"/>
      <c r="AN28" s="32"/>
      <c r="AO28" s="32"/>
      <c r="AP28" s="1"/>
      <c r="AQ28" s="1"/>
      <c r="AR28" s="1"/>
      <c r="AS28" s="1"/>
      <c r="AT28" s="1"/>
      <c r="AU28" s="1"/>
      <c r="AV28" s="1"/>
      <c r="AW28" s="1"/>
      <c r="AX28" s="1"/>
      <c r="AY28" s="12" t="s">
        <v>16</v>
      </c>
      <c r="AZ28" s="36">
        <v>54.821506312581626</v>
      </c>
    </row>
    <row r="29" spans="1:52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32"/>
      <c r="W29" s="1"/>
      <c r="X29" s="1"/>
      <c r="Y29" s="1"/>
      <c r="Z29" s="1"/>
      <c r="AA29" s="1"/>
      <c r="AB29" s="1"/>
      <c r="AC29" s="1"/>
      <c r="AD29" s="1"/>
      <c r="AE29" s="32"/>
      <c r="AF29" s="1"/>
      <c r="AG29" s="1"/>
      <c r="AH29" s="1"/>
      <c r="AI29" s="1"/>
      <c r="AJ29" s="1"/>
      <c r="AK29" s="32"/>
      <c r="AL29" s="32"/>
      <c r="AM29" s="32"/>
      <c r="AN29" s="32"/>
      <c r="AO29" s="32"/>
      <c r="AP29" s="1"/>
      <c r="AQ29" s="1"/>
      <c r="AR29" s="1"/>
      <c r="AS29" s="1"/>
      <c r="AT29" s="1"/>
      <c r="AU29" s="1"/>
      <c r="AV29" s="1"/>
      <c r="AW29" s="1"/>
      <c r="AX29" s="1"/>
      <c r="AY29" s="12" t="s">
        <v>26</v>
      </c>
      <c r="AZ29" s="36">
        <v>49.414881872378011</v>
      </c>
    </row>
    <row r="30" spans="1:52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32"/>
      <c r="W30" s="1"/>
      <c r="X30" s="1"/>
      <c r="Y30" s="1"/>
      <c r="Z30" s="1"/>
      <c r="AA30" s="1"/>
      <c r="AB30" s="1"/>
      <c r="AC30" s="1"/>
      <c r="AD30" s="1"/>
      <c r="AE30" s="32"/>
      <c r="AF30" s="1"/>
      <c r="AG30" s="1"/>
      <c r="AH30" s="1"/>
      <c r="AI30" s="1"/>
      <c r="AJ30" s="1"/>
      <c r="AK30" s="32"/>
      <c r="AL30" s="32"/>
      <c r="AM30" s="32"/>
      <c r="AN30" s="32"/>
      <c r="AO30" s="32"/>
      <c r="AP30" s="1"/>
      <c r="AQ30" s="1"/>
      <c r="AR30" s="1"/>
      <c r="AS30" s="1"/>
      <c r="AT30" s="1"/>
      <c r="AU30" s="1"/>
      <c r="AV30" s="1"/>
      <c r="AW30" s="1"/>
      <c r="AX30" s="1"/>
      <c r="AY30" s="12" t="s">
        <v>20</v>
      </c>
      <c r="AZ30" s="36">
        <v>48.216340621403916</v>
      </c>
    </row>
    <row r="31" spans="1:52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32"/>
      <c r="W31" s="1"/>
      <c r="X31" s="1"/>
      <c r="Y31" s="1"/>
      <c r="Z31" s="1"/>
      <c r="AA31" s="1"/>
      <c r="AB31" s="1"/>
      <c r="AC31" s="1"/>
      <c r="AD31" s="1"/>
      <c r="AE31" s="32"/>
      <c r="AF31" s="1"/>
      <c r="AG31" s="1"/>
      <c r="AH31" s="1"/>
      <c r="AI31" s="1"/>
      <c r="AJ31" s="1"/>
      <c r="AK31" s="32"/>
      <c r="AL31" s="32"/>
      <c r="AM31" s="32"/>
      <c r="AN31" s="32"/>
      <c r="AO31" s="32"/>
      <c r="AP31" s="1"/>
      <c r="AQ31" s="1"/>
      <c r="AR31" s="1"/>
      <c r="AS31" s="1"/>
      <c r="AT31" s="1"/>
      <c r="AU31" s="1"/>
      <c r="AV31" s="1"/>
      <c r="AW31" s="1"/>
      <c r="AX31" s="1"/>
      <c r="AY31" s="12" t="s">
        <v>24</v>
      </c>
      <c r="AZ31" s="36">
        <v>48.141592920353979</v>
      </c>
    </row>
    <row r="32" spans="1:52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32"/>
      <c r="W32" s="1"/>
      <c r="X32" s="1"/>
      <c r="Y32" s="1"/>
      <c r="Z32" s="1"/>
      <c r="AA32" s="1"/>
      <c r="AB32" s="1"/>
      <c r="AC32" s="1"/>
      <c r="AD32" s="1"/>
      <c r="AE32" s="32"/>
      <c r="AF32" s="1"/>
      <c r="AG32" s="1"/>
      <c r="AH32" s="1"/>
      <c r="AI32" s="1"/>
      <c r="AJ32" s="1"/>
      <c r="AK32" s="32"/>
      <c r="AL32" s="32"/>
      <c r="AM32" s="32"/>
      <c r="AN32" s="32"/>
      <c r="AO32" s="32"/>
      <c r="AP32" s="1"/>
      <c r="AQ32" s="1"/>
      <c r="AR32" s="1"/>
      <c r="AS32" s="1"/>
      <c r="AT32" s="1"/>
      <c r="AU32" s="1"/>
      <c r="AV32" s="1"/>
      <c r="AW32" s="1"/>
      <c r="AX32" s="1"/>
      <c r="AY32" s="12" t="s">
        <v>11</v>
      </c>
      <c r="AZ32" s="36">
        <v>42.115768463073856</v>
      </c>
    </row>
    <row r="33" spans="1:52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32"/>
      <c r="W33" s="1"/>
      <c r="X33" s="1"/>
      <c r="Y33" s="1"/>
      <c r="Z33" s="1"/>
      <c r="AA33" s="1"/>
      <c r="AB33" s="1"/>
      <c r="AC33" s="1"/>
      <c r="AD33" s="1"/>
      <c r="AE33" s="32"/>
      <c r="AF33" s="1"/>
      <c r="AG33" s="1"/>
      <c r="AH33" s="1"/>
      <c r="AI33" s="23"/>
      <c r="AJ33" s="1"/>
      <c r="AK33" s="32"/>
      <c r="AL33" s="32"/>
      <c r="AM33" s="32"/>
      <c r="AN33" s="32"/>
      <c r="AO33" s="32"/>
      <c r="AP33" s="1"/>
      <c r="AQ33" s="1"/>
      <c r="AR33" s="1"/>
      <c r="AS33" s="1"/>
      <c r="AT33" s="1"/>
      <c r="AU33" s="1"/>
      <c r="AV33" s="1"/>
      <c r="AW33" s="1"/>
      <c r="AX33" s="1"/>
      <c r="AY33" s="12" t="s">
        <v>34</v>
      </c>
      <c r="AZ33" s="36">
        <v>25.461202647514437</v>
      </c>
    </row>
    <row r="34" spans="1:52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32"/>
      <c r="W34" s="1"/>
      <c r="X34" s="1"/>
      <c r="Y34" s="1"/>
      <c r="Z34" s="1"/>
      <c r="AA34" s="1"/>
      <c r="AB34" s="1"/>
      <c r="AC34" s="1"/>
      <c r="AD34" s="1"/>
      <c r="AE34" s="32"/>
      <c r="AF34" s="1"/>
      <c r="AG34" s="1"/>
      <c r="AH34" s="1"/>
      <c r="AI34" s="1"/>
      <c r="AJ34" s="1"/>
      <c r="AK34" s="32"/>
      <c r="AL34" s="32"/>
      <c r="AM34" s="32"/>
      <c r="AN34" s="32"/>
      <c r="AO34" s="32"/>
      <c r="AP34" s="1"/>
      <c r="AQ34" s="1"/>
      <c r="AR34" s="1"/>
      <c r="AS34" s="1"/>
      <c r="AT34" s="1"/>
      <c r="AU34" s="1"/>
      <c r="AV34" s="1"/>
      <c r="AW34" s="1"/>
      <c r="AX34" s="1"/>
      <c r="AY34" s="12" t="s">
        <v>36</v>
      </c>
      <c r="AZ34" s="36">
        <v>23.133583358065994</v>
      </c>
    </row>
    <row r="35" spans="1:52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32"/>
      <c r="W35" s="1"/>
      <c r="X35" s="1"/>
      <c r="Y35" s="1"/>
      <c r="Z35" s="1"/>
      <c r="AA35" s="1"/>
      <c r="AB35" s="1"/>
      <c r="AC35" s="1"/>
      <c r="AD35" s="1"/>
      <c r="AE35" s="32"/>
      <c r="AF35" s="1"/>
      <c r="AG35" s="1"/>
      <c r="AH35" s="1"/>
      <c r="AI35" s="1"/>
      <c r="AJ35" s="1"/>
      <c r="AK35" s="32"/>
      <c r="AL35" s="32"/>
      <c r="AM35" s="32"/>
      <c r="AN35" s="32"/>
      <c r="AO35" s="32"/>
      <c r="AP35" s="1"/>
      <c r="AQ35" s="1"/>
      <c r="AR35" s="1"/>
      <c r="AS35" s="1"/>
      <c r="AT35" s="1"/>
      <c r="AU35" s="1"/>
      <c r="AV35" s="1"/>
      <c r="AW35" s="1"/>
      <c r="AX35" s="1"/>
      <c r="AY35" s="16" t="s">
        <v>32</v>
      </c>
      <c r="AZ35" s="37">
        <v>16.039462978030919</v>
      </c>
    </row>
    <row r="36" spans="1:52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32"/>
      <c r="W36" s="1"/>
      <c r="X36" s="1"/>
      <c r="Y36" s="1"/>
      <c r="Z36" s="1"/>
      <c r="AA36" s="1"/>
      <c r="AB36" s="1"/>
      <c r="AC36" s="1"/>
      <c r="AD36" s="1"/>
      <c r="AE36" s="32"/>
      <c r="AF36" s="1"/>
      <c r="AG36" s="1"/>
      <c r="AH36" s="1"/>
      <c r="AI36" s="1"/>
      <c r="AJ36" s="1"/>
      <c r="AK36" s="32"/>
      <c r="AL36" s="32"/>
      <c r="AM36" s="32"/>
      <c r="AN36" s="32"/>
      <c r="AO36" s="32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32"/>
      <c r="W37" s="1"/>
      <c r="X37" s="1"/>
      <c r="Y37" s="1"/>
      <c r="Z37" s="1"/>
      <c r="AA37" s="1"/>
      <c r="AB37" s="1"/>
      <c r="AC37" s="1"/>
      <c r="AD37" s="1"/>
      <c r="AE37" s="32"/>
      <c r="AF37" s="1"/>
      <c r="AG37" s="1"/>
      <c r="AH37" s="1"/>
      <c r="AI37" s="1"/>
      <c r="AJ37" s="1"/>
      <c r="AK37" s="32"/>
      <c r="AL37" s="32"/>
      <c r="AM37" s="32"/>
      <c r="AN37" s="32"/>
      <c r="AO37" s="32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32"/>
      <c r="W38" s="1"/>
      <c r="X38" s="1"/>
      <c r="Y38" s="1"/>
      <c r="Z38" s="1"/>
      <c r="AA38" s="1"/>
      <c r="AB38" s="1"/>
      <c r="AC38" s="1"/>
      <c r="AD38" s="1"/>
      <c r="AE38" s="32"/>
      <c r="AF38" s="1"/>
      <c r="AG38" s="1"/>
      <c r="AH38" s="1"/>
      <c r="AI38" s="1"/>
      <c r="AJ38" s="1"/>
      <c r="AK38" s="32"/>
      <c r="AL38" s="32"/>
      <c r="AM38" s="32"/>
      <c r="AN38" s="32"/>
      <c r="AO38" s="32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32"/>
      <c r="W39" s="1"/>
      <c r="X39" s="1"/>
      <c r="Y39" s="1"/>
      <c r="Z39" s="1"/>
      <c r="AA39" s="1"/>
      <c r="AB39" s="1"/>
      <c r="AC39" s="1"/>
      <c r="AD39" s="1"/>
      <c r="AE39" s="32"/>
      <c r="AF39" s="1"/>
      <c r="AG39" s="1"/>
      <c r="AH39" s="1"/>
      <c r="AI39" s="1"/>
      <c r="AJ39" s="1"/>
      <c r="AK39" s="32"/>
      <c r="AL39" s="32"/>
      <c r="AM39" s="32"/>
      <c r="AN39" s="32"/>
      <c r="AO39" s="32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32"/>
      <c r="W40" s="1"/>
      <c r="X40" s="1"/>
      <c r="Y40" s="1"/>
      <c r="Z40" s="1"/>
      <c r="AA40" s="1"/>
      <c r="AB40" s="1"/>
      <c r="AC40" s="1"/>
      <c r="AD40" s="1"/>
      <c r="AE40" s="32"/>
      <c r="AF40" s="1"/>
      <c r="AG40" s="1"/>
      <c r="AH40" s="1"/>
      <c r="AI40" s="1"/>
      <c r="AJ40" s="1"/>
      <c r="AK40" s="32"/>
      <c r="AL40" s="32"/>
      <c r="AM40" s="32"/>
      <c r="AN40" s="32"/>
      <c r="AO40" s="32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</sheetData>
  <sortState xmlns:xlrd2="http://schemas.microsoft.com/office/spreadsheetml/2017/richdata2" ref="AY24:AZ35">
    <sortCondition descending="1" ref="AZ24:AZ35"/>
  </sortState>
  <mergeCells count="12">
    <mergeCell ref="A1:AF1"/>
    <mergeCell ref="A2:AF2"/>
    <mergeCell ref="A4:A6"/>
    <mergeCell ref="B4:D4"/>
    <mergeCell ref="E4:G4"/>
    <mergeCell ref="H4:J4"/>
    <mergeCell ref="AF4:AF6"/>
    <mergeCell ref="W4:AE4"/>
    <mergeCell ref="W5:AE5"/>
    <mergeCell ref="K4:M4"/>
    <mergeCell ref="N5:V5"/>
    <mergeCell ref="N4:V4"/>
  </mergeCells>
  <pageMargins left="0.7" right="0.7" top="0.75" bottom="0.75" header="0" footer="0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18.17</vt:lpstr>
      <vt:lpstr>'18.17'!Print_Area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2026-05-07T05:35:27Z</cp:lastPrinted>
  <dcterms:created xsi:type="dcterms:W3CDTF">2025-05-19T08:29:05Z</dcterms:created>
  <dcterms:modified xsi:type="dcterms:W3CDTF">2026-05-07T05:35:35Z</dcterms:modified>
</cp:coreProperties>
</file>