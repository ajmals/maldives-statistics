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8.Pension &amp; Social Protection\"/>
    </mc:Choice>
  </mc:AlternateContent>
  <xr:revisionPtr revIDLastSave="0" documentId="13_ncr:1_{02BAFFEC-37E9-4C69-96AE-3748326AF4CB}" xr6:coauthVersionLast="47" xr6:coauthVersionMax="47" xr10:uidLastSave="{00000000-0000-0000-0000-000000000000}"/>
  <bookViews>
    <workbookView xWindow="-120" yWindow="-120" windowWidth="29040" windowHeight="15720" tabRatio="867" xr2:uid="{00000000-000D-0000-FFFF-FFFF00000000}"/>
  </bookViews>
  <sheets>
    <sheet name="18.20" sheetId="20" r:id="rId1"/>
  </sheets>
  <definedNames>
    <definedName name="_xlnm._FilterDatabase" localSheetId="0" hidden="1">'18.20'!$A$9:$K$26</definedName>
    <definedName name="_xlnm.Print_Area" localSheetId="0">'18.20'!$A$1:$K$251</definedName>
    <definedName name="_xlnm.Print_Titles" localSheetId="0">'18.20'!$4:$8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0" i="20" l="1"/>
  <c r="I240" i="20"/>
  <c r="H240" i="20"/>
  <c r="G240" i="20"/>
  <c r="F240" i="20"/>
  <c r="E240" i="20"/>
  <c r="D240" i="20"/>
  <c r="C240" i="20"/>
  <c r="J237" i="20"/>
  <c r="I237" i="20"/>
  <c r="H237" i="20"/>
  <c r="G237" i="20"/>
  <c r="F237" i="20"/>
  <c r="E237" i="20"/>
  <c r="D237" i="20"/>
  <c r="C237" i="20"/>
  <c r="J226" i="20"/>
  <c r="I226" i="20"/>
  <c r="H226" i="20"/>
  <c r="G226" i="20"/>
  <c r="F226" i="20"/>
  <c r="E226" i="20"/>
  <c r="D226" i="20"/>
  <c r="C226" i="20"/>
  <c r="J214" i="20"/>
  <c r="I214" i="20"/>
  <c r="H214" i="20"/>
  <c r="G214" i="20"/>
  <c r="F214" i="20"/>
  <c r="E214" i="20"/>
  <c r="D214" i="20"/>
  <c r="C214" i="20"/>
  <c r="J200" i="20"/>
  <c r="I200" i="20"/>
  <c r="H200" i="20"/>
  <c r="G200" i="20"/>
  <c r="F200" i="20"/>
  <c r="E200" i="20"/>
  <c r="D200" i="20"/>
  <c r="C200" i="20"/>
  <c r="J185" i="20"/>
  <c r="I185" i="20"/>
  <c r="H185" i="20"/>
  <c r="G185" i="20"/>
  <c r="F185" i="20"/>
  <c r="E185" i="20"/>
  <c r="D185" i="20"/>
  <c r="C185" i="20"/>
  <c r="J176" i="20"/>
  <c r="I176" i="20"/>
  <c r="H176" i="20"/>
  <c r="G176" i="20"/>
  <c r="F176" i="20"/>
  <c r="E176" i="20"/>
  <c r="D176" i="20"/>
  <c r="C176" i="20"/>
  <c r="J169" i="20"/>
  <c r="I169" i="20"/>
  <c r="H169" i="20"/>
  <c r="G169" i="20"/>
  <c r="F169" i="20"/>
  <c r="E169" i="20"/>
  <c r="D169" i="20"/>
  <c r="C169" i="20"/>
  <c r="J158" i="20"/>
  <c r="I158" i="20"/>
  <c r="H158" i="20"/>
  <c r="G158" i="20"/>
  <c r="F158" i="20"/>
  <c r="E158" i="20"/>
  <c r="D158" i="20"/>
  <c r="C158" i="20"/>
  <c r="I151" i="20"/>
  <c r="H151" i="20"/>
  <c r="G151" i="20"/>
  <c r="F151" i="20"/>
  <c r="E151" i="20"/>
  <c r="D151" i="20"/>
  <c r="C151" i="20"/>
  <c r="J139" i="20"/>
  <c r="I139" i="20"/>
  <c r="H139" i="20"/>
  <c r="G139" i="20"/>
  <c r="F139" i="20"/>
  <c r="E139" i="20"/>
  <c r="D139" i="20"/>
  <c r="C139" i="20"/>
  <c r="J129" i="20"/>
  <c r="I129" i="20"/>
  <c r="H129" i="20"/>
  <c r="G129" i="20"/>
  <c r="F129" i="20"/>
  <c r="E129" i="20"/>
  <c r="D129" i="20"/>
  <c r="C129" i="20"/>
  <c r="J118" i="20"/>
  <c r="I118" i="20"/>
  <c r="H118" i="20"/>
  <c r="G118" i="20"/>
  <c r="F118" i="20"/>
  <c r="E118" i="20"/>
  <c r="D118" i="20"/>
  <c r="C118" i="20"/>
  <c r="J111" i="20"/>
  <c r="I111" i="20"/>
  <c r="H111" i="20"/>
  <c r="G111" i="20"/>
  <c r="F111" i="20"/>
  <c r="E111" i="20"/>
  <c r="D111" i="20"/>
  <c r="C111" i="20"/>
  <c r="J96" i="20"/>
  <c r="I96" i="20"/>
  <c r="H96" i="20"/>
  <c r="G96" i="20"/>
  <c r="F96" i="20"/>
  <c r="E96" i="20"/>
  <c r="D96" i="20"/>
  <c r="C96" i="20"/>
  <c r="J78" i="20"/>
  <c r="I78" i="20"/>
  <c r="H78" i="20"/>
  <c r="G78" i="20"/>
  <c r="F78" i="20"/>
  <c r="E78" i="20"/>
  <c r="D78" i="20"/>
  <c r="C78" i="20"/>
  <c r="J63" i="20"/>
  <c r="I63" i="20"/>
  <c r="H63" i="20"/>
  <c r="G63" i="20"/>
  <c r="F63" i="20"/>
  <c r="E63" i="20"/>
  <c r="D63" i="20"/>
  <c r="C63" i="20"/>
  <c r="J45" i="20"/>
  <c r="I45" i="20"/>
  <c r="H45" i="20"/>
  <c r="G45" i="20"/>
  <c r="F45" i="20"/>
  <c r="E45" i="20"/>
  <c r="D45" i="20"/>
  <c r="C45" i="20"/>
  <c r="J28" i="20"/>
  <c r="I28" i="20"/>
  <c r="H28" i="20"/>
  <c r="G28" i="20"/>
  <c r="F28" i="20"/>
  <c r="E28" i="20"/>
  <c r="D28" i="20"/>
  <c r="C28" i="20"/>
  <c r="J12" i="20"/>
  <c r="I12" i="20"/>
  <c r="H12" i="20"/>
  <c r="G12" i="20"/>
  <c r="F12" i="20"/>
  <c r="E12" i="20"/>
  <c r="D12" i="20"/>
  <c r="C12" i="20"/>
  <c r="C11" i="20" l="1"/>
  <c r="I11" i="20"/>
  <c r="I9" i="20" s="1"/>
  <c r="H11" i="20"/>
  <c r="H9" i="20" s="1"/>
  <c r="D11" i="20"/>
  <c r="D9" i="20" s="1"/>
  <c r="J11" i="20"/>
  <c r="J9" i="20" s="1"/>
  <c r="G11" i="20"/>
  <c r="F11" i="20"/>
  <c r="E11" i="20"/>
  <c r="C9" i="20"/>
  <c r="E9" i="20" l="1"/>
  <c r="B9" i="20" s="1"/>
  <c r="G9" i="20"/>
  <c r="F9" i="20"/>
  <c r="B246" i="20" l="1"/>
  <c r="B245" i="20"/>
  <c r="B244" i="20"/>
  <c r="B243" i="20"/>
  <c r="B242" i="20"/>
  <c r="B241" i="20"/>
  <c r="B238" i="20"/>
  <c r="B235" i="20"/>
  <c r="B234" i="20"/>
  <c r="B233" i="20"/>
  <c r="B232" i="20"/>
  <c r="B231" i="20"/>
  <c r="B230" i="20"/>
  <c r="B229" i="20"/>
  <c r="B228" i="20"/>
  <c r="B227" i="20"/>
  <c r="B224" i="20"/>
  <c r="B223" i="20"/>
  <c r="B222" i="20"/>
  <c r="B221" i="20"/>
  <c r="B220" i="20"/>
  <c r="B219" i="20"/>
  <c r="B218" i="20"/>
  <c r="B217" i="20"/>
  <c r="B216" i="20"/>
  <c r="B215" i="20"/>
  <c r="B212" i="20"/>
  <c r="B211" i="20"/>
  <c r="B210" i="20"/>
  <c r="B209" i="20"/>
  <c r="B208" i="20"/>
  <c r="B207" i="20"/>
  <c r="B206" i="20"/>
  <c r="B205" i="20"/>
  <c r="B204" i="20"/>
  <c r="B203" i="20"/>
  <c r="B202" i="20"/>
  <c r="B201" i="20"/>
  <c r="B198" i="20"/>
  <c r="B197" i="20"/>
  <c r="B196" i="20"/>
  <c r="B195" i="20"/>
  <c r="B194" i="20"/>
  <c r="B193" i="20"/>
  <c r="B192" i="20"/>
  <c r="B191" i="20"/>
  <c r="B190" i="20"/>
  <c r="B189" i="20"/>
  <c r="B188" i="20"/>
  <c r="B187" i="20"/>
  <c r="B186" i="20"/>
  <c r="B183" i="20"/>
  <c r="B182" i="20"/>
  <c r="B181" i="20"/>
  <c r="B180" i="20"/>
  <c r="B179" i="20"/>
  <c r="B178" i="20"/>
  <c r="B177" i="20"/>
  <c r="B174" i="20"/>
  <c r="B173" i="20"/>
  <c r="B172" i="20"/>
  <c r="B171" i="20"/>
  <c r="B170" i="20"/>
  <c r="B167" i="20"/>
  <c r="B166" i="20"/>
  <c r="B165" i="20"/>
  <c r="B164" i="20"/>
  <c r="B163" i="20"/>
  <c r="B162" i="20"/>
  <c r="B161" i="20"/>
  <c r="B160" i="20"/>
  <c r="B159" i="20"/>
  <c r="B156" i="20"/>
  <c r="B155" i="20"/>
  <c r="B154" i="20"/>
  <c r="B153" i="20"/>
  <c r="B152" i="20"/>
  <c r="B149" i="20"/>
  <c r="B148" i="20"/>
  <c r="B147" i="20"/>
  <c r="B146" i="20"/>
  <c r="B145" i="20"/>
  <c r="B144" i="20"/>
  <c r="B143" i="20"/>
  <c r="B142" i="20"/>
  <c r="B141" i="20"/>
  <c r="B140" i="20"/>
  <c r="B137" i="20"/>
  <c r="B136" i="20"/>
  <c r="B135" i="20"/>
  <c r="B134" i="20"/>
  <c r="B133" i="20"/>
  <c r="B132" i="20"/>
  <c r="B131" i="20"/>
  <c r="B130" i="20"/>
  <c r="B127" i="20"/>
  <c r="B126" i="20"/>
  <c r="B125" i="20"/>
  <c r="B124" i="20"/>
  <c r="B123" i="20"/>
  <c r="B122" i="20"/>
  <c r="B121" i="20"/>
  <c r="B120" i="20"/>
  <c r="B119" i="20"/>
  <c r="B116" i="20"/>
  <c r="B115" i="20"/>
  <c r="B114" i="20"/>
  <c r="B113" i="20"/>
  <c r="B112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0" i="20"/>
  <c r="B151" i="20" l="1"/>
  <c r="B226" i="20"/>
  <c r="B237" i="20"/>
  <c r="B214" i="20"/>
  <c r="B169" i="20"/>
  <c r="B240" i="20"/>
  <c r="B200" i="20"/>
  <c r="B185" i="20"/>
  <c r="B176" i="20"/>
  <c r="B158" i="20"/>
  <c r="B139" i="20"/>
  <c r="B129" i="20"/>
  <c r="B118" i="20"/>
  <c r="B111" i="20"/>
  <c r="B96" i="20"/>
  <c r="B78" i="20"/>
  <c r="B63" i="20"/>
  <c r="B45" i="20"/>
  <c r="B28" i="20"/>
  <c r="B12" i="20"/>
  <c r="B11" i="20" l="1"/>
</calcChain>
</file>

<file path=xl/sharedStrings.xml><?xml version="1.0" encoding="utf-8"?>
<sst xmlns="http://schemas.openxmlformats.org/spreadsheetml/2006/main" count="474" uniqueCount="441">
  <si>
    <t>Total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</si>
  <si>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</si>
  <si>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</si>
  <si>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</si>
  <si>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</si>
  <si>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</si>
  <si>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</si>
  <si>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</si>
  <si>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</si>
  <si>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</si>
  <si>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 xml:space="preserve">FOSTER PARENT ALLOWANCE </t>
  </si>
  <si>
    <t>EMERGENCY MEDICAL WELFARE</t>
  </si>
  <si>
    <t>DISABILITY ALLOWANCE</t>
  </si>
  <si>
    <t>FOOD SUBSIDY</t>
  </si>
  <si>
    <t>Aasandha</t>
  </si>
  <si>
    <t xml:space="preserve">Parent </t>
  </si>
  <si>
    <t>Children</t>
  </si>
  <si>
    <t xml:space="preserve">Children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</si>
  <si>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</si>
  <si>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</si>
  <si>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</si>
  <si>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</si>
  <si>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</si>
  <si>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</si>
  <si>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</si>
  <si>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</si>
  <si>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</si>
  <si>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</si>
  <si>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</si>
  <si>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</si>
  <si>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</si>
  <si>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</si>
  <si>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</si>
  <si>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</si>
  <si>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</si>
  <si>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</si>
  <si>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</si>
  <si>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</si>
  <si>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</si>
  <si>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</si>
  <si>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</si>
  <si>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</si>
  <si>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</si>
  <si>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</si>
  <si>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</si>
  <si>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</si>
  <si>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</si>
  <si>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</si>
  <si>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</si>
  <si>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</si>
  <si>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</si>
  <si>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</si>
  <si>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</si>
  <si>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</si>
  <si>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</si>
  <si>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</si>
  <si>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</si>
  <si>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</si>
  <si>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</si>
  <si>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</si>
  <si>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</si>
  <si>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</si>
  <si>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</si>
  <si>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</si>
  <si>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</si>
  <si>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</si>
  <si>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</si>
  <si>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</si>
  <si>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މެޑިކަލް ވެލްފެއަރ (ބޭސްފަރުވާގެ އެހީ)</t>
  </si>
  <si>
    <t>އާސަންދަ</t>
  </si>
  <si>
    <t>Baarah</t>
  </si>
  <si>
    <t>cSwrWb</t>
  </si>
  <si>
    <t>Dhidhdhoo</t>
  </si>
  <si>
    <t>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</si>
  <si>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</si>
  <si>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</si>
  <si>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</si>
  <si>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</si>
  <si>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</si>
  <si>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</si>
  <si>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</si>
  <si>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</si>
  <si>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</si>
  <si>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</si>
  <si>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</si>
  <si>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</si>
  <si>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</si>
  <si>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</si>
  <si>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</si>
  <si>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</si>
  <si>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Thuraakunu</t>
  </si>
  <si>
    <t>unukWrut</t>
  </si>
  <si>
    <t>Uligamu</t>
  </si>
  <si>
    <t>umwgilua</t>
  </si>
  <si>
    <t>Utheemu</t>
  </si>
  <si>
    <t>umItua</t>
  </si>
  <si>
    <t>Vashafaru</t>
  </si>
  <si>
    <t>urwfwSwv</t>
  </si>
  <si>
    <t>Finey</t>
  </si>
  <si>
    <t>Enif</t>
  </si>
  <si>
    <t>Hanimaadhoo</t>
  </si>
  <si>
    <t>UdWminwh</t>
  </si>
  <si>
    <t>Hirimaradhoo</t>
  </si>
  <si>
    <t>Udwrwmirih</t>
  </si>
  <si>
    <t>Kulhudhuffushi</t>
  </si>
  <si>
    <t>iSufcauduLuk</t>
  </si>
  <si>
    <t>Kumundhoo</t>
  </si>
  <si>
    <t>Udcnumuk</t>
  </si>
  <si>
    <t>Kunburudhoo</t>
  </si>
  <si>
    <t>Udurubnuk</t>
  </si>
  <si>
    <t>Kurnibi</t>
  </si>
  <si>
    <t>ibniruk</t>
  </si>
  <si>
    <t>Maavaidhoo</t>
  </si>
  <si>
    <t>UdiawvWm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</si>
  <si>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</si>
  <si>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</si>
  <si>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</si>
  <si>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</si>
  <si>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</si>
  <si>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</si>
  <si>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</si>
  <si>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</si>
  <si>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</si>
  <si>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</si>
  <si>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</si>
  <si>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</si>
  <si>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</si>
  <si>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</si>
  <si>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Billeffahi</t>
  </si>
  <si>
    <t>ihwfcaelib</t>
  </si>
  <si>
    <t>Feevah</t>
  </si>
  <si>
    <t>cawvIf</t>
  </si>
  <si>
    <t>Feydhoo</t>
  </si>
  <si>
    <t>UdEf</t>
  </si>
  <si>
    <t xml:space="preserve">Firunbaidhoo </t>
  </si>
  <si>
    <t>ފިރުބައިދޫ</t>
  </si>
  <si>
    <t>Foakaidhoo</t>
  </si>
  <si>
    <t>UdiawkOf</t>
  </si>
  <si>
    <t>Funadhoo</t>
  </si>
  <si>
    <t>Udwnuf</t>
  </si>
  <si>
    <t>Goidhoo</t>
  </si>
  <si>
    <t>Udiaog</t>
  </si>
  <si>
    <t>Kanditheemu</t>
  </si>
  <si>
    <t>umItiDnwk</t>
  </si>
  <si>
    <t>Komandhoo</t>
  </si>
  <si>
    <t>UDcnwmok</t>
  </si>
  <si>
    <t>Lhaimagu</t>
  </si>
  <si>
    <t>ugwmiawL</t>
  </si>
  <si>
    <t>Maakandoodhoo</t>
  </si>
  <si>
    <t>މާކަނޑޫދޫ</t>
  </si>
  <si>
    <t>Maaun'goodhoo</t>
  </si>
  <si>
    <t>UdUgnuaWm</t>
  </si>
  <si>
    <t>Maroshi</t>
  </si>
  <si>
    <t>iSorwm</t>
  </si>
  <si>
    <r>
      <t xml:space="preserve">Milandhoo </t>
    </r>
    <r>
      <rPr>
        <vertAlign val="superscript"/>
        <sz val="10"/>
        <rFont val="Calibri"/>
        <family val="2"/>
        <scheme val="minor"/>
      </rPr>
      <t>3_/</t>
    </r>
  </si>
  <si>
    <r>
      <t>3_/</t>
    </r>
    <r>
      <rPr>
        <sz val="10"/>
        <rFont val="A_Faseyha"/>
      </rPr>
      <t xml:space="preserve"> Udcnwlim</t>
    </r>
  </si>
  <si>
    <t>Narudhoo</t>
  </si>
  <si>
    <t>Udurwn</t>
  </si>
  <si>
    <t>Noomaraa</t>
  </si>
  <si>
    <t>WrwmUn</t>
  </si>
  <si>
    <t>Fodhdhoo</t>
  </si>
  <si>
    <t>Udcaof</t>
  </si>
  <si>
    <t>Hen'badhoo</t>
  </si>
  <si>
    <t>Udwbneh</t>
  </si>
  <si>
    <t>Holhudhoo</t>
  </si>
  <si>
    <t>UduLoh</t>
  </si>
  <si>
    <t>Ken'dhikulhudhoo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</si>
  <si>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</si>
  <si>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</si>
  <si>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</si>
  <si>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</si>
  <si>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</si>
  <si>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</si>
  <si>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</si>
  <si>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</si>
  <si>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</si>
  <si>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</si>
  <si>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</si>
  <si>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</si>
  <si>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</si>
  <si>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</t>
  </si>
  <si>
    <t>Udwnwm</t>
  </si>
  <si>
    <t>Miladhoo</t>
  </si>
  <si>
    <t>Udwlim</t>
  </si>
  <si>
    <t>Velidhoo</t>
  </si>
  <si>
    <t>Udilev</t>
  </si>
  <si>
    <t>Alifushi</t>
  </si>
  <si>
    <t>iSufilwa</t>
  </si>
  <si>
    <t>An'golhitheemu</t>
  </si>
  <si>
    <t>umItiLognwa</t>
  </si>
  <si>
    <t>Dhuvaafaru  3_/</t>
  </si>
  <si>
    <t>3_/ urwfWvud</t>
  </si>
  <si>
    <t>Fainu</t>
  </si>
  <si>
    <t>uniawf</t>
  </si>
  <si>
    <t>Hulhudhuffaaru</t>
  </si>
  <si>
    <t>urWfcauduLuh</t>
  </si>
  <si>
    <t>In'guraidhoo</t>
  </si>
  <si>
    <t>Udiawrugnia</t>
  </si>
  <si>
    <t>Innamaadhoo</t>
  </si>
  <si>
    <t>UdWmwncnia</t>
  </si>
  <si>
    <r>
      <t xml:space="preserve">Kandolhudhoo </t>
    </r>
    <r>
      <rPr>
        <vertAlign val="superscript"/>
        <sz val="10"/>
        <rFont val="Calibri"/>
        <family val="2"/>
        <scheme val="minor"/>
      </rPr>
      <t xml:space="preserve"> 2_/</t>
    </r>
  </si>
  <si>
    <r>
      <t>2_/</t>
    </r>
    <r>
      <rPr>
        <sz val="10"/>
        <rFont val="A_Faseyha"/>
      </rPr>
      <t xml:space="preserve"> UduLodnwk</t>
    </r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</si>
  <si>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</si>
  <si>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</si>
  <si>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</si>
  <si>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</si>
  <si>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</si>
  <si>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</si>
  <si>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</si>
  <si>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</si>
  <si>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</si>
  <si>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UdWmcswr</t>
  </si>
  <si>
    <t>Rasmaadhoo</t>
  </si>
  <si>
    <t>umItegcswr</t>
  </si>
  <si>
    <t>Un'goofaaru</t>
  </si>
  <si>
    <t>urWfUgnua</t>
  </si>
  <si>
    <t>Vaadhoo</t>
  </si>
  <si>
    <t>UdWv</t>
  </si>
  <si>
    <t>(b) irubunukeduluDwމcsoLWm</t>
  </si>
  <si>
    <t>Daravandhoo</t>
  </si>
  <si>
    <t>Udcnwvwrwd</t>
  </si>
  <si>
    <t>Dhonfanu</t>
  </si>
  <si>
    <t>unwfcnod</t>
  </si>
  <si>
    <t>Eydhafushi</t>
  </si>
  <si>
    <t>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</si>
  <si>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</si>
  <si>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</si>
  <si>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</si>
  <si>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</si>
  <si>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</si>
  <si>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</si>
  <si>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</si>
  <si>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</si>
  <si>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</si>
  <si>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</si>
  <si>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</si>
  <si>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</si>
  <si>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</si>
  <si>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</si>
  <si>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</si>
  <si>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</si>
  <si>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</si>
  <si>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</si>
  <si>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Hinnavaru</t>
  </si>
  <si>
    <t>urwvwncnih</t>
  </si>
  <si>
    <t>Kurendhoo</t>
  </si>
  <si>
    <t>Udcneruk</t>
  </si>
  <si>
    <t>Maafilaafushi</t>
  </si>
  <si>
    <t>iSufWlifWm</t>
  </si>
  <si>
    <t>Naifaru</t>
  </si>
  <si>
    <t>urwfiawn</t>
  </si>
  <si>
    <t>Olhuvelifushi</t>
  </si>
  <si>
    <t>iSufilevuLoa</t>
  </si>
  <si>
    <t>Dhiffushi</t>
  </si>
  <si>
    <t>iSufcaid</t>
  </si>
  <si>
    <t>Gaafaru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</si>
  <si>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</si>
  <si>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</si>
  <si>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</si>
  <si>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</si>
  <si>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</si>
  <si>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</si>
  <si>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</si>
  <si>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</si>
  <si>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</si>
  <si>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</si>
  <si>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</si>
  <si>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</si>
  <si>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</si>
  <si>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</t>
  </si>
  <si>
    <t>Udcsulut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</si>
  <si>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</si>
  <si>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</si>
  <si>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</si>
  <si>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</si>
  <si>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</si>
  <si>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</si>
  <si>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</si>
  <si>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</si>
  <si>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</t>
  </si>
  <si>
    <t>Udcswr</t>
  </si>
  <si>
    <t>Thoddoo</t>
  </si>
  <si>
    <t>UDcaot</t>
  </si>
  <si>
    <t>Ukulhas</t>
  </si>
  <si>
    <t>cswLukua</t>
  </si>
  <si>
    <t>Dhigurah</t>
  </si>
  <si>
    <t>cSwrugid</t>
  </si>
  <si>
    <t>Dhn'agethi</t>
  </si>
  <si>
    <t>itegnwd</t>
  </si>
  <si>
    <t>Fenfushi</t>
  </si>
  <si>
    <t>iSufcnef</t>
  </si>
  <si>
    <t>Hangn'aameedhoo</t>
  </si>
  <si>
    <t>UdImWNcnwh</t>
  </si>
  <si>
    <t>Kun'burudhoo</t>
  </si>
  <si>
    <t>Maamigili</t>
  </si>
  <si>
    <t>iligimWm</t>
  </si>
  <si>
    <t>Mahibadhoo</t>
  </si>
  <si>
    <t>Udwbihwm</t>
  </si>
  <si>
    <t>Mandhoo</t>
  </si>
  <si>
    <t>Udcnwm</t>
  </si>
  <si>
    <t>Omadhoo</t>
  </si>
  <si>
    <t>Udwmoa</t>
  </si>
  <si>
    <t xml:space="preserve">Felidhoo </t>
  </si>
  <si>
    <t>Udilef</t>
  </si>
  <si>
    <t xml:space="preserve">Fulidhoo </t>
  </si>
  <si>
    <t>Udiluf</t>
  </si>
  <si>
    <t xml:space="preserve">Keyodhoo </t>
  </si>
  <si>
    <t>Udoyek</t>
  </si>
  <si>
    <t xml:space="preserve">Rakeedhoo </t>
  </si>
  <si>
    <t>UdIkwr</t>
  </si>
  <si>
    <t xml:space="preserve">Thinadhoo </t>
  </si>
  <si>
    <t>Udwnit</t>
  </si>
  <si>
    <t>Dhiggaru</t>
  </si>
  <si>
    <t>urwgcaid</t>
  </si>
  <si>
    <t>Kolhufushi</t>
  </si>
  <si>
    <t>iSufuLok</t>
  </si>
  <si>
    <t>Madifushi</t>
  </si>
  <si>
    <t>މަޑިފުށި</t>
  </si>
  <si>
    <t>Mulah</t>
  </si>
  <si>
    <t>cawlum</t>
  </si>
  <si>
    <t>Muli</t>
  </si>
  <si>
    <t>ilum</t>
  </si>
  <si>
    <t>Naalaafushi</t>
  </si>
  <si>
    <t>iSufWlWn</t>
  </si>
  <si>
    <t>Raiymandhoo</t>
  </si>
  <si>
    <t>Udcnwmctwr</t>
  </si>
  <si>
    <t>Veyvah</t>
  </si>
  <si>
    <t>cawvEv</t>
  </si>
  <si>
    <t>Biledhhdhoo</t>
  </si>
  <si>
    <t>Udcaelib</t>
  </si>
  <si>
    <t>Dharan'boodhoo</t>
  </si>
  <si>
    <t>UdUbwrwd</t>
  </si>
  <si>
    <t>Feeali</t>
  </si>
  <si>
    <t>ilwaIf</t>
  </si>
  <si>
    <t>Nilandhoo</t>
  </si>
  <si>
    <t>Udcnwlin</t>
  </si>
  <si>
    <t>Ban'didhoo</t>
  </si>
  <si>
    <t>UdiDnwb</t>
  </si>
  <si>
    <t>Hulhudeli</t>
  </si>
  <si>
    <t>ileduLuh</t>
  </si>
  <si>
    <t>Kudahuvadhoo</t>
  </si>
  <si>
    <t>UdwvuhwDuk</t>
  </si>
  <si>
    <t>Maaen'boodhoo</t>
  </si>
  <si>
    <t>UdUbneaWm</t>
  </si>
  <si>
    <t>Rin'budhoo</t>
  </si>
  <si>
    <t>Udubnir</t>
  </si>
  <si>
    <t>Vaani</t>
  </si>
  <si>
    <t>inWv</t>
  </si>
  <si>
    <t>Buruni</t>
  </si>
  <si>
    <t>inurub</t>
  </si>
  <si>
    <t>Dhiyamigili</t>
  </si>
  <si>
    <t>iligimwyid</t>
  </si>
  <si>
    <t>Gaadhiffushi</t>
  </si>
  <si>
    <t>iSufcaidWg</t>
  </si>
  <si>
    <t>Hirilandhoo</t>
  </si>
  <si>
    <t>Udcnwlirih</t>
  </si>
  <si>
    <t>Kan'doodhoo</t>
  </si>
  <si>
    <t>UdUDnwk</t>
  </si>
  <si>
    <t>Kinbidhoo</t>
  </si>
  <si>
    <t>Udibnik</t>
  </si>
  <si>
    <t>iSufiDwm</t>
  </si>
  <si>
    <t>Thimarafushi</t>
  </si>
  <si>
    <t>iSufwrwmit</t>
  </si>
  <si>
    <t>Vandhoo</t>
  </si>
  <si>
    <t>Udcnwv</t>
  </si>
  <si>
    <t>Veymandoo</t>
  </si>
  <si>
    <t>UDcnwmEv</t>
  </si>
  <si>
    <r>
      <t xml:space="preserve">Vilufushi </t>
    </r>
    <r>
      <rPr>
        <vertAlign val="superscript"/>
        <sz val="10"/>
        <rFont val="Calibri"/>
        <family val="2"/>
        <scheme val="minor"/>
      </rPr>
      <t>2_/</t>
    </r>
  </si>
  <si>
    <r>
      <t>2_/</t>
    </r>
    <r>
      <rPr>
        <sz val="10"/>
        <rFont val="A_Faseyha"/>
      </rPr>
      <t xml:space="preserve"> iSufuliv</t>
    </r>
  </si>
  <si>
    <t>Dhan'bidhoo</t>
  </si>
  <si>
    <t>Udibnwd</t>
  </si>
  <si>
    <t>Fonadhoo</t>
  </si>
  <si>
    <t>Udwnof</t>
  </si>
  <si>
    <t>Gaadhoo</t>
  </si>
  <si>
    <t>UdWg</t>
  </si>
  <si>
    <t>Gamu</t>
  </si>
  <si>
    <t>umwg</t>
  </si>
  <si>
    <t>Hithadhoo</t>
  </si>
  <si>
    <t>Udwtih</t>
  </si>
  <si>
    <t>Ishdhoo</t>
  </si>
  <si>
    <t>Udcsia</t>
  </si>
  <si>
    <t>Kalhaidhoo</t>
  </si>
  <si>
    <t>UdiawLwk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</si>
  <si>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</si>
  <si>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</si>
  <si>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</si>
  <si>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</si>
  <si>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</si>
  <si>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</si>
  <si>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</si>
  <si>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</si>
  <si>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</si>
  <si>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</si>
  <si>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Devvadhoo</t>
  </si>
  <si>
    <t>Udwvcaed</t>
  </si>
  <si>
    <t>Dhaandhoo</t>
  </si>
  <si>
    <t>UdcnWd</t>
  </si>
  <si>
    <t xml:space="preserve">Dhiyadhoo 2_/  </t>
  </si>
  <si>
    <t xml:space="preserve"> 1_/ Udwyid</t>
  </si>
  <si>
    <t>Gemanafushi</t>
  </si>
  <si>
    <t>iSufwnwmeg</t>
  </si>
  <si>
    <t>Kandhuhulhudhoo</t>
  </si>
  <si>
    <t>UduLuhuDnwk</t>
  </si>
  <si>
    <t>Kodey</t>
  </si>
  <si>
    <t>EDnok</t>
  </si>
  <si>
    <t>Kolamaafushi</t>
  </si>
  <si>
    <t>iSufWmwlok</t>
  </si>
  <si>
    <t>Viligili</t>
  </si>
  <si>
    <t>iligiliv</t>
  </si>
  <si>
    <t>Faresmaathoda</t>
  </si>
  <si>
    <t>WDotWmcserwf</t>
  </si>
  <si>
    <t>Fiyoari</t>
  </si>
  <si>
    <t>IrOyif</t>
  </si>
  <si>
    <t>Gadhdhoo</t>
  </si>
  <si>
    <t>Udcawg</t>
  </si>
  <si>
    <t>Hoadhedhdhoo</t>
  </si>
  <si>
    <t>UdcaeDOh</t>
  </si>
  <si>
    <t>Madaveli</t>
  </si>
  <si>
    <t>ilevwDwm</t>
  </si>
  <si>
    <t>Nadallaa</t>
  </si>
  <si>
    <t>WlcawDwn</t>
  </si>
  <si>
    <t>Rathafandhoo</t>
  </si>
  <si>
    <t>Udcnwfwtwr</t>
  </si>
  <si>
    <t>Thinadhoo</t>
  </si>
  <si>
    <t>Fuvahmulah</t>
  </si>
  <si>
    <t>cawlumcawvuf</t>
  </si>
  <si>
    <t>Hulhudhoo</t>
  </si>
  <si>
    <t>UduLuh</t>
  </si>
  <si>
    <t>Maradhoo</t>
  </si>
  <si>
    <t>Udwrwm</t>
  </si>
  <si>
    <t>Maradhoofeydhoo</t>
  </si>
  <si>
    <t>UdEfUdwrwm</t>
  </si>
  <si>
    <r>
      <rPr>
        <i/>
        <vertAlign val="superscript"/>
        <sz val="9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Population relocated to other islands under population consolidation programme</t>
    </r>
  </si>
  <si>
    <r>
      <t xml:space="preserve">iawfevulwdwb cSwSwrcSwrcnehea cnuhIm cnuSwd egcmWrcgorcp egumurukcswfcaea IdWbWa </t>
    </r>
    <r>
      <rPr>
        <vertAlign val="superscript"/>
        <sz val="9"/>
        <rFont val="A_Faseyha"/>
      </rPr>
      <t>1_/</t>
    </r>
  </si>
  <si>
    <r>
      <rPr>
        <i/>
        <vertAlign val="superscript"/>
        <sz val="9"/>
        <rFont val="Calibri"/>
        <family val="2"/>
        <scheme val="minor"/>
      </rPr>
      <t>2_/</t>
    </r>
    <r>
      <rPr>
        <i/>
        <sz val="9"/>
        <rFont val="Calibri"/>
        <family val="2"/>
        <scheme val="minor"/>
      </rPr>
      <t xml:space="preserve"> Population displaced to other islands due to tsunami </t>
    </r>
  </si>
  <si>
    <r>
      <t xml:space="preserve">iawfevulwdwb cSwSwrcSwrcnehea cnuhIm cnegiLugiaWaImWnus </t>
    </r>
    <r>
      <rPr>
        <vertAlign val="superscript"/>
        <sz val="9"/>
        <rFont val="A_Faseyha"/>
      </rPr>
      <t>2_/</t>
    </r>
  </si>
  <si>
    <r>
      <rPr>
        <i/>
        <vertAlign val="superscript"/>
        <sz val="9"/>
        <rFont val="Calibri"/>
        <family val="2"/>
        <scheme val="minor"/>
      </rPr>
      <t>3_/</t>
    </r>
    <r>
      <rPr>
        <i/>
        <sz val="9"/>
        <rFont val="Calibri"/>
        <family val="2"/>
        <scheme val="minor"/>
      </rPr>
      <t xml:space="preserve"> Newly inhabited under population consolidation programme</t>
    </r>
  </si>
  <si>
    <r>
      <t xml:space="preserve">iawfiverukudWbWa cSwlwa cnuSwd egcmWrcgorcp egumurukcswfcaea IdWbWa </t>
    </r>
    <r>
      <rPr>
        <vertAlign val="superscript"/>
        <sz val="9"/>
        <rFont val="A_Faseyha"/>
      </rPr>
      <t>3_/</t>
    </r>
  </si>
  <si>
    <t>Table 18.20 :  NUMBER OF PERSONS COVERED UNDER DIFFERENT SOCIAL PROTECTION SCHEMES BY ISLAND,  2025</t>
  </si>
  <si>
    <t>ތާވަލް 18.20: އިޖްތިމާއީ ރައްކާތެރިކަމުގެ ދަށުން ރަށްރަށުން ޙިދުމަތްދެވިފައިވާ މީހުންގެ އަދަދު، 2025</t>
  </si>
  <si>
    <t>* The number of patients indicated in medical welfare is based on submitted cases, all cases may not be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</si>
</sst>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41" x14ac:knownFonts="1">
    <font>
      <sz val="11"/>
      <color rgb="FF000000"/>
      <name val="Calibri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charset val="1"/>
      <scheme val="minor"/>
    </font>
    <font>
      <b/>
      <sz val="10"/>
      <name val="Calibri"/>
      <family val="2"/>
      <charset val="1"/>
      <scheme val="minor"/>
    </font>
    <font>
      <sz val="10"/>
      <name val="A_Faseyha"/>
    </font>
    <font>
      <b/>
      <sz val="11"/>
      <name val="Faruma"/>
    </font>
    <font>
      <b/>
      <sz val="9"/>
      <name val="Faruma"/>
    </font>
    <font>
      <b/>
      <sz val="9"/>
      <name val="A_Faseyha"/>
    </font>
    <font>
      <sz val="9"/>
      <name val="Faruma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Faruma"/>
    </font>
    <font>
      <vertAlign val="superscript"/>
      <sz val="10"/>
      <name val="Calibri"/>
      <family val="2"/>
      <scheme val="minor"/>
    </font>
    <font>
      <vertAlign val="superscript"/>
      <sz val="10"/>
      <name val="A_Faseyha"/>
    </font>
    <font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vertAlign val="superscript"/>
      <sz val="9"/>
      <name val="A_Faseyha"/>
    </font>
    <font>
      <sz val="9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1"/>
      <name val="A_Faseyha"/>
    </font>
    <font>
      <b/>
      <sz val="10"/>
      <name val="Calibri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Faruma"/>
    </font>
    <font>
      <sz val="10"/>
      <color rgb="FFFF0000"/>
      <name val="Calibri"/>
      <family val="2"/>
      <charset val="1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4">
    <xf numFmtId="0" fontId="0" fillId="0" borderId="0"/>
    <xf numFmtId="0" fontId="3" fillId="0" borderId="1"/>
    <xf numFmtId="164" fontId="6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6" fillId="0" borderId="1"/>
    <xf numFmtId="0" fontId="4" fillId="0" borderId="1"/>
    <xf numFmtId="0" fontId="2" fillId="0" borderId="1"/>
    <xf numFmtId="0" fontId="2" fillId="0" borderId="1"/>
    <xf numFmtId="0" fontId="2" fillId="0" borderId="1"/>
    <xf numFmtId="0" fontId="4" fillId="0" borderId="1"/>
    <xf numFmtId="0" fontId="4" fillId="0" borderId="1"/>
    <xf numFmtId="0" fontId="2" fillId="0" borderId="1"/>
    <xf numFmtId="0" fontId="2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  <xf numFmtId="0" fontId="40" fillId="0" borderId="1"/>
  </cellStyleXfs>
  <cellXfs count="108">
    <xf numFmtId="0" fontId="0" fillId="0" borderId="0" xfId="0"/>
    <xf numFmtId="165" fontId="8" fillId="2" borderId="13" xfId="2" applyNumberFormat="1" applyFont="1" applyFill="1" applyBorder="1" applyAlignment="1">
      <alignment horizontal="right" vertical="center" wrapText="1"/>
    </xf>
    <xf numFmtId="165" fontId="8" fillId="2" borderId="14" xfId="2" applyNumberFormat="1" applyFont="1" applyFill="1" applyBorder="1" applyAlignment="1">
      <alignment horizontal="right" vertical="center" wrapText="1"/>
    </xf>
    <xf numFmtId="165" fontId="8" fillId="2" borderId="1" xfId="2" applyNumberFormat="1" applyFont="1" applyFill="1" applyAlignment="1">
      <alignment horizontal="left" vertical="center"/>
    </xf>
    <xf numFmtId="165" fontId="11" fillId="2" borderId="1" xfId="2" applyNumberFormat="1" applyFont="1" applyFill="1" applyAlignment="1">
      <alignment horizontal="left" vertical="center"/>
    </xf>
    <xf numFmtId="165" fontId="8" fillId="2" borderId="1" xfId="2" applyNumberFormat="1" applyFont="1" applyFill="1" applyAlignment="1">
      <alignment horizontal="right" vertical="center" wrapText="1"/>
    </xf>
    <xf numFmtId="37" fontId="10" fillId="2" borderId="12" xfId="4" applyNumberFormat="1" applyFont="1" applyFill="1" applyBorder="1" applyAlignment="1">
      <alignment horizontal="right" vertical="center"/>
    </xf>
    <xf numFmtId="37" fontId="10" fillId="2" borderId="8" xfId="4" applyNumberFormat="1" applyFont="1" applyFill="1" applyBorder="1" applyAlignment="1">
      <alignment horizontal="right" vertical="center"/>
    </xf>
    <xf numFmtId="0" fontId="14" fillId="2" borderId="1" xfId="6" applyFont="1" applyFill="1"/>
    <xf numFmtId="0" fontId="15" fillId="2" borderId="1" xfId="6" applyFont="1" applyFill="1"/>
    <xf numFmtId="0" fontId="14" fillId="2" borderId="1" xfId="6" applyFont="1" applyFill="1" applyAlignment="1">
      <alignment horizontal="right"/>
    </xf>
    <xf numFmtId="0" fontId="8" fillId="2" borderId="1" xfId="6" applyFont="1" applyFill="1" applyAlignment="1">
      <alignment horizontal="right" vertical="center"/>
    </xf>
    <xf numFmtId="0" fontId="16" fillId="2" borderId="1" xfId="6" applyFont="1" applyFill="1"/>
    <xf numFmtId="0" fontId="14" fillId="2" borderId="0" xfId="0" applyFont="1" applyFill="1"/>
    <xf numFmtId="3" fontId="3" fillId="2" borderId="1" xfId="1" applyNumberFormat="1" applyFill="1"/>
    <xf numFmtId="0" fontId="18" fillId="2" borderId="3" xfId="6" applyFont="1" applyFill="1" applyBorder="1"/>
    <xf numFmtId="0" fontId="20" fillId="2" borderId="0" xfId="0" applyFont="1" applyFill="1"/>
    <xf numFmtId="0" fontId="18" fillId="2" borderId="1" xfId="6" applyFont="1" applyFill="1"/>
    <xf numFmtId="165" fontId="13" fillId="2" borderId="1" xfId="6" applyNumberFormat="1" applyFont="1" applyFill="1"/>
    <xf numFmtId="165" fontId="8" fillId="2" borderId="2" xfId="2" applyNumberFormat="1" applyFont="1" applyFill="1" applyBorder="1" applyAlignment="1">
      <alignment horizontal="right" vertical="center" wrapText="1"/>
    </xf>
    <xf numFmtId="165" fontId="8" fillId="2" borderId="8" xfId="2" applyNumberFormat="1" applyFont="1" applyFill="1" applyBorder="1" applyAlignment="1">
      <alignment horizontal="right" vertical="center" wrapText="1"/>
    </xf>
    <xf numFmtId="165" fontId="21" fillId="2" borderId="0" xfId="0" applyNumberFormat="1" applyFont="1" applyFill="1"/>
    <xf numFmtId="3" fontId="13" fillId="2" borderId="1" xfId="1" applyNumberFormat="1" applyFont="1" applyFill="1"/>
    <xf numFmtId="165" fontId="21" fillId="2" borderId="1" xfId="0" applyNumberFormat="1" applyFont="1" applyFill="1" applyBorder="1"/>
    <xf numFmtId="165" fontId="22" fillId="2" borderId="2" xfId="2" applyNumberFormat="1" applyFont="1" applyFill="1" applyBorder="1" applyAlignment="1">
      <alignment horizontal="left" vertical="center"/>
    </xf>
    <xf numFmtId="165" fontId="9" fillId="2" borderId="2" xfId="2" applyNumberFormat="1" applyFont="1" applyFill="1" applyBorder="1" applyAlignment="1">
      <alignment horizontal="right" vertical="top" wrapText="1"/>
    </xf>
    <xf numFmtId="165" fontId="9" fillId="2" borderId="9" xfId="2" applyNumberFormat="1" applyFont="1" applyFill="1" applyBorder="1" applyAlignment="1">
      <alignment horizontal="right" vertical="top" wrapText="1"/>
    </xf>
    <xf numFmtId="165" fontId="9" fillId="2" borderId="10" xfId="2" applyNumberFormat="1" applyFont="1" applyFill="1" applyBorder="1" applyAlignment="1">
      <alignment horizontal="right" vertical="top" wrapText="1"/>
    </xf>
    <xf numFmtId="165" fontId="1" fillId="2" borderId="0" xfId="0" applyNumberFormat="1" applyFont="1" applyFill="1"/>
    <xf numFmtId="3" fontId="9" fillId="2" borderId="1" xfId="1" applyNumberFormat="1" applyFont="1" applyFill="1" applyAlignment="1">
      <alignment horizontal="right" vertical="center"/>
    </xf>
    <xf numFmtId="165" fontId="15" fillId="2" borderId="0" xfId="0" applyNumberFormat="1" applyFont="1" applyFill="1"/>
    <xf numFmtId="3" fontId="8" fillId="2" borderId="1" xfId="1" applyNumberFormat="1" applyFont="1" applyFill="1"/>
    <xf numFmtId="3" fontId="23" fillId="2" borderId="1" xfId="1" applyNumberFormat="1" applyFont="1" applyFill="1" applyAlignment="1">
      <alignment horizontal="right" vertical="center"/>
    </xf>
    <xf numFmtId="3" fontId="10" fillId="2" borderId="1" xfId="1" applyNumberFormat="1" applyFont="1" applyFill="1"/>
    <xf numFmtId="3" fontId="16" fillId="2" borderId="1" xfId="1" applyNumberFormat="1" applyFont="1" applyFill="1" applyAlignment="1">
      <alignment horizontal="right" vertical="center"/>
    </xf>
    <xf numFmtId="165" fontId="14" fillId="2" borderId="0" xfId="0" applyNumberFormat="1" applyFont="1" applyFill="1"/>
    <xf numFmtId="37" fontId="8" fillId="2" borderId="1" xfId="3" applyNumberFormat="1" applyFont="1" applyFill="1" applyBorder="1" applyAlignment="1" applyProtection="1">
      <alignment horizontal="right" vertical="center"/>
    </xf>
    <xf numFmtId="37" fontId="10" fillId="2" borderId="13" xfId="3" applyNumberFormat="1" applyFont="1" applyFill="1" applyBorder="1" applyAlignment="1">
      <alignment horizontal="right" vertical="center"/>
    </xf>
    <xf numFmtId="165" fontId="14" fillId="2" borderId="1" xfId="6" applyNumberFormat="1" applyFont="1" applyFill="1" applyAlignment="1">
      <alignment vertical="center"/>
    </xf>
    <xf numFmtId="165" fontId="16" fillId="2" borderId="1" xfId="6" applyNumberFormat="1" applyFont="1" applyFill="1"/>
    <xf numFmtId="3" fontId="24" fillId="2" borderId="1" xfId="1" applyNumberFormat="1" applyFont="1" applyFill="1" applyAlignment="1">
      <alignment horizontal="right" vertical="center"/>
    </xf>
    <xf numFmtId="3" fontId="10" fillId="2" borderId="1" xfId="1" applyNumberFormat="1" applyFont="1" applyFill="1" applyAlignment="1">
      <alignment vertical="center"/>
    </xf>
    <xf numFmtId="3" fontId="26" fillId="2" borderId="1" xfId="1" applyNumberFormat="1" applyFont="1" applyFill="1" applyAlignment="1">
      <alignment horizontal="right" vertical="center"/>
    </xf>
    <xf numFmtId="165" fontId="14" fillId="2" borderId="1" xfId="0" applyNumberFormat="1" applyFont="1" applyFill="1" applyBorder="1"/>
    <xf numFmtId="165" fontId="14" fillId="2" borderId="1" xfId="6" applyNumberFormat="1" applyFont="1" applyFill="1"/>
    <xf numFmtId="37" fontId="8" fillId="2" borderId="14" xfId="3" applyNumberFormat="1" applyFont="1" applyFill="1" applyBorder="1" applyAlignment="1" applyProtection="1">
      <alignment horizontal="right" vertical="center"/>
    </xf>
    <xf numFmtId="165" fontId="14" fillId="2" borderId="1" xfId="8" applyNumberFormat="1" applyFont="1" applyFill="1" applyAlignment="1">
      <alignment vertical="center"/>
    </xf>
    <xf numFmtId="3" fontId="28" fillId="2" borderId="1" xfId="1" applyNumberFormat="1" applyFont="1" applyFill="1" applyAlignment="1">
      <alignment vertical="center"/>
    </xf>
    <xf numFmtId="0" fontId="14" fillId="2" borderId="1" xfId="0" applyFont="1" applyFill="1" applyBorder="1"/>
    <xf numFmtId="3" fontId="10" fillId="2" borderId="2" xfId="1" applyNumberFormat="1" applyFont="1" applyFill="1" applyBorder="1"/>
    <xf numFmtId="3" fontId="16" fillId="2" borderId="2" xfId="1" applyNumberFormat="1" applyFont="1" applyFill="1" applyBorder="1" applyAlignment="1">
      <alignment horizontal="right" vertical="center"/>
    </xf>
    <xf numFmtId="3" fontId="11" fillId="2" borderId="1" xfId="1" applyNumberFormat="1" applyFont="1" applyFill="1" applyAlignment="1">
      <alignment vertical="center"/>
    </xf>
    <xf numFmtId="3" fontId="7" fillId="2" borderId="1" xfId="1" applyNumberFormat="1" applyFont="1" applyFill="1"/>
    <xf numFmtId="165" fontId="30" fillId="2" borderId="1" xfId="6" applyNumberFormat="1" applyFont="1" applyFill="1" applyAlignment="1">
      <alignment horizontal="right" vertical="center"/>
    </xf>
    <xf numFmtId="165" fontId="7" fillId="2" borderId="1" xfId="6" applyNumberFormat="1" applyFont="1" applyFill="1" applyAlignment="1">
      <alignment horizontal="right" vertical="center"/>
    </xf>
    <xf numFmtId="0" fontId="31" fillId="2" borderId="1" xfId="1" applyFont="1" applyFill="1" applyAlignment="1">
      <alignment horizontal="right" vertical="center"/>
    </xf>
    <xf numFmtId="0" fontId="33" fillId="2" borderId="0" xfId="0" applyFont="1" applyFill="1"/>
    <xf numFmtId="0" fontId="33" fillId="2" borderId="1" xfId="6" applyFont="1" applyFill="1" applyAlignment="1">
      <alignment horizontal="right"/>
    </xf>
    <xf numFmtId="0" fontId="7" fillId="2" borderId="1" xfId="6" applyFont="1" applyFill="1" applyAlignment="1">
      <alignment horizontal="right" vertical="center"/>
    </xf>
    <xf numFmtId="0" fontId="33" fillId="2" borderId="1" xfId="6" applyFont="1" applyFill="1"/>
    <xf numFmtId="165" fontId="20" fillId="2" borderId="1" xfId="5" applyNumberFormat="1" applyFont="1" applyFill="1" applyAlignment="1">
      <alignment horizontal="right" vertical="center"/>
    </xf>
    <xf numFmtId="0" fontId="1" fillId="2" borderId="0" xfId="0" applyFont="1" applyFill="1"/>
    <xf numFmtId="37" fontId="8" fillId="2" borderId="4" xfId="3" applyNumberFormat="1" applyFont="1" applyFill="1" applyBorder="1" applyAlignment="1" applyProtection="1">
      <alignment horizontal="right" vertical="center"/>
    </xf>
    <xf numFmtId="37" fontId="8" fillId="2" borderId="10" xfId="3" applyNumberFormat="1" applyFont="1" applyFill="1" applyBorder="1" applyAlignment="1" applyProtection="1">
      <alignment horizontal="right" vertical="center"/>
    </xf>
    <xf numFmtId="37" fontId="10" fillId="2" borderId="8" xfId="3" applyNumberFormat="1" applyFont="1" applyFill="1" applyBorder="1" applyAlignment="1">
      <alignment horizontal="right" vertical="center"/>
    </xf>
    <xf numFmtId="0" fontId="34" fillId="2" borderId="0" xfId="0" applyFont="1" applyFill="1"/>
    <xf numFmtId="0" fontId="1" fillId="2" borderId="0" xfId="0" applyFont="1" applyFill="1" applyAlignment="1">
      <alignment horizontal="right"/>
    </xf>
    <xf numFmtId="0" fontId="12" fillId="2" borderId="0" xfId="0" applyFont="1" applyFill="1" applyAlignment="1">
      <alignment horizontal="right" vertical="center"/>
    </xf>
    <xf numFmtId="0" fontId="35" fillId="2" borderId="0" xfId="0" applyFont="1" applyFill="1"/>
    <xf numFmtId="3" fontId="27" fillId="2" borderId="1" xfId="1" applyNumberFormat="1" applyFont="1" applyFill="1" applyAlignment="1">
      <alignment vertical="center"/>
    </xf>
    <xf numFmtId="3" fontId="38" fillId="2" borderId="1" xfId="1" applyNumberFormat="1" applyFont="1" applyFill="1" applyAlignment="1">
      <alignment horizontal="right" vertical="center"/>
    </xf>
    <xf numFmtId="165" fontId="39" fillId="2" borderId="0" xfId="0" applyNumberFormat="1" applyFont="1" applyFill="1" applyAlignment="1">
      <alignment vertical="center"/>
    </xf>
    <xf numFmtId="37" fontId="37" fillId="2" borderId="1" xfId="3" applyNumberFormat="1" applyFont="1" applyFill="1" applyBorder="1" applyAlignment="1" applyProtection="1">
      <alignment horizontal="right" vertical="center"/>
    </xf>
    <xf numFmtId="37" fontId="8" fillId="2" borderId="18" xfId="3" applyNumberFormat="1" applyFont="1" applyFill="1" applyBorder="1" applyAlignment="1" applyProtection="1">
      <alignment horizontal="right" vertical="center"/>
    </xf>
    <xf numFmtId="37" fontId="10" fillId="2" borderId="18" xfId="4" applyNumberFormat="1" applyFont="1" applyFill="1" applyBorder="1" applyAlignment="1">
      <alignment horizontal="right" vertical="center"/>
    </xf>
    <xf numFmtId="0" fontId="10" fillId="2" borderId="18" xfId="6" applyFont="1" applyFill="1" applyBorder="1" applyAlignment="1">
      <alignment horizontal="right" vertical="center"/>
    </xf>
    <xf numFmtId="37" fontId="8" fillId="2" borderId="18" xfId="4" applyNumberFormat="1" applyFont="1" applyFill="1" applyBorder="1" applyAlignment="1">
      <alignment horizontal="right" vertical="center"/>
    </xf>
    <xf numFmtId="37" fontId="36" fillId="2" borderId="18" xfId="0" applyNumberFormat="1" applyFont="1" applyFill="1" applyBorder="1" applyAlignment="1">
      <alignment horizontal="right" vertical="center"/>
    </xf>
    <xf numFmtId="37" fontId="10" fillId="2" borderId="18" xfId="3" applyNumberFormat="1" applyFont="1" applyFill="1" applyBorder="1" applyAlignment="1">
      <alignment horizontal="right" vertical="center"/>
    </xf>
    <xf numFmtId="164" fontId="10" fillId="2" borderId="18" xfId="7" applyNumberFormat="1" applyFont="1" applyFill="1" applyBorder="1" applyAlignment="1">
      <alignment horizontal="right" vertical="center"/>
    </xf>
    <xf numFmtId="37" fontId="27" fillId="2" borderId="18" xfId="4" applyNumberFormat="1" applyFont="1" applyFill="1" applyBorder="1" applyAlignment="1">
      <alignment horizontal="right" vertical="center"/>
    </xf>
    <xf numFmtId="0" fontId="10" fillId="2" borderId="18" xfId="9" applyFont="1" applyFill="1" applyBorder="1" applyAlignment="1">
      <alignment horizontal="right" vertical="center"/>
    </xf>
    <xf numFmtId="3" fontId="17" fillId="2" borderId="1" xfId="1" applyNumberFormat="1" applyFont="1" applyFill="1" applyAlignment="1">
      <alignment horizontal="center" vertical="center" readingOrder="2"/>
    </xf>
    <xf numFmtId="165" fontId="7" fillId="2" borderId="12" xfId="2" applyNumberFormat="1" applyFont="1" applyFill="1" applyBorder="1" applyAlignment="1">
      <alignment horizontal="right" vertical="center" wrapText="1"/>
    </xf>
    <xf numFmtId="165" fontId="7" fillId="2" borderId="8" xfId="2" applyNumberFormat="1" applyFont="1" applyFill="1" applyBorder="1" applyAlignment="1">
      <alignment horizontal="right" vertical="center" wrapText="1"/>
    </xf>
    <xf numFmtId="165" fontId="7" fillId="2" borderId="12" xfId="2" applyNumberFormat="1" applyFont="1" applyFill="1" applyBorder="1" applyAlignment="1">
      <alignment horizontal="center" vertical="center" wrapText="1"/>
    </xf>
    <xf numFmtId="3" fontId="12" fillId="2" borderId="2" xfId="1" applyNumberFormat="1" applyFont="1" applyFill="1" applyBorder="1" applyAlignment="1">
      <alignment horizontal="center" vertical="center"/>
    </xf>
    <xf numFmtId="165" fontId="8" fillId="2" borderId="3" xfId="2" applyNumberFormat="1" applyFont="1" applyFill="1" applyBorder="1" applyAlignment="1">
      <alignment horizontal="center" vertical="center" wrapText="1"/>
    </xf>
    <xf numFmtId="165" fontId="8" fillId="2" borderId="1" xfId="2" applyNumberFormat="1" applyFont="1" applyFill="1" applyAlignment="1">
      <alignment horizontal="center" vertical="center" wrapText="1"/>
    </xf>
    <xf numFmtId="165" fontId="8" fillId="2" borderId="2" xfId="2" applyNumberFormat="1" applyFont="1" applyFill="1" applyBorder="1" applyAlignment="1">
      <alignment horizontal="center" vertical="center" wrapText="1"/>
    </xf>
    <xf numFmtId="0" fontId="9" fillId="2" borderId="3" xfId="6" applyFont="1" applyFill="1" applyBorder="1" applyAlignment="1">
      <alignment horizontal="center" vertical="center" wrapText="1"/>
    </xf>
    <xf numFmtId="0" fontId="9" fillId="2" borderId="15" xfId="6" applyFont="1" applyFill="1" applyBorder="1" applyAlignment="1">
      <alignment horizontal="center" vertical="center" wrapText="1"/>
    </xf>
    <xf numFmtId="0" fontId="9" fillId="2" borderId="4" xfId="6" applyFont="1" applyFill="1" applyBorder="1" applyAlignment="1">
      <alignment horizontal="right" vertical="center" wrapText="1"/>
    </xf>
    <xf numFmtId="0" fontId="9" fillId="2" borderId="6" xfId="6" applyFont="1" applyFill="1" applyBorder="1" applyAlignment="1">
      <alignment horizontal="right" vertical="center" wrapText="1"/>
    </xf>
    <xf numFmtId="0" fontId="9" fillId="2" borderId="4" xfId="6" applyFont="1" applyFill="1" applyBorder="1" applyAlignment="1">
      <alignment horizontal="center" wrapText="1"/>
    </xf>
    <xf numFmtId="0" fontId="9" fillId="2" borderId="6" xfId="6" applyFont="1" applyFill="1" applyBorder="1" applyAlignment="1">
      <alignment horizontal="center" wrapText="1"/>
    </xf>
    <xf numFmtId="0" fontId="5" fillId="2" borderId="5" xfId="6" applyFont="1" applyFill="1" applyBorder="1" applyAlignment="1">
      <alignment horizontal="right" vertical="center" wrapText="1"/>
    </xf>
    <xf numFmtId="0" fontId="5" fillId="2" borderId="7" xfId="6" applyFont="1" applyFill="1" applyBorder="1" applyAlignment="1">
      <alignment horizontal="right" vertical="center" wrapText="1"/>
    </xf>
    <xf numFmtId="0" fontId="18" fillId="2" borderId="4" xfId="6" applyFont="1" applyFill="1" applyBorder="1" applyAlignment="1">
      <alignment horizontal="center" vertical="center" wrapText="1"/>
    </xf>
    <xf numFmtId="0" fontId="18" fillId="2" borderId="6" xfId="6" applyFont="1" applyFill="1" applyBorder="1" applyAlignment="1">
      <alignment horizontal="center" vertical="center" wrapText="1"/>
    </xf>
    <xf numFmtId="3" fontId="19" fillId="2" borderId="3" xfId="1" applyNumberFormat="1" applyFont="1" applyFill="1" applyBorder="1" applyAlignment="1">
      <alignment horizontal="right" vertical="center" wrapText="1"/>
    </xf>
    <xf numFmtId="3" fontId="19" fillId="2" borderId="1" xfId="1" applyNumberFormat="1" applyFont="1" applyFill="1" applyAlignment="1">
      <alignment horizontal="right" vertical="center" wrapText="1"/>
    </xf>
    <xf numFmtId="3" fontId="19" fillId="2" borderId="2" xfId="1" applyNumberFormat="1" applyFont="1" applyFill="1" applyBorder="1" applyAlignment="1">
      <alignment horizontal="right" vertical="center" wrapText="1"/>
    </xf>
    <xf numFmtId="165" fontId="8" fillId="2" borderId="8" xfId="2" applyNumberFormat="1" applyFont="1" applyFill="1" applyBorder="1" applyAlignment="1">
      <alignment horizontal="right" vertical="center" wrapText="1"/>
    </xf>
    <xf numFmtId="165" fontId="8" fillId="2" borderId="16" xfId="2" applyNumberFormat="1" applyFont="1" applyFill="1" applyBorder="1" applyAlignment="1">
      <alignment horizontal="right" vertical="center" wrapText="1"/>
    </xf>
    <xf numFmtId="165" fontId="8" fillId="2" borderId="17" xfId="2" applyNumberFormat="1" applyFont="1" applyFill="1" applyBorder="1" applyAlignment="1">
      <alignment horizontal="right" vertical="center" wrapText="1"/>
    </xf>
    <xf numFmtId="165" fontId="8" fillId="2" borderId="11" xfId="2" applyNumberFormat="1" applyFont="1" applyFill="1" applyBorder="1" applyAlignment="1">
      <alignment horizontal="right" vertical="center" wrapText="1"/>
    </xf>
    <xf numFmtId="165" fontId="8" fillId="2" borderId="12" xfId="2" applyNumberFormat="1" applyFont="1" applyFill="1" applyBorder="1" applyAlignment="1">
      <alignment horizontal="right" vertical="center" wrapText="1"/>
    </xf>
  </cellXfs>
  <cellStyles count="34">
    <cellStyle name="Comma 23" xfId="3" xr:uid="{94027C67-5182-4251-874E-333D39869C41}"/>
    <cellStyle name="Comma 3" xfId="4" xr:uid="{32D59405-9255-4528-A182-E2FB87AEA447}"/>
    <cellStyle name="Normal" xfId="0" builtinId="0"/>
    <cellStyle name="Normal 10" xfId="8" xr:uid="{EBA83A1A-0725-4264-B217-6FB255D01D9A}"/>
    <cellStyle name="Normal 11" xfId="10" xr:uid="{141512A6-9575-4B9F-B0CD-71B08DB8B8DD}"/>
    <cellStyle name="Normal 12" xfId="20" xr:uid="{EBB53E00-7290-4E95-B00B-97E70B994095}"/>
    <cellStyle name="Normal 13" xfId="21" xr:uid="{5089EADD-6FB8-455A-99B7-4CE3F8EA2523}"/>
    <cellStyle name="Normal 14" xfId="22" xr:uid="{6D8E876D-C549-4F8C-BBB2-9044945BA1DE}"/>
    <cellStyle name="Normal 15" xfId="23" xr:uid="{FC8B6F0F-4F04-414B-856A-E9EF52594A17}"/>
    <cellStyle name="Normal 16" xfId="24" xr:uid="{A9472295-1693-4D41-8C43-FD2ACA0018F7}"/>
    <cellStyle name="Normal 17" xfId="25" xr:uid="{AD84AE3E-C9FD-40C7-9E44-467A53F078DC}"/>
    <cellStyle name="Normal 18" xfId="26" xr:uid="{3ECF2013-8279-4761-949D-EDD1A3769A1A}"/>
    <cellStyle name="Normal 19" xfId="27" xr:uid="{2DA431D7-B0FC-4CC3-83FB-38993139A464}"/>
    <cellStyle name="Normal 2" xfId="2" xr:uid="{5582CC97-B3B3-49F0-A32C-77365FA866E7}"/>
    <cellStyle name="Normal 20" xfId="28" xr:uid="{BF15BF13-2BA4-453C-A5D4-7F378D5A7AB0}"/>
    <cellStyle name="Normal 21" xfId="29" xr:uid="{EB16884D-319E-44C4-BACF-AAE219752D74}"/>
    <cellStyle name="Normal 22" xfId="30" xr:uid="{0BC55367-C80F-4644-A253-56F0D6C8449D}"/>
    <cellStyle name="Normal 23" xfId="31" xr:uid="{70D0A6B6-C10D-4B03-BE3E-BCA8F6F565D6}"/>
    <cellStyle name="Normal 24" xfId="32" xr:uid="{5D1C52F0-96A7-41A3-BA9A-F4828B3BA100}"/>
    <cellStyle name="Normal 25" xfId="33" xr:uid="{98DE4CB4-469A-4E2E-95F6-679D1ED1E259}"/>
    <cellStyle name="Normal 3" xfId="14" xr:uid="{41F67738-7CBD-405C-A2E8-93EC8D754E04}"/>
    <cellStyle name="Normal 30 2" xfId="7" xr:uid="{319A01A9-484D-401C-B51C-AFA22C8C147A}"/>
    <cellStyle name="Normal 39" xfId="9" xr:uid="{358DB4F3-2572-40C1-8528-73DD19838977}"/>
    <cellStyle name="Normal 4" xfId="15" xr:uid="{F9DB212B-6BED-4D0E-9812-6AF8B0852E4C}"/>
    <cellStyle name="Normal 5" xfId="16" xr:uid="{2E2DF4F8-9240-4060-8DF2-DBD25985C646}"/>
    <cellStyle name="Normal 58" xfId="13" xr:uid="{5FADB181-8394-4B9F-BF6B-8B2AABC26B0E}"/>
    <cellStyle name="Normal 59" xfId="12" xr:uid="{BC46D8EB-1784-4261-8D55-F234E5AA2CF7}"/>
    <cellStyle name="Normal 6" xfId="17" xr:uid="{FD6A37D1-7F80-4842-A6BE-097A50A4815D}"/>
    <cellStyle name="Normal 7" xfId="18" xr:uid="{D3073D1C-C63F-4665-88AD-8A1CCCB7F8E6}"/>
    <cellStyle name="Normal 8" xfId="19" xr:uid="{994E9518-379D-453B-A8BE-5A00EF9195C3}"/>
    <cellStyle name="Normal 9" xfId="6" xr:uid="{625F25BA-A41A-4C28-BF91-33331014C8BC}"/>
    <cellStyle name="Normal 9 2" xfId="11" xr:uid="{9FC5A332-BEB2-4834-8023-4E42B3DA4A83}"/>
    <cellStyle name="Normal_3 Population." xfId="5" xr:uid="{2C47DE0C-AB61-418E-AD2A-DC7DD7EA2C49}"/>
    <cellStyle name="Normal_II-15(Population) 2" xfId="1" xr:uid="{5D0B2EFE-2D76-4772-A3A8-4ED76F8D707D}"/>
  </cellStyles>
  <dxfs count="0"/>
  <tableStyles count="0" defaultTableStyle="TableStyleMedium2" defaultPivotStyle="PivotStyleLight16"/>
  <colors>
    <mruColors>
      <color rgb="FFF9FFF3"/>
      <color rgb="FF336600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10C2-A785-43C6-98EC-B19FBE6D922E}">
  <dimension ref="A1:K252"/>
  <sheetViews>
    <sheetView tabSelected="1" zoomScaleNormal="100" workbookViewId="0">
      <selection activeCell="I262" sqref="I262"/>
    </sheetView>
  </sheetViews>
  <sheetFormatPr defaultColWidth="11.28515625" defaultRowHeight="18" x14ac:dyDescent="0.45"/>
  <cols>
    <col min="1" max="1" width="28.7109375" style="61" customWidth="1"/>
    <col min="2" max="2" width="11.28515625" style="65"/>
    <col min="3" max="3" width="11.28515625" style="61"/>
    <col min="4" max="8" width="11.28515625" style="66"/>
    <col min="9" max="9" width="11.28515625" style="67"/>
    <col min="10" max="10" width="12" style="67" customWidth="1"/>
    <col min="11" max="11" width="30.140625" style="68" customWidth="1"/>
    <col min="12" max="16384" width="11.28515625" style="61"/>
  </cols>
  <sheetData>
    <row r="1" spans="1:11" s="13" customFormat="1" ht="15.75" x14ac:dyDescent="0.4">
      <c r="A1" s="8"/>
      <c r="B1" s="9"/>
      <c r="C1" s="8"/>
      <c r="D1" s="10"/>
      <c r="E1" s="10"/>
      <c r="F1" s="8"/>
      <c r="G1" s="8"/>
      <c r="H1" s="10"/>
      <c r="I1" s="11"/>
      <c r="J1" s="11"/>
      <c r="K1" s="12"/>
    </row>
    <row r="2" spans="1:11" s="14" customFormat="1" ht="21" x14ac:dyDescent="0.2">
      <c r="A2" s="82" t="s">
        <v>439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s="14" customFormat="1" ht="15" x14ac:dyDescent="0.2">
      <c r="A3" s="86" t="s">
        <v>438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s="16" customFormat="1" ht="17.25" customHeight="1" x14ac:dyDescent="0.45">
      <c r="A4" s="15"/>
      <c r="B4" s="87" t="s">
        <v>0</v>
      </c>
      <c r="C4" s="90" t="s">
        <v>2</v>
      </c>
      <c r="D4" s="92" t="s">
        <v>3</v>
      </c>
      <c r="E4" s="92"/>
      <c r="F4" s="94" t="s">
        <v>4</v>
      </c>
      <c r="G4" s="94"/>
      <c r="H4" s="96" t="s">
        <v>68</v>
      </c>
      <c r="I4" s="92" t="s">
        <v>5</v>
      </c>
      <c r="J4" s="98" t="s">
        <v>6</v>
      </c>
      <c r="K4" s="100" t="s">
        <v>7</v>
      </c>
    </row>
    <row r="5" spans="1:11" s="16" customFormat="1" ht="33.75" customHeight="1" x14ac:dyDescent="0.45">
      <c r="A5" s="17"/>
      <c r="B5" s="88"/>
      <c r="C5" s="91"/>
      <c r="D5" s="93"/>
      <c r="E5" s="93"/>
      <c r="F5" s="95"/>
      <c r="G5" s="95"/>
      <c r="H5" s="97"/>
      <c r="I5" s="93"/>
      <c r="J5" s="99"/>
      <c r="K5" s="101"/>
    </row>
    <row r="6" spans="1:11" s="21" customFormat="1" ht="12.75" customHeight="1" x14ac:dyDescent="0.2">
      <c r="A6" s="18"/>
      <c r="B6" s="88"/>
      <c r="C6" s="19" t="s">
        <v>8</v>
      </c>
      <c r="D6" s="103" t="s">
        <v>9</v>
      </c>
      <c r="E6" s="103"/>
      <c r="F6" s="104" t="s">
        <v>10</v>
      </c>
      <c r="G6" s="105"/>
      <c r="H6" s="83" t="s">
        <v>11</v>
      </c>
      <c r="I6" s="106" t="s">
        <v>12</v>
      </c>
      <c r="J6" s="85" t="s">
        <v>13</v>
      </c>
      <c r="K6" s="101"/>
    </row>
    <row r="7" spans="1:11" s="23" customFormat="1" ht="12.75" customHeight="1" x14ac:dyDescent="0.2">
      <c r="A7" s="22" t="s">
        <v>1</v>
      </c>
      <c r="B7" s="88"/>
      <c r="C7" s="5" t="s">
        <v>14</v>
      </c>
      <c r="D7" s="1" t="s">
        <v>15</v>
      </c>
      <c r="E7" s="2" t="s">
        <v>16</v>
      </c>
      <c r="F7" s="5" t="s">
        <v>15</v>
      </c>
      <c r="G7" s="2" t="s">
        <v>17</v>
      </c>
      <c r="H7" s="83"/>
      <c r="I7" s="107"/>
      <c r="J7" s="85"/>
      <c r="K7" s="101"/>
    </row>
    <row r="8" spans="1:11" s="28" customFormat="1" ht="18.75" x14ac:dyDescent="0.25">
      <c r="A8" s="24"/>
      <c r="B8" s="89"/>
      <c r="C8" s="25" t="s">
        <v>69</v>
      </c>
      <c r="D8" s="26" t="s">
        <v>18</v>
      </c>
      <c r="E8" s="27" t="s">
        <v>19</v>
      </c>
      <c r="F8" s="25" t="s">
        <v>20</v>
      </c>
      <c r="G8" s="27" t="s">
        <v>19</v>
      </c>
      <c r="H8" s="84"/>
      <c r="I8" s="103"/>
      <c r="J8" s="20"/>
      <c r="K8" s="102"/>
    </row>
    <row r="9" spans="1:11" s="30" customFormat="1" ht="18.75" x14ac:dyDescent="0.2">
      <c r="A9" s="3" t="s">
        <v>21</v>
      </c>
      <c r="B9" s="36">
        <f>SUM(C9:J9)</f>
        <v>424031</v>
      </c>
      <c r="C9" s="62">
        <f>C11+C10</f>
        <v>381107</v>
      </c>
      <c r="D9" s="62">
        <f t="shared" ref="D9:J9" si="0">D11+D10</f>
        <v>2947</v>
      </c>
      <c r="E9" s="62">
        <f t="shared" si="0"/>
        <v>5009</v>
      </c>
      <c r="F9" s="62">
        <f t="shared" si="0"/>
        <v>102</v>
      </c>
      <c r="G9" s="62">
        <f t="shared" si="0"/>
        <v>138</v>
      </c>
      <c r="H9" s="62">
        <f t="shared" si="0"/>
        <v>19026</v>
      </c>
      <c r="I9" s="62">
        <f t="shared" si="0"/>
        <v>14989</v>
      </c>
      <c r="J9" s="62">
        <f t="shared" si="0"/>
        <v>713</v>
      </c>
      <c r="K9" s="29" t="s">
        <v>22</v>
      </c>
    </row>
    <row r="10" spans="1:11" s="30" customFormat="1" ht="18.75" x14ac:dyDescent="0.2">
      <c r="A10" s="31" t="s">
        <v>23</v>
      </c>
      <c r="B10" s="36">
        <f>SUM(C10:J10)</f>
        <v>83632</v>
      </c>
      <c r="C10" s="76">
        <v>71078</v>
      </c>
      <c r="D10" s="76">
        <v>857</v>
      </c>
      <c r="E10" s="76">
        <v>1363</v>
      </c>
      <c r="F10" s="76">
        <v>15</v>
      </c>
      <c r="G10" s="76">
        <v>18</v>
      </c>
      <c r="H10" s="77">
        <v>4617</v>
      </c>
      <c r="I10" s="76">
        <v>5393</v>
      </c>
      <c r="J10" s="76">
        <v>291</v>
      </c>
      <c r="K10" s="29" t="s">
        <v>24</v>
      </c>
    </row>
    <row r="11" spans="1:11" s="30" customFormat="1" ht="18.75" x14ac:dyDescent="0.2">
      <c r="A11" s="3" t="s">
        <v>25</v>
      </c>
      <c r="B11" s="36">
        <f>SUM(C11:J11)</f>
        <v>340399</v>
      </c>
      <c r="C11" s="73">
        <f>C12+C28+C45+C63+C78+C96+C111+C129+C118+C139+C151+C158+C169+C176+C185+C200+C214+C226+C237+C240</f>
        <v>310029</v>
      </c>
      <c r="D11" s="73">
        <f t="shared" ref="D11:J11" si="1">D12+D28+D45+D63+D78+D96+D111+D129+D118+D139+D151+D158+D169+D176+D185+D200+D214+D226+D237+D240</f>
        <v>2090</v>
      </c>
      <c r="E11" s="73">
        <f t="shared" si="1"/>
        <v>3646</v>
      </c>
      <c r="F11" s="73">
        <f t="shared" si="1"/>
        <v>87</v>
      </c>
      <c r="G11" s="73">
        <f t="shared" si="1"/>
        <v>120</v>
      </c>
      <c r="H11" s="73">
        <f t="shared" si="1"/>
        <v>14409</v>
      </c>
      <c r="I11" s="73">
        <f t="shared" si="1"/>
        <v>9596</v>
      </c>
      <c r="J11" s="73">
        <f t="shared" si="1"/>
        <v>422</v>
      </c>
      <c r="K11" s="29" t="s">
        <v>26</v>
      </c>
    </row>
    <row r="12" spans="1:11" s="30" customFormat="1" ht="15.75" x14ac:dyDescent="0.2">
      <c r="A12" s="31" t="s">
        <v>27</v>
      </c>
      <c r="B12" s="36">
        <f>SUM(C12:J12)</f>
        <v>25206</v>
      </c>
      <c r="C12" s="73">
        <f>SUM(C13:C26)</f>
        <v>22803</v>
      </c>
      <c r="D12" s="73">
        <f t="shared" ref="D12:J12" si="2">SUM(D13:D26)</f>
        <v>111</v>
      </c>
      <c r="E12" s="73">
        <f t="shared" si="2"/>
        <v>176</v>
      </c>
      <c r="F12" s="73">
        <f t="shared" si="2"/>
        <v>3</v>
      </c>
      <c r="G12" s="73">
        <f t="shared" si="2"/>
        <v>3</v>
      </c>
      <c r="H12" s="73">
        <f t="shared" si="2"/>
        <v>1364</v>
      </c>
      <c r="I12" s="73">
        <f t="shared" si="2"/>
        <v>707</v>
      </c>
      <c r="J12" s="73">
        <f t="shared" si="2"/>
        <v>39</v>
      </c>
      <c r="K12" s="32" t="s">
        <v>28</v>
      </c>
    </row>
    <row r="13" spans="1:11" s="35" customFormat="1" ht="15.75" x14ac:dyDescent="0.2">
      <c r="A13" s="33" t="s">
        <v>70</v>
      </c>
      <c r="B13" s="36">
        <f>SUM(C13:J13)</f>
        <v>2284</v>
      </c>
      <c r="C13" s="74">
        <v>2061</v>
      </c>
      <c r="D13" s="74">
        <v>11</v>
      </c>
      <c r="E13" s="74">
        <v>20</v>
      </c>
      <c r="F13" s="74">
        <v>1</v>
      </c>
      <c r="G13" s="74">
        <v>1</v>
      </c>
      <c r="H13" s="78">
        <v>106</v>
      </c>
      <c r="I13" s="74">
        <v>60</v>
      </c>
      <c r="J13" s="74">
        <v>24</v>
      </c>
      <c r="K13" s="34" t="s">
        <v>71</v>
      </c>
    </row>
    <row r="14" spans="1:11" s="35" customFormat="1" ht="15.75" x14ac:dyDescent="0.2">
      <c r="A14" s="33" t="s">
        <v>72</v>
      </c>
      <c r="B14" s="36">
        <f t="shared" ref="B14:B26" si="3">SUM(C14:J14)</f>
        <v>4675</v>
      </c>
      <c r="C14" s="74">
        <v>4228</v>
      </c>
      <c r="D14" s="74">
        <v>21</v>
      </c>
      <c r="E14" s="74">
        <v>33</v>
      </c>
      <c r="F14" s="6">
        <v>0</v>
      </c>
      <c r="G14" s="6">
        <v>0</v>
      </c>
      <c r="H14" s="78">
        <v>217</v>
      </c>
      <c r="I14" s="74">
        <v>174</v>
      </c>
      <c r="J14" s="74">
        <v>2</v>
      </c>
      <c r="K14" s="34" t="s">
        <v>73</v>
      </c>
    </row>
    <row r="15" spans="1:11" s="35" customFormat="1" ht="15.75" x14ac:dyDescent="0.2">
      <c r="A15" s="33" t="s">
        <v>74</v>
      </c>
      <c r="B15" s="36">
        <f t="shared" si="3"/>
        <v>1166</v>
      </c>
      <c r="C15" s="74">
        <v>1071</v>
      </c>
      <c r="D15" s="74">
        <v>5</v>
      </c>
      <c r="E15" s="74">
        <v>9</v>
      </c>
      <c r="F15" s="6">
        <v>0</v>
      </c>
      <c r="G15" s="6">
        <v>0</v>
      </c>
      <c r="H15" s="78">
        <v>59</v>
      </c>
      <c r="I15" s="74">
        <v>22</v>
      </c>
      <c r="J15" s="6">
        <v>0</v>
      </c>
      <c r="K15" s="34" t="s">
        <v>75</v>
      </c>
    </row>
    <row r="16" spans="1:11" s="35" customFormat="1" ht="15.75" x14ac:dyDescent="0.2">
      <c r="A16" s="33" t="s">
        <v>76</v>
      </c>
      <c r="B16" s="36">
        <f t="shared" si="3"/>
        <v>3868</v>
      </c>
      <c r="C16" s="74">
        <v>3398</v>
      </c>
      <c r="D16" s="74">
        <v>28</v>
      </c>
      <c r="E16" s="74">
        <v>44</v>
      </c>
      <c r="F16" s="74">
        <v>1</v>
      </c>
      <c r="G16" s="74">
        <v>1</v>
      </c>
      <c r="H16" s="78">
        <v>281</v>
      </c>
      <c r="I16" s="74">
        <v>115</v>
      </c>
      <c r="J16" s="6">
        <v>0</v>
      </c>
      <c r="K16" s="34" t="s">
        <v>77</v>
      </c>
    </row>
    <row r="17" spans="1:11" s="35" customFormat="1" ht="15" customHeight="1" x14ac:dyDescent="0.2">
      <c r="A17" s="33" t="s">
        <v>78</v>
      </c>
      <c r="B17" s="36">
        <f t="shared" si="3"/>
        <v>4080</v>
      </c>
      <c r="C17" s="74">
        <v>3599</v>
      </c>
      <c r="D17" s="74">
        <v>16</v>
      </c>
      <c r="E17" s="74">
        <v>24</v>
      </c>
      <c r="F17" s="6">
        <v>0</v>
      </c>
      <c r="G17" s="6">
        <v>0</v>
      </c>
      <c r="H17" s="78">
        <v>261</v>
      </c>
      <c r="I17" s="74">
        <v>172</v>
      </c>
      <c r="J17" s="74">
        <v>8</v>
      </c>
      <c r="K17" s="34" t="s">
        <v>79</v>
      </c>
    </row>
    <row r="18" spans="1:11" s="35" customFormat="1" ht="12.75" customHeight="1" x14ac:dyDescent="0.2">
      <c r="A18" s="33" t="s">
        <v>80</v>
      </c>
      <c r="B18" s="36">
        <f t="shared" si="3"/>
        <v>2413</v>
      </c>
      <c r="C18" s="74">
        <v>2216</v>
      </c>
      <c r="D18" s="74">
        <v>10</v>
      </c>
      <c r="E18" s="74">
        <v>15</v>
      </c>
      <c r="F18" s="6">
        <v>0</v>
      </c>
      <c r="G18" s="6">
        <v>0</v>
      </c>
      <c r="H18" s="78">
        <v>129</v>
      </c>
      <c r="I18" s="74">
        <v>43</v>
      </c>
      <c r="J18" s="6">
        <v>0</v>
      </c>
      <c r="K18" s="34" t="s">
        <v>81</v>
      </c>
    </row>
    <row r="19" spans="1:11" s="35" customFormat="1" ht="15.75" x14ac:dyDescent="0.2">
      <c r="A19" s="33" t="s">
        <v>82</v>
      </c>
      <c r="B19" s="36">
        <f t="shared" si="3"/>
        <v>1099</v>
      </c>
      <c r="C19" s="74">
        <v>1036</v>
      </c>
      <c r="D19" s="74">
        <v>2</v>
      </c>
      <c r="E19" s="74">
        <v>4</v>
      </c>
      <c r="F19" s="6">
        <v>0</v>
      </c>
      <c r="G19" s="74">
        <v>1</v>
      </c>
      <c r="H19" s="78">
        <v>40</v>
      </c>
      <c r="I19" s="74">
        <v>16</v>
      </c>
      <c r="J19" s="6">
        <v>0</v>
      </c>
      <c r="K19" s="34" t="s">
        <v>83</v>
      </c>
    </row>
    <row r="20" spans="1:11" s="35" customFormat="1" ht="15.75" x14ac:dyDescent="0.2">
      <c r="A20" s="33" t="s">
        <v>84</v>
      </c>
      <c r="B20" s="36">
        <f t="shared" si="3"/>
        <v>423</v>
      </c>
      <c r="C20" s="74">
        <v>389</v>
      </c>
      <c r="D20" s="74">
        <v>1</v>
      </c>
      <c r="E20" s="74">
        <v>2</v>
      </c>
      <c r="F20" s="6">
        <v>0</v>
      </c>
      <c r="G20" s="6">
        <v>0</v>
      </c>
      <c r="H20" s="78">
        <v>24</v>
      </c>
      <c r="I20" s="74">
        <v>7</v>
      </c>
      <c r="J20" s="6">
        <v>0</v>
      </c>
      <c r="K20" s="34" t="s">
        <v>85</v>
      </c>
    </row>
    <row r="21" spans="1:11" s="35" customFormat="1" ht="15.75" x14ac:dyDescent="0.2">
      <c r="A21" s="33" t="s">
        <v>86</v>
      </c>
      <c r="B21" s="36">
        <f t="shared" si="3"/>
        <v>947</v>
      </c>
      <c r="C21" s="74">
        <v>878</v>
      </c>
      <c r="D21" s="74">
        <v>6</v>
      </c>
      <c r="E21" s="74">
        <v>11</v>
      </c>
      <c r="F21" s="74">
        <v>1</v>
      </c>
      <c r="G21" s="6">
        <v>0</v>
      </c>
      <c r="H21" s="78">
        <v>29</v>
      </c>
      <c r="I21" s="74">
        <v>22</v>
      </c>
      <c r="J21" s="6">
        <v>0</v>
      </c>
      <c r="K21" s="34" t="s">
        <v>87</v>
      </c>
    </row>
    <row r="22" spans="1:11" s="35" customFormat="1" ht="15.75" x14ac:dyDescent="0.2">
      <c r="A22" s="33" t="s">
        <v>88</v>
      </c>
      <c r="B22" s="36">
        <f t="shared" si="3"/>
        <v>953</v>
      </c>
      <c r="C22" s="74">
        <v>883</v>
      </c>
      <c r="D22" s="74">
        <v>2</v>
      </c>
      <c r="E22" s="74">
        <v>3</v>
      </c>
      <c r="F22" s="6">
        <v>0</v>
      </c>
      <c r="G22" s="6">
        <v>0</v>
      </c>
      <c r="H22" s="78">
        <v>57</v>
      </c>
      <c r="I22" s="74">
        <v>8</v>
      </c>
      <c r="J22" s="6">
        <v>0</v>
      </c>
      <c r="K22" s="34" t="s">
        <v>89</v>
      </c>
    </row>
    <row r="23" spans="1:11" s="35" customFormat="1" ht="15.75" x14ac:dyDescent="0.2">
      <c r="A23" s="33" t="s">
        <v>90</v>
      </c>
      <c r="B23" s="36">
        <f t="shared" si="3"/>
        <v>744</v>
      </c>
      <c r="C23" s="74">
        <v>672</v>
      </c>
      <c r="D23" s="6">
        <v>0</v>
      </c>
      <c r="E23" s="6">
        <v>0</v>
      </c>
      <c r="F23" s="6">
        <v>0</v>
      </c>
      <c r="G23" s="6">
        <v>0</v>
      </c>
      <c r="H23" s="78">
        <v>45</v>
      </c>
      <c r="I23" s="74">
        <v>27</v>
      </c>
      <c r="J23" s="6">
        <v>0</v>
      </c>
      <c r="K23" s="34" t="s">
        <v>91</v>
      </c>
    </row>
    <row r="24" spans="1:11" s="35" customFormat="1" ht="15.75" x14ac:dyDescent="0.2">
      <c r="A24" s="33" t="s">
        <v>92</v>
      </c>
      <c r="B24" s="36">
        <f t="shared" si="3"/>
        <v>579</v>
      </c>
      <c r="C24" s="74">
        <v>526</v>
      </c>
      <c r="D24" s="74">
        <v>6</v>
      </c>
      <c r="E24" s="74">
        <v>8</v>
      </c>
      <c r="F24" s="6">
        <v>0</v>
      </c>
      <c r="G24" s="6">
        <v>0</v>
      </c>
      <c r="H24" s="78">
        <v>22</v>
      </c>
      <c r="I24" s="74">
        <v>12</v>
      </c>
      <c r="J24" s="74">
        <v>5</v>
      </c>
      <c r="K24" s="34" t="s">
        <v>93</v>
      </c>
    </row>
    <row r="25" spans="1:11" s="35" customFormat="1" ht="15.75" x14ac:dyDescent="0.2">
      <c r="A25" s="33" t="s">
        <v>94</v>
      </c>
      <c r="B25" s="36">
        <f t="shared" si="3"/>
        <v>1013</v>
      </c>
      <c r="C25" s="74">
        <v>956</v>
      </c>
      <c r="D25" s="74">
        <v>1</v>
      </c>
      <c r="E25" s="74">
        <v>1</v>
      </c>
      <c r="F25" s="6">
        <v>0</v>
      </c>
      <c r="G25" s="6">
        <v>0</v>
      </c>
      <c r="H25" s="78">
        <v>43</v>
      </c>
      <c r="I25" s="74">
        <v>12</v>
      </c>
      <c r="J25" s="6">
        <v>0</v>
      </c>
      <c r="K25" s="34" t="s">
        <v>95</v>
      </c>
    </row>
    <row r="26" spans="1:11" s="35" customFormat="1" ht="15.75" x14ac:dyDescent="0.2">
      <c r="A26" s="33" t="s">
        <v>96</v>
      </c>
      <c r="B26" s="36">
        <f t="shared" si="3"/>
        <v>962</v>
      </c>
      <c r="C26" s="74">
        <v>890</v>
      </c>
      <c r="D26" s="74">
        <v>2</v>
      </c>
      <c r="E26" s="74">
        <v>2</v>
      </c>
      <c r="F26" s="6">
        <v>0</v>
      </c>
      <c r="G26" s="6">
        <v>0</v>
      </c>
      <c r="H26" s="78">
        <v>51</v>
      </c>
      <c r="I26" s="74">
        <v>17</v>
      </c>
      <c r="J26" s="6">
        <v>0</v>
      </c>
      <c r="K26" s="34" t="s">
        <v>97</v>
      </c>
    </row>
    <row r="27" spans="1:11" s="35" customFormat="1" ht="15.75" x14ac:dyDescent="0.2">
      <c r="A27" s="33"/>
      <c r="B27" s="36"/>
      <c r="C27" s="37"/>
      <c r="D27" s="74"/>
      <c r="E27" s="74"/>
      <c r="F27" s="74"/>
      <c r="G27" s="74"/>
      <c r="H27" s="74"/>
      <c r="I27" s="38"/>
      <c r="J27" s="74"/>
      <c r="K27" s="34"/>
    </row>
    <row r="28" spans="1:11" s="35" customFormat="1" ht="15.75" x14ac:dyDescent="0.2">
      <c r="A28" s="31" t="s">
        <v>29</v>
      </c>
      <c r="B28" s="36">
        <f>SUM(C28:J28)</f>
        <v>29845</v>
      </c>
      <c r="C28" s="73">
        <f>SUM(C29:C43)</f>
        <v>27140</v>
      </c>
      <c r="D28" s="73">
        <f t="shared" ref="D28:J28" si="4">SUM(D29:D43)</f>
        <v>229</v>
      </c>
      <c r="E28" s="73">
        <f t="shared" si="4"/>
        <v>404</v>
      </c>
      <c r="F28" s="73">
        <f t="shared" si="4"/>
        <v>8</v>
      </c>
      <c r="G28" s="73">
        <f t="shared" si="4"/>
        <v>12</v>
      </c>
      <c r="H28" s="73">
        <f t="shared" si="4"/>
        <v>997</v>
      </c>
      <c r="I28" s="73">
        <f t="shared" si="4"/>
        <v>997</v>
      </c>
      <c r="J28" s="73">
        <f t="shared" si="4"/>
        <v>58</v>
      </c>
      <c r="K28" s="32" t="s">
        <v>30</v>
      </c>
    </row>
    <row r="29" spans="1:11" s="35" customFormat="1" ht="15.75" x14ac:dyDescent="0.2">
      <c r="A29" s="33" t="s">
        <v>98</v>
      </c>
      <c r="B29" s="36">
        <f>SUM(C29:J29)</f>
        <v>603</v>
      </c>
      <c r="C29" s="79">
        <v>564</v>
      </c>
      <c r="D29" s="74">
        <v>1</v>
      </c>
      <c r="E29" s="74">
        <v>1</v>
      </c>
      <c r="F29" s="6">
        <v>0</v>
      </c>
      <c r="G29" s="6">
        <v>0</v>
      </c>
      <c r="H29" s="74">
        <v>20</v>
      </c>
      <c r="I29" s="74">
        <v>17</v>
      </c>
      <c r="J29" s="6">
        <v>0</v>
      </c>
      <c r="K29" s="34" t="s">
        <v>99</v>
      </c>
    </row>
    <row r="30" spans="1:11" s="35" customFormat="1" ht="15.75" x14ac:dyDescent="0.2">
      <c r="A30" s="33" t="s">
        <v>100</v>
      </c>
      <c r="B30" s="36">
        <f t="shared" ref="B30:B43" si="5">SUM(C30:J30)</f>
        <v>2474</v>
      </c>
      <c r="C30" s="79">
        <v>2274</v>
      </c>
      <c r="D30" s="74">
        <v>12</v>
      </c>
      <c r="E30" s="74">
        <v>24</v>
      </c>
      <c r="F30" s="74">
        <v>1</v>
      </c>
      <c r="G30" s="74">
        <v>1</v>
      </c>
      <c r="H30" s="74">
        <v>95</v>
      </c>
      <c r="I30" s="74">
        <v>67</v>
      </c>
      <c r="J30" s="6">
        <v>0</v>
      </c>
      <c r="K30" s="34" t="s">
        <v>101</v>
      </c>
    </row>
    <row r="31" spans="1:11" s="35" customFormat="1" ht="15.75" x14ac:dyDescent="0.2">
      <c r="A31" s="33" t="s">
        <v>102</v>
      </c>
      <c r="B31" s="36">
        <f t="shared" si="5"/>
        <v>536</v>
      </c>
      <c r="C31" s="79">
        <v>515</v>
      </c>
      <c r="D31" s="74">
        <v>1</v>
      </c>
      <c r="E31" s="74">
        <v>1</v>
      </c>
      <c r="F31" s="6">
        <v>0</v>
      </c>
      <c r="G31" s="6">
        <v>0</v>
      </c>
      <c r="H31" s="74">
        <v>13</v>
      </c>
      <c r="I31" s="74">
        <v>6</v>
      </c>
      <c r="J31" s="6">
        <v>0</v>
      </c>
      <c r="K31" s="34" t="s">
        <v>103</v>
      </c>
    </row>
    <row r="32" spans="1:11" s="35" customFormat="1" ht="15.75" x14ac:dyDescent="0.2">
      <c r="A32" s="33" t="s">
        <v>104</v>
      </c>
      <c r="B32" s="36">
        <f t="shared" si="5"/>
        <v>11296</v>
      </c>
      <c r="C32" s="79">
        <v>10142</v>
      </c>
      <c r="D32" s="74">
        <v>103</v>
      </c>
      <c r="E32" s="74">
        <v>180</v>
      </c>
      <c r="F32" s="74">
        <v>5</v>
      </c>
      <c r="G32" s="74">
        <v>7</v>
      </c>
      <c r="H32" s="74">
        <v>357</v>
      </c>
      <c r="I32" s="74">
        <v>473</v>
      </c>
      <c r="J32" s="74">
        <v>29</v>
      </c>
      <c r="K32" s="34" t="s">
        <v>105</v>
      </c>
    </row>
    <row r="33" spans="1:11" s="35" customFormat="1" ht="15.75" x14ac:dyDescent="0.2">
      <c r="A33" s="33" t="s">
        <v>106</v>
      </c>
      <c r="B33" s="36">
        <f t="shared" si="5"/>
        <v>1538</v>
      </c>
      <c r="C33" s="79">
        <v>1416</v>
      </c>
      <c r="D33" s="74">
        <v>14</v>
      </c>
      <c r="E33" s="74">
        <v>24</v>
      </c>
      <c r="F33" s="6">
        <v>0</v>
      </c>
      <c r="G33" s="6">
        <v>0</v>
      </c>
      <c r="H33" s="74">
        <v>38</v>
      </c>
      <c r="I33" s="74">
        <v>41</v>
      </c>
      <c r="J33" s="74">
        <v>5</v>
      </c>
      <c r="K33" s="34" t="s">
        <v>107</v>
      </c>
    </row>
    <row r="34" spans="1:11" s="35" customFormat="1" ht="15.75" x14ac:dyDescent="0.2">
      <c r="A34" s="33" t="s">
        <v>108</v>
      </c>
      <c r="B34" s="36">
        <f t="shared" si="5"/>
        <v>1</v>
      </c>
      <c r="C34" s="79">
        <v>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34" t="s">
        <v>109</v>
      </c>
    </row>
    <row r="35" spans="1:11" s="35" customFormat="1" ht="15.75" x14ac:dyDescent="0.2">
      <c r="A35" s="33" t="s">
        <v>110</v>
      </c>
      <c r="B35" s="36">
        <f t="shared" si="5"/>
        <v>790</v>
      </c>
      <c r="C35" s="79">
        <v>709</v>
      </c>
      <c r="D35" s="74">
        <v>5</v>
      </c>
      <c r="E35" s="74">
        <v>7</v>
      </c>
      <c r="F35" s="6">
        <v>0</v>
      </c>
      <c r="G35" s="6">
        <v>0</v>
      </c>
      <c r="H35" s="74">
        <v>22</v>
      </c>
      <c r="I35" s="74">
        <v>39</v>
      </c>
      <c r="J35" s="74">
        <v>8</v>
      </c>
      <c r="K35" s="34" t="s">
        <v>111</v>
      </c>
    </row>
    <row r="36" spans="1:11" s="35" customFormat="1" ht="15.75" x14ac:dyDescent="0.2">
      <c r="A36" s="33" t="s">
        <v>112</v>
      </c>
      <c r="B36" s="36">
        <f t="shared" si="5"/>
        <v>1</v>
      </c>
      <c r="C36" s="79">
        <v>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34" t="s">
        <v>113</v>
      </c>
    </row>
    <row r="37" spans="1:11" s="35" customFormat="1" ht="15.75" x14ac:dyDescent="0.2">
      <c r="A37" s="33" t="s">
        <v>114</v>
      </c>
      <c r="B37" s="36">
        <f t="shared" si="5"/>
        <v>1969</v>
      </c>
      <c r="C37" s="79">
        <v>1804</v>
      </c>
      <c r="D37" s="74">
        <v>13</v>
      </c>
      <c r="E37" s="74">
        <v>27</v>
      </c>
      <c r="F37" s="6">
        <v>0</v>
      </c>
      <c r="G37" s="6">
        <v>0</v>
      </c>
      <c r="H37" s="74">
        <v>63</v>
      </c>
      <c r="I37" s="74">
        <v>62</v>
      </c>
      <c r="J37" s="6">
        <v>0</v>
      </c>
      <c r="K37" s="34" t="s">
        <v>115</v>
      </c>
    </row>
    <row r="38" spans="1:11" s="35" customFormat="1" ht="15.75" x14ac:dyDescent="0.2">
      <c r="A38" s="33" t="s">
        <v>116</v>
      </c>
      <c r="B38" s="36">
        <f t="shared" si="5"/>
        <v>879</v>
      </c>
      <c r="C38" s="79">
        <v>814</v>
      </c>
      <c r="D38" s="74">
        <v>7</v>
      </c>
      <c r="E38" s="74">
        <v>11</v>
      </c>
      <c r="F38" s="6">
        <v>0</v>
      </c>
      <c r="G38" s="6">
        <v>0</v>
      </c>
      <c r="H38" s="78">
        <v>30</v>
      </c>
      <c r="I38" s="74">
        <v>17</v>
      </c>
      <c r="J38" s="6">
        <v>0</v>
      </c>
      <c r="K38" s="34" t="s">
        <v>117</v>
      </c>
    </row>
    <row r="39" spans="1:11" s="35" customFormat="1" ht="15.75" x14ac:dyDescent="0.2">
      <c r="A39" s="33" t="s">
        <v>118</v>
      </c>
      <c r="B39" s="36">
        <f t="shared" si="5"/>
        <v>1402</v>
      </c>
      <c r="C39" s="79">
        <v>1288</v>
      </c>
      <c r="D39" s="74">
        <v>5</v>
      </c>
      <c r="E39" s="74">
        <v>10</v>
      </c>
      <c r="F39" s="74">
        <v>1</v>
      </c>
      <c r="G39" s="74">
        <v>1</v>
      </c>
      <c r="H39" s="74">
        <v>56</v>
      </c>
      <c r="I39" s="74">
        <v>41</v>
      </c>
      <c r="J39" s="6">
        <v>0</v>
      </c>
      <c r="K39" s="34" t="s">
        <v>119</v>
      </c>
    </row>
    <row r="40" spans="1:11" s="35" customFormat="1" ht="15.75" x14ac:dyDescent="0.2">
      <c r="A40" s="33" t="s">
        <v>120</v>
      </c>
      <c r="B40" s="36">
        <f t="shared" si="5"/>
        <v>1454</v>
      </c>
      <c r="C40" s="79">
        <v>1359</v>
      </c>
      <c r="D40" s="74">
        <v>7</v>
      </c>
      <c r="E40" s="74">
        <v>14</v>
      </c>
      <c r="F40" s="6">
        <v>0</v>
      </c>
      <c r="G40" s="6">
        <v>0</v>
      </c>
      <c r="H40" s="74">
        <v>50</v>
      </c>
      <c r="I40" s="74">
        <v>24</v>
      </c>
      <c r="J40" s="6">
        <v>0</v>
      </c>
      <c r="K40" s="34" t="s">
        <v>121</v>
      </c>
    </row>
    <row r="41" spans="1:11" s="35" customFormat="1" ht="15.75" x14ac:dyDescent="0.2">
      <c r="A41" s="33" t="s">
        <v>122</v>
      </c>
      <c r="B41" s="36">
        <f t="shared" si="5"/>
        <v>2971</v>
      </c>
      <c r="C41" s="79">
        <v>2711</v>
      </c>
      <c r="D41" s="74">
        <v>28</v>
      </c>
      <c r="E41" s="74">
        <v>43</v>
      </c>
      <c r="F41" s="74">
        <v>1</v>
      </c>
      <c r="G41" s="74">
        <v>3</v>
      </c>
      <c r="H41" s="74">
        <v>90</v>
      </c>
      <c r="I41" s="74">
        <v>95</v>
      </c>
      <c r="J41" s="6">
        <v>0</v>
      </c>
      <c r="K41" s="34" t="s">
        <v>123</v>
      </c>
    </row>
    <row r="42" spans="1:11" s="35" customFormat="1" ht="15.75" x14ac:dyDescent="0.2">
      <c r="A42" s="33" t="s">
        <v>124</v>
      </c>
      <c r="B42" s="36">
        <f t="shared" si="5"/>
        <v>2083</v>
      </c>
      <c r="C42" s="79">
        <v>1873</v>
      </c>
      <c r="D42" s="74">
        <v>19</v>
      </c>
      <c r="E42" s="74">
        <v>33</v>
      </c>
      <c r="F42" s="6">
        <v>0</v>
      </c>
      <c r="G42" s="6">
        <v>0</v>
      </c>
      <c r="H42" s="74">
        <v>88</v>
      </c>
      <c r="I42" s="74">
        <v>70</v>
      </c>
      <c r="J42" s="6">
        <v>0</v>
      </c>
      <c r="K42" s="34" t="s">
        <v>125</v>
      </c>
    </row>
    <row r="43" spans="1:11" s="35" customFormat="1" ht="15.75" x14ac:dyDescent="0.2">
      <c r="A43" s="33" t="s">
        <v>126</v>
      </c>
      <c r="B43" s="36">
        <f t="shared" si="5"/>
        <v>1848</v>
      </c>
      <c r="C43" s="79">
        <v>1669</v>
      </c>
      <c r="D43" s="74">
        <v>14</v>
      </c>
      <c r="E43" s="74">
        <v>29</v>
      </c>
      <c r="F43" s="6">
        <v>0</v>
      </c>
      <c r="G43" s="6">
        <v>0</v>
      </c>
      <c r="H43" s="74">
        <v>75</v>
      </c>
      <c r="I43" s="74">
        <v>45</v>
      </c>
      <c r="J43" s="78">
        <v>16</v>
      </c>
      <c r="K43" s="34" t="s">
        <v>127</v>
      </c>
    </row>
    <row r="44" spans="1:11" s="35" customFormat="1" ht="15.75" x14ac:dyDescent="0.4">
      <c r="A44" s="33"/>
      <c r="B44" s="36"/>
      <c r="C44" s="37"/>
      <c r="D44" s="75"/>
      <c r="E44" s="75"/>
      <c r="F44" s="75"/>
      <c r="G44" s="75"/>
      <c r="H44" s="75"/>
      <c r="I44" s="75"/>
      <c r="J44" s="75"/>
      <c r="K44" s="39"/>
    </row>
    <row r="45" spans="1:11" s="35" customFormat="1" ht="15.75" x14ac:dyDescent="0.2">
      <c r="A45" s="31" t="s">
        <v>31</v>
      </c>
      <c r="B45" s="36">
        <f>SUM(C45:J45)</f>
        <v>19808</v>
      </c>
      <c r="C45" s="73">
        <f>SUM(C46:C61)</f>
        <v>18143</v>
      </c>
      <c r="D45" s="73">
        <f t="shared" ref="D45:J45" si="6">SUM(D46:D61)</f>
        <v>121</v>
      </c>
      <c r="E45" s="73">
        <f t="shared" si="6"/>
        <v>201</v>
      </c>
      <c r="F45" s="73">
        <f t="shared" si="6"/>
        <v>3</v>
      </c>
      <c r="G45" s="73">
        <f t="shared" si="6"/>
        <v>4</v>
      </c>
      <c r="H45" s="73">
        <f t="shared" si="6"/>
        <v>709</v>
      </c>
      <c r="I45" s="73">
        <f t="shared" si="6"/>
        <v>618</v>
      </c>
      <c r="J45" s="73">
        <f t="shared" si="6"/>
        <v>9</v>
      </c>
      <c r="K45" s="32" t="s">
        <v>32</v>
      </c>
    </row>
    <row r="46" spans="1:11" s="35" customFormat="1" ht="15.75" x14ac:dyDescent="0.2">
      <c r="A46" s="33" t="s">
        <v>128</v>
      </c>
      <c r="B46" s="36">
        <f t="shared" ref="B46:B61" si="7">SUM(C46:J46)</f>
        <v>813</v>
      </c>
      <c r="C46" s="74">
        <v>726</v>
      </c>
      <c r="D46" s="74">
        <v>4</v>
      </c>
      <c r="E46" s="74">
        <v>10</v>
      </c>
      <c r="F46" s="6">
        <v>0</v>
      </c>
      <c r="G46" s="6">
        <v>0</v>
      </c>
      <c r="H46" s="74">
        <v>29</v>
      </c>
      <c r="I46" s="74">
        <v>44</v>
      </c>
      <c r="J46" s="6">
        <v>0</v>
      </c>
      <c r="K46" s="34" t="s">
        <v>129</v>
      </c>
    </row>
    <row r="47" spans="1:11" s="35" customFormat="1" ht="15.75" x14ac:dyDescent="0.2">
      <c r="A47" s="33" t="s">
        <v>130</v>
      </c>
      <c r="B47" s="36">
        <f t="shared" si="7"/>
        <v>1246</v>
      </c>
      <c r="C47" s="74">
        <v>1118</v>
      </c>
      <c r="D47" s="74">
        <v>9</v>
      </c>
      <c r="E47" s="74">
        <v>12</v>
      </c>
      <c r="F47" s="6">
        <v>0</v>
      </c>
      <c r="G47" s="6">
        <v>0</v>
      </c>
      <c r="H47" s="74">
        <v>64</v>
      </c>
      <c r="I47" s="74">
        <v>40</v>
      </c>
      <c r="J47" s="78">
        <v>3</v>
      </c>
      <c r="K47" s="34" t="s">
        <v>131</v>
      </c>
    </row>
    <row r="48" spans="1:11" s="35" customFormat="1" ht="15.75" x14ac:dyDescent="0.2">
      <c r="A48" s="33" t="s">
        <v>132</v>
      </c>
      <c r="B48" s="36">
        <f t="shared" si="7"/>
        <v>1341</v>
      </c>
      <c r="C48" s="74">
        <v>1211</v>
      </c>
      <c r="D48" s="74">
        <v>19</v>
      </c>
      <c r="E48" s="74">
        <v>38</v>
      </c>
      <c r="F48" s="6">
        <v>0</v>
      </c>
      <c r="G48" s="6">
        <v>0</v>
      </c>
      <c r="H48" s="74">
        <v>34</v>
      </c>
      <c r="I48" s="74">
        <v>39</v>
      </c>
      <c r="J48" s="6">
        <v>0</v>
      </c>
      <c r="K48" s="34" t="s">
        <v>133</v>
      </c>
    </row>
    <row r="49" spans="1:11" s="35" customFormat="1" ht="18.75" hidden="1" customHeight="1" x14ac:dyDescent="0.2">
      <c r="A49" s="33" t="s">
        <v>134</v>
      </c>
      <c r="B49" s="36">
        <f t="shared" si="7"/>
        <v>0</v>
      </c>
      <c r="C49" s="74"/>
      <c r="D49" s="74"/>
      <c r="E49" s="74"/>
      <c r="F49" s="6">
        <v>0</v>
      </c>
      <c r="G49" s="6">
        <v>0</v>
      </c>
      <c r="H49" s="78"/>
      <c r="I49" s="74"/>
      <c r="J49" s="6">
        <v>0</v>
      </c>
      <c r="K49" s="40" t="s">
        <v>135</v>
      </c>
    </row>
    <row r="50" spans="1:11" s="35" customFormat="1" ht="15.75" x14ac:dyDescent="0.2">
      <c r="A50" s="33" t="s">
        <v>136</v>
      </c>
      <c r="B50" s="36">
        <f t="shared" si="7"/>
        <v>2103</v>
      </c>
      <c r="C50" s="74">
        <v>1927</v>
      </c>
      <c r="D50" s="74">
        <v>18</v>
      </c>
      <c r="E50" s="74">
        <v>26</v>
      </c>
      <c r="F50" s="6">
        <v>0</v>
      </c>
      <c r="G50" s="6">
        <v>0</v>
      </c>
      <c r="H50" s="74">
        <v>66</v>
      </c>
      <c r="I50" s="74">
        <v>66</v>
      </c>
      <c r="J50" s="6">
        <v>0</v>
      </c>
      <c r="K50" s="34" t="s">
        <v>137</v>
      </c>
    </row>
    <row r="51" spans="1:11" s="35" customFormat="1" ht="15.75" x14ac:dyDescent="0.2">
      <c r="A51" s="33" t="s">
        <v>138</v>
      </c>
      <c r="B51" s="36">
        <f t="shared" si="7"/>
        <v>2779</v>
      </c>
      <c r="C51" s="74">
        <v>2562</v>
      </c>
      <c r="D51" s="74">
        <v>11</v>
      </c>
      <c r="E51" s="74">
        <v>22</v>
      </c>
      <c r="F51" s="74">
        <v>1</v>
      </c>
      <c r="G51" s="74">
        <v>1</v>
      </c>
      <c r="H51" s="74">
        <v>97</v>
      </c>
      <c r="I51" s="74">
        <v>85</v>
      </c>
      <c r="J51" s="6">
        <v>0</v>
      </c>
      <c r="K51" s="34" t="s">
        <v>139</v>
      </c>
    </row>
    <row r="52" spans="1:11" s="35" customFormat="1" ht="15.75" x14ac:dyDescent="0.2">
      <c r="A52" s="33" t="s">
        <v>140</v>
      </c>
      <c r="B52" s="36">
        <f t="shared" si="7"/>
        <v>815</v>
      </c>
      <c r="C52" s="74">
        <v>753</v>
      </c>
      <c r="D52" s="74">
        <v>3</v>
      </c>
      <c r="E52" s="74">
        <v>6</v>
      </c>
      <c r="F52" s="6">
        <v>0</v>
      </c>
      <c r="G52" s="6">
        <v>0</v>
      </c>
      <c r="H52" s="74">
        <v>38</v>
      </c>
      <c r="I52" s="74">
        <v>15</v>
      </c>
      <c r="J52" s="6">
        <v>0</v>
      </c>
      <c r="K52" s="34" t="s">
        <v>141</v>
      </c>
    </row>
    <row r="53" spans="1:11" s="35" customFormat="1" ht="15.75" x14ac:dyDescent="0.2">
      <c r="A53" s="33" t="s">
        <v>142</v>
      </c>
      <c r="B53" s="36">
        <f t="shared" si="7"/>
        <v>1684</v>
      </c>
      <c r="C53" s="74">
        <v>1578</v>
      </c>
      <c r="D53" s="74">
        <v>9</v>
      </c>
      <c r="E53" s="74">
        <v>15</v>
      </c>
      <c r="F53" s="6">
        <v>0</v>
      </c>
      <c r="G53" s="6">
        <v>0</v>
      </c>
      <c r="H53" s="74">
        <v>43</v>
      </c>
      <c r="I53" s="74">
        <v>33</v>
      </c>
      <c r="J53" s="78">
        <v>6</v>
      </c>
      <c r="K53" s="34" t="s">
        <v>143</v>
      </c>
    </row>
    <row r="54" spans="1:11" s="35" customFormat="1" ht="15.75" x14ac:dyDescent="0.2">
      <c r="A54" s="33" t="s">
        <v>144</v>
      </c>
      <c r="B54" s="36">
        <f t="shared" si="7"/>
        <v>2032</v>
      </c>
      <c r="C54" s="74">
        <v>1830</v>
      </c>
      <c r="D54" s="74">
        <v>13</v>
      </c>
      <c r="E54" s="74">
        <v>21</v>
      </c>
      <c r="F54" s="74">
        <v>1</v>
      </c>
      <c r="G54" s="74">
        <v>1</v>
      </c>
      <c r="H54" s="74">
        <v>91</v>
      </c>
      <c r="I54" s="74">
        <v>75</v>
      </c>
      <c r="J54" s="6">
        <v>0</v>
      </c>
      <c r="K54" s="34" t="s">
        <v>145</v>
      </c>
    </row>
    <row r="55" spans="1:11" s="35" customFormat="1" ht="15.75" x14ac:dyDescent="0.2">
      <c r="A55" s="33" t="s">
        <v>146</v>
      </c>
      <c r="B55" s="36">
        <f t="shared" si="7"/>
        <v>819</v>
      </c>
      <c r="C55" s="74">
        <v>764</v>
      </c>
      <c r="D55" s="74">
        <v>4</v>
      </c>
      <c r="E55" s="74">
        <v>6</v>
      </c>
      <c r="F55" s="6">
        <v>0</v>
      </c>
      <c r="G55" s="6">
        <v>0</v>
      </c>
      <c r="H55" s="74">
        <v>25</v>
      </c>
      <c r="I55" s="74">
        <v>20</v>
      </c>
      <c r="J55" s="6">
        <v>0</v>
      </c>
      <c r="K55" s="34" t="s">
        <v>147</v>
      </c>
    </row>
    <row r="56" spans="1:11" s="71" customFormat="1" ht="18.75" hidden="1" customHeight="1" x14ac:dyDescent="0.25">
      <c r="A56" s="69" t="s">
        <v>148</v>
      </c>
      <c r="B56" s="72">
        <f t="shared" si="7"/>
        <v>0</v>
      </c>
      <c r="C56" s="80"/>
      <c r="D56" s="80"/>
      <c r="E56" s="80"/>
      <c r="F56" s="6">
        <v>0</v>
      </c>
      <c r="G56" s="6">
        <v>0</v>
      </c>
      <c r="H56" s="74"/>
      <c r="I56" s="74"/>
      <c r="J56" s="6">
        <v>0</v>
      </c>
      <c r="K56" s="70" t="s">
        <v>149</v>
      </c>
    </row>
    <row r="57" spans="1:11" s="35" customFormat="1" ht="15.75" x14ac:dyDescent="0.2">
      <c r="A57" s="33" t="s">
        <v>150</v>
      </c>
      <c r="B57" s="36">
        <f t="shared" si="7"/>
        <v>1234</v>
      </c>
      <c r="C57" s="74">
        <v>1148</v>
      </c>
      <c r="D57" s="74">
        <v>8</v>
      </c>
      <c r="E57" s="74">
        <v>12</v>
      </c>
      <c r="F57" s="6">
        <v>0</v>
      </c>
      <c r="G57" s="6">
        <v>0</v>
      </c>
      <c r="H57" s="74">
        <v>38</v>
      </c>
      <c r="I57" s="74">
        <v>28</v>
      </c>
      <c r="J57" s="6">
        <v>0</v>
      </c>
      <c r="K57" s="34" t="s">
        <v>151</v>
      </c>
    </row>
    <row r="58" spans="1:11" s="35" customFormat="1" ht="15.75" x14ac:dyDescent="0.2">
      <c r="A58" s="33" t="s">
        <v>152</v>
      </c>
      <c r="B58" s="36">
        <f t="shared" si="7"/>
        <v>958</v>
      </c>
      <c r="C58" s="74">
        <v>899</v>
      </c>
      <c r="D58" s="74">
        <v>3</v>
      </c>
      <c r="E58" s="74">
        <v>4</v>
      </c>
      <c r="F58" s="6">
        <v>0</v>
      </c>
      <c r="G58" s="6">
        <v>0</v>
      </c>
      <c r="H58" s="74">
        <v>34</v>
      </c>
      <c r="I58" s="74">
        <v>18</v>
      </c>
      <c r="J58" s="6">
        <v>0</v>
      </c>
      <c r="K58" s="34" t="s">
        <v>153</v>
      </c>
    </row>
    <row r="59" spans="1:11" s="35" customFormat="1" ht="17.25" x14ac:dyDescent="0.2">
      <c r="A59" s="33" t="s">
        <v>154</v>
      </c>
      <c r="B59" s="36">
        <f t="shared" si="7"/>
        <v>2817</v>
      </c>
      <c r="C59" s="74">
        <v>2525</v>
      </c>
      <c r="D59" s="74">
        <v>17</v>
      </c>
      <c r="E59" s="74">
        <v>26</v>
      </c>
      <c r="F59" s="74">
        <v>1</v>
      </c>
      <c r="G59" s="74">
        <v>2</v>
      </c>
      <c r="H59" s="74">
        <v>125</v>
      </c>
      <c r="I59" s="74">
        <v>121</v>
      </c>
      <c r="J59" s="6">
        <v>0</v>
      </c>
      <c r="K59" s="42" t="s">
        <v>155</v>
      </c>
    </row>
    <row r="60" spans="1:11" s="35" customFormat="1" ht="15.75" x14ac:dyDescent="0.2">
      <c r="A60" s="33" t="s">
        <v>156</v>
      </c>
      <c r="B60" s="36">
        <f t="shared" si="7"/>
        <v>634</v>
      </c>
      <c r="C60" s="74">
        <v>611</v>
      </c>
      <c r="D60" s="74">
        <v>3</v>
      </c>
      <c r="E60" s="74">
        <v>3</v>
      </c>
      <c r="F60" s="6">
        <v>0</v>
      </c>
      <c r="G60" s="6">
        <v>0</v>
      </c>
      <c r="H60" s="74">
        <v>14</v>
      </c>
      <c r="I60" s="74">
        <v>3</v>
      </c>
      <c r="J60" s="6">
        <v>0</v>
      </c>
      <c r="K60" s="34" t="s">
        <v>157</v>
      </c>
    </row>
    <row r="61" spans="1:11" s="35" customFormat="1" ht="15.75" x14ac:dyDescent="0.2">
      <c r="A61" s="33" t="s">
        <v>158</v>
      </c>
      <c r="B61" s="36">
        <f t="shared" si="7"/>
        <v>533</v>
      </c>
      <c r="C61" s="74">
        <v>491</v>
      </c>
      <c r="D61" s="6">
        <v>0</v>
      </c>
      <c r="E61" s="6">
        <v>0</v>
      </c>
      <c r="F61" s="6">
        <v>0</v>
      </c>
      <c r="G61" s="6">
        <v>0</v>
      </c>
      <c r="H61" s="74">
        <v>11</v>
      </c>
      <c r="I61" s="74">
        <v>31</v>
      </c>
      <c r="J61" s="6">
        <v>0</v>
      </c>
      <c r="K61" s="34" t="s">
        <v>159</v>
      </c>
    </row>
    <row r="62" spans="1:11" s="35" customFormat="1" ht="15.75" x14ac:dyDescent="0.4">
      <c r="A62" s="33"/>
      <c r="B62" s="36"/>
      <c r="C62" s="37"/>
      <c r="D62" s="74"/>
      <c r="E62" s="74"/>
      <c r="F62" s="74"/>
      <c r="G62" s="74"/>
      <c r="H62" s="74"/>
      <c r="I62" s="74"/>
      <c r="J62" s="74"/>
      <c r="K62" s="39"/>
    </row>
    <row r="63" spans="1:11" s="35" customFormat="1" ht="15.75" x14ac:dyDescent="0.2">
      <c r="A63" s="31" t="s">
        <v>33</v>
      </c>
      <c r="B63" s="36">
        <f>SUM(C63:J63)</f>
        <v>17655</v>
      </c>
      <c r="C63" s="73">
        <f>SUM(C64:C76)</f>
        <v>16345</v>
      </c>
      <c r="D63" s="73">
        <f t="shared" ref="D63:J63" si="8">SUM(D64:D76)</f>
        <v>116</v>
      </c>
      <c r="E63" s="73">
        <f t="shared" si="8"/>
        <v>200</v>
      </c>
      <c r="F63" s="73">
        <f t="shared" si="8"/>
        <v>3</v>
      </c>
      <c r="G63" s="73">
        <f t="shared" si="8"/>
        <v>4</v>
      </c>
      <c r="H63" s="73">
        <f t="shared" si="8"/>
        <v>624</v>
      </c>
      <c r="I63" s="73">
        <f t="shared" si="8"/>
        <v>358</v>
      </c>
      <c r="J63" s="73">
        <f t="shared" si="8"/>
        <v>5</v>
      </c>
      <c r="K63" s="32" t="s">
        <v>34</v>
      </c>
    </row>
    <row r="64" spans="1:11" s="35" customFormat="1" ht="15.75" x14ac:dyDescent="0.2">
      <c r="A64" s="33" t="s">
        <v>160</v>
      </c>
      <c r="B64" s="36">
        <f t="shared" ref="B64:B76" si="9">SUM(C64:J64)</f>
        <v>506</v>
      </c>
      <c r="C64" s="74">
        <v>476</v>
      </c>
      <c r="D64" s="74">
        <v>2</v>
      </c>
      <c r="E64" s="74">
        <v>2</v>
      </c>
      <c r="F64" s="6">
        <v>0</v>
      </c>
      <c r="G64" s="6">
        <v>0</v>
      </c>
      <c r="H64" s="74">
        <v>23</v>
      </c>
      <c r="I64" s="74">
        <v>3</v>
      </c>
      <c r="J64" s="6">
        <v>0</v>
      </c>
      <c r="K64" s="34" t="s">
        <v>161</v>
      </c>
    </row>
    <row r="65" spans="1:11" s="35" customFormat="1" ht="15.75" x14ac:dyDescent="0.2">
      <c r="A65" s="33" t="s">
        <v>162</v>
      </c>
      <c r="B65" s="36">
        <f t="shared" si="9"/>
        <v>807</v>
      </c>
      <c r="C65" s="74">
        <v>740</v>
      </c>
      <c r="D65" s="74">
        <v>8</v>
      </c>
      <c r="E65" s="74">
        <v>10</v>
      </c>
      <c r="F65" s="6">
        <v>0</v>
      </c>
      <c r="G65" s="6">
        <v>0</v>
      </c>
      <c r="H65" s="74">
        <v>24</v>
      </c>
      <c r="I65" s="74">
        <v>25</v>
      </c>
      <c r="J65" s="6">
        <v>0</v>
      </c>
      <c r="K65" s="34" t="s">
        <v>163</v>
      </c>
    </row>
    <row r="66" spans="1:11" s="35" customFormat="1" ht="15.75" x14ac:dyDescent="0.2">
      <c r="A66" s="33" t="s">
        <v>164</v>
      </c>
      <c r="B66" s="36">
        <f t="shared" si="9"/>
        <v>2187</v>
      </c>
      <c r="C66" s="74">
        <v>2048</v>
      </c>
      <c r="D66" s="74">
        <v>12</v>
      </c>
      <c r="E66" s="74">
        <v>26</v>
      </c>
      <c r="F66" s="74">
        <v>1</v>
      </c>
      <c r="G66" s="74">
        <v>1</v>
      </c>
      <c r="H66" s="74">
        <v>69</v>
      </c>
      <c r="I66" s="74">
        <v>30</v>
      </c>
      <c r="J66" s="6">
        <v>0</v>
      </c>
      <c r="K66" s="34" t="s">
        <v>165</v>
      </c>
    </row>
    <row r="67" spans="1:11" s="35" customFormat="1" ht="15.75" x14ac:dyDescent="0.2">
      <c r="A67" s="33" t="s">
        <v>166</v>
      </c>
      <c r="B67" s="36">
        <f t="shared" si="9"/>
        <v>2020</v>
      </c>
      <c r="C67" s="74">
        <v>1886</v>
      </c>
      <c r="D67" s="74">
        <v>14</v>
      </c>
      <c r="E67" s="74">
        <v>27</v>
      </c>
      <c r="F67" s="6">
        <v>0</v>
      </c>
      <c r="G67" s="6">
        <v>0</v>
      </c>
      <c r="H67" s="74">
        <v>59</v>
      </c>
      <c r="I67" s="74">
        <v>29</v>
      </c>
      <c r="J67" s="78">
        <v>5</v>
      </c>
      <c r="K67" s="34" t="s">
        <v>167</v>
      </c>
    </row>
    <row r="68" spans="1:11" s="35" customFormat="1" ht="15" customHeight="1" x14ac:dyDescent="0.2">
      <c r="A68" s="33" t="s">
        <v>168</v>
      </c>
      <c r="B68" s="36">
        <f t="shared" si="9"/>
        <v>917</v>
      </c>
      <c r="C68" s="74">
        <v>836</v>
      </c>
      <c r="D68" s="74">
        <v>1</v>
      </c>
      <c r="E68" s="74">
        <v>2</v>
      </c>
      <c r="F68" s="6">
        <v>0</v>
      </c>
      <c r="G68" s="6">
        <v>0</v>
      </c>
      <c r="H68" s="74">
        <v>54</v>
      </c>
      <c r="I68" s="74">
        <v>24</v>
      </c>
      <c r="J68" s="6">
        <v>0</v>
      </c>
      <c r="K68" s="34" t="s">
        <v>169</v>
      </c>
    </row>
    <row r="69" spans="1:11" s="35" customFormat="1" ht="15.75" x14ac:dyDescent="0.2">
      <c r="A69" s="33" t="s">
        <v>170</v>
      </c>
      <c r="B69" s="36">
        <f t="shared" si="9"/>
        <v>1151</v>
      </c>
      <c r="C69" s="74">
        <v>1060</v>
      </c>
      <c r="D69" s="74">
        <v>10</v>
      </c>
      <c r="E69" s="74">
        <v>18</v>
      </c>
      <c r="F69" s="6">
        <v>0</v>
      </c>
      <c r="G69" s="6">
        <v>0</v>
      </c>
      <c r="H69" s="74">
        <v>35</v>
      </c>
      <c r="I69" s="74">
        <v>28</v>
      </c>
      <c r="J69" s="6">
        <v>0</v>
      </c>
      <c r="K69" s="34" t="s">
        <v>171</v>
      </c>
    </row>
    <row r="70" spans="1:11" s="35" customFormat="1" ht="15.75" x14ac:dyDescent="0.2">
      <c r="A70" s="33" t="s">
        <v>172</v>
      </c>
      <c r="B70" s="36">
        <f t="shared" si="9"/>
        <v>1003</v>
      </c>
      <c r="C70" s="74">
        <v>950</v>
      </c>
      <c r="D70" s="74">
        <v>7</v>
      </c>
      <c r="E70" s="74">
        <v>13</v>
      </c>
      <c r="F70" s="6">
        <v>0</v>
      </c>
      <c r="G70" s="6">
        <v>0</v>
      </c>
      <c r="H70" s="74">
        <v>19</v>
      </c>
      <c r="I70" s="74">
        <v>14</v>
      </c>
      <c r="J70" s="6">
        <v>0</v>
      </c>
      <c r="K70" s="34" t="s">
        <v>173</v>
      </c>
    </row>
    <row r="71" spans="1:11" s="35" customFormat="1" ht="15.75" x14ac:dyDescent="0.2">
      <c r="A71" s="33" t="s">
        <v>174</v>
      </c>
      <c r="B71" s="36">
        <f t="shared" si="9"/>
        <v>1291</v>
      </c>
      <c r="C71" s="74">
        <v>1191</v>
      </c>
      <c r="D71" s="74">
        <v>12</v>
      </c>
      <c r="E71" s="74">
        <v>19</v>
      </c>
      <c r="F71" s="6">
        <v>0</v>
      </c>
      <c r="G71" s="6">
        <v>0</v>
      </c>
      <c r="H71" s="74">
        <v>45</v>
      </c>
      <c r="I71" s="74">
        <v>24</v>
      </c>
      <c r="J71" s="6">
        <v>0</v>
      </c>
      <c r="K71" s="34" t="s">
        <v>175</v>
      </c>
    </row>
    <row r="72" spans="1:11" s="35" customFormat="1" ht="15.75" x14ac:dyDescent="0.2">
      <c r="A72" s="33" t="s">
        <v>176</v>
      </c>
      <c r="B72" s="36">
        <f t="shared" si="9"/>
        <v>961</v>
      </c>
      <c r="C72" s="74">
        <v>889</v>
      </c>
      <c r="D72" s="74">
        <v>7</v>
      </c>
      <c r="E72" s="74">
        <v>7</v>
      </c>
      <c r="F72" s="6">
        <v>0</v>
      </c>
      <c r="G72" s="6">
        <v>0</v>
      </c>
      <c r="H72" s="74">
        <v>33</v>
      </c>
      <c r="I72" s="74">
        <v>25</v>
      </c>
      <c r="J72" s="6">
        <v>0</v>
      </c>
      <c r="K72" s="34" t="s">
        <v>177</v>
      </c>
    </row>
    <row r="73" spans="1:11" s="35" customFormat="1" ht="15.75" x14ac:dyDescent="0.2">
      <c r="A73" s="33" t="s">
        <v>178</v>
      </c>
      <c r="B73" s="36">
        <f t="shared" si="9"/>
        <v>451</v>
      </c>
      <c r="C73" s="74">
        <v>426</v>
      </c>
      <c r="D73" s="74">
        <v>3</v>
      </c>
      <c r="E73" s="74">
        <v>5</v>
      </c>
      <c r="F73" s="6">
        <v>0</v>
      </c>
      <c r="G73" s="6">
        <v>0</v>
      </c>
      <c r="H73" s="74">
        <v>11</v>
      </c>
      <c r="I73" s="74">
        <v>6</v>
      </c>
      <c r="J73" s="6">
        <v>0</v>
      </c>
      <c r="K73" s="34" t="s">
        <v>179</v>
      </c>
    </row>
    <row r="74" spans="1:11" s="35" customFormat="1" ht="15.75" x14ac:dyDescent="0.2">
      <c r="A74" s="33" t="s">
        <v>180</v>
      </c>
      <c r="B74" s="36">
        <f t="shared" si="9"/>
        <v>2077</v>
      </c>
      <c r="C74" s="74">
        <v>1949</v>
      </c>
      <c r="D74" s="74">
        <v>5</v>
      </c>
      <c r="E74" s="74">
        <v>9</v>
      </c>
      <c r="F74" s="6">
        <v>0</v>
      </c>
      <c r="G74" s="6">
        <v>0</v>
      </c>
      <c r="H74" s="74">
        <v>70</v>
      </c>
      <c r="I74" s="74">
        <v>44</v>
      </c>
      <c r="J74" s="6">
        <v>0</v>
      </c>
      <c r="K74" s="34" t="s">
        <v>181</v>
      </c>
    </row>
    <row r="75" spans="1:11" s="35" customFormat="1" ht="15.75" x14ac:dyDescent="0.2">
      <c r="A75" s="33" t="s">
        <v>182</v>
      </c>
      <c r="B75" s="36">
        <f t="shared" si="9"/>
        <v>1470</v>
      </c>
      <c r="C75" s="74">
        <v>1335</v>
      </c>
      <c r="D75" s="74">
        <v>17</v>
      </c>
      <c r="E75" s="74">
        <v>32</v>
      </c>
      <c r="F75" s="6">
        <v>0</v>
      </c>
      <c r="G75" s="6">
        <v>0</v>
      </c>
      <c r="H75" s="74">
        <v>49</v>
      </c>
      <c r="I75" s="74">
        <v>37</v>
      </c>
      <c r="J75" s="6">
        <v>0</v>
      </c>
      <c r="K75" s="34" t="s">
        <v>183</v>
      </c>
    </row>
    <row r="76" spans="1:11" s="43" customFormat="1" ht="15.75" x14ac:dyDescent="0.2">
      <c r="A76" s="33" t="s">
        <v>184</v>
      </c>
      <c r="B76" s="36">
        <f t="shared" si="9"/>
        <v>2814</v>
      </c>
      <c r="C76" s="74">
        <v>2559</v>
      </c>
      <c r="D76" s="74">
        <v>18</v>
      </c>
      <c r="E76" s="74">
        <v>30</v>
      </c>
      <c r="F76" s="74">
        <v>2</v>
      </c>
      <c r="G76" s="74">
        <v>3</v>
      </c>
      <c r="H76" s="74">
        <v>133</v>
      </c>
      <c r="I76" s="74">
        <v>69</v>
      </c>
      <c r="J76" s="6">
        <v>0</v>
      </c>
      <c r="K76" s="34" t="s">
        <v>185</v>
      </c>
    </row>
    <row r="77" spans="1:11" s="35" customFormat="1" ht="15.75" x14ac:dyDescent="0.4">
      <c r="A77" s="33"/>
      <c r="B77" s="36"/>
      <c r="C77" s="37"/>
      <c r="D77" s="74"/>
      <c r="E77" s="74"/>
      <c r="F77" s="74"/>
      <c r="G77" s="74"/>
      <c r="H77" s="74"/>
      <c r="I77" s="74"/>
      <c r="J77" s="74"/>
      <c r="K77" s="39"/>
    </row>
    <row r="78" spans="1:11" s="35" customFormat="1" ht="15.75" x14ac:dyDescent="0.2">
      <c r="A78" s="31" t="s">
        <v>35</v>
      </c>
      <c r="B78" s="36">
        <f>SUM(C78:J78)</f>
        <v>25624</v>
      </c>
      <c r="C78" s="73">
        <f>SUM(C79:C94)</f>
        <v>23700</v>
      </c>
      <c r="D78" s="73">
        <f t="shared" ref="D78:J78" si="10">SUM(D79:D94)</f>
        <v>158</v>
      </c>
      <c r="E78" s="73">
        <f t="shared" si="10"/>
        <v>269</v>
      </c>
      <c r="F78" s="73">
        <f t="shared" si="10"/>
        <v>2</v>
      </c>
      <c r="G78" s="73">
        <f t="shared" si="10"/>
        <v>4</v>
      </c>
      <c r="H78" s="73">
        <f t="shared" si="10"/>
        <v>889</v>
      </c>
      <c r="I78" s="73">
        <f t="shared" si="10"/>
        <v>592</v>
      </c>
      <c r="J78" s="73">
        <f t="shared" si="10"/>
        <v>10</v>
      </c>
      <c r="K78" s="32" t="s">
        <v>36</v>
      </c>
    </row>
    <row r="79" spans="1:11" s="35" customFormat="1" ht="15.75" x14ac:dyDescent="0.2">
      <c r="A79" s="33" t="s">
        <v>186</v>
      </c>
      <c r="B79" s="36">
        <f t="shared" ref="B79:B94" si="11">SUM(C79:J79)</f>
        <v>3036</v>
      </c>
      <c r="C79" s="74">
        <v>2854</v>
      </c>
      <c r="D79" s="74">
        <v>7</v>
      </c>
      <c r="E79" s="74">
        <v>15</v>
      </c>
      <c r="F79" s="6">
        <v>0</v>
      </c>
      <c r="G79" s="6">
        <v>0</v>
      </c>
      <c r="H79" s="74">
        <v>106</v>
      </c>
      <c r="I79" s="74">
        <v>54</v>
      </c>
      <c r="J79" s="6">
        <v>0</v>
      </c>
      <c r="K79" s="34" t="s">
        <v>187</v>
      </c>
    </row>
    <row r="80" spans="1:11" s="35" customFormat="1" ht="15.75" x14ac:dyDescent="0.2">
      <c r="A80" s="33" t="s">
        <v>188</v>
      </c>
      <c r="B80" s="36">
        <f t="shared" si="11"/>
        <v>562</v>
      </c>
      <c r="C80" s="74">
        <v>514</v>
      </c>
      <c r="D80" s="74">
        <v>4</v>
      </c>
      <c r="E80" s="74">
        <v>6</v>
      </c>
      <c r="F80" s="6">
        <v>0</v>
      </c>
      <c r="G80" s="6">
        <v>0</v>
      </c>
      <c r="H80" s="74">
        <v>22</v>
      </c>
      <c r="I80" s="74">
        <v>16</v>
      </c>
      <c r="J80" s="6">
        <v>0</v>
      </c>
      <c r="K80" s="34" t="s">
        <v>189</v>
      </c>
    </row>
    <row r="81" spans="1:11" s="35" customFormat="1" ht="15.75" x14ac:dyDescent="0.2">
      <c r="A81" s="33" t="s">
        <v>190</v>
      </c>
      <c r="B81" s="36">
        <f t="shared" si="11"/>
        <v>3752</v>
      </c>
      <c r="C81" s="74">
        <v>3359</v>
      </c>
      <c r="D81" s="74">
        <v>51</v>
      </c>
      <c r="E81" s="74">
        <v>94</v>
      </c>
      <c r="F81" s="6">
        <v>0</v>
      </c>
      <c r="G81" s="6">
        <v>0</v>
      </c>
      <c r="H81" s="74">
        <v>137</v>
      </c>
      <c r="I81" s="74">
        <v>107</v>
      </c>
      <c r="J81" s="78">
        <v>4</v>
      </c>
      <c r="K81" s="34" t="s">
        <v>191</v>
      </c>
    </row>
    <row r="82" spans="1:11" s="35" customFormat="1" ht="15.75" x14ac:dyDescent="0.2">
      <c r="A82" s="33" t="s">
        <v>192</v>
      </c>
      <c r="B82" s="36">
        <f t="shared" si="11"/>
        <v>519</v>
      </c>
      <c r="C82" s="74">
        <v>495</v>
      </c>
      <c r="D82" s="74"/>
      <c r="E82" s="74"/>
      <c r="F82" s="6">
        <v>0</v>
      </c>
      <c r="G82" s="6">
        <v>0</v>
      </c>
      <c r="H82" s="74">
        <v>19</v>
      </c>
      <c r="I82" s="74">
        <v>5</v>
      </c>
      <c r="J82" s="6">
        <v>0</v>
      </c>
      <c r="K82" s="34" t="s">
        <v>193</v>
      </c>
    </row>
    <row r="83" spans="1:11" s="35" customFormat="1" ht="15.75" x14ac:dyDescent="0.2">
      <c r="A83" s="33" t="s">
        <v>194</v>
      </c>
      <c r="B83" s="36">
        <f t="shared" si="11"/>
        <v>1638</v>
      </c>
      <c r="C83" s="74">
        <v>1517</v>
      </c>
      <c r="D83" s="74">
        <v>16</v>
      </c>
      <c r="E83" s="74">
        <v>24</v>
      </c>
      <c r="F83" s="6">
        <v>0</v>
      </c>
      <c r="G83" s="6">
        <v>0</v>
      </c>
      <c r="H83" s="74">
        <v>26</v>
      </c>
      <c r="I83" s="74">
        <v>49</v>
      </c>
      <c r="J83" s="78">
        <v>6</v>
      </c>
      <c r="K83" s="34" t="s">
        <v>195</v>
      </c>
    </row>
    <row r="84" spans="1:11" s="35" customFormat="1" ht="15.75" x14ac:dyDescent="0.2">
      <c r="A84" s="33" t="s">
        <v>196</v>
      </c>
      <c r="B84" s="36">
        <f t="shared" si="11"/>
        <v>2228</v>
      </c>
      <c r="C84" s="74">
        <v>2017</v>
      </c>
      <c r="D84" s="74">
        <v>13</v>
      </c>
      <c r="E84" s="74">
        <v>21</v>
      </c>
      <c r="F84" s="6">
        <v>0</v>
      </c>
      <c r="G84" s="6">
        <v>0</v>
      </c>
      <c r="H84" s="74">
        <v>94</v>
      </c>
      <c r="I84" s="74">
        <v>83</v>
      </c>
      <c r="J84" s="6">
        <v>0</v>
      </c>
      <c r="K84" s="34" t="s">
        <v>197</v>
      </c>
    </row>
    <row r="85" spans="1:11" s="35" customFormat="1" ht="15.75" x14ac:dyDescent="0.2">
      <c r="A85" s="33" t="s">
        <v>198</v>
      </c>
      <c r="B85" s="36">
        <f t="shared" si="11"/>
        <v>1034</v>
      </c>
      <c r="C85" s="74">
        <v>913</v>
      </c>
      <c r="D85" s="74">
        <v>10</v>
      </c>
      <c r="E85" s="74">
        <v>17</v>
      </c>
      <c r="F85" s="6">
        <v>0</v>
      </c>
      <c r="G85" s="6">
        <v>0</v>
      </c>
      <c r="H85" s="74">
        <v>72</v>
      </c>
      <c r="I85" s="74">
        <v>22</v>
      </c>
      <c r="J85" s="6">
        <v>0</v>
      </c>
      <c r="K85" s="34" t="s">
        <v>199</v>
      </c>
    </row>
    <row r="86" spans="1:11" s="35" customFormat="1" ht="17.25" x14ac:dyDescent="0.2">
      <c r="A86" s="33" t="s">
        <v>200</v>
      </c>
      <c r="B86" s="36">
        <f t="shared" si="11"/>
        <v>1431</v>
      </c>
      <c r="C86" s="74">
        <v>1399</v>
      </c>
      <c r="D86" s="74"/>
      <c r="E86" s="74"/>
      <c r="F86" s="6">
        <v>0</v>
      </c>
      <c r="G86" s="6">
        <v>0</v>
      </c>
      <c r="H86" s="74">
        <v>32</v>
      </c>
      <c r="I86" s="6">
        <v>0</v>
      </c>
      <c r="J86" s="6">
        <v>0</v>
      </c>
      <c r="K86" s="42" t="s">
        <v>201</v>
      </c>
    </row>
    <row r="87" spans="1:11" s="35" customFormat="1" ht="15.75" x14ac:dyDescent="0.2">
      <c r="A87" s="33" t="s">
        <v>202</v>
      </c>
      <c r="B87" s="36">
        <f t="shared" si="11"/>
        <v>696</v>
      </c>
      <c r="C87" s="74">
        <v>659</v>
      </c>
      <c r="D87" s="74">
        <v>2</v>
      </c>
      <c r="E87" s="74">
        <v>2</v>
      </c>
      <c r="F87" s="6">
        <v>0</v>
      </c>
      <c r="G87" s="6">
        <v>0</v>
      </c>
      <c r="H87" s="74">
        <v>20</v>
      </c>
      <c r="I87" s="74">
        <v>13</v>
      </c>
      <c r="J87" s="6">
        <v>0</v>
      </c>
      <c r="K87" s="34" t="s">
        <v>203</v>
      </c>
    </row>
    <row r="88" spans="1:11" s="35" customFormat="1" ht="15.75" x14ac:dyDescent="0.2">
      <c r="A88" s="33" t="s">
        <v>204</v>
      </c>
      <c r="B88" s="36">
        <f t="shared" si="11"/>
        <v>1320</v>
      </c>
      <c r="C88" s="74">
        <v>1243</v>
      </c>
      <c r="D88" s="74">
        <v>5</v>
      </c>
      <c r="E88" s="74">
        <v>8</v>
      </c>
      <c r="F88" s="74">
        <v>1</v>
      </c>
      <c r="G88" s="74">
        <v>3</v>
      </c>
      <c r="H88" s="74">
        <v>42</v>
      </c>
      <c r="I88" s="74">
        <v>18</v>
      </c>
      <c r="J88" s="6">
        <v>0</v>
      </c>
      <c r="K88" s="34" t="s">
        <v>205</v>
      </c>
    </row>
    <row r="89" spans="1:11" s="35" customFormat="1" ht="15.75" x14ac:dyDescent="0.2">
      <c r="A89" s="33" t="s">
        <v>206</v>
      </c>
      <c r="B89" s="36">
        <f t="shared" si="11"/>
        <v>2707</v>
      </c>
      <c r="C89" s="74">
        <v>2501</v>
      </c>
      <c r="D89" s="74">
        <v>16</v>
      </c>
      <c r="E89" s="74">
        <v>28</v>
      </c>
      <c r="F89" s="74">
        <v>1</v>
      </c>
      <c r="G89" s="74">
        <v>1</v>
      </c>
      <c r="H89" s="74">
        <v>105</v>
      </c>
      <c r="I89" s="74">
        <v>55</v>
      </c>
      <c r="J89" s="6">
        <v>0</v>
      </c>
      <c r="K89" s="34" t="s">
        <v>207</v>
      </c>
    </row>
    <row r="90" spans="1:11" s="35" customFormat="1" ht="15.75" x14ac:dyDescent="0.2">
      <c r="A90" s="33" t="s">
        <v>208</v>
      </c>
      <c r="B90" s="36">
        <f t="shared" si="11"/>
        <v>2326</v>
      </c>
      <c r="C90" s="74">
        <v>2153</v>
      </c>
      <c r="D90" s="74">
        <v>14</v>
      </c>
      <c r="E90" s="74">
        <v>20</v>
      </c>
      <c r="F90" s="6">
        <v>0</v>
      </c>
      <c r="G90" s="6">
        <v>0</v>
      </c>
      <c r="H90" s="74">
        <v>77</v>
      </c>
      <c r="I90" s="74">
        <v>62</v>
      </c>
      <c r="J90" s="6">
        <v>0</v>
      </c>
      <c r="K90" s="34" t="s">
        <v>209</v>
      </c>
    </row>
    <row r="91" spans="1:11" s="35" customFormat="1" ht="15.75" x14ac:dyDescent="0.2">
      <c r="A91" s="33" t="s">
        <v>210</v>
      </c>
      <c r="B91" s="36">
        <f t="shared" si="11"/>
        <v>910</v>
      </c>
      <c r="C91" s="74">
        <v>839</v>
      </c>
      <c r="D91" s="74">
        <v>5</v>
      </c>
      <c r="E91" s="74">
        <v>11</v>
      </c>
      <c r="F91" s="6">
        <v>0</v>
      </c>
      <c r="G91" s="6">
        <v>0</v>
      </c>
      <c r="H91" s="74">
        <v>39</v>
      </c>
      <c r="I91" s="74">
        <v>16</v>
      </c>
      <c r="J91" s="6">
        <v>0</v>
      </c>
      <c r="K91" s="34" t="s">
        <v>211</v>
      </c>
    </row>
    <row r="92" spans="1:11" s="35" customFormat="1" ht="15.75" x14ac:dyDescent="0.2">
      <c r="A92" s="33" t="s">
        <v>212</v>
      </c>
      <c r="B92" s="36">
        <f t="shared" si="11"/>
        <v>924</v>
      </c>
      <c r="C92" s="74">
        <v>859</v>
      </c>
      <c r="D92" s="74">
        <v>3</v>
      </c>
      <c r="E92" s="74">
        <v>4</v>
      </c>
      <c r="F92" s="6">
        <v>0</v>
      </c>
      <c r="G92" s="6">
        <v>0</v>
      </c>
      <c r="H92" s="74">
        <v>36</v>
      </c>
      <c r="I92" s="74">
        <v>22</v>
      </c>
      <c r="J92" s="6">
        <v>0</v>
      </c>
      <c r="K92" s="34" t="s">
        <v>213</v>
      </c>
    </row>
    <row r="93" spans="1:11" s="35" customFormat="1" ht="15.75" x14ac:dyDescent="0.2">
      <c r="A93" s="33" t="s">
        <v>214</v>
      </c>
      <c r="B93" s="36">
        <f t="shared" si="11"/>
        <v>1895</v>
      </c>
      <c r="C93" s="74">
        <v>1762</v>
      </c>
      <c r="D93" s="74">
        <v>9</v>
      </c>
      <c r="E93" s="74">
        <v>15</v>
      </c>
      <c r="F93" s="6">
        <v>0</v>
      </c>
      <c r="G93" s="6">
        <v>0</v>
      </c>
      <c r="H93" s="74">
        <v>47</v>
      </c>
      <c r="I93" s="74">
        <v>62</v>
      </c>
      <c r="J93" s="6">
        <v>0</v>
      </c>
      <c r="K93" s="34" t="s">
        <v>215</v>
      </c>
    </row>
    <row r="94" spans="1:11" s="35" customFormat="1" ht="15.75" x14ac:dyDescent="0.2">
      <c r="A94" s="33" t="s">
        <v>216</v>
      </c>
      <c r="B94" s="36">
        <f t="shared" si="11"/>
        <v>646</v>
      </c>
      <c r="C94" s="74">
        <v>616</v>
      </c>
      <c r="D94" s="74">
        <v>3</v>
      </c>
      <c r="E94" s="74">
        <v>4</v>
      </c>
      <c r="F94" s="6">
        <v>0</v>
      </c>
      <c r="G94" s="6">
        <v>0</v>
      </c>
      <c r="H94" s="74">
        <v>15</v>
      </c>
      <c r="I94" s="74">
        <v>8</v>
      </c>
      <c r="J94" s="6">
        <v>0</v>
      </c>
      <c r="K94" s="34" t="s">
        <v>217</v>
      </c>
    </row>
    <row r="95" spans="1:11" s="35" customFormat="1" ht="15.75" x14ac:dyDescent="0.4">
      <c r="A95" s="33"/>
      <c r="B95" s="36"/>
      <c r="C95" s="37"/>
      <c r="D95" s="74"/>
      <c r="E95" s="74"/>
      <c r="F95" s="74"/>
      <c r="G95" s="74"/>
      <c r="H95" s="44"/>
      <c r="I95" s="44"/>
      <c r="J95" s="74"/>
      <c r="K95" s="39"/>
    </row>
    <row r="96" spans="1:11" s="35" customFormat="1" ht="15.75" x14ac:dyDescent="0.2">
      <c r="A96" s="31" t="s">
        <v>37</v>
      </c>
      <c r="B96" s="36">
        <f>SUM(C96:J96)</f>
        <v>15995</v>
      </c>
      <c r="C96" s="73">
        <f>SUM(C97:C109)</f>
        <v>14768</v>
      </c>
      <c r="D96" s="73">
        <f t="shared" ref="D96:J96" si="12">SUM(D97:D109)</f>
        <v>56</v>
      </c>
      <c r="E96" s="73">
        <f t="shared" si="12"/>
        <v>103</v>
      </c>
      <c r="F96" s="73">
        <f t="shared" si="12"/>
        <v>0</v>
      </c>
      <c r="G96" s="73">
        <f t="shared" si="12"/>
        <v>0</v>
      </c>
      <c r="H96" s="73">
        <f t="shared" si="12"/>
        <v>731</v>
      </c>
      <c r="I96" s="73">
        <f t="shared" si="12"/>
        <v>323</v>
      </c>
      <c r="J96" s="73">
        <f t="shared" si="12"/>
        <v>14</v>
      </c>
      <c r="K96" s="32" t="s">
        <v>218</v>
      </c>
    </row>
    <row r="97" spans="1:11" s="35" customFormat="1" ht="15.75" x14ac:dyDescent="0.2">
      <c r="A97" s="33" t="s">
        <v>219</v>
      </c>
      <c r="B97" s="36">
        <f t="shared" ref="B97:B109" si="13">SUM(C97:J97)</f>
        <v>1273</v>
      </c>
      <c r="C97" s="74">
        <v>1156</v>
      </c>
      <c r="D97" s="74">
        <v>5</v>
      </c>
      <c r="E97" s="74">
        <v>11</v>
      </c>
      <c r="F97" s="6">
        <v>0</v>
      </c>
      <c r="G97" s="6">
        <v>0</v>
      </c>
      <c r="H97" s="74">
        <v>64</v>
      </c>
      <c r="I97" s="74">
        <v>31</v>
      </c>
      <c r="J97" s="78">
        <v>6</v>
      </c>
      <c r="K97" s="34" t="s">
        <v>220</v>
      </c>
    </row>
    <row r="98" spans="1:11" s="35" customFormat="1" ht="15.75" x14ac:dyDescent="0.2">
      <c r="A98" s="33" t="s">
        <v>221</v>
      </c>
      <c r="B98" s="36">
        <f t="shared" si="13"/>
        <v>623</v>
      </c>
      <c r="C98" s="74">
        <v>577</v>
      </c>
      <c r="D98" s="74">
        <v>1</v>
      </c>
      <c r="E98" s="74">
        <v>2</v>
      </c>
      <c r="F98" s="6">
        <v>0</v>
      </c>
      <c r="G98" s="6">
        <v>0</v>
      </c>
      <c r="H98" s="74">
        <v>21</v>
      </c>
      <c r="I98" s="74">
        <v>14</v>
      </c>
      <c r="J98" s="78">
        <v>8</v>
      </c>
      <c r="K98" s="34" t="s">
        <v>222</v>
      </c>
    </row>
    <row r="99" spans="1:11" s="35" customFormat="1" ht="15.75" x14ac:dyDescent="0.2">
      <c r="A99" s="33" t="s">
        <v>223</v>
      </c>
      <c r="B99" s="36">
        <f t="shared" si="13"/>
        <v>3588</v>
      </c>
      <c r="C99" s="74">
        <v>3308</v>
      </c>
      <c r="D99" s="74">
        <v>18</v>
      </c>
      <c r="E99" s="74">
        <v>31</v>
      </c>
      <c r="F99" s="6">
        <v>0</v>
      </c>
      <c r="G99" s="6">
        <v>0</v>
      </c>
      <c r="H99" s="74">
        <v>152</v>
      </c>
      <c r="I99" s="74">
        <v>79</v>
      </c>
      <c r="J99" s="6">
        <v>0</v>
      </c>
      <c r="K99" s="34" t="s">
        <v>224</v>
      </c>
    </row>
    <row r="100" spans="1:11" s="35" customFormat="1" ht="15.75" x14ac:dyDescent="0.2">
      <c r="A100" s="33" t="s">
        <v>225</v>
      </c>
      <c r="B100" s="36">
        <f t="shared" si="13"/>
        <v>314</v>
      </c>
      <c r="C100" s="74">
        <v>299</v>
      </c>
      <c r="D100" s="74">
        <v>1</v>
      </c>
      <c r="E100" s="74">
        <v>1</v>
      </c>
      <c r="F100" s="6">
        <v>0</v>
      </c>
      <c r="G100" s="6">
        <v>0</v>
      </c>
      <c r="H100" s="74">
        <v>9</v>
      </c>
      <c r="I100" s="74">
        <v>4</v>
      </c>
      <c r="J100" s="6">
        <v>0</v>
      </c>
      <c r="K100" s="34" t="s">
        <v>226</v>
      </c>
    </row>
    <row r="101" spans="1:11" s="35" customFormat="1" ht="15.75" x14ac:dyDescent="0.2">
      <c r="A101" s="33" t="s">
        <v>227</v>
      </c>
      <c r="B101" s="36">
        <f t="shared" si="13"/>
        <v>394</v>
      </c>
      <c r="C101" s="74">
        <v>379</v>
      </c>
      <c r="D101" s="74"/>
      <c r="E101" s="74"/>
      <c r="F101" s="6">
        <v>0</v>
      </c>
      <c r="G101" s="6">
        <v>0</v>
      </c>
      <c r="H101" s="74">
        <v>12</v>
      </c>
      <c r="I101" s="74">
        <v>3</v>
      </c>
      <c r="J101" s="6">
        <v>0</v>
      </c>
      <c r="K101" s="34" t="s">
        <v>228</v>
      </c>
    </row>
    <row r="102" spans="1:11" s="35" customFormat="1" ht="15.75" x14ac:dyDescent="0.2">
      <c r="A102" s="33" t="s">
        <v>140</v>
      </c>
      <c r="B102" s="36">
        <f t="shared" si="13"/>
        <v>908</v>
      </c>
      <c r="C102" s="74">
        <v>828</v>
      </c>
      <c r="D102" s="74">
        <v>4</v>
      </c>
      <c r="E102" s="74">
        <v>7</v>
      </c>
      <c r="F102" s="6">
        <v>0</v>
      </c>
      <c r="G102" s="6">
        <v>0</v>
      </c>
      <c r="H102" s="74">
        <v>54</v>
      </c>
      <c r="I102" s="74">
        <v>15</v>
      </c>
      <c r="J102" s="6">
        <v>0</v>
      </c>
      <c r="K102" s="34" t="s">
        <v>141</v>
      </c>
    </row>
    <row r="103" spans="1:11" s="35" customFormat="1" ht="15.75" x14ac:dyDescent="0.2">
      <c r="A103" s="33" t="s">
        <v>229</v>
      </c>
      <c r="B103" s="36">
        <f t="shared" si="13"/>
        <v>1530</v>
      </c>
      <c r="C103" s="74">
        <v>1387</v>
      </c>
      <c r="D103" s="74">
        <v>4</v>
      </c>
      <c r="E103" s="74">
        <v>10</v>
      </c>
      <c r="F103" s="6">
        <v>0</v>
      </c>
      <c r="G103" s="6">
        <v>0</v>
      </c>
      <c r="H103" s="74">
        <v>87</v>
      </c>
      <c r="I103" s="74">
        <v>42</v>
      </c>
      <c r="J103" s="6">
        <v>0</v>
      </c>
      <c r="K103" s="34" t="s">
        <v>230</v>
      </c>
    </row>
    <row r="104" spans="1:11" s="35" customFormat="1" ht="15.75" x14ac:dyDescent="0.2">
      <c r="A104" s="33" t="s">
        <v>231</v>
      </c>
      <c r="B104" s="36">
        <f t="shared" si="13"/>
        <v>592</v>
      </c>
      <c r="C104" s="74">
        <v>545</v>
      </c>
      <c r="D104" s="74">
        <v>1</v>
      </c>
      <c r="E104" s="74">
        <v>1</v>
      </c>
      <c r="F104" s="6">
        <v>0</v>
      </c>
      <c r="G104" s="6">
        <v>0</v>
      </c>
      <c r="H104" s="74">
        <v>31</v>
      </c>
      <c r="I104" s="74">
        <v>14</v>
      </c>
      <c r="J104" s="6">
        <v>0</v>
      </c>
      <c r="K104" s="34" t="s">
        <v>232</v>
      </c>
    </row>
    <row r="105" spans="1:11" s="35" customFormat="1" ht="15.75" x14ac:dyDescent="0.2">
      <c r="A105" s="33" t="s">
        <v>233</v>
      </c>
      <c r="B105" s="36">
        <f t="shared" si="13"/>
        <v>1455</v>
      </c>
      <c r="C105" s="74">
        <v>1358</v>
      </c>
      <c r="D105" s="74">
        <v>5</v>
      </c>
      <c r="E105" s="74">
        <v>7</v>
      </c>
      <c r="F105" s="6">
        <v>0</v>
      </c>
      <c r="G105" s="6">
        <v>0</v>
      </c>
      <c r="H105" s="74">
        <v>54</v>
      </c>
      <c r="I105" s="74">
        <v>31</v>
      </c>
      <c r="J105" s="6">
        <v>0</v>
      </c>
      <c r="K105" s="34" t="s">
        <v>234</v>
      </c>
    </row>
    <row r="106" spans="1:11" s="35" customFormat="1" ht="15.75" x14ac:dyDescent="0.2">
      <c r="A106" s="33" t="s">
        <v>235</v>
      </c>
      <c r="B106" s="36">
        <f t="shared" si="13"/>
        <v>576</v>
      </c>
      <c r="C106" s="74">
        <v>539</v>
      </c>
      <c r="D106" s="74">
        <v>3</v>
      </c>
      <c r="E106" s="74">
        <v>6</v>
      </c>
      <c r="F106" s="6">
        <v>0</v>
      </c>
      <c r="G106" s="6">
        <v>0</v>
      </c>
      <c r="H106" s="74">
        <v>16</v>
      </c>
      <c r="I106" s="74">
        <v>12</v>
      </c>
      <c r="J106" s="6">
        <v>0</v>
      </c>
      <c r="K106" s="34" t="s">
        <v>236</v>
      </c>
    </row>
    <row r="107" spans="1:11" s="35" customFormat="1" ht="15.75" x14ac:dyDescent="0.2">
      <c r="A107" s="33" t="s">
        <v>237</v>
      </c>
      <c r="B107" s="36">
        <f t="shared" si="13"/>
        <v>736</v>
      </c>
      <c r="C107" s="74">
        <v>680</v>
      </c>
      <c r="D107" s="74"/>
      <c r="E107" s="74"/>
      <c r="F107" s="6">
        <v>0</v>
      </c>
      <c r="G107" s="6">
        <v>0</v>
      </c>
      <c r="H107" s="74">
        <v>45</v>
      </c>
      <c r="I107" s="74">
        <v>11</v>
      </c>
      <c r="J107" s="6">
        <v>0</v>
      </c>
      <c r="K107" s="34" t="s">
        <v>238</v>
      </c>
    </row>
    <row r="108" spans="1:11" s="35" customFormat="1" ht="15.75" x14ac:dyDescent="0.2">
      <c r="A108" s="33" t="s">
        <v>239</v>
      </c>
      <c r="B108" s="36">
        <f t="shared" si="13"/>
        <v>782</v>
      </c>
      <c r="C108" s="74">
        <v>727</v>
      </c>
      <c r="D108" s="74">
        <v>5</v>
      </c>
      <c r="E108" s="74">
        <v>13</v>
      </c>
      <c r="F108" s="6">
        <v>0</v>
      </c>
      <c r="G108" s="6">
        <v>0</v>
      </c>
      <c r="H108" s="74">
        <v>27</v>
      </c>
      <c r="I108" s="74">
        <v>10</v>
      </c>
      <c r="J108" s="6">
        <v>0</v>
      </c>
      <c r="K108" s="34" t="s">
        <v>240</v>
      </c>
    </row>
    <row r="109" spans="1:11" s="35" customFormat="1" ht="15.75" x14ac:dyDescent="0.2">
      <c r="A109" s="33" t="s">
        <v>241</v>
      </c>
      <c r="B109" s="36">
        <f t="shared" si="13"/>
        <v>3224</v>
      </c>
      <c r="C109" s="74">
        <v>2985</v>
      </c>
      <c r="D109" s="74">
        <v>9</v>
      </c>
      <c r="E109" s="74">
        <v>14</v>
      </c>
      <c r="F109" s="6">
        <v>0</v>
      </c>
      <c r="G109" s="6">
        <v>0</v>
      </c>
      <c r="H109" s="74">
        <v>159</v>
      </c>
      <c r="I109" s="74">
        <v>57</v>
      </c>
      <c r="J109" s="6">
        <v>0</v>
      </c>
      <c r="K109" s="34" t="s">
        <v>242</v>
      </c>
    </row>
    <row r="110" spans="1:11" s="43" customFormat="1" ht="15.75" x14ac:dyDescent="0.4">
      <c r="A110" s="33"/>
      <c r="B110" s="36"/>
      <c r="C110" s="37"/>
      <c r="D110" s="74"/>
      <c r="E110" s="74"/>
      <c r="F110" s="74"/>
      <c r="G110" s="74"/>
      <c r="H110" s="74"/>
      <c r="I110" s="74"/>
      <c r="J110" s="74"/>
      <c r="K110" s="39"/>
    </row>
    <row r="111" spans="1:11" s="35" customFormat="1" ht="15.75" x14ac:dyDescent="0.2">
      <c r="A111" s="31" t="s">
        <v>38</v>
      </c>
      <c r="B111" s="36">
        <f>SUM(C111:J111)</f>
        <v>14388</v>
      </c>
      <c r="C111" s="73">
        <f>SUM(C112:C116)</f>
        <v>12911</v>
      </c>
      <c r="D111" s="73">
        <f t="shared" ref="D111:J111" si="14">SUM(D112:D116)</f>
        <v>114</v>
      </c>
      <c r="E111" s="73">
        <f t="shared" si="14"/>
        <v>189</v>
      </c>
      <c r="F111" s="73">
        <f t="shared" si="14"/>
        <v>11</v>
      </c>
      <c r="G111" s="73">
        <f t="shared" si="14"/>
        <v>16</v>
      </c>
      <c r="H111" s="73">
        <f t="shared" si="14"/>
        <v>656</v>
      </c>
      <c r="I111" s="73">
        <f t="shared" si="14"/>
        <v>475</v>
      </c>
      <c r="J111" s="73">
        <f t="shared" si="14"/>
        <v>16</v>
      </c>
      <c r="K111" s="32" t="s">
        <v>39</v>
      </c>
    </row>
    <row r="112" spans="1:11" s="35" customFormat="1" ht="15.75" x14ac:dyDescent="0.2">
      <c r="A112" s="33" t="s">
        <v>243</v>
      </c>
      <c r="B112" s="36">
        <f t="shared" ref="B112:B116" si="15">SUM(C112:J112)</f>
        <v>5233</v>
      </c>
      <c r="C112" s="74">
        <v>4723</v>
      </c>
      <c r="D112" s="74">
        <v>38</v>
      </c>
      <c r="E112" s="74">
        <v>60</v>
      </c>
      <c r="F112" s="78">
        <v>1</v>
      </c>
      <c r="G112" s="78">
        <v>4</v>
      </c>
      <c r="H112" s="74">
        <v>278</v>
      </c>
      <c r="I112" s="74">
        <v>125</v>
      </c>
      <c r="J112" s="78">
        <v>4</v>
      </c>
      <c r="K112" s="34" t="s">
        <v>244</v>
      </c>
    </row>
    <row r="113" spans="1:11" s="35" customFormat="1" ht="15.75" x14ac:dyDescent="0.2">
      <c r="A113" s="33" t="s">
        <v>245</v>
      </c>
      <c r="B113" s="36">
        <f t="shared" si="15"/>
        <v>2090</v>
      </c>
      <c r="C113" s="74">
        <v>1926</v>
      </c>
      <c r="D113" s="74">
        <v>10</v>
      </c>
      <c r="E113" s="74">
        <v>15</v>
      </c>
      <c r="F113" s="78">
        <v>1</v>
      </c>
      <c r="G113" s="78">
        <v>1</v>
      </c>
      <c r="H113" s="74">
        <v>85</v>
      </c>
      <c r="I113" s="74">
        <v>52</v>
      </c>
      <c r="J113" s="6">
        <v>0</v>
      </c>
      <c r="K113" s="34" t="s">
        <v>246</v>
      </c>
    </row>
    <row r="114" spans="1:11" s="35" customFormat="1" ht="15.75" x14ac:dyDescent="0.2">
      <c r="A114" s="33" t="s">
        <v>247</v>
      </c>
      <c r="B114" s="36">
        <f t="shared" si="15"/>
        <v>3</v>
      </c>
      <c r="C114" s="74"/>
      <c r="D114" s="74"/>
      <c r="E114" s="74"/>
      <c r="F114" s="6">
        <v>0</v>
      </c>
      <c r="G114" s="6">
        <v>0</v>
      </c>
      <c r="H114" s="6">
        <v>0</v>
      </c>
      <c r="I114" s="80">
        <v>3</v>
      </c>
      <c r="J114" s="6">
        <v>0</v>
      </c>
      <c r="K114" s="34" t="s">
        <v>248</v>
      </c>
    </row>
    <row r="115" spans="1:11" s="35" customFormat="1" ht="15.75" x14ac:dyDescent="0.2">
      <c r="A115" s="33" t="s">
        <v>249</v>
      </c>
      <c r="B115" s="36">
        <f t="shared" si="15"/>
        <v>6266</v>
      </c>
      <c r="C115" s="74">
        <v>5520</v>
      </c>
      <c r="D115" s="74">
        <v>65</v>
      </c>
      <c r="E115" s="74">
        <v>112</v>
      </c>
      <c r="F115" s="78">
        <v>9</v>
      </c>
      <c r="G115" s="78">
        <v>11</v>
      </c>
      <c r="H115" s="74">
        <v>267</v>
      </c>
      <c r="I115" s="74">
        <v>270</v>
      </c>
      <c r="J115" s="78">
        <v>12</v>
      </c>
      <c r="K115" s="34" t="s">
        <v>250</v>
      </c>
    </row>
    <row r="116" spans="1:11" s="35" customFormat="1" ht="15.75" x14ac:dyDescent="0.2">
      <c r="A116" s="33" t="s">
        <v>251</v>
      </c>
      <c r="B116" s="36">
        <f t="shared" si="15"/>
        <v>796</v>
      </c>
      <c r="C116" s="74">
        <v>742</v>
      </c>
      <c r="D116" s="74">
        <v>1</v>
      </c>
      <c r="E116" s="74">
        <v>2</v>
      </c>
      <c r="F116" s="6">
        <v>0</v>
      </c>
      <c r="G116" s="6">
        <v>0</v>
      </c>
      <c r="H116" s="74">
        <v>26</v>
      </c>
      <c r="I116" s="74">
        <v>25</v>
      </c>
      <c r="J116" s="6">
        <v>0</v>
      </c>
      <c r="K116" s="34" t="s">
        <v>252</v>
      </c>
    </row>
    <row r="117" spans="1:11" s="35" customFormat="1" ht="15.75" x14ac:dyDescent="0.4">
      <c r="A117" s="33"/>
      <c r="B117" s="36"/>
      <c r="C117" s="37"/>
      <c r="D117" s="74"/>
      <c r="E117" s="74"/>
      <c r="F117" s="74"/>
      <c r="G117" s="74"/>
      <c r="H117" s="74"/>
      <c r="I117" s="74"/>
      <c r="J117" s="74"/>
      <c r="K117" s="39"/>
    </row>
    <row r="118" spans="1:11" s="35" customFormat="1" ht="15.75" x14ac:dyDescent="0.2">
      <c r="A118" s="31" t="s">
        <v>40</v>
      </c>
      <c r="B118" s="36">
        <f>SUM(C118:J118)</f>
        <v>15806</v>
      </c>
      <c r="C118" s="73">
        <f>SUM(C119:C127)</f>
        <v>14461</v>
      </c>
      <c r="D118" s="73">
        <f t="shared" ref="D118:J118" si="16">SUM(D119:D127)</f>
        <v>80</v>
      </c>
      <c r="E118" s="73">
        <f t="shared" si="16"/>
        <v>155</v>
      </c>
      <c r="F118" s="73">
        <f t="shared" si="16"/>
        <v>2</v>
      </c>
      <c r="G118" s="73">
        <f t="shared" si="16"/>
        <v>3</v>
      </c>
      <c r="H118" s="73">
        <f t="shared" si="16"/>
        <v>682</v>
      </c>
      <c r="I118" s="73">
        <f t="shared" si="16"/>
        <v>418</v>
      </c>
      <c r="J118" s="73">
        <f t="shared" si="16"/>
        <v>5</v>
      </c>
      <c r="K118" s="32" t="s">
        <v>41</v>
      </c>
    </row>
    <row r="119" spans="1:11" s="35" customFormat="1" ht="15.75" x14ac:dyDescent="0.2">
      <c r="A119" s="33" t="s">
        <v>253</v>
      </c>
      <c r="B119" s="36">
        <f t="shared" ref="B119:B127" si="17">SUM(C119:J119)</f>
        <v>1377</v>
      </c>
      <c r="C119" s="74">
        <v>1278</v>
      </c>
      <c r="D119" s="74">
        <v>7</v>
      </c>
      <c r="E119" s="74">
        <v>15</v>
      </c>
      <c r="F119" s="6">
        <v>0</v>
      </c>
      <c r="G119" s="6">
        <v>0</v>
      </c>
      <c r="H119" s="74">
        <v>48</v>
      </c>
      <c r="I119" s="74">
        <v>24</v>
      </c>
      <c r="J119" s="74">
        <v>5</v>
      </c>
      <c r="K119" s="34" t="s">
        <v>254</v>
      </c>
    </row>
    <row r="120" spans="1:11" s="35" customFormat="1" ht="15.75" x14ac:dyDescent="0.2">
      <c r="A120" s="33" t="s">
        <v>255</v>
      </c>
      <c r="B120" s="36">
        <f t="shared" si="17"/>
        <v>1662</v>
      </c>
      <c r="C120" s="74">
        <v>1551</v>
      </c>
      <c r="D120" s="74">
        <v>7</v>
      </c>
      <c r="E120" s="74">
        <v>10</v>
      </c>
      <c r="F120" s="6">
        <v>0</v>
      </c>
      <c r="G120" s="6">
        <v>0</v>
      </c>
      <c r="H120" s="74">
        <v>60</v>
      </c>
      <c r="I120" s="74">
        <v>34</v>
      </c>
      <c r="J120" s="6">
        <v>0</v>
      </c>
      <c r="K120" s="34" t="s">
        <v>256</v>
      </c>
    </row>
    <row r="121" spans="1:11" s="35" customFormat="1" ht="15.75" x14ac:dyDescent="0.2">
      <c r="A121" s="33" t="s">
        <v>257</v>
      </c>
      <c r="B121" s="36">
        <f t="shared" si="17"/>
        <v>1023</v>
      </c>
      <c r="C121" s="74">
        <v>931</v>
      </c>
      <c r="D121" s="74">
        <v>8</v>
      </c>
      <c r="E121" s="74">
        <v>21</v>
      </c>
      <c r="F121" s="6">
        <v>0</v>
      </c>
      <c r="G121" s="6">
        <v>0</v>
      </c>
      <c r="H121" s="74">
        <v>43</v>
      </c>
      <c r="I121" s="74">
        <v>20</v>
      </c>
      <c r="J121" s="6">
        <v>0</v>
      </c>
      <c r="K121" s="34" t="s">
        <v>258</v>
      </c>
    </row>
    <row r="122" spans="1:11" s="35" customFormat="1" ht="15.75" x14ac:dyDescent="0.2">
      <c r="A122" s="33" t="s">
        <v>259</v>
      </c>
      <c r="B122" s="36">
        <f t="shared" si="17"/>
        <v>2184</v>
      </c>
      <c r="C122" s="74">
        <v>2011</v>
      </c>
      <c r="D122" s="74">
        <v>7</v>
      </c>
      <c r="E122" s="74">
        <v>14</v>
      </c>
      <c r="F122" s="78">
        <v>1</v>
      </c>
      <c r="G122" s="78">
        <v>1</v>
      </c>
      <c r="H122" s="74">
        <v>95</v>
      </c>
      <c r="I122" s="74">
        <v>55</v>
      </c>
      <c r="J122" s="6">
        <v>0</v>
      </c>
      <c r="K122" s="34" t="s">
        <v>260</v>
      </c>
    </row>
    <row r="123" spans="1:11" s="35" customFormat="1" ht="15.75" x14ac:dyDescent="0.2">
      <c r="A123" s="33" t="s">
        <v>261</v>
      </c>
      <c r="B123" s="36">
        <f t="shared" si="17"/>
        <v>1292</v>
      </c>
      <c r="C123" s="74">
        <v>1186</v>
      </c>
      <c r="D123" s="74">
        <v>8</v>
      </c>
      <c r="E123" s="74">
        <v>12</v>
      </c>
      <c r="F123" s="6">
        <v>0</v>
      </c>
      <c r="G123" s="74">
        <v>1</v>
      </c>
      <c r="H123" s="74">
        <v>58</v>
      </c>
      <c r="I123" s="74">
        <v>27</v>
      </c>
      <c r="J123" s="6">
        <v>0</v>
      </c>
      <c r="K123" s="34" t="s">
        <v>262</v>
      </c>
    </row>
    <row r="124" spans="1:11" s="35" customFormat="1" ht="15.75" x14ac:dyDescent="0.2">
      <c r="A124" s="33" t="s">
        <v>263</v>
      </c>
      <c r="B124" s="36">
        <f t="shared" si="17"/>
        <v>1352</v>
      </c>
      <c r="C124" s="74">
        <v>1258</v>
      </c>
      <c r="D124" s="74">
        <v>4</v>
      </c>
      <c r="E124" s="74">
        <v>7</v>
      </c>
      <c r="F124" s="6">
        <v>0</v>
      </c>
      <c r="G124" s="6">
        <v>0</v>
      </c>
      <c r="H124" s="74">
        <v>59</v>
      </c>
      <c r="I124" s="74">
        <v>24</v>
      </c>
      <c r="J124" s="6">
        <v>0</v>
      </c>
      <c r="K124" s="34" t="s">
        <v>264</v>
      </c>
    </row>
    <row r="125" spans="1:11" s="35" customFormat="1" ht="15.75" x14ac:dyDescent="0.2">
      <c r="A125" s="33" t="s">
        <v>265</v>
      </c>
      <c r="B125" s="36">
        <f t="shared" si="17"/>
        <v>2782</v>
      </c>
      <c r="C125" s="74">
        <v>2479</v>
      </c>
      <c r="D125" s="74">
        <v>25</v>
      </c>
      <c r="E125" s="74">
        <v>41</v>
      </c>
      <c r="F125" s="78">
        <v>1</v>
      </c>
      <c r="G125" s="78">
        <v>1</v>
      </c>
      <c r="H125" s="74">
        <v>97</v>
      </c>
      <c r="I125" s="74">
        <v>138</v>
      </c>
      <c r="J125" s="6">
        <v>0</v>
      </c>
      <c r="K125" s="34" t="s">
        <v>266</v>
      </c>
    </row>
    <row r="126" spans="1:11" s="35" customFormat="1" ht="15.75" x14ac:dyDescent="0.2">
      <c r="A126" s="33" t="s">
        <v>267</v>
      </c>
      <c r="B126" s="36">
        <f t="shared" si="17"/>
        <v>2401</v>
      </c>
      <c r="C126" s="74">
        <v>2201</v>
      </c>
      <c r="D126" s="74">
        <v>7</v>
      </c>
      <c r="E126" s="74">
        <v>18</v>
      </c>
      <c r="F126" s="6">
        <v>0</v>
      </c>
      <c r="G126" s="6">
        <v>0</v>
      </c>
      <c r="H126" s="74">
        <v>137</v>
      </c>
      <c r="I126" s="74">
        <v>38</v>
      </c>
      <c r="J126" s="6">
        <v>0</v>
      </c>
      <c r="K126" s="34" t="s">
        <v>268</v>
      </c>
    </row>
    <row r="127" spans="1:11" s="35" customFormat="1" ht="15.75" x14ac:dyDescent="0.2">
      <c r="A127" s="33" t="s">
        <v>269</v>
      </c>
      <c r="B127" s="36">
        <f t="shared" si="17"/>
        <v>1733</v>
      </c>
      <c r="C127" s="74">
        <v>1566</v>
      </c>
      <c r="D127" s="74">
        <v>7</v>
      </c>
      <c r="E127" s="74">
        <v>17</v>
      </c>
      <c r="F127" s="6">
        <v>0</v>
      </c>
      <c r="G127" s="6">
        <v>0</v>
      </c>
      <c r="H127" s="74">
        <v>85</v>
      </c>
      <c r="I127" s="74">
        <v>58</v>
      </c>
      <c r="J127" s="6">
        <v>0</v>
      </c>
      <c r="K127" s="34" t="s">
        <v>270</v>
      </c>
    </row>
    <row r="128" spans="1:11" s="35" customFormat="1" ht="15.75" x14ac:dyDescent="0.4">
      <c r="A128" s="33"/>
      <c r="B128" s="36"/>
      <c r="C128" s="37"/>
      <c r="D128" s="74"/>
      <c r="E128" s="74"/>
      <c r="F128" s="74"/>
      <c r="G128" s="74"/>
      <c r="H128" s="74"/>
      <c r="I128" s="44"/>
      <c r="J128" s="74"/>
      <c r="K128" s="39"/>
    </row>
    <row r="129" spans="1:11" s="35" customFormat="1" ht="15.75" x14ac:dyDescent="0.2">
      <c r="A129" s="31" t="s">
        <v>42</v>
      </c>
      <c r="B129" s="36">
        <f>SUM(C129:J129)</f>
        <v>9640</v>
      </c>
      <c r="C129" s="73">
        <f>SUM(C130:C137)</f>
        <v>8738</v>
      </c>
      <c r="D129" s="73">
        <f t="shared" ref="D129:J129" si="18">SUM(D130:D137)</f>
        <v>49</v>
      </c>
      <c r="E129" s="73">
        <f t="shared" si="18"/>
        <v>88</v>
      </c>
      <c r="F129" s="73">
        <f t="shared" si="18"/>
        <v>0</v>
      </c>
      <c r="G129" s="73">
        <f t="shared" si="18"/>
        <v>0</v>
      </c>
      <c r="H129" s="73">
        <f t="shared" si="18"/>
        <v>476</v>
      </c>
      <c r="I129" s="73">
        <f t="shared" si="18"/>
        <v>263</v>
      </c>
      <c r="J129" s="73">
        <f t="shared" si="18"/>
        <v>26</v>
      </c>
      <c r="K129" s="32" t="s">
        <v>43</v>
      </c>
    </row>
    <row r="130" spans="1:11" s="35" customFormat="1" ht="15.75" x14ac:dyDescent="0.2">
      <c r="A130" s="41" t="s">
        <v>271</v>
      </c>
      <c r="B130" s="36">
        <f t="shared" ref="B130:B137" si="19">SUM(C130:J130)</f>
        <v>882</v>
      </c>
      <c r="C130" s="74">
        <v>817</v>
      </c>
      <c r="D130" s="74">
        <v>4</v>
      </c>
      <c r="E130" s="74">
        <v>9</v>
      </c>
      <c r="F130" s="6">
        <v>0</v>
      </c>
      <c r="G130" s="6">
        <v>0</v>
      </c>
      <c r="H130" s="74">
        <v>26</v>
      </c>
      <c r="I130" s="74">
        <v>20</v>
      </c>
      <c r="J130" s="74">
        <v>6</v>
      </c>
      <c r="K130" s="34" t="s">
        <v>272</v>
      </c>
    </row>
    <row r="131" spans="1:11" s="35" customFormat="1" ht="15.75" x14ac:dyDescent="0.2">
      <c r="A131" s="33" t="s">
        <v>273</v>
      </c>
      <c r="B131" s="36">
        <f t="shared" si="19"/>
        <v>931</v>
      </c>
      <c r="C131" s="74">
        <v>835</v>
      </c>
      <c r="D131" s="74">
        <v>5</v>
      </c>
      <c r="E131" s="74">
        <v>10</v>
      </c>
      <c r="F131" s="6">
        <v>0</v>
      </c>
      <c r="G131" s="6">
        <v>0</v>
      </c>
      <c r="H131" s="74">
        <v>53</v>
      </c>
      <c r="I131" s="74">
        <v>19</v>
      </c>
      <c r="J131" s="74">
        <v>9</v>
      </c>
      <c r="K131" s="34" t="s">
        <v>274</v>
      </c>
    </row>
    <row r="132" spans="1:11" s="35" customFormat="1" ht="15.75" x14ac:dyDescent="0.2">
      <c r="A132" s="33" t="s">
        <v>275</v>
      </c>
      <c r="B132" s="36">
        <f t="shared" si="19"/>
        <v>924</v>
      </c>
      <c r="C132" s="74">
        <v>860</v>
      </c>
      <c r="D132" s="74">
        <v>3</v>
      </c>
      <c r="E132" s="74">
        <v>6</v>
      </c>
      <c r="F132" s="6">
        <v>0</v>
      </c>
      <c r="G132" s="6">
        <v>0</v>
      </c>
      <c r="H132" s="74">
        <v>38</v>
      </c>
      <c r="I132" s="74">
        <v>17</v>
      </c>
      <c r="J132" s="6">
        <v>0</v>
      </c>
      <c r="K132" s="34" t="s">
        <v>276</v>
      </c>
    </row>
    <row r="133" spans="1:11" s="35" customFormat="1" ht="15.75" x14ac:dyDescent="0.2">
      <c r="A133" s="33" t="s">
        <v>239</v>
      </c>
      <c r="B133" s="36">
        <f t="shared" si="19"/>
        <v>821</v>
      </c>
      <c r="C133" s="74">
        <v>759</v>
      </c>
      <c r="D133" s="74">
        <v>4</v>
      </c>
      <c r="E133" s="74">
        <v>8</v>
      </c>
      <c r="F133" s="6">
        <v>0</v>
      </c>
      <c r="G133" s="6">
        <v>0</v>
      </c>
      <c r="H133" s="74">
        <v>37</v>
      </c>
      <c r="I133" s="74">
        <v>13</v>
      </c>
      <c r="J133" s="6">
        <v>0</v>
      </c>
      <c r="K133" s="34" t="s">
        <v>240</v>
      </c>
    </row>
    <row r="134" spans="1:11" s="35" customFormat="1" ht="15.75" x14ac:dyDescent="0.2">
      <c r="A134" s="33" t="s">
        <v>277</v>
      </c>
      <c r="B134" s="36">
        <f t="shared" si="19"/>
        <v>1200</v>
      </c>
      <c r="C134" s="74">
        <v>1064</v>
      </c>
      <c r="D134" s="74">
        <v>3</v>
      </c>
      <c r="E134" s="74">
        <v>4</v>
      </c>
      <c r="F134" s="6">
        <v>0</v>
      </c>
      <c r="G134" s="6">
        <v>0</v>
      </c>
      <c r="H134" s="74">
        <v>80</v>
      </c>
      <c r="I134" s="74">
        <v>38</v>
      </c>
      <c r="J134" s="74">
        <v>11</v>
      </c>
      <c r="K134" s="34" t="s">
        <v>278</v>
      </c>
    </row>
    <row r="135" spans="1:11" s="35" customFormat="1" ht="15.75" x14ac:dyDescent="0.2">
      <c r="A135" s="33" t="s">
        <v>279</v>
      </c>
      <c r="B135" s="36">
        <f t="shared" si="19"/>
        <v>1390</v>
      </c>
      <c r="C135" s="74">
        <v>1243</v>
      </c>
      <c r="D135" s="74">
        <v>7</v>
      </c>
      <c r="E135" s="74">
        <v>10</v>
      </c>
      <c r="F135" s="6">
        <v>0</v>
      </c>
      <c r="G135" s="6">
        <v>0</v>
      </c>
      <c r="H135" s="74">
        <v>87</v>
      </c>
      <c r="I135" s="74">
        <v>43</v>
      </c>
      <c r="J135" s="6">
        <v>0</v>
      </c>
      <c r="K135" s="34" t="s">
        <v>280</v>
      </c>
    </row>
    <row r="136" spans="1:11" s="35" customFormat="1" ht="15.75" x14ac:dyDescent="0.2">
      <c r="A136" s="33" t="s">
        <v>281</v>
      </c>
      <c r="B136" s="36">
        <f t="shared" si="19"/>
        <v>2212</v>
      </c>
      <c r="C136" s="74">
        <v>2059</v>
      </c>
      <c r="D136" s="74">
        <v>10</v>
      </c>
      <c r="E136" s="74">
        <v>14</v>
      </c>
      <c r="F136" s="6">
        <v>0</v>
      </c>
      <c r="G136" s="6">
        <v>0</v>
      </c>
      <c r="H136" s="74">
        <v>63</v>
      </c>
      <c r="I136" s="74">
        <v>66</v>
      </c>
      <c r="J136" s="6">
        <v>0</v>
      </c>
      <c r="K136" s="34" t="s">
        <v>282</v>
      </c>
    </row>
    <row r="137" spans="1:11" s="35" customFormat="1" ht="15.75" x14ac:dyDescent="0.2">
      <c r="A137" s="33" t="s">
        <v>283</v>
      </c>
      <c r="B137" s="36">
        <f t="shared" si="19"/>
        <v>1280</v>
      </c>
      <c r="C137" s="74">
        <v>1101</v>
      </c>
      <c r="D137" s="74">
        <v>13</v>
      </c>
      <c r="E137" s="74">
        <v>27</v>
      </c>
      <c r="F137" s="6">
        <v>0</v>
      </c>
      <c r="G137" s="6">
        <v>0</v>
      </c>
      <c r="H137" s="74">
        <v>92</v>
      </c>
      <c r="I137" s="74">
        <v>47</v>
      </c>
      <c r="J137" s="74"/>
      <c r="K137" s="34" t="s">
        <v>284</v>
      </c>
    </row>
    <row r="138" spans="1:11" s="43" customFormat="1" ht="15.75" x14ac:dyDescent="0.4">
      <c r="A138" s="33"/>
      <c r="B138" s="36"/>
      <c r="C138" s="37"/>
      <c r="D138" s="74"/>
      <c r="E138" s="74"/>
      <c r="F138" s="74"/>
      <c r="G138" s="74"/>
      <c r="H138" s="74"/>
      <c r="I138" s="38"/>
      <c r="J138" s="74"/>
      <c r="K138" s="39"/>
    </row>
    <row r="139" spans="1:11" s="35" customFormat="1" ht="15.75" x14ac:dyDescent="0.2">
      <c r="A139" s="31" t="s">
        <v>44</v>
      </c>
      <c r="B139" s="36">
        <f>SUM(C139:J139)</f>
        <v>12972</v>
      </c>
      <c r="C139" s="73">
        <f>SUM(C140:C149)</f>
        <v>11864</v>
      </c>
      <c r="D139" s="73">
        <f t="shared" ref="D139:J139" si="20">SUM(D140:D149)</f>
        <v>71</v>
      </c>
      <c r="E139" s="73">
        <f t="shared" si="20"/>
        <v>133</v>
      </c>
      <c r="F139" s="73">
        <f t="shared" si="20"/>
        <v>0</v>
      </c>
      <c r="G139" s="73">
        <f t="shared" si="20"/>
        <v>0</v>
      </c>
      <c r="H139" s="73">
        <f t="shared" si="20"/>
        <v>558</v>
      </c>
      <c r="I139" s="73">
        <f t="shared" si="20"/>
        <v>346</v>
      </c>
      <c r="J139" s="73">
        <f t="shared" si="20"/>
        <v>0</v>
      </c>
      <c r="K139" s="32" t="s">
        <v>45</v>
      </c>
    </row>
    <row r="140" spans="1:11" s="35" customFormat="1" ht="15.75" x14ac:dyDescent="0.2">
      <c r="A140" s="33" t="s">
        <v>72</v>
      </c>
      <c r="B140" s="36">
        <f t="shared" ref="B140:B149" si="21">SUM(C140:J140)</f>
        <v>239</v>
      </c>
      <c r="C140" s="74">
        <v>210</v>
      </c>
      <c r="D140" s="74">
        <v>6</v>
      </c>
      <c r="E140" s="74">
        <v>8</v>
      </c>
      <c r="F140" s="6">
        <v>0</v>
      </c>
      <c r="G140" s="6">
        <v>0</v>
      </c>
      <c r="H140" s="74">
        <v>8</v>
      </c>
      <c r="I140" s="74">
        <v>7</v>
      </c>
      <c r="J140" s="6">
        <v>0</v>
      </c>
      <c r="K140" s="34" t="s">
        <v>73</v>
      </c>
    </row>
    <row r="141" spans="1:11" s="35" customFormat="1" ht="15.75" x14ac:dyDescent="0.2">
      <c r="A141" s="41" t="s">
        <v>285</v>
      </c>
      <c r="B141" s="36">
        <f t="shared" si="21"/>
        <v>752</v>
      </c>
      <c r="C141" s="74">
        <v>700</v>
      </c>
      <c r="D141" s="74"/>
      <c r="E141" s="74"/>
      <c r="F141" s="6">
        <v>0</v>
      </c>
      <c r="G141" s="6">
        <v>0</v>
      </c>
      <c r="H141" s="74">
        <v>34</v>
      </c>
      <c r="I141" s="74">
        <v>18</v>
      </c>
      <c r="J141" s="6">
        <v>0</v>
      </c>
      <c r="K141" s="34" t="s">
        <v>286</v>
      </c>
    </row>
    <row r="142" spans="1:11" s="35" customFormat="1" ht="15.75" x14ac:dyDescent="0.2">
      <c r="A142" s="41" t="s">
        <v>287</v>
      </c>
      <c r="B142" s="36">
        <f t="shared" si="21"/>
        <v>1194</v>
      </c>
      <c r="C142" s="74">
        <v>1080</v>
      </c>
      <c r="D142" s="74">
        <v>5</v>
      </c>
      <c r="E142" s="74">
        <v>10</v>
      </c>
      <c r="F142" s="6">
        <v>0</v>
      </c>
      <c r="G142" s="6">
        <v>0</v>
      </c>
      <c r="H142" s="74">
        <v>70</v>
      </c>
      <c r="I142" s="74">
        <v>29</v>
      </c>
      <c r="J142" s="6">
        <v>0</v>
      </c>
      <c r="K142" s="34" t="s">
        <v>288</v>
      </c>
    </row>
    <row r="143" spans="1:11" s="35" customFormat="1" ht="15.75" x14ac:dyDescent="0.2">
      <c r="A143" s="33" t="s">
        <v>289</v>
      </c>
      <c r="B143" s="36">
        <f t="shared" si="21"/>
        <v>1225</v>
      </c>
      <c r="C143" s="74">
        <v>1142</v>
      </c>
      <c r="D143" s="74">
        <v>3</v>
      </c>
      <c r="E143" s="74">
        <v>6</v>
      </c>
      <c r="F143" s="6">
        <v>0</v>
      </c>
      <c r="G143" s="6">
        <v>0</v>
      </c>
      <c r="H143" s="74">
        <v>49</v>
      </c>
      <c r="I143" s="74">
        <v>25</v>
      </c>
      <c r="J143" s="6">
        <v>0</v>
      </c>
      <c r="K143" s="34" t="s">
        <v>290</v>
      </c>
    </row>
    <row r="144" spans="1:11" s="35" customFormat="1" ht="15.75" x14ac:dyDescent="0.2">
      <c r="A144" s="33" t="s">
        <v>291</v>
      </c>
      <c r="B144" s="36">
        <f t="shared" si="21"/>
        <v>799</v>
      </c>
      <c r="C144" s="74">
        <v>736</v>
      </c>
      <c r="D144" s="74">
        <v>5</v>
      </c>
      <c r="E144" s="74">
        <v>8</v>
      </c>
      <c r="F144" s="6">
        <v>0</v>
      </c>
      <c r="G144" s="6">
        <v>0</v>
      </c>
      <c r="H144" s="74">
        <v>39</v>
      </c>
      <c r="I144" s="74">
        <v>11</v>
      </c>
      <c r="J144" s="6">
        <v>0</v>
      </c>
      <c r="K144" s="34" t="s">
        <v>292</v>
      </c>
    </row>
    <row r="145" spans="1:11" s="35" customFormat="1" ht="15.75" x14ac:dyDescent="0.2">
      <c r="A145" s="33" t="s">
        <v>293</v>
      </c>
      <c r="B145" s="36">
        <f t="shared" si="21"/>
        <v>678</v>
      </c>
      <c r="C145" s="74">
        <v>619</v>
      </c>
      <c r="D145" s="74">
        <v>7</v>
      </c>
      <c r="E145" s="74">
        <v>14</v>
      </c>
      <c r="F145" s="6">
        <v>0</v>
      </c>
      <c r="G145" s="6">
        <v>0</v>
      </c>
      <c r="H145" s="74">
        <v>11</v>
      </c>
      <c r="I145" s="74">
        <v>27</v>
      </c>
      <c r="J145" s="6">
        <v>0</v>
      </c>
      <c r="K145" s="34" t="s">
        <v>109</v>
      </c>
    </row>
    <row r="146" spans="1:11" s="35" customFormat="1" ht="15.75" x14ac:dyDescent="0.2">
      <c r="A146" s="33" t="s">
        <v>294</v>
      </c>
      <c r="B146" s="36">
        <f t="shared" si="21"/>
        <v>3518</v>
      </c>
      <c r="C146" s="74">
        <v>3216</v>
      </c>
      <c r="D146" s="74">
        <v>17</v>
      </c>
      <c r="E146" s="74">
        <v>35</v>
      </c>
      <c r="F146" s="6">
        <v>0</v>
      </c>
      <c r="G146" s="6">
        <v>0</v>
      </c>
      <c r="H146" s="74">
        <v>155</v>
      </c>
      <c r="I146" s="74">
        <v>95</v>
      </c>
      <c r="J146" s="6">
        <v>0</v>
      </c>
      <c r="K146" s="34" t="s">
        <v>295</v>
      </c>
    </row>
    <row r="147" spans="1:11" s="35" customFormat="1" ht="15.75" x14ac:dyDescent="0.2">
      <c r="A147" s="33" t="s">
        <v>296</v>
      </c>
      <c r="B147" s="36">
        <f t="shared" si="21"/>
        <v>2754</v>
      </c>
      <c r="C147" s="74">
        <v>2544</v>
      </c>
      <c r="D147" s="74">
        <v>15</v>
      </c>
      <c r="E147" s="74">
        <v>26</v>
      </c>
      <c r="F147" s="6">
        <v>0</v>
      </c>
      <c r="G147" s="6">
        <v>0</v>
      </c>
      <c r="H147" s="74">
        <v>125</v>
      </c>
      <c r="I147" s="74">
        <v>44</v>
      </c>
      <c r="J147" s="6">
        <v>0</v>
      </c>
      <c r="K147" s="34" t="s">
        <v>297</v>
      </c>
    </row>
    <row r="148" spans="1:11" s="35" customFormat="1" ht="15.75" x14ac:dyDescent="0.2">
      <c r="A148" s="33" t="s">
        <v>298</v>
      </c>
      <c r="B148" s="36">
        <f t="shared" si="21"/>
        <v>506</v>
      </c>
      <c r="C148" s="74">
        <v>480</v>
      </c>
      <c r="D148" s="74">
        <v>1</v>
      </c>
      <c r="E148" s="74">
        <v>2</v>
      </c>
      <c r="F148" s="6">
        <v>0</v>
      </c>
      <c r="G148" s="6">
        <v>0</v>
      </c>
      <c r="H148" s="74">
        <v>15</v>
      </c>
      <c r="I148" s="74">
        <v>8</v>
      </c>
      <c r="J148" s="6">
        <v>0</v>
      </c>
      <c r="K148" s="34" t="s">
        <v>299</v>
      </c>
    </row>
    <row r="149" spans="1:11" s="35" customFormat="1" ht="15.75" x14ac:dyDescent="0.2">
      <c r="A149" s="33" t="s">
        <v>300</v>
      </c>
      <c r="B149" s="36">
        <f t="shared" si="21"/>
        <v>1307</v>
      </c>
      <c r="C149" s="74">
        <v>1137</v>
      </c>
      <c r="D149" s="74">
        <v>12</v>
      </c>
      <c r="E149" s="74">
        <v>24</v>
      </c>
      <c r="F149" s="6">
        <v>0</v>
      </c>
      <c r="G149" s="6">
        <v>0</v>
      </c>
      <c r="H149" s="74">
        <v>52</v>
      </c>
      <c r="I149" s="74">
        <v>82</v>
      </c>
      <c r="J149" s="6">
        <v>0</v>
      </c>
      <c r="K149" s="34" t="s">
        <v>301</v>
      </c>
    </row>
    <row r="150" spans="1:11" s="35" customFormat="1" ht="15.75" x14ac:dyDescent="0.4">
      <c r="A150" s="33"/>
      <c r="B150" s="36"/>
      <c r="C150" s="37"/>
      <c r="D150" s="74"/>
      <c r="E150" s="74"/>
      <c r="F150" s="74"/>
      <c r="G150" s="74"/>
      <c r="H150" s="74"/>
      <c r="I150" s="74"/>
      <c r="J150" s="74"/>
      <c r="K150" s="39"/>
    </row>
    <row r="151" spans="1:11" s="35" customFormat="1" ht="15.75" x14ac:dyDescent="0.2">
      <c r="A151" s="31" t="s">
        <v>46</v>
      </c>
      <c r="B151" s="36">
        <f>SUM(C151:J151)</f>
        <v>2696</v>
      </c>
      <c r="C151" s="73">
        <f>SUM(C152:C156)</f>
        <v>2496</v>
      </c>
      <c r="D151" s="73">
        <f t="shared" ref="D151:I151" si="22">SUM(D152:D156)</f>
        <v>14</v>
      </c>
      <c r="E151" s="73">
        <f t="shared" si="22"/>
        <v>25</v>
      </c>
      <c r="F151" s="73">
        <f t="shared" si="22"/>
        <v>0</v>
      </c>
      <c r="G151" s="73">
        <f t="shared" si="22"/>
        <v>0</v>
      </c>
      <c r="H151" s="73">
        <f t="shared" si="22"/>
        <v>116</v>
      </c>
      <c r="I151" s="73">
        <f t="shared" si="22"/>
        <v>45</v>
      </c>
      <c r="J151" s="74">
        <v>0</v>
      </c>
      <c r="K151" s="32" t="s">
        <v>47</v>
      </c>
    </row>
    <row r="152" spans="1:11" s="35" customFormat="1" ht="15.75" x14ac:dyDescent="0.2">
      <c r="A152" s="33" t="s">
        <v>302</v>
      </c>
      <c r="B152" s="36">
        <f t="shared" ref="B152:B156" si="23">SUM(C152:J152)</f>
        <v>697</v>
      </c>
      <c r="C152" s="74">
        <v>646</v>
      </c>
      <c r="D152" s="74">
        <v>1</v>
      </c>
      <c r="E152" s="74">
        <v>1</v>
      </c>
      <c r="F152" s="6">
        <v>0</v>
      </c>
      <c r="G152" s="6">
        <v>0</v>
      </c>
      <c r="H152" s="74">
        <v>38</v>
      </c>
      <c r="I152" s="74">
        <v>11</v>
      </c>
      <c r="J152" s="6">
        <v>0</v>
      </c>
      <c r="K152" s="34" t="s">
        <v>303</v>
      </c>
    </row>
    <row r="153" spans="1:11" s="35" customFormat="1" ht="15.75" x14ac:dyDescent="0.2">
      <c r="A153" s="33" t="s">
        <v>304</v>
      </c>
      <c r="B153" s="36">
        <f t="shared" si="23"/>
        <v>537</v>
      </c>
      <c r="C153" s="74">
        <v>491</v>
      </c>
      <c r="D153" s="74">
        <v>4</v>
      </c>
      <c r="E153" s="74">
        <v>7</v>
      </c>
      <c r="F153" s="6">
        <v>0</v>
      </c>
      <c r="G153" s="6">
        <v>0</v>
      </c>
      <c r="H153" s="74">
        <v>21</v>
      </c>
      <c r="I153" s="74">
        <v>14</v>
      </c>
      <c r="J153" s="6">
        <v>0</v>
      </c>
      <c r="K153" s="34" t="s">
        <v>305</v>
      </c>
    </row>
    <row r="154" spans="1:11" s="35" customFormat="1" ht="15.75" x14ac:dyDescent="0.2">
      <c r="A154" s="33" t="s">
        <v>306</v>
      </c>
      <c r="B154" s="36">
        <f t="shared" si="23"/>
        <v>896</v>
      </c>
      <c r="C154" s="74">
        <v>827</v>
      </c>
      <c r="D154" s="74">
        <v>9</v>
      </c>
      <c r="E154" s="74">
        <v>17</v>
      </c>
      <c r="F154" s="6">
        <v>0</v>
      </c>
      <c r="G154" s="6">
        <v>0</v>
      </c>
      <c r="H154" s="74">
        <v>28</v>
      </c>
      <c r="I154" s="74">
        <v>15</v>
      </c>
      <c r="J154" s="6">
        <v>0</v>
      </c>
      <c r="K154" s="34" t="s">
        <v>307</v>
      </c>
    </row>
    <row r="155" spans="1:11" s="35" customFormat="1" ht="15.75" x14ac:dyDescent="0.2">
      <c r="A155" s="33" t="s">
        <v>308</v>
      </c>
      <c r="B155" s="36">
        <f t="shared" si="23"/>
        <v>360</v>
      </c>
      <c r="C155" s="74">
        <v>342</v>
      </c>
      <c r="D155" s="74"/>
      <c r="E155" s="74"/>
      <c r="F155" s="6">
        <v>0</v>
      </c>
      <c r="G155" s="6">
        <v>0</v>
      </c>
      <c r="H155" s="74">
        <v>16</v>
      </c>
      <c r="I155" s="74">
        <v>2</v>
      </c>
      <c r="J155" s="6">
        <v>0</v>
      </c>
      <c r="K155" s="34" t="s">
        <v>309</v>
      </c>
    </row>
    <row r="156" spans="1:11" s="35" customFormat="1" ht="15.75" x14ac:dyDescent="0.2">
      <c r="A156" s="33" t="s">
        <v>310</v>
      </c>
      <c r="B156" s="36">
        <f t="shared" si="23"/>
        <v>206</v>
      </c>
      <c r="C156" s="74">
        <v>190</v>
      </c>
      <c r="D156" s="74"/>
      <c r="E156" s="74"/>
      <c r="F156" s="6">
        <v>0</v>
      </c>
      <c r="G156" s="6">
        <v>0</v>
      </c>
      <c r="H156" s="74">
        <v>13</v>
      </c>
      <c r="I156" s="74">
        <v>3</v>
      </c>
      <c r="J156" s="6">
        <v>0</v>
      </c>
      <c r="K156" s="34" t="s">
        <v>311</v>
      </c>
    </row>
    <row r="157" spans="1:11" s="35" customFormat="1" ht="15.75" x14ac:dyDescent="0.4">
      <c r="A157" s="33"/>
      <c r="B157" s="36"/>
      <c r="C157" s="37"/>
      <c r="D157" s="74"/>
      <c r="E157" s="74"/>
      <c r="F157" s="74"/>
      <c r="G157" s="74"/>
      <c r="H157" s="74"/>
      <c r="I157" s="74"/>
      <c r="J157" s="74"/>
      <c r="K157" s="39"/>
    </row>
    <row r="158" spans="1:11" s="35" customFormat="1" ht="15.75" x14ac:dyDescent="0.2">
      <c r="A158" s="31" t="s">
        <v>48</v>
      </c>
      <c r="B158" s="36">
        <f>SUM(C158:J158)</f>
        <v>7875</v>
      </c>
      <c r="C158" s="73">
        <f>SUM(C159:C167)</f>
        <v>7349</v>
      </c>
      <c r="D158" s="73">
        <f t="shared" ref="D158:J158" si="24">SUM(D159:D167)</f>
        <v>38</v>
      </c>
      <c r="E158" s="73">
        <f t="shared" si="24"/>
        <v>56</v>
      </c>
      <c r="F158" s="73">
        <f t="shared" si="24"/>
        <v>0</v>
      </c>
      <c r="G158" s="73">
        <f t="shared" si="24"/>
        <v>0</v>
      </c>
      <c r="H158" s="73">
        <f t="shared" si="24"/>
        <v>286</v>
      </c>
      <c r="I158" s="73">
        <f t="shared" si="24"/>
        <v>141</v>
      </c>
      <c r="J158" s="73">
        <f t="shared" si="24"/>
        <v>5</v>
      </c>
      <c r="K158" s="32" t="s">
        <v>49</v>
      </c>
    </row>
    <row r="159" spans="1:11" s="35" customFormat="1" ht="15.75" x14ac:dyDescent="0.2">
      <c r="A159" s="33" t="s">
        <v>312</v>
      </c>
      <c r="B159" s="36">
        <f t="shared" ref="B159:B167" si="25">SUM(C159:J159)</f>
        <v>1412</v>
      </c>
      <c r="C159" s="74">
        <v>1339</v>
      </c>
      <c r="D159" s="74">
        <v>6</v>
      </c>
      <c r="E159" s="74">
        <v>8</v>
      </c>
      <c r="F159" s="6">
        <v>0</v>
      </c>
      <c r="G159" s="6">
        <v>0</v>
      </c>
      <c r="H159" s="74">
        <v>48</v>
      </c>
      <c r="I159" s="74">
        <v>11</v>
      </c>
      <c r="J159" s="6">
        <v>0</v>
      </c>
      <c r="K159" s="34" t="s">
        <v>313</v>
      </c>
    </row>
    <row r="160" spans="1:11" s="35" customFormat="1" ht="15.75" x14ac:dyDescent="0.2">
      <c r="A160" s="33" t="s">
        <v>314</v>
      </c>
      <c r="B160" s="36">
        <f t="shared" si="25"/>
        <v>1481</v>
      </c>
      <c r="C160" s="74">
        <v>1402</v>
      </c>
      <c r="D160" s="74">
        <v>5</v>
      </c>
      <c r="E160" s="74">
        <v>5</v>
      </c>
      <c r="F160" s="6">
        <v>0</v>
      </c>
      <c r="G160" s="6">
        <v>0</v>
      </c>
      <c r="H160" s="74">
        <v>56</v>
      </c>
      <c r="I160" s="74">
        <v>13</v>
      </c>
      <c r="J160" s="6">
        <v>0</v>
      </c>
      <c r="K160" s="34" t="s">
        <v>315</v>
      </c>
    </row>
    <row r="161" spans="1:11" s="35" customFormat="1" ht="15.75" hidden="1" x14ac:dyDescent="0.2">
      <c r="A161" s="33" t="s">
        <v>316</v>
      </c>
      <c r="B161" s="36">
        <f t="shared" si="25"/>
        <v>0</v>
      </c>
      <c r="C161" s="74"/>
      <c r="D161" s="74"/>
      <c r="E161" s="74"/>
      <c r="F161" s="6">
        <v>0</v>
      </c>
      <c r="G161" s="6">
        <v>0</v>
      </c>
      <c r="H161" s="74"/>
      <c r="I161" s="74"/>
      <c r="J161" s="74"/>
      <c r="K161" s="34" t="s">
        <v>317</v>
      </c>
    </row>
    <row r="162" spans="1:11" s="35" customFormat="1" ht="15.75" x14ac:dyDescent="0.2">
      <c r="A162" s="33" t="s">
        <v>206</v>
      </c>
      <c r="B162" s="36">
        <f t="shared" si="25"/>
        <v>701</v>
      </c>
      <c r="C162" s="74">
        <v>656</v>
      </c>
      <c r="D162" s="74">
        <v>4</v>
      </c>
      <c r="E162" s="74">
        <v>8</v>
      </c>
      <c r="F162" s="6">
        <v>0</v>
      </c>
      <c r="G162" s="6">
        <v>0</v>
      </c>
      <c r="H162" s="74">
        <v>22</v>
      </c>
      <c r="I162" s="74">
        <v>6</v>
      </c>
      <c r="J162" s="74">
        <v>5</v>
      </c>
      <c r="K162" s="34" t="s">
        <v>207</v>
      </c>
    </row>
    <row r="163" spans="1:11" s="35" customFormat="1" ht="15.75" x14ac:dyDescent="0.2">
      <c r="A163" s="33" t="s">
        <v>318</v>
      </c>
      <c r="B163" s="36">
        <f t="shared" si="25"/>
        <v>2028</v>
      </c>
      <c r="C163" s="74">
        <v>1844</v>
      </c>
      <c r="D163" s="74">
        <v>17</v>
      </c>
      <c r="E163" s="74">
        <v>26</v>
      </c>
      <c r="F163" s="6">
        <v>0</v>
      </c>
      <c r="G163" s="6">
        <v>0</v>
      </c>
      <c r="H163" s="74">
        <v>73</v>
      </c>
      <c r="I163" s="74">
        <v>68</v>
      </c>
      <c r="J163" s="6">
        <v>0</v>
      </c>
      <c r="K163" s="34" t="s">
        <v>319</v>
      </c>
    </row>
    <row r="164" spans="1:11" s="35" customFormat="1" ht="15.75" x14ac:dyDescent="0.2">
      <c r="A164" s="33" t="s">
        <v>320</v>
      </c>
      <c r="B164" s="36">
        <f t="shared" si="25"/>
        <v>1078</v>
      </c>
      <c r="C164" s="74">
        <v>1005</v>
      </c>
      <c r="D164" s="74">
        <v>4</v>
      </c>
      <c r="E164" s="74">
        <v>7</v>
      </c>
      <c r="F164" s="6">
        <v>0</v>
      </c>
      <c r="G164" s="6">
        <v>0</v>
      </c>
      <c r="H164" s="74">
        <v>48</v>
      </c>
      <c r="I164" s="74">
        <v>14</v>
      </c>
      <c r="J164" s="6">
        <v>0</v>
      </c>
      <c r="K164" s="34" t="s">
        <v>321</v>
      </c>
    </row>
    <row r="165" spans="1:11" s="35" customFormat="1" ht="15.75" x14ac:dyDescent="0.2">
      <c r="A165" s="33" t="s">
        <v>322</v>
      </c>
      <c r="B165" s="36">
        <f t="shared" si="25"/>
        <v>546</v>
      </c>
      <c r="C165" s="74">
        <v>513</v>
      </c>
      <c r="D165" s="74">
        <v>1</v>
      </c>
      <c r="E165" s="74">
        <v>1</v>
      </c>
      <c r="F165" s="6">
        <v>0</v>
      </c>
      <c r="G165" s="6">
        <v>0</v>
      </c>
      <c r="H165" s="74">
        <v>19</v>
      </c>
      <c r="I165" s="74">
        <v>12</v>
      </c>
      <c r="J165" s="6">
        <v>0</v>
      </c>
      <c r="K165" s="34" t="s">
        <v>323</v>
      </c>
    </row>
    <row r="166" spans="1:11" s="35" customFormat="1" ht="15.75" x14ac:dyDescent="0.2">
      <c r="A166" s="33" t="s">
        <v>324</v>
      </c>
      <c r="B166" s="36">
        <f t="shared" si="25"/>
        <v>241</v>
      </c>
      <c r="C166" s="74">
        <v>230</v>
      </c>
      <c r="D166" s="6">
        <v>0</v>
      </c>
      <c r="E166" s="6">
        <v>0</v>
      </c>
      <c r="F166" s="6">
        <v>0</v>
      </c>
      <c r="G166" s="6">
        <v>0</v>
      </c>
      <c r="H166" s="74">
        <v>6</v>
      </c>
      <c r="I166" s="74">
        <v>5</v>
      </c>
      <c r="J166" s="6">
        <v>0</v>
      </c>
      <c r="K166" s="34" t="s">
        <v>325</v>
      </c>
    </row>
    <row r="167" spans="1:11" s="35" customFormat="1" ht="15.75" x14ac:dyDescent="0.2">
      <c r="A167" s="33" t="s">
        <v>326</v>
      </c>
      <c r="B167" s="36">
        <f t="shared" si="25"/>
        <v>388</v>
      </c>
      <c r="C167" s="74">
        <v>360</v>
      </c>
      <c r="D167" s="74">
        <v>1</v>
      </c>
      <c r="E167" s="74">
        <v>1</v>
      </c>
      <c r="F167" s="6">
        <v>0</v>
      </c>
      <c r="G167" s="6">
        <v>0</v>
      </c>
      <c r="H167" s="74">
        <v>14</v>
      </c>
      <c r="I167" s="74">
        <v>12</v>
      </c>
      <c r="J167" s="6">
        <v>0</v>
      </c>
      <c r="K167" s="34" t="s">
        <v>327</v>
      </c>
    </row>
    <row r="168" spans="1:11" s="43" customFormat="1" ht="15.75" x14ac:dyDescent="0.4">
      <c r="A168" s="33"/>
      <c r="B168" s="45"/>
      <c r="C168" s="46"/>
      <c r="D168" s="74"/>
      <c r="E168" s="74"/>
      <c r="F168" s="74"/>
      <c r="G168" s="74"/>
      <c r="H168" s="74"/>
      <c r="I168" s="74"/>
      <c r="J168" s="74"/>
      <c r="K168" s="39"/>
    </row>
    <row r="169" spans="1:11" s="35" customFormat="1" ht="15.75" x14ac:dyDescent="0.2">
      <c r="A169" s="31" t="s">
        <v>50</v>
      </c>
      <c r="B169" s="36">
        <f>SUM(C169:J169)</f>
        <v>7116</v>
      </c>
      <c r="C169" s="73">
        <f>SUM(C170:C174)</f>
        <v>6514</v>
      </c>
      <c r="D169" s="73">
        <f t="shared" ref="D169:J169" si="26">SUM(D170:D174)</f>
        <v>28</v>
      </c>
      <c r="E169" s="73">
        <f t="shared" si="26"/>
        <v>50</v>
      </c>
      <c r="F169" s="73">
        <f t="shared" si="26"/>
        <v>2</v>
      </c>
      <c r="G169" s="73">
        <f t="shared" si="26"/>
        <v>4</v>
      </c>
      <c r="H169" s="73">
        <f t="shared" si="26"/>
        <v>325</v>
      </c>
      <c r="I169" s="73">
        <f t="shared" si="26"/>
        <v>186</v>
      </c>
      <c r="J169" s="73">
        <f t="shared" si="26"/>
        <v>7</v>
      </c>
      <c r="K169" s="32" t="s">
        <v>51</v>
      </c>
    </row>
    <row r="170" spans="1:11" s="35" customFormat="1" ht="15" customHeight="1" x14ac:dyDescent="0.2">
      <c r="A170" s="33" t="s">
        <v>328</v>
      </c>
      <c r="B170" s="36">
        <f t="shared" ref="B170:B174" si="27">SUM(C170:J170)</f>
        <v>1467</v>
      </c>
      <c r="C170" s="74">
        <v>1358</v>
      </c>
      <c r="D170" s="74">
        <v>1</v>
      </c>
      <c r="E170" s="74">
        <v>2</v>
      </c>
      <c r="F170" s="78">
        <v>1</v>
      </c>
      <c r="G170" s="78">
        <v>3</v>
      </c>
      <c r="H170" s="74">
        <v>61</v>
      </c>
      <c r="I170" s="74">
        <v>41</v>
      </c>
      <c r="J170" s="6">
        <v>0</v>
      </c>
      <c r="K170" s="34" t="s">
        <v>329</v>
      </c>
    </row>
    <row r="171" spans="1:11" s="35" customFormat="1" ht="15.75" x14ac:dyDescent="0.2">
      <c r="A171" s="33" t="s">
        <v>330</v>
      </c>
      <c r="B171" s="36">
        <f t="shared" si="27"/>
        <v>621</v>
      </c>
      <c r="C171" s="74">
        <v>580</v>
      </c>
      <c r="D171" s="74">
        <v>4</v>
      </c>
      <c r="E171" s="74">
        <v>4</v>
      </c>
      <c r="F171" s="6">
        <v>0</v>
      </c>
      <c r="G171" s="6">
        <v>0</v>
      </c>
      <c r="H171" s="74">
        <v>17</v>
      </c>
      <c r="I171" s="74">
        <v>16</v>
      </c>
      <c r="J171" s="6">
        <v>0</v>
      </c>
      <c r="K171" s="34" t="s">
        <v>331</v>
      </c>
    </row>
    <row r="172" spans="1:11" s="35" customFormat="1" ht="15.75" x14ac:dyDescent="0.2">
      <c r="A172" s="33" t="s">
        <v>332</v>
      </c>
      <c r="B172" s="36">
        <f t="shared" si="27"/>
        <v>1493</v>
      </c>
      <c r="C172" s="74">
        <v>1347</v>
      </c>
      <c r="D172" s="74">
        <v>9</v>
      </c>
      <c r="E172" s="74">
        <v>15</v>
      </c>
      <c r="F172" s="78">
        <v>1</v>
      </c>
      <c r="G172" s="78">
        <v>1</v>
      </c>
      <c r="H172" s="74">
        <v>64</v>
      </c>
      <c r="I172" s="74">
        <v>49</v>
      </c>
      <c r="J172" s="74">
        <v>7</v>
      </c>
      <c r="K172" s="34" t="s">
        <v>333</v>
      </c>
    </row>
    <row r="173" spans="1:11" s="35" customFormat="1" ht="15.75" x14ac:dyDescent="0.2">
      <c r="A173" s="33" t="s">
        <v>178</v>
      </c>
      <c r="B173" s="36">
        <f t="shared" si="27"/>
        <v>998</v>
      </c>
      <c r="C173" s="74">
        <v>921</v>
      </c>
      <c r="D173" s="74">
        <v>3</v>
      </c>
      <c r="E173" s="74">
        <v>8</v>
      </c>
      <c r="F173" s="6">
        <v>0</v>
      </c>
      <c r="G173" s="6">
        <v>0</v>
      </c>
      <c r="H173" s="74">
        <v>46</v>
      </c>
      <c r="I173" s="74">
        <v>20</v>
      </c>
      <c r="J173" s="6">
        <v>0</v>
      </c>
      <c r="K173" s="34" t="s">
        <v>179</v>
      </c>
    </row>
    <row r="174" spans="1:11" s="35" customFormat="1" ht="15.75" x14ac:dyDescent="0.2">
      <c r="A174" s="33" t="s">
        <v>334</v>
      </c>
      <c r="B174" s="36">
        <f t="shared" si="27"/>
        <v>2537</v>
      </c>
      <c r="C174" s="74">
        <v>2308</v>
      </c>
      <c r="D174" s="74">
        <v>11</v>
      </c>
      <c r="E174" s="74">
        <v>21</v>
      </c>
      <c r="F174" s="6">
        <v>0</v>
      </c>
      <c r="G174" s="6">
        <v>0</v>
      </c>
      <c r="H174" s="74">
        <v>137</v>
      </c>
      <c r="I174" s="74">
        <v>60</v>
      </c>
      <c r="J174" s="6">
        <v>0</v>
      </c>
      <c r="K174" s="34" t="s">
        <v>335</v>
      </c>
    </row>
    <row r="175" spans="1:11" s="35" customFormat="1" ht="15.75" x14ac:dyDescent="0.4">
      <c r="A175" s="33"/>
      <c r="B175" s="36"/>
      <c r="C175" s="37"/>
      <c r="D175" s="74"/>
      <c r="E175" s="74"/>
      <c r="F175" s="74"/>
      <c r="G175" s="74"/>
      <c r="H175" s="74"/>
      <c r="I175" s="74"/>
      <c r="J175" s="74"/>
      <c r="K175" s="39"/>
    </row>
    <row r="176" spans="1:11" s="35" customFormat="1" ht="15.75" x14ac:dyDescent="0.2">
      <c r="A176" s="31" t="s">
        <v>52</v>
      </c>
      <c r="B176" s="36">
        <f>SUM(C176:J176)</f>
        <v>8768</v>
      </c>
      <c r="C176" s="73">
        <f>SUM(C177:C183)</f>
        <v>8093</v>
      </c>
      <c r="D176" s="73">
        <f t="shared" ref="D176:J176" si="28">SUM(D177:D183)</f>
        <v>34</v>
      </c>
      <c r="E176" s="73">
        <f t="shared" si="28"/>
        <v>63</v>
      </c>
      <c r="F176" s="73">
        <f t="shared" si="28"/>
        <v>0</v>
      </c>
      <c r="G176" s="73">
        <f t="shared" si="28"/>
        <v>0</v>
      </c>
      <c r="H176" s="73">
        <f t="shared" si="28"/>
        <v>383</v>
      </c>
      <c r="I176" s="73">
        <f t="shared" si="28"/>
        <v>188</v>
      </c>
      <c r="J176" s="73">
        <f t="shared" si="28"/>
        <v>7</v>
      </c>
      <c r="K176" s="32" t="s">
        <v>53</v>
      </c>
    </row>
    <row r="177" spans="1:11" s="35" customFormat="1" ht="15.75" x14ac:dyDescent="0.2">
      <c r="A177" s="33" t="s">
        <v>336</v>
      </c>
      <c r="B177" s="36">
        <f t="shared" ref="B177:B183" si="29">SUM(C177:J177)</f>
        <v>1078</v>
      </c>
      <c r="C177" s="74">
        <v>980</v>
      </c>
      <c r="D177" s="74">
        <v>7</v>
      </c>
      <c r="E177" s="74">
        <v>16</v>
      </c>
      <c r="F177" s="6">
        <v>0</v>
      </c>
      <c r="G177" s="6">
        <v>0</v>
      </c>
      <c r="H177" s="74">
        <v>52</v>
      </c>
      <c r="I177" s="74">
        <v>23</v>
      </c>
      <c r="J177" s="6">
        <v>0</v>
      </c>
      <c r="K177" s="34" t="s">
        <v>337</v>
      </c>
    </row>
    <row r="178" spans="1:11" s="35" customFormat="1" ht="15.75" x14ac:dyDescent="0.2">
      <c r="A178" s="33" t="s">
        <v>338</v>
      </c>
      <c r="B178" s="36">
        <f t="shared" si="29"/>
        <v>1059</v>
      </c>
      <c r="C178" s="74">
        <v>965</v>
      </c>
      <c r="D178" s="74">
        <v>5</v>
      </c>
      <c r="E178" s="74">
        <v>8</v>
      </c>
      <c r="F178" s="6">
        <v>0</v>
      </c>
      <c r="G178" s="6">
        <v>0</v>
      </c>
      <c r="H178" s="74">
        <v>62</v>
      </c>
      <c r="I178" s="74">
        <v>19</v>
      </c>
      <c r="J178" s="6">
        <v>0</v>
      </c>
      <c r="K178" s="34" t="s">
        <v>339</v>
      </c>
    </row>
    <row r="179" spans="1:11" s="35" customFormat="1" ht="15.75" x14ac:dyDescent="0.2">
      <c r="A179" s="33" t="s">
        <v>340</v>
      </c>
      <c r="B179" s="36">
        <f t="shared" si="29"/>
        <v>3576</v>
      </c>
      <c r="C179" s="74">
        <v>3343</v>
      </c>
      <c r="D179" s="74">
        <v>15</v>
      </c>
      <c r="E179" s="74">
        <v>22</v>
      </c>
      <c r="F179" s="6">
        <v>0</v>
      </c>
      <c r="G179" s="6">
        <v>0</v>
      </c>
      <c r="H179" s="74">
        <v>118</v>
      </c>
      <c r="I179" s="74">
        <v>71</v>
      </c>
      <c r="J179" s="74">
        <v>7</v>
      </c>
      <c r="K179" s="34" t="s">
        <v>341</v>
      </c>
    </row>
    <row r="180" spans="1:11" s="35" customFormat="1" ht="15.75" x14ac:dyDescent="0.2">
      <c r="A180" s="33" t="s">
        <v>342</v>
      </c>
      <c r="B180" s="36">
        <f t="shared" si="29"/>
        <v>1070</v>
      </c>
      <c r="C180" s="74">
        <v>992</v>
      </c>
      <c r="D180" s="74">
        <v>4</v>
      </c>
      <c r="E180" s="74">
        <v>7</v>
      </c>
      <c r="F180" s="6">
        <v>0</v>
      </c>
      <c r="G180" s="6">
        <v>0</v>
      </c>
      <c r="H180" s="74">
        <v>42</v>
      </c>
      <c r="I180" s="74">
        <v>25</v>
      </c>
      <c r="J180" s="6">
        <v>0</v>
      </c>
      <c r="K180" s="34" t="s">
        <v>343</v>
      </c>
    </row>
    <row r="181" spans="1:11" s="35" customFormat="1" ht="15.75" x14ac:dyDescent="0.2">
      <c r="A181" s="33" t="s">
        <v>208</v>
      </c>
      <c r="B181" s="36">
        <f t="shared" si="29"/>
        <v>1554</v>
      </c>
      <c r="C181" s="74">
        <v>1414</v>
      </c>
      <c r="D181" s="74">
        <v>3</v>
      </c>
      <c r="E181" s="74">
        <v>10</v>
      </c>
      <c r="F181" s="6">
        <v>0</v>
      </c>
      <c r="G181" s="6">
        <v>0</v>
      </c>
      <c r="H181" s="74">
        <v>91</v>
      </c>
      <c r="I181" s="74">
        <v>36</v>
      </c>
      <c r="J181" s="6">
        <v>0</v>
      </c>
      <c r="K181" s="34" t="s">
        <v>209</v>
      </c>
    </row>
    <row r="182" spans="1:11" s="35" customFormat="1" ht="15.75" x14ac:dyDescent="0.2">
      <c r="A182" s="33" t="s">
        <v>344</v>
      </c>
      <c r="B182" s="36">
        <f t="shared" si="29"/>
        <v>427</v>
      </c>
      <c r="C182" s="74">
        <v>395</v>
      </c>
      <c r="D182" s="6">
        <v>0</v>
      </c>
      <c r="E182" s="6">
        <v>0</v>
      </c>
      <c r="F182" s="6">
        <v>0</v>
      </c>
      <c r="G182" s="6">
        <v>0</v>
      </c>
      <c r="H182" s="74">
        <v>18</v>
      </c>
      <c r="I182" s="74">
        <v>14</v>
      </c>
      <c r="J182" s="6">
        <v>0</v>
      </c>
      <c r="K182" s="34" t="s">
        <v>345</v>
      </c>
    </row>
    <row r="183" spans="1:11" s="35" customFormat="1" ht="15.75" x14ac:dyDescent="0.2">
      <c r="A183" s="33" t="s">
        <v>346</v>
      </c>
      <c r="B183" s="36">
        <f t="shared" si="29"/>
        <v>4</v>
      </c>
      <c r="C183" s="74">
        <v>4</v>
      </c>
      <c r="D183" s="6">
        <v>0</v>
      </c>
      <c r="E183" s="6">
        <v>0</v>
      </c>
      <c r="F183" s="6">
        <v>0</v>
      </c>
      <c r="G183" s="6">
        <v>0</v>
      </c>
      <c r="H183" s="74">
        <v>0</v>
      </c>
      <c r="I183" s="6">
        <v>0</v>
      </c>
      <c r="J183" s="6">
        <v>0</v>
      </c>
      <c r="K183" s="34" t="s">
        <v>347</v>
      </c>
    </row>
    <row r="184" spans="1:11" s="35" customFormat="1" ht="15.75" x14ac:dyDescent="0.4">
      <c r="A184" s="33"/>
      <c r="B184" s="36"/>
      <c r="C184" s="37"/>
      <c r="D184" s="74"/>
      <c r="E184" s="74"/>
      <c r="F184" s="74"/>
      <c r="G184" s="74"/>
      <c r="H184" s="74"/>
      <c r="I184" s="74"/>
      <c r="J184" s="74"/>
      <c r="K184" s="39"/>
    </row>
    <row r="185" spans="1:11" s="35" customFormat="1" ht="15.75" x14ac:dyDescent="0.2">
      <c r="A185" s="31" t="s">
        <v>54</v>
      </c>
      <c r="B185" s="36">
        <f>SUM(C185:J185)</f>
        <v>17617</v>
      </c>
      <c r="C185" s="73">
        <f>SUM(C186:C198)</f>
        <v>16146</v>
      </c>
      <c r="D185" s="73">
        <f t="shared" ref="D185:J185" si="30">SUM(D186:D198)</f>
        <v>112</v>
      </c>
      <c r="E185" s="73">
        <f t="shared" si="30"/>
        <v>196</v>
      </c>
      <c r="F185" s="73">
        <f t="shared" si="30"/>
        <v>3</v>
      </c>
      <c r="G185" s="73">
        <f t="shared" si="30"/>
        <v>4</v>
      </c>
      <c r="H185" s="73">
        <f t="shared" si="30"/>
        <v>756</v>
      </c>
      <c r="I185" s="73">
        <f t="shared" si="30"/>
        <v>383</v>
      </c>
      <c r="J185" s="73">
        <f t="shared" si="30"/>
        <v>17</v>
      </c>
      <c r="K185" s="32" t="s">
        <v>55</v>
      </c>
    </row>
    <row r="186" spans="1:11" s="35" customFormat="1" ht="15.75" x14ac:dyDescent="0.2">
      <c r="A186" s="33" t="s">
        <v>348</v>
      </c>
      <c r="B186" s="36">
        <f t="shared" ref="B186:B198" si="31">SUM(C186:J186)</f>
        <v>652</v>
      </c>
      <c r="C186" s="74">
        <v>586</v>
      </c>
      <c r="D186" s="74">
        <v>4</v>
      </c>
      <c r="E186" s="74">
        <v>9</v>
      </c>
      <c r="F186" s="6">
        <v>0</v>
      </c>
      <c r="G186" s="6">
        <v>0</v>
      </c>
      <c r="H186" s="74">
        <v>34</v>
      </c>
      <c r="I186" s="74">
        <v>14</v>
      </c>
      <c r="J186" s="74">
        <v>5</v>
      </c>
      <c r="K186" s="34" t="s">
        <v>349</v>
      </c>
    </row>
    <row r="187" spans="1:11" s="35" customFormat="1" ht="15.75" x14ac:dyDescent="0.2">
      <c r="A187" s="33" t="s">
        <v>350</v>
      </c>
      <c r="B187" s="36">
        <f t="shared" si="31"/>
        <v>998</v>
      </c>
      <c r="C187" s="74">
        <v>911</v>
      </c>
      <c r="D187" s="74">
        <v>5</v>
      </c>
      <c r="E187" s="74">
        <v>11</v>
      </c>
      <c r="F187" s="6">
        <v>0</v>
      </c>
      <c r="G187" s="6">
        <v>0</v>
      </c>
      <c r="H187" s="74">
        <v>40</v>
      </c>
      <c r="I187" s="74">
        <v>31</v>
      </c>
      <c r="J187" s="6">
        <v>0</v>
      </c>
      <c r="K187" s="34" t="s">
        <v>351</v>
      </c>
    </row>
    <row r="188" spans="1:11" s="35" customFormat="1" ht="15.75" x14ac:dyDescent="0.2">
      <c r="A188" s="33" t="s">
        <v>352</v>
      </c>
      <c r="B188" s="36">
        <f t="shared" si="31"/>
        <v>730</v>
      </c>
      <c r="C188" s="74">
        <v>678</v>
      </c>
      <c r="D188" s="74">
        <v>3</v>
      </c>
      <c r="E188" s="74">
        <v>5</v>
      </c>
      <c r="F188" s="6">
        <v>0</v>
      </c>
      <c r="G188" s="6">
        <v>0</v>
      </c>
      <c r="H188" s="74">
        <v>30</v>
      </c>
      <c r="I188" s="74">
        <v>14</v>
      </c>
      <c r="J188" s="6">
        <v>0</v>
      </c>
      <c r="K188" s="34" t="s">
        <v>353</v>
      </c>
    </row>
    <row r="189" spans="1:11" s="35" customFormat="1" ht="15.75" x14ac:dyDescent="0.2">
      <c r="A189" s="33" t="s">
        <v>259</v>
      </c>
      <c r="B189" s="36">
        <f t="shared" si="31"/>
        <v>2234</v>
      </c>
      <c r="C189" s="74">
        <v>2067</v>
      </c>
      <c r="D189" s="74">
        <v>15</v>
      </c>
      <c r="E189" s="74">
        <v>25</v>
      </c>
      <c r="F189" s="6">
        <v>0</v>
      </c>
      <c r="G189" s="6">
        <v>0</v>
      </c>
      <c r="H189" s="74">
        <v>92</v>
      </c>
      <c r="I189" s="74">
        <v>35</v>
      </c>
      <c r="J189" s="6">
        <v>0</v>
      </c>
      <c r="K189" s="34" t="s">
        <v>260</v>
      </c>
    </row>
    <row r="190" spans="1:11" s="35" customFormat="1" ht="15.75" x14ac:dyDescent="0.2">
      <c r="A190" s="33" t="s">
        <v>354</v>
      </c>
      <c r="B190" s="36">
        <f t="shared" si="31"/>
        <v>1369</v>
      </c>
      <c r="C190" s="74">
        <v>1236</v>
      </c>
      <c r="D190" s="74">
        <v>14</v>
      </c>
      <c r="E190" s="74">
        <v>24</v>
      </c>
      <c r="F190" s="6">
        <v>0</v>
      </c>
      <c r="G190" s="6">
        <v>0</v>
      </c>
      <c r="H190" s="74">
        <v>59</v>
      </c>
      <c r="I190" s="74">
        <v>34</v>
      </c>
      <c r="J190" s="74">
        <v>2</v>
      </c>
      <c r="K190" s="34" t="s">
        <v>355</v>
      </c>
    </row>
    <row r="191" spans="1:11" s="35" customFormat="1" ht="15.75" x14ac:dyDescent="0.2">
      <c r="A191" s="33" t="s">
        <v>356</v>
      </c>
      <c r="B191" s="36">
        <f t="shared" si="31"/>
        <v>730</v>
      </c>
      <c r="C191" s="74">
        <v>677</v>
      </c>
      <c r="D191" s="74">
        <v>2</v>
      </c>
      <c r="E191" s="74">
        <v>2</v>
      </c>
      <c r="F191" s="6">
        <v>0</v>
      </c>
      <c r="G191" s="6">
        <v>0</v>
      </c>
      <c r="H191" s="74">
        <v>32</v>
      </c>
      <c r="I191" s="74">
        <v>17</v>
      </c>
      <c r="J191" s="6">
        <v>0</v>
      </c>
      <c r="K191" s="34" t="s">
        <v>357</v>
      </c>
    </row>
    <row r="192" spans="1:11" s="35" customFormat="1" ht="15.75" x14ac:dyDescent="0.2">
      <c r="A192" s="33" t="s">
        <v>358</v>
      </c>
      <c r="B192" s="36">
        <f t="shared" si="31"/>
        <v>1624</v>
      </c>
      <c r="C192" s="74">
        <v>1485</v>
      </c>
      <c r="D192" s="74">
        <v>10</v>
      </c>
      <c r="E192" s="74">
        <v>23</v>
      </c>
      <c r="F192" s="6">
        <v>0</v>
      </c>
      <c r="G192" s="6">
        <v>0</v>
      </c>
      <c r="H192" s="74">
        <v>63</v>
      </c>
      <c r="I192" s="74">
        <v>36</v>
      </c>
      <c r="J192" s="74">
        <v>7</v>
      </c>
      <c r="K192" s="34" t="s">
        <v>359</v>
      </c>
    </row>
    <row r="193" spans="1:11" s="35" customFormat="1" ht="15.75" x14ac:dyDescent="0.2">
      <c r="A193" s="33" t="s">
        <v>316</v>
      </c>
      <c r="B193" s="36">
        <f t="shared" si="31"/>
        <v>1460</v>
      </c>
      <c r="C193" s="74">
        <v>1360</v>
      </c>
      <c r="D193" s="74">
        <v>5</v>
      </c>
      <c r="E193" s="74">
        <v>7</v>
      </c>
      <c r="F193" s="6">
        <v>0</v>
      </c>
      <c r="G193" s="6">
        <v>0</v>
      </c>
      <c r="H193" s="74">
        <v>60</v>
      </c>
      <c r="I193" s="74">
        <v>25</v>
      </c>
      <c r="J193" s="74">
        <v>3</v>
      </c>
      <c r="K193" s="34" t="s">
        <v>360</v>
      </c>
    </row>
    <row r="194" spans="1:11" s="35" customFormat="1" ht="15.75" x14ac:dyDescent="0.2">
      <c r="A194" s="33" t="s">
        <v>300</v>
      </c>
      <c r="B194" s="36">
        <f t="shared" si="31"/>
        <v>822</v>
      </c>
      <c r="C194" s="74">
        <v>756</v>
      </c>
      <c r="D194" s="74">
        <v>6</v>
      </c>
      <c r="E194" s="74">
        <v>13</v>
      </c>
      <c r="F194" s="6">
        <v>0</v>
      </c>
      <c r="G194" s="6">
        <v>0</v>
      </c>
      <c r="H194" s="74">
        <v>32</v>
      </c>
      <c r="I194" s="74">
        <v>15</v>
      </c>
      <c r="J194" s="6">
        <v>0</v>
      </c>
      <c r="K194" s="34" t="s">
        <v>301</v>
      </c>
    </row>
    <row r="195" spans="1:11" s="35" customFormat="1" ht="15.75" x14ac:dyDescent="0.2">
      <c r="A195" s="33" t="s">
        <v>361</v>
      </c>
      <c r="B195" s="36">
        <f t="shared" si="31"/>
        <v>2864</v>
      </c>
      <c r="C195" s="74">
        <v>2570</v>
      </c>
      <c r="D195" s="74">
        <v>23</v>
      </c>
      <c r="E195" s="74">
        <v>40</v>
      </c>
      <c r="F195" s="81">
        <v>1</v>
      </c>
      <c r="G195" s="81">
        <v>1</v>
      </c>
      <c r="H195" s="74">
        <v>149</v>
      </c>
      <c r="I195" s="74">
        <v>80</v>
      </c>
      <c r="J195" s="6">
        <v>0</v>
      </c>
      <c r="K195" s="34" t="s">
        <v>362</v>
      </c>
    </row>
    <row r="196" spans="1:11" s="35" customFormat="1" ht="15.75" x14ac:dyDescent="0.2">
      <c r="A196" s="33" t="s">
        <v>363</v>
      </c>
      <c r="B196" s="36">
        <f t="shared" si="31"/>
        <v>425</v>
      </c>
      <c r="C196" s="74">
        <v>382</v>
      </c>
      <c r="D196" s="74">
        <v>2</v>
      </c>
      <c r="E196" s="74">
        <v>2</v>
      </c>
      <c r="F196" s="6">
        <v>0</v>
      </c>
      <c r="G196" s="6">
        <v>0</v>
      </c>
      <c r="H196" s="74">
        <v>24</v>
      </c>
      <c r="I196" s="74">
        <v>15</v>
      </c>
      <c r="J196" s="6">
        <v>0</v>
      </c>
      <c r="K196" s="34" t="s">
        <v>364</v>
      </c>
    </row>
    <row r="197" spans="1:11" s="35" customFormat="1" ht="15.75" x14ac:dyDescent="0.2">
      <c r="A197" s="33" t="s">
        <v>365</v>
      </c>
      <c r="B197" s="36">
        <f t="shared" si="31"/>
        <v>1516</v>
      </c>
      <c r="C197" s="74">
        <v>1405</v>
      </c>
      <c r="D197" s="74">
        <v>12</v>
      </c>
      <c r="E197" s="74">
        <v>14</v>
      </c>
      <c r="F197" s="6">
        <v>0</v>
      </c>
      <c r="G197" s="6">
        <v>0</v>
      </c>
      <c r="H197" s="74">
        <v>49</v>
      </c>
      <c r="I197" s="74">
        <v>36</v>
      </c>
      <c r="J197" s="6">
        <v>0</v>
      </c>
      <c r="K197" s="34" t="s">
        <v>366</v>
      </c>
    </row>
    <row r="198" spans="1:11" s="35" customFormat="1" ht="17.25" x14ac:dyDescent="0.2">
      <c r="A198" s="33" t="s">
        <v>367</v>
      </c>
      <c r="B198" s="36">
        <f t="shared" si="31"/>
        <v>2193</v>
      </c>
      <c r="C198" s="74">
        <v>2033</v>
      </c>
      <c r="D198" s="74">
        <v>11</v>
      </c>
      <c r="E198" s="74">
        <v>21</v>
      </c>
      <c r="F198" s="81">
        <v>2</v>
      </c>
      <c r="G198" s="81">
        <v>3</v>
      </c>
      <c r="H198" s="74">
        <v>92</v>
      </c>
      <c r="I198" s="74">
        <v>31</v>
      </c>
      <c r="J198" s="6">
        <v>0</v>
      </c>
      <c r="K198" s="42" t="s">
        <v>368</v>
      </c>
    </row>
    <row r="199" spans="1:11" s="35" customFormat="1" ht="15.75" x14ac:dyDescent="0.2">
      <c r="A199" s="33"/>
      <c r="B199" s="36"/>
      <c r="C199" s="37"/>
      <c r="D199" s="74"/>
      <c r="E199" s="74"/>
      <c r="F199" s="74"/>
      <c r="G199" s="74"/>
      <c r="H199" s="74"/>
      <c r="I199" s="74"/>
      <c r="J199" s="74"/>
      <c r="K199" s="34"/>
    </row>
    <row r="200" spans="1:11" s="43" customFormat="1" ht="15.75" x14ac:dyDescent="0.2">
      <c r="A200" s="31" t="s">
        <v>56</v>
      </c>
      <c r="B200" s="36">
        <f>SUM(C200:J200)</f>
        <v>20260</v>
      </c>
      <c r="C200" s="73">
        <f>SUM(C201:C212)</f>
        <v>18461</v>
      </c>
      <c r="D200" s="73">
        <f t="shared" ref="D200:J200" si="32">SUM(D201:D212)</f>
        <v>172</v>
      </c>
      <c r="E200" s="73">
        <f t="shared" si="32"/>
        <v>299</v>
      </c>
      <c r="F200" s="73">
        <f t="shared" si="32"/>
        <v>6</v>
      </c>
      <c r="G200" s="73">
        <f t="shared" si="32"/>
        <v>8</v>
      </c>
      <c r="H200" s="73">
        <f t="shared" si="32"/>
        <v>771</v>
      </c>
      <c r="I200" s="73">
        <f t="shared" si="32"/>
        <v>531</v>
      </c>
      <c r="J200" s="73">
        <f t="shared" si="32"/>
        <v>12</v>
      </c>
      <c r="K200" s="32" t="s">
        <v>57</v>
      </c>
    </row>
    <row r="201" spans="1:11" s="35" customFormat="1" ht="15.75" x14ac:dyDescent="0.2">
      <c r="A201" s="33" t="s">
        <v>369</v>
      </c>
      <c r="B201" s="36">
        <f t="shared" ref="B201:B212" si="33">SUM(C201:J201)</f>
        <v>1153</v>
      </c>
      <c r="C201" s="74">
        <v>1042</v>
      </c>
      <c r="D201" s="74">
        <v>13</v>
      </c>
      <c r="E201" s="74">
        <v>29</v>
      </c>
      <c r="F201" s="81">
        <v>1</v>
      </c>
      <c r="G201" s="81">
        <v>1</v>
      </c>
      <c r="H201" s="74">
        <v>39</v>
      </c>
      <c r="I201" s="74">
        <v>28</v>
      </c>
      <c r="J201" s="6">
        <v>0</v>
      </c>
      <c r="K201" s="34" t="s">
        <v>370</v>
      </c>
    </row>
    <row r="202" spans="1:11" s="35" customFormat="1" ht="15.75" x14ac:dyDescent="0.2">
      <c r="A202" s="33" t="s">
        <v>371</v>
      </c>
      <c r="B202" s="36">
        <f t="shared" si="33"/>
        <v>3239</v>
      </c>
      <c r="C202" s="74">
        <v>2990</v>
      </c>
      <c r="D202" s="74">
        <v>19</v>
      </c>
      <c r="E202" s="74">
        <v>30</v>
      </c>
      <c r="F202" s="6">
        <v>0</v>
      </c>
      <c r="G202" s="6">
        <v>0</v>
      </c>
      <c r="H202" s="74">
        <v>121</v>
      </c>
      <c r="I202" s="74">
        <v>71</v>
      </c>
      <c r="J202" s="74">
        <v>8</v>
      </c>
      <c r="K202" s="34" t="s">
        <v>372</v>
      </c>
    </row>
    <row r="203" spans="1:11" s="35" customFormat="1" ht="15.75" x14ac:dyDescent="0.2">
      <c r="A203" s="33" t="s">
        <v>373</v>
      </c>
      <c r="B203" s="36">
        <f t="shared" si="33"/>
        <v>0</v>
      </c>
      <c r="C203" s="74"/>
      <c r="D203" s="74"/>
      <c r="E203" s="74"/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34" t="s">
        <v>374</v>
      </c>
    </row>
    <row r="204" spans="1:11" s="35" customFormat="1" ht="15.75" x14ac:dyDescent="0.2">
      <c r="A204" s="33" t="s">
        <v>375</v>
      </c>
      <c r="B204" s="36">
        <f t="shared" si="33"/>
        <v>5737</v>
      </c>
      <c r="C204" s="74">
        <v>5136</v>
      </c>
      <c r="D204" s="74">
        <v>68</v>
      </c>
      <c r="E204" s="74">
        <v>119</v>
      </c>
      <c r="F204" s="81">
        <v>3</v>
      </c>
      <c r="G204" s="81">
        <v>4</v>
      </c>
      <c r="H204" s="74">
        <v>251</v>
      </c>
      <c r="I204" s="74">
        <v>152</v>
      </c>
      <c r="J204" s="74">
        <v>4</v>
      </c>
      <c r="K204" s="34" t="s">
        <v>376</v>
      </c>
    </row>
    <row r="205" spans="1:11" s="35" customFormat="1" ht="15.75" x14ac:dyDescent="0.2">
      <c r="A205" s="33" t="s">
        <v>377</v>
      </c>
      <c r="B205" s="36">
        <f t="shared" si="33"/>
        <v>1396</v>
      </c>
      <c r="C205" s="74">
        <v>1295</v>
      </c>
      <c r="D205" s="74">
        <v>15</v>
      </c>
      <c r="E205" s="74">
        <v>25</v>
      </c>
      <c r="F205" s="6">
        <v>0</v>
      </c>
      <c r="G205" s="6">
        <v>0</v>
      </c>
      <c r="H205" s="74">
        <v>30</v>
      </c>
      <c r="I205" s="74">
        <v>31</v>
      </c>
      <c r="J205" s="6">
        <v>0</v>
      </c>
      <c r="K205" s="34" t="s">
        <v>378</v>
      </c>
    </row>
    <row r="206" spans="1:11" s="35" customFormat="1" ht="15.75" x14ac:dyDescent="0.2">
      <c r="A206" s="33" t="s">
        <v>379</v>
      </c>
      <c r="B206" s="36">
        <f t="shared" si="33"/>
        <v>1497</v>
      </c>
      <c r="C206" s="74">
        <v>1386</v>
      </c>
      <c r="D206" s="74">
        <v>8</v>
      </c>
      <c r="E206" s="74">
        <v>13</v>
      </c>
      <c r="F206" s="6">
        <v>0</v>
      </c>
      <c r="G206" s="6">
        <v>0</v>
      </c>
      <c r="H206" s="74">
        <v>55</v>
      </c>
      <c r="I206" s="74">
        <v>35</v>
      </c>
      <c r="J206" s="6">
        <v>0</v>
      </c>
      <c r="K206" s="34" t="s">
        <v>380</v>
      </c>
    </row>
    <row r="207" spans="1:11" s="35" customFormat="1" ht="15.75" x14ac:dyDescent="0.2">
      <c r="A207" s="33" t="s">
        <v>381</v>
      </c>
      <c r="B207" s="36">
        <f t="shared" si="33"/>
        <v>1085</v>
      </c>
      <c r="C207" s="74">
        <v>1006</v>
      </c>
      <c r="D207" s="74">
        <v>6</v>
      </c>
      <c r="E207" s="74">
        <v>11</v>
      </c>
      <c r="F207" s="6">
        <v>0</v>
      </c>
      <c r="G207" s="6">
        <v>0</v>
      </c>
      <c r="H207" s="74">
        <v>44</v>
      </c>
      <c r="I207" s="74">
        <v>18</v>
      </c>
      <c r="J207" s="6">
        <v>0</v>
      </c>
      <c r="K207" s="34" t="s">
        <v>382</v>
      </c>
    </row>
    <row r="208" spans="1:11" s="35" customFormat="1" ht="15.75" x14ac:dyDescent="0.2">
      <c r="A208" s="33" t="s">
        <v>383</v>
      </c>
      <c r="B208" s="36">
        <f t="shared" si="33"/>
        <v>1005</v>
      </c>
      <c r="C208" s="74">
        <v>910</v>
      </c>
      <c r="D208" s="74">
        <v>9</v>
      </c>
      <c r="E208" s="74">
        <v>18</v>
      </c>
      <c r="F208" s="81">
        <v>1</v>
      </c>
      <c r="G208" s="81">
        <v>2</v>
      </c>
      <c r="H208" s="74">
        <v>36</v>
      </c>
      <c r="I208" s="74">
        <v>29</v>
      </c>
      <c r="J208" s="6">
        <v>0</v>
      </c>
      <c r="K208" s="34" t="s">
        <v>384</v>
      </c>
    </row>
    <row r="209" spans="1:11" s="35" customFormat="1" ht="15.75" x14ac:dyDescent="0.2">
      <c r="A209" s="33" t="s">
        <v>385</v>
      </c>
      <c r="B209" s="36">
        <f t="shared" si="33"/>
        <v>1193</v>
      </c>
      <c r="C209" s="74">
        <v>1086</v>
      </c>
      <c r="D209" s="74">
        <v>4</v>
      </c>
      <c r="E209" s="74">
        <v>9</v>
      </c>
      <c r="F209" s="6">
        <v>0</v>
      </c>
      <c r="G209" s="6">
        <v>0</v>
      </c>
      <c r="H209" s="74">
        <v>58</v>
      </c>
      <c r="I209" s="74">
        <v>36</v>
      </c>
      <c r="J209" s="6">
        <v>0</v>
      </c>
      <c r="K209" s="34" t="s">
        <v>386</v>
      </c>
    </row>
    <row r="210" spans="1:11" s="35" customFormat="1" ht="15.75" x14ac:dyDescent="0.2">
      <c r="A210" s="33" t="s">
        <v>387</v>
      </c>
      <c r="B210" s="36">
        <f t="shared" si="33"/>
        <v>1419</v>
      </c>
      <c r="C210" s="74">
        <v>1291</v>
      </c>
      <c r="D210" s="74">
        <v>13</v>
      </c>
      <c r="E210" s="74">
        <v>18</v>
      </c>
      <c r="F210" s="81">
        <v>1</v>
      </c>
      <c r="G210" s="81">
        <v>1</v>
      </c>
      <c r="H210" s="74">
        <v>46</v>
      </c>
      <c r="I210" s="74">
        <v>49</v>
      </c>
      <c r="J210" s="6">
        <v>0</v>
      </c>
      <c r="K210" s="34" t="s">
        <v>388</v>
      </c>
    </row>
    <row r="211" spans="1:11" s="35" customFormat="1" ht="15.75" x14ac:dyDescent="0.2">
      <c r="A211" s="33" t="s">
        <v>389</v>
      </c>
      <c r="B211" s="36">
        <f t="shared" si="33"/>
        <v>2227</v>
      </c>
      <c r="C211" s="74">
        <v>2040</v>
      </c>
      <c r="D211" s="74">
        <v>16</v>
      </c>
      <c r="E211" s="74">
        <v>26</v>
      </c>
      <c r="F211" s="6">
        <v>0</v>
      </c>
      <c r="G211" s="6">
        <v>0</v>
      </c>
      <c r="H211" s="74">
        <v>74</v>
      </c>
      <c r="I211" s="74">
        <v>71</v>
      </c>
      <c r="J211" s="6">
        <v>0</v>
      </c>
      <c r="K211" s="34" t="s">
        <v>390</v>
      </c>
    </row>
    <row r="212" spans="1:11" s="35" customFormat="1" ht="15.75" x14ac:dyDescent="0.2">
      <c r="A212" s="33" t="s">
        <v>391</v>
      </c>
      <c r="B212" s="36">
        <f t="shared" si="33"/>
        <v>309</v>
      </c>
      <c r="C212" s="74">
        <v>279</v>
      </c>
      <c r="D212" s="74">
        <v>1</v>
      </c>
      <c r="E212" s="74">
        <v>1</v>
      </c>
      <c r="F212" s="6">
        <v>0</v>
      </c>
      <c r="G212" s="6">
        <v>0</v>
      </c>
      <c r="H212" s="74">
        <v>17</v>
      </c>
      <c r="I212" s="74">
        <v>11</v>
      </c>
      <c r="J212" s="6">
        <v>0</v>
      </c>
      <c r="K212" s="34" t="s">
        <v>392</v>
      </c>
    </row>
    <row r="213" spans="1:11" s="13" customFormat="1" ht="15.75" x14ac:dyDescent="0.4">
      <c r="A213" s="47"/>
      <c r="B213" s="36"/>
      <c r="C213" s="37"/>
      <c r="D213" s="74"/>
      <c r="E213" s="74"/>
      <c r="F213" s="74"/>
      <c r="G213" s="74"/>
      <c r="H213" s="74"/>
      <c r="I213" s="74"/>
      <c r="J213" s="74"/>
      <c r="K213" s="39"/>
    </row>
    <row r="214" spans="1:11" s="13" customFormat="1" ht="15.75" x14ac:dyDescent="0.2">
      <c r="A214" s="31" t="s">
        <v>58</v>
      </c>
      <c r="B214" s="36">
        <f>SUM(C214:J214)</f>
        <v>16366</v>
      </c>
      <c r="C214" s="73">
        <f>SUM(C215:C224)</f>
        <v>14547</v>
      </c>
      <c r="D214" s="73">
        <f t="shared" ref="D214:J214" si="34">SUM(D215:D224)</f>
        <v>86</v>
      </c>
      <c r="E214" s="73">
        <f t="shared" si="34"/>
        <v>159</v>
      </c>
      <c r="F214" s="73">
        <f t="shared" si="34"/>
        <v>7</v>
      </c>
      <c r="G214" s="73">
        <f t="shared" si="34"/>
        <v>11</v>
      </c>
      <c r="H214" s="73">
        <f t="shared" si="34"/>
        <v>883</v>
      </c>
      <c r="I214" s="73">
        <f t="shared" si="34"/>
        <v>560</v>
      </c>
      <c r="J214" s="73">
        <f t="shared" si="34"/>
        <v>113</v>
      </c>
      <c r="K214" s="32" t="s">
        <v>59</v>
      </c>
    </row>
    <row r="215" spans="1:11" s="13" customFormat="1" ht="15.75" x14ac:dyDescent="0.2">
      <c r="A215" s="33" t="s">
        <v>393</v>
      </c>
      <c r="B215" s="36">
        <f t="shared" ref="B215:B224" si="35">SUM(C215:J215)</f>
        <v>1433</v>
      </c>
      <c r="C215" s="74">
        <v>1317</v>
      </c>
      <c r="D215" s="6">
        <v>0</v>
      </c>
      <c r="E215" s="6">
        <v>0</v>
      </c>
      <c r="F215" s="6">
        <v>0</v>
      </c>
      <c r="G215" s="6">
        <v>0</v>
      </c>
      <c r="H215" s="74">
        <v>96</v>
      </c>
      <c r="I215" s="74">
        <v>20</v>
      </c>
      <c r="J215" s="6">
        <v>0</v>
      </c>
      <c r="K215" s="34" t="s">
        <v>394</v>
      </c>
    </row>
    <row r="216" spans="1:11" s="13" customFormat="1" ht="15.75" x14ac:dyDescent="0.2">
      <c r="A216" s="33" t="s">
        <v>395</v>
      </c>
      <c r="B216" s="36">
        <f t="shared" si="35"/>
        <v>2303</v>
      </c>
      <c r="C216" s="74">
        <v>1989</v>
      </c>
      <c r="D216" s="74">
        <v>14</v>
      </c>
      <c r="E216" s="74">
        <v>27</v>
      </c>
      <c r="F216" s="6">
        <v>0</v>
      </c>
      <c r="G216" s="6">
        <v>0</v>
      </c>
      <c r="H216" s="74">
        <v>142</v>
      </c>
      <c r="I216" s="74">
        <v>116</v>
      </c>
      <c r="J216" s="74">
        <v>15</v>
      </c>
      <c r="K216" s="34" t="s">
        <v>396</v>
      </c>
    </row>
    <row r="217" spans="1:11" s="13" customFormat="1" ht="15.75" x14ac:dyDescent="0.2">
      <c r="A217" s="33" t="s">
        <v>397</v>
      </c>
      <c r="B217" s="36">
        <f t="shared" si="35"/>
        <v>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34" t="s">
        <v>398</v>
      </c>
    </row>
    <row r="218" spans="1:11" s="13" customFormat="1" ht="15.75" x14ac:dyDescent="0.2">
      <c r="A218" s="33" t="s">
        <v>399</v>
      </c>
      <c r="B218" s="36">
        <f t="shared" si="35"/>
        <v>2177</v>
      </c>
      <c r="C218" s="74">
        <v>1950</v>
      </c>
      <c r="D218" s="74">
        <v>12</v>
      </c>
      <c r="E218" s="74">
        <v>22</v>
      </c>
      <c r="F218" s="81">
        <v>1</v>
      </c>
      <c r="G218" s="81">
        <v>4</v>
      </c>
      <c r="H218" s="74">
        <v>100</v>
      </c>
      <c r="I218" s="74">
        <v>88</v>
      </c>
      <c r="J218" s="6">
        <v>0</v>
      </c>
      <c r="K218" s="34" t="s">
        <v>400</v>
      </c>
    </row>
    <row r="219" spans="1:11" s="13" customFormat="1" ht="15.75" x14ac:dyDescent="0.2">
      <c r="A219" s="33" t="s">
        <v>401</v>
      </c>
      <c r="B219" s="36">
        <f t="shared" si="35"/>
        <v>1117</v>
      </c>
      <c r="C219" s="74">
        <v>998</v>
      </c>
      <c r="D219" s="74">
        <v>10</v>
      </c>
      <c r="E219" s="74">
        <v>18</v>
      </c>
      <c r="F219" s="81">
        <v>1</v>
      </c>
      <c r="G219" s="81">
        <v>1</v>
      </c>
      <c r="H219" s="74">
        <v>58</v>
      </c>
      <c r="I219" s="74">
        <v>31</v>
      </c>
      <c r="J219" s="6">
        <v>0</v>
      </c>
      <c r="K219" s="34" t="s">
        <v>402</v>
      </c>
    </row>
    <row r="220" spans="1:11" s="13" customFormat="1" ht="15.75" x14ac:dyDescent="0.2">
      <c r="A220" s="33" t="s">
        <v>403</v>
      </c>
      <c r="B220" s="36">
        <f t="shared" si="35"/>
        <v>593</v>
      </c>
      <c r="C220" s="74">
        <v>557</v>
      </c>
      <c r="D220" s="74">
        <v>1</v>
      </c>
      <c r="E220" s="74">
        <v>1</v>
      </c>
      <c r="F220" s="81">
        <v>1</v>
      </c>
      <c r="G220" s="81">
        <v>1</v>
      </c>
      <c r="H220" s="74">
        <v>22</v>
      </c>
      <c r="I220" s="74">
        <v>10</v>
      </c>
      <c r="J220" s="6">
        <v>0</v>
      </c>
      <c r="K220" s="34" t="s">
        <v>404</v>
      </c>
    </row>
    <row r="221" spans="1:11" s="13" customFormat="1" ht="15.75" x14ac:dyDescent="0.2">
      <c r="A221" s="33" t="s">
        <v>405</v>
      </c>
      <c r="B221" s="36">
        <f t="shared" si="35"/>
        <v>1772</v>
      </c>
      <c r="C221" s="74">
        <v>1606</v>
      </c>
      <c r="D221" s="74">
        <v>3</v>
      </c>
      <c r="E221" s="74">
        <v>4</v>
      </c>
      <c r="F221" s="81">
        <v>1</v>
      </c>
      <c r="G221" s="81">
        <v>1</v>
      </c>
      <c r="H221" s="74">
        <v>111</v>
      </c>
      <c r="I221" s="74">
        <v>46</v>
      </c>
      <c r="J221" s="6">
        <v>0</v>
      </c>
      <c r="K221" s="34" t="s">
        <v>406</v>
      </c>
    </row>
    <row r="222" spans="1:11" s="13" customFormat="1" ht="15.75" x14ac:dyDescent="0.2">
      <c r="A222" s="33" t="s">
        <v>387</v>
      </c>
      <c r="B222" s="36">
        <f t="shared" si="35"/>
        <v>1808</v>
      </c>
      <c r="C222" s="74">
        <v>1518</v>
      </c>
      <c r="D222" s="74">
        <v>14</v>
      </c>
      <c r="E222" s="74">
        <v>29</v>
      </c>
      <c r="F222" s="81">
        <v>1</v>
      </c>
      <c r="G222" s="81">
        <v>1</v>
      </c>
      <c r="H222" s="74">
        <v>79</v>
      </c>
      <c r="I222" s="74">
        <v>74</v>
      </c>
      <c r="J222" s="74">
        <v>92</v>
      </c>
      <c r="K222" s="34" t="s">
        <v>388</v>
      </c>
    </row>
    <row r="223" spans="1:11" s="13" customFormat="1" ht="15.75" x14ac:dyDescent="0.2">
      <c r="A223" s="33" t="s">
        <v>334</v>
      </c>
      <c r="B223" s="36">
        <f t="shared" si="35"/>
        <v>990</v>
      </c>
      <c r="C223" s="74">
        <v>890</v>
      </c>
      <c r="D223" s="74">
        <v>9</v>
      </c>
      <c r="E223" s="74">
        <v>16</v>
      </c>
      <c r="F223" s="81">
        <v>2</v>
      </c>
      <c r="G223" s="81">
        <v>3</v>
      </c>
      <c r="H223" s="74">
        <v>41</v>
      </c>
      <c r="I223" s="74">
        <v>29</v>
      </c>
      <c r="J223" s="6">
        <v>0</v>
      </c>
      <c r="K223" s="34" t="s">
        <v>335</v>
      </c>
    </row>
    <row r="224" spans="1:11" s="13" customFormat="1" ht="15.75" x14ac:dyDescent="0.2">
      <c r="A224" s="33" t="s">
        <v>407</v>
      </c>
      <c r="B224" s="36">
        <f t="shared" si="35"/>
        <v>4173</v>
      </c>
      <c r="C224" s="74">
        <v>3722</v>
      </c>
      <c r="D224" s="74">
        <v>23</v>
      </c>
      <c r="E224" s="74">
        <v>42</v>
      </c>
      <c r="F224" s="6">
        <v>0</v>
      </c>
      <c r="G224" s="6">
        <v>0</v>
      </c>
      <c r="H224" s="74">
        <v>234</v>
      </c>
      <c r="I224" s="74">
        <v>146</v>
      </c>
      <c r="J224" s="74">
        <v>6</v>
      </c>
      <c r="K224" s="34" t="s">
        <v>408</v>
      </c>
    </row>
    <row r="225" spans="1:11" s="13" customFormat="1" ht="15.75" x14ac:dyDescent="0.2">
      <c r="A225" s="33"/>
      <c r="B225" s="36"/>
      <c r="C225" s="37"/>
      <c r="D225" s="74"/>
      <c r="E225" s="74"/>
      <c r="F225" s="74"/>
      <c r="G225" s="74"/>
      <c r="H225" s="74"/>
      <c r="I225" s="74"/>
      <c r="J225" s="74"/>
      <c r="K225" s="34"/>
    </row>
    <row r="226" spans="1:11" s="48" customFormat="1" ht="15.75" x14ac:dyDescent="0.2">
      <c r="A226" s="31" t="s">
        <v>60</v>
      </c>
      <c r="B226" s="36">
        <f>SUM(C226:J226)</f>
        <v>23193</v>
      </c>
      <c r="C226" s="73">
        <f>SUM(C227:C235)</f>
        <v>20930</v>
      </c>
      <c r="D226" s="73">
        <f t="shared" ref="D226:J226" si="36">SUM(D227:D235)</f>
        <v>168</v>
      </c>
      <c r="E226" s="73">
        <f t="shared" si="36"/>
        <v>295</v>
      </c>
      <c r="F226" s="73">
        <f t="shared" si="36"/>
        <v>10</v>
      </c>
      <c r="G226" s="73">
        <f t="shared" si="36"/>
        <v>16</v>
      </c>
      <c r="H226" s="73">
        <f t="shared" si="36"/>
        <v>1041</v>
      </c>
      <c r="I226" s="73">
        <f t="shared" si="36"/>
        <v>708</v>
      </c>
      <c r="J226" s="73">
        <f t="shared" si="36"/>
        <v>25</v>
      </c>
      <c r="K226" s="32" t="s">
        <v>61</v>
      </c>
    </row>
    <row r="227" spans="1:11" s="48" customFormat="1" ht="15.75" x14ac:dyDescent="0.2">
      <c r="A227" s="33" t="s">
        <v>409</v>
      </c>
      <c r="B227" s="36">
        <f t="shared" ref="B227:B235" si="37">SUM(C227:J227)</f>
        <v>1942</v>
      </c>
      <c r="C227" s="74">
        <v>1769</v>
      </c>
      <c r="D227" s="74">
        <v>12</v>
      </c>
      <c r="E227" s="74">
        <v>17</v>
      </c>
      <c r="F227" s="74">
        <v>1</v>
      </c>
      <c r="G227" s="74">
        <v>1</v>
      </c>
      <c r="H227" s="74">
        <v>78</v>
      </c>
      <c r="I227" s="74">
        <v>64</v>
      </c>
      <c r="J227" s="6">
        <v>0</v>
      </c>
      <c r="K227" s="34" t="s">
        <v>410</v>
      </c>
    </row>
    <row r="228" spans="1:11" s="48" customFormat="1" ht="15.75" x14ac:dyDescent="0.2">
      <c r="A228" s="33" t="s">
        <v>411</v>
      </c>
      <c r="B228" s="36">
        <f t="shared" si="37"/>
        <v>1572</v>
      </c>
      <c r="C228" s="74">
        <v>1458</v>
      </c>
      <c r="D228" s="74">
        <v>8</v>
      </c>
      <c r="E228" s="74">
        <v>13</v>
      </c>
      <c r="F228" s="6">
        <v>0</v>
      </c>
      <c r="G228" s="6">
        <v>0</v>
      </c>
      <c r="H228" s="74">
        <v>69</v>
      </c>
      <c r="I228" s="74">
        <v>24</v>
      </c>
      <c r="J228" s="6">
        <v>0</v>
      </c>
      <c r="K228" s="34" t="s">
        <v>412</v>
      </c>
    </row>
    <row r="229" spans="1:11" s="48" customFormat="1" ht="15.75" x14ac:dyDescent="0.2">
      <c r="A229" s="33" t="s">
        <v>413</v>
      </c>
      <c r="B229" s="36">
        <f t="shared" si="37"/>
        <v>3215</v>
      </c>
      <c r="C229" s="74">
        <v>2949</v>
      </c>
      <c r="D229" s="74">
        <v>23</v>
      </c>
      <c r="E229" s="74">
        <v>42</v>
      </c>
      <c r="F229" s="74">
        <v>1</v>
      </c>
      <c r="G229" s="74">
        <v>2</v>
      </c>
      <c r="H229" s="74">
        <v>126</v>
      </c>
      <c r="I229" s="74">
        <v>72</v>
      </c>
      <c r="J229" s="6">
        <v>0</v>
      </c>
      <c r="K229" s="34" t="s">
        <v>414</v>
      </c>
    </row>
    <row r="230" spans="1:11" s="48" customFormat="1" ht="15.75" x14ac:dyDescent="0.2">
      <c r="A230" s="33" t="s">
        <v>415</v>
      </c>
      <c r="B230" s="36">
        <f t="shared" si="37"/>
        <v>1466</v>
      </c>
      <c r="C230" s="74">
        <v>1299</v>
      </c>
      <c r="D230" s="74">
        <v>12</v>
      </c>
      <c r="E230" s="74">
        <v>22</v>
      </c>
      <c r="F230" s="6">
        <v>0</v>
      </c>
      <c r="G230" s="6">
        <v>0</v>
      </c>
      <c r="H230" s="74">
        <v>84</v>
      </c>
      <c r="I230" s="74">
        <v>49</v>
      </c>
      <c r="J230" s="6">
        <v>0</v>
      </c>
      <c r="K230" s="34" t="s">
        <v>416</v>
      </c>
    </row>
    <row r="231" spans="1:11" s="48" customFormat="1" ht="15.75" x14ac:dyDescent="0.2">
      <c r="A231" s="33" t="s">
        <v>417</v>
      </c>
      <c r="B231" s="36">
        <f t="shared" si="37"/>
        <v>2311</v>
      </c>
      <c r="C231" s="74">
        <v>2022</v>
      </c>
      <c r="D231" s="74">
        <v>14</v>
      </c>
      <c r="E231" s="74">
        <v>24</v>
      </c>
      <c r="F231" s="6">
        <v>0</v>
      </c>
      <c r="G231" s="6">
        <v>0</v>
      </c>
      <c r="H231" s="74">
        <v>139</v>
      </c>
      <c r="I231" s="74">
        <v>97</v>
      </c>
      <c r="J231" s="74">
        <v>15</v>
      </c>
      <c r="K231" s="34" t="s">
        <v>418</v>
      </c>
    </row>
    <row r="232" spans="1:11" s="13" customFormat="1" ht="15.75" x14ac:dyDescent="0.2">
      <c r="A232" s="33" t="s">
        <v>419</v>
      </c>
      <c r="B232" s="36">
        <f t="shared" si="37"/>
        <v>1174</v>
      </c>
      <c r="C232" s="74">
        <v>1068</v>
      </c>
      <c r="D232" s="74">
        <v>10</v>
      </c>
      <c r="E232" s="74">
        <v>15</v>
      </c>
      <c r="F232" s="74">
        <v>1</v>
      </c>
      <c r="G232" s="74">
        <v>3</v>
      </c>
      <c r="H232" s="74">
        <v>29</v>
      </c>
      <c r="I232" s="74">
        <v>46</v>
      </c>
      <c r="J232" s="74">
        <v>2</v>
      </c>
      <c r="K232" s="34" t="s">
        <v>420</v>
      </c>
    </row>
    <row r="233" spans="1:11" s="13" customFormat="1" ht="15.75" x14ac:dyDescent="0.2">
      <c r="A233" s="33" t="s">
        <v>421</v>
      </c>
      <c r="B233" s="36">
        <f t="shared" si="37"/>
        <v>1449</v>
      </c>
      <c r="C233" s="74">
        <v>1328</v>
      </c>
      <c r="D233" s="74">
        <v>8</v>
      </c>
      <c r="E233" s="74">
        <v>17</v>
      </c>
      <c r="F233" s="74">
        <v>1</v>
      </c>
      <c r="G233" s="74">
        <v>1</v>
      </c>
      <c r="H233" s="74">
        <v>63</v>
      </c>
      <c r="I233" s="74">
        <v>31</v>
      </c>
      <c r="J233" s="6">
        <v>0</v>
      </c>
      <c r="K233" s="34" t="s">
        <v>422</v>
      </c>
    </row>
    <row r="234" spans="1:11" s="13" customFormat="1" ht="15.75" x14ac:dyDescent="0.2">
      <c r="A234" s="33" t="s">
        <v>423</v>
      </c>
      <c r="B234" s="36">
        <f t="shared" si="37"/>
        <v>8538</v>
      </c>
      <c r="C234" s="74">
        <v>7652</v>
      </c>
      <c r="D234" s="74">
        <v>74</v>
      </c>
      <c r="E234" s="74">
        <v>130</v>
      </c>
      <c r="F234" s="74">
        <v>6</v>
      </c>
      <c r="G234" s="74">
        <v>9</v>
      </c>
      <c r="H234" s="74">
        <v>363</v>
      </c>
      <c r="I234" s="74">
        <v>296</v>
      </c>
      <c r="J234" s="74">
        <v>8</v>
      </c>
      <c r="K234" s="34" t="s">
        <v>311</v>
      </c>
    </row>
    <row r="235" spans="1:11" s="13" customFormat="1" ht="15.75" x14ac:dyDescent="0.2">
      <c r="A235" s="33" t="s">
        <v>216</v>
      </c>
      <c r="B235" s="36">
        <f t="shared" si="37"/>
        <v>1526</v>
      </c>
      <c r="C235" s="74">
        <v>1385</v>
      </c>
      <c r="D235" s="74">
        <v>7</v>
      </c>
      <c r="E235" s="74">
        <v>15</v>
      </c>
      <c r="F235" s="6">
        <v>0</v>
      </c>
      <c r="G235" s="6">
        <v>0</v>
      </c>
      <c r="H235" s="74">
        <v>90</v>
      </c>
      <c r="I235" s="74">
        <v>29</v>
      </c>
      <c r="J235" s="6">
        <v>0</v>
      </c>
      <c r="K235" s="34" t="s">
        <v>217</v>
      </c>
    </row>
    <row r="236" spans="1:11" s="13" customFormat="1" ht="15.75" x14ac:dyDescent="0.4">
      <c r="A236" s="33"/>
      <c r="B236" s="36"/>
      <c r="C236" s="37"/>
      <c r="D236" s="74"/>
      <c r="E236" s="74"/>
      <c r="F236" s="74"/>
      <c r="G236" s="74"/>
      <c r="H236" s="74"/>
      <c r="I236" s="74"/>
      <c r="J236" s="74"/>
      <c r="K236" s="39"/>
    </row>
    <row r="237" spans="1:11" s="13" customFormat="1" ht="15.75" x14ac:dyDescent="0.2">
      <c r="A237" s="31" t="s">
        <v>62</v>
      </c>
      <c r="B237" s="36">
        <f>SUM(C237:J237)</f>
        <v>13868</v>
      </c>
      <c r="C237" s="73">
        <f>C238</f>
        <v>12460</v>
      </c>
      <c r="D237" s="73">
        <f t="shared" ref="D237:J237" si="38">D238</f>
        <v>115</v>
      </c>
      <c r="E237" s="73">
        <f t="shared" si="38"/>
        <v>199</v>
      </c>
      <c r="F237" s="73">
        <f t="shared" si="38"/>
        <v>13</v>
      </c>
      <c r="G237" s="73">
        <f t="shared" si="38"/>
        <v>14</v>
      </c>
      <c r="H237" s="73">
        <f t="shared" si="38"/>
        <v>478</v>
      </c>
      <c r="I237" s="73">
        <f t="shared" si="38"/>
        <v>560</v>
      </c>
      <c r="J237" s="73">
        <f t="shared" si="38"/>
        <v>29</v>
      </c>
      <c r="K237" s="32" t="s">
        <v>63</v>
      </c>
    </row>
    <row r="238" spans="1:11" s="13" customFormat="1" ht="15.75" x14ac:dyDescent="0.2">
      <c r="A238" s="33" t="s">
        <v>424</v>
      </c>
      <c r="B238" s="36">
        <f>SUM(C238:J238)</f>
        <v>13868</v>
      </c>
      <c r="C238" s="74">
        <v>12460</v>
      </c>
      <c r="D238" s="74">
        <v>115</v>
      </c>
      <c r="E238" s="74">
        <v>199</v>
      </c>
      <c r="F238" s="74">
        <v>13</v>
      </c>
      <c r="G238" s="74">
        <v>14</v>
      </c>
      <c r="H238" s="74">
        <v>478</v>
      </c>
      <c r="I238" s="74">
        <v>560</v>
      </c>
      <c r="J238" s="74">
        <v>29</v>
      </c>
      <c r="K238" s="34" t="s">
        <v>425</v>
      </c>
    </row>
    <row r="239" spans="1:11" s="13" customFormat="1" ht="15.75" x14ac:dyDescent="0.4">
      <c r="A239" s="33"/>
      <c r="B239" s="36"/>
      <c r="C239" s="37"/>
      <c r="D239" s="74"/>
      <c r="E239" s="74"/>
      <c r="F239" s="74"/>
      <c r="G239" s="74"/>
      <c r="H239" s="74"/>
      <c r="I239" s="74"/>
      <c r="J239" s="74"/>
      <c r="K239" s="39"/>
    </row>
    <row r="240" spans="1:11" s="13" customFormat="1" ht="15.75" x14ac:dyDescent="0.2">
      <c r="A240" s="31" t="s">
        <v>64</v>
      </c>
      <c r="B240" s="36">
        <f>SUM(C240:J240)</f>
        <v>35701</v>
      </c>
      <c r="C240" s="73">
        <f>SUM(C241:C246)</f>
        <v>32160</v>
      </c>
      <c r="D240" s="73">
        <f t="shared" ref="D240:J240" si="39">SUM(D241:D246)</f>
        <v>218</v>
      </c>
      <c r="E240" s="73">
        <f t="shared" si="39"/>
        <v>386</v>
      </c>
      <c r="F240" s="73">
        <f t="shared" si="39"/>
        <v>14</v>
      </c>
      <c r="G240" s="73">
        <f t="shared" si="39"/>
        <v>17</v>
      </c>
      <c r="H240" s="73">
        <f t="shared" si="39"/>
        <v>1684</v>
      </c>
      <c r="I240" s="73">
        <f t="shared" si="39"/>
        <v>1197</v>
      </c>
      <c r="J240" s="73">
        <f t="shared" si="39"/>
        <v>25</v>
      </c>
      <c r="K240" s="32" t="s">
        <v>65</v>
      </c>
    </row>
    <row r="241" spans="1:11" s="13" customFormat="1" ht="15.75" x14ac:dyDescent="0.2">
      <c r="A241" s="33" t="s">
        <v>132</v>
      </c>
      <c r="B241" s="36">
        <f t="shared" ref="B241:B246" si="40">SUM(C241:J241)</f>
        <v>5764</v>
      </c>
      <c r="C241" s="74">
        <v>5253</v>
      </c>
      <c r="D241" s="74">
        <v>25</v>
      </c>
      <c r="E241" s="74">
        <v>50</v>
      </c>
      <c r="F241" s="74">
        <v>1</v>
      </c>
      <c r="G241" s="74">
        <v>1</v>
      </c>
      <c r="H241" s="74">
        <v>272</v>
      </c>
      <c r="I241" s="74">
        <v>162</v>
      </c>
      <c r="J241" s="6">
        <v>0</v>
      </c>
      <c r="K241" s="34" t="s">
        <v>133</v>
      </c>
    </row>
    <row r="242" spans="1:11" s="13" customFormat="1" ht="15.75" x14ac:dyDescent="0.2">
      <c r="A242" s="33" t="s">
        <v>377</v>
      </c>
      <c r="B242" s="36">
        <f t="shared" si="40"/>
        <v>17181</v>
      </c>
      <c r="C242" s="74">
        <v>15366</v>
      </c>
      <c r="D242" s="74">
        <v>118</v>
      </c>
      <c r="E242" s="74">
        <v>207</v>
      </c>
      <c r="F242" s="78">
        <v>8</v>
      </c>
      <c r="G242" s="78">
        <v>10</v>
      </c>
      <c r="H242" s="74">
        <v>809</v>
      </c>
      <c r="I242" s="74">
        <v>657</v>
      </c>
      <c r="J242" s="74">
        <v>6</v>
      </c>
      <c r="K242" s="34" t="s">
        <v>378</v>
      </c>
    </row>
    <row r="243" spans="1:11" s="13" customFormat="1" ht="15.75" x14ac:dyDescent="0.2">
      <c r="A243" s="33" t="s">
        <v>426</v>
      </c>
      <c r="B243" s="36">
        <f t="shared" si="40"/>
        <v>3626</v>
      </c>
      <c r="C243" s="74">
        <v>3328</v>
      </c>
      <c r="D243" s="74">
        <v>11</v>
      </c>
      <c r="E243" s="74">
        <v>22</v>
      </c>
      <c r="F243" s="74">
        <v>2</v>
      </c>
      <c r="G243" s="74">
        <v>3</v>
      </c>
      <c r="H243" s="74">
        <v>201</v>
      </c>
      <c r="I243" s="74">
        <v>59</v>
      </c>
      <c r="J243" s="6">
        <v>0</v>
      </c>
      <c r="K243" s="34" t="s">
        <v>427</v>
      </c>
    </row>
    <row r="244" spans="1:11" s="13" customFormat="1" ht="15.75" x14ac:dyDescent="0.2">
      <c r="A244" s="33" t="s">
        <v>428</v>
      </c>
      <c r="B244" s="36">
        <f t="shared" si="40"/>
        <v>3942</v>
      </c>
      <c r="C244" s="74">
        <v>3546</v>
      </c>
      <c r="D244" s="74">
        <v>17</v>
      </c>
      <c r="E244" s="74">
        <v>26</v>
      </c>
      <c r="F244" s="6">
        <v>0</v>
      </c>
      <c r="G244" s="6">
        <v>0</v>
      </c>
      <c r="H244" s="74">
        <v>184</v>
      </c>
      <c r="I244" s="74">
        <v>160</v>
      </c>
      <c r="J244" s="74">
        <v>9</v>
      </c>
      <c r="K244" s="34" t="s">
        <v>429</v>
      </c>
    </row>
    <row r="245" spans="1:11" s="13" customFormat="1" ht="15.75" x14ac:dyDescent="0.2">
      <c r="A245" s="33" t="s">
        <v>430</v>
      </c>
      <c r="B245" s="36">
        <f t="shared" si="40"/>
        <v>2024</v>
      </c>
      <c r="C245" s="74">
        <v>1819</v>
      </c>
      <c r="D245" s="74">
        <v>20</v>
      </c>
      <c r="E245" s="74">
        <v>33</v>
      </c>
      <c r="F245" s="6">
        <v>0</v>
      </c>
      <c r="G245" s="6">
        <v>0</v>
      </c>
      <c r="H245" s="74">
        <v>94</v>
      </c>
      <c r="I245" s="74">
        <v>58</v>
      </c>
      <c r="J245" s="6">
        <v>0</v>
      </c>
      <c r="K245" s="34" t="s">
        <v>431</v>
      </c>
    </row>
    <row r="246" spans="1:11" s="13" customFormat="1" ht="15.75" x14ac:dyDescent="0.2">
      <c r="A246" s="49" t="s">
        <v>208</v>
      </c>
      <c r="B246" s="63">
        <f t="shared" si="40"/>
        <v>3164</v>
      </c>
      <c r="C246" s="7">
        <v>2848</v>
      </c>
      <c r="D246" s="64">
        <v>27</v>
      </c>
      <c r="E246" s="64">
        <v>48</v>
      </c>
      <c r="F246" s="64">
        <v>3</v>
      </c>
      <c r="G246" s="64">
        <v>3</v>
      </c>
      <c r="H246" s="64">
        <v>124</v>
      </c>
      <c r="I246" s="64">
        <v>101</v>
      </c>
      <c r="J246" s="64">
        <v>10</v>
      </c>
      <c r="K246" s="50" t="s">
        <v>209</v>
      </c>
    </row>
    <row r="247" spans="1:11" s="56" customFormat="1" ht="15.75" x14ac:dyDescent="0.2">
      <c r="A247" s="51" t="s">
        <v>432</v>
      </c>
      <c r="B247" s="36"/>
      <c r="C247" s="52"/>
      <c r="D247" s="53"/>
      <c r="E247" s="53"/>
      <c r="F247" s="53"/>
      <c r="G247" s="53"/>
      <c r="H247" s="53"/>
      <c r="I247" s="53"/>
      <c r="J247" s="54"/>
      <c r="K247" s="55" t="s">
        <v>433</v>
      </c>
    </row>
    <row r="248" spans="1:11" s="56" customFormat="1" ht="15.75" x14ac:dyDescent="0.2">
      <c r="A248" s="51" t="s">
        <v>434</v>
      </c>
      <c r="B248" s="36"/>
      <c r="C248" s="52"/>
      <c r="D248" s="57"/>
      <c r="E248" s="57"/>
      <c r="F248" s="57"/>
      <c r="G248" s="57"/>
      <c r="H248" s="57"/>
      <c r="I248" s="57"/>
      <c r="J248" s="58"/>
      <c r="K248" s="55" t="s">
        <v>435</v>
      </c>
    </row>
    <row r="249" spans="1:11" s="56" customFormat="1" ht="15.75" x14ac:dyDescent="0.2">
      <c r="A249" s="51" t="s">
        <v>436</v>
      </c>
      <c r="B249" s="36"/>
      <c r="C249" s="52"/>
      <c r="D249" s="57"/>
      <c r="E249" s="57"/>
      <c r="F249" s="57"/>
      <c r="G249" s="57"/>
      <c r="H249" s="59"/>
      <c r="I249" s="57"/>
      <c r="J249" s="58"/>
      <c r="K249" s="55" t="s">
        <v>437</v>
      </c>
    </row>
    <row r="250" spans="1:11" ht="17.25" x14ac:dyDescent="0.25">
      <c r="A250" s="30" t="s">
        <v>440</v>
      </c>
      <c r="K250" s="60" t="s">
        <v>67</v>
      </c>
    </row>
    <row r="251" spans="1:11" s="13" customFormat="1" ht="15.75" x14ac:dyDescent="0.4">
      <c r="A251" s="4" t="s">
        <v>66</v>
      </c>
      <c r="B251" s="36"/>
      <c r="C251" s="9"/>
      <c r="D251" s="10"/>
      <c r="E251" s="10"/>
      <c r="F251" s="10"/>
      <c r="G251" s="10"/>
      <c r="H251" s="8"/>
      <c r="I251" s="10"/>
      <c r="J251" s="11"/>
      <c r="K251" s="12"/>
    </row>
    <row r="252" spans="1:11" s="56" customFormat="1" ht="12.75" x14ac:dyDescent="0.2">
      <c r="B252" s="36"/>
      <c r="C252" s="52"/>
      <c r="D252" s="57"/>
      <c r="E252" s="57"/>
      <c r="F252" s="57"/>
      <c r="G252" s="57"/>
      <c r="H252" s="59"/>
      <c r="I252" s="57"/>
      <c r="J252" s="58"/>
    </row>
  </sheetData>
  <mergeCells count="15">
    <mergeCell ref="A2:K2"/>
    <mergeCell ref="A3:K3"/>
    <mergeCell ref="B4:B8"/>
    <mergeCell ref="C4:C5"/>
    <mergeCell ref="D4:E5"/>
    <mergeCell ref="F4:G5"/>
    <mergeCell ref="H4:H5"/>
    <mergeCell ref="I4:I5"/>
    <mergeCell ref="J4:J5"/>
    <mergeCell ref="K4:K8"/>
    <mergeCell ref="D6:E6"/>
    <mergeCell ref="F6:G6"/>
    <mergeCell ref="H6:H8"/>
    <mergeCell ref="I6:I8"/>
    <mergeCell ref="J6:J7"/>
  </mergeCells>
  <pageMargins left="0.7" right="0.7" top="0.75" bottom="0.75" header="0.3" footer="0.3"/>
  <pageSetup scale="44" orientation="portrait" r:id="rId1"/>
  <rowBreaks count="2" manualBreakCount="2">
    <brk id="76" max="10" man="1"/>
    <brk id="156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18.20</vt:lpstr>
      <vt:lpstr>'18.20'!Print_Area</vt:lpstr>
      <vt:lpstr>'18.20'!Print_Titles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2026-07-27T20:21:05Z</cp:lastPrinted>
  <dcterms:created xsi:type="dcterms:W3CDTF">2025-05-19T08:29:05Z</dcterms:created>
  <dcterms:modified xsi:type="dcterms:W3CDTF">2026-07-27T20:21:39Z</dcterms:modified>
</cp:coreProperties>
</file>