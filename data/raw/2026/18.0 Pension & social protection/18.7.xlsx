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ension &amp; Social Protection\"/>
    </mc:Choice>
  </mc:AlternateContent>
  <xr:revisionPtr revIDLastSave="0" documentId="13_ncr:1_{D86E9825-802E-45D3-A9E1-8D9CDF8B8F55}" xr6:coauthVersionLast="47" xr6:coauthVersionMax="47" xr10:uidLastSave="{00000000-0000-0000-0000-000000000000}"/>
  <bookViews>
    <workbookView xWindow="-120" yWindow="-120" windowWidth="29040" windowHeight="15720" tabRatio="756" xr2:uid="{00000000-000D-0000-FFFF-FFFF00000000}"/>
  </bookViews>
  <sheets>
    <sheet name="18.7" sheetId="7" r:id="rId1"/>
  </sheets>
  <definedNames>
    <definedName name="_xlnm.Print_Area" localSheetId="0">'18.7'!$A$1:$T$22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" i="7" l="1"/>
  <c r="J19" i="7"/>
  <c r="F19" i="7"/>
  <c r="B19" i="7"/>
  <c r="N18" i="7"/>
  <c r="J18" i="7"/>
  <c r="F18" i="7"/>
  <c r="B18" i="7"/>
  <c r="N17" i="7"/>
  <c r="J17" i="7"/>
  <c r="F17" i="7"/>
  <c r="B17" i="7"/>
  <c r="N16" i="7"/>
  <c r="J16" i="7"/>
  <c r="F16" i="7"/>
  <c r="B16" i="7"/>
  <c r="N15" i="7"/>
  <c r="J15" i="7"/>
  <c r="F15" i="7"/>
  <c r="B15" i="7"/>
  <c r="N14" i="7"/>
  <c r="J14" i="7"/>
  <c r="F14" i="7"/>
  <c r="B14" i="7"/>
  <c r="N13" i="7"/>
  <c r="J13" i="7"/>
  <c r="F13" i="7"/>
  <c r="B13" i="7"/>
  <c r="N12" i="7"/>
  <c r="J12" i="7"/>
  <c r="F12" i="7"/>
  <c r="B12" i="7"/>
  <c r="N11" i="7"/>
  <c r="J11" i="7"/>
  <c r="F11" i="7"/>
  <c r="B11" i="7"/>
  <c r="N10" i="7"/>
  <c r="J10" i="7"/>
  <c r="F10" i="7"/>
  <c r="B10" i="7"/>
  <c r="N9" i="7"/>
  <c r="J9" i="7"/>
  <c r="F9" i="7"/>
  <c r="B9" i="7"/>
  <c r="N8" i="7"/>
  <c r="J8" i="7"/>
  <c r="F8" i="7"/>
  <c r="B8" i="7"/>
</calcChain>
</file>

<file path=xl/sharedStrings.xml><?xml version="1.0" encoding="utf-8"?>
<sst xmlns="http://schemas.openxmlformats.org/spreadsheetml/2006/main" count="51" uniqueCount="39">
  <si>
    <t>Total</t>
  </si>
  <si>
    <t>Month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</si>
  <si>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</si>
  <si>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</si>
  <si>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</si>
  <si>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</si>
  <si>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</si>
  <si>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</si>
  <si>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</si>
  <si>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</si>
  <si>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</si>
  <si>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</si>
  <si>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</si>
  <si>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</si>
  <si>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</si>
  <si>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</si>
  <si>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</si>
  <si>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</si>
  <si>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</si>
  <si>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</si>
  <si>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</si>
  <si>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</si>
  <si>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</si>
  <si>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</si>
  <si>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</si>
  <si>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</si>
  <si>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މަޢުލޫމާތު ދެއްވި ފަރާތް: މޯލްޑިވްސް ޕެންޝަން އެޑްމިނިސްޓްރޭޝަން</t>
  </si>
  <si>
    <t>Source: Maldives Pension Administration</t>
  </si>
  <si>
    <t>65-69</t>
  </si>
  <si>
    <t>70-74</t>
  </si>
  <si>
    <t>75 +</t>
  </si>
  <si>
    <r>
      <rPr>
        <b/>
        <sz val="11"/>
        <color rgb="FF000000"/>
        <rFont val="Calibri"/>
        <family val="2"/>
      </rP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</si>
  <si>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r>
      <rPr>
        <b/>
        <sz val="11"/>
        <color rgb="FF000000"/>
        <rFont val="Calibri"/>
        <family val="2"/>
      </rP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</si>
  <si>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r>
      <rPr>
        <b/>
        <sz val="11"/>
        <color rgb="FF000000"/>
        <rFont val="Calibri"/>
        <family val="2"/>
      </rP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</si>
  <si>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r>
      <rPr>
        <b/>
        <sz val="11"/>
        <color rgb="FF000000"/>
        <rFont val="Calibri"/>
        <family val="2"/>
      </rP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</si>
  <si>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r>
      <rPr>
        <i/>
        <sz val="9"/>
        <color rgb="FF000000"/>
        <rFont val="Calibri"/>
        <family val="2"/>
      </rPr>
      <t>Senior Citizen Allowance was introduced in February 2014 and</t>
    </r>
    <r>
      <rPr>
        <i/>
        <sz val="9"/>
        <color rgb="FFFF0000"/>
        <rFont val="Calibri"/>
        <family val="2"/>
      </rPr>
      <t xml:space="preserve"> discontinued in March 2019.</t>
    </r>
  </si>
  <si>
    <t xml:space="preserve">ސީނިއަރ ސިޓިޒަން އެލަވަންސް ސްކީމް ތަޢާރަފުކުރެވިފައިވާ ފެބްރުއަރީ 2014 ގައެވެ. އަދި މާރޗް 2019 ގައި ވަނީ ހުއްޓާލާފައެވެ. </t>
  </si>
  <si>
    <t>ތާވަލު  18.7: ސީނިއަރ ސިޓިޒަން އެލަވަންސް ލިބޭ މީހުންގެ އަދަދު އަދި ޢުމުރުފުރާތައް، 2016 - 2019</t>
  </si>
  <si>
    <t>TABLE 18.7: NUMBER OF BENEFICIARIES OF SENIOR CITIZEN ALLOWANCE BY AGE, 2016- 2019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</si>
</sst>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sz val="9"/>
      <color rgb="FF000000"/>
      <name val="Calibri"/>
      <family val="2"/>
    </font>
    <font>
      <i/>
      <sz val="9"/>
      <color rgb="FF000000"/>
      <name val="Calibri"/>
      <family val="2"/>
    </font>
    <font>
      <sz val="8"/>
      <color rgb="FF000000"/>
      <name val="Faruma"/>
    </font>
    <font>
      <sz val="9"/>
      <color rgb="FF000000"/>
      <name val="Faruma"/>
    </font>
    <font>
      <i/>
      <sz val="9"/>
      <color rgb="FFFF0000"/>
      <name val="Calibri"/>
      <family val="2"/>
    </font>
    <font>
      <sz val="11"/>
      <color rgb="FF000000"/>
      <name val="Calibri"/>
      <family val="2"/>
      <scheme val="minor"/>
    </font>
    <font>
      <sz val="10"/>
      <name val="Courier"/>
      <family val="3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2">
    <xf numFmtId="0" fontId="0" fillId="0" borderId="0"/>
    <xf numFmtId="164" fontId="12" fillId="0" borderId="25"/>
    <xf numFmtId="43" fontId="3" fillId="0" borderId="25" applyFont="0" applyFill="0" applyBorder="0" applyAlignment="0" applyProtection="0"/>
    <xf numFmtId="43" fontId="3" fillId="0" borderId="25" applyFont="0" applyFill="0" applyBorder="0" applyAlignment="0" applyProtection="0"/>
    <xf numFmtId="0" fontId="11" fillId="0" borderId="25"/>
    <xf numFmtId="0" fontId="3" fillId="0" borderId="25"/>
    <xf numFmtId="0" fontId="3" fillId="0" borderId="25"/>
    <xf numFmtId="0" fontId="3" fillId="0" borderId="25"/>
    <xf numFmtId="0" fontId="11" fillId="0" borderId="25"/>
    <xf numFmtId="0" fontId="11" fillId="0" borderId="25"/>
    <xf numFmtId="0" fontId="3" fillId="0" borderId="25"/>
    <xf numFmtId="0" fontId="3" fillId="0" borderId="25"/>
    <xf numFmtId="0" fontId="13" fillId="0" borderId="25"/>
    <xf numFmtId="0" fontId="13" fillId="0" borderId="25"/>
    <xf numFmtId="0" fontId="13" fillId="0" borderId="25"/>
    <xf numFmtId="0" fontId="13" fillId="0" borderId="25"/>
    <xf numFmtId="0" fontId="13" fillId="0" borderId="25"/>
    <xf numFmtId="0" fontId="13" fillId="0" borderId="25"/>
    <xf numFmtId="0" fontId="13" fillId="0" borderId="25"/>
    <xf numFmtId="0" fontId="13" fillId="0" borderId="25"/>
    <xf numFmtId="0" fontId="13" fillId="0" borderId="25"/>
    <xf numFmtId="0" fontId="13" fillId="0" borderId="25"/>
    <xf numFmtId="0" fontId="13" fillId="0" borderId="25"/>
    <xf numFmtId="0" fontId="13" fillId="0" borderId="25"/>
    <xf numFmtId="0" fontId="13" fillId="0" borderId="25"/>
    <xf numFmtId="0" fontId="13" fillId="0" borderId="25"/>
    <xf numFmtId="0" fontId="13" fillId="0" borderId="25"/>
    <xf numFmtId="0" fontId="13" fillId="0" borderId="25"/>
    <xf numFmtId="0" fontId="13" fillId="0" borderId="25"/>
    <xf numFmtId="0" fontId="13" fillId="0" borderId="25"/>
    <xf numFmtId="0" fontId="13" fillId="0" borderId="25"/>
    <xf numFmtId="0" fontId="13" fillId="0" borderId="25"/>
  </cellStyleXfs>
  <cellXfs count="43">
    <xf numFmtId="0" fontId="0" fillId="0" borderId="0" xfId="0"/>
    <xf numFmtId="0" fontId="3" fillId="2" borderId="4" xfId="0" applyFont="1" applyFill="1" applyBorder="1"/>
    <xf numFmtId="0" fontId="1" fillId="2" borderId="4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vertical="center"/>
    </xf>
    <xf numFmtId="0" fontId="4" fillId="2" borderId="19" xfId="0" applyFont="1" applyFill="1" applyBorder="1" applyAlignment="1">
      <alignment horizontal="right" vertical="center"/>
    </xf>
    <xf numFmtId="0" fontId="4" fillId="2" borderId="20" xfId="0" applyFont="1" applyFill="1" applyBorder="1" applyAlignment="1">
      <alignment horizontal="right" vertical="center"/>
    </xf>
    <xf numFmtId="0" fontId="4" fillId="2" borderId="21" xfId="0" applyFont="1" applyFill="1" applyBorder="1" applyAlignment="1">
      <alignment horizontal="right" vertical="center"/>
    </xf>
    <xf numFmtId="0" fontId="1" fillId="2" borderId="4" xfId="0" applyFont="1" applyFill="1" applyBorder="1"/>
    <xf numFmtId="0" fontId="3" fillId="2" borderId="16" xfId="0" applyFont="1" applyFill="1" applyBorder="1"/>
    <xf numFmtId="164" fontId="3" fillId="2" borderId="4" xfId="0" applyNumberFormat="1" applyFont="1" applyFill="1" applyBorder="1"/>
    <xf numFmtId="0" fontId="5" fillId="2" borderId="4" xfId="0" applyFont="1" applyFill="1" applyBorder="1" applyAlignment="1">
      <alignment horizontal="right" vertical="center"/>
    </xf>
    <xf numFmtId="0" fontId="5" fillId="2" borderId="16" xfId="0" applyFont="1" applyFill="1" applyBorder="1" applyAlignment="1">
      <alignment horizontal="right" vertical="center"/>
    </xf>
    <xf numFmtId="0" fontId="7" fillId="2" borderId="4" xfId="0" applyFont="1" applyFill="1" applyBorder="1" applyAlignment="1">
      <alignment vertical="center"/>
    </xf>
    <xf numFmtId="0" fontId="6" fillId="2" borderId="4" xfId="0" applyFont="1" applyFill="1" applyBorder="1"/>
    <xf numFmtId="0" fontId="8" fillId="2" borderId="4" xfId="0" applyFont="1" applyFill="1" applyBorder="1" applyAlignment="1">
      <alignment vertical="center"/>
    </xf>
    <xf numFmtId="0" fontId="7" fillId="2" borderId="4" xfId="0" applyFont="1" applyFill="1" applyBorder="1"/>
    <xf numFmtId="0" fontId="9" fillId="2" borderId="4" xfId="0" applyFont="1" applyFill="1" applyBorder="1"/>
    <xf numFmtId="164" fontId="3" fillId="2" borderId="4" xfId="0" applyNumberFormat="1" applyFont="1" applyFill="1" applyBorder="1" applyAlignment="1">
      <alignment horizontal="right" vertical="center"/>
    </xf>
    <xf numFmtId="164" fontId="3" fillId="2" borderId="16" xfId="0" applyNumberFormat="1" applyFont="1" applyFill="1" applyBorder="1" applyAlignment="1">
      <alignment horizontal="right" vertical="center"/>
    </xf>
    <xf numFmtId="164" fontId="3" fillId="2" borderId="23" xfId="0" applyNumberFormat="1" applyFont="1" applyFill="1" applyBorder="1" applyAlignment="1">
      <alignment horizontal="right" vertical="center"/>
    </xf>
    <xf numFmtId="164" fontId="3" fillId="2" borderId="16" xfId="0" applyNumberFormat="1" applyFont="1" applyFill="1" applyBorder="1"/>
    <xf numFmtId="164" fontId="3" fillId="2" borderId="18" xfId="0" applyNumberFormat="1" applyFont="1" applyFill="1" applyBorder="1" applyAlignment="1">
      <alignment horizontal="right" vertical="center"/>
    </xf>
    <xf numFmtId="0" fontId="4" fillId="2" borderId="16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164" fontId="3" fillId="2" borderId="22" xfId="0" applyNumberFormat="1" applyFont="1" applyFill="1" applyBorder="1" applyAlignment="1">
      <alignment horizontal="right" vertical="center"/>
    </xf>
    <xf numFmtId="164" fontId="3" fillId="2" borderId="17" xfId="0" applyNumberFormat="1" applyFont="1" applyFill="1" applyBorder="1" applyAlignment="1">
      <alignment horizontal="right" vertical="center"/>
    </xf>
    <xf numFmtId="0" fontId="0" fillId="3" borderId="0" xfId="0" applyFill="1"/>
    <xf numFmtId="0" fontId="2" fillId="3" borderId="11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0" fontId="2" fillId="3" borderId="9" xfId="0" applyFont="1" applyFill="1" applyBorder="1"/>
    <xf numFmtId="0" fontId="2" fillId="3" borderId="15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</cellXfs>
  <cellStyles count="32">
    <cellStyle name="Comma 23" xfId="2" xr:uid="{94027C67-5182-4251-874E-333D39869C41}"/>
    <cellStyle name="Comma 3" xfId="3" xr:uid="{32D59405-9255-4528-A182-E2FB87AEA447}"/>
    <cellStyle name="Normal" xfId="0" builtinId="0"/>
    <cellStyle name="Normal 10" xfId="6" xr:uid="{EBA83A1A-0725-4264-B217-6FB255D01D9A}"/>
    <cellStyle name="Normal 11" xfId="8" xr:uid="{141512A6-9575-4B9F-B0CD-71B08DB8B8DD}"/>
    <cellStyle name="Normal 12" xfId="18" xr:uid="{EBB53E00-7290-4E95-B00B-97E70B994095}"/>
    <cellStyle name="Normal 13" xfId="19" xr:uid="{5089EADD-6FB8-455A-99B7-4CE3F8EA2523}"/>
    <cellStyle name="Normal 14" xfId="20" xr:uid="{6D8E876D-C549-4F8C-BBB2-9044945BA1DE}"/>
    <cellStyle name="Normal 15" xfId="21" xr:uid="{FC8B6F0F-4F04-414B-856A-E9EF52594A17}"/>
    <cellStyle name="Normal 16" xfId="22" xr:uid="{A9472295-1693-4D41-8C43-FD2ACA0018F7}"/>
    <cellStyle name="Normal 17" xfId="23" xr:uid="{AD84AE3E-C9FD-40C7-9E44-467A53F078DC}"/>
    <cellStyle name="Normal 18" xfId="24" xr:uid="{3ECF2013-8279-4761-949D-EDD1A3769A1A}"/>
    <cellStyle name="Normal 19" xfId="25" xr:uid="{2DA431D7-B0FC-4CC3-83FB-38993139A464}"/>
    <cellStyle name="Normal 2" xfId="1" xr:uid="{5582CC97-B3B3-49F0-A32C-77365FA866E7}"/>
    <cellStyle name="Normal 20" xfId="26" xr:uid="{BF15BF13-2BA4-453C-A5D4-7F378D5A7AB0}"/>
    <cellStyle name="Normal 21" xfId="27" xr:uid="{EB16884D-319E-44C4-BACF-AAE219752D74}"/>
    <cellStyle name="Normal 22" xfId="28" xr:uid="{0BC55367-C80F-4644-A253-56F0D6C8449D}"/>
    <cellStyle name="Normal 23" xfId="29" xr:uid="{70D0A6B6-C10D-4B03-BE3E-BCA8F6F565D6}"/>
    <cellStyle name="Normal 24" xfId="30" xr:uid="{5D1C52F0-96A7-41A3-BA9A-F4828B3BA100}"/>
    <cellStyle name="Normal 25" xfId="31" xr:uid="{98DE4CB4-469A-4E2E-95F6-679D1ED1E259}"/>
    <cellStyle name="Normal 3" xfId="12" xr:uid="{41F67738-7CBD-405C-A2E8-93EC8D754E04}"/>
    <cellStyle name="Normal 30 2" xfId="5" xr:uid="{319A01A9-484D-401C-B51C-AFA22C8C147A}"/>
    <cellStyle name="Normal 39" xfId="7" xr:uid="{358DB4F3-2572-40C1-8528-73DD19838977}"/>
    <cellStyle name="Normal 4" xfId="13" xr:uid="{F9DB212B-6BED-4D0E-9812-6AF8B0852E4C}"/>
    <cellStyle name="Normal 5" xfId="14" xr:uid="{2E2DF4F8-9240-4060-8DF2-DBD25985C646}"/>
    <cellStyle name="Normal 58" xfId="11" xr:uid="{5FADB181-8394-4B9F-BF6B-8B2AABC26B0E}"/>
    <cellStyle name="Normal 59" xfId="10" xr:uid="{BC46D8EB-1784-4261-8D55-F234E5AA2CF7}"/>
    <cellStyle name="Normal 6" xfId="15" xr:uid="{FD6A37D1-7F80-4842-A6BE-097A50A4815D}"/>
    <cellStyle name="Normal 7" xfId="16" xr:uid="{D3073D1C-C63F-4665-88AD-8A1CCCB7F8E6}"/>
    <cellStyle name="Normal 8" xfId="17" xr:uid="{994E9518-379D-453B-A8BE-5A00EF9195C3}"/>
    <cellStyle name="Normal 9" xfId="4" xr:uid="{625F25BA-A41A-4C28-BF91-33331014C8BC}"/>
    <cellStyle name="Normal 9 2" xfId="9" xr:uid="{9FC5A332-BEB2-4834-8023-4E42B3DA4A83}"/>
  </cellStyles>
  <dxfs count="0"/>
  <tableStyles count="0" defaultTableStyle="TableStyleMedium2" defaultPivotStyle="PivotStyleLight16"/>
  <colors>
    <mruColors>
      <color rgb="FF336600"/>
      <color rgb="FFF9FFF3"/>
      <color rgb="FFAEAAAA"/>
      <color rgb="FF003300"/>
      <color rgb="FF2F75B5"/>
      <color rgb="FFFF3399"/>
      <color rgb="FF9BC2E6"/>
      <color rgb="FF33CCCC"/>
      <color rgb="FF003399"/>
      <color rgb="FF7E5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V22"/>
  <sheetViews>
    <sheetView tabSelected="1" zoomScaleNormal="100" workbookViewId="0">
      <selection activeCell="O27" sqref="O27"/>
    </sheetView>
  </sheetViews>
  <sheetFormatPr defaultColWidth="14.42578125" defaultRowHeight="15" customHeight="1" x14ac:dyDescent="0.25"/>
  <cols>
    <col min="1" max="1" width="9" style="26" customWidth="1"/>
    <col min="2" max="4" width="13.85546875" style="26" customWidth="1"/>
    <col min="5" max="5" width="1.5703125" style="26" customWidth="1"/>
    <col min="6" max="17" width="13.85546875" style="26" customWidth="1"/>
    <col min="18" max="18" width="13.7109375" style="26" customWidth="1"/>
    <col min="19" max="19" width="1.140625" style="26" customWidth="1"/>
    <col min="20" max="20" width="7.42578125" style="26" customWidth="1"/>
    <col min="21" max="21" width="9" style="26" customWidth="1"/>
    <col min="22" max="22" width="8.42578125" style="26" customWidth="1"/>
    <col min="23" max="16384" width="14.42578125" style="26"/>
  </cols>
  <sheetData>
    <row r="1" spans="1:22" s="26" customFormat="1" ht="5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s="26" customFormat="1" ht="21" customHeight="1" x14ac:dyDescent="0.55000000000000004">
      <c r="A2" s="30" t="s">
        <v>37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2"/>
      <c r="S2" s="7"/>
      <c r="T2" s="7"/>
      <c r="U2" s="7"/>
      <c r="V2" s="7"/>
    </row>
    <row r="3" spans="1:22" s="26" customFormat="1" x14ac:dyDescent="0.25">
      <c r="A3" s="37" t="s">
        <v>38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2"/>
      <c r="S3" s="1"/>
      <c r="T3" s="1"/>
      <c r="U3" s="1"/>
      <c r="V3" s="1"/>
    </row>
    <row r="4" spans="1:22" s="26" customFormat="1" x14ac:dyDescent="0.25">
      <c r="A4" s="1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"/>
      <c r="T4" s="23"/>
      <c r="U4" s="23"/>
      <c r="V4" s="23"/>
    </row>
    <row r="5" spans="1:22" s="26" customFormat="1" x14ac:dyDescent="0.25">
      <c r="A5" s="38" t="s">
        <v>1</v>
      </c>
      <c r="B5" s="41">
        <v>2016</v>
      </c>
      <c r="C5" s="35"/>
      <c r="D5" s="35"/>
      <c r="E5" s="36"/>
      <c r="F5" s="41">
        <v>2017</v>
      </c>
      <c r="G5" s="35"/>
      <c r="H5" s="35"/>
      <c r="I5" s="36"/>
      <c r="J5" s="41">
        <v>2018</v>
      </c>
      <c r="K5" s="35"/>
      <c r="L5" s="35"/>
      <c r="M5" s="36"/>
      <c r="N5" s="41">
        <v>2019</v>
      </c>
      <c r="O5" s="35"/>
      <c r="P5" s="35"/>
      <c r="Q5" s="36"/>
      <c r="R5" s="23"/>
      <c r="S5" s="1"/>
      <c r="T5" s="23"/>
      <c r="U5" s="23"/>
      <c r="V5" s="23"/>
    </row>
    <row r="6" spans="1:22" s="26" customFormat="1" ht="21" customHeight="1" x14ac:dyDescent="0.55000000000000004">
      <c r="A6" s="33"/>
      <c r="B6" s="39" t="s">
        <v>31</v>
      </c>
      <c r="C6" s="27"/>
      <c r="D6" s="27"/>
      <c r="E6" s="28"/>
      <c r="F6" s="39" t="s">
        <v>32</v>
      </c>
      <c r="G6" s="27"/>
      <c r="H6" s="27"/>
      <c r="I6" s="29"/>
      <c r="J6" s="40" t="s">
        <v>33</v>
      </c>
      <c r="K6" s="27"/>
      <c r="L6" s="27"/>
      <c r="M6" s="28"/>
      <c r="N6" s="40" t="s">
        <v>34</v>
      </c>
      <c r="O6" s="27"/>
      <c r="P6" s="27"/>
      <c r="Q6" s="28"/>
      <c r="R6" s="42"/>
      <c r="S6" s="2"/>
      <c r="T6" s="1"/>
      <c r="U6" s="1"/>
      <c r="V6" s="1"/>
    </row>
    <row r="7" spans="1:22" s="26" customFormat="1" ht="15" customHeight="1" x14ac:dyDescent="0.25">
      <c r="A7" s="34"/>
      <c r="B7" s="4" t="s">
        <v>0</v>
      </c>
      <c r="C7" s="4" t="s">
        <v>28</v>
      </c>
      <c r="D7" s="4" t="s">
        <v>29</v>
      </c>
      <c r="E7" s="4" t="s">
        <v>30</v>
      </c>
      <c r="F7" s="4" t="s">
        <v>0</v>
      </c>
      <c r="G7" s="4" t="s">
        <v>28</v>
      </c>
      <c r="H7" s="4" t="s">
        <v>29</v>
      </c>
      <c r="I7" s="5" t="s">
        <v>30</v>
      </c>
      <c r="J7" s="6" t="s">
        <v>0</v>
      </c>
      <c r="K7" s="4" t="s">
        <v>28</v>
      </c>
      <c r="L7" s="4" t="s">
        <v>29</v>
      </c>
      <c r="M7" s="4" t="s">
        <v>30</v>
      </c>
      <c r="N7" s="6" t="s">
        <v>0</v>
      </c>
      <c r="O7" s="4" t="s">
        <v>28</v>
      </c>
      <c r="P7" s="4" t="s">
        <v>29</v>
      </c>
      <c r="Q7" s="4" t="s">
        <v>30</v>
      </c>
      <c r="R7" s="34"/>
      <c r="S7" s="1"/>
      <c r="T7" s="1"/>
      <c r="U7" s="1"/>
      <c r="V7" s="1"/>
    </row>
    <row r="8" spans="1:22" s="26" customFormat="1" ht="21" customHeight="1" x14ac:dyDescent="0.25">
      <c r="A8" s="1" t="s">
        <v>2</v>
      </c>
      <c r="B8" s="9">
        <f t="shared" ref="B8:B19" si="0">SUM(C8:E8)</f>
        <v>16804</v>
      </c>
      <c r="C8" s="9">
        <v>4426</v>
      </c>
      <c r="D8" s="9">
        <v>4631</v>
      </c>
      <c r="E8" s="9">
        <v>7747</v>
      </c>
      <c r="F8" s="17">
        <f t="shared" ref="F8:F19" si="1">SUM(G8:I8)</f>
        <v>16855</v>
      </c>
      <c r="G8" s="17">
        <v>4554</v>
      </c>
      <c r="H8" s="17">
        <v>4388</v>
      </c>
      <c r="I8" s="24">
        <v>7913</v>
      </c>
      <c r="J8" s="19">
        <f t="shared" ref="J8:J19" si="2">SUM(K8:M8)</f>
        <v>17250</v>
      </c>
      <c r="K8" s="17">
        <v>4826</v>
      </c>
      <c r="L8" s="17">
        <v>4264</v>
      </c>
      <c r="M8" s="17">
        <v>8160</v>
      </c>
      <c r="N8" s="19">
        <f t="shared" ref="N8:N19" si="3">SUM(O8:Q8)</f>
        <v>17580</v>
      </c>
      <c r="O8" s="17">
        <v>5077</v>
      </c>
      <c r="P8" s="17">
        <v>4296</v>
      </c>
      <c r="Q8" s="17">
        <v>8207</v>
      </c>
      <c r="R8" s="10" t="s">
        <v>3</v>
      </c>
      <c r="S8" s="1"/>
      <c r="T8" s="1"/>
      <c r="U8" s="1"/>
      <c r="V8" s="1"/>
    </row>
    <row r="9" spans="1:22" s="26" customFormat="1" ht="21" customHeight="1" x14ac:dyDescent="0.25">
      <c r="A9" s="1" t="s">
        <v>4</v>
      </c>
      <c r="B9" s="9">
        <f t="shared" si="0"/>
        <v>16874</v>
      </c>
      <c r="C9" s="9">
        <v>4504</v>
      </c>
      <c r="D9" s="9">
        <v>4633</v>
      </c>
      <c r="E9" s="9">
        <v>7737</v>
      </c>
      <c r="F9" s="17">
        <f t="shared" si="1"/>
        <v>16905</v>
      </c>
      <c r="G9" s="17">
        <v>4600</v>
      </c>
      <c r="H9" s="17">
        <v>4381</v>
      </c>
      <c r="I9" s="24">
        <v>7924</v>
      </c>
      <c r="J9" s="19">
        <f t="shared" si="2"/>
        <v>17336</v>
      </c>
      <c r="K9" s="17">
        <v>4935</v>
      </c>
      <c r="L9" s="17">
        <v>4268</v>
      </c>
      <c r="M9" s="17">
        <v>8133</v>
      </c>
      <c r="N9" s="19">
        <f t="shared" si="3"/>
        <v>17676</v>
      </c>
      <c r="O9" s="17">
        <v>5191</v>
      </c>
      <c r="P9" s="17">
        <v>4291</v>
      </c>
      <c r="Q9" s="17">
        <v>8194</v>
      </c>
      <c r="R9" s="10" t="s">
        <v>5</v>
      </c>
      <c r="S9" s="1"/>
      <c r="T9" s="1"/>
      <c r="U9" s="1"/>
      <c r="V9" s="1"/>
    </row>
    <row r="10" spans="1:22" s="26" customFormat="1" ht="21" customHeight="1" x14ac:dyDescent="0.25">
      <c r="A10" s="1" t="s">
        <v>6</v>
      </c>
      <c r="B10" s="9">
        <f t="shared" si="0"/>
        <v>16871</v>
      </c>
      <c r="C10" s="9">
        <v>4540</v>
      </c>
      <c r="D10" s="9">
        <v>4664</v>
      </c>
      <c r="E10" s="9">
        <v>7667</v>
      </c>
      <c r="F10" s="17">
        <f t="shared" si="1"/>
        <v>16877</v>
      </c>
      <c r="G10" s="17">
        <v>4681</v>
      </c>
      <c r="H10" s="17">
        <v>4348</v>
      </c>
      <c r="I10" s="24">
        <v>7848</v>
      </c>
      <c r="J10" s="19">
        <f t="shared" si="2"/>
        <v>17347</v>
      </c>
      <c r="K10" s="17">
        <v>5019</v>
      </c>
      <c r="L10" s="17">
        <v>4254</v>
      </c>
      <c r="M10" s="17">
        <v>8074</v>
      </c>
      <c r="N10" s="19">
        <f t="shared" si="3"/>
        <v>0</v>
      </c>
      <c r="O10" s="17">
        <v>0</v>
      </c>
      <c r="P10" s="17">
        <v>0</v>
      </c>
      <c r="Q10" s="17">
        <v>0</v>
      </c>
      <c r="R10" s="10" t="s">
        <v>7</v>
      </c>
      <c r="S10" s="1"/>
      <c r="T10" s="1"/>
      <c r="U10" s="1"/>
      <c r="V10" s="1"/>
    </row>
    <row r="11" spans="1:22" s="26" customFormat="1" ht="21" customHeight="1" x14ac:dyDescent="0.25">
      <c r="A11" s="1" t="s">
        <v>8</v>
      </c>
      <c r="B11" s="9">
        <f t="shared" si="0"/>
        <v>16884</v>
      </c>
      <c r="C11" s="9">
        <v>4578</v>
      </c>
      <c r="D11" s="9">
        <v>4626</v>
      </c>
      <c r="E11" s="9">
        <v>7680</v>
      </c>
      <c r="F11" s="17">
        <f t="shared" si="1"/>
        <v>16957</v>
      </c>
      <c r="G11" s="17">
        <v>4751</v>
      </c>
      <c r="H11" s="17">
        <v>4339</v>
      </c>
      <c r="I11" s="24">
        <v>7867</v>
      </c>
      <c r="J11" s="19">
        <f t="shared" si="2"/>
        <v>17367</v>
      </c>
      <c r="K11" s="17">
        <v>5031</v>
      </c>
      <c r="L11" s="17">
        <v>4238</v>
      </c>
      <c r="M11" s="17">
        <v>8098</v>
      </c>
      <c r="N11" s="19">
        <f t="shared" si="3"/>
        <v>0</v>
      </c>
      <c r="O11" s="17">
        <v>0</v>
      </c>
      <c r="P11" s="17">
        <v>0</v>
      </c>
      <c r="Q11" s="17">
        <v>0</v>
      </c>
      <c r="R11" s="10" t="s">
        <v>9</v>
      </c>
      <c r="S11" s="1"/>
      <c r="T11" s="1"/>
      <c r="U11" s="1"/>
      <c r="V11" s="1"/>
    </row>
    <row r="12" spans="1:22" s="26" customFormat="1" ht="21" customHeight="1" x14ac:dyDescent="0.25">
      <c r="A12" s="1" t="s">
        <v>10</v>
      </c>
      <c r="B12" s="9">
        <f t="shared" si="0"/>
        <v>16914</v>
      </c>
      <c r="C12" s="9">
        <v>4592</v>
      </c>
      <c r="D12" s="9">
        <v>4662</v>
      </c>
      <c r="E12" s="9">
        <v>7660</v>
      </c>
      <c r="F12" s="17">
        <f t="shared" si="1"/>
        <v>16998</v>
      </c>
      <c r="G12" s="17">
        <v>4814</v>
      </c>
      <c r="H12" s="17">
        <v>4378</v>
      </c>
      <c r="I12" s="24">
        <v>7806</v>
      </c>
      <c r="J12" s="19">
        <f t="shared" si="2"/>
        <v>17336</v>
      </c>
      <c r="K12" s="17">
        <v>5095</v>
      </c>
      <c r="L12" s="17">
        <v>4229</v>
      </c>
      <c r="M12" s="17">
        <v>8012</v>
      </c>
      <c r="N12" s="19">
        <f t="shared" si="3"/>
        <v>0</v>
      </c>
      <c r="O12" s="17">
        <v>0</v>
      </c>
      <c r="P12" s="17">
        <v>0</v>
      </c>
      <c r="Q12" s="17">
        <v>0</v>
      </c>
      <c r="R12" s="10" t="s">
        <v>11</v>
      </c>
      <c r="S12" s="1"/>
      <c r="T12" s="1"/>
      <c r="U12" s="1"/>
      <c r="V12" s="1"/>
    </row>
    <row r="13" spans="1:22" s="26" customFormat="1" ht="21" customHeight="1" x14ac:dyDescent="0.25">
      <c r="A13" s="1" t="s">
        <v>12</v>
      </c>
      <c r="B13" s="9">
        <f t="shared" si="0"/>
        <v>16851</v>
      </c>
      <c r="C13" s="9">
        <v>4614</v>
      </c>
      <c r="D13" s="9">
        <v>4630</v>
      </c>
      <c r="E13" s="9">
        <v>7607</v>
      </c>
      <c r="F13" s="17">
        <f t="shared" si="1"/>
        <v>17024</v>
      </c>
      <c r="G13" s="17">
        <v>4860</v>
      </c>
      <c r="H13" s="17">
        <v>4338</v>
      </c>
      <c r="I13" s="24">
        <v>7826</v>
      </c>
      <c r="J13" s="19">
        <f t="shared" si="2"/>
        <v>17330</v>
      </c>
      <c r="K13" s="17">
        <v>5097</v>
      </c>
      <c r="L13" s="17">
        <v>4246</v>
      </c>
      <c r="M13" s="17">
        <v>7987</v>
      </c>
      <c r="N13" s="19">
        <f t="shared" si="3"/>
        <v>0</v>
      </c>
      <c r="O13" s="17">
        <v>0</v>
      </c>
      <c r="P13" s="17">
        <v>0</v>
      </c>
      <c r="Q13" s="17">
        <v>0</v>
      </c>
      <c r="R13" s="10" t="s">
        <v>13</v>
      </c>
      <c r="S13" s="1"/>
      <c r="T13" s="1"/>
      <c r="U13" s="1"/>
      <c r="V13" s="1"/>
    </row>
    <row r="14" spans="1:22" s="26" customFormat="1" ht="21" customHeight="1" x14ac:dyDescent="0.25">
      <c r="A14" s="1" t="s">
        <v>14</v>
      </c>
      <c r="B14" s="9">
        <f t="shared" si="0"/>
        <v>16843</v>
      </c>
      <c r="C14" s="9">
        <v>4623</v>
      </c>
      <c r="D14" s="9">
        <v>4640</v>
      </c>
      <c r="E14" s="9">
        <v>7580</v>
      </c>
      <c r="F14" s="17">
        <f t="shared" si="1"/>
        <v>17019</v>
      </c>
      <c r="G14" s="17">
        <v>4918</v>
      </c>
      <c r="H14" s="17">
        <v>4349</v>
      </c>
      <c r="I14" s="24">
        <v>7752</v>
      </c>
      <c r="J14" s="19">
        <f t="shared" si="2"/>
        <v>17352</v>
      </c>
      <c r="K14" s="17">
        <v>5188</v>
      </c>
      <c r="L14" s="17">
        <v>4236</v>
      </c>
      <c r="M14" s="17">
        <v>7928</v>
      </c>
      <c r="N14" s="19">
        <f t="shared" si="3"/>
        <v>0</v>
      </c>
      <c r="O14" s="17">
        <v>0</v>
      </c>
      <c r="P14" s="17">
        <v>0</v>
      </c>
      <c r="Q14" s="17">
        <v>0</v>
      </c>
      <c r="R14" s="10" t="s">
        <v>15</v>
      </c>
      <c r="S14" s="1"/>
      <c r="T14" s="1"/>
      <c r="U14" s="1"/>
      <c r="V14" s="1"/>
    </row>
    <row r="15" spans="1:22" s="26" customFormat="1" ht="21" customHeight="1" x14ac:dyDescent="0.25">
      <c r="A15" s="1" t="s">
        <v>16</v>
      </c>
      <c r="B15" s="9">
        <f t="shared" si="0"/>
        <v>16837</v>
      </c>
      <c r="C15" s="9">
        <v>4316</v>
      </c>
      <c r="D15" s="9">
        <v>4981</v>
      </c>
      <c r="E15" s="9">
        <v>7540</v>
      </c>
      <c r="F15" s="17">
        <f t="shared" si="1"/>
        <v>17044</v>
      </c>
      <c r="G15" s="17">
        <v>4565</v>
      </c>
      <c r="H15" s="17">
        <v>4727</v>
      </c>
      <c r="I15" s="24">
        <v>7752</v>
      </c>
      <c r="J15" s="19">
        <f t="shared" si="2"/>
        <v>17371</v>
      </c>
      <c r="K15" s="17">
        <v>5220</v>
      </c>
      <c r="L15" s="17">
        <v>4245</v>
      </c>
      <c r="M15" s="17">
        <v>7906</v>
      </c>
      <c r="N15" s="19">
        <f t="shared" si="3"/>
        <v>0</v>
      </c>
      <c r="O15" s="17">
        <v>0</v>
      </c>
      <c r="P15" s="17">
        <v>0</v>
      </c>
      <c r="Q15" s="17">
        <v>0</v>
      </c>
      <c r="R15" s="10" t="s">
        <v>17</v>
      </c>
      <c r="S15" s="1"/>
      <c r="T15" s="1"/>
      <c r="U15" s="1"/>
      <c r="V15" s="1"/>
    </row>
    <row r="16" spans="1:22" s="26" customFormat="1" ht="21" customHeight="1" x14ac:dyDescent="0.25">
      <c r="A16" s="1" t="s">
        <v>18</v>
      </c>
      <c r="B16" s="9">
        <f t="shared" si="0"/>
        <v>16849</v>
      </c>
      <c r="C16" s="9">
        <v>4347</v>
      </c>
      <c r="D16" s="9">
        <v>4503</v>
      </c>
      <c r="E16" s="9">
        <v>7999</v>
      </c>
      <c r="F16" s="17">
        <f t="shared" si="1"/>
        <v>17073</v>
      </c>
      <c r="G16" s="17">
        <v>4602</v>
      </c>
      <c r="H16" s="17">
        <v>4250</v>
      </c>
      <c r="I16" s="24">
        <v>8221</v>
      </c>
      <c r="J16" s="19">
        <f t="shared" si="2"/>
        <v>17364</v>
      </c>
      <c r="K16" s="17">
        <v>4797</v>
      </c>
      <c r="L16" s="17">
        <v>4290</v>
      </c>
      <c r="M16" s="17">
        <v>8277</v>
      </c>
      <c r="N16" s="19">
        <f t="shared" si="3"/>
        <v>0</v>
      </c>
      <c r="O16" s="17">
        <v>0</v>
      </c>
      <c r="P16" s="17">
        <v>0</v>
      </c>
      <c r="Q16" s="17">
        <v>0</v>
      </c>
      <c r="R16" s="10" t="s">
        <v>19</v>
      </c>
      <c r="S16" s="1"/>
      <c r="T16" s="1"/>
      <c r="U16" s="1"/>
      <c r="V16" s="1"/>
    </row>
    <row r="17" spans="1:22" s="26" customFormat="1" ht="21" customHeight="1" x14ac:dyDescent="0.25">
      <c r="A17" s="1" t="s">
        <v>20</v>
      </c>
      <c r="B17" s="9">
        <f t="shared" si="0"/>
        <v>16814</v>
      </c>
      <c r="C17" s="9">
        <v>4355</v>
      </c>
      <c r="D17" s="9">
        <v>4470</v>
      </c>
      <c r="E17" s="9">
        <v>7989</v>
      </c>
      <c r="F17" s="17">
        <f t="shared" si="1"/>
        <v>17035</v>
      </c>
      <c r="G17" s="17">
        <v>4587</v>
      </c>
      <c r="H17" s="17">
        <v>4260</v>
      </c>
      <c r="I17" s="24">
        <v>8188</v>
      </c>
      <c r="J17" s="19">
        <f t="shared" si="2"/>
        <v>17337</v>
      </c>
      <c r="K17" s="17">
        <v>4793</v>
      </c>
      <c r="L17" s="17">
        <v>4297</v>
      </c>
      <c r="M17" s="17">
        <v>8247</v>
      </c>
      <c r="N17" s="19">
        <f t="shared" si="3"/>
        <v>0</v>
      </c>
      <c r="O17" s="17">
        <v>0</v>
      </c>
      <c r="P17" s="17">
        <v>0</v>
      </c>
      <c r="Q17" s="17">
        <v>0</v>
      </c>
      <c r="R17" s="10" t="s">
        <v>21</v>
      </c>
      <c r="S17" s="1"/>
      <c r="T17" s="1"/>
      <c r="U17" s="1"/>
      <c r="V17" s="1"/>
    </row>
    <row r="18" spans="1:22" s="26" customFormat="1" ht="21" customHeight="1" x14ac:dyDescent="0.25">
      <c r="A18" s="1" t="s">
        <v>22</v>
      </c>
      <c r="B18" s="9">
        <f t="shared" si="0"/>
        <v>16774</v>
      </c>
      <c r="C18" s="9">
        <v>4348</v>
      </c>
      <c r="D18" s="9">
        <v>4437</v>
      </c>
      <c r="E18" s="9">
        <v>7989</v>
      </c>
      <c r="F18" s="17">
        <f t="shared" si="1"/>
        <v>17034</v>
      </c>
      <c r="G18" s="17">
        <v>4601</v>
      </c>
      <c r="H18" s="17">
        <v>4251</v>
      </c>
      <c r="I18" s="24">
        <v>8182</v>
      </c>
      <c r="J18" s="19">
        <f t="shared" si="2"/>
        <v>17315</v>
      </c>
      <c r="K18" s="17">
        <v>4788</v>
      </c>
      <c r="L18" s="17">
        <v>4302</v>
      </c>
      <c r="M18" s="17">
        <v>8225</v>
      </c>
      <c r="N18" s="19">
        <f t="shared" si="3"/>
        <v>0</v>
      </c>
      <c r="O18" s="17">
        <v>0</v>
      </c>
      <c r="P18" s="17">
        <v>0</v>
      </c>
      <c r="Q18" s="17">
        <v>0</v>
      </c>
      <c r="R18" s="10" t="s">
        <v>23</v>
      </c>
      <c r="S18" s="1"/>
      <c r="T18" s="1"/>
      <c r="U18" s="1"/>
      <c r="V18" s="1"/>
    </row>
    <row r="19" spans="1:22" s="26" customFormat="1" ht="21" customHeight="1" x14ac:dyDescent="0.25">
      <c r="A19" s="8" t="s">
        <v>24</v>
      </c>
      <c r="B19" s="20">
        <f t="shared" si="0"/>
        <v>16779</v>
      </c>
      <c r="C19" s="20">
        <v>4354</v>
      </c>
      <c r="D19" s="20">
        <v>4430</v>
      </c>
      <c r="E19" s="20">
        <v>7995</v>
      </c>
      <c r="F19" s="18">
        <f t="shared" si="1"/>
        <v>17007</v>
      </c>
      <c r="G19" s="18">
        <v>4584</v>
      </c>
      <c r="H19" s="18">
        <v>4255</v>
      </c>
      <c r="I19" s="25">
        <v>8168</v>
      </c>
      <c r="J19" s="21">
        <f t="shared" si="2"/>
        <v>17310</v>
      </c>
      <c r="K19" s="18">
        <v>4797</v>
      </c>
      <c r="L19" s="18">
        <v>4298</v>
      </c>
      <c r="M19" s="18">
        <v>8215</v>
      </c>
      <c r="N19" s="21">
        <f t="shared" si="3"/>
        <v>0</v>
      </c>
      <c r="O19" s="18">
        <v>0</v>
      </c>
      <c r="P19" s="18">
        <v>0</v>
      </c>
      <c r="Q19" s="18">
        <v>0</v>
      </c>
      <c r="R19" s="11" t="s">
        <v>25</v>
      </c>
      <c r="S19" s="1"/>
      <c r="T19" s="1"/>
      <c r="U19" s="1"/>
      <c r="V19" s="1"/>
    </row>
    <row r="20" spans="1:22" s="26" customFormat="1" ht="16.5" customHeight="1" x14ac:dyDescent="0.25">
      <c r="A20" s="12" t="s">
        <v>35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14" t="s">
        <v>36</v>
      </c>
      <c r="S20" s="3"/>
      <c r="T20" s="3"/>
      <c r="U20" s="3"/>
      <c r="V20" s="3"/>
    </row>
    <row r="21" spans="1:22" s="26" customFormat="1" ht="17.25" customHeight="1" x14ac:dyDescent="0.45">
      <c r="A21" s="15" t="s">
        <v>27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6" t="s">
        <v>26</v>
      </c>
      <c r="S21" s="13"/>
      <c r="T21" s="13"/>
      <c r="U21" s="13"/>
      <c r="V21" s="13"/>
    </row>
    <row r="22" spans="1:22" s="26" customFormat="1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</sheetData>
  <mergeCells count="12">
    <mergeCell ref="B6:E6"/>
    <mergeCell ref="F6:I6"/>
    <mergeCell ref="J6:M6"/>
    <mergeCell ref="N6:Q6"/>
    <mergeCell ref="A2:R2"/>
    <mergeCell ref="A3:R3"/>
    <mergeCell ref="A5:A7"/>
    <mergeCell ref="B5:E5"/>
    <mergeCell ref="F5:I5"/>
    <mergeCell ref="J5:M5"/>
    <mergeCell ref="N5:Q5"/>
    <mergeCell ref="R6:R7"/>
  </mergeCells>
  <pageMargins left="0.7" right="0.7" top="0.75" bottom="0.75" header="0" footer="0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18.7</vt:lpstr>
      <vt:lpstr>'18.7'!Print_Area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2026-05-07T04:38:59Z</cp:lastPrinted>
  <dcterms:created xsi:type="dcterms:W3CDTF">2025-05-19T08:29:05Z</dcterms:created>
  <dcterms:modified xsi:type="dcterms:W3CDTF">2026-05-07T04:41:00Z</dcterms:modified>
</cp:coreProperties>
</file>