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ension &amp; Social Protection\"/>
    </mc:Choice>
  </mc:AlternateContent>
  <xr:revisionPtr revIDLastSave="0" documentId="13_ncr:1_{5A35DFBD-3741-44A2-A689-1820B1A44FC2}" xr6:coauthVersionLast="47" xr6:coauthVersionMax="47" xr10:uidLastSave="{00000000-0000-0000-0000-000000000000}"/>
  <bookViews>
    <workbookView xWindow="-120" yWindow="-120" windowWidth="29040" windowHeight="15720" tabRatio="756" xr2:uid="{00000000-000D-0000-FFFF-FFFF00000000}"/>
  </bookViews>
  <sheets>
    <sheet name="18.15" sheetId="15" r:id="rId1"/>
  </sheets>
  <definedNames>
    <definedName name="_xlnm.Print_Area" localSheetId="0">'18.15'!$A$1:$G$61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5" l="1"/>
  <c r="C7" i="15"/>
  <c r="B7" i="15"/>
  <c r="E28" i="15" l="1"/>
  <c r="E11" i="15"/>
  <c r="E13" i="15"/>
  <c r="E17" i="15"/>
  <c r="E23" i="15"/>
  <c r="E25" i="15"/>
  <c r="E29" i="15"/>
  <c r="E18" i="15"/>
  <c r="E30" i="15"/>
  <c r="E7" i="15"/>
  <c r="E19" i="15"/>
  <c r="E31" i="15"/>
  <c r="E8" i="15"/>
  <c r="E20" i="15"/>
  <c r="E32" i="15"/>
  <c r="E9" i="15"/>
  <c r="E21" i="15"/>
  <c r="E33" i="15"/>
  <c r="E10" i="15"/>
  <c r="E22" i="15"/>
  <c r="E12" i="15"/>
  <c r="E24" i="15"/>
  <c r="E14" i="15"/>
  <c r="E26" i="15"/>
  <c r="E15" i="15"/>
  <c r="E27" i="15"/>
  <c r="E16" i="15"/>
</calcChain>
</file>

<file path=xl/sharedStrings.xml><?xml version="1.0" encoding="utf-8"?>
<sst xmlns="http://schemas.openxmlformats.org/spreadsheetml/2006/main" count="94" uniqueCount="68">
  <si>
    <t>އިންސައްތަ</t>
  </si>
  <si>
    <t>% share</t>
  </si>
  <si>
    <t>ޖުމްލަ</t>
  </si>
  <si>
    <t>Total</t>
  </si>
  <si>
    <t>މަޢުލޫމާތު ދެއްވި ފަރާތް: މޯލްޑިވްސް ޕެންޝަން އެޑްމިނިސްޓްރޭޝަން</t>
  </si>
  <si>
    <t>Source: Maldives Pension Administration</t>
  </si>
  <si>
    <t>މުވައްޒަފުންގެ އަދަދު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</si>
  <si>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</si>
  <si>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</si>
  <si>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</si>
  <si>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</si>
  <si>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</si>
  <si>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</si>
  <si>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</si>
  <si>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</si>
  <si>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</si>
  <si>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</si>
  <si>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</si>
  <si>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</si>
  <si>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</si>
  <si>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</si>
  <si>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</si>
  <si>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</si>
  <si>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</si>
  <si>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</si>
  <si>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</si>
  <si>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</si>
  <si>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</si>
  <si>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</si>
  <si>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</si>
  <si>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</si>
  <si>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</si>
  <si>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Others</t>
  </si>
  <si>
    <t>އެހެނިހެން</t>
  </si>
  <si>
    <t>Passenger Ferries</t>
  </si>
  <si>
    <t>ފެރީގެ ޙިދުމަތް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</si>
  <si>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</si>
  <si>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</si>
  <si>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</si>
  <si>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</si>
  <si>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</si>
  <si>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</si>
  <si>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</si>
  <si>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</si>
  <si>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</si>
  <si>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</si>
  <si>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</si>
  <si>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</si>
  <si>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</si>
  <si>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</si>
  <si>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</si>
  <si>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</si>
  <si>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</si>
  <si>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</si>
  <si>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 xml:space="preserve">މަސައްކަތްކުރާ ތަނުގެ ދާއިރާ </t>
  </si>
  <si>
    <t xml:space="preserve">Housing Development </t>
  </si>
  <si>
    <t>Industry</t>
  </si>
  <si>
    <t>Establishments</t>
  </si>
  <si>
    <t>Employment</t>
  </si>
  <si>
    <t xml:space="preserve">މަސައްކަތްކުރާ ތަންތަނުގެ </t>
  </si>
  <si>
    <t xml:space="preserve">މުވައްޒަފުންގެ </t>
  </si>
  <si>
    <t>ޢަދަދު</t>
  </si>
  <si>
    <t>Govt. agencies, public institutions</t>
  </si>
  <si>
    <t xml:space="preserve">Financial sector, Banks, Investment Funds, Insurance </t>
  </si>
  <si>
    <t xml:space="preserve">ފައިސާގެ ޚިދުމަތް، ބެންކް، އިންވެސްޓްމަންޓް ފަންޑް، އިންޝުއަރެންސް </t>
  </si>
  <si>
    <t>މައިނިން</t>
  </si>
  <si>
    <t>TABLE   18.15: EMPLOYEES AND ESTABLISHMENTS REGISTERED IN THE RETIREMENT PENSION SCHEME, END OF 2025</t>
  </si>
  <si>
    <t xml:space="preserve">ތާވަލު  18.15 : އެކި ދާއިރާތަކުން ރިޓާޔަމަންޓް ޕެންޝަން ސްކީމްގައި ރެޖިސްޓްރީކޮށްފައިވާ ތަންތަނުގެ ޢަދަދާއި މުވައްޒަފުންގެ އަދަދު،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</si>
</sst>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7" formatCode="#,##0.0"/>
    <numFmt numFmtId="168" formatCode="#,###,##0"/>
  </numFmts>
  <fonts count="17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i/>
      <sz val="11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name val="Courier"/>
      <family val="3"/>
    </font>
    <font>
      <sz val="11"/>
      <color rgb="FF000000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32">
    <xf numFmtId="0" fontId="0" fillId="0" borderId="0"/>
    <xf numFmtId="164" fontId="14" fillId="0" borderId="11"/>
    <xf numFmtId="43" fontId="3" fillId="0" borderId="11" applyFont="0" applyFill="0" applyBorder="0" applyAlignment="0" applyProtection="0"/>
    <xf numFmtId="43" fontId="3" fillId="0" borderId="11" applyFont="0" applyFill="0" applyBorder="0" applyAlignment="0" applyProtection="0"/>
    <xf numFmtId="0" fontId="13" fillId="0" borderId="11"/>
    <xf numFmtId="0" fontId="3" fillId="0" borderId="11"/>
    <xf numFmtId="0" fontId="3" fillId="0" borderId="11"/>
    <xf numFmtId="0" fontId="3" fillId="0" borderId="11"/>
    <xf numFmtId="0" fontId="13" fillId="0" borderId="11"/>
    <xf numFmtId="0" fontId="13" fillId="0" borderId="11"/>
    <xf numFmtId="0" fontId="3" fillId="0" borderId="11"/>
    <xf numFmtId="0" fontId="3" fillId="0" borderId="11"/>
    <xf numFmtId="0" fontId="15" fillId="0" borderId="11"/>
    <xf numFmtId="0" fontId="15" fillId="0" borderId="11"/>
    <xf numFmtId="0" fontId="15" fillId="0" borderId="11"/>
    <xf numFmtId="0" fontId="15" fillId="0" borderId="11"/>
    <xf numFmtId="0" fontId="15" fillId="0" borderId="11"/>
    <xf numFmtId="0" fontId="15" fillId="0" borderId="11"/>
    <xf numFmtId="0" fontId="15" fillId="0" borderId="11"/>
    <xf numFmtId="0" fontId="15" fillId="0" borderId="11"/>
    <xf numFmtId="0" fontId="15" fillId="0" borderId="11"/>
    <xf numFmtId="0" fontId="15" fillId="0" borderId="11"/>
    <xf numFmtId="0" fontId="15" fillId="0" borderId="11"/>
    <xf numFmtId="0" fontId="15" fillId="0" borderId="11"/>
    <xf numFmtId="0" fontId="15" fillId="0" borderId="11"/>
    <xf numFmtId="0" fontId="15" fillId="0" borderId="11"/>
    <xf numFmtId="0" fontId="15" fillId="0" borderId="11"/>
    <xf numFmtId="0" fontId="15" fillId="0" borderId="11"/>
    <xf numFmtId="0" fontId="15" fillId="0" borderId="11"/>
    <xf numFmtId="0" fontId="15" fillId="0" borderId="11"/>
    <xf numFmtId="0" fontId="15" fillId="0" borderId="11"/>
    <xf numFmtId="0" fontId="15" fillId="0" borderId="11"/>
  </cellStyleXfs>
  <cellXfs count="50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0" fontId="6" fillId="2" borderId="4" xfId="0" applyFont="1" applyFill="1" applyBorder="1"/>
    <xf numFmtId="0" fontId="6" fillId="2" borderId="10" xfId="0" applyFont="1" applyFill="1" applyBorder="1"/>
    <xf numFmtId="0" fontId="7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right" vertical="center"/>
    </xf>
    <xf numFmtId="0" fontId="10" fillId="2" borderId="4" xfId="0" applyFont="1" applyFill="1" applyBorder="1"/>
    <xf numFmtId="0" fontId="1" fillId="2" borderId="8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 wrapText="1"/>
    </xf>
    <xf numFmtId="0" fontId="1" fillId="2" borderId="10" xfId="0" applyFont="1" applyFill="1" applyBorder="1" applyAlignment="1">
      <alignment vertical="center"/>
    </xf>
    <xf numFmtId="0" fontId="11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vertical="center"/>
    </xf>
    <xf numFmtId="0" fontId="0" fillId="3" borderId="0" xfId="0" applyFill="1"/>
    <xf numFmtId="0" fontId="3" fillId="2" borderId="11" xfId="0" applyFont="1" applyFill="1" applyBorder="1"/>
    <xf numFmtId="0" fontId="3" fillId="2" borderId="11" xfId="0" applyFont="1" applyFill="1" applyBorder="1" applyAlignment="1">
      <alignment vertical="center"/>
    </xf>
    <xf numFmtId="3" fontId="4" fillId="4" borderId="4" xfId="0" applyNumberFormat="1" applyFont="1" applyFill="1" applyBorder="1" applyAlignment="1">
      <alignment horizontal="right" vertical="center" wrapText="1"/>
    </xf>
    <xf numFmtId="167" fontId="12" fillId="4" borderId="4" xfId="0" applyNumberFormat="1" applyFont="1" applyFill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center" vertical="center"/>
    </xf>
    <xf numFmtId="168" fontId="16" fillId="4" borderId="11" xfId="28" applyNumberFormat="1" applyFont="1" applyFill="1" applyAlignment="1">
      <alignment horizontal="right"/>
    </xf>
    <xf numFmtId="3" fontId="16" fillId="4" borderId="11" xfId="28" applyNumberFormat="1" applyFont="1" applyFill="1"/>
    <xf numFmtId="168" fontId="16" fillId="4" borderId="13" xfId="28" applyNumberFormat="1" applyFont="1" applyFill="1" applyBorder="1" applyAlignment="1">
      <alignment horizontal="right"/>
    </xf>
    <xf numFmtId="3" fontId="16" fillId="4" borderId="13" xfId="28" applyNumberFormat="1" applyFont="1" applyFill="1" applyBorder="1"/>
    <xf numFmtId="167" fontId="12" fillId="4" borderId="13" xfId="0" applyNumberFormat="1" applyFont="1" applyFill="1" applyBorder="1" applyAlignment="1">
      <alignment horizontal="right" vertical="center"/>
    </xf>
    <xf numFmtId="167" fontId="12" fillId="4" borderId="4" xfId="0" applyNumberFormat="1" applyFont="1" applyFill="1" applyBorder="1" applyAlignment="1">
      <alignment horizontal="right" vertical="center"/>
    </xf>
    <xf numFmtId="167" fontId="12" fillId="4" borderId="13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/>
    <xf numFmtId="0" fontId="2" fillId="3" borderId="3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3" borderId="6" xfId="0" applyFont="1" applyFill="1" applyBorder="1"/>
    <xf numFmtId="0" fontId="2" fillId="3" borderId="9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right" vertical="center" wrapText="1"/>
    </xf>
    <xf numFmtId="0" fontId="1" fillId="2" borderId="11" xfId="0" applyFont="1" applyFill="1" applyBorder="1" applyAlignment="1">
      <alignment vertical="center"/>
    </xf>
  </cellXfs>
  <cellStyles count="32">
    <cellStyle name="Comma 23" xfId="2" xr:uid="{94027C67-5182-4251-874E-333D39869C41}"/>
    <cellStyle name="Comma 3" xfId="3" xr:uid="{32D59405-9255-4528-A182-E2FB87AEA447}"/>
    <cellStyle name="Normal" xfId="0" builtinId="0"/>
    <cellStyle name="Normal 10" xfId="6" xr:uid="{EBA83A1A-0725-4264-B217-6FB255D01D9A}"/>
    <cellStyle name="Normal 11" xfId="8" xr:uid="{141512A6-9575-4B9F-B0CD-71B08DB8B8DD}"/>
    <cellStyle name="Normal 12" xfId="18" xr:uid="{EBB53E00-7290-4E95-B00B-97E70B994095}"/>
    <cellStyle name="Normal 13" xfId="19" xr:uid="{5089EADD-6FB8-455A-99B7-4CE3F8EA2523}"/>
    <cellStyle name="Normal 14" xfId="20" xr:uid="{6D8E876D-C549-4F8C-BBB2-9044945BA1DE}"/>
    <cellStyle name="Normal 15" xfId="21" xr:uid="{FC8B6F0F-4F04-414B-856A-E9EF52594A17}"/>
    <cellStyle name="Normal 16" xfId="22" xr:uid="{A9472295-1693-4D41-8C43-FD2ACA0018F7}"/>
    <cellStyle name="Normal 17" xfId="23" xr:uid="{AD84AE3E-C9FD-40C7-9E44-467A53F078DC}"/>
    <cellStyle name="Normal 18" xfId="24" xr:uid="{3ECF2013-8279-4761-949D-EDD1A3769A1A}"/>
    <cellStyle name="Normal 19" xfId="25" xr:uid="{2DA431D7-B0FC-4CC3-83FB-38993139A464}"/>
    <cellStyle name="Normal 2" xfId="1" xr:uid="{5582CC97-B3B3-49F0-A32C-77365FA866E7}"/>
    <cellStyle name="Normal 20" xfId="26" xr:uid="{BF15BF13-2BA4-453C-A5D4-7F378D5A7AB0}"/>
    <cellStyle name="Normal 21" xfId="27" xr:uid="{EB16884D-319E-44C4-BACF-AAE219752D74}"/>
    <cellStyle name="Normal 22" xfId="28" xr:uid="{0BC55367-C80F-4644-A253-56F0D6C8449D}"/>
    <cellStyle name="Normal 23" xfId="29" xr:uid="{70D0A6B6-C10D-4B03-BE3E-BCA8F6F565D6}"/>
    <cellStyle name="Normal 24" xfId="30" xr:uid="{5D1C52F0-96A7-41A3-BA9A-F4828B3BA100}"/>
    <cellStyle name="Normal 25" xfId="31" xr:uid="{98DE4CB4-469A-4E2E-95F6-679D1ED1E259}"/>
    <cellStyle name="Normal 3" xfId="12" xr:uid="{41F67738-7CBD-405C-A2E8-93EC8D754E04}"/>
    <cellStyle name="Normal 30 2" xfId="5" xr:uid="{319A01A9-484D-401C-B51C-AFA22C8C147A}"/>
    <cellStyle name="Normal 39" xfId="7" xr:uid="{358DB4F3-2572-40C1-8528-73DD19838977}"/>
    <cellStyle name="Normal 4" xfId="13" xr:uid="{F9DB212B-6BED-4D0E-9812-6AF8B0852E4C}"/>
    <cellStyle name="Normal 5" xfId="14" xr:uid="{2E2DF4F8-9240-4060-8DF2-DBD25985C646}"/>
    <cellStyle name="Normal 58" xfId="11" xr:uid="{5FADB181-8394-4B9F-BF6B-8B2AABC26B0E}"/>
    <cellStyle name="Normal 59" xfId="10" xr:uid="{BC46D8EB-1784-4261-8D55-F234E5AA2CF7}"/>
    <cellStyle name="Normal 6" xfId="15" xr:uid="{FD6A37D1-7F80-4842-A6BE-097A50A4815D}"/>
    <cellStyle name="Normal 7" xfId="16" xr:uid="{D3073D1C-C63F-4665-88AD-8A1CCCB7F8E6}"/>
    <cellStyle name="Normal 8" xfId="17" xr:uid="{994E9518-379D-453B-A8BE-5A00EF9195C3}"/>
    <cellStyle name="Normal 9" xfId="4" xr:uid="{625F25BA-A41A-4C28-BF91-33331014C8BC}"/>
    <cellStyle name="Normal 9 2" xfId="9" xr:uid="{9FC5A332-BEB2-4834-8023-4E42B3DA4A83}"/>
  </cellStyles>
  <dxfs count="0"/>
  <tableStyles count="0" defaultTableStyle="TableStyleMedium2" defaultPivotStyle="PivotStyleLight16"/>
  <colors>
    <mruColors>
      <color rgb="FF336600"/>
      <color rgb="FFF9FFF3"/>
      <color rgb="FFAEAAAA"/>
      <color rgb="FF003300"/>
      <color rgb="FF2F75B5"/>
      <color rgb="FFFF3399"/>
      <color rgb="FF9BC2E6"/>
      <color rgb="FF33CCCC"/>
      <color rgb="FF003399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7.3543307086614176E-2"/>
          <c:y val="9.1300715615676251E-2"/>
          <c:w val="0.92271315142210997"/>
          <c:h val="0.41163272539650492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33660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'18.15'!$V$7:$V$27</c:f>
              <c:strCache>
                <c:ptCount val="21"/>
                <c:pt idx="0">
                  <c:v>Govt. agencies, public institutions</c:v>
                </c:pt>
                <c:pt idx="1">
                  <c:v>Hotels, Tourist resorts, travel agencies</c:v>
                </c:pt>
                <c:pt idx="2">
                  <c:v>Others</c:v>
                </c:pt>
                <c:pt idx="3">
                  <c:v>Air Transportation</c:v>
                </c:pt>
                <c:pt idx="4">
                  <c:v>Sea Transportation, shipping</c:v>
                </c:pt>
                <c:pt idx="5">
                  <c:v>Financial sector, Banks, Investment Funds, Insurance </c:v>
                </c:pt>
                <c:pt idx="6">
                  <c:v>Wholesale retailers</c:v>
                </c:pt>
                <c:pt idx="7">
                  <c:v>Schools and educational centers</c:v>
                </c:pt>
                <c:pt idx="8">
                  <c:v>Shops, small and medium commercial retail</c:v>
                </c:pt>
                <c:pt idx="9">
                  <c:v>Construction</c:v>
                </c:pt>
                <c:pt idx="10">
                  <c:v>Telecommunications</c:v>
                </c:pt>
                <c:pt idx="11">
                  <c:v>Fishing Industry</c:v>
                </c:pt>
                <c:pt idx="12">
                  <c:v>Health Sector, hospitals, clinics</c:v>
                </c:pt>
                <c:pt idx="13">
                  <c:v>Land Transportation, taxis, buses etc</c:v>
                </c:pt>
                <c:pt idx="14">
                  <c:v>Agriculture</c:v>
                </c:pt>
                <c:pt idx="15">
                  <c:v>Garbage, and Recycling industry</c:v>
                </c:pt>
                <c:pt idx="16">
                  <c:v>Electricity</c:v>
                </c:pt>
                <c:pt idx="17">
                  <c:v>Housing Development </c:v>
                </c:pt>
                <c:pt idx="18">
                  <c:v>Pharmacies</c:v>
                </c:pt>
                <c:pt idx="19">
                  <c:v>Restaurants</c:v>
                </c:pt>
                <c:pt idx="20">
                  <c:v>Sales of Motor Vehicles</c:v>
                </c:pt>
              </c:strCache>
            </c:strRef>
          </c:cat>
          <c:val>
            <c:numRef>
              <c:f>'18.15'!$W$7:$W$27</c:f>
              <c:numCache>
                <c:formatCode>#,##0.0</c:formatCode>
                <c:ptCount val="21"/>
                <c:pt idx="0">
                  <c:v>35.6</c:v>
                </c:pt>
                <c:pt idx="1">
                  <c:v>17</c:v>
                </c:pt>
                <c:pt idx="2">
                  <c:v>13.9</c:v>
                </c:pt>
                <c:pt idx="3">
                  <c:v>7.6</c:v>
                </c:pt>
                <c:pt idx="4">
                  <c:v>5.9</c:v>
                </c:pt>
                <c:pt idx="5">
                  <c:v>3.9</c:v>
                </c:pt>
                <c:pt idx="6">
                  <c:v>3.9</c:v>
                </c:pt>
                <c:pt idx="7">
                  <c:v>2.5</c:v>
                </c:pt>
                <c:pt idx="8">
                  <c:v>2.5</c:v>
                </c:pt>
                <c:pt idx="9">
                  <c:v>1.5</c:v>
                </c:pt>
                <c:pt idx="10">
                  <c:v>1.3</c:v>
                </c:pt>
                <c:pt idx="11">
                  <c:v>1.1000000000000001</c:v>
                </c:pt>
                <c:pt idx="12">
                  <c:v>1.1000000000000001</c:v>
                </c:pt>
                <c:pt idx="13">
                  <c:v>0.8</c:v>
                </c:pt>
                <c:pt idx="14">
                  <c:v>0.4</c:v>
                </c:pt>
                <c:pt idx="15">
                  <c:v>0.2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209-4B2B-A73B-B057CBEAF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9595988"/>
        <c:axId val="865115151"/>
      </c:barChart>
      <c:catAx>
        <c:axId val="17395959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5400000"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5115151"/>
        <c:crosses val="autoZero"/>
        <c:auto val="1"/>
        <c:lblAlgn val="ctr"/>
        <c:lblOffset val="100"/>
        <c:noMultiLvlLbl val="1"/>
      </c:catAx>
      <c:valAx>
        <c:axId val="865115151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9595988"/>
        <c:crosses val="autoZero"/>
        <c:crossBetween val="between"/>
      </c:valAx>
      <c:spPr>
        <a:solidFill>
          <a:srgbClr val="F9FFF3"/>
        </a:solidFill>
        <a:ln>
          <a:solidFill>
            <a:schemeClr val="bg2">
              <a:lumMod val="85000"/>
            </a:schemeClr>
          </a:solidFill>
        </a:ln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34</xdr:row>
      <xdr:rowOff>114300</xdr:rowOff>
    </xdr:from>
    <xdr:ext cx="9086850" cy="5572125"/>
    <xdr:graphicFrame macro="">
      <xdr:nvGraphicFramePr>
        <xdr:cNvPr id="650172165" name="Chart 15">
          <a:extLst>
            <a:ext uri="{FF2B5EF4-FFF2-40B4-BE49-F238E27FC236}">
              <a16:creationId xmlns:a16="http://schemas.microsoft.com/office/drawing/2014/main" id="{00000000-0008-0000-0E00-000005D7C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1895475</xdr:colOff>
      <xdr:row>35</xdr:row>
      <xdr:rowOff>9525</xdr:rowOff>
    </xdr:from>
    <xdr:ext cx="6724650" cy="3619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1895475" y="9144000"/>
          <a:ext cx="6724650" cy="3619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18.14: Percentage distribution of employees registered  in the retirement pension scheme by sector, 2025</a:t>
          </a: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428625</xdr:colOff>
      <xdr:row>37</xdr:row>
      <xdr:rowOff>104775</xdr:rowOff>
    </xdr:from>
    <xdr:ext cx="228600" cy="9620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/>
      </xdr:nvSpPr>
      <xdr:spPr>
        <a:xfrm rot="-5400000">
          <a:off x="4869750" y="3670463"/>
          <a:ext cx="952500" cy="2190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Percentage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AE64"/>
  <sheetViews>
    <sheetView tabSelected="1" zoomScaleNormal="100" workbookViewId="0">
      <selection activeCell="K25" sqref="K25"/>
    </sheetView>
  </sheetViews>
  <sheetFormatPr defaultColWidth="14.42578125" defaultRowHeight="15" customHeight="1" x14ac:dyDescent="0.25"/>
  <cols>
    <col min="1" max="1" width="50.140625" style="24" customWidth="1"/>
    <col min="2" max="2" width="20.42578125" style="24" customWidth="1"/>
    <col min="3" max="3" width="1.85546875" style="24" customWidth="1"/>
    <col min="4" max="5" width="16" style="24" customWidth="1"/>
    <col min="6" max="6" width="52.85546875" style="24" customWidth="1"/>
    <col min="7" max="10" width="8" style="24" customWidth="1"/>
    <col min="11" max="12" width="14.42578125" style="24" customWidth="1"/>
    <col min="13" max="13" width="8" style="24" customWidth="1"/>
    <col min="14" max="17" width="38.28515625" style="24" customWidth="1"/>
    <col min="18" max="21" width="8" style="24" customWidth="1"/>
    <col min="22" max="22" width="23.42578125" style="24" customWidth="1"/>
    <col min="23" max="28" width="8" style="24" customWidth="1"/>
    <col min="29" max="29" width="17" style="24" customWidth="1"/>
    <col min="30" max="31" width="14.42578125" style="24" customWidth="1"/>
    <col min="32" max="16384" width="14.42578125" style="24"/>
  </cols>
  <sheetData>
    <row r="1" spans="1:31" ht="21" customHeight="1" x14ac:dyDescent="0.25">
      <c r="A1" s="46" t="s">
        <v>67</v>
      </c>
      <c r="B1" s="40"/>
      <c r="C1" s="40"/>
      <c r="D1" s="40"/>
      <c r="E1" s="40"/>
      <c r="F1" s="41"/>
      <c r="G1" s="10"/>
      <c r="H1" s="10"/>
      <c r="I1" s="10"/>
      <c r="J1" s="10"/>
      <c r="K1" s="10"/>
      <c r="L1" s="10"/>
      <c r="M1" s="10"/>
      <c r="N1" s="10"/>
      <c r="O1" s="49"/>
      <c r="P1" s="49"/>
      <c r="Q1" s="4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1:31" x14ac:dyDescent="0.25">
      <c r="A2" s="47" t="s">
        <v>66</v>
      </c>
      <c r="B2" s="40"/>
      <c r="C2" s="40"/>
      <c r="D2" s="40"/>
      <c r="E2" s="40"/>
      <c r="F2" s="41"/>
      <c r="G2" s="1"/>
      <c r="H2" s="1"/>
      <c r="I2" s="1"/>
      <c r="J2" s="1"/>
      <c r="K2" s="1"/>
      <c r="L2" s="1"/>
      <c r="M2" s="1"/>
      <c r="N2" s="1"/>
      <c r="O2" s="25"/>
      <c r="P2" s="25"/>
      <c r="Q2" s="25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5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5"/>
      <c r="P3" s="25"/>
      <c r="Q3" s="25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.75" customHeight="1" x14ac:dyDescent="0.25">
      <c r="A4" s="42" t="s">
        <v>56</v>
      </c>
      <c r="B4" s="16" t="s">
        <v>57</v>
      </c>
      <c r="C4" s="16"/>
      <c r="D4" s="16" t="s">
        <v>58</v>
      </c>
      <c r="E4" s="16" t="s">
        <v>1</v>
      </c>
      <c r="F4" s="45" t="s">
        <v>54</v>
      </c>
      <c r="G4" s="1"/>
      <c r="H4" s="1"/>
      <c r="I4" s="1"/>
      <c r="J4" s="1"/>
      <c r="K4" s="1"/>
      <c r="L4" s="1"/>
      <c r="M4" s="1"/>
      <c r="N4" s="1"/>
      <c r="O4" s="25"/>
      <c r="P4" s="25"/>
      <c r="Q4" s="25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8.5" customHeight="1" x14ac:dyDescent="0.25">
      <c r="A5" s="43"/>
      <c r="B5" s="18" t="s">
        <v>59</v>
      </c>
      <c r="C5" s="18"/>
      <c r="D5" s="48" t="s">
        <v>6</v>
      </c>
      <c r="E5" s="19" t="s">
        <v>60</v>
      </c>
      <c r="F5" s="43"/>
      <c r="G5" s="2"/>
      <c r="H5" s="2"/>
      <c r="I5" s="2"/>
      <c r="J5" s="2"/>
      <c r="K5" s="2"/>
      <c r="L5" s="2"/>
      <c r="M5" s="2"/>
      <c r="N5" s="2"/>
      <c r="O5" s="32"/>
      <c r="P5" s="32"/>
      <c r="Q5" s="3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24" customHeight="1" x14ac:dyDescent="0.25">
      <c r="A6" s="44"/>
      <c r="B6" s="20" t="s">
        <v>61</v>
      </c>
      <c r="C6" s="20"/>
      <c r="D6" s="44"/>
      <c r="E6" s="21" t="s">
        <v>0</v>
      </c>
      <c r="F6" s="44"/>
      <c r="G6" s="2"/>
      <c r="H6" s="2"/>
      <c r="I6" s="2"/>
      <c r="J6" s="2"/>
      <c r="K6" s="2"/>
      <c r="L6" s="2"/>
      <c r="M6" s="2"/>
      <c r="N6" s="2"/>
      <c r="O6" s="32"/>
      <c r="P6" s="32"/>
      <c r="Q6" s="3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21" customHeight="1" x14ac:dyDescent="0.25">
      <c r="A7" s="9" t="s">
        <v>3</v>
      </c>
      <c r="B7" s="27">
        <f t="shared" ref="B7:D7" si="0">SUM(B8:B33)</f>
        <v>2278</v>
      </c>
      <c r="C7" s="27">
        <f t="shared" si="0"/>
        <v>0</v>
      </c>
      <c r="D7" s="27">
        <f t="shared" si="0"/>
        <v>108390</v>
      </c>
      <c r="E7" s="27">
        <f>ROUND((D7/$D$7)*100,2)</f>
        <v>100</v>
      </c>
      <c r="F7" s="3" t="s">
        <v>2</v>
      </c>
      <c r="G7" s="2"/>
      <c r="H7" s="2"/>
      <c r="I7" s="2"/>
      <c r="J7" s="2"/>
      <c r="K7" s="2"/>
      <c r="L7" s="2"/>
      <c r="M7" s="2"/>
      <c r="N7" s="2"/>
      <c r="O7" s="32"/>
      <c r="P7" s="32"/>
      <c r="Q7" s="32"/>
      <c r="R7" s="2"/>
      <c r="S7" s="2"/>
      <c r="T7" s="2"/>
      <c r="U7" s="2"/>
      <c r="V7" s="11" t="s">
        <v>62</v>
      </c>
      <c r="W7" s="28">
        <v>35.6</v>
      </c>
      <c r="X7" s="2"/>
      <c r="Y7" s="2"/>
      <c r="Z7" s="2"/>
      <c r="AA7" s="2"/>
      <c r="AB7" s="2"/>
      <c r="AC7" s="2"/>
      <c r="AD7" s="2"/>
      <c r="AE7" s="2"/>
    </row>
    <row r="8" spans="1:31" ht="21" customHeight="1" x14ac:dyDescent="0.55000000000000004">
      <c r="A8" s="11" t="s">
        <v>7</v>
      </c>
      <c r="B8" s="33">
        <v>15</v>
      </c>
      <c r="C8" s="34"/>
      <c r="D8" s="33">
        <v>422</v>
      </c>
      <c r="E8" s="28">
        <f t="shared" ref="E8:E33" si="1">ROUND((D8/$D$7)*100,1)</f>
        <v>0.4</v>
      </c>
      <c r="F8" s="5" t="s">
        <v>8</v>
      </c>
      <c r="G8" s="4"/>
      <c r="H8" s="4"/>
      <c r="I8" s="4"/>
      <c r="J8" s="4"/>
      <c r="M8" s="4"/>
      <c r="N8" s="4"/>
      <c r="O8" s="26"/>
      <c r="P8" s="26"/>
      <c r="Q8" s="26"/>
      <c r="R8" s="4"/>
      <c r="S8" s="4"/>
      <c r="T8" s="4"/>
      <c r="U8" s="4"/>
      <c r="V8" s="11" t="s">
        <v>26</v>
      </c>
      <c r="W8" s="28">
        <v>17</v>
      </c>
      <c r="X8" s="4"/>
      <c r="Y8" s="4"/>
      <c r="Z8" s="4"/>
      <c r="AA8" s="4"/>
      <c r="AB8" s="4"/>
      <c r="AC8" s="4"/>
      <c r="AD8" s="4"/>
      <c r="AE8" s="4"/>
    </row>
    <row r="9" spans="1:31" ht="25.5" customHeight="1" x14ac:dyDescent="0.55000000000000004">
      <c r="A9" s="11" t="s">
        <v>9</v>
      </c>
      <c r="B9" s="33">
        <v>19</v>
      </c>
      <c r="C9" s="34"/>
      <c r="D9" s="33">
        <v>8187</v>
      </c>
      <c r="E9" s="28">
        <f t="shared" si="1"/>
        <v>7.6</v>
      </c>
      <c r="F9" s="5" t="s">
        <v>10</v>
      </c>
      <c r="G9" s="4"/>
      <c r="H9" s="4"/>
      <c r="I9" s="4"/>
      <c r="J9" s="4"/>
      <c r="M9" s="4"/>
      <c r="N9" s="4"/>
      <c r="O9" s="26"/>
      <c r="P9" s="26"/>
      <c r="Q9" s="26"/>
      <c r="R9" s="4"/>
      <c r="S9" s="4"/>
      <c r="T9" s="4"/>
      <c r="U9" s="4"/>
      <c r="V9" s="11" t="s">
        <v>32</v>
      </c>
      <c r="W9" s="28">
        <v>13.9</v>
      </c>
      <c r="X9" s="4"/>
      <c r="Y9" s="4"/>
      <c r="Z9" s="4"/>
      <c r="AA9" s="4"/>
      <c r="AB9" s="4"/>
      <c r="AC9" s="4"/>
      <c r="AD9" s="4"/>
      <c r="AE9" s="4"/>
    </row>
    <row r="10" spans="1:31" ht="27.75" customHeight="1" x14ac:dyDescent="0.55000000000000004">
      <c r="A10" s="11" t="s">
        <v>11</v>
      </c>
      <c r="B10" s="33">
        <v>2</v>
      </c>
      <c r="C10" s="34"/>
      <c r="D10" s="33">
        <v>5</v>
      </c>
      <c r="E10" s="28">
        <f t="shared" si="1"/>
        <v>0</v>
      </c>
      <c r="F10" s="5" t="s">
        <v>12</v>
      </c>
      <c r="G10" s="4"/>
      <c r="H10" s="4"/>
      <c r="I10" s="4"/>
      <c r="J10" s="4"/>
      <c r="M10" s="4"/>
      <c r="N10" s="4"/>
      <c r="O10" s="26"/>
      <c r="P10" s="26"/>
      <c r="Q10" s="26"/>
      <c r="R10" s="4"/>
      <c r="S10" s="4"/>
      <c r="T10" s="4"/>
      <c r="U10" s="4"/>
      <c r="V10" s="11" t="s">
        <v>9</v>
      </c>
      <c r="W10" s="28">
        <v>7.6</v>
      </c>
      <c r="X10" s="4"/>
      <c r="Y10" s="4"/>
      <c r="Z10" s="4"/>
      <c r="AA10" s="4"/>
      <c r="AB10" s="4"/>
      <c r="AC10" s="4"/>
      <c r="AD10" s="4"/>
      <c r="AE10" s="4"/>
    </row>
    <row r="11" spans="1:31" ht="18.75" customHeight="1" x14ac:dyDescent="0.55000000000000004">
      <c r="A11" s="11" t="s">
        <v>13</v>
      </c>
      <c r="B11" s="33">
        <v>11</v>
      </c>
      <c r="C11" s="34"/>
      <c r="D11" s="33">
        <v>45</v>
      </c>
      <c r="E11" s="28">
        <f t="shared" si="1"/>
        <v>0</v>
      </c>
      <c r="F11" s="5" t="s">
        <v>14</v>
      </c>
      <c r="G11" s="4"/>
      <c r="H11" s="4"/>
      <c r="I11" s="4"/>
      <c r="J11" s="4"/>
      <c r="M11" s="4"/>
      <c r="N11" s="4"/>
      <c r="O11" s="26"/>
      <c r="P11" s="26"/>
      <c r="Q11" s="26"/>
      <c r="R11" s="4"/>
      <c r="S11" s="4"/>
      <c r="T11" s="4"/>
      <c r="U11" s="4"/>
      <c r="V11" s="11" t="s">
        <v>44</v>
      </c>
      <c r="W11" s="28">
        <v>5.9</v>
      </c>
      <c r="X11" s="4"/>
      <c r="Y11" s="4"/>
      <c r="Z11" s="4"/>
      <c r="AA11" s="4"/>
      <c r="AB11" s="4"/>
      <c r="AC11" s="4"/>
      <c r="AD11" s="4"/>
      <c r="AE11" s="4"/>
    </row>
    <row r="12" spans="1:31" ht="21" customHeight="1" x14ac:dyDescent="0.55000000000000004">
      <c r="A12" s="11" t="s">
        <v>15</v>
      </c>
      <c r="B12" s="33">
        <v>122</v>
      </c>
      <c r="C12" s="34"/>
      <c r="D12" s="33">
        <v>1645</v>
      </c>
      <c r="E12" s="28">
        <f t="shared" si="1"/>
        <v>1.5</v>
      </c>
      <c r="F12" s="5" t="s">
        <v>16</v>
      </c>
      <c r="G12" s="4"/>
      <c r="H12" s="4"/>
      <c r="I12" s="4"/>
      <c r="J12" s="4"/>
      <c r="M12" s="4"/>
      <c r="N12" s="4"/>
      <c r="O12" s="26"/>
      <c r="P12" s="26"/>
      <c r="Q12" s="26"/>
      <c r="R12" s="4"/>
      <c r="S12" s="4"/>
      <c r="T12" s="4"/>
      <c r="U12" s="4"/>
      <c r="V12" s="22" t="s">
        <v>63</v>
      </c>
      <c r="W12" s="28">
        <v>3.9</v>
      </c>
      <c r="X12" s="4"/>
      <c r="Y12" s="4"/>
      <c r="Z12" s="4"/>
      <c r="AA12" s="4"/>
      <c r="AB12" s="4"/>
      <c r="AC12" s="4"/>
      <c r="AD12" s="4"/>
      <c r="AE12" s="4"/>
    </row>
    <row r="13" spans="1:31" ht="21" customHeight="1" x14ac:dyDescent="0.55000000000000004">
      <c r="A13" s="11" t="s">
        <v>17</v>
      </c>
      <c r="B13" s="33">
        <v>13</v>
      </c>
      <c r="C13" s="34"/>
      <c r="D13" s="33">
        <v>111</v>
      </c>
      <c r="E13" s="28">
        <f t="shared" si="1"/>
        <v>0.1</v>
      </c>
      <c r="F13" s="5" t="s">
        <v>18</v>
      </c>
      <c r="G13" s="4"/>
      <c r="H13" s="4"/>
      <c r="I13" s="4"/>
      <c r="J13" s="4"/>
      <c r="M13" s="4"/>
      <c r="N13" s="4"/>
      <c r="O13" s="26"/>
      <c r="P13" s="26"/>
      <c r="Q13" s="26"/>
      <c r="R13" s="4"/>
      <c r="S13" s="4"/>
      <c r="T13" s="4"/>
      <c r="U13" s="4"/>
      <c r="V13" s="11" t="s">
        <v>52</v>
      </c>
      <c r="W13" s="38">
        <v>3.9</v>
      </c>
      <c r="X13" s="4"/>
      <c r="Y13" s="4"/>
      <c r="Z13" s="4"/>
      <c r="AA13" s="4"/>
      <c r="AB13" s="4"/>
      <c r="AC13" s="4"/>
      <c r="AD13" s="4"/>
      <c r="AE13" s="4"/>
    </row>
    <row r="14" spans="1:31" ht="25.5" customHeight="1" x14ac:dyDescent="0.25">
      <c r="A14" s="22" t="s">
        <v>63</v>
      </c>
      <c r="B14" s="33">
        <v>67</v>
      </c>
      <c r="C14" s="34"/>
      <c r="D14" s="33">
        <v>4276</v>
      </c>
      <c r="E14" s="28">
        <f t="shared" si="1"/>
        <v>3.9</v>
      </c>
      <c r="F14" s="15" t="s">
        <v>64</v>
      </c>
      <c r="G14" s="4"/>
      <c r="H14" s="4"/>
      <c r="I14" s="4"/>
      <c r="J14" s="4"/>
      <c r="M14" s="4"/>
      <c r="N14" s="4"/>
      <c r="O14" s="26"/>
      <c r="P14" s="26"/>
      <c r="Q14" s="26"/>
      <c r="R14" s="4"/>
      <c r="S14" s="4"/>
      <c r="T14" s="4"/>
      <c r="U14" s="4"/>
      <c r="V14" s="11" t="s">
        <v>42</v>
      </c>
      <c r="W14" s="28">
        <v>2.5</v>
      </c>
      <c r="X14" s="4"/>
      <c r="Y14" s="4"/>
      <c r="Z14" s="4"/>
      <c r="AA14" s="4"/>
      <c r="AB14" s="4"/>
      <c r="AC14" s="4"/>
      <c r="AD14" s="4"/>
      <c r="AE14" s="4"/>
    </row>
    <row r="15" spans="1:31" ht="21" customHeight="1" x14ac:dyDescent="0.55000000000000004">
      <c r="A15" s="11" t="s">
        <v>19</v>
      </c>
      <c r="B15" s="33">
        <v>17</v>
      </c>
      <c r="C15" s="34"/>
      <c r="D15" s="33">
        <v>1236</v>
      </c>
      <c r="E15" s="28">
        <f t="shared" si="1"/>
        <v>1.1000000000000001</v>
      </c>
      <c r="F15" s="5" t="s">
        <v>20</v>
      </c>
      <c r="G15" s="4"/>
      <c r="H15" s="4"/>
      <c r="I15" s="4"/>
      <c r="J15" s="4"/>
      <c r="M15" s="4"/>
      <c r="N15" s="4"/>
      <c r="O15" s="26"/>
      <c r="P15" s="26"/>
      <c r="Q15" s="26"/>
      <c r="R15" s="4"/>
      <c r="S15" s="4"/>
      <c r="T15" s="4"/>
      <c r="U15" s="4"/>
      <c r="V15" s="11" t="s">
        <v>46</v>
      </c>
      <c r="W15" s="28">
        <v>2.5</v>
      </c>
      <c r="X15" s="4"/>
      <c r="Y15" s="4"/>
      <c r="Z15" s="4"/>
      <c r="AA15" s="4"/>
      <c r="AB15" s="4"/>
      <c r="AC15" s="4"/>
      <c r="AD15" s="4"/>
      <c r="AE15" s="4"/>
    </row>
    <row r="16" spans="1:31" ht="21" customHeight="1" x14ac:dyDescent="0.55000000000000004">
      <c r="A16" s="11" t="s">
        <v>21</v>
      </c>
      <c r="B16" s="33">
        <v>15</v>
      </c>
      <c r="C16" s="34"/>
      <c r="D16" s="33">
        <v>229</v>
      </c>
      <c r="E16" s="28">
        <f t="shared" si="1"/>
        <v>0.2</v>
      </c>
      <c r="F16" s="5" t="s">
        <v>22</v>
      </c>
      <c r="G16" s="4"/>
      <c r="H16" s="4"/>
      <c r="I16" s="4"/>
      <c r="J16" s="4"/>
      <c r="M16" s="4"/>
      <c r="N16" s="4"/>
      <c r="O16" s="26"/>
      <c r="P16" s="26"/>
      <c r="Q16" s="26"/>
      <c r="R16" s="4"/>
      <c r="S16" s="4"/>
      <c r="T16" s="4"/>
      <c r="U16" s="4"/>
      <c r="V16" s="11" t="s">
        <v>15</v>
      </c>
      <c r="W16" s="28">
        <v>1.5</v>
      </c>
      <c r="X16" s="4"/>
      <c r="Y16" s="4"/>
      <c r="Z16" s="4"/>
      <c r="AA16" s="4"/>
      <c r="AB16" s="4"/>
      <c r="AC16" s="4"/>
      <c r="AD16" s="4"/>
      <c r="AE16" s="4"/>
    </row>
    <row r="17" spans="1:31" ht="21" customHeight="1" x14ac:dyDescent="0.55000000000000004">
      <c r="A17" s="11" t="s">
        <v>62</v>
      </c>
      <c r="B17" s="33">
        <v>346</v>
      </c>
      <c r="C17" s="34"/>
      <c r="D17" s="33">
        <v>38559</v>
      </c>
      <c r="E17" s="28">
        <f t="shared" si="1"/>
        <v>35.6</v>
      </c>
      <c r="F17" s="5" t="s">
        <v>23</v>
      </c>
      <c r="G17" s="4"/>
      <c r="H17" s="4"/>
      <c r="I17" s="4"/>
      <c r="J17" s="4"/>
      <c r="M17" s="4"/>
      <c r="N17" s="4"/>
      <c r="O17" s="26"/>
      <c r="P17" s="26"/>
      <c r="Q17" s="26"/>
      <c r="R17" s="4"/>
      <c r="S17" s="4"/>
      <c r="T17" s="4"/>
      <c r="U17" s="4"/>
      <c r="V17" s="11" t="s">
        <v>48</v>
      </c>
      <c r="W17" s="28">
        <v>1.3</v>
      </c>
      <c r="X17" s="4"/>
      <c r="Y17" s="4"/>
      <c r="Z17" s="4"/>
      <c r="AA17" s="4"/>
      <c r="AB17" s="4"/>
      <c r="AC17" s="4"/>
      <c r="AD17" s="4"/>
      <c r="AE17" s="4"/>
    </row>
    <row r="18" spans="1:31" ht="21" customHeight="1" x14ac:dyDescent="0.55000000000000004">
      <c r="A18" s="11" t="s">
        <v>24</v>
      </c>
      <c r="B18" s="33">
        <v>45</v>
      </c>
      <c r="C18" s="34"/>
      <c r="D18" s="33">
        <v>1237</v>
      </c>
      <c r="E18" s="28">
        <f t="shared" si="1"/>
        <v>1.1000000000000001</v>
      </c>
      <c r="F18" s="5" t="s">
        <v>25</v>
      </c>
      <c r="G18" s="4"/>
      <c r="H18" s="4"/>
      <c r="I18" s="4"/>
      <c r="J18" s="4"/>
      <c r="M18" s="4"/>
      <c r="N18" s="4"/>
      <c r="O18" s="26"/>
      <c r="P18" s="26"/>
      <c r="Q18" s="26"/>
      <c r="R18" s="4"/>
      <c r="S18" s="4"/>
      <c r="T18" s="4"/>
      <c r="U18" s="4"/>
      <c r="V18" s="11" t="s">
        <v>19</v>
      </c>
      <c r="W18" s="28">
        <v>1.1000000000000001</v>
      </c>
      <c r="X18" s="4"/>
      <c r="Y18" s="4"/>
      <c r="Z18" s="4"/>
      <c r="AA18" s="4"/>
      <c r="AB18" s="4"/>
      <c r="AC18" s="4"/>
      <c r="AD18" s="4"/>
      <c r="AE18" s="4"/>
    </row>
    <row r="19" spans="1:31" ht="21" customHeight="1" x14ac:dyDescent="0.55000000000000004">
      <c r="A19" s="11" t="s">
        <v>26</v>
      </c>
      <c r="B19" s="33">
        <v>353</v>
      </c>
      <c r="C19" s="34"/>
      <c r="D19" s="33">
        <v>18412</v>
      </c>
      <c r="E19" s="28">
        <f t="shared" si="1"/>
        <v>17</v>
      </c>
      <c r="F19" s="5" t="s">
        <v>27</v>
      </c>
      <c r="G19" s="4"/>
      <c r="H19" s="4"/>
      <c r="I19" s="4"/>
      <c r="J19" s="4"/>
      <c r="M19" s="4"/>
      <c r="N19" s="4"/>
      <c r="O19" s="26"/>
      <c r="P19" s="26"/>
      <c r="Q19" s="26"/>
      <c r="R19" s="4"/>
      <c r="S19" s="4"/>
      <c r="T19" s="4"/>
      <c r="U19" s="4"/>
      <c r="V19" s="11" t="s">
        <v>24</v>
      </c>
      <c r="W19" s="28">
        <v>1.1000000000000001</v>
      </c>
      <c r="X19" s="4"/>
      <c r="Y19" s="4"/>
      <c r="Z19" s="4"/>
      <c r="AA19" s="4"/>
      <c r="AB19" s="4"/>
      <c r="AC19" s="4"/>
      <c r="AD19" s="4"/>
      <c r="AE19" s="4"/>
    </row>
    <row r="20" spans="1:31" ht="21" customHeight="1" x14ac:dyDescent="0.55000000000000004">
      <c r="A20" s="11" t="s">
        <v>55</v>
      </c>
      <c r="B20" s="33">
        <v>6</v>
      </c>
      <c r="C20" s="34"/>
      <c r="D20" s="33">
        <v>64</v>
      </c>
      <c r="E20" s="28">
        <f t="shared" si="1"/>
        <v>0.1</v>
      </c>
      <c r="F20" s="5" t="s">
        <v>28</v>
      </c>
      <c r="G20" s="4"/>
      <c r="H20" s="4"/>
      <c r="I20" s="4"/>
      <c r="J20" s="4"/>
      <c r="M20" s="4"/>
      <c r="N20" s="4"/>
      <c r="O20" s="26"/>
      <c r="P20" s="26"/>
      <c r="Q20" s="26"/>
      <c r="R20" s="4"/>
      <c r="S20" s="4"/>
      <c r="T20" s="4"/>
      <c r="U20" s="4"/>
      <c r="V20" s="11" t="s">
        <v>29</v>
      </c>
      <c r="W20" s="28">
        <v>0.8</v>
      </c>
      <c r="X20" s="4"/>
      <c r="Y20" s="4"/>
      <c r="Z20" s="4"/>
      <c r="AA20" s="4"/>
      <c r="AB20" s="4"/>
      <c r="AC20" s="4"/>
      <c r="AD20" s="4"/>
      <c r="AE20" s="4"/>
    </row>
    <row r="21" spans="1:31" ht="21" customHeight="1" x14ac:dyDescent="0.55000000000000004">
      <c r="A21" s="11" t="s">
        <v>29</v>
      </c>
      <c r="B21" s="33">
        <v>4</v>
      </c>
      <c r="C21" s="34"/>
      <c r="D21" s="33">
        <v>851</v>
      </c>
      <c r="E21" s="28">
        <f t="shared" si="1"/>
        <v>0.8</v>
      </c>
      <c r="F21" s="5" t="s">
        <v>30</v>
      </c>
      <c r="G21" s="4"/>
      <c r="H21" s="4"/>
      <c r="I21" s="4"/>
      <c r="J21" s="4"/>
      <c r="K21" s="11"/>
      <c r="M21" s="4"/>
      <c r="N21" s="4"/>
      <c r="O21" s="26"/>
      <c r="P21" s="26"/>
      <c r="Q21" s="26"/>
      <c r="R21" s="4"/>
      <c r="S21" s="4"/>
      <c r="T21" s="4"/>
      <c r="U21" s="4"/>
      <c r="V21" s="11" t="s">
        <v>7</v>
      </c>
      <c r="W21" s="28">
        <v>0.4</v>
      </c>
      <c r="X21" s="4"/>
      <c r="Y21" s="4"/>
      <c r="Z21" s="4"/>
      <c r="AA21" s="4"/>
      <c r="AB21" s="4"/>
      <c r="AC21" s="4"/>
      <c r="AD21" s="4"/>
      <c r="AE21" s="4"/>
    </row>
    <row r="22" spans="1:31" ht="21" customHeight="1" x14ac:dyDescent="0.25">
      <c r="A22" s="14" t="s">
        <v>31</v>
      </c>
      <c r="B22" s="33">
        <v>1</v>
      </c>
      <c r="C22" s="34"/>
      <c r="D22" s="33">
        <v>5</v>
      </c>
      <c r="E22" s="28">
        <f t="shared" si="1"/>
        <v>0</v>
      </c>
      <c r="F22" s="17" t="s">
        <v>65</v>
      </c>
      <c r="G22" s="4"/>
      <c r="H22" s="4"/>
      <c r="I22" s="4"/>
      <c r="J22" s="4"/>
      <c r="K22" s="11"/>
      <c r="L22" s="4"/>
      <c r="M22" s="4"/>
      <c r="N22" s="4"/>
      <c r="O22" s="26"/>
      <c r="P22" s="26"/>
      <c r="Q22" s="26"/>
      <c r="R22" s="4"/>
      <c r="S22" s="4"/>
      <c r="T22" s="4"/>
      <c r="U22" s="4"/>
      <c r="V22" s="11" t="s">
        <v>21</v>
      </c>
      <c r="W22" s="28">
        <v>0.2</v>
      </c>
      <c r="X22" s="4"/>
      <c r="Y22" s="4"/>
      <c r="Z22" s="4"/>
      <c r="AA22" s="4"/>
      <c r="AB22" s="4"/>
      <c r="AC22" s="4"/>
      <c r="AD22" s="4"/>
      <c r="AE22" s="4"/>
    </row>
    <row r="23" spans="1:31" ht="21" customHeight="1" x14ac:dyDescent="0.55000000000000004">
      <c r="A23" s="11" t="s">
        <v>32</v>
      </c>
      <c r="B23" s="33">
        <v>658</v>
      </c>
      <c r="C23" s="34"/>
      <c r="D23" s="33">
        <v>15117</v>
      </c>
      <c r="E23" s="28">
        <f t="shared" si="1"/>
        <v>13.9</v>
      </c>
      <c r="F23" s="5" t="s">
        <v>33</v>
      </c>
      <c r="G23" s="4"/>
      <c r="H23" s="4"/>
      <c r="I23" s="4"/>
      <c r="J23" s="4"/>
      <c r="M23" s="4"/>
      <c r="N23" s="4"/>
      <c r="O23" s="26"/>
      <c r="P23" s="26"/>
      <c r="Q23" s="26"/>
      <c r="R23" s="4"/>
      <c r="S23" s="4"/>
      <c r="T23" s="4"/>
      <c r="U23" s="4"/>
      <c r="V23" s="11" t="s">
        <v>17</v>
      </c>
      <c r="W23" s="28">
        <v>0.1</v>
      </c>
      <c r="X23" s="4"/>
      <c r="Y23" s="4"/>
      <c r="Z23" s="4"/>
      <c r="AA23" s="4"/>
      <c r="AB23" s="4"/>
      <c r="AC23" s="4"/>
      <c r="AD23" s="4"/>
      <c r="AE23" s="4"/>
    </row>
    <row r="24" spans="1:31" ht="21" customHeight="1" x14ac:dyDescent="0.25">
      <c r="A24" s="11" t="s">
        <v>34</v>
      </c>
      <c r="B24" s="33">
        <v>1</v>
      </c>
      <c r="C24" s="34"/>
      <c r="D24" s="33">
        <v>2</v>
      </c>
      <c r="E24" s="28">
        <f t="shared" si="1"/>
        <v>0</v>
      </c>
      <c r="F24" s="23" t="s">
        <v>35</v>
      </c>
      <c r="G24" s="4"/>
      <c r="H24" s="4"/>
      <c r="I24" s="4"/>
      <c r="J24" s="4"/>
      <c r="K24" s="11"/>
      <c r="L24" s="4"/>
      <c r="M24" s="4"/>
      <c r="N24" s="4"/>
      <c r="O24" s="26"/>
      <c r="P24" s="26"/>
      <c r="Q24" s="26"/>
      <c r="R24" s="4"/>
      <c r="S24" s="4"/>
      <c r="T24" s="4"/>
      <c r="U24" s="4"/>
      <c r="V24" s="11" t="s">
        <v>55</v>
      </c>
      <c r="W24" s="28">
        <v>0.1</v>
      </c>
      <c r="X24" s="4"/>
      <c r="Y24" s="4"/>
      <c r="Z24" s="4"/>
      <c r="AA24" s="4"/>
      <c r="AB24" s="4"/>
      <c r="AC24" s="4"/>
      <c r="AD24" s="4"/>
      <c r="AE24" s="4"/>
    </row>
    <row r="25" spans="1:31" ht="21" customHeight="1" x14ac:dyDescent="0.55000000000000004">
      <c r="A25" s="11" t="s">
        <v>36</v>
      </c>
      <c r="B25" s="33">
        <v>12</v>
      </c>
      <c r="C25" s="34"/>
      <c r="D25" s="33">
        <v>118</v>
      </c>
      <c r="E25" s="28">
        <f t="shared" si="1"/>
        <v>0.1</v>
      </c>
      <c r="F25" s="5" t="s">
        <v>37</v>
      </c>
      <c r="G25" s="4"/>
      <c r="H25" s="4"/>
      <c r="I25" s="4"/>
      <c r="J25" s="4"/>
      <c r="K25" s="11"/>
      <c r="L25" s="4"/>
      <c r="M25" s="4"/>
      <c r="N25" s="4"/>
      <c r="O25" s="26"/>
      <c r="P25" s="26"/>
      <c r="Q25" s="26"/>
      <c r="R25" s="4"/>
      <c r="S25" s="4"/>
      <c r="T25" s="4"/>
      <c r="U25" s="4"/>
      <c r="V25" s="11" t="s">
        <v>36</v>
      </c>
      <c r="W25" s="28">
        <v>0.1</v>
      </c>
      <c r="X25" s="4"/>
      <c r="Y25" s="4"/>
      <c r="Z25" s="4"/>
      <c r="AA25" s="4"/>
      <c r="AB25" s="4"/>
      <c r="AC25" s="4"/>
      <c r="AD25" s="4"/>
      <c r="AE25" s="4"/>
    </row>
    <row r="26" spans="1:31" ht="21" customHeight="1" x14ac:dyDescent="0.55000000000000004">
      <c r="A26" s="11" t="s">
        <v>38</v>
      </c>
      <c r="B26" s="33">
        <v>26</v>
      </c>
      <c r="C26" s="34"/>
      <c r="D26" s="33">
        <v>151</v>
      </c>
      <c r="E26" s="28">
        <f t="shared" si="1"/>
        <v>0.1</v>
      </c>
      <c r="F26" s="5" t="s">
        <v>39</v>
      </c>
      <c r="G26" s="4"/>
      <c r="H26" s="4"/>
      <c r="I26" s="4"/>
      <c r="J26" s="4"/>
      <c r="K26" s="11"/>
      <c r="L26" s="4"/>
      <c r="M26" s="4"/>
      <c r="N26" s="4"/>
      <c r="O26" s="26"/>
      <c r="P26" s="26"/>
      <c r="Q26" s="26"/>
      <c r="R26" s="4"/>
      <c r="S26" s="4"/>
      <c r="T26" s="4"/>
      <c r="U26" s="4"/>
      <c r="V26" s="11" t="s">
        <v>38</v>
      </c>
      <c r="W26" s="28">
        <v>0.1</v>
      </c>
      <c r="X26" s="4"/>
      <c r="Y26" s="4"/>
      <c r="Z26" s="4"/>
      <c r="AA26" s="4"/>
      <c r="AB26" s="4"/>
      <c r="AC26" s="4"/>
      <c r="AD26" s="4"/>
      <c r="AE26" s="4"/>
    </row>
    <row r="27" spans="1:31" ht="21" customHeight="1" x14ac:dyDescent="0.55000000000000004">
      <c r="A27" s="11" t="s">
        <v>40</v>
      </c>
      <c r="B27" s="33">
        <v>3</v>
      </c>
      <c r="C27" s="34"/>
      <c r="D27" s="33">
        <v>90</v>
      </c>
      <c r="E27" s="28">
        <f t="shared" si="1"/>
        <v>0.1</v>
      </c>
      <c r="F27" s="5" t="s">
        <v>41</v>
      </c>
      <c r="G27" s="4"/>
      <c r="H27" s="4"/>
      <c r="I27" s="4"/>
      <c r="J27" s="4"/>
      <c r="K27" s="11"/>
      <c r="L27" s="4"/>
      <c r="M27" s="4"/>
      <c r="N27" s="4"/>
      <c r="O27" s="26"/>
      <c r="P27" s="26"/>
      <c r="Q27" s="26"/>
      <c r="R27" s="4"/>
      <c r="S27" s="4"/>
      <c r="T27" s="4"/>
      <c r="U27" s="4"/>
      <c r="V27" s="11" t="s">
        <v>40</v>
      </c>
      <c r="W27" s="28">
        <v>0.1</v>
      </c>
      <c r="X27" s="4"/>
      <c r="Y27" s="4"/>
      <c r="Z27" s="4"/>
      <c r="AA27" s="4"/>
      <c r="AB27" s="4"/>
      <c r="AC27" s="4"/>
      <c r="AD27" s="4"/>
      <c r="AE27" s="4"/>
    </row>
    <row r="28" spans="1:31" ht="21" customHeight="1" x14ac:dyDescent="0.55000000000000004">
      <c r="A28" s="11" t="s">
        <v>42</v>
      </c>
      <c r="B28" s="33">
        <v>73</v>
      </c>
      <c r="C28" s="34"/>
      <c r="D28" s="33">
        <v>2722</v>
      </c>
      <c r="E28" s="28">
        <f t="shared" si="1"/>
        <v>2.5</v>
      </c>
      <c r="F28" s="5" t="s">
        <v>43</v>
      </c>
      <c r="G28" s="4"/>
      <c r="H28" s="4"/>
      <c r="I28" s="4"/>
      <c r="J28" s="4"/>
      <c r="K28" s="11"/>
      <c r="L28" s="4"/>
      <c r="M28" s="4"/>
      <c r="N28" s="4"/>
      <c r="O28" s="26"/>
      <c r="P28" s="26"/>
      <c r="Q28" s="26"/>
      <c r="R28" s="4"/>
      <c r="S28" s="4"/>
      <c r="T28" s="4"/>
      <c r="U28" s="4"/>
      <c r="V28" s="11" t="s">
        <v>11</v>
      </c>
      <c r="W28" s="28">
        <v>0</v>
      </c>
      <c r="X28" s="4"/>
      <c r="Y28" s="4"/>
      <c r="Z28" s="4"/>
      <c r="AA28" s="4"/>
      <c r="AB28" s="4"/>
      <c r="AC28" s="4"/>
      <c r="AD28" s="4"/>
      <c r="AE28" s="4"/>
    </row>
    <row r="29" spans="1:31" ht="21" customHeight="1" x14ac:dyDescent="0.55000000000000004">
      <c r="A29" s="11" t="s">
        <v>44</v>
      </c>
      <c r="B29" s="33">
        <v>48</v>
      </c>
      <c r="C29" s="34"/>
      <c r="D29" s="33">
        <v>6449</v>
      </c>
      <c r="E29" s="28">
        <f t="shared" si="1"/>
        <v>5.9</v>
      </c>
      <c r="F29" s="5" t="s">
        <v>45</v>
      </c>
      <c r="G29" s="4"/>
      <c r="H29" s="4"/>
      <c r="I29" s="4"/>
      <c r="J29" s="4"/>
      <c r="K29" s="11"/>
      <c r="L29" s="4"/>
      <c r="M29" s="4"/>
      <c r="N29" s="4"/>
      <c r="O29" s="26"/>
      <c r="P29" s="26"/>
      <c r="Q29" s="26"/>
      <c r="R29" s="4"/>
      <c r="S29" s="4"/>
      <c r="T29" s="4"/>
      <c r="U29" s="4"/>
      <c r="V29" s="11" t="s">
        <v>13</v>
      </c>
      <c r="W29" s="28">
        <v>0</v>
      </c>
      <c r="X29" s="4"/>
      <c r="Y29" s="4"/>
      <c r="Z29" s="4"/>
      <c r="AA29" s="4"/>
      <c r="AB29" s="4"/>
      <c r="AC29" s="4"/>
      <c r="AD29" s="4"/>
      <c r="AE29" s="4"/>
    </row>
    <row r="30" spans="1:31" ht="21" customHeight="1" x14ac:dyDescent="0.55000000000000004">
      <c r="A30" s="11" t="s">
        <v>46</v>
      </c>
      <c r="B30" s="33">
        <v>236</v>
      </c>
      <c r="C30" s="34"/>
      <c r="D30" s="33">
        <v>2734</v>
      </c>
      <c r="E30" s="28">
        <f t="shared" si="1"/>
        <v>2.5</v>
      </c>
      <c r="F30" s="5" t="s">
        <v>47</v>
      </c>
      <c r="G30" s="4"/>
      <c r="H30" s="4"/>
      <c r="I30" s="4"/>
      <c r="J30" s="4"/>
      <c r="K30" s="29"/>
      <c r="L30" s="26"/>
      <c r="M30" s="26"/>
      <c r="N30" s="4"/>
      <c r="O30" s="26"/>
      <c r="P30" s="26"/>
      <c r="Q30" s="26"/>
      <c r="R30" s="4"/>
      <c r="S30" s="4"/>
      <c r="T30" s="4"/>
      <c r="U30" s="4"/>
      <c r="V30" s="14" t="s">
        <v>31</v>
      </c>
      <c r="W30" s="28">
        <v>0</v>
      </c>
      <c r="X30" s="4"/>
      <c r="Y30" s="4"/>
      <c r="Z30" s="4"/>
      <c r="AA30" s="4"/>
      <c r="AB30" s="4"/>
      <c r="AC30" s="4"/>
      <c r="AD30" s="4"/>
      <c r="AE30" s="4"/>
    </row>
    <row r="31" spans="1:31" ht="21" customHeight="1" x14ac:dyDescent="0.55000000000000004">
      <c r="A31" s="11" t="s">
        <v>48</v>
      </c>
      <c r="B31" s="33">
        <v>15</v>
      </c>
      <c r="C31" s="34"/>
      <c r="D31" s="33">
        <v>1422</v>
      </c>
      <c r="E31" s="28">
        <f t="shared" si="1"/>
        <v>1.3</v>
      </c>
      <c r="F31" s="5" t="s">
        <v>49</v>
      </c>
      <c r="G31" s="4"/>
      <c r="H31" s="4"/>
      <c r="I31" s="4"/>
      <c r="J31" s="4"/>
      <c r="K31" s="29"/>
      <c r="L31" s="26"/>
      <c r="M31" s="26"/>
      <c r="N31" s="4"/>
      <c r="O31" s="26"/>
      <c r="P31" s="26"/>
      <c r="Q31" s="26"/>
      <c r="R31" s="4"/>
      <c r="S31" s="4"/>
      <c r="T31" s="4"/>
      <c r="U31" s="4"/>
      <c r="V31" s="11" t="s">
        <v>34</v>
      </c>
      <c r="W31" s="28">
        <v>0</v>
      </c>
      <c r="X31" s="4"/>
      <c r="Y31" s="4"/>
      <c r="Z31" s="4"/>
      <c r="AA31" s="4"/>
      <c r="AB31" s="4"/>
      <c r="AC31" s="4"/>
      <c r="AD31" s="4"/>
      <c r="AE31" s="4"/>
    </row>
    <row r="32" spans="1:31" ht="21" customHeight="1" x14ac:dyDescent="0.55000000000000004">
      <c r="A32" s="11" t="s">
        <v>50</v>
      </c>
      <c r="B32" s="33">
        <v>3</v>
      </c>
      <c r="C32" s="34"/>
      <c r="D32" s="33">
        <v>40</v>
      </c>
      <c r="E32" s="28">
        <f t="shared" si="1"/>
        <v>0</v>
      </c>
      <c r="F32" s="5" t="s">
        <v>51</v>
      </c>
      <c r="G32" s="13"/>
      <c r="H32" s="13"/>
      <c r="I32" s="13"/>
      <c r="J32" s="13"/>
      <c r="K32" s="29"/>
      <c r="L32" s="26"/>
      <c r="M32" s="30"/>
      <c r="N32" s="13"/>
      <c r="O32" s="30"/>
      <c r="P32" s="30"/>
      <c r="Q32" s="30"/>
      <c r="R32" s="13"/>
      <c r="S32" s="13"/>
      <c r="T32" s="13"/>
      <c r="U32" s="13"/>
      <c r="V32" s="12" t="s">
        <v>50</v>
      </c>
      <c r="W32" s="39">
        <v>0</v>
      </c>
      <c r="X32" s="13"/>
      <c r="Y32" s="13"/>
      <c r="Z32" s="13"/>
      <c r="AA32" s="13"/>
      <c r="AB32" s="13"/>
      <c r="AC32" s="13"/>
      <c r="AD32" s="13"/>
      <c r="AE32" s="13"/>
    </row>
    <row r="33" spans="1:31" ht="18.75" customHeight="1" x14ac:dyDescent="0.55000000000000004">
      <c r="A33" s="12" t="s">
        <v>52</v>
      </c>
      <c r="B33" s="35">
        <v>167</v>
      </c>
      <c r="C33" s="36"/>
      <c r="D33" s="35">
        <v>4261</v>
      </c>
      <c r="E33" s="37">
        <f t="shared" si="1"/>
        <v>3.9</v>
      </c>
      <c r="F33" s="6" t="s">
        <v>53</v>
      </c>
      <c r="G33" s="1"/>
      <c r="H33" s="1"/>
      <c r="I33" s="1"/>
      <c r="J33" s="1"/>
      <c r="K33" s="29"/>
      <c r="L33" s="26"/>
      <c r="M33" s="25"/>
      <c r="N33" s="1"/>
      <c r="O33" s="25"/>
      <c r="P33" s="25"/>
      <c r="Q33" s="25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 x14ac:dyDescent="0.25">
      <c r="A34" s="7" t="s">
        <v>5</v>
      </c>
      <c r="B34" s="4"/>
      <c r="C34" s="4"/>
      <c r="D34" s="4"/>
      <c r="E34" s="4"/>
      <c r="F34" s="8" t="s">
        <v>4</v>
      </c>
      <c r="G34" s="1"/>
      <c r="H34" s="1"/>
      <c r="I34" s="1"/>
      <c r="J34" s="1"/>
      <c r="K34" s="31"/>
      <c r="L34" s="26"/>
      <c r="M34" s="25"/>
      <c r="N34" s="1"/>
      <c r="O34" s="25"/>
      <c r="P34" s="25"/>
      <c r="Q34" s="25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29"/>
      <c r="L35" s="26"/>
      <c r="M35" s="25"/>
      <c r="N35" s="1"/>
      <c r="O35" s="25"/>
      <c r="P35" s="25"/>
      <c r="Q35" s="25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36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29"/>
      <c r="L36" s="30"/>
      <c r="M36" s="25"/>
      <c r="N36" s="1"/>
      <c r="O36" s="25"/>
      <c r="P36" s="25"/>
      <c r="Q36" s="2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25"/>
      <c r="L37" s="25"/>
      <c r="M37" s="25"/>
      <c r="N37" s="1"/>
      <c r="O37" s="25"/>
      <c r="P37" s="25"/>
      <c r="Q37" s="25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25"/>
      <c r="L38" s="25"/>
      <c r="M38" s="25"/>
      <c r="N38" s="1"/>
      <c r="O38" s="25"/>
      <c r="P38" s="25"/>
      <c r="Q38" s="25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25"/>
      <c r="L39" s="25"/>
      <c r="M39" s="25"/>
      <c r="N39" s="1"/>
      <c r="O39" s="25"/>
      <c r="P39" s="25"/>
      <c r="Q39" s="25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25"/>
      <c r="L40" s="25"/>
      <c r="M40" s="25"/>
      <c r="N40" s="1"/>
      <c r="O40" s="25"/>
      <c r="P40" s="25"/>
      <c r="Q40" s="25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25"/>
      <c r="L41" s="25"/>
      <c r="M41" s="25"/>
      <c r="N41" s="1"/>
      <c r="O41" s="25"/>
      <c r="P41" s="25"/>
      <c r="Q41" s="25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25"/>
      <c r="L42" s="25"/>
      <c r="M42" s="25"/>
      <c r="N42" s="1"/>
      <c r="O42" s="25"/>
      <c r="P42" s="25"/>
      <c r="Q42" s="2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25"/>
      <c r="L43" s="25"/>
      <c r="M43" s="25"/>
      <c r="N43" s="1"/>
      <c r="O43" s="25"/>
      <c r="P43" s="25"/>
      <c r="Q43" s="2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25"/>
      <c r="L44" s="25"/>
      <c r="M44" s="25"/>
      <c r="N44" s="1"/>
      <c r="O44" s="25"/>
      <c r="P44" s="25"/>
      <c r="Q44" s="2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5"/>
      <c r="P45" s="25"/>
      <c r="Q45" s="2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5"/>
      <c r="P46" s="25"/>
      <c r="Q46" s="2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5"/>
      <c r="P47" s="25"/>
      <c r="Q47" s="25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5"/>
      <c r="P48" s="25"/>
      <c r="Q48" s="2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5"/>
      <c r="P49" s="25"/>
      <c r="Q49" s="25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9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5"/>
      <c r="P50" s="25"/>
      <c r="Q50" s="25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5"/>
      <c r="P51" s="25"/>
      <c r="Q51" s="25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5"/>
      <c r="P52" s="25"/>
      <c r="Q52" s="25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5"/>
      <c r="P53" s="25"/>
      <c r="Q53" s="25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5"/>
      <c r="P54" s="25"/>
      <c r="Q54" s="25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5"/>
      <c r="P55" s="25"/>
      <c r="Q55" s="25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5"/>
      <c r="P56" s="25"/>
      <c r="Q56" s="25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5"/>
      <c r="P57" s="25"/>
      <c r="Q57" s="25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5"/>
      <c r="P58" s="25"/>
      <c r="Q58" s="25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5"/>
      <c r="P59" s="25"/>
      <c r="Q59" s="25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5"/>
      <c r="P60" s="25"/>
      <c r="Q60" s="25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5"/>
      <c r="P61" s="25"/>
      <c r="Q61" s="25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5"/>
      <c r="P62" s="25"/>
      <c r="Q62" s="25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5"/>
      <c r="P63" s="25"/>
      <c r="Q63" s="25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5"/>
      <c r="P64" s="25"/>
      <c r="Q64" s="25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</sheetData>
  <sortState xmlns:xlrd2="http://schemas.microsoft.com/office/spreadsheetml/2017/richdata2" ref="V7:W32">
    <sortCondition descending="1" ref="W7:W32"/>
  </sortState>
  <mergeCells count="5">
    <mergeCell ref="A1:F1"/>
    <mergeCell ref="A2:F2"/>
    <mergeCell ref="A4:A6"/>
    <mergeCell ref="F4:F6"/>
    <mergeCell ref="D5:D6"/>
  </mergeCells>
  <pageMargins left="0.7" right="0.7" top="0.75" bottom="0.75" header="0" footer="0"/>
  <pageSetup paperSize="9" scale="4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18.15</vt:lpstr>
      <vt:lpstr>'18.15'!Print_Area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2026-05-07T05:04:27Z</cp:lastPrinted>
  <dcterms:created xsi:type="dcterms:W3CDTF">2025-05-19T08:29:05Z</dcterms:created>
  <dcterms:modified xsi:type="dcterms:W3CDTF">2026-05-07T05:04:33Z</dcterms:modified>
</cp:coreProperties>
</file>