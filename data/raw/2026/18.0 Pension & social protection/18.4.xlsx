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BF9139B1-FB05-479D-9037-7528B4208D76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4" sheetId="4" r:id="rId1"/>
  </sheets>
  <definedNames>
    <definedName name="_xlnm.Print_Area" localSheetId="0">'18.4'!$A$1:$S$41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4" l="1"/>
  <c r="N18" i="4"/>
  <c r="N17" i="4"/>
  <c r="N16" i="4"/>
  <c r="N15" i="4"/>
  <c r="N14" i="4"/>
  <c r="N13" i="4"/>
  <c r="N12" i="4"/>
  <c r="N11" i="4"/>
  <c r="N10" i="4"/>
  <c r="N9" i="4"/>
  <c r="N8" i="4"/>
  <c r="J19" i="4" l="1"/>
  <c r="F19" i="4"/>
  <c r="B19" i="4"/>
  <c r="J18" i="4"/>
  <c r="F18" i="4"/>
  <c r="B18" i="4"/>
  <c r="J17" i="4"/>
  <c r="F17" i="4"/>
  <c r="B17" i="4"/>
  <c r="J16" i="4"/>
  <c r="F16" i="4"/>
  <c r="B16" i="4"/>
  <c r="J15" i="4"/>
  <c r="F15" i="4"/>
  <c r="B15" i="4"/>
  <c r="J14" i="4"/>
  <c r="F14" i="4"/>
  <c r="B14" i="4"/>
  <c r="J13" i="4"/>
  <c r="F13" i="4"/>
  <c r="B13" i="4"/>
  <c r="J12" i="4"/>
  <c r="F12" i="4"/>
  <c r="B12" i="4"/>
  <c r="J11" i="4"/>
  <c r="F11" i="4"/>
  <c r="B11" i="4"/>
  <c r="J10" i="4"/>
  <c r="F10" i="4"/>
  <c r="B10" i="4"/>
  <c r="J9" i="4"/>
  <c r="F9" i="4"/>
  <c r="B9" i="4"/>
  <c r="J8" i="4"/>
  <c r="F8" i="4"/>
  <c r="B8" i="4"/>
</calcChain>
</file>

<file path=xl/sharedStrings.xml><?xml version="1.0" encoding="utf-8"?>
<sst xmlns="http://schemas.openxmlformats.org/spreadsheetml/2006/main" count="47" uniqueCount="35">
  <si>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</si>
  <si>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</si>
  <si>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</si>
  <si>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</si>
  <si>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</si>
  <si>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</si>
  <si>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</si>
  <si>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</si>
  <si>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</si>
  <si>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</si>
  <si>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</si>
  <si>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</si>
  <si>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</si>
  <si>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</si>
  <si>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</si>
  <si>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</si>
  <si>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</si>
  <si>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</si>
  <si>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</si>
  <si>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</si>
  <si>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</si>
  <si>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</si>
  <si>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</si>
  <si>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</si>
  <si>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</si>
  <si>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</si>
  <si>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</si>
  <si>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</si>
  <si>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</si>
  <si>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r>
      <rPr>
        <b/>
        <sz val="11"/>
        <color rgb="FF000000"/>
        <rFont val="Calibri"/>
        <family val="2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</si>
  <si>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</si>
  <si>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</si>
  <si>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</si>
  <si>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TABLE   18.4: NUMBER OF BENEFICIARIES OF BASIC PENSION SCHEME BY AGE, 2022 - 2025</t>
  </si>
  <si>
    <t>ތާވަލު  18.4 : އަސާސީ ޕެންޝަން ލިބޭ މީހުންގެ އަދަދު އަދި ޢުމުރުފުރާތައް، 2022 - 2025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</si>
</sst>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</borders>
  <cellStyleXfs count="32">
    <xf numFmtId="0" fontId="0" fillId="0" borderId="0"/>
    <xf numFmtId="164" fontId="12" fillId="0" borderId="18"/>
    <xf numFmtId="43" fontId="3" fillId="0" borderId="18" applyFont="0" applyFill="0" applyBorder="0" applyAlignment="0" applyProtection="0"/>
    <xf numFmtId="43" fontId="3" fillId="0" borderId="18" applyFont="0" applyFill="0" applyBorder="0" applyAlignment="0" applyProtection="0"/>
    <xf numFmtId="0" fontId="11" fillId="0" borderId="18"/>
    <xf numFmtId="0" fontId="3" fillId="0" borderId="18"/>
    <xf numFmtId="0" fontId="3" fillId="0" borderId="18"/>
    <xf numFmtId="0" fontId="3" fillId="0" borderId="18"/>
    <xf numFmtId="0" fontId="11" fillId="0" borderId="18"/>
    <xf numFmtId="0" fontId="11" fillId="0" borderId="18"/>
    <xf numFmtId="0" fontId="3" fillId="0" borderId="18"/>
    <xf numFmtId="0" fontId="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</cellStyleXfs>
  <cellXfs count="43">
    <xf numFmtId="0" fontId="0" fillId="0" borderId="0" xfId="0"/>
    <xf numFmtId="0" fontId="3" fillId="2" borderId="4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5" fillId="2" borderId="4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left" vertical="center"/>
    </xf>
    <xf numFmtId="3" fontId="3" fillId="2" borderId="12" xfId="0" applyNumberFormat="1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vertical="center"/>
    </xf>
    <xf numFmtId="0" fontId="5" fillId="2" borderId="12" xfId="0" applyFont="1" applyFill="1" applyBorder="1" applyAlignment="1">
      <alignment horizontal="right" vertic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0" fontId="6" fillId="2" borderId="4" xfId="0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12" xfId="0" applyNumberFormat="1" applyFont="1" applyFill="1" applyBorder="1" applyAlignment="1">
      <alignment vertical="center"/>
    </xf>
    <xf numFmtId="0" fontId="3" fillId="2" borderId="21" xfId="0" applyFont="1" applyFill="1" applyBorder="1" applyAlignment="1">
      <alignment horizontal="left" vertical="center"/>
    </xf>
    <xf numFmtId="3" fontId="14" fillId="4" borderId="18" xfId="17" applyNumberFormat="1" applyFont="1" applyFill="1" applyAlignment="1">
      <alignment horizontal="right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18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11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left" vertical="center"/>
    </xf>
    <xf numFmtId="0" fontId="2" fillId="3" borderId="21" xfId="0" applyFont="1" applyFill="1" applyBorder="1"/>
    <xf numFmtId="0" fontId="2" fillId="3" borderId="13" xfId="0" applyFont="1" applyFill="1" applyBorder="1"/>
    <xf numFmtId="0" fontId="4" fillId="2" borderId="1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14" fillId="4" borderId="19" xfId="17" applyNumberFormat="1" applyFont="1" applyFill="1" applyBorder="1" applyAlignment="1">
      <alignment horizontal="right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spPr>
            <a:solidFill>
              <a:srgbClr val="336600"/>
            </a:solidFill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E01-4DDE-A023-DEEB4507AEF5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4-8E01-4DDE-A023-DEEB4507AEF5}"/>
              </c:ext>
            </c:extLst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8E01-4DDE-A023-DEEB4507AEF5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0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E01-4DDE-A023-DEEB4507AE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E01-4DDE-A023-DEEB4507AEF5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0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E01-4DDE-A023-DEEB4507AE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'18.4'!$O$7:$Q$7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&amp; over</c:v>
                </c:pt>
              </c:strCache>
            </c:strRef>
          </c:cat>
          <c:val>
            <c:numRef>
              <c:f>'18.4'!$O$19:$Q$19</c:f>
              <c:numCache>
                <c:formatCode>#,##0</c:formatCode>
                <c:ptCount val="3"/>
                <c:pt idx="0">
                  <c:v>11417</c:v>
                </c:pt>
                <c:pt idx="1">
                  <c:v>5922</c:v>
                </c:pt>
                <c:pt idx="2">
                  <c:v>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1-4DDE-A023-DEEB4507A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561975</xdr:colOff>
      <xdr:row>20</xdr:row>
      <xdr:rowOff>76200</xdr:rowOff>
    </xdr:from>
    <xdr:ext cx="6410325" cy="3381375"/>
    <xdr:graphicFrame macro="">
      <xdr:nvGraphicFramePr>
        <xdr:cNvPr id="430546625" name="Chart 6">
          <a:extLst>
            <a:ext uri="{FF2B5EF4-FFF2-40B4-BE49-F238E27FC236}">
              <a16:creationId xmlns:a16="http://schemas.microsoft.com/office/drawing/2014/main" id="{00000000-0008-0000-0300-0000C19EA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133349</xdr:colOff>
      <xdr:row>21</xdr:row>
      <xdr:rowOff>114300</xdr:rowOff>
    </xdr:from>
    <xdr:ext cx="5762625" cy="276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676649" y="5657850"/>
          <a:ext cx="57626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</a:t>
          </a:r>
          <a:r>
            <a:rPr lang="dv-MV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M1000"/>
  <sheetViews>
    <sheetView tabSelected="1" zoomScaleNormal="100" workbookViewId="0">
      <selection activeCell="V9" sqref="V9"/>
    </sheetView>
  </sheetViews>
  <sheetFormatPr defaultColWidth="14.42578125" defaultRowHeight="15" customHeight="1" x14ac:dyDescent="0.25"/>
  <cols>
    <col min="1" max="1" width="10.85546875" style="21" customWidth="1"/>
    <col min="2" max="17" width="10.5703125" style="21" customWidth="1"/>
    <col min="18" max="18" width="14.5703125" style="21" customWidth="1"/>
    <col min="19" max="19" width="3.28515625" style="21" customWidth="1"/>
    <col min="20" max="39" width="8" style="21" customWidth="1"/>
    <col min="40" max="16384" width="14.42578125" style="2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6.5" customHeight="1" x14ac:dyDescent="0.25">
      <c r="A2" s="34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  <c r="O2" s="29"/>
      <c r="P2" s="29"/>
      <c r="Q2" s="29"/>
      <c r="R2" s="30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4.25" customHeight="1" x14ac:dyDescent="0.25">
      <c r="A3" s="35" t="s">
        <v>33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29"/>
      <c r="P3" s="29"/>
      <c r="Q3" s="29"/>
      <c r="R3" s="3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1" customHeight="1" x14ac:dyDescent="0.55000000000000004">
      <c r="A5" s="37" t="s">
        <v>1</v>
      </c>
      <c r="B5" s="40" t="s">
        <v>29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33" t="s">
        <v>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38"/>
      <c r="B6" s="36">
        <v>2022</v>
      </c>
      <c r="C6" s="26"/>
      <c r="D6" s="26"/>
      <c r="E6" s="27"/>
      <c r="F6" s="36">
        <v>2023</v>
      </c>
      <c r="G6" s="26"/>
      <c r="H6" s="26"/>
      <c r="I6" s="27"/>
      <c r="J6" s="36">
        <v>2024</v>
      </c>
      <c r="K6" s="26"/>
      <c r="L6" s="26"/>
      <c r="M6" s="27"/>
      <c r="N6" s="36">
        <v>2025</v>
      </c>
      <c r="O6" s="26"/>
      <c r="P6" s="26"/>
      <c r="Q6" s="27"/>
      <c r="R6" s="31"/>
      <c r="S6" s="1"/>
      <c r="T6" s="1"/>
      <c r="U6" s="19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5">
      <c r="A7" s="39"/>
      <c r="B7" s="3" t="s">
        <v>0</v>
      </c>
      <c r="C7" s="2" t="s">
        <v>30</v>
      </c>
      <c r="D7" s="2" t="s">
        <v>31</v>
      </c>
      <c r="E7" s="4" t="s">
        <v>32</v>
      </c>
      <c r="F7" s="3" t="s">
        <v>0</v>
      </c>
      <c r="G7" s="2" t="s">
        <v>30</v>
      </c>
      <c r="H7" s="2" t="s">
        <v>31</v>
      </c>
      <c r="I7" s="4" t="s">
        <v>32</v>
      </c>
      <c r="J7" s="3" t="s">
        <v>0</v>
      </c>
      <c r="K7" s="2" t="s">
        <v>30</v>
      </c>
      <c r="L7" s="2" t="s">
        <v>31</v>
      </c>
      <c r="M7" s="4" t="s">
        <v>32</v>
      </c>
      <c r="N7" s="3" t="s">
        <v>0</v>
      </c>
      <c r="O7" s="2" t="s">
        <v>30</v>
      </c>
      <c r="P7" s="2" t="s">
        <v>31</v>
      </c>
      <c r="Q7" s="4" t="s">
        <v>32</v>
      </c>
      <c r="R7" s="32"/>
      <c r="S7" s="1"/>
      <c r="T7" s="1"/>
      <c r="U7" s="19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24.75" customHeight="1" x14ac:dyDescent="0.25">
      <c r="A8" s="24" t="s">
        <v>3</v>
      </c>
      <c r="B8" s="7">
        <f t="shared" ref="B8:B19" si="0">SUM(C8:E8)</f>
        <v>19823</v>
      </c>
      <c r="C8" s="6">
        <v>6770</v>
      </c>
      <c r="D8" s="6">
        <v>4771</v>
      </c>
      <c r="E8" s="6">
        <v>8282</v>
      </c>
      <c r="F8" s="7">
        <f t="shared" ref="F8:F19" si="1">SUM(G8:I8)</f>
        <v>21175</v>
      </c>
      <c r="G8" s="6">
        <v>7830</v>
      </c>
      <c r="H8" s="6">
        <v>5021</v>
      </c>
      <c r="I8" s="6">
        <v>8324</v>
      </c>
      <c r="J8" s="7">
        <f t="shared" ref="J8:J19" si="2">SUM(K8:M8)</f>
        <v>22600</v>
      </c>
      <c r="K8" s="22">
        <v>8857</v>
      </c>
      <c r="L8" s="22">
        <v>5348</v>
      </c>
      <c r="M8" s="22">
        <v>8395</v>
      </c>
      <c r="N8" s="7">
        <f t="shared" ref="N8:N19" si="3">SUM(O8:Q8)</f>
        <v>24323</v>
      </c>
      <c r="O8" s="25">
        <v>10426</v>
      </c>
      <c r="P8" s="25">
        <v>5539</v>
      </c>
      <c r="Q8" s="25">
        <v>8358</v>
      </c>
      <c r="R8" s="8" t="s">
        <v>4</v>
      </c>
      <c r="S8" s="1"/>
      <c r="T8" s="1"/>
      <c r="U8" s="1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24.75" customHeight="1" x14ac:dyDescent="0.25">
      <c r="A9" s="5" t="s">
        <v>5</v>
      </c>
      <c r="B9" s="7">
        <f t="shared" si="0"/>
        <v>19904</v>
      </c>
      <c r="C9" s="6">
        <v>6876</v>
      </c>
      <c r="D9" s="6">
        <v>4792</v>
      </c>
      <c r="E9" s="6">
        <v>8236</v>
      </c>
      <c r="F9" s="7">
        <f t="shared" si="1"/>
        <v>21321</v>
      </c>
      <c r="G9" s="6">
        <v>7969</v>
      </c>
      <c r="H9" s="6">
        <v>5041</v>
      </c>
      <c r="I9" s="6">
        <v>8311</v>
      </c>
      <c r="J9" s="7">
        <f t="shared" si="2"/>
        <v>22742</v>
      </c>
      <c r="K9" s="22">
        <v>9015</v>
      </c>
      <c r="L9" s="22">
        <v>5362</v>
      </c>
      <c r="M9" s="22">
        <v>8365</v>
      </c>
      <c r="N9" s="7">
        <f t="shared" si="3"/>
        <v>24497</v>
      </c>
      <c r="O9" s="25">
        <v>10583</v>
      </c>
      <c r="P9" s="25">
        <v>5563</v>
      </c>
      <c r="Q9" s="25">
        <v>8351</v>
      </c>
      <c r="R9" s="8" t="s">
        <v>6</v>
      </c>
      <c r="S9" s="1"/>
      <c r="T9" s="1"/>
      <c r="U9" s="1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24.75" customHeight="1" x14ac:dyDescent="0.25">
      <c r="A10" s="5" t="s">
        <v>7</v>
      </c>
      <c r="B10" s="7">
        <f t="shared" si="0"/>
        <v>19981</v>
      </c>
      <c r="C10" s="6">
        <v>7039</v>
      </c>
      <c r="D10" s="6">
        <v>4778</v>
      </c>
      <c r="E10" s="6">
        <v>8164</v>
      </c>
      <c r="F10" s="7">
        <f t="shared" si="1"/>
        <v>21409</v>
      </c>
      <c r="G10" s="6">
        <v>8126</v>
      </c>
      <c r="H10" s="6">
        <v>5031</v>
      </c>
      <c r="I10" s="6">
        <v>8252</v>
      </c>
      <c r="J10" s="7">
        <f t="shared" si="2"/>
        <v>22930</v>
      </c>
      <c r="K10" s="22">
        <v>9174</v>
      </c>
      <c r="L10" s="22">
        <v>5436</v>
      </c>
      <c r="M10" s="22">
        <v>8320</v>
      </c>
      <c r="N10" s="7">
        <f t="shared" si="3"/>
        <v>24611</v>
      </c>
      <c r="O10" s="25">
        <v>10610</v>
      </c>
      <c r="P10" s="25">
        <v>5625</v>
      </c>
      <c r="Q10" s="25">
        <v>8376</v>
      </c>
      <c r="R10" s="8" t="s">
        <v>8</v>
      </c>
      <c r="S10" s="1"/>
      <c r="T10" s="1"/>
      <c r="U10" s="19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24.75" customHeight="1" x14ac:dyDescent="0.25">
      <c r="A11" s="5" t="s">
        <v>9</v>
      </c>
      <c r="B11" s="7">
        <f t="shared" si="0"/>
        <v>20120</v>
      </c>
      <c r="C11" s="6">
        <v>7140</v>
      </c>
      <c r="D11" s="6">
        <v>4813</v>
      </c>
      <c r="E11" s="6">
        <v>8167</v>
      </c>
      <c r="F11" s="7">
        <f t="shared" si="1"/>
        <v>21497</v>
      </c>
      <c r="G11" s="6">
        <v>8182</v>
      </c>
      <c r="H11" s="6">
        <v>5112</v>
      </c>
      <c r="I11" s="6">
        <v>8203</v>
      </c>
      <c r="J11" s="7">
        <f t="shared" si="2"/>
        <v>23031</v>
      </c>
      <c r="K11" s="22">
        <v>9295</v>
      </c>
      <c r="L11" s="22">
        <v>5409</v>
      </c>
      <c r="M11" s="22">
        <v>8327</v>
      </c>
      <c r="N11" s="7">
        <f t="shared" si="3"/>
        <v>24749</v>
      </c>
      <c r="O11" s="25">
        <v>10717</v>
      </c>
      <c r="P11" s="25">
        <v>5663</v>
      </c>
      <c r="Q11" s="25">
        <v>8369</v>
      </c>
      <c r="R11" s="8" t="s">
        <v>10</v>
      </c>
      <c r="S11" s="1"/>
      <c r="T11" s="1"/>
      <c r="U11" s="19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24.75" customHeight="1" x14ac:dyDescent="0.25">
      <c r="A12" s="5" t="s">
        <v>11</v>
      </c>
      <c r="B12" s="7">
        <f t="shared" si="0"/>
        <v>20199</v>
      </c>
      <c r="C12" s="6">
        <v>7284</v>
      </c>
      <c r="D12" s="6">
        <v>4807</v>
      </c>
      <c r="E12" s="6">
        <v>8108</v>
      </c>
      <c r="F12" s="7">
        <f t="shared" si="1"/>
        <v>21505</v>
      </c>
      <c r="G12" s="6">
        <v>8291</v>
      </c>
      <c r="H12" s="6">
        <v>5057</v>
      </c>
      <c r="I12" s="6">
        <v>8157</v>
      </c>
      <c r="J12" s="7">
        <f t="shared" si="2"/>
        <v>23140</v>
      </c>
      <c r="K12" s="22">
        <v>9390</v>
      </c>
      <c r="L12" s="22">
        <v>5484</v>
      </c>
      <c r="M12" s="22">
        <v>8266</v>
      </c>
      <c r="N12" s="7">
        <f t="shared" si="3"/>
        <v>24895</v>
      </c>
      <c r="O12" s="25">
        <v>10815</v>
      </c>
      <c r="P12" s="25">
        <v>5711</v>
      </c>
      <c r="Q12" s="25">
        <v>8369</v>
      </c>
      <c r="R12" s="8" t="s">
        <v>12</v>
      </c>
      <c r="S12" s="1"/>
      <c r="T12" s="1"/>
      <c r="U12" s="1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24.75" customHeight="1" x14ac:dyDescent="0.25">
      <c r="A13" s="5" t="s">
        <v>13</v>
      </c>
      <c r="B13" s="7">
        <f t="shared" si="0"/>
        <v>20323</v>
      </c>
      <c r="C13" s="6">
        <v>7332</v>
      </c>
      <c r="D13" s="6">
        <v>4862</v>
      </c>
      <c r="E13" s="6">
        <v>8129</v>
      </c>
      <c r="F13" s="7">
        <f t="shared" si="1"/>
        <v>21598</v>
      </c>
      <c r="G13" s="6">
        <v>8341</v>
      </c>
      <c r="H13" s="6">
        <v>5109</v>
      </c>
      <c r="I13" s="6">
        <v>8148</v>
      </c>
      <c r="J13" s="7">
        <f t="shared" si="2"/>
        <v>23286</v>
      </c>
      <c r="K13" s="22">
        <v>9525</v>
      </c>
      <c r="L13" s="22">
        <v>5458</v>
      </c>
      <c r="M13" s="22">
        <v>8303</v>
      </c>
      <c r="N13" s="7">
        <f t="shared" si="3"/>
        <v>25040</v>
      </c>
      <c r="O13" s="25">
        <v>10903</v>
      </c>
      <c r="P13" s="25">
        <v>5751</v>
      </c>
      <c r="Q13" s="25">
        <v>8386</v>
      </c>
      <c r="R13" s="8" t="s">
        <v>14</v>
      </c>
      <c r="S13" s="1"/>
      <c r="T13" s="1"/>
      <c r="U13" s="19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24.75" customHeight="1" x14ac:dyDescent="0.25">
      <c r="A14" s="5" t="s">
        <v>15</v>
      </c>
      <c r="B14" s="7">
        <f t="shared" si="0"/>
        <v>20383</v>
      </c>
      <c r="C14" s="6">
        <v>7443</v>
      </c>
      <c r="D14" s="6">
        <v>4858</v>
      </c>
      <c r="E14" s="6">
        <v>8082</v>
      </c>
      <c r="F14" s="7">
        <f t="shared" si="1"/>
        <v>21693</v>
      </c>
      <c r="G14" s="6">
        <v>8507</v>
      </c>
      <c r="H14" s="6">
        <v>5073</v>
      </c>
      <c r="I14" s="6">
        <v>8113</v>
      </c>
      <c r="J14" s="7">
        <f t="shared" si="2"/>
        <v>23429</v>
      </c>
      <c r="K14" s="22">
        <v>9681</v>
      </c>
      <c r="L14" s="22">
        <v>5496</v>
      </c>
      <c r="M14" s="22">
        <v>8252</v>
      </c>
      <c r="N14" s="7">
        <f t="shared" si="3"/>
        <v>25194</v>
      </c>
      <c r="O14" s="25">
        <v>11029</v>
      </c>
      <c r="P14" s="25">
        <v>5782</v>
      </c>
      <c r="Q14" s="25">
        <v>8383</v>
      </c>
      <c r="R14" s="8" t="s">
        <v>16</v>
      </c>
      <c r="S14" s="1"/>
      <c r="T14" s="1"/>
      <c r="U14" s="19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24.75" customHeight="1" x14ac:dyDescent="0.25">
      <c r="A15" s="5" t="s">
        <v>17</v>
      </c>
      <c r="B15" s="7">
        <f t="shared" si="0"/>
        <v>20433</v>
      </c>
      <c r="C15" s="6">
        <v>7520</v>
      </c>
      <c r="D15" s="6">
        <v>4879</v>
      </c>
      <c r="E15" s="6">
        <v>8034</v>
      </c>
      <c r="F15" s="7">
        <f t="shared" si="1"/>
        <v>21805</v>
      </c>
      <c r="G15" s="6">
        <v>8610</v>
      </c>
      <c r="H15" s="6">
        <v>5090</v>
      </c>
      <c r="I15" s="6">
        <v>8105</v>
      </c>
      <c r="J15" s="7">
        <f t="shared" si="2"/>
        <v>23559</v>
      </c>
      <c r="K15" s="22">
        <v>9324</v>
      </c>
      <c r="L15" s="22">
        <v>5983</v>
      </c>
      <c r="M15" s="22">
        <v>8252</v>
      </c>
      <c r="N15" s="7">
        <f t="shared" si="3"/>
        <v>25291</v>
      </c>
      <c r="O15" s="25">
        <v>11118</v>
      </c>
      <c r="P15" s="25">
        <v>5795</v>
      </c>
      <c r="Q15" s="25">
        <v>8378</v>
      </c>
      <c r="R15" s="8" t="s">
        <v>18</v>
      </c>
      <c r="S15" s="1"/>
      <c r="T15" s="1"/>
      <c r="U15" s="1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24.75" customHeight="1" x14ac:dyDescent="0.25">
      <c r="A16" s="5" t="s">
        <v>19</v>
      </c>
      <c r="B16" s="7">
        <f t="shared" si="0"/>
        <v>20487</v>
      </c>
      <c r="C16" s="6">
        <v>7154</v>
      </c>
      <c r="D16" s="6">
        <v>4962</v>
      </c>
      <c r="E16" s="6">
        <v>8371</v>
      </c>
      <c r="F16" s="7">
        <f t="shared" si="1"/>
        <v>21852</v>
      </c>
      <c r="G16" s="6">
        <v>8146</v>
      </c>
      <c r="H16" s="6">
        <v>5260</v>
      </c>
      <c r="I16" s="6">
        <v>8446</v>
      </c>
      <c r="J16" s="7">
        <f t="shared" si="2"/>
        <v>23657</v>
      </c>
      <c r="K16" s="22">
        <v>9397</v>
      </c>
      <c r="L16" s="22">
        <v>5604</v>
      </c>
      <c r="M16" s="22">
        <v>8656</v>
      </c>
      <c r="N16" s="7">
        <f t="shared" si="3"/>
        <v>25380</v>
      </c>
      <c r="O16" s="25">
        <v>11196</v>
      </c>
      <c r="P16" s="25">
        <v>5831</v>
      </c>
      <c r="Q16" s="25">
        <v>8353</v>
      </c>
      <c r="R16" s="8" t="s">
        <v>20</v>
      </c>
      <c r="S16" s="1"/>
      <c r="T16" s="1"/>
      <c r="U16" s="19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24.75" customHeight="1" x14ac:dyDescent="0.25">
      <c r="A17" s="5" t="s">
        <v>21</v>
      </c>
      <c r="B17" s="7">
        <f t="shared" si="0"/>
        <v>20538</v>
      </c>
      <c r="C17" s="6">
        <v>7217</v>
      </c>
      <c r="D17" s="6">
        <v>4965</v>
      </c>
      <c r="E17" s="6">
        <v>8356</v>
      </c>
      <c r="F17" s="7">
        <f t="shared" si="1"/>
        <v>21928</v>
      </c>
      <c r="G17" s="6">
        <v>8182</v>
      </c>
      <c r="H17" s="6">
        <v>5306</v>
      </c>
      <c r="I17" s="6">
        <v>8440</v>
      </c>
      <c r="J17" s="7">
        <f t="shared" si="2"/>
        <v>23718</v>
      </c>
      <c r="K17" s="22">
        <v>9405</v>
      </c>
      <c r="L17" s="22">
        <v>5659</v>
      </c>
      <c r="M17" s="22">
        <v>8654</v>
      </c>
      <c r="N17" s="7">
        <f t="shared" si="3"/>
        <v>25499</v>
      </c>
      <c r="O17" s="25">
        <v>11281</v>
      </c>
      <c r="P17" s="25">
        <v>5866</v>
      </c>
      <c r="Q17" s="25">
        <v>8352</v>
      </c>
      <c r="R17" s="8" t="s">
        <v>22</v>
      </c>
      <c r="S17" s="1"/>
      <c r="T17" s="1"/>
      <c r="U17" s="1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24.75" customHeight="1" x14ac:dyDescent="0.55000000000000004">
      <c r="A18" s="5" t="s">
        <v>23</v>
      </c>
      <c r="B18" s="7">
        <f t="shared" si="0"/>
        <v>20574</v>
      </c>
      <c r="C18" s="6">
        <v>7227</v>
      </c>
      <c r="D18" s="6">
        <v>4999</v>
      </c>
      <c r="E18" s="6">
        <v>8348</v>
      </c>
      <c r="F18" s="7">
        <f t="shared" si="1"/>
        <v>21975</v>
      </c>
      <c r="G18" s="6">
        <v>8242</v>
      </c>
      <c r="H18" s="6">
        <v>5314</v>
      </c>
      <c r="I18" s="6">
        <v>8419</v>
      </c>
      <c r="J18" s="7">
        <f t="shared" si="2"/>
        <v>23774</v>
      </c>
      <c r="K18" s="22">
        <v>9445</v>
      </c>
      <c r="L18" s="22">
        <v>5696</v>
      </c>
      <c r="M18" s="22">
        <v>8633</v>
      </c>
      <c r="N18" s="7">
        <f t="shared" si="3"/>
        <v>25565</v>
      </c>
      <c r="O18" s="25">
        <v>11341</v>
      </c>
      <c r="P18" s="25">
        <v>5902</v>
      </c>
      <c r="Q18" s="25">
        <v>8322</v>
      </c>
      <c r="R18" s="10" t="s">
        <v>24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24.75" customHeight="1" x14ac:dyDescent="0.25">
      <c r="A19" s="11" t="s">
        <v>25</v>
      </c>
      <c r="B19" s="13">
        <f t="shared" si="0"/>
        <v>20593</v>
      </c>
      <c r="C19" s="12">
        <v>7257</v>
      </c>
      <c r="D19" s="12">
        <v>5003</v>
      </c>
      <c r="E19" s="12">
        <v>8333</v>
      </c>
      <c r="F19" s="13">
        <f t="shared" si="1"/>
        <v>22023</v>
      </c>
      <c r="G19" s="12">
        <v>8296</v>
      </c>
      <c r="H19" s="12">
        <v>5324</v>
      </c>
      <c r="I19" s="12">
        <v>8403</v>
      </c>
      <c r="J19" s="13">
        <f t="shared" si="2"/>
        <v>23811</v>
      </c>
      <c r="K19" s="23">
        <v>9456</v>
      </c>
      <c r="L19" s="23">
        <v>5742</v>
      </c>
      <c r="M19" s="23">
        <v>8613</v>
      </c>
      <c r="N19" s="13">
        <f t="shared" si="3"/>
        <v>25650</v>
      </c>
      <c r="O19" s="42">
        <v>11417</v>
      </c>
      <c r="P19" s="42">
        <v>5922</v>
      </c>
      <c r="Q19" s="42">
        <v>8311</v>
      </c>
      <c r="R19" s="14" t="s">
        <v>26</v>
      </c>
      <c r="S19" s="1"/>
      <c r="T19" s="9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7.25" customHeight="1" x14ac:dyDescent="0.45">
      <c r="A20" s="16" t="s">
        <v>28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7" t="s">
        <v>27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ht="18.75" customHeight="1" x14ac:dyDescent="0.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8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mergeCells count="9">
    <mergeCell ref="F6:I6"/>
    <mergeCell ref="A2:R2"/>
    <mergeCell ref="A3:R3"/>
    <mergeCell ref="A5:A7"/>
    <mergeCell ref="R5:R7"/>
    <mergeCell ref="J6:M6"/>
    <mergeCell ref="B6:E6"/>
    <mergeCell ref="N6:Q6"/>
    <mergeCell ref="B5:Q5"/>
  </mergeCells>
  <pageMargins left="0.7" right="0.7" top="0.75" bottom="0.75" header="0" footer="0"/>
  <pageSetup paperSize="9" scale="66" orientation="landscape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2026-05-06T06:55:37Z</cp:lastPrinted>
  <dcterms:created xsi:type="dcterms:W3CDTF">2025-05-19T08:29:05Z</dcterms:created>
  <dcterms:modified xsi:type="dcterms:W3CDTF">2026-05-07T03:41:25Z</dcterms:modified>
</cp:coreProperties>
</file>