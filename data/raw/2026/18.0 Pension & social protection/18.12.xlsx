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AC75A35E-459E-497F-B94A-A69D9C423B65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12" sheetId="12" r:id="rId1"/>
  </sheets>
  <definedNames>
    <definedName name="_xlnm.Print_Area" localSheetId="0">'18.12'!$A$1:$K$62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1" i="12" l="1"/>
  <c r="AR31" i="12"/>
  <c r="AQ31" i="12"/>
  <c r="AP31" i="12"/>
  <c r="B22" i="12" l="1"/>
  <c r="E22" i="12"/>
  <c r="I22" i="12"/>
  <c r="AS31" i="12" s="1"/>
  <c r="J22" i="12"/>
  <c r="H22" i="12" l="1"/>
  <c r="AT31" i="12"/>
  <c r="AR32" i="12" l="1"/>
  <c r="AR33" i="12" s="1"/>
  <c r="AP36" i="12" s="1"/>
  <c r="AP32" i="12"/>
  <c r="AP42" i="12" s="1"/>
  <c r="AP33" i="12"/>
  <c r="AP35" i="12" s="1"/>
  <c r="J21" i="12"/>
  <c r="I21" i="12"/>
  <c r="E21" i="12"/>
  <c r="B21" i="12"/>
  <c r="H21" i="12" l="1"/>
  <c r="AQ42" i="12"/>
  <c r="AT32" i="12"/>
  <c r="AT33" i="12" s="1"/>
  <c r="AP37" i="12" s="1"/>
</calcChain>
</file>

<file path=xl/sharedStrings.xml><?xml version="1.0" encoding="utf-8"?>
<sst xmlns="http://schemas.openxmlformats.org/spreadsheetml/2006/main" count="45" uniqueCount="19">
  <si>
    <t>ޖުމްލަ</t>
  </si>
  <si>
    <t>ފިރިހެން</t>
  </si>
  <si>
    <t>Total</t>
  </si>
  <si>
    <t>Male</t>
  </si>
  <si>
    <t>Female</t>
  </si>
  <si>
    <t>މަޢުލޫމާތު ދެއްވި ފަރާތް: މޯލްޑިވްސް ޕެންޝަން އެޑްމިނިސްޓްރޭޝަން</t>
  </si>
  <si>
    <t>Source: Maldives Pension Administration</t>
  </si>
  <si>
    <t xml:space="preserve">Total </t>
  </si>
  <si>
    <t>Year</t>
  </si>
  <si>
    <t>Public sector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</si>
  <si>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</si>
  <si>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</si>
  <si>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</si>
  <si>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</si>
  <si>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</si>
  <si>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</si>
  <si>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</si>
  <si>
    <t>TABLE   18.12:  NUMBER OF MEMBERS CONTRIBUTING TO RETIREMENT PENSION SCHEME BY SECTOR AND SEX, 2010 - 2025</t>
  </si>
  <si>
    <t>ތާވަލު  18.12 :ރިޓާޔަމަންޓް ޕެންޝަން ސްކީމްއަށް ޕަބްލިކް އަދި ޕްރައިވެޓް ސެކްޓަރއިން ފައިސާދެއްކި މީހުންގެ ޢަދަދު ، 2010 - 2025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</si>
</sst>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0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32">
    <xf numFmtId="0" fontId="0" fillId="0" borderId="0"/>
    <xf numFmtId="164" fontId="8" fillId="0" borderId="18"/>
    <xf numFmtId="43" fontId="3" fillId="0" borderId="18" applyFont="0" applyFill="0" applyBorder="0" applyAlignment="0" applyProtection="0"/>
    <xf numFmtId="43" fontId="3" fillId="0" borderId="18" applyFont="0" applyFill="0" applyBorder="0" applyAlignment="0" applyProtection="0"/>
    <xf numFmtId="0" fontId="7" fillId="0" borderId="18"/>
    <xf numFmtId="0" fontId="3" fillId="0" borderId="18"/>
    <xf numFmtId="0" fontId="3" fillId="0" borderId="18"/>
    <xf numFmtId="0" fontId="3" fillId="0" borderId="18"/>
    <xf numFmtId="0" fontId="7" fillId="0" borderId="18"/>
    <xf numFmtId="0" fontId="7" fillId="0" borderId="18"/>
    <xf numFmtId="0" fontId="3" fillId="0" borderId="18"/>
    <xf numFmtId="0" fontId="3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</cellStyleXfs>
  <cellXfs count="45">
    <xf numFmtId="0" fontId="0" fillId="0" borderId="0" xfId="0"/>
    <xf numFmtId="0" fontId="3" fillId="2" borderId="4" xfId="0" applyFont="1" applyFill="1" applyBorder="1"/>
    <xf numFmtId="0" fontId="1" fillId="2" borderId="14" xfId="0" applyFont="1" applyFill="1" applyBorder="1" applyAlignment="1">
      <alignment horizontal="right" vertical="center"/>
    </xf>
    <xf numFmtId="0" fontId="1" fillId="2" borderId="4" xfId="0" applyFont="1" applyFill="1" applyBorder="1"/>
    <xf numFmtId="164" fontId="3" fillId="2" borderId="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/>
    <xf numFmtId="0" fontId="5" fillId="2" borderId="4" xfId="0" applyFont="1" applyFill="1" applyBorder="1"/>
    <xf numFmtId="0" fontId="6" fillId="2" borderId="4" xfId="0" applyFont="1" applyFill="1" applyBorder="1"/>
    <xf numFmtId="165" fontId="3" fillId="2" borderId="4" xfId="0" applyNumberFormat="1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2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1" fillId="2" borderId="17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64" fontId="3" fillId="2" borderId="15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166" fontId="3" fillId="2" borderId="4" xfId="0" applyNumberFormat="1" applyFont="1" applyFill="1" applyBorder="1"/>
    <xf numFmtId="0" fontId="0" fillId="3" borderId="0" xfId="0" applyFill="1"/>
    <xf numFmtId="164" fontId="3" fillId="2" borderId="18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26" xfId="0" applyNumberFormat="1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11" xfId="0" applyFont="1" applyFill="1" applyBorder="1"/>
    <xf numFmtId="0" fontId="2" fillId="3" borderId="13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2" fillId="3" borderId="21" xfId="0" applyFont="1" applyFill="1" applyBorder="1"/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r>
              <a:rPr lang="en-US" sz="1200" b="1" i="0">
                <a:solidFill>
                  <a:srgbClr val="000000"/>
                </a:solidFill>
                <a:latin typeface="Calibri"/>
              </a:rPr>
              <a:t>Figure 18.11: Percentage share of females contributing to retirement pension scheme by sector, 2025
 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35086743225298778"/>
          <c:y val="0.25184952764367169"/>
          <c:w val="0.32363952687748981"/>
          <c:h val="0.70364919990804153"/>
        </c:manualLayout>
      </c:layout>
      <c:doughnutChart>
        <c:varyColors val="1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1-BC1B-4228-87D7-65ECB6056BB1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BC1B-4228-87D7-65ECB6056BB1}"/>
              </c:ext>
            </c:extLst>
          </c:dPt>
          <c:dLbls>
            <c:dLbl>
              <c:idx val="0"/>
              <c:layout>
                <c:manualLayout>
                  <c:x val="8.7847730600292828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1B-4228-87D7-65ECB6056BB1}"/>
                </c:ext>
              </c:extLst>
            </c:dLbl>
            <c:dLbl>
              <c:idx val="1"/>
              <c:layout>
                <c:manualLayout>
                  <c:x val="-2.4402224246127396E-2"/>
                  <c:y val="-0.12578616352201258"/>
                </c:manualLayout>
              </c:layout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06783796974132"/>
                      <c:h val="0.114926624737945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C1B-4228-87D7-65ECB6056BB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'18.12'!$AO$35:$AO$36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'18.12'!$AP$35:$AP$36</c:f>
              <c:numCache>
                <c:formatCode>0.0</c:formatCode>
                <c:ptCount val="2"/>
                <c:pt idx="0">
                  <c:v>50.702900702900699</c:v>
                </c:pt>
                <c:pt idx="1">
                  <c:v>25.048448167913897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1B-4228-87D7-65ECB6056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5770898137874213"/>
          <c:y val="0.22187743354839856"/>
          <c:w val="0.3003225883415192"/>
          <c:h val="0.71747372878093851"/>
        </c:manualLayout>
      </c:layout>
      <c:doughnutChart>
        <c:varyColors val="1"/>
        <c:ser>
          <c:idx val="0"/>
          <c:order val="0"/>
          <c:spPr>
            <a:solidFill>
              <a:srgbClr val="336600"/>
            </a:solidFill>
          </c:spPr>
          <c:dPt>
            <c:idx val="0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1-F7C7-4B6C-B92E-B8BB9739741C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D475-409F-9385-C8F8269E68D7}"/>
              </c:ext>
            </c:extLst>
          </c:dPt>
          <c:dLbls>
            <c:dLbl>
              <c:idx val="0"/>
              <c:layout>
                <c:manualLayout>
                  <c:x val="4.3010757711047586E-2"/>
                  <c:y val="-0.124567474048442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C7-4B6C-B92E-B8BB9739741C}"/>
                </c:ext>
              </c:extLst>
            </c:dLbl>
            <c:dLbl>
              <c:idx val="1"/>
              <c:layout>
                <c:manualLayout>
                  <c:x val="5.9325183049720863E-2"/>
                  <c:y val="-7.84313725490196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75-409F-9385-C8F8269E68D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'18.12'!$AP$41:$AQ$41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'18.12'!$AP$42:$AQ$42</c:f>
              <c:numCache>
                <c:formatCode>_(* #,##0_);_(* \(#,##0\);_(* "-"??_);_(@_)</c:formatCode>
                <c:ptCount val="2"/>
                <c:pt idx="0">
                  <c:v>40404</c:v>
                </c:pt>
                <c:pt idx="1">
                  <c:v>67082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7-4B6C-B92E-B8BB97397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740568</xdr:colOff>
      <xdr:row>24</xdr:row>
      <xdr:rowOff>114300</xdr:rowOff>
    </xdr:from>
    <xdr:ext cx="8753475" cy="3028950"/>
    <xdr:graphicFrame macro="">
      <xdr:nvGraphicFramePr>
        <xdr:cNvPr id="1868811857" name="Chart 11">
          <a:extLst>
            <a:ext uri="{FF2B5EF4-FFF2-40B4-BE49-F238E27FC236}">
              <a16:creationId xmlns:a16="http://schemas.microsoft.com/office/drawing/2014/main" id="{00000000-0008-0000-0B00-000051CE6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831057</xdr:colOff>
      <xdr:row>42</xdr:row>
      <xdr:rowOff>21431</xdr:rowOff>
    </xdr:from>
    <xdr:ext cx="8562974" cy="3217069"/>
    <xdr:graphicFrame macro="">
      <xdr:nvGraphicFramePr>
        <xdr:cNvPr id="1983949567" name="Chart 12">
          <a:extLst>
            <a:ext uri="{FF2B5EF4-FFF2-40B4-BE49-F238E27FC236}">
              <a16:creationId xmlns:a16="http://schemas.microsoft.com/office/drawing/2014/main" id="{00000000-0008-0000-0B00-0000FFAA4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0.15323</cdr:x>
      <cdr:y>0.06574</cdr:y>
    </cdr:from>
    <cdr:to>
      <cdr:x>0.86096</cdr:x>
      <cdr:y>0.16955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9AE733-4568-A770-4C74-F9AAD674C624}"/>
            </a:ext>
          </a:extLst>
        </cdr:cNvPr>
        <cdr:cNvSpPr txBox="1"/>
      </cdr:nvSpPr>
      <cdr:spPr>
        <a:xfrm xmlns:a="http://schemas.openxmlformats.org/drawingml/2006/main">
          <a:off x="1312068" y="180975"/>
          <a:ext cx="6060281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/>
            <a:t>Figure 18.12: Percentage of members contributing to retirement pension scheme by</a:t>
          </a:r>
          <a:r>
            <a:rPr lang="en-US" sz="1100" b="1" kern="1200" baseline="0"/>
            <a:t> sector, 2025</a:t>
          </a:r>
          <a:endParaRPr lang="en-US" sz="1100" b="1" kern="12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T62"/>
  <sheetViews>
    <sheetView tabSelected="1" zoomScale="95" zoomScaleNormal="95" workbookViewId="0">
      <selection activeCell="AP42" sqref="AP42"/>
    </sheetView>
  </sheetViews>
  <sheetFormatPr defaultColWidth="14.42578125" defaultRowHeight="15" customHeight="1" x14ac:dyDescent="0.25"/>
  <cols>
    <col min="1" max="46" width="14.42578125" style="26" customWidth="1"/>
    <col min="47" max="16384" width="14.42578125" style="26"/>
  </cols>
  <sheetData>
    <row r="1" spans="1:46" ht="15" customHeight="1" x14ac:dyDescent="0.55000000000000004">
      <c r="A1" s="38" t="s">
        <v>18</v>
      </c>
      <c r="B1" s="32"/>
      <c r="C1" s="32"/>
      <c r="D1" s="32"/>
      <c r="E1" s="32"/>
      <c r="F1" s="32"/>
      <c r="G1" s="32"/>
      <c r="H1" s="32"/>
      <c r="I1" s="32"/>
      <c r="J1" s="33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" customHeight="1" x14ac:dyDescent="0.25">
      <c r="A2" s="39" t="s">
        <v>17</v>
      </c>
      <c r="B2" s="32"/>
      <c r="C2" s="32"/>
      <c r="D2" s="32"/>
      <c r="E2" s="32"/>
      <c r="F2" s="32"/>
      <c r="G2" s="32"/>
      <c r="H2" s="32"/>
      <c r="I2" s="32"/>
      <c r="J2" s="3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" customHeight="1" x14ac:dyDescent="0.25">
      <c r="A4" s="40" t="s">
        <v>8</v>
      </c>
      <c r="B4" s="9"/>
      <c r="C4" s="10" t="s">
        <v>9</v>
      </c>
      <c r="D4" s="12"/>
      <c r="E4" s="43" t="s">
        <v>10</v>
      </c>
      <c r="F4" s="36"/>
      <c r="G4" s="44"/>
      <c r="H4" s="13"/>
      <c r="I4" s="14" t="s">
        <v>2</v>
      </c>
      <c r="J4" s="1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5" customHeight="1" x14ac:dyDescent="0.25">
      <c r="A5" s="34"/>
      <c r="B5" s="15" t="s">
        <v>7</v>
      </c>
      <c r="C5" s="15" t="s">
        <v>3</v>
      </c>
      <c r="D5" s="16" t="s">
        <v>4</v>
      </c>
      <c r="E5" s="15" t="s">
        <v>7</v>
      </c>
      <c r="F5" s="15" t="s">
        <v>3</v>
      </c>
      <c r="G5" s="16" t="s">
        <v>4</v>
      </c>
      <c r="H5" s="15" t="s">
        <v>7</v>
      </c>
      <c r="I5" s="15" t="s">
        <v>3</v>
      </c>
      <c r="J5" s="15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5" customHeight="1" x14ac:dyDescent="0.55000000000000004">
      <c r="A6" s="35"/>
      <c r="B6" s="2" t="s">
        <v>0</v>
      </c>
      <c r="C6" s="2" t="s">
        <v>1</v>
      </c>
      <c r="D6" s="17" t="s">
        <v>11</v>
      </c>
      <c r="E6" s="2" t="s">
        <v>0</v>
      </c>
      <c r="F6" s="2" t="s">
        <v>1</v>
      </c>
      <c r="G6" s="17" t="s">
        <v>11</v>
      </c>
      <c r="H6" s="2" t="s">
        <v>0</v>
      </c>
      <c r="I6" s="2" t="s">
        <v>1</v>
      </c>
      <c r="J6" s="18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5" customHeight="1" x14ac:dyDescent="0.25">
      <c r="A7" s="11">
        <v>2010</v>
      </c>
      <c r="B7" s="4">
        <v>30269</v>
      </c>
      <c r="C7" s="4">
        <v>19298</v>
      </c>
      <c r="D7" s="19">
        <v>10971</v>
      </c>
      <c r="E7" s="20">
        <v>252</v>
      </c>
      <c r="F7" s="4">
        <v>119</v>
      </c>
      <c r="G7" s="19">
        <v>133</v>
      </c>
      <c r="H7" s="20">
        <v>30521</v>
      </c>
      <c r="I7" s="4">
        <v>19417</v>
      </c>
      <c r="J7" s="21">
        <v>11104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5" customHeight="1" x14ac:dyDescent="0.25">
      <c r="A8" s="11">
        <v>2011</v>
      </c>
      <c r="B8" s="4">
        <v>21053</v>
      </c>
      <c r="C8" s="4">
        <v>13667</v>
      </c>
      <c r="D8" s="19">
        <v>7386</v>
      </c>
      <c r="E8" s="22">
        <v>37950</v>
      </c>
      <c r="F8" s="4">
        <v>29781</v>
      </c>
      <c r="G8" s="19">
        <v>8169</v>
      </c>
      <c r="H8" s="22">
        <v>59003</v>
      </c>
      <c r="I8" s="4">
        <v>43448</v>
      </c>
      <c r="J8" s="4">
        <v>15555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5" customHeight="1" x14ac:dyDescent="0.25">
      <c r="A9" s="11">
        <v>2012</v>
      </c>
      <c r="B9" s="27">
        <v>31653</v>
      </c>
      <c r="C9" s="27">
        <v>18242</v>
      </c>
      <c r="D9" s="19">
        <v>13411</v>
      </c>
      <c r="E9" s="22">
        <v>37152</v>
      </c>
      <c r="F9" s="27">
        <v>30036</v>
      </c>
      <c r="G9" s="19">
        <v>7116</v>
      </c>
      <c r="H9" s="22">
        <v>68805</v>
      </c>
      <c r="I9" s="27">
        <v>48278</v>
      </c>
      <c r="J9" s="27">
        <v>20527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5" customHeight="1" x14ac:dyDescent="0.25">
      <c r="A10" s="11">
        <v>2013</v>
      </c>
      <c r="B10" s="27">
        <v>30162</v>
      </c>
      <c r="C10" s="27">
        <v>17816</v>
      </c>
      <c r="D10" s="19">
        <v>12346</v>
      </c>
      <c r="E10" s="22">
        <v>39299</v>
      </c>
      <c r="F10" s="27">
        <v>31644</v>
      </c>
      <c r="G10" s="19">
        <v>7655</v>
      </c>
      <c r="H10" s="22">
        <v>69461</v>
      </c>
      <c r="I10" s="27">
        <v>49460</v>
      </c>
      <c r="J10" s="27">
        <v>20001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5" customHeight="1" x14ac:dyDescent="0.25">
      <c r="A11" s="11">
        <v>2014</v>
      </c>
      <c r="B11" s="27">
        <v>32279</v>
      </c>
      <c r="C11" s="27">
        <v>18475</v>
      </c>
      <c r="D11" s="19">
        <v>13804</v>
      </c>
      <c r="E11" s="22">
        <v>42570</v>
      </c>
      <c r="F11" s="27">
        <v>34087</v>
      </c>
      <c r="G11" s="19">
        <v>8483</v>
      </c>
      <c r="H11" s="22">
        <v>74849</v>
      </c>
      <c r="I11" s="27">
        <v>52562</v>
      </c>
      <c r="J11" s="27">
        <v>22287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5" customHeight="1" x14ac:dyDescent="0.25">
      <c r="A12" s="11">
        <v>2015</v>
      </c>
      <c r="B12" s="27">
        <v>35813</v>
      </c>
      <c r="C12" s="27">
        <v>19810</v>
      </c>
      <c r="D12" s="19">
        <v>16003</v>
      </c>
      <c r="E12" s="22">
        <v>46109</v>
      </c>
      <c r="F12" s="27">
        <v>36441</v>
      </c>
      <c r="G12" s="19">
        <v>9668</v>
      </c>
      <c r="H12" s="22">
        <v>81922</v>
      </c>
      <c r="I12" s="27">
        <v>56251</v>
      </c>
      <c r="J12" s="27">
        <v>25671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5" customHeight="1" x14ac:dyDescent="0.25">
      <c r="A13" s="11">
        <v>2016</v>
      </c>
      <c r="B13" s="27">
        <v>31447</v>
      </c>
      <c r="C13" s="27">
        <v>16984</v>
      </c>
      <c r="D13" s="19">
        <v>14463</v>
      </c>
      <c r="E13" s="22">
        <v>48282</v>
      </c>
      <c r="F13" s="27">
        <v>37995</v>
      </c>
      <c r="G13" s="19">
        <v>10287</v>
      </c>
      <c r="H13" s="22">
        <v>79729</v>
      </c>
      <c r="I13" s="27">
        <v>54979</v>
      </c>
      <c r="J13" s="27">
        <v>24750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5" customHeight="1" x14ac:dyDescent="0.25">
      <c r="A14" s="11">
        <v>2017</v>
      </c>
      <c r="B14" s="27">
        <v>36625</v>
      </c>
      <c r="C14" s="27">
        <v>19661</v>
      </c>
      <c r="D14" s="19">
        <v>16964</v>
      </c>
      <c r="E14" s="22">
        <v>52091</v>
      </c>
      <c r="F14" s="27">
        <v>40679</v>
      </c>
      <c r="G14" s="19">
        <v>11412</v>
      </c>
      <c r="H14" s="22">
        <v>88716</v>
      </c>
      <c r="I14" s="27">
        <v>60340</v>
      </c>
      <c r="J14" s="27">
        <v>28376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5" customHeight="1" x14ac:dyDescent="0.25">
      <c r="A15" s="11">
        <v>2018</v>
      </c>
      <c r="B15" s="27">
        <v>40066</v>
      </c>
      <c r="C15" s="27">
        <v>20879</v>
      </c>
      <c r="D15" s="19">
        <v>19187</v>
      </c>
      <c r="E15" s="22">
        <v>55021</v>
      </c>
      <c r="F15" s="27">
        <v>42475</v>
      </c>
      <c r="G15" s="19">
        <v>12546</v>
      </c>
      <c r="H15" s="22">
        <v>95087</v>
      </c>
      <c r="I15" s="27">
        <v>63354</v>
      </c>
      <c r="J15" s="27">
        <v>31733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5" customHeight="1" x14ac:dyDescent="0.25">
      <c r="A16" s="11">
        <v>2019</v>
      </c>
      <c r="B16" s="27">
        <v>42650</v>
      </c>
      <c r="C16" s="27">
        <v>21530</v>
      </c>
      <c r="D16" s="19">
        <v>21120</v>
      </c>
      <c r="E16" s="22">
        <v>57575</v>
      </c>
      <c r="F16" s="27">
        <v>44183</v>
      </c>
      <c r="G16" s="19">
        <v>13392</v>
      </c>
      <c r="H16" s="22">
        <v>100225</v>
      </c>
      <c r="I16" s="27">
        <v>65713</v>
      </c>
      <c r="J16" s="27">
        <v>34512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5" customHeight="1" x14ac:dyDescent="0.25">
      <c r="A17" s="11">
        <v>2020</v>
      </c>
      <c r="B17" s="27">
        <v>41460</v>
      </c>
      <c r="C17" s="27">
        <v>20520</v>
      </c>
      <c r="D17" s="19">
        <v>20940</v>
      </c>
      <c r="E17" s="22">
        <v>52998</v>
      </c>
      <c r="F17" s="27">
        <v>40524</v>
      </c>
      <c r="G17" s="19">
        <v>12474</v>
      </c>
      <c r="H17" s="22">
        <v>94458</v>
      </c>
      <c r="I17" s="27">
        <v>61044</v>
      </c>
      <c r="J17" s="27">
        <v>33414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5" customHeight="1" x14ac:dyDescent="0.25">
      <c r="A18" s="11">
        <v>2021</v>
      </c>
      <c r="B18" s="27">
        <v>43075</v>
      </c>
      <c r="C18" s="27">
        <v>20839</v>
      </c>
      <c r="D18" s="19">
        <v>22236</v>
      </c>
      <c r="E18" s="22">
        <v>60065</v>
      </c>
      <c r="F18" s="27">
        <v>45986</v>
      </c>
      <c r="G18" s="19">
        <v>14079</v>
      </c>
      <c r="H18" s="22">
        <v>103140</v>
      </c>
      <c r="I18" s="27">
        <v>66825</v>
      </c>
      <c r="J18" s="27">
        <v>36315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5" customHeight="1" x14ac:dyDescent="0.25">
      <c r="A19" s="11">
        <v>2022</v>
      </c>
      <c r="B19" s="27">
        <v>44201</v>
      </c>
      <c r="C19" s="27">
        <v>21202</v>
      </c>
      <c r="D19" s="19">
        <v>22999</v>
      </c>
      <c r="E19" s="22">
        <v>66383</v>
      </c>
      <c r="F19" s="27">
        <v>50471</v>
      </c>
      <c r="G19" s="19">
        <v>15912</v>
      </c>
      <c r="H19" s="22">
        <v>110584</v>
      </c>
      <c r="I19" s="27">
        <v>71673</v>
      </c>
      <c r="J19" s="27">
        <v>38911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" customHeight="1" x14ac:dyDescent="0.25">
      <c r="A20" s="11">
        <v>2023</v>
      </c>
      <c r="B20" s="27">
        <v>45752</v>
      </c>
      <c r="C20" s="27">
        <v>21050</v>
      </c>
      <c r="D20" s="19">
        <v>24702</v>
      </c>
      <c r="E20" s="22">
        <v>71121</v>
      </c>
      <c r="F20" s="27">
        <v>53411</v>
      </c>
      <c r="G20" s="19">
        <v>17710</v>
      </c>
      <c r="H20" s="22">
        <v>116873</v>
      </c>
      <c r="I20" s="27">
        <v>74461</v>
      </c>
      <c r="J20" s="27">
        <v>42412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" customHeight="1" x14ac:dyDescent="0.25">
      <c r="A21" s="11">
        <v>2024</v>
      </c>
      <c r="B21" s="27">
        <f>SUM(C21:D21)</f>
        <v>49317</v>
      </c>
      <c r="C21" s="27">
        <v>22905</v>
      </c>
      <c r="D21" s="19">
        <v>26412</v>
      </c>
      <c r="E21" s="22">
        <f>SUM(F21:G21)</f>
        <v>68346</v>
      </c>
      <c r="F21" s="27">
        <v>50969</v>
      </c>
      <c r="G21" s="19">
        <v>17377</v>
      </c>
      <c r="H21" s="22">
        <f>SUM(I21:J21)</f>
        <v>117663</v>
      </c>
      <c r="I21" s="27">
        <f t="shared" ref="I21:J21" si="0">SUM(F21,C21)</f>
        <v>73874</v>
      </c>
      <c r="J21" s="27">
        <f t="shared" si="0"/>
        <v>43789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" customHeight="1" x14ac:dyDescent="0.25">
      <c r="A22" s="28">
        <v>2025</v>
      </c>
      <c r="B22" s="29">
        <f>SUM(C22:D22)</f>
        <v>40404</v>
      </c>
      <c r="C22" s="29">
        <v>19918</v>
      </c>
      <c r="D22" s="31">
        <v>20486</v>
      </c>
      <c r="E22" s="30">
        <f>SUM(F22:G22)</f>
        <v>67082</v>
      </c>
      <c r="F22" s="29">
        <v>50279</v>
      </c>
      <c r="G22" s="31">
        <v>16803</v>
      </c>
      <c r="H22" s="30">
        <f>SUM(I22:J22)</f>
        <v>107486</v>
      </c>
      <c r="I22" s="29">
        <f t="shared" ref="I22" si="1">SUM(F22,C22)</f>
        <v>70197</v>
      </c>
      <c r="J22" s="29">
        <f t="shared" ref="J22" si="2">SUM(G22,D22)</f>
        <v>37289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5" customHeight="1" x14ac:dyDescent="0.45">
      <c r="A23" s="6" t="s">
        <v>6</v>
      </c>
      <c r="B23" s="6"/>
      <c r="C23" s="1"/>
      <c r="D23" s="1"/>
      <c r="E23" s="1"/>
      <c r="F23" s="1"/>
      <c r="G23" s="1"/>
      <c r="H23" s="1"/>
      <c r="I23" s="1"/>
      <c r="J23" s="7" t="s">
        <v>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5" customHeight="1" x14ac:dyDescent="0.25">
      <c r="A24" s="1"/>
      <c r="B24" s="1"/>
      <c r="C24" s="1"/>
      <c r="D24" s="5"/>
      <c r="E24" s="5"/>
      <c r="F24" s="1"/>
      <c r="G24" s="5"/>
      <c r="H24" s="5"/>
      <c r="I24" s="1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4</v>
      </c>
      <c r="AR24" s="1"/>
      <c r="AS24" s="1"/>
      <c r="AT24" s="1"/>
    </row>
    <row r="25" spans="1:46" ht="15" customHeight="1" x14ac:dyDescent="0.25">
      <c r="A25" s="1"/>
      <c r="B25" s="1"/>
      <c r="C25" s="1"/>
      <c r="D25" s="8"/>
      <c r="E25" s="8"/>
      <c r="F25" s="1"/>
      <c r="G25" s="8"/>
      <c r="H25" s="8"/>
      <c r="I25" s="1"/>
      <c r="J25" s="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8">
        <v>63.711036766404561</v>
      </c>
      <c r="AQ25" s="8">
        <v>36.288963233595439</v>
      </c>
      <c r="AR25" s="1"/>
      <c r="AS25" s="1"/>
      <c r="AT25" s="1"/>
    </row>
    <row r="26" spans="1:46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8"/>
      <c r="AJ28" s="1"/>
      <c r="AK28" s="1"/>
      <c r="AL28" s="1"/>
      <c r="AM28" s="1"/>
      <c r="AN28" s="1"/>
      <c r="AO28" s="1">
        <v>2025</v>
      </c>
      <c r="AP28" s="1"/>
      <c r="AQ28" s="1"/>
      <c r="AR28" s="1"/>
      <c r="AS28" s="1"/>
      <c r="AT28" s="1"/>
    </row>
    <row r="29" spans="1:46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41" t="s">
        <v>9</v>
      </c>
      <c r="AP29" s="44"/>
      <c r="AQ29" s="43" t="s">
        <v>10</v>
      </c>
      <c r="AR29" s="44"/>
      <c r="AS29" s="42" t="s">
        <v>2</v>
      </c>
      <c r="AT29" s="37"/>
    </row>
    <row r="30" spans="1:4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5" t="s">
        <v>12</v>
      </c>
      <c r="AP30" s="23" t="s">
        <v>13</v>
      </c>
      <c r="AQ30" s="15" t="s">
        <v>12</v>
      </c>
      <c r="AR30" s="23" t="s">
        <v>13</v>
      </c>
      <c r="AS30" s="15" t="s">
        <v>12</v>
      </c>
      <c r="AT30" s="24" t="s">
        <v>13</v>
      </c>
    </row>
    <row r="31" spans="1:4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5">
        <f>C22</f>
        <v>19918</v>
      </c>
      <c r="AP31" s="5">
        <f>D22</f>
        <v>20486</v>
      </c>
      <c r="AQ31" s="5">
        <f>F22</f>
        <v>50279</v>
      </c>
      <c r="AR31" s="5">
        <f>G22</f>
        <v>16803</v>
      </c>
      <c r="AS31" s="5">
        <f>I22</f>
        <v>70197</v>
      </c>
      <c r="AT31" s="5">
        <f>J22</f>
        <v>37289</v>
      </c>
    </row>
    <row r="32" spans="1:4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 t="s">
        <v>14</v>
      </c>
      <c r="AP32" s="5">
        <f>SUM(AO31:AP31)</f>
        <v>40404</v>
      </c>
      <c r="AQ32" s="1"/>
      <c r="AR32" s="5">
        <f>SUM(AQ31:AR31)</f>
        <v>67082</v>
      </c>
      <c r="AS32" s="1"/>
      <c r="AT32" s="5">
        <f>SUM(AS31:AT31)</f>
        <v>107486</v>
      </c>
    </row>
    <row r="33" spans="1:4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 t="s">
        <v>15</v>
      </c>
      <c r="AP33" s="25">
        <f>AP31/AP32*100</f>
        <v>50.702900702900699</v>
      </c>
      <c r="AQ33" s="25"/>
      <c r="AR33" s="25">
        <f>AR31/AR32*100</f>
        <v>25.048448167913897</v>
      </c>
      <c r="AS33" s="25"/>
      <c r="AT33" s="25">
        <f>AT31/AT32*100</f>
        <v>34.691959883147575</v>
      </c>
    </row>
    <row r="34" spans="1:46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 t="s">
        <v>16</v>
      </c>
      <c r="AQ34" s="1"/>
      <c r="AR34" s="1"/>
      <c r="AS34" s="1"/>
      <c r="AT34" s="1"/>
    </row>
    <row r="35" spans="1:46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 t="s">
        <v>9</v>
      </c>
      <c r="AP35" s="8">
        <f>AP33</f>
        <v>50.702900702900699</v>
      </c>
      <c r="AQ35" s="1"/>
      <c r="AR35" s="1"/>
      <c r="AS35" s="1"/>
      <c r="AT35" s="1"/>
    </row>
    <row r="36" spans="1:46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 t="s">
        <v>10</v>
      </c>
      <c r="AP36" s="8">
        <f>AR33</f>
        <v>25.048448167913897</v>
      </c>
      <c r="AQ36" s="1"/>
      <c r="AR36" s="1"/>
      <c r="AS36" s="1"/>
      <c r="AT36" s="1"/>
    </row>
    <row r="37" spans="1:4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 t="s">
        <v>2</v>
      </c>
      <c r="AP37" s="25">
        <f>AT33</f>
        <v>34.691959883147575</v>
      </c>
      <c r="AQ37" s="1"/>
      <c r="AR37" s="1"/>
      <c r="AS37" s="1"/>
      <c r="AT37" s="1"/>
    </row>
    <row r="38" spans="1:4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 t="s">
        <v>9</v>
      </c>
      <c r="AQ41" s="1" t="s">
        <v>10</v>
      </c>
      <c r="AR41" s="1"/>
      <c r="AS41" s="1"/>
      <c r="AT41" s="1"/>
    </row>
    <row r="42" spans="1:4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5">
        <f>AP32</f>
        <v>40404</v>
      </c>
      <c r="AQ42" s="5">
        <f>AR32</f>
        <v>67082</v>
      </c>
      <c r="AR42" s="1"/>
      <c r="AS42" s="1"/>
      <c r="AT42" s="1"/>
    </row>
    <row r="43" spans="1:4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</sheetData>
  <mergeCells count="7">
    <mergeCell ref="AQ29:AR29"/>
    <mergeCell ref="AS29:AT29"/>
    <mergeCell ref="A1:J1"/>
    <mergeCell ref="A2:J2"/>
    <mergeCell ref="A4:A6"/>
    <mergeCell ref="E4:G4"/>
    <mergeCell ref="AO29:AP29"/>
  </mergeCells>
  <pageMargins left="0.7" right="0.7" top="0.75" bottom="0.75" header="0" footer="0"/>
  <pageSetup paperSize="9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2026-05-07T04:53:42Z</cp:lastPrinted>
  <dcterms:created xsi:type="dcterms:W3CDTF">2025-05-19T08:29:05Z</dcterms:created>
  <dcterms:modified xsi:type="dcterms:W3CDTF">2026-05-07T04:58:41Z</dcterms:modified>
</cp:coreProperties>
</file>