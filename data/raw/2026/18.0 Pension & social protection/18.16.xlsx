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284AC276-717F-43AA-8BE5-77B5ED9814EB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16 " sheetId="16" r:id="rId1"/>
  </sheets>
  <definedNames>
    <definedName name="_xlnm.Print_Area" localSheetId="0">'18.16 '!$A$1:$AA$58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16" l="1"/>
  <c r="BH30" i="16" s="1"/>
  <c r="X7" i="16"/>
  <c r="W7" i="16"/>
  <c r="BG30" i="16" s="1"/>
  <c r="V7" i="16"/>
  <c r="U7" i="16"/>
  <c r="BF30" i="16" s="1"/>
  <c r="T7" i="16"/>
  <c r="S7" i="16"/>
  <c r="BE30" i="16" s="1"/>
  <c r="R7" i="16"/>
  <c r="Q7" i="16"/>
  <c r="BD30" i="16" s="1"/>
  <c r="P7" i="16"/>
  <c r="O7" i="16"/>
  <c r="BC30" i="16" s="1"/>
  <c r="N7" i="16"/>
  <c r="M7" i="16"/>
  <c r="BB30" i="16" s="1"/>
  <c r="L7" i="16"/>
  <c r="K7" i="16"/>
  <c r="BA30" i="16" s="1"/>
  <c r="J7" i="16"/>
  <c r="I7" i="16"/>
  <c r="AZ30" i="16" s="1"/>
  <c r="H7" i="16"/>
  <c r="G7" i="16"/>
  <c r="AY30" i="16" s="1"/>
  <c r="F7" i="16"/>
  <c r="E7" i="16"/>
  <c r="AX30" i="16" s="1"/>
  <c r="D7" i="16"/>
  <c r="C7" i="16"/>
  <c r="AW30" i="16" s="1"/>
  <c r="B7" i="16"/>
</calcChain>
</file>

<file path=xl/sharedStrings.xml><?xml version="1.0" encoding="utf-8"?>
<sst xmlns="http://schemas.openxmlformats.org/spreadsheetml/2006/main" count="78" uniqueCount="45">
  <si>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</si>
  <si>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</si>
  <si>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</si>
  <si>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</si>
  <si>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</si>
  <si>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</si>
  <si>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</si>
  <si>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</si>
  <si>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</si>
  <si>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</si>
  <si>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</si>
  <si>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</si>
  <si>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</si>
  <si>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Pension Administration Office</t>
  </si>
  <si>
    <t>Agriculture</t>
  </si>
  <si>
    <t>Air Transportation</t>
  </si>
  <si>
    <t>Clothing industry</t>
  </si>
  <si>
    <t>Coffee, tea shops</t>
  </si>
  <si>
    <t>Construction</t>
  </si>
  <si>
    <t>Electricity</t>
  </si>
  <si>
    <t>Financial sector, Banks, Investment Funds, Insurance companies Investment</t>
  </si>
  <si>
    <t>Fishing Industry</t>
  </si>
  <si>
    <t>Garbage, and Recycling industry</t>
  </si>
  <si>
    <t>Government agencies, public institutions</t>
  </si>
  <si>
    <t>Health Sector, hospitals, clinics</t>
  </si>
  <si>
    <t>Hotels, Tourist resorts, travel agencies</t>
  </si>
  <si>
    <t>Housing Development</t>
  </si>
  <si>
    <t>Land Transportation, taxis, buses etc</t>
  </si>
  <si>
    <t>Mining Industry</t>
  </si>
  <si>
    <t>Others</t>
  </si>
  <si>
    <t>Passenger Ferries</t>
  </si>
  <si>
    <t>Pharmacies</t>
  </si>
  <si>
    <t>Restaurants</t>
  </si>
  <si>
    <t>Sales of Motor Vehicles</t>
  </si>
  <si>
    <t>Schools and educational centers</t>
  </si>
  <si>
    <t>Sea Transportation, shipping</t>
  </si>
  <si>
    <t>Shops, small and medium commercial retail</t>
  </si>
  <si>
    <t>Telecommunications</t>
  </si>
  <si>
    <t>Water processing</t>
  </si>
  <si>
    <t>Wholesale retailers</t>
  </si>
  <si>
    <t>Establishments</t>
  </si>
  <si>
    <t>Employment</t>
  </si>
  <si>
    <t xml:space="preserve">Jan </t>
  </si>
  <si>
    <t>Note: The Difference between values in this table is due to some members having multiple contracts with more than one employer</t>
  </si>
  <si>
    <t>TABLE  18.16: EMPLOYEES AND ESTABLISHMENTS CONTRIBUTING IN THE RETIREMENT PENSION SCHEME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</si>
</sst>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8" formatCode="#,###,##0"/>
  </numFmts>
  <fonts count="15" x14ac:knownFonts="1"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i/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32">
    <xf numFmtId="0" fontId="0" fillId="0" borderId="0"/>
    <xf numFmtId="164" fontId="12" fillId="0" borderId="15"/>
    <xf numFmtId="43" fontId="2" fillId="0" borderId="15" applyFont="0" applyFill="0" applyBorder="0" applyAlignment="0" applyProtection="0"/>
    <xf numFmtId="43" fontId="2" fillId="0" borderId="15" applyFont="0" applyFill="0" applyBorder="0" applyAlignment="0" applyProtection="0"/>
    <xf numFmtId="0" fontId="11" fillId="0" borderId="15"/>
    <xf numFmtId="0" fontId="2" fillId="0" borderId="15"/>
    <xf numFmtId="0" fontId="2" fillId="0" borderId="15"/>
    <xf numFmtId="0" fontId="2" fillId="0" borderId="15"/>
    <xf numFmtId="0" fontId="11" fillId="0" borderId="15"/>
    <xf numFmtId="0" fontId="11" fillId="0" borderId="15"/>
    <xf numFmtId="0" fontId="2" fillId="0" borderId="15"/>
    <xf numFmtId="0" fontId="2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  <xf numFmtId="0" fontId="13" fillId="0" borderId="15"/>
  </cellStyleXfs>
  <cellXfs count="55">
    <xf numFmtId="0" fontId="0" fillId="0" borderId="0" xfId="0"/>
    <xf numFmtId="0" fontId="2" fillId="2" borderId="4" xfId="0" applyFont="1" applyFill="1" applyBorder="1"/>
    <xf numFmtId="0" fontId="3" fillId="2" borderId="11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6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8" fillId="2" borderId="4" xfId="0" applyNumberFormat="1" applyFont="1" applyFill="1" applyBorder="1" applyAlignment="1">
      <alignment horizontal="right" vertical="center"/>
    </xf>
    <xf numFmtId="3" fontId="9" fillId="2" borderId="4" xfId="0" applyNumberFormat="1" applyFont="1" applyFill="1" applyBorder="1" applyAlignment="1">
      <alignment horizontal="right" vertical="center"/>
    </xf>
    <xf numFmtId="168" fontId="4" fillId="2" borderId="4" xfId="0" applyNumberFormat="1" applyFont="1" applyFill="1" applyBorder="1" applyAlignment="1">
      <alignment horizontal="right"/>
    </xf>
    <xf numFmtId="168" fontId="4" fillId="2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0" fontId="4" fillId="2" borderId="4" xfId="0" applyFont="1" applyFill="1" applyBorder="1"/>
    <xf numFmtId="0" fontId="0" fillId="3" borderId="0" xfId="0" applyFill="1"/>
    <xf numFmtId="0" fontId="3" fillId="2" borderId="18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8" fillId="2" borderId="4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3" fillId="2" borderId="5" xfId="0" applyFont="1" applyFill="1" applyBorder="1" applyAlignment="1">
      <alignment horizontal="left" vertical="center"/>
    </xf>
    <xf numFmtId="0" fontId="1" fillId="3" borderId="9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right" vertical="center" wrapText="1"/>
    </xf>
    <xf numFmtId="3" fontId="14" fillId="2" borderId="17" xfId="0" applyNumberFormat="1" applyFont="1" applyFill="1" applyBorder="1" applyAlignment="1">
      <alignment horizontal="right" vertical="center" wrapText="1"/>
    </xf>
    <xf numFmtId="3" fontId="14" fillId="2" borderId="15" xfId="0" applyNumberFormat="1" applyFont="1" applyFill="1" applyBorder="1" applyAlignment="1">
      <alignment horizontal="right" vertical="center" wrapText="1"/>
    </xf>
    <xf numFmtId="3" fontId="14" fillId="2" borderId="19" xfId="0" applyNumberFormat="1" applyFont="1" applyFill="1" applyBorder="1" applyAlignment="1">
      <alignment horizontal="right" vertical="center" wrapText="1"/>
    </xf>
    <xf numFmtId="3" fontId="14" fillId="2" borderId="20" xfId="0" applyNumberFormat="1" applyFont="1" applyFill="1" applyBorder="1" applyAlignment="1">
      <alignment horizontal="right" vertical="center" wrapText="1"/>
    </xf>
    <xf numFmtId="0" fontId="11" fillId="4" borderId="4" xfId="0" applyFont="1" applyFill="1" applyBorder="1" applyAlignment="1">
      <alignment horizontal="right" vertical="center" wrapText="1"/>
    </xf>
    <xf numFmtId="0" fontId="11" fillId="4" borderId="14" xfId="0" applyFont="1" applyFill="1" applyBorder="1" applyAlignment="1">
      <alignment horizontal="right" vertical="center" wrapText="1"/>
    </xf>
    <xf numFmtId="0" fontId="11" fillId="4" borderId="15" xfId="0" applyFont="1" applyFill="1" applyBorder="1" applyAlignment="1">
      <alignment horizontal="right" vertical="center" wrapText="1"/>
    </xf>
    <xf numFmtId="0" fontId="11" fillId="4" borderId="19" xfId="0" applyFont="1" applyFill="1" applyBorder="1" applyAlignment="1">
      <alignment horizontal="right" vertical="center" wrapText="1"/>
    </xf>
    <xf numFmtId="0" fontId="11" fillId="4" borderId="20" xfId="0" applyFont="1" applyFill="1" applyBorder="1" applyAlignment="1">
      <alignment horizontal="right" vertical="center" wrapText="1"/>
    </xf>
    <xf numFmtId="3" fontId="11" fillId="4" borderId="4" xfId="0" applyNumberFormat="1" applyFont="1" applyFill="1" applyBorder="1" applyAlignment="1">
      <alignment horizontal="right" vertical="center" wrapText="1"/>
    </xf>
    <xf numFmtId="3" fontId="11" fillId="4" borderId="15" xfId="0" applyNumberFormat="1" applyFont="1" applyFill="1" applyBorder="1" applyAlignment="1">
      <alignment horizontal="right" vertical="center" wrapText="1"/>
    </xf>
    <xf numFmtId="3" fontId="11" fillId="4" borderId="20" xfId="0" applyNumberFormat="1" applyFont="1" applyFill="1" applyBorder="1" applyAlignment="1">
      <alignment horizontal="right" vertical="center" wrapText="1"/>
    </xf>
    <xf numFmtId="0" fontId="11" fillId="4" borderId="13" xfId="0" applyFont="1" applyFill="1" applyBorder="1" applyAlignment="1">
      <alignment horizontal="right" vertical="center" wrapText="1"/>
    </xf>
    <xf numFmtId="3" fontId="11" fillId="4" borderId="13" xfId="0" applyNumberFormat="1" applyFont="1" applyFill="1" applyBorder="1" applyAlignment="1">
      <alignment horizontal="right" vertical="center" wrapText="1"/>
    </xf>
    <xf numFmtId="0" fontId="11" fillId="4" borderId="10" xfId="0" applyFont="1" applyFill="1" applyBorder="1" applyAlignment="1">
      <alignment horizontal="right" vertical="center" wrapText="1"/>
    </xf>
    <xf numFmtId="0" fontId="11" fillId="4" borderId="21" xfId="0" applyFont="1" applyFill="1" applyBorder="1" applyAlignment="1">
      <alignment horizontal="right" vertical="center" wrapText="1"/>
    </xf>
    <xf numFmtId="0" fontId="11" fillId="4" borderId="12" xfId="0" applyFont="1" applyFill="1" applyBorder="1" applyAlignment="1">
      <alignment horizontal="right" vertical="center" wrapText="1"/>
    </xf>
    <xf numFmtId="3" fontId="11" fillId="4" borderId="16" xfId="0" applyNumberFormat="1" applyFont="1" applyFill="1" applyBorder="1" applyAlignment="1">
      <alignment horizontal="right" vertical="center" wrapText="1"/>
    </xf>
    <xf numFmtId="0" fontId="11" fillId="4" borderId="18" xfId="0" applyFont="1" applyFill="1" applyBorder="1" applyAlignment="1">
      <alignment horizontal="right" vertical="center" wrapText="1"/>
    </xf>
    <xf numFmtId="0" fontId="11" fillId="4" borderId="11" xfId="0" applyFont="1" applyFill="1" applyBorder="1" applyAlignment="1">
      <alignment horizontal="right" vertical="center" wrapText="1"/>
    </xf>
    <xf numFmtId="0" fontId="11" fillId="4" borderId="16" xfId="0" applyFont="1" applyFill="1" applyBorder="1" applyAlignment="1">
      <alignment horizontal="right" vertical="center" wrapText="1"/>
    </xf>
    <xf numFmtId="3" fontId="11" fillId="4" borderId="11" xfId="0" applyNumberFormat="1" applyFont="1" applyFill="1" applyBorder="1" applyAlignment="1">
      <alignment horizontal="right" vertical="center" wrapText="1"/>
    </xf>
    <xf numFmtId="3" fontId="11" fillId="4" borderId="10" xfId="0" applyNumberFormat="1" applyFont="1" applyFill="1" applyBorder="1" applyAlignment="1">
      <alignment horizontal="right" vertical="center" wrapText="1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Figure 18.15: Employees contributing to retirement pension scheme by month, </a:t>
            </a:r>
            <a:r>
              <a:rPr lang="dv-MV" sz="1400" b="0" i="0">
                <a:solidFill>
                  <a:srgbClr val="757575"/>
                </a:solidFill>
                <a:latin typeface="Calibri"/>
              </a:rPr>
              <a:t>202</a:t>
            </a:r>
            <a:r>
              <a:rPr lang="en-US" sz="1400" b="0" i="0">
                <a:solidFill>
                  <a:srgbClr val="757575"/>
                </a:solidFill>
                <a:latin typeface="Calibri"/>
              </a:rPr>
              <a:t>5</a:t>
            </a:r>
          </a:p>
        </c:rich>
      </c:tx>
      <c:layout>
        <c:manualLayout>
          <c:xMode val="edge"/>
          <c:yMode val="edge"/>
          <c:x val="0.20519166585658274"/>
          <c:y val="6.4816920306486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21691270072723E-2"/>
          <c:y val="0.19574873768581619"/>
          <c:w val="0.90039032158017285"/>
          <c:h val="0.6314781728517119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36600"/>
            </a:solidFill>
            <a:ln cmpd="sng">
              <a:noFill/>
            </a:ln>
          </c:spPr>
          <c:invertIfNegative val="1"/>
          <c:cat>
            <c:strRef>
              <c:f>'18.16 '!$AW$29:$BH$29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'18.16 '!$AW$30:$BH$30</c:f>
              <c:numCache>
                <c:formatCode>#,##0</c:formatCode>
                <c:ptCount val="12"/>
                <c:pt idx="0">
                  <c:v>112957</c:v>
                </c:pt>
                <c:pt idx="1">
                  <c:v>114151</c:v>
                </c:pt>
                <c:pt idx="2">
                  <c:v>115096</c:v>
                </c:pt>
                <c:pt idx="3">
                  <c:v>121423</c:v>
                </c:pt>
                <c:pt idx="4">
                  <c:v>118453</c:v>
                </c:pt>
                <c:pt idx="5">
                  <c:v>100040</c:v>
                </c:pt>
                <c:pt idx="6">
                  <c:v>123144</c:v>
                </c:pt>
                <c:pt idx="7">
                  <c:v>118985</c:v>
                </c:pt>
                <c:pt idx="8">
                  <c:v>119803</c:v>
                </c:pt>
                <c:pt idx="9">
                  <c:v>115052</c:v>
                </c:pt>
                <c:pt idx="10">
                  <c:v>107127</c:v>
                </c:pt>
                <c:pt idx="11">
                  <c:v>108390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BE-4AC9-BB33-5B2F126DF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917941"/>
        <c:axId val="258904161"/>
      </c:barChart>
      <c:catAx>
        <c:axId val="1335917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904161"/>
        <c:crosses val="autoZero"/>
        <c:auto val="1"/>
        <c:lblAlgn val="ctr"/>
        <c:lblOffset val="100"/>
        <c:noMultiLvlLbl val="1"/>
      </c:catAx>
      <c:valAx>
        <c:axId val="258904161"/>
        <c:scaling>
          <c:orientation val="minMax"/>
          <c:max val="125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591794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44263</xdr:colOff>
      <xdr:row>36</xdr:row>
      <xdr:rowOff>96931</xdr:rowOff>
    </xdr:from>
    <xdr:ext cx="10801350" cy="4248150"/>
    <xdr:graphicFrame macro="">
      <xdr:nvGraphicFramePr>
        <xdr:cNvPr id="1270077955" name="Chart 16">
          <a:extLst>
            <a:ext uri="{FF2B5EF4-FFF2-40B4-BE49-F238E27FC236}">
              <a16:creationId xmlns:a16="http://schemas.microsoft.com/office/drawing/2014/main" id="{00000000-0008-0000-0F00-000003DAB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O58"/>
  <sheetViews>
    <sheetView tabSelected="1" topLeftCell="A3" zoomScale="84" zoomScaleNormal="84" workbookViewId="0">
      <selection activeCell="Q64" sqref="Q64"/>
    </sheetView>
  </sheetViews>
  <sheetFormatPr defaultColWidth="14.42578125" defaultRowHeight="15" customHeight="1" x14ac:dyDescent="0.25"/>
  <cols>
    <col min="1" max="1" width="45.42578125" style="17" customWidth="1"/>
    <col min="2" max="25" width="13.85546875" style="17" customWidth="1"/>
    <col min="26" max="26" width="6.7109375" style="17" customWidth="1"/>
    <col min="27" max="27" width="9.140625" style="17" hidden="1" customWidth="1"/>
    <col min="28" max="55" width="9.140625" style="17" customWidth="1"/>
    <col min="56" max="56" width="13" style="17" customWidth="1"/>
    <col min="57" max="67" width="9.140625" style="17" customWidth="1"/>
    <col min="68" max="16384" width="14.42578125" style="17"/>
  </cols>
  <sheetData>
    <row r="1" spans="1:67" ht="1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x14ac:dyDescent="0.25">
      <c r="A3" s="27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5.75" x14ac:dyDescent="0.25">
      <c r="A5" s="25"/>
      <c r="B5" s="28" t="s">
        <v>1</v>
      </c>
      <c r="C5" s="22"/>
      <c r="D5" s="29" t="s">
        <v>2</v>
      </c>
      <c r="E5" s="21"/>
      <c r="F5" s="28" t="s">
        <v>3</v>
      </c>
      <c r="G5" s="22"/>
      <c r="H5" s="29" t="s">
        <v>4</v>
      </c>
      <c r="I5" s="21"/>
      <c r="J5" s="28" t="s">
        <v>5</v>
      </c>
      <c r="K5" s="22"/>
      <c r="L5" s="30" t="s">
        <v>6</v>
      </c>
      <c r="M5" s="21"/>
      <c r="N5" s="28" t="s">
        <v>7</v>
      </c>
      <c r="O5" s="22"/>
      <c r="P5" s="29" t="s">
        <v>8</v>
      </c>
      <c r="Q5" s="21"/>
      <c r="R5" s="28" t="s">
        <v>9</v>
      </c>
      <c r="S5" s="22"/>
      <c r="T5" s="29" t="s">
        <v>10</v>
      </c>
      <c r="U5" s="21"/>
      <c r="V5" s="28" t="s">
        <v>11</v>
      </c>
      <c r="W5" s="22"/>
      <c r="X5" s="29" t="s">
        <v>12</v>
      </c>
      <c r="Y5" s="22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x14ac:dyDescent="0.25">
      <c r="A6" s="26"/>
      <c r="B6" s="19" t="s">
        <v>40</v>
      </c>
      <c r="C6" s="19" t="s">
        <v>41</v>
      </c>
      <c r="D6" s="18" t="s">
        <v>40</v>
      </c>
      <c r="E6" s="2" t="s">
        <v>41</v>
      </c>
      <c r="F6" s="19" t="s">
        <v>40</v>
      </c>
      <c r="G6" s="19" t="s">
        <v>41</v>
      </c>
      <c r="H6" s="18" t="s">
        <v>40</v>
      </c>
      <c r="I6" s="2" t="s">
        <v>41</v>
      </c>
      <c r="J6" s="19" t="s">
        <v>40</v>
      </c>
      <c r="K6" s="19" t="s">
        <v>41</v>
      </c>
      <c r="L6" s="18" t="s">
        <v>40</v>
      </c>
      <c r="M6" s="2" t="s">
        <v>41</v>
      </c>
      <c r="N6" s="19" t="s">
        <v>40</v>
      </c>
      <c r="O6" s="19" t="s">
        <v>41</v>
      </c>
      <c r="P6" s="18" t="s">
        <v>40</v>
      </c>
      <c r="Q6" s="2" t="s">
        <v>41</v>
      </c>
      <c r="R6" s="19" t="s">
        <v>40</v>
      </c>
      <c r="S6" s="19" t="s">
        <v>41</v>
      </c>
      <c r="T6" s="18" t="s">
        <v>40</v>
      </c>
      <c r="U6" s="2" t="s">
        <v>41</v>
      </c>
      <c r="V6" s="19" t="s">
        <v>40</v>
      </c>
      <c r="W6" s="19" t="s">
        <v>41</v>
      </c>
      <c r="X6" s="18" t="s">
        <v>40</v>
      </c>
      <c r="Y6" s="19" t="s">
        <v>41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x14ac:dyDescent="0.25">
      <c r="A7" s="3" t="s">
        <v>0</v>
      </c>
      <c r="B7" s="31">
        <f t="shared" ref="B7:Y7" si="0">SUM(B8:B33)</f>
        <v>2324</v>
      </c>
      <c r="C7" s="32">
        <f t="shared" si="0"/>
        <v>112957</v>
      </c>
      <c r="D7" s="31">
        <f t="shared" si="0"/>
        <v>2325</v>
      </c>
      <c r="E7" s="33">
        <f t="shared" si="0"/>
        <v>114151</v>
      </c>
      <c r="F7" s="34">
        <f t="shared" si="0"/>
        <v>2333</v>
      </c>
      <c r="G7" s="35">
        <f t="shared" si="0"/>
        <v>115096</v>
      </c>
      <c r="H7" s="33">
        <f t="shared" si="0"/>
        <v>2398</v>
      </c>
      <c r="I7" s="33">
        <f t="shared" si="0"/>
        <v>121423</v>
      </c>
      <c r="J7" s="34">
        <f t="shared" si="0"/>
        <v>2344</v>
      </c>
      <c r="K7" s="35">
        <f t="shared" si="0"/>
        <v>118453</v>
      </c>
      <c r="L7" s="33">
        <f t="shared" si="0"/>
        <v>2338</v>
      </c>
      <c r="M7" s="33">
        <f t="shared" si="0"/>
        <v>100040</v>
      </c>
      <c r="N7" s="34">
        <f t="shared" si="0"/>
        <v>2442</v>
      </c>
      <c r="O7" s="35">
        <f t="shared" si="0"/>
        <v>123144</v>
      </c>
      <c r="P7" s="33">
        <f t="shared" si="0"/>
        <v>2391</v>
      </c>
      <c r="Q7" s="33">
        <f t="shared" si="0"/>
        <v>118985</v>
      </c>
      <c r="R7" s="34">
        <f t="shared" si="0"/>
        <v>2401</v>
      </c>
      <c r="S7" s="35">
        <f t="shared" si="0"/>
        <v>119803</v>
      </c>
      <c r="T7" s="33">
        <f t="shared" si="0"/>
        <v>2361</v>
      </c>
      <c r="U7" s="33">
        <f t="shared" si="0"/>
        <v>115052</v>
      </c>
      <c r="V7" s="34">
        <f t="shared" si="0"/>
        <v>2287</v>
      </c>
      <c r="W7" s="35">
        <f t="shared" si="0"/>
        <v>107127</v>
      </c>
      <c r="X7" s="31">
        <f t="shared" si="0"/>
        <v>2278</v>
      </c>
      <c r="Y7" s="31">
        <f t="shared" si="0"/>
        <v>108390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ht="20.25" customHeight="1" x14ac:dyDescent="0.25">
      <c r="A8" s="7" t="s">
        <v>14</v>
      </c>
      <c r="B8" s="36">
        <v>15</v>
      </c>
      <c r="C8" s="36">
        <v>440</v>
      </c>
      <c r="D8" s="37">
        <v>15</v>
      </c>
      <c r="E8" s="38">
        <v>421</v>
      </c>
      <c r="F8" s="39">
        <v>14</v>
      </c>
      <c r="G8" s="40">
        <v>422</v>
      </c>
      <c r="H8" s="38">
        <v>13</v>
      </c>
      <c r="I8" s="38">
        <v>415</v>
      </c>
      <c r="J8" s="39">
        <v>15</v>
      </c>
      <c r="K8" s="40">
        <v>415</v>
      </c>
      <c r="L8" s="38">
        <v>15</v>
      </c>
      <c r="M8" s="38">
        <v>416</v>
      </c>
      <c r="N8" s="39">
        <v>14</v>
      </c>
      <c r="O8" s="40">
        <v>418</v>
      </c>
      <c r="P8" s="38">
        <v>14</v>
      </c>
      <c r="Q8" s="38">
        <v>417</v>
      </c>
      <c r="R8" s="39">
        <v>15</v>
      </c>
      <c r="S8" s="40">
        <v>421</v>
      </c>
      <c r="T8" s="38">
        <v>14</v>
      </c>
      <c r="U8" s="38">
        <v>418</v>
      </c>
      <c r="V8" s="39">
        <v>12</v>
      </c>
      <c r="W8" s="40">
        <v>416</v>
      </c>
      <c r="X8" s="36">
        <v>15</v>
      </c>
      <c r="Y8" s="36">
        <v>422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 ht="20.25" customHeight="1" x14ac:dyDescent="0.25">
      <c r="A9" s="7" t="s">
        <v>15</v>
      </c>
      <c r="B9" s="36">
        <v>19</v>
      </c>
      <c r="C9" s="41">
        <v>7266</v>
      </c>
      <c r="D9" s="37">
        <v>17</v>
      </c>
      <c r="E9" s="42">
        <v>7158</v>
      </c>
      <c r="F9" s="39">
        <v>15</v>
      </c>
      <c r="G9" s="43">
        <v>6603</v>
      </c>
      <c r="H9" s="38">
        <v>19</v>
      </c>
      <c r="I9" s="42">
        <v>6974</v>
      </c>
      <c r="J9" s="39">
        <v>17</v>
      </c>
      <c r="K9" s="43">
        <v>7561</v>
      </c>
      <c r="L9" s="38">
        <v>18</v>
      </c>
      <c r="M9" s="42">
        <v>2226</v>
      </c>
      <c r="N9" s="39">
        <v>18</v>
      </c>
      <c r="O9" s="43">
        <v>7171</v>
      </c>
      <c r="P9" s="38">
        <v>19</v>
      </c>
      <c r="Q9" s="45">
        <v>7796</v>
      </c>
      <c r="R9" s="36">
        <v>20</v>
      </c>
      <c r="S9" s="41">
        <v>7757</v>
      </c>
      <c r="T9" s="37">
        <v>19</v>
      </c>
      <c r="U9" s="42">
        <v>7490</v>
      </c>
      <c r="V9" s="39">
        <v>19</v>
      </c>
      <c r="W9" s="43">
        <v>7804</v>
      </c>
      <c r="X9" s="36">
        <v>19</v>
      </c>
      <c r="Y9" s="41">
        <v>8187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 ht="20.25" customHeight="1" x14ac:dyDescent="0.25">
      <c r="A10" s="7" t="s">
        <v>16</v>
      </c>
      <c r="B10" s="36">
        <v>4</v>
      </c>
      <c r="C10" s="36">
        <v>17</v>
      </c>
      <c r="D10" s="37">
        <v>2</v>
      </c>
      <c r="E10" s="38">
        <v>5</v>
      </c>
      <c r="F10" s="39">
        <v>4</v>
      </c>
      <c r="G10" s="40">
        <v>17</v>
      </c>
      <c r="H10" s="38">
        <v>3</v>
      </c>
      <c r="I10" s="38">
        <v>13</v>
      </c>
      <c r="J10" s="39">
        <v>3</v>
      </c>
      <c r="K10" s="40">
        <v>7</v>
      </c>
      <c r="L10" s="38">
        <v>3</v>
      </c>
      <c r="M10" s="38">
        <v>13</v>
      </c>
      <c r="N10" s="39">
        <v>3</v>
      </c>
      <c r="O10" s="40">
        <v>7</v>
      </c>
      <c r="P10" s="38">
        <v>4</v>
      </c>
      <c r="Q10" s="44">
        <v>15</v>
      </c>
      <c r="R10" s="36">
        <v>2</v>
      </c>
      <c r="S10" s="36">
        <v>5</v>
      </c>
      <c r="T10" s="37">
        <v>2</v>
      </c>
      <c r="U10" s="38">
        <v>5</v>
      </c>
      <c r="V10" s="39">
        <v>2</v>
      </c>
      <c r="W10" s="40">
        <v>5</v>
      </c>
      <c r="X10" s="36">
        <v>2</v>
      </c>
      <c r="Y10" s="36">
        <v>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 ht="20.25" customHeight="1" x14ac:dyDescent="0.25">
      <c r="A11" s="7" t="s">
        <v>17</v>
      </c>
      <c r="B11" s="36">
        <v>14</v>
      </c>
      <c r="C11" s="36">
        <v>44</v>
      </c>
      <c r="D11" s="37">
        <v>12</v>
      </c>
      <c r="E11" s="38">
        <v>39</v>
      </c>
      <c r="F11" s="39">
        <v>11</v>
      </c>
      <c r="G11" s="40">
        <v>38</v>
      </c>
      <c r="H11" s="38">
        <v>12</v>
      </c>
      <c r="I11" s="44">
        <v>44</v>
      </c>
      <c r="J11" s="36">
        <v>11</v>
      </c>
      <c r="K11" s="36">
        <v>39</v>
      </c>
      <c r="L11" s="37">
        <v>13</v>
      </c>
      <c r="M11" s="44">
        <v>41</v>
      </c>
      <c r="N11" s="36">
        <v>13</v>
      </c>
      <c r="O11" s="36">
        <v>45</v>
      </c>
      <c r="P11" s="37">
        <v>10</v>
      </c>
      <c r="Q11" s="44">
        <v>41</v>
      </c>
      <c r="R11" s="36">
        <v>13</v>
      </c>
      <c r="S11" s="36">
        <v>47</v>
      </c>
      <c r="T11" s="37">
        <v>13</v>
      </c>
      <c r="U11" s="44">
        <v>49</v>
      </c>
      <c r="V11" s="37">
        <v>9</v>
      </c>
      <c r="W11" s="44">
        <v>42</v>
      </c>
      <c r="X11" s="36">
        <v>11</v>
      </c>
      <c r="Y11" s="36">
        <v>45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 ht="20.25" customHeight="1" x14ac:dyDescent="0.25">
      <c r="A12" s="7" t="s">
        <v>18</v>
      </c>
      <c r="B12" s="36">
        <v>137</v>
      </c>
      <c r="C12" s="41">
        <v>3526</v>
      </c>
      <c r="D12" s="37">
        <v>136</v>
      </c>
      <c r="E12" s="42">
        <v>3244</v>
      </c>
      <c r="F12" s="39">
        <v>123</v>
      </c>
      <c r="G12" s="43">
        <v>3261</v>
      </c>
      <c r="H12" s="38">
        <v>130</v>
      </c>
      <c r="I12" s="45">
        <v>3302</v>
      </c>
      <c r="J12" s="36">
        <v>135</v>
      </c>
      <c r="K12" s="41">
        <v>3280</v>
      </c>
      <c r="L12" s="37">
        <v>122</v>
      </c>
      <c r="M12" s="45">
        <v>3229</v>
      </c>
      <c r="N12" s="36">
        <v>134</v>
      </c>
      <c r="O12" s="41">
        <v>3519</v>
      </c>
      <c r="P12" s="37">
        <v>130</v>
      </c>
      <c r="Q12" s="45">
        <v>3242</v>
      </c>
      <c r="R12" s="36">
        <v>133</v>
      </c>
      <c r="S12" s="41">
        <v>3360</v>
      </c>
      <c r="T12" s="37">
        <v>143</v>
      </c>
      <c r="U12" s="45">
        <v>3451</v>
      </c>
      <c r="V12" s="37">
        <v>123</v>
      </c>
      <c r="W12" s="45">
        <v>1515</v>
      </c>
      <c r="X12" s="36">
        <v>122</v>
      </c>
      <c r="Y12" s="41">
        <v>1645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ht="20.25" customHeight="1" x14ac:dyDescent="0.25">
      <c r="A13" s="7" t="s">
        <v>19</v>
      </c>
      <c r="B13" s="36">
        <v>13</v>
      </c>
      <c r="C13" s="36">
        <v>193</v>
      </c>
      <c r="D13" s="37">
        <v>14</v>
      </c>
      <c r="E13" s="38">
        <v>142</v>
      </c>
      <c r="F13" s="39">
        <v>14</v>
      </c>
      <c r="G13" s="40">
        <v>140</v>
      </c>
      <c r="H13" s="38">
        <v>14</v>
      </c>
      <c r="I13" s="44">
        <v>142</v>
      </c>
      <c r="J13" s="36">
        <v>12</v>
      </c>
      <c r="K13" s="36">
        <v>40</v>
      </c>
      <c r="L13" s="37">
        <v>14</v>
      </c>
      <c r="M13" s="44">
        <v>193</v>
      </c>
      <c r="N13" s="36">
        <v>15</v>
      </c>
      <c r="O13" s="36">
        <v>203</v>
      </c>
      <c r="P13" s="37">
        <v>14</v>
      </c>
      <c r="Q13" s="44">
        <v>148</v>
      </c>
      <c r="R13" s="36">
        <v>13</v>
      </c>
      <c r="S13" s="36">
        <v>143</v>
      </c>
      <c r="T13" s="37">
        <v>15</v>
      </c>
      <c r="U13" s="44">
        <v>207</v>
      </c>
      <c r="V13" s="37">
        <v>14</v>
      </c>
      <c r="W13" s="44">
        <v>150</v>
      </c>
      <c r="X13" s="36">
        <v>13</v>
      </c>
      <c r="Y13" s="36">
        <v>111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ht="34.5" customHeight="1" x14ac:dyDescent="0.25">
      <c r="A14" s="9" t="s">
        <v>20</v>
      </c>
      <c r="B14" s="36">
        <v>67</v>
      </c>
      <c r="C14" s="41">
        <v>5076</v>
      </c>
      <c r="D14" s="37">
        <v>67</v>
      </c>
      <c r="E14" s="42">
        <v>6288</v>
      </c>
      <c r="F14" s="39">
        <v>64</v>
      </c>
      <c r="G14" s="43">
        <v>6307</v>
      </c>
      <c r="H14" s="38">
        <v>69</v>
      </c>
      <c r="I14" s="45">
        <v>6231</v>
      </c>
      <c r="J14" s="36">
        <v>65</v>
      </c>
      <c r="K14" s="41">
        <v>6368</v>
      </c>
      <c r="L14" s="37">
        <v>65</v>
      </c>
      <c r="M14" s="45">
        <v>3457</v>
      </c>
      <c r="N14" s="36">
        <v>68</v>
      </c>
      <c r="O14" s="41">
        <v>6478</v>
      </c>
      <c r="P14" s="37">
        <v>67</v>
      </c>
      <c r="Q14" s="45">
        <v>6527</v>
      </c>
      <c r="R14" s="36">
        <v>68</v>
      </c>
      <c r="S14" s="41">
        <v>6508</v>
      </c>
      <c r="T14" s="37">
        <v>64</v>
      </c>
      <c r="U14" s="45">
        <v>6537</v>
      </c>
      <c r="V14" s="37">
        <v>65</v>
      </c>
      <c r="W14" s="45">
        <v>5182</v>
      </c>
      <c r="X14" s="36">
        <v>67</v>
      </c>
      <c r="Y14" s="41">
        <v>4276</v>
      </c>
      <c r="Z14" s="1"/>
      <c r="AA14" s="1"/>
      <c r="AB14" s="1"/>
      <c r="AC14" s="1"/>
      <c r="AD14" s="1"/>
      <c r="AE14" s="1"/>
      <c r="AF14" s="1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 ht="20.25" customHeight="1" x14ac:dyDescent="0.25">
      <c r="A15" s="7" t="s">
        <v>21</v>
      </c>
      <c r="B15" s="36">
        <v>17</v>
      </c>
      <c r="C15" s="41">
        <v>1143</v>
      </c>
      <c r="D15" s="37">
        <v>18</v>
      </c>
      <c r="E15" s="42">
        <v>1137</v>
      </c>
      <c r="F15" s="39">
        <v>20</v>
      </c>
      <c r="G15" s="43">
        <v>1213</v>
      </c>
      <c r="H15" s="38">
        <v>17</v>
      </c>
      <c r="I15" s="45">
        <v>1170</v>
      </c>
      <c r="J15" s="36">
        <v>15</v>
      </c>
      <c r="K15" s="41">
        <v>1169</v>
      </c>
      <c r="L15" s="37">
        <v>17</v>
      </c>
      <c r="M15" s="45">
        <v>227</v>
      </c>
      <c r="N15" s="36">
        <v>16</v>
      </c>
      <c r="O15" s="41">
        <v>1206</v>
      </c>
      <c r="P15" s="37">
        <v>16</v>
      </c>
      <c r="Q15" s="45">
        <v>1207</v>
      </c>
      <c r="R15" s="36">
        <v>16</v>
      </c>
      <c r="S15" s="41">
        <v>1228</v>
      </c>
      <c r="T15" s="37">
        <v>16</v>
      </c>
      <c r="U15" s="45">
        <v>212</v>
      </c>
      <c r="V15" s="37">
        <v>17</v>
      </c>
      <c r="W15" s="45">
        <v>1254</v>
      </c>
      <c r="X15" s="36">
        <v>17</v>
      </c>
      <c r="Y15" s="41">
        <v>1236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ht="20.25" customHeight="1" x14ac:dyDescent="0.25">
      <c r="A16" s="7" t="s">
        <v>22</v>
      </c>
      <c r="B16" s="36">
        <v>11</v>
      </c>
      <c r="C16" s="36">
        <v>198</v>
      </c>
      <c r="D16" s="37">
        <v>12</v>
      </c>
      <c r="E16" s="38">
        <v>180</v>
      </c>
      <c r="F16" s="39">
        <v>15</v>
      </c>
      <c r="G16" s="40">
        <v>211</v>
      </c>
      <c r="H16" s="38">
        <v>13</v>
      </c>
      <c r="I16" s="44">
        <v>200</v>
      </c>
      <c r="J16" s="36">
        <v>14</v>
      </c>
      <c r="K16" s="36">
        <v>203</v>
      </c>
      <c r="L16" s="37">
        <v>13</v>
      </c>
      <c r="M16" s="44">
        <v>113</v>
      </c>
      <c r="N16" s="36">
        <v>15</v>
      </c>
      <c r="O16" s="36">
        <v>209</v>
      </c>
      <c r="P16" s="37">
        <v>13</v>
      </c>
      <c r="Q16" s="44">
        <v>196</v>
      </c>
      <c r="R16" s="36">
        <v>14</v>
      </c>
      <c r="S16" s="36">
        <v>202</v>
      </c>
      <c r="T16" s="37">
        <v>13</v>
      </c>
      <c r="U16" s="44">
        <v>198</v>
      </c>
      <c r="V16" s="37">
        <v>13</v>
      </c>
      <c r="W16" s="44">
        <v>200</v>
      </c>
      <c r="X16" s="36">
        <v>15</v>
      </c>
      <c r="Y16" s="36">
        <v>229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 ht="20.25" customHeight="1" x14ac:dyDescent="0.25">
      <c r="A17" s="7" t="s">
        <v>23</v>
      </c>
      <c r="B17" s="36">
        <v>356</v>
      </c>
      <c r="C17" s="41">
        <v>40507</v>
      </c>
      <c r="D17" s="37">
        <v>394</v>
      </c>
      <c r="E17" s="42">
        <v>43810</v>
      </c>
      <c r="F17" s="39">
        <v>399</v>
      </c>
      <c r="G17" s="43">
        <v>43176</v>
      </c>
      <c r="H17" s="38">
        <v>400</v>
      </c>
      <c r="I17" s="45">
        <v>45896</v>
      </c>
      <c r="J17" s="36">
        <v>401</v>
      </c>
      <c r="K17" s="41">
        <v>46826</v>
      </c>
      <c r="L17" s="37">
        <v>412</v>
      </c>
      <c r="M17" s="45">
        <v>45811</v>
      </c>
      <c r="N17" s="36">
        <v>421</v>
      </c>
      <c r="O17" s="41">
        <v>48464</v>
      </c>
      <c r="P17" s="37">
        <v>425</v>
      </c>
      <c r="Q17" s="45">
        <v>47495</v>
      </c>
      <c r="R17" s="36">
        <v>397</v>
      </c>
      <c r="S17" s="41">
        <v>45789</v>
      </c>
      <c r="T17" s="37">
        <v>369</v>
      </c>
      <c r="U17" s="45">
        <v>43544</v>
      </c>
      <c r="V17" s="37">
        <v>347</v>
      </c>
      <c r="W17" s="45">
        <v>38912</v>
      </c>
      <c r="X17" s="36">
        <v>346</v>
      </c>
      <c r="Y17" s="41">
        <v>38559</v>
      </c>
      <c r="Z17" s="1"/>
      <c r="AA17" s="1"/>
      <c r="AB17" s="1"/>
      <c r="AC17" s="1"/>
      <c r="AD17" s="1"/>
      <c r="AE17" s="1"/>
      <c r="AF17" s="1"/>
      <c r="AG17" s="11"/>
      <c r="AH17" s="11"/>
      <c r="AI17" s="11"/>
      <c r="AJ17" s="12"/>
      <c r="AK17" s="13"/>
      <c r="AL17" s="13"/>
      <c r="AM17" s="13"/>
      <c r="AN17" s="13"/>
      <c r="AO17" s="13"/>
      <c r="AP17" s="13"/>
      <c r="AQ17" s="13"/>
      <c r="AR17" s="13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1:67" ht="20.25" customHeight="1" x14ac:dyDescent="0.25">
      <c r="A18" s="7" t="s">
        <v>24</v>
      </c>
      <c r="B18" s="36">
        <v>50</v>
      </c>
      <c r="C18" s="41">
        <v>1615</v>
      </c>
      <c r="D18" s="37">
        <v>43</v>
      </c>
      <c r="E18" s="42">
        <v>1524</v>
      </c>
      <c r="F18" s="39">
        <v>52</v>
      </c>
      <c r="G18" s="43">
        <v>1618</v>
      </c>
      <c r="H18" s="38">
        <v>48</v>
      </c>
      <c r="I18" s="45">
        <v>1592</v>
      </c>
      <c r="J18" s="36">
        <v>51</v>
      </c>
      <c r="K18" s="41">
        <v>1595</v>
      </c>
      <c r="L18" s="37">
        <v>46</v>
      </c>
      <c r="M18" s="45">
        <v>1386</v>
      </c>
      <c r="N18" s="36">
        <v>53</v>
      </c>
      <c r="O18" s="41">
        <v>1613</v>
      </c>
      <c r="P18" s="37">
        <v>52</v>
      </c>
      <c r="Q18" s="45">
        <v>1607</v>
      </c>
      <c r="R18" s="36">
        <v>50</v>
      </c>
      <c r="S18" s="41">
        <v>1607</v>
      </c>
      <c r="T18" s="37">
        <v>43</v>
      </c>
      <c r="U18" s="45">
        <v>1134</v>
      </c>
      <c r="V18" s="37">
        <v>47</v>
      </c>
      <c r="W18" s="45">
        <v>1177</v>
      </c>
      <c r="X18" s="36">
        <v>45</v>
      </c>
      <c r="Y18" s="41">
        <v>1237</v>
      </c>
      <c r="Z18" s="1"/>
      <c r="AA18" s="1"/>
      <c r="AB18" s="1"/>
      <c r="AC18" s="1"/>
      <c r="AD18" s="1"/>
      <c r="AE18" s="1"/>
      <c r="AF18" s="1"/>
      <c r="AG18" s="11"/>
      <c r="AH18" s="11"/>
      <c r="AI18" s="11"/>
      <c r="AJ18" s="12"/>
      <c r="AK18" s="13"/>
      <c r="AL18" s="13"/>
      <c r="AM18" s="13"/>
      <c r="AN18" s="13"/>
      <c r="AO18" s="13"/>
      <c r="AP18" s="13"/>
      <c r="AQ18" s="13"/>
      <c r="AR18" s="13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 ht="20.25" customHeight="1" x14ac:dyDescent="0.25">
      <c r="A19" s="7" t="s">
        <v>25</v>
      </c>
      <c r="B19" s="36">
        <v>367</v>
      </c>
      <c r="C19" s="41">
        <v>19621</v>
      </c>
      <c r="D19" s="37">
        <v>346</v>
      </c>
      <c r="E19" s="42">
        <v>18477</v>
      </c>
      <c r="F19" s="39">
        <v>359</v>
      </c>
      <c r="G19" s="43">
        <v>18718</v>
      </c>
      <c r="H19" s="38">
        <v>364</v>
      </c>
      <c r="I19" s="45">
        <v>18783</v>
      </c>
      <c r="J19" s="36">
        <v>352</v>
      </c>
      <c r="K19" s="41">
        <v>18504</v>
      </c>
      <c r="L19" s="37">
        <v>341</v>
      </c>
      <c r="M19" s="45">
        <v>17701</v>
      </c>
      <c r="N19" s="36">
        <v>358</v>
      </c>
      <c r="O19" s="41">
        <v>19022</v>
      </c>
      <c r="P19" s="37">
        <v>352</v>
      </c>
      <c r="Q19" s="45">
        <v>17337</v>
      </c>
      <c r="R19" s="36">
        <v>356</v>
      </c>
      <c r="S19" s="41">
        <v>18218</v>
      </c>
      <c r="T19" s="37">
        <v>365</v>
      </c>
      <c r="U19" s="45">
        <v>18770</v>
      </c>
      <c r="V19" s="37">
        <v>345</v>
      </c>
      <c r="W19" s="45">
        <v>18013</v>
      </c>
      <c r="X19" s="36">
        <v>353</v>
      </c>
      <c r="Y19" s="41">
        <v>18412</v>
      </c>
      <c r="Z19" s="1"/>
      <c r="AA19" s="1"/>
      <c r="AB19" s="1"/>
      <c r="AC19" s="1"/>
      <c r="AD19" s="1"/>
      <c r="AE19" s="1"/>
      <c r="AF19" s="1"/>
      <c r="AG19" s="11"/>
      <c r="AH19" s="11"/>
      <c r="AI19" s="11"/>
      <c r="AJ19" s="12"/>
      <c r="AK19" s="13"/>
      <c r="AL19" s="13"/>
      <c r="AM19" s="13"/>
      <c r="AN19" s="13"/>
      <c r="AO19" s="13"/>
      <c r="AP19" s="13"/>
      <c r="AQ19" s="13"/>
      <c r="AR19" s="13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 ht="20.25" customHeight="1" x14ac:dyDescent="0.25">
      <c r="A20" s="7" t="s">
        <v>26</v>
      </c>
      <c r="B20" s="36">
        <v>10</v>
      </c>
      <c r="C20" s="36">
        <v>171</v>
      </c>
      <c r="D20" s="37">
        <v>7</v>
      </c>
      <c r="E20" s="38">
        <v>164</v>
      </c>
      <c r="F20" s="39">
        <v>9</v>
      </c>
      <c r="G20" s="40">
        <v>66</v>
      </c>
      <c r="H20" s="38">
        <v>6</v>
      </c>
      <c r="I20" s="44">
        <v>64</v>
      </c>
      <c r="J20" s="36">
        <v>9</v>
      </c>
      <c r="K20" s="36">
        <v>173</v>
      </c>
      <c r="L20" s="37">
        <v>6</v>
      </c>
      <c r="M20" s="45">
        <v>154</v>
      </c>
      <c r="N20" s="36">
        <v>9</v>
      </c>
      <c r="O20" s="41">
        <v>156</v>
      </c>
      <c r="P20" s="37">
        <v>9</v>
      </c>
      <c r="Q20" s="44">
        <v>164</v>
      </c>
      <c r="R20" s="36">
        <v>8</v>
      </c>
      <c r="S20" s="36">
        <v>167</v>
      </c>
      <c r="T20" s="37">
        <v>10</v>
      </c>
      <c r="U20" s="44">
        <v>167</v>
      </c>
      <c r="V20" s="37">
        <v>7</v>
      </c>
      <c r="W20" s="44">
        <v>165</v>
      </c>
      <c r="X20" s="36">
        <v>6</v>
      </c>
      <c r="Y20" s="36">
        <v>64</v>
      </c>
      <c r="Z20" s="1"/>
      <c r="AA20" s="1"/>
      <c r="AB20" s="1"/>
      <c r="AC20" s="1"/>
      <c r="AD20" s="1"/>
      <c r="AE20" s="1"/>
      <c r="AF20" s="1"/>
      <c r="AG20" s="11"/>
      <c r="AH20" s="11"/>
      <c r="AI20" s="11"/>
      <c r="AJ20" s="12"/>
      <c r="AK20" s="13"/>
      <c r="AL20" s="13"/>
      <c r="AM20" s="13"/>
      <c r="AN20" s="13"/>
      <c r="AO20" s="13"/>
      <c r="AP20" s="13"/>
      <c r="AQ20" s="13"/>
      <c r="AR20" s="13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 ht="20.25" customHeight="1" x14ac:dyDescent="0.25">
      <c r="A21" s="7" t="s">
        <v>27</v>
      </c>
      <c r="B21" s="36">
        <v>3</v>
      </c>
      <c r="C21" s="36">
        <v>776</v>
      </c>
      <c r="D21" s="37">
        <v>3</v>
      </c>
      <c r="E21" s="38">
        <v>765</v>
      </c>
      <c r="F21" s="39">
        <v>4</v>
      </c>
      <c r="G21" s="40">
        <v>769</v>
      </c>
      <c r="H21" s="38">
        <v>3</v>
      </c>
      <c r="I21" s="44">
        <v>764</v>
      </c>
      <c r="J21" s="36">
        <v>5</v>
      </c>
      <c r="K21" s="36">
        <v>839</v>
      </c>
      <c r="L21" s="37">
        <v>4</v>
      </c>
      <c r="M21" s="45">
        <v>781</v>
      </c>
      <c r="N21" s="36">
        <v>3</v>
      </c>
      <c r="O21" s="41">
        <v>773</v>
      </c>
      <c r="P21" s="37">
        <v>4</v>
      </c>
      <c r="Q21" s="44">
        <v>791</v>
      </c>
      <c r="R21" s="36">
        <v>4</v>
      </c>
      <c r="S21" s="36">
        <v>850</v>
      </c>
      <c r="T21" s="37">
        <v>4</v>
      </c>
      <c r="U21" s="44">
        <v>835</v>
      </c>
      <c r="V21" s="37">
        <v>4</v>
      </c>
      <c r="W21" s="44">
        <v>894</v>
      </c>
      <c r="X21" s="36">
        <v>4</v>
      </c>
      <c r="Y21" s="36">
        <v>851</v>
      </c>
      <c r="Z21" s="1"/>
      <c r="AA21" s="1"/>
      <c r="AB21" s="1"/>
      <c r="AC21" s="1"/>
      <c r="AD21" s="1"/>
      <c r="AE21" s="1"/>
      <c r="AF21" s="1"/>
      <c r="AG21" s="11"/>
      <c r="AH21" s="11"/>
      <c r="AI21" s="11"/>
      <c r="AJ21" s="12"/>
      <c r="AK21" s="13"/>
      <c r="AL21" s="13"/>
      <c r="AM21" s="13"/>
      <c r="AN21" s="13"/>
      <c r="AO21" s="13"/>
      <c r="AP21" s="13"/>
      <c r="AQ21" s="13"/>
      <c r="AR21" s="13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ht="20.25" customHeight="1" x14ac:dyDescent="0.25">
      <c r="A22" s="7" t="s">
        <v>28</v>
      </c>
      <c r="B22" s="36">
        <v>0</v>
      </c>
      <c r="C22" s="36">
        <v>0</v>
      </c>
      <c r="D22" s="37">
        <v>1</v>
      </c>
      <c r="E22" s="38">
        <v>5</v>
      </c>
      <c r="F22" s="39">
        <v>0</v>
      </c>
      <c r="G22" s="40">
        <v>0</v>
      </c>
      <c r="H22" s="38">
        <v>1</v>
      </c>
      <c r="I22" s="44">
        <v>5</v>
      </c>
      <c r="J22" s="36">
        <v>0</v>
      </c>
      <c r="K22" s="36">
        <v>0</v>
      </c>
      <c r="L22" s="37">
        <v>1</v>
      </c>
      <c r="M22" s="45">
        <v>5</v>
      </c>
      <c r="N22" s="37">
        <v>1</v>
      </c>
      <c r="O22" s="41">
        <v>5</v>
      </c>
      <c r="P22" s="37">
        <v>1</v>
      </c>
      <c r="Q22" s="37">
        <v>5</v>
      </c>
      <c r="R22" s="37">
        <v>1</v>
      </c>
      <c r="S22" s="37">
        <v>5</v>
      </c>
      <c r="T22" s="37">
        <v>0</v>
      </c>
      <c r="U22" s="37">
        <v>0</v>
      </c>
      <c r="V22" s="37">
        <v>1</v>
      </c>
      <c r="W22" s="44">
        <v>5</v>
      </c>
      <c r="X22" s="36">
        <v>1</v>
      </c>
      <c r="Y22" s="36">
        <v>5</v>
      </c>
      <c r="Z22" s="1"/>
      <c r="AA22" s="1"/>
      <c r="AB22" s="1"/>
      <c r="AC22" s="1"/>
      <c r="AD22" s="1"/>
      <c r="AE22" s="1"/>
      <c r="AF22" s="1"/>
      <c r="AG22" s="11"/>
      <c r="AH22" s="11"/>
      <c r="AI22" s="11"/>
      <c r="AJ22" s="12"/>
      <c r="AK22" s="13"/>
      <c r="AL22" s="13"/>
      <c r="AM22" s="13"/>
      <c r="AN22" s="13"/>
      <c r="AO22" s="13"/>
      <c r="AP22" s="13"/>
      <c r="AQ22" s="13"/>
      <c r="AR22" s="13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1:67" ht="20.25" customHeight="1" x14ac:dyDescent="0.25">
      <c r="A23" s="7" t="s">
        <v>29</v>
      </c>
      <c r="B23" s="36">
        <v>601</v>
      </c>
      <c r="C23" s="36">
        <v>14341</v>
      </c>
      <c r="D23" s="37">
        <v>616</v>
      </c>
      <c r="E23" s="42">
        <v>12630</v>
      </c>
      <c r="F23" s="39">
        <v>615</v>
      </c>
      <c r="G23" s="40">
        <v>14028</v>
      </c>
      <c r="H23" s="38">
        <v>648</v>
      </c>
      <c r="I23" s="44">
        <v>17282</v>
      </c>
      <c r="J23" s="36">
        <v>619</v>
      </c>
      <c r="K23" s="41">
        <v>12632</v>
      </c>
      <c r="L23" s="37">
        <v>616</v>
      </c>
      <c r="M23" s="45">
        <v>6055</v>
      </c>
      <c r="N23" s="36">
        <v>664</v>
      </c>
      <c r="O23" s="41">
        <v>14802</v>
      </c>
      <c r="P23" s="37">
        <v>641</v>
      </c>
      <c r="Q23" s="44">
        <v>13091</v>
      </c>
      <c r="R23" s="36">
        <v>642</v>
      </c>
      <c r="S23" s="41">
        <v>14442</v>
      </c>
      <c r="T23" s="37">
        <v>653</v>
      </c>
      <c r="U23" s="44">
        <v>13306</v>
      </c>
      <c r="V23" s="37">
        <v>641</v>
      </c>
      <c r="W23" s="45">
        <v>13589</v>
      </c>
      <c r="X23" s="36">
        <v>658</v>
      </c>
      <c r="Y23" s="41">
        <v>15117</v>
      </c>
      <c r="Z23" s="1"/>
      <c r="AA23" s="1"/>
      <c r="AB23" s="1"/>
      <c r="AC23" s="1"/>
      <c r="AD23" s="1"/>
      <c r="AE23" s="1"/>
      <c r="AF23" s="1"/>
      <c r="AG23" s="11"/>
      <c r="AH23" s="11"/>
      <c r="AI23" s="11"/>
      <c r="AJ23" s="12"/>
      <c r="AK23" s="14"/>
      <c r="AL23" s="14"/>
      <c r="AM23" s="14"/>
      <c r="AN23" s="14"/>
      <c r="AO23" s="14"/>
      <c r="AP23" s="14"/>
      <c r="AQ23" s="14"/>
      <c r="AR23" s="14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67" ht="20.25" customHeight="1" x14ac:dyDescent="0.25">
      <c r="A24" s="4" t="s">
        <v>30</v>
      </c>
      <c r="B24" s="36">
        <v>0</v>
      </c>
      <c r="C24" s="41">
        <v>0</v>
      </c>
      <c r="D24" s="37">
        <v>1</v>
      </c>
      <c r="E24" s="38">
        <v>2</v>
      </c>
      <c r="F24" s="39">
        <v>2</v>
      </c>
      <c r="G24" s="43">
        <v>3</v>
      </c>
      <c r="H24" s="38">
        <v>1</v>
      </c>
      <c r="I24" s="44">
        <v>2</v>
      </c>
      <c r="J24" s="36">
        <v>1</v>
      </c>
      <c r="K24" s="36">
        <v>2</v>
      </c>
      <c r="L24" s="37">
        <v>1</v>
      </c>
      <c r="M24" s="45">
        <v>2</v>
      </c>
      <c r="N24" s="36">
        <v>1</v>
      </c>
      <c r="O24" s="41">
        <v>2</v>
      </c>
      <c r="P24" s="37">
        <v>1</v>
      </c>
      <c r="Q24" s="45">
        <v>1</v>
      </c>
      <c r="R24" s="36">
        <v>1</v>
      </c>
      <c r="S24" s="36">
        <v>1</v>
      </c>
      <c r="T24" s="37">
        <v>1</v>
      </c>
      <c r="U24" s="37">
        <v>1</v>
      </c>
      <c r="V24" s="37">
        <v>2</v>
      </c>
      <c r="W24" s="37">
        <v>3</v>
      </c>
      <c r="X24" s="36">
        <v>1</v>
      </c>
      <c r="Y24" s="36">
        <v>2</v>
      </c>
      <c r="Z24" s="1"/>
      <c r="AA24" s="1"/>
      <c r="AB24" s="1"/>
      <c r="AC24" s="1"/>
      <c r="AD24" s="1"/>
      <c r="AE24" s="1"/>
      <c r="AF24" s="1"/>
      <c r="AG24" s="11"/>
      <c r="AH24" s="11"/>
      <c r="AI24" s="11"/>
      <c r="AJ24" s="12"/>
      <c r="AK24" s="13"/>
      <c r="AL24" s="13"/>
      <c r="AM24" s="13"/>
      <c r="AN24" s="13"/>
      <c r="AO24" s="13"/>
      <c r="AP24" s="13"/>
      <c r="AQ24" s="13"/>
      <c r="AR24" s="13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67" ht="20.25" customHeight="1" x14ac:dyDescent="0.25">
      <c r="A25" s="7" t="s">
        <v>31</v>
      </c>
      <c r="B25" s="36">
        <v>15</v>
      </c>
      <c r="C25" s="36">
        <v>127</v>
      </c>
      <c r="D25" s="37">
        <v>14</v>
      </c>
      <c r="E25" s="38">
        <v>123</v>
      </c>
      <c r="F25" s="39">
        <v>14</v>
      </c>
      <c r="G25" s="40">
        <v>126</v>
      </c>
      <c r="H25" s="38">
        <v>15</v>
      </c>
      <c r="I25" s="44">
        <v>129</v>
      </c>
      <c r="J25" s="36">
        <v>15</v>
      </c>
      <c r="K25" s="36">
        <v>126</v>
      </c>
      <c r="L25" s="37">
        <v>15</v>
      </c>
      <c r="M25" s="45">
        <v>125</v>
      </c>
      <c r="N25" s="36">
        <v>15</v>
      </c>
      <c r="O25" s="41">
        <v>122</v>
      </c>
      <c r="P25" s="37">
        <v>15</v>
      </c>
      <c r="Q25" s="44">
        <v>123</v>
      </c>
      <c r="R25" s="36">
        <v>14</v>
      </c>
      <c r="S25" s="36">
        <v>116</v>
      </c>
      <c r="T25" s="37">
        <v>16</v>
      </c>
      <c r="U25" s="45">
        <v>142</v>
      </c>
      <c r="V25" s="37">
        <v>12</v>
      </c>
      <c r="W25" s="44">
        <v>103</v>
      </c>
      <c r="X25" s="36">
        <v>12</v>
      </c>
      <c r="Y25" s="36">
        <v>118</v>
      </c>
      <c r="Z25" s="1"/>
      <c r="AA25" s="1"/>
      <c r="AB25" s="1"/>
      <c r="AC25" s="1"/>
      <c r="AD25" s="1"/>
      <c r="AE25" s="1"/>
      <c r="AF25" s="1"/>
      <c r="AG25" s="11"/>
      <c r="AH25" s="11"/>
      <c r="AI25" s="11"/>
      <c r="AJ25" s="12"/>
      <c r="AK25" s="13"/>
      <c r="AL25" s="13"/>
      <c r="AM25" s="13"/>
      <c r="AN25" s="13"/>
      <c r="AO25" s="13"/>
      <c r="AP25" s="13"/>
      <c r="AQ25" s="13"/>
      <c r="AR25" s="13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67" ht="20.25" customHeight="1" x14ac:dyDescent="0.25">
      <c r="A26" s="7" t="s">
        <v>32</v>
      </c>
      <c r="B26" s="36">
        <v>28</v>
      </c>
      <c r="C26" s="36">
        <v>141</v>
      </c>
      <c r="D26" s="37">
        <v>27</v>
      </c>
      <c r="E26" s="38">
        <v>130</v>
      </c>
      <c r="F26" s="39">
        <v>19</v>
      </c>
      <c r="G26" s="40">
        <v>76</v>
      </c>
      <c r="H26" s="38">
        <v>28</v>
      </c>
      <c r="I26" s="44">
        <v>118</v>
      </c>
      <c r="J26" s="36">
        <v>23</v>
      </c>
      <c r="K26" s="36">
        <v>90</v>
      </c>
      <c r="L26" s="37">
        <v>31</v>
      </c>
      <c r="M26" s="45">
        <v>156</v>
      </c>
      <c r="N26" s="36">
        <v>25</v>
      </c>
      <c r="O26" s="41">
        <v>113</v>
      </c>
      <c r="P26" s="37">
        <v>27</v>
      </c>
      <c r="Q26" s="44">
        <v>129</v>
      </c>
      <c r="R26" s="36">
        <v>27</v>
      </c>
      <c r="S26" s="36">
        <v>96</v>
      </c>
      <c r="T26" s="37">
        <v>28</v>
      </c>
      <c r="U26" s="44">
        <v>130</v>
      </c>
      <c r="V26" s="37">
        <v>28</v>
      </c>
      <c r="W26" s="44">
        <v>133</v>
      </c>
      <c r="X26" s="36">
        <v>26</v>
      </c>
      <c r="Y26" s="36">
        <v>151</v>
      </c>
      <c r="Z26" s="1"/>
      <c r="AA26" s="1"/>
      <c r="AB26" s="1"/>
      <c r="AC26" s="1"/>
      <c r="AD26" s="1"/>
      <c r="AE26" s="1"/>
      <c r="AF26" s="1"/>
      <c r="AG26" s="11"/>
      <c r="AH26" s="11"/>
      <c r="AI26" s="11"/>
      <c r="AJ26" s="12"/>
      <c r="AK26" s="13"/>
      <c r="AL26" s="13"/>
      <c r="AM26" s="13"/>
      <c r="AN26" s="13"/>
      <c r="AO26" s="13"/>
      <c r="AP26" s="13"/>
      <c r="AQ26" s="13"/>
      <c r="AR26" s="13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67" ht="20.25" customHeight="1" x14ac:dyDescent="0.25">
      <c r="A27" s="7" t="s">
        <v>33</v>
      </c>
      <c r="B27" s="36">
        <v>3</v>
      </c>
      <c r="C27" s="36">
        <v>87</v>
      </c>
      <c r="D27" s="37">
        <v>3</v>
      </c>
      <c r="E27" s="38">
        <v>86</v>
      </c>
      <c r="F27" s="39">
        <v>4</v>
      </c>
      <c r="G27" s="40">
        <v>88</v>
      </c>
      <c r="H27" s="38">
        <v>3</v>
      </c>
      <c r="I27" s="44">
        <v>90</v>
      </c>
      <c r="J27" s="36">
        <v>4</v>
      </c>
      <c r="K27" s="36">
        <v>93</v>
      </c>
      <c r="L27" s="37">
        <v>4</v>
      </c>
      <c r="M27" s="45">
        <v>95</v>
      </c>
      <c r="N27" s="36">
        <v>4</v>
      </c>
      <c r="O27" s="41">
        <v>92</v>
      </c>
      <c r="P27" s="37">
        <v>4</v>
      </c>
      <c r="Q27" s="44">
        <v>90</v>
      </c>
      <c r="R27" s="36">
        <v>3</v>
      </c>
      <c r="S27" s="36">
        <v>94</v>
      </c>
      <c r="T27" s="37">
        <v>3</v>
      </c>
      <c r="U27" s="44">
        <v>94</v>
      </c>
      <c r="V27" s="37">
        <v>4</v>
      </c>
      <c r="W27" s="44">
        <v>93</v>
      </c>
      <c r="X27" s="36">
        <v>3</v>
      </c>
      <c r="Y27" s="36">
        <v>90</v>
      </c>
      <c r="Z27" s="1"/>
      <c r="AA27" s="1"/>
      <c r="AB27" s="1"/>
      <c r="AC27" s="1"/>
      <c r="AD27" s="1"/>
      <c r="AE27" s="1"/>
      <c r="AF27" s="1"/>
      <c r="AG27" s="11"/>
      <c r="AH27" s="11"/>
      <c r="AI27" s="11"/>
      <c r="AJ27" s="12"/>
      <c r="AK27" s="13"/>
      <c r="AL27" s="13"/>
      <c r="AM27" s="13"/>
      <c r="AN27" s="13"/>
      <c r="AO27" s="13"/>
      <c r="AP27" s="13"/>
      <c r="AQ27" s="13"/>
      <c r="AR27" s="13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1:67" ht="20.25" customHeight="1" x14ac:dyDescent="0.25">
      <c r="A28" s="7" t="s">
        <v>34</v>
      </c>
      <c r="B28" s="36">
        <v>76</v>
      </c>
      <c r="C28" s="36">
        <v>3325</v>
      </c>
      <c r="D28" s="37">
        <v>75</v>
      </c>
      <c r="E28" s="42">
        <v>3167</v>
      </c>
      <c r="F28" s="39">
        <v>69</v>
      </c>
      <c r="G28" s="40">
        <v>3297</v>
      </c>
      <c r="H28" s="38">
        <v>77</v>
      </c>
      <c r="I28" s="45">
        <v>3260</v>
      </c>
      <c r="J28" s="36">
        <v>78</v>
      </c>
      <c r="K28" s="41">
        <v>3456</v>
      </c>
      <c r="L28" s="37">
        <v>80</v>
      </c>
      <c r="M28" s="45">
        <v>3427</v>
      </c>
      <c r="N28" s="36">
        <v>77</v>
      </c>
      <c r="O28" s="41">
        <v>3549</v>
      </c>
      <c r="P28" s="37">
        <v>78</v>
      </c>
      <c r="Q28" s="44">
        <v>3429</v>
      </c>
      <c r="R28" s="36">
        <v>79</v>
      </c>
      <c r="S28" s="41">
        <v>3664</v>
      </c>
      <c r="T28" s="37">
        <v>72</v>
      </c>
      <c r="U28" s="44">
        <v>3280</v>
      </c>
      <c r="V28" s="37">
        <v>74</v>
      </c>
      <c r="W28" s="44">
        <v>2732</v>
      </c>
      <c r="X28" s="36">
        <v>73</v>
      </c>
      <c r="Y28" s="41">
        <v>2722</v>
      </c>
      <c r="Z28" s="1"/>
      <c r="AA28" s="1"/>
      <c r="AB28" s="1"/>
      <c r="AC28" s="1"/>
      <c r="AD28" s="1"/>
      <c r="AE28" s="1"/>
      <c r="AF28" s="1"/>
      <c r="AG28" s="11"/>
      <c r="AH28" s="11"/>
      <c r="AI28" s="11"/>
      <c r="AJ28" s="12"/>
      <c r="AK28" s="13"/>
      <c r="AL28" s="13"/>
      <c r="AM28" s="13"/>
      <c r="AN28" s="13"/>
      <c r="AO28" s="13"/>
      <c r="AP28" s="13"/>
      <c r="AQ28" s="13"/>
      <c r="AR28" s="13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spans="1:67" ht="20.25" customHeight="1" x14ac:dyDescent="0.25">
      <c r="A29" s="7" t="s">
        <v>35</v>
      </c>
      <c r="B29" s="36">
        <v>62</v>
      </c>
      <c r="C29" s="41">
        <v>5949</v>
      </c>
      <c r="D29" s="37">
        <v>53</v>
      </c>
      <c r="E29" s="42">
        <v>6020</v>
      </c>
      <c r="F29" s="39">
        <v>56</v>
      </c>
      <c r="G29" s="43">
        <v>6034</v>
      </c>
      <c r="H29" s="38">
        <v>57</v>
      </c>
      <c r="I29" s="45">
        <v>5994</v>
      </c>
      <c r="J29" s="36">
        <v>55</v>
      </c>
      <c r="K29" s="41">
        <v>6125</v>
      </c>
      <c r="L29" s="37">
        <v>61</v>
      </c>
      <c r="M29" s="45">
        <v>6217</v>
      </c>
      <c r="N29" s="36">
        <v>60</v>
      </c>
      <c r="O29" s="41">
        <v>6146</v>
      </c>
      <c r="P29" s="37">
        <v>54</v>
      </c>
      <c r="Q29" s="45">
        <v>6149</v>
      </c>
      <c r="R29" s="36">
        <v>59</v>
      </c>
      <c r="S29" s="41">
        <v>6166</v>
      </c>
      <c r="T29" s="37">
        <v>51</v>
      </c>
      <c r="U29" s="44">
        <v>6243</v>
      </c>
      <c r="V29" s="37">
        <v>55</v>
      </c>
      <c r="W29" s="45">
        <v>6291</v>
      </c>
      <c r="X29" s="36">
        <v>48</v>
      </c>
      <c r="Y29" s="41">
        <v>6449</v>
      </c>
      <c r="Z29" s="1"/>
      <c r="AA29" s="1"/>
      <c r="AB29" s="1"/>
      <c r="AC29" s="1"/>
      <c r="AD29" s="1"/>
      <c r="AE29" s="1"/>
      <c r="AF29" s="1"/>
      <c r="AG29" s="11"/>
      <c r="AH29" s="11"/>
      <c r="AI29" s="11"/>
      <c r="AJ29" s="12"/>
      <c r="AK29" s="13"/>
      <c r="AL29" s="13"/>
      <c r="AM29" s="13"/>
      <c r="AN29" s="13"/>
      <c r="AO29" s="13"/>
      <c r="AP29" s="13"/>
      <c r="AQ29" s="13"/>
      <c r="AR29" s="13"/>
      <c r="AS29" s="1"/>
      <c r="AT29" s="1"/>
      <c r="AU29" s="1"/>
      <c r="AV29" s="1"/>
      <c r="AW29" s="6" t="s">
        <v>42</v>
      </c>
      <c r="AX29" s="6" t="s">
        <v>2</v>
      </c>
      <c r="AY29" s="6" t="s">
        <v>3</v>
      </c>
      <c r="AZ29" s="6" t="s">
        <v>4</v>
      </c>
      <c r="BA29" s="6" t="s">
        <v>5</v>
      </c>
      <c r="BB29" s="6" t="s">
        <v>6</v>
      </c>
      <c r="BC29" s="6" t="s">
        <v>7</v>
      </c>
      <c r="BD29" s="6" t="s">
        <v>8</v>
      </c>
      <c r="BE29" s="6" t="s">
        <v>9</v>
      </c>
      <c r="BF29" s="6" t="s">
        <v>10</v>
      </c>
      <c r="BG29" s="6" t="s">
        <v>11</v>
      </c>
      <c r="BH29" s="6" t="s">
        <v>12</v>
      </c>
      <c r="BI29" s="1"/>
      <c r="BJ29" s="1"/>
      <c r="BK29" s="1"/>
      <c r="BL29" s="1"/>
      <c r="BM29" s="1"/>
      <c r="BN29" s="1"/>
      <c r="BO29" s="1"/>
    </row>
    <row r="30" spans="1:67" ht="20.25" customHeight="1" x14ac:dyDescent="0.25">
      <c r="A30" s="7" t="s">
        <v>36</v>
      </c>
      <c r="B30" s="36">
        <v>260</v>
      </c>
      <c r="C30" s="41">
        <v>3069</v>
      </c>
      <c r="D30" s="37">
        <v>252</v>
      </c>
      <c r="E30" s="42">
        <v>2805</v>
      </c>
      <c r="F30" s="39">
        <v>249</v>
      </c>
      <c r="G30" s="43">
        <v>3048</v>
      </c>
      <c r="H30" s="38">
        <v>252</v>
      </c>
      <c r="I30" s="45">
        <v>3078</v>
      </c>
      <c r="J30" s="36">
        <v>250</v>
      </c>
      <c r="K30" s="41">
        <v>3011</v>
      </c>
      <c r="L30" s="37">
        <v>242</v>
      </c>
      <c r="M30" s="45">
        <v>2978</v>
      </c>
      <c r="N30" s="36">
        <v>250</v>
      </c>
      <c r="O30" s="41">
        <v>3152</v>
      </c>
      <c r="P30" s="37">
        <v>249</v>
      </c>
      <c r="Q30" s="45">
        <v>3024</v>
      </c>
      <c r="R30" s="36">
        <v>256</v>
      </c>
      <c r="S30" s="41">
        <v>2962</v>
      </c>
      <c r="T30" s="37">
        <v>240</v>
      </c>
      <c r="U30" s="45">
        <v>2922</v>
      </c>
      <c r="V30" s="37">
        <v>241</v>
      </c>
      <c r="W30" s="45">
        <v>2697</v>
      </c>
      <c r="X30" s="36">
        <v>236</v>
      </c>
      <c r="Y30" s="41">
        <v>2734</v>
      </c>
      <c r="Z30" s="1"/>
      <c r="AA30" s="1"/>
      <c r="AB30" s="1"/>
      <c r="AC30" s="1"/>
      <c r="AD30" s="1"/>
      <c r="AE30" s="1"/>
      <c r="AF30" s="1"/>
      <c r="AG30" s="11"/>
      <c r="AH30" s="11"/>
      <c r="AI30" s="11"/>
      <c r="AJ30" s="12"/>
      <c r="AK30" s="13"/>
      <c r="AL30" s="13"/>
      <c r="AM30" s="13"/>
      <c r="AN30" s="13"/>
      <c r="AO30" s="13"/>
      <c r="AP30" s="13"/>
      <c r="AQ30" s="13"/>
      <c r="AR30" s="13"/>
      <c r="AS30" s="1"/>
      <c r="AT30" s="1"/>
      <c r="AU30" s="1"/>
      <c r="AV30" s="1"/>
      <c r="AW30" s="10">
        <f>C7</f>
        <v>112957</v>
      </c>
      <c r="AX30" s="10">
        <f>E7</f>
        <v>114151</v>
      </c>
      <c r="AY30" s="10">
        <f>G7</f>
        <v>115096</v>
      </c>
      <c r="AZ30" s="10">
        <f>I7</f>
        <v>121423</v>
      </c>
      <c r="BA30" s="10">
        <f>K7</f>
        <v>118453</v>
      </c>
      <c r="BB30" s="10">
        <f>M7</f>
        <v>100040</v>
      </c>
      <c r="BC30" s="10">
        <f>O7</f>
        <v>123144</v>
      </c>
      <c r="BD30" s="10">
        <f>Q7</f>
        <v>118985</v>
      </c>
      <c r="BE30" s="10">
        <f>S7</f>
        <v>119803</v>
      </c>
      <c r="BF30" s="10">
        <f>U7</f>
        <v>115052</v>
      </c>
      <c r="BG30" s="10">
        <f>W7</f>
        <v>107127</v>
      </c>
      <c r="BH30" s="10">
        <f>Y7</f>
        <v>108390</v>
      </c>
      <c r="BI30" s="1"/>
      <c r="BJ30" s="1"/>
      <c r="BK30" s="1"/>
      <c r="BL30" s="1"/>
      <c r="BM30" s="1"/>
      <c r="BN30" s="1"/>
      <c r="BO30" s="1"/>
    </row>
    <row r="31" spans="1:67" ht="20.25" customHeight="1" x14ac:dyDescent="0.25">
      <c r="A31" s="7" t="s">
        <v>37</v>
      </c>
      <c r="B31" s="36">
        <v>20</v>
      </c>
      <c r="C31" s="41">
        <v>1456</v>
      </c>
      <c r="D31" s="37">
        <v>20</v>
      </c>
      <c r="E31" s="42">
        <v>1446</v>
      </c>
      <c r="F31" s="39">
        <v>21</v>
      </c>
      <c r="G31" s="43">
        <v>1490</v>
      </c>
      <c r="H31" s="38">
        <v>20</v>
      </c>
      <c r="I31" s="45">
        <v>1448</v>
      </c>
      <c r="J31" s="36">
        <v>21</v>
      </c>
      <c r="K31" s="41">
        <v>1544</v>
      </c>
      <c r="L31" s="37">
        <v>20</v>
      </c>
      <c r="M31" s="45">
        <v>909</v>
      </c>
      <c r="N31" s="36">
        <v>20</v>
      </c>
      <c r="O31" s="41">
        <v>1468</v>
      </c>
      <c r="P31" s="37">
        <v>21</v>
      </c>
      <c r="Q31" s="45">
        <v>1534</v>
      </c>
      <c r="R31" s="36">
        <v>22</v>
      </c>
      <c r="S31" s="41">
        <v>1496</v>
      </c>
      <c r="T31" s="37">
        <v>21</v>
      </c>
      <c r="U31" s="45">
        <v>1469</v>
      </c>
      <c r="V31" s="37">
        <v>19</v>
      </c>
      <c r="W31" s="45">
        <v>1405</v>
      </c>
      <c r="X31" s="36">
        <v>15</v>
      </c>
      <c r="Y31" s="41">
        <v>1422</v>
      </c>
      <c r="Z31" s="1"/>
      <c r="AA31" s="1"/>
      <c r="AB31" s="1"/>
      <c r="AC31" s="1"/>
      <c r="AD31" s="1"/>
      <c r="AE31" s="1"/>
      <c r="AF31" s="1"/>
      <c r="AG31" s="11"/>
      <c r="AH31" s="11"/>
      <c r="AI31" s="11"/>
      <c r="AJ31" s="12"/>
      <c r="AK31" s="13"/>
      <c r="AL31" s="13"/>
      <c r="AM31" s="13"/>
      <c r="AN31" s="13"/>
      <c r="AO31" s="13"/>
      <c r="AP31" s="13"/>
      <c r="AQ31" s="13"/>
      <c r="AR31" s="13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1:67" ht="20.25" customHeight="1" x14ac:dyDescent="0.25">
      <c r="A32" s="7" t="s">
        <v>38</v>
      </c>
      <c r="B32" s="36">
        <v>3</v>
      </c>
      <c r="C32" s="41">
        <v>39</v>
      </c>
      <c r="D32" s="37">
        <v>3</v>
      </c>
      <c r="E32" s="38">
        <v>39</v>
      </c>
      <c r="F32" s="39">
        <v>3</v>
      </c>
      <c r="G32" s="43">
        <v>39</v>
      </c>
      <c r="H32" s="38">
        <v>2</v>
      </c>
      <c r="I32" s="44">
        <v>26</v>
      </c>
      <c r="J32" s="36">
        <v>2</v>
      </c>
      <c r="K32" s="36">
        <v>25</v>
      </c>
      <c r="L32" s="37">
        <v>3</v>
      </c>
      <c r="M32" s="45">
        <v>41</v>
      </c>
      <c r="N32" s="36">
        <v>3</v>
      </c>
      <c r="O32" s="36">
        <v>38</v>
      </c>
      <c r="P32" s="37">
        <v>3</v>
      </c>
      <c r="Q32" s="45">
        <v>39</v>
      </c>
      <c r="R32" s="36">
        <v>3</v>
      </c>
      <c r="S32" s="36">
        <v>42</v>
      </c>
      <c r="T32" s="37">
        <v>3</v>
      </c>
      <c r="U32" s="45">
        <v>43</v>
      </c>
      <c r="V32" s="37">
        <v>3</v>
      </c>
      <c r="W32" s="45">
        <v>41</v>
      </c>
      <c r="X32" s="36">
        <v>3</v>
      </c>
      <c r="Y32" s="36">
        <v>40</v>
      </c>
      <c r="Z32" s="1"/>
      <c r="AA32" s="1"/>
      <c r="AB32" s="1"/>
      <c r="AC32" s="1"/>
      <c r="AD32" s="1"/>
      <c r="AE32" s="1"/>
      <c r="AF32" s="1"/>
      <c r="AG32" s="11"/>
      <c r="AH32" s="11"/>
      <c r="AI32" s="11"/>
      <c r="AJ32" s="12"/>
      <c r="AK32" s="13"/>
      <c r="AL32" s="13"/>
      <c r="AM32" s="13"/>
      <c r="AN32" s="13"/>
      <c r="AO32" s="13"/>
      <c r="AP32" s="13"/>
      <c r="AQ32" s="13"/>
      <c r="AR32" s="13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ht="20.25" customHeight="1" x14ac:dyDescent="0.25">
      <c r="A33" s="8" t="s">
        <v>39</v>
      </c>
      <c r="B33" s="46">
        <v>173</v>
      </c>
      <c r="C33" s="47">
        <v>3830</v>
      </c>
      <c r="D33" s="48">
        <v>174</v>
      </c>
      <c r="E33" s="49">
        <v>4344</v>
      </c>
      <c r="F33" s="50">
        <v>178</v>
      </c>
      <c r="G33" s="51">
        <v>4308</v>
      </c>
      <c r="H33" s="52">
        <v>183</v>
      </c>
      <c r="I33" s="53">
        <v>4401</v>
      </c>
      <c r="J33" s="46">
        <v>171</v>
      </c>
      <c r="K33" s="54">
        <v>4330</v>
      </c>
      <c r="L33" s="48">
        <v>175</v>
      </c>
      <c r="M33" s="51">
        <v>4282</v>
      </c>
      <c r="N33" s="46">
        <v>182</v>
      </c>
      <c r="O33" s="54">
        <v>4371</v>
      </c>
      <c r="P33" s="48">
        <v>168</v>
      </c>
      <c r="Q33" s="51">
        <v>4388</v>
      </c>
      <c r="R33" s="46">
        <v>185</v>
      </c>
      <c r="S33" s="54">
        <v>4417</v>
      </c>
      <c r="T33" s="48">
        <v>183</v>
      </c>
      <c r="U33" s="53">
        <v>4405</v>
      </c>
      <c r="V33" s="48">
        <v>183</v>
      </c>
      <c r="W33" s="51">
        <v>4306</v>
      </c>
      <c r="X33" s="46">
        <v>167</v>
      </c>
      <c r="Y33" s="54">
        <v>4261</v>
      </c>
      <c r="Z33" s="1"/>
      <c r="AA33" s="1"/>
      <c r="AB33" s="1"/>
      <c r="AC33" s="1"/>
      <c r="AD33" s="1"/>
      <c r="AE33" s="1"/>
      <c r="AF33" s="1"/>
      <c r="AG33" s="11"/>
      <c r="AH33" s="11"/>
      <c r="AI33" s="11"/>
      <c r="AJ33" s="12"/>
      <c r="AK33" s="13"/>
      <c r="AL33" s="13"/>
      <c r="AM33" s="13"/>
      <c r="AN33" s="13"/>
      <c r="AO33" s="13"/>
      <c r="AP33" s="13"/>
      <c r="AQ33" s="13"/>
      <c r="AR33" s="13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19.5" customHeight="1" x14ac:dyDescent="0.25">
      <c r="A34" s="15" t="s">
        <v>43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"/>
      <c r="AA34" s="1"/>
      <c r="AB34" s="1"/>
      <c r="AC34" s="1"/>
      <c r="AD34" s="1"/>
      <c r="AE34" s="1"/>
      <c r="AF34" s="1"/>
      <c r="AG34" s="11"/>
      <c r="AH34" s="11"/>
      <c r="AI34" s="11"/>
      <c r="AJ34" s="12"/>
      <c r="AK34" s="13"/>
      <c r="AL34" s="13"/>
      <c r="AM34" s="13"/>
      <c r="AN34" s="13"/>
      <c r="AO34" s="13"/>
      <c r="AP34" s="13"/>
      <c r="AQ34" s="13"/>
      <c r="AR34" s="13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ht="14.25" customHeight="1" x14ac:dyDescent="0.25">
      <c r="A35" s="5" t="s">
        <v>13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"/>
      <c r="AA35" s="1"/>
      <c r="AB35" s="1"/>
      <c r="AC35" s="1"/>
      <c r="AD35" s="1"/>
      <c r="AE35" s="1"/>
      <c r="AF35" s="1"/>
      <c r="AG35" s="11"/>
      <c r="AH35" s="11"/>
      <c r="AI35" s="11"/>
      <c r="AJ35" s="12"/>
      <c r="AK35" s="13"/>
      <c r="AL35" s="13"/>
      <c r="AM35" s="13"/>
      <c r="AN35" s="13"/>
      <c r="AO35" s="13"/>
      <c r="AP35" s="13"/>
      <c r="AQ35" s="13"/>
      <c r="AR35" s="13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"/>
      <c r="AA36" s="1"/>
      <c r="AB36" s="1"/>
      <c r="AC36" s="1"/>
      <c r="AD36" s="1"/>
      <c r="AE36" s="1"/>
      <c r="AF36" s="1"/>
      <c r="AG36" s="11"/>
      <c r="AH36" s="11"/>
      <c r="AI36" s="11"/>
      <c r="AJ36" s="12"/>
      <c r="AK36" s="13"/>
      <c r="AL36" s="13"/>
      <c r="AM36" s="13"/>
      <c r="AN36" s="13"/>
      <c r="AO36" s="13"/>
      <c r="AP36" s="13"/>
      <c r="AQ36" s="13"/>
      <c r="AR36" s="13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ht="30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"/>
      <c r="AA37" s="1"/>
      <c r="AB37" s="1"/>
      <c r="AC37" s="1"/>
      <c r="AD37" s="1"/>
      <c r="AE37" s="1"/>
      <c r="AF37" s="1"/>
      <c r="AG37" s="11"/>
      <c r="AH37" s="11"/>
      <c r="AI37" s="11"/>
      <c r="AJ37" s="12"/>
      <c r="AK37" s="13"/>
      <c r="AL37" s="13"/>
      <c r="AM37" s="13"/>
      <c r="AN37" s="13"/>
      <c r="AO37" s="13"/>
      <c r="AP37" s="13"/>
      <c r="AQ37" s="13"/>
      <c r="AR37" s="13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1"/>
      <c r="AH38" s="11"/>
      <c r="AI38" s="11"/>
      <c r="AJ38" s="12"/>
      <c r="AK38" s="13"/>
      <c r="AL38" s="13"/>
      <c r="AM38" s="13"/>
      <c r="AN38" s="13"/>
      <c r="AO38" s="13"/>
      <c r="AP38" s="13"/>
      <c r="AQ38" s="13"/>
      <c r="AR38" s="13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AD39" s="1"/>
      <c r="AE39" s="1"/>
      <c r="AF39" s="1"/>
      <c r="AG39" s="11"/>
      <c r="AH39" s="11"/>
      <c r="AI39" s="11"/>
      <c r="AJ39" s="12"/>
      <c r="AK39" s="13"/>
      <c r="AL39" s="13"/>
      <c r="AM39" s="13"/>
      <c r="AN39" s="13"/>
      <c r="AO39" s="13"/>
      <c r="AP39" s="13"/>
      <c r="AQ39" s="13"/>
      <c r="AR39" s="13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AD40" s="1"/>
      <c r="AE40" s="1"/>
      <c r="AF40" s="1"/>
      <c r="AG40" s="11"/>
      <c r="AH40" s="11"/>
      <c r="AI40" s="11"/>
      <c r="AJ40" s="12"/>
      <c r="AK40" s="13"/>
      <c r="AL40" s="13"/>
      <c r="AM40" s="13"/>
      <c r="AN40" s="13"/>
      <c r="AO40" s="13"/>
      <c r="AP40" s="13"/>
      <c r="AQ40" s="13"/>
      <c r="AR40" s="13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1"/>
      <c r="AH41" s="11"/>
      <c r="AI41" s="11"/>
      <c r="AJ41" s="12"/>
      <c r="AK41" s="13"/>
      <c r="AL41" s="13"/>
      <c r="AM41" s="13"/>
      <c r="AN41" s="13"/>
      <c r="AO41" s="13"/>
      <c r="AP41" s="13"/>
      <c r="AQ41" s="13"/>
      <c r="AR41" s="13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1"/>
      <c r="AH42" s="11"/>
      <c r="AI42" s="11"/>
      <c r="AJ42" s="12"/>
      <c r="AK42" s="13"/>
      <c r="AL42" s="13"/>
      <c r="AM42" s="13"/>
      <c r="AN42" s="13"/>
      <c r="AO42" s="13"/>
      <c r="AP42" s="13"/>
      <c r="AQ42" s="13"/>
      <c r="AR42" s="13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</sheetData>
  <mergeCells count="14">
    <mergeCell ref="A3:Y3"/>
    <mergeCell ref="A5:A6"/>
    <mergeCell ref="B5:C5"/>
    <mergeCell ref="D5:E5"/>
    <mergeCell ref="F5:G5"/>
    <mergeCell ref="H5:I5"/>
    <mergeCell ref="J5:K5"/>
    <mergeCell ref="X5:Y5"/>
    <mergeCell ref="L5:M5"/>
    <mergeCell ref="N5:O5"/>
    <mergeCell ref="P5:Q5"/>
    <mergeCell ref="R5:S5"/>
    <mergeCell ref="T5:U5"/>
    <mergeCell ref="V5:W5"/>
  </mergeCells>
  <pageMargins left="0.7" right="0.7" top="0.75" bottom="0.75" header="0" footer="0"/>
  <pageSetup paperSize="9" scale="2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 </vt:lpstr>
      <vt:lpstr>'18.16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2026-05-07T05:13:39Z</cp:lastPrinted>
  <dcterms:created xsi:type="dcterms:W3CDTF">2025-05-19T08:29:05Z</dcterms:created>
  <dcterms:modified xsi:type="dcterms:W3CDTF">2026-05-07T05:13:49Z</dcterms:modified>
</cp:coreProperties>
</file>