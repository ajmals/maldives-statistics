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8.Pension &amp; Social Protection\"/>
    </mc:Choice>
  </mc:AlternateContent>
  <xr:revisionPtr revIDLastSave="0" documentId="13_ncr:1_{6AD7364B-E686-4183-9CF4-4BB5F9DCF195}" xr6:coauthVersionLast="47" xr6:coauthVersionMax="47" xr10:uidLastSave="{00000000-0000-0000-0000-000000000000}"/>
  <bookViews>
    <workbookView xWindow="-120" yWindow="-120" windowWidth="29040" windowHeight="15720" tabRatio="867" xr2:uid="{00000000-000D-0000-FFFF-FFFF00000000}"/>
  </bookViews>
  <sheets>
    <sheet name="18.19" sheetId="19" r:id="rId1"/>
  </sheets>
  <definedNames>
    <definedName name="_xlnm.Print_Area" localSheetId="0">'18.19'!$A$1:$K$57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5" i="19" l="1"/>
  <c r="AO17" i="19" l="1"/>
  <c r="AO18" i="19"/>
  <c r="AO19" i="19"/>
  <c r="AO20" i="19"/>
  <c r="AO21" i="19"/>
  <c r="AO22" i="19"/>
  <c r="AO23" i="19"/>
  <c r="AO24" i="19"/>
  <c r="AO25" i="19"/>
  <c r="AO26" i="19"/>
  <c r="AO27" i="19"/>
  <c r="AO28" i="19"/>
  <c r="AO29" i="19"/>
  <c r="AO30" i="19"/>
  <c r="AO31" i="19"/>
  <c r="AO32" i="19"/>
  <c r="AO33" i="19"/>
  <c r="AO34" i="19"/>
  <c r="AO35" i="19"/>
  <c r="AO16" i="19"/>
  <c r="I11" i="19"/>
  <c r="I9" i="19" s="1"/>
  <c r="H11" i="19"/>
  <c r="H9" i="19" s="1"/>
  <c r="G11" i="19"/>
  <c r="G9" i="19" s="1"/>
  <c r="F11" i="19"/>
  <c r="F9" i="19" s="1"/>
  <c r="E11" i="19"/>
  <c r="E9" i="19" s="1"/>
  <c r="D11" i="19"/>
  <c r="D9" i="19" s="1"/>
  <c r="C11" i="19"/>
  <c r="C9" i="19" s="1"/>
  <c r="B11" i="19"/>
  <c r="B9" i="19" l="1"/>
</calcChain>
</file>

<file path=xl/sharedStrings.xml><?xml version="1.0" encoding="utf-8"?>
<sst xmlns="http://schemas.openxmlformats.org/spreadsheetml/2006/main" count="98" uniqueCount="95">
  <si>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</si>
  <si>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</si>
  <si>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</si>
  <si>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</si>
  <si>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</si>
  <si>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</si>
  <si>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</si>
  <si>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</si>
  <si>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</si>
  <si>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</si>
  <si>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 xml:space="preserve">FOSTER PARENT ALLOWANCE </t>
  </si>
  <si>
    <t>EMERGENCY MEDICAL WELFARE</t>
  </si>
  <si>
    <t>DISABILITY ALLOWANCE</t>
  </si>
  <si>
    <t>FOOD SUBSIDY</t>
  </si>
  <si>
    <t>Aasandha</t>
  </si>
  <si>
    <t xml:space="preserve">Parent </t>
  </si>
  <si>
    <t>Children</t>
  </si>
  <si>
    <t xml:space="preserve">Children </t>
  </si>
  <si>
    <t xml:space="preserve">އާސަންދަ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</si>
  <si>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</si>
  <si>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</si>
  <si>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</si>
  <si>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</si>
  <si>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</si>
  <si>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</si>
  <si>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</si>
  <si>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</si>
  <si>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</si>
  <si>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</si>
  <si>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</si>
  <si>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</si>
  <si>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</si>
  <si>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</si>
  <si>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</si>
  <si>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</si>
  <si>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</si>
  <si>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</si>
  <si>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</si>
  <si>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 xml:space="preserve"> HA</t>
  </si>
  <si>
    <t>South Maalhosmadulu (B)</t>
  </si>
  <si>
    <t>(b) irubunukeduluDwcsoLWm</t>
  </si>
  <si>
    <t>HDh</t>
  </si>
  <si>
    <t>Faadhippolhu (Lh)</t>
  </si>
  <si>
    <t>(L) uLopcaidWf</t>
  </si>
  <si>
    <t>Sh</t>
  </si>
  <si>
    <t>Male' Atoll (K)</t>
  </si>
  <si>
    <t>(k) uLotwa elWm</t>
  </si>
  <si>
    <t>N</t>
  </si>
  <si>
    <t>North Ari Atoll (AA)</t>
  </si>
  <si>
    <t>(aa) iruburutuauLotwairwa</t>
  </si>
  <si>
    <t>R</t>
  </si>
  <si>
    <t>South Ari Atoll (ADh)</t>
  </si>
  <si>
    <t>(da) iruburutuauLotwairwa</t>
  </si>
  <si>
    <t>B</t>
  </si>
  <si>
    <t>Felidhu Atoll (V)</t>
  </si>
  <si>
    <t>(v) uLotwa udilef</t>
  </si>
  <si>
    <t xml:space="preserve"> Lh</t>
  </si>
  <si>
    <t>Mulakatholhu (M)</t>
  </si>
  <si>
    <t>(m) uLotwkwlum</t>
  </si>
  <si>
    <t>K</t>
  </si>
  <si>
    <t>North Nilandhe Atoll (F)</t>
  </si>
  <si>
    <t>(f) iruburutua uLotwaedcnwlin</t>
  </si>
  <si>
    <t>AA</t>
  </si>
  <si>
    <t>South Nilandhe Atoll (Dh)</t>
  </si>
  <si>
    <t>(d) irubunuked uLotwaedcnwlin</t>
  </si>
  <si>
    <t>ADH</t>
  </si>
  <si>
    <t>Kolhumadulu (Th)</t>
  </si>
  <si>
    <t>(t) uluDwmuLok</t>
  </si>
  <si>
    <t>V</t>
  </si>
  <si>
    <t>Hadhdhunmathi (L)</t>
  </si>
  <si>
    <t>(l) itwmcnudcawh</t>
  </si>
  <si>
    <t>M</t>
  </si>
  <si>
    <t>North Huvadhu Atoll (GA)</t>
  </si>
  <si>
    <t>(ag) iruburutua uLotwaudwvuh</t>
  </si>
  <si>
    <t>F</t>
  </si>
  <si>
    <t>South Huvadhu Atoll (GDh)</t>
  </si>
  <si>
    <t xml:space="preserve"> (dg) irubunuked uLotwaudwvuh</t>
  </si>
  <si>
    <t>Dh</t>
  </si>
  <si>
    <t>Fuvahmulah (Gn)</t>
  </si>
  <si>
    <t>(N)cawlumcawvuf</t>
  </si>
  <si>
    <t>Th</t>
  </si>
  <si>
    <t>Addu Atoll (S)</t>
  </si>
  <si>
    <t>(s) uLotwauDcawa</t>
  </si>
  <si>
    <t>L</t>
  </si>
  <si>
    <t>Note: Universal Health Insuarance Scheme named "Aasandha" was introduced in January 2012 and replaced the existing schemes "Madhana" and "Madhana Plus".</t>
  </si>
  <si>
    <t>GA</t>
  </si>
  <si>
    <t>Source: National Social Protection Agency</t>
  </si>
  <si>
    <t xml:space="preserve"> </t>
  </si>
  <si>
    <t xml:space="preserve">މަޢުލޫމާތު ދެއްވީ: ނެޝަނަލް ސޯޝަލް ޕްރޮޓެކްޝަން އޭޖެންސީ </t>
  </si>
  <si>
    <t>GDh</t>
  </si>
  <si>
    <t>Gn</t>
  </si>
  <si>
    <t>S</t>
  </si>
  <si>
    <t>Table 18.19 :  NUMBER OF PERSONS COVERED UNDER DIFFERENT SOCIAL PROTECTION SCHEMES BY LOCALITY,  2025</t>
  </si>
  <si>
    <t>ތާވަލް 18.19: އިޖްތިމާއީ ރައްކާތެރިކަމުގެ ދަށުން އަތޮޅުތަކުން ޚިދުމަތްދެވިފައިވާ މީހުންގެ އަދަދު، 2025</t>
  </si>
  <si>
    <t>* New born babies are included here under a separate system generated ID with mother's data. These data will be updated later with the processing of registration of the Child's National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</si>
</sst>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4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 tint="0.14999847407452621"/>
      <name val="A_Faseyha"/>
    </font>
    <font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sz val="9"/>
      <name val="Courier"/>
      <family val="3"/>
    </font>
    <font>
      <b/>
      <sz val="13.5"/>
      <color rgb="FF000000"/>
      <name val="Calibri"/>
      <family val="2"/>
    </font>
    <font>
      <b/>
      <sz val="10"/>
      <name val="Calibri"/>
      <family val="2"/>
      <scheme val="minor"/>
    </font>
    <font>
      <b/>
      <sz val="10"/>
      <name val="Faruma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A_Faseyha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2"/>
      <color theme="1" tint="0.14999847407452621"/>
      <name val="Arial"/>
      <family val="2"/>
    </font>
    <font>
      <b/>
      <sz val="9"/>
      <color theme="1" tint="0.14999847407452621"/>
      <name val="A_Randhoo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 tint="0.14999847407452621"/>
      <name val="A_Randhoo"/>
    </font>
    <font>
      <sz val="11"/>
      <color rgb="FF000000"/>
      <name val="Calibri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35">
    <xf numFmtId="0" fontId="0" fillId="0" borderId="0"/>
    <xf numFmtId="43" fontId="4" fillId="0" borderId="0" applyFont="0" applyFill="0" applyBorder="0" applyAlignment="0" applyProtection="0"/>
    <xf numFmtId="0" fontId="2" fillId="0" borderId="1"/>
    <xf numFmtId="164" fontId="14" fillId="0" borderId="1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0" fontId="14" fillId="0" borderId="1"/>
    <xf numFmtId="0" fontId="3" fillId="0" borderId="1"/>
    <xf numFmtId="0" fontId="1" fillId="0" borderId="1"/>
    <xf numFmtId="0" fontId="1" fillId="0" borderId="1"/>
    <xf numFmtId="0" fontId="1" fillId="0" borderId="1"/>
    <xf numFmtId="0" fontId="3" fillId="0" borderId="1"/>
    <xf numFmtId="0" fontId="3" fillId="0" borderId="1"/>
    <xf numFmtId="0" fontId="1" fillId="0" borderId="1"/>
    <xf numFmtId="0" fontId="1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  <xf numFmtId="0" fontId="37" fillId="0" borderId="1"/>
  </cellStyleXfs>
  <cellXfs count="130">
    <xf numFmtId="0" fontId="0" fillId="0" borderId="0" xfId="0"/>
    <xf numFmtId="0" fontId="0" fillId="2" borderId="0" xfId="0" applyFill="1"/>
    <xf numFmtId="3" fontId="7" fillId="2" borderId="1" xfId="2" applyNumberFormat="1" applyFont="1" applyFill="1"/>
    <xf numFmtId="3" fontId="8" fillId="2" borderId="1" xfId="2" applyNumberFormat="1" applyFont="1" applyFill="1" applyAlignment="1">
      <alignment horizontal="center" vertical="center"/>
    </xf>
    <xf numFmtId="0" fontId="13" fillId="2" borderId="0" xfId="0" applyFont="1" applyFill="1"/>
    <xf numFmtId="0" fontId="13" fillId="2" borderId="1" xfId="0" applyFont="1" applyFill="1" applyBorder="1"/>
    <xf numFmtId="165" fontId="15" fillId="2" borderId="10" xfId="3" applyNumberFormat="1" applyFont="1" applyFill="1" applyBorder="1" applyAlignment="1">
      <alignment horizontal="right" vertical="center" wrapText="1" indent="1"/>
    </xf>
    <xf numFmtId="165" fontId="16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165" fontId="15" fillId="2" borderId="1" xfId="3" applyNumberFormat="1" applyFont="1" applyFill="1" applyAlignment="1">
      <alignment horizontal="center" vertical="center" wrapText="1"/>
    </xf>
    <xf numFmtId="165" fontId="16" fillId="2" borderId="1" xfId="0" applyNumberFormat="1" applyFont="1" applyFill="1" applyBorder="1" applyAlignment="1">
      <alignment vertical="center"/>
    </xf>
    <xf numFmtId="165" fontId="18" fillId="2" borderId="14" xfId="3" applyNumberFormat="1" applyFont="1" applyFill="1" applyBorder="1" applyAlignment="1">
      <alignment horizontal="right" vertical="center" wrapText="1" indent="1"/>
    </xf>
    <xf numFmtId="165" fontId="18" fillId="2" borderId="15" xfId="3" applyNumberFormat="1" applyFont="1" applyFill="1" applyBorder="1" applyAlignment="1">
      <alignment horizontal="right" vertical="center" wrapText="1"/>
    </xf>
    <xf numFmtId="165" fontId="18" fillId="2" borderId="16" xfId="3" applyNumberFormat="1" applyFont="1" applyFill="1" applyBorder="1" applyAlignment="1">
      <alignment horizontal="right" vertical="center" wrapText="1"/>
    </xf>
    <xf numFmtId="165" fontId="16" fillId="2" borderId="1" xfId="0" applyNumberFormat="1" applyFont="1" applyFill="1" applyBorder="1"/>
    <xf numFmtId="165" fontId="19" fillId="2" borderId="10" xfId="3" applyNumberFormat="1" applyFont="1" applyFill="1" applyBorder="1" applyAlignment="1">
      <alignment horizontal="right" vertical="center" wrapText="1" indent="1"/>
    </xf>
    <xf numFmtId="165" fontId="19" fillId="2" borderId="11" xfId="3" applyNumberFormat="1" applyFont="1" applyFill="1" applyBorder="1" applyAlignment="1">
      <alignment horizontal="right" vertical="center" wrapText="1"/>
    </xf>
    <xf numFmtId="165" fontId="19" fillId="2" borderId="12" xfId="3" applyNumberFormat="1" applyFont="1" applyFill="1" applyBorder="1" applyAlignment="1">
      <alignment horizontal="right" vertical="center" wrapText="1"/>
    </xf>
    <xf numFmtId="165" fontId="5" fillId="2" borderId="10" xfId="0" applyNumberFormat="1" applyFont="1" applyFill="1" applyBorder="1" applyAlignment="1">
      <alignment horizontal="center" vertical="center"/>
    </xf>
    <xf numFmtId="165" fontId="0" fillId="2" borderId="0" xfId="0" applyNumberFormat="1" applyFill="1"/>
    <xf numFmtId="165" fontId="0" fillId="2" borderId="1" xfId="0" applyNumberFormat="1" applyFill="1" applyBorder="1"/>
    <xf numFmtId="165" fontId="18" fillId="2" borderId="1" xfId="3" applyNumberFormat="1" applyFont="1" applyFill="1" applyAlignment="1">
      <alignment horizontal="left" vertical="center"/>
    </xf>
    <xf numFmtId="37" fontId="18" fillId="2" borderId="14" xfId="1" applyNumberFormat="1" applyFont="1" applyFill="1" applyBorder="1" applyAlignment="1" applyProtection="1">
      <alignment vertical="center"/>
    </xf>
    <xf numFmtId="37" fontId="18" fillId="2" borderId="15" xfId="1" applyNumberFormat="1" applyFont="1" applyFill="1" applyBorder="1" applyAlignment="1" applyProtection="1">
      <alignment horizontal="center" vertical="center"/>
    </xf>
    <xf numFmtId="37" fontId="18" fillId="2" borderId="5" xfId="1" applyNumberFormat="1" applyFont="1" applyFill="1" applyBorder="1" applyAlignment="1" applyProtection="1">
      <alignment horizontal="center" vertical="center"/>
    </xf>
    <xf numFmtId="37" fontId="18" fillId="2" borderId="4" xfId="1" applyNumberFormat="1" applyFont="1" applyFill="1" applyBorder="1" applyAlignment="1" applyProtection="1">
      <alignment horizontal="right" vertical="center"/>
    </xf>
    <xf numFmtId="37" fontId="18" fillId="2" borderId="1" xfId="1" applyNumberFormat="1" applyFont="1" applyFill="1" applyBorder="1" applyAlignment="1" applyProtection="1">
      <alignment horizontal="right" vertical="center"/>
    </xf>
    <xf numFmtId="37" fontId="18" fillId="2" borderId="15" xfId="1" applyNumberFormat="1" applyFont="1" applyFill="1" applyBorder="1" applyAlignment="1" applyProtection="1">
      <alignment horizontal="right" vertical="center"/>
    </xf>
    <xf numFmtId="37" fontId="20" fillId="2" borderId="14" xfId="4" applyNumberFormat="1" applyFont="1" applyFill="1" applyBorder="1" applyAlignment="1">
      <alignment horizontal="center" vertical="center"/>
    </xf>
    <xf numFmtId="37" fontId="18" fillId="2" borderId="4" xfId="1" applyNumberFormat="1" applyFont="1" applyFill="1" applyBorder="1" applyAlignment="1" applyProtection="1">
      <alignment horizontal="center" vertical="center"/>
    </xf>
    <xf numFmtId="3" fontId="21" fillId="2" borderId="1" xfId="2" applyNumberFormat="1" applyFont="1" applyFill="1" applyAlignment="1">
      <alignment horizontal="right" vertical="center"/>
    </xf>
    <xf numFmtId="165" fontId="22" fillId="2" borderId="0" xfId="0" applyNumberFormat="1" applyFont="1" applyFill="1"/>
    <xf numFmtId="165" fontId="22" fillId="2" borderId="1" xfId="0" applyNumberFormat="1" applyFont="1" applyFill="1" applyBorder="1"/>
    <xf numFmtId="3" fontId="23" fillId="2" borderId="1" xfId="2" applyNumberFormat="1" applyFont="1" applyFill="1"/>
    <xf numFmtId="165" fontId="24" fillId="2" borderId="0" xfId="0" applyNumberFormat="1" applyFont="1" applyFill="1"/>
    <xf numFmtId="165" fontId="24" fillId="2" borderId="1" xfId="0" applyNumberFormat="1" applyFont="1" applyFill="1" applyBorder="1"/>
    <xf numFmtId="37" fontId="20" fillId="2" borderId="14" xfId="1" applyNumberFormat="1" applyFont="1" applyFill="1" applyBorder="1" applyAlignment="1">
      <alignment vertical="center"/>
    </xf>
    <xf numFmtId="37" fontId="18" fillId="2" borderId="14" xfId="1" applyNumberFormat="1" applyFont="1" applyFill="1" applyBorder="1" applyAlignment="1" applyProtection="1">
      <alignment horizontal="center" vertical="center"/>
    </xf>
    <xf numFmtId="37" fontId="20" fillId="2" borderId="16" xfId="1" applyNumberFormat="1" applyFont="1" applyFill="1" applyBorder="1" applyAlignment="1">
      <alignment vertical="center"/>
    </xf>
    <xf numFmtId="37" fontId="20" fillId="2" borderId="1" xfId="1" applyNumberFormat="1" applyFont="1" applyFill="1" applyBorder="1" applyAlignment="1">
      <alignment horizontal="right" vertical="center"/>
    </xf>
    <xf numFmtId="37" fontId="20" fillId="2" borderId="14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 indent="1"/>
    </xf>
    <xf numFmtId="3" fontId="25" fillId="2" borderId="1" xfId="2" applyNumberFormat="1" applyFont="1" applyFill="1" applyAlignment="1">
      <alignment horizontal="left" vertical="center" indent="1"/>
    </xf>
    <xf numFmtId="3" fontId="28" fillId="2" borderId="1" xfId="2" applyNumberFormat="1" applyFont="1" applyFill="1" applyAlignment="1">
      <alignment horizontal="right" vertical="center" indent="1"/>
    </xf>
    <xf numFmtId="3" fontId="8" fillId="2" borderId="1" xfId="2" applyNumberFormat="1" applyFont="1" applyFill="1"/>
    <xf numFmtId="3" fontId="25" fillId="2" borderId="1" xfId="2" applyNumberFormat="1" applyFont="1" applyFill="1"/>
    <xf numFmtId="0" fontId="0" fillId="2" borderId="1" xfId="0" applyFill="1" applyBorder="1"/>
    <xf numFmtId="0" fontId="22" fillId="2" borderId="0" xfId="0" applyFont="1" applyFill="1"/>
    <xf numFmtId="0" fontId="22" fillId="2" borderId="1" xfId="0" applyFont="1" applyFill="1" applyBorder="1"/>
    <xf numFmtId="3" fontId="25" fillId="2" borderId="2" xfId="2" applyNumberFormat="1" applyFont="1" applyFill="1" applyBorder="1" applyAlignment="1">
      <alignment horizontal="left" vertical="center" indent="1"/>
    </xf>
    <xf numFmtId="3" fontId="28" fillId="2" borderId="2" xfId="2" applyNumberFormat="1" applyFont="1" applyFill="1" applyBorder="1" applyAlignment="1">
      <alignment horizontal="right" vertical="center" indent="1"/>
    </xf>
    <xf numFmtId="0" fontId="29" fillId="2" borderId="0" xfId="0" applyFont="1" applyFill="1"/>
    <xf numFmtId="0" fontId="27" fillId="2" borderId="0" xfId="0" applyFont="1" applyFill="1"/>
    <xf numFmtId="0" fontId="20" fillId="2" borderId="0" xfId="0" applyFont="1" applyFill="1" applyAlignment="1">
      <alignment horizontal="center" vertical="center"/>
    </xf>
    <xf numFmtId="0" fontId="27" fillId="2" borderId="1" xfId="0" applyFont="1" applyFill="1" applyBorder="1"/>
    <xf numFmtId="165" fontId="30" fillId="2" borderId="1" xfId="3" applyNumberFormat="1" applyFont="1" applyFill="1" applyAlignment="1">
      <alignment horizontal="left" vertical="center"/>
    </xf>
    <xf numFmtId="165" fontId="31" fillId="2" borderId="1" xfId="6" applyNumberFormat="1" applyFont="1" applyFill="1" applyAlignment="1">
      <alignment horizontal="right" vertical="center"/>
    </xf>
    <xf numFmtId="0" fontId="1" fillId="2" borderId="1" xfId="0" applyFont="1" applyFill="1" applyBorder="1"/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7" fontId="26" fillId="2" borderId="1" xfId="1" applyNumberFormat="1" applyFont="1" applyFill="1" applyBorder="1" applyAlignment="1" applyProtection="1">
      <alignment vertical="center"/>
    </xf>
    <xf numFmtId="3" fontId="32" fillId="2" borderId="1" xfId="2" applyNumberFormat="1" applyFont="1" applyFill="1"/>
    <xf numFmtId="0" fontId="11" fillId="2" borderId="1" xfId="0" applyFont="1" applyFill="1" applyBorder="1" applyAlignment="1">
      <alignment horizontal="center" vertical="center" wrapText="1"/>
    </xf>
    <xf numFmtId="1" fontId="34" fillId="2" borderId="1" xfId="4" applyNumberFormat="1" applyFont="1" applyFill="1" applyBorder="1" applyAlignment="1" applyProtection="1">
      <alignment horizontal="right" vertical="center"/>
    </xf>
    <xf numFmtId="37" fontId="18" fillId="2" borderId="1" xfId="4" applyNumberFormat="1" applyFont="1" applyFill="1" applyBorder="1" applyAlignment="1" applyProtection="1">
      <alignment vertical="center"/>
    </xf>
    <xf numFmtId="37" fontId="13" fillId="2" borderId="1" xfId="0" applyNumberFormat="1" applyFont="1" applyFill="1" applyBorder="1"/>
    <xf numFmtId="37" fontId="26" fillId="2" borderId="1" xfId="4" applyNumberFormat="1" applyFont="1" applyFill="1" applyBorder="1" applyAlignment="1" applyProtection="1">
      <alignment vertical="center"/>
    </xf>
    <xf numFmtId="37" fontId="18" fillId="2" borderId="1" xfId="1" applyNumberFormat="1" applyFont="1" applyFill="1" applyBorder="1" applyAlignment="1" applyProtection="1">
      <alignment vertical="center"/>
    </xf>
    <xf numFmtId="37" fontId="26" fillId="2" borderId="1" xfId="5" applyNumberFormat="1" applyFont="1" applyFill="1" applyBorder="1" applyAlignment="1">
      <alignment vertical="center"/>
    </xf>
    <xf numFmtId="165" fontId="18" fillId="2" borderId="1" xfId="3" applyNumberFormat="1" applyFont="1" applyFill="1" applyAlignment="1">
      <alignment horizontal="right" vertical="center" wrapText="1"/>
    </xf>
    <xf numFmtId="165" fontId="19" fillId="2" borderId="1" xfId="3" applyNumberFormat="1" applyFont="1" applyFill="1" applyAlignment="1">
      <alignment horizontal="right" vertical="center" wrapText="1"/>
    </xf>
    <xf numFmtId="165" fontId="5" fillId="2" borderId="1" xfId="0" applyNumberFormat="1" applyFont="1" applyFill="1" applyBorder="1" applyAlignment="1">
      <alignment horizontal="center" vertical="center"/>
    </xf>
    <xf numFmtId="37" fontId="20" fillId="2" borderId="1" xfId="1" applyNumberFormat="1" applyFont="1" applyFill="1" applyBorder="1" applyAlignment="1">
      <alignment horizontal="right" vertical="center" indent="3"/>
    </xf>
    <xf numFmtId="37" fontId="26" fillId="2" borderId="1" xfId="1" applyNumberFormat="1" applyFont="1" applyFill="1" applyBorder="1" applyAlignment="1" applyProtection="1">
      <alignment horizontal="right" vertical="center"/>
    </xf>
    <xf numFmtId="37" fontId="27" fillId="2" borderId="1" xfId="1" applyNumberFormat="1" applyFont="1" applyFill="1" applyBorder="1" applyAlignment="1">
      <alignment horizontal="right" vertical="center"/>
    </xf>
    <xf numFmtId="37" fontId="27" fillId="2" borderId="1" xfId="1" applyNumberFormat="1" applyFont="1" applyFill="1" applyBorder="1" applyAlignment="1">
      <alignment horizontal="right" vertical="center" indent="3"/>
    </xf>
    <xf numFmtId="3" fontId="36" fillId="2" borderId="1" xfId="2" applyNumberFormat="1" applyFont="1" applyFill="1" applyAlignment="1">
      <alignment horizontal="right" vertical="center"/>
    </xf>
    <xf numFmtId="37" fontId="20" fillId="2" borderId="16" xfId="4" applyNumberFormat="1" applyFont="1" applyFill="1" applyBorder="1" applyAlignment="1">
      <alignment horizontal="right" vertical="center"/>
    </xf>
    <xf numFmtId="37" fontId="26" fillId="2" borderId="16" xfId="4" applyNumberFormat="1" applyFont="1" applyFill="1" applyBorder="1" applyAlignment="1" applyProtection="1">
      <alignment horizontal="center" vertical="center"/>
    </xf>
    <xf numFmtId="37" fontId="26" fillId="2" borderId="16" xfId="4" applyNumberFormat="1" applyFont="1" applyFill="1" applyBorder="1" applyAlignment="1" applyProtection="1">
      <alignment horizontal="right" vertical="center" indent="1"/>
    </xf>
    <xf numFmtId="37" fontId="26" fillId="2" borderId="16" xfId="4" applyNumberFormat="1" applyFont="1" applyFill="1" applyBorder="1" applyAlignment="1" applyProtection="1">
      <alignment vertical="center"/>
    </xf>
    <xf numFmtId="37" fontId="26" fillId="2" borderId="10" xfId="5" applyNumberFormat="1" applyFont="1" applyFill="1" applyBorder="1" applyAlignment="1">
      <alignment horizontal="right" vertical="center"/>
    </xf>
    <xf numFmtId="37" fontId="27" fillId="2" borderId="10" xfId="4" applyNumberFormat="1" applyFont="1" applyFill="1" applyBorder="1" applyAlignment="1">
      <alignment horizontal="center" vertical="center"/>
    </xf>
    <xf numFmtId="37" fontId="27" fillId="2" borderId="10" xfId="4" applyNumberFormat="1" applyFont="1" applyFill="1" applyBorder="1" applyAlignment="1">
      <alignment vertical="center"/>
    </xf>
    <xf numFmtId="37" fontId="26" fillId="2" borderId="10" xfId="4" applyNumberFormat="1" applyFont="1" applyFill="1" applyBorder="1" applyAlignment="1" applyProtection="1">
      <alignment horizontal="right" vertical="center" indent="1"/>
    </xf>
    <xf numFmtId="37" fontId="26" fillId="2" borderId="17" xfId="5" applyNumberFormat="1" applyFont="1" applyFill="1" applyBorder="1" applyAlignment="1">
      <alignment horizontal="right" vertical="center"/>
    </xf>
    <xf numFmtId="0" fontId="17" fillId="2" borderId="1" xfId="0" applyFont="1" applyFill="1" applyBorder="1" applyAlignment="1">
      <alignment vertical="center"/>
    </xf>
    <xf numFmtId="0" fontId="38" fillId="2" borderId="1" xfId="0" applyFont="1" applyFill="1" applyBorder="1"/>
    <xf numFmtId="0" fontId="39" fillId="2" borderId="1" xfId="0" applyFont="1" applyFill="1" applyBorder="1"/>
    <xf numFmtId="0" fontId="39" fillId="2" borderId="1" xfId="0" applyFont="1" applyFill="1" applyBorder="1" applyAlignment="1">
      <alignment vertical="center"/>
    </xf>
    <xf numFmtId="37" fontId="20" fillId="2" borderId="17" xfId="4" applyNumberFormat="1" applyFont="1" applyFill="1" applyBorder="1" applyAlignment="1">
      <alignment horizontal="right" vertical="center"/>
    </xf>
    <xf numFmtId="37" fontId="20" fillId="2" borderId="17" xfId="4" applyNumberFormat="1" applyFont="1" applyFill="1" applyBorder="1" applyAlignment="1">
      <alignment horizontal="center" vertical="center"/>
    </xf>
    <xf numFmtId="37" fontId="18" fillId="2" borderId="17" xfId="4" applyNumberFormat="1" applyFont="1" applyFill="1" applyBorder="1" applyAlignment="1">
      <alignment horizontal="right" vertical="center"/>
    </xf>
    <xf numFmtId="37" fontId="27" fillId="2" borderId="17" xfId="4" applyNumberFormat="1" applyFont="1" applyFill="1" applyBorder="1" applyAlignment="1">
      <alignment horizontal="right" vertical="center"/>
    </xf>
    <xf numFmtId="37" fontId="27" fillId="2" borderId="17" xfId="4" applyNumberFormat="1" applyFont="1" applyFill="1" applyBorder="1" applyAlignment="1">
      <alignment horizontal="center" vertical="center"/>
    </xf>
    <xf numFmtId="165" fontId="15" fillId="2" borderId="1" xfId="3" applyNumberFormat="1" applyFont="1" applyFill="1" applyAlignment="1">
      <alignment horizontal="center" vertical="center" wrapText="1"/>
    </xf>
    <xf numFmtId="3" fontId="6" fillId="2" borderId="1" xfId="2" applyNumberFormat="1" applyFont="1" applyFill="1" applyAlignment="1">
      <alignment horizontal="center" vertical="center" readingOrder="2"/>
    </xf>
    <xf numFmtId="3" fontId="8" fillId="2" borderId="1" xfId="2" applyNumberFormat="1" applyFont="1" applyFill="1" applyAlignment="1">
      <alignment horizontal="center" vertical="center"/>
    </xf>
    <xf numFmtId="3" fontId="9" fillId="2" borderId="3" xfId="2" applyNumberFormat="1" applyFont="1" applyFill="1" applyBorder="1" applyAlignment="1">
      <alignment horizontal="left" vertical="center"/>
    </xf>
    <xf numFmtId="3" fontId="9" fillId="2" borderId="1" xfId="2" applyNumberFormat="1" applyFont="1" applyFill="1" applyAlignment="1">
      <alignment horizontal="left" vertical="center"/>
    </xf>
    <xf numFmtId="3" fontId="9" fillId="2" borderId="2" xfId="2" applyNumberFormat="1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right" vertical="center" wrapText="1" indent="1"/>
    </xf>
    <xf numFmtId="0" fontId="10" fillId="2" borderId="7" xfId="0" applyFont="1" applyFill="1" applyBorder="1" applyAlignment="1">
      <alignment horizontal="right" vertical="center" wrapText="1" inden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right" vertical="center" wrapText="1"/>
    </xf>
    <xf numFmtId="0" fontId="11" fillId="2" borderId="8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3" fontId="12" fillId="2" borderId="3" xfId="2" applyNumberFormat="1" applyFont="1" applyFill="1" applyBorder="1" applyAlignment="1">
      <alignment horizontal="right" vertical="center" wrapText="1"/>
    </xf>
    <xf numFmtId="3" fontId="12" fillId="2" borderId="1" xfId="2" applyNumberFormat="1" applyFont="1" applyFill="1" applyAlignment="1">
      <alignment horizontal="right" vertical="center" wrapText="1"/>
    </xf>
    <xf numFmtId="3" fontId="12" fillId="2" borderId="2" xfId="2" applyNumberFormat="1" applyFont="1" applyFill="1" applyBorder="1" applyAlignment="1">
      <alignment horizontal="right" vertical="center" wrapText="1"/>
    </xf>
    <xf numFmtId="165" fontId="15" fillId="2" borderId="11" xfId="3" applyNumberFormat="1" applyFont="1" applyFill="1" applyBorder="1" applyAlignment="1">
      <alignment horizontal="center" vertical="center" wrapText="1"/>
    </xf>
    <xf numFmtId="165" fontId="15" fillId="2" borderId="12" xfId="3" applyNumberFormat="1" applyFont="1" applyFill="1" applyBorder="1" applyAlignment="1">
      <alignment horizontal="center" vertical="center" wrapText="1"/>
    </xf>
    <xf numFmtId="165" fontId="15" fillId="2" borderId="13" xfId="3" applyNumberFormat="1" applyFont="1" applyFill="1" applyBorder="1" applyAlignment="1">
      <alignment horizontal="right" vertical="center" wrapText="1"/>
    </xf>
    <xf numFmtId="165" fontId="15" fillId="2" borderId="14" xfId="3" applyNumberFormat="1" applyFont="1" applyFill="1" applyBorder="1" applyAlignment="1">
      <alignment horizontal="right" vertical="center" wrapText="1"/>
    </xf>
    <xf numFmtId="165" fontId="15" fillId="2" borderId="10" xfId="3" applyNumberFormat="1" applyFont="1" applyFill="1" applyBorder="1" applyAlignment="1">
      <alignment horizontal="right" vertical="center" wrapText="1"/>
    </xf>
    <xf numFmtId="165" fontId="15" fillId="2" borderId="14" xfId="3" applyNumberFormat="1" applyFont="1" applyFill="1" applyBorder="1" applyAlignment="1">
      <alignment horizontal="center" vertical="center" wrapText="1"/>
    </xf>
    <xf numFmtId="165" fontId="35" fillId="2" borderId="1" xfId="3" applyNumberFormat="1" applyFont="1" applyFill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33" fillId="2" borderId="1" xfId="2" applyNumberFormat="1" applyFont="1" applyFill="1" applyAlignment="1">
      <alignment horizontal="right" vertical="center" wrapText="1"/>
    </xf>
  </cellXfs>
  <cellStyles count="35">
    <cellStyle name="Comma" xfId="1" builtinId="3"/>
    <cellStyle name="Comma 23" xfId="4" xr:uid="{94027C67-5182-4251-874E-333D39869C41}"/>
    <cellStyle name="Comma 3" xfId="5" xr:uid="{32D59405-9255-4528-A182-E2FB87AEA447}"/>
    <cellStyle name="Normal" xfId="0" builtinId="0"/>
    <cellStyle name="Normal 10" xfId="9" xr:uid="{EBA83A1A-0725-4264-B217-6FB255D01D9A}"/>
    <cellStyle name="Normal 11" xfId="11" xr:uid="{141512A6-9575-4B9F-B0CD-71B08DB8B8DD}"/>
    <cellStyle name="Normal 12" xfId="21" xr:uid="{EBB53E00-7290-4E95-B00B-97E70B994095}"/>
    <cellStyle name="Normal 13" xfId="22" xr:uid="{5089EADD-6FB8-455A-99B7-4CE3F8EA2523}"/>
    <cellStyle name="Normal 14" xfId="23" xr:uid="{6D8E876D-C549-4F8C-BBB2-9044945BA1DE}"/>
    <cellStyle name="Normal 15" xfId="24" xr:uid="{FC8B6F0F-4F04-414B-856A-E9EF52594A17}"/>
    <cellStyle name="Normal 16" xfId="25" xr:uid="{A9472295-1693-4D41-8C43-FD2ACA0018F7}"/>
    <cellStyle name="Normal 17" xfId="26" xr:uid="{AD84AE3E-C9FD-40C7-9E44-467A53F078DC}"/>
    <cellStyle name="Normal 18" xfId="27" xr:uid="{3ECF2013-8279-4761-949D-EDD1A3769A1A}"/>
    <cellStyle name="Normal 19" xfId="28" xr:uid="{2DA431D7-B0FC-4CC3-83FB-38993139A464}"/>
    <cellStyle name="Normal 2" xfId="3" xr:uid="{5582CC97-B3B3-49F0-A32C-77365FA866E7}"/>
    <cellStyle name="Normal 20" xfId="29" xr:uid="{BF15BF13-2BA4-453C-A5D4-7F378D5A7AB0}"/>
    <cellStyle name="Normal 21" xfId="30" xr:uid="{EB16884D-319E-44C4-BACF-AAE219752D74}"/>
    <cellStyle name="Normal 22" xfId="31" xr:uid="{0BC55367-C80F-4644-A253-56F0D6C8449D}"/>
    <cellStyle name="Normal 23" xfId="32" xr:uid="{70D0A6B6-C10D-4B03-BE3E-BCA8F6F565D6}"/>
    <cellStyle name="Normal 24" xfId="33" xr:uid="{5D1C52F0-96A7-41A3-BA9A-F4828B3BA100}"/>
    <cellStyle name="Normal 25" xfId="34" xr:uid="{98DE4CB4-469A-4E2E-95F6-679D1ED1E259}"/>
    <cellStyle name="Normal 3" xfId="15" xr:uid="{41F67738-7CBD-405C-A2E8-93EC8D754E04}"/>
    <cellStyle name="Normal 30 2" xfId="8" xr:uid="{319A01A9-484D-401C-B51C-AFA22C8C147A}"/>
    <cellStyle name="Normal 39" xfId="10" xr:uid="{358DB4F3-2572-40C1-8528-73DD19838977}"/>
    <cellStyle name="Normal 4" xfId="16" xr:uid="{F9DB212B-6BED-4D0E-9812-6AF8B0852E4C}"/>
    <cellStyle name="Normal 5" xfId="17" xr:uid="{2E2DF4F8-9240-4060-8DF2-DBD25985C646}"/>
    <cellStyle name="Normal 58" xfId="14" xr:uid="{5FADB181-8394-4B9F-BF6B-8B2AABC26B0E}"/>
    <cellStyle name="Normal 59" xfId="13" xr:uid="{BC46D8EB-1784-4261-8D55-F234E5AA2CF7}"/>
    <cellStyle name="Normal 6" xfId="18" xr:uid="{FD6A37D1-7F80-4842-A6BE-097A50A4815D}"/>
    <cellStyle name="Normal 7" xfId="19" xr:uid="{D3073D1C-C63F-4665-88AD-8A1CCCB7F8E6}"/>
    <cellStyle name="Normal 8" xfId="20" xr:uid="{994E9518-379D-453B-A8BE-5A00EF9195C3}"/>
    <cellStyle name="Normal 9" xfId="7" xr:uid="{625F25BA-A41A-4C28-BF91-33331014C8BC}"/>
    <cellStyle name="Normal 9 2" xfId="12" xr:uid="{9FC5A332-BEB2-4834-8023-4E42B3DA4A83}"/>
    <cellStyle name="Normal_3 Population." xfId="6" xr:uid="{2C47DE0C-AB61-418E-AD2A-DC7DD7EA2C49}"/>
    <cellStyle name="Normal_II-15(Population) 2" xfId="2" xr:uid="{5D0B2EFE-2D76-4772-A3A8-4ED76F8D707D}"/>
  </cellStyles>
  <dxfs count="0"/>
  <tableStyles count="0" defaultTableStyle="TableStyleMedium2" defaultPivotStyle="PivotStyleLight16"/>
  <colors>
    <mruColors>
      <color rgb="FFF9FFF3"/>
      <color rgb="FF336600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200" b="1" i="0" u="none" strike="noStrike" baseline="0">
                <a:effectLst/>
                <a:latin typeface="+mn-lt"/>
              </a:rPr>
              <a:t>Figure 18.20:  NUMBER OF PERSON SERVICED UNDER HEALTH INSURANCE SCHEMES BY ATOLL, 2024-2025</a:t>
            </a:r>
            <a:endParaRPr lang="en-US" sz="1200">
              <a:latin typeface="+mn-lt"/>
            </a:endParaRPr>
          </a:p>
        </c:rich>
      </c:tx>
      <c:layout>
        <c:manualLayout>
          <c:xMode val="edge"/>
          <c:yMode val="edge"/>
          <c:x val="0.15799246150230245"/>
          <c:y val="7.1315192933534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045954897955141E-2"/>
          <c:y val="0.20294790493901321"/>
          <c:w val="0.90863920347488047"/>
          <c:h val="0.691198594114906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'18.19'!$AN$14</c:f>
              <c:strCache>
                <c:ptCount val="1"/>
                <c:pt idx="0">
                  <c:v>2024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</c:spPr>
          <c:invertIfNegative val="0"/>
          <c:cat>
            <c:strRef>
              <c:f>'18.19'!$AL$15:$AM$35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'18.19'!$AN$15:$AN$35</c:f>
              <c:numCache>
                <c:formatCode>General_)</c:formatCode>
                <c:ptCount val="21"/>
                <c:pt idx="0">
                  <c:v>70117</c:v>
                </c:pt>
                <c:pt idx="1">
                  <c:v>22647</c:v>
                </c:pt>
                <c:pt idx="2">
                  <c:v>27030</c:v>
                </c:pt>
                <c:pt idx="3">
                  <c:v>18098</c:v>
                </c:pt>
                <c:pt idx="4">
                  <c:v>16288</c:v>
                </c:pt>
                <c:pt idx="5">
                  <c:v>23638</c:v>
                </c:pt>
                <c:pt idx="6">
                  <c:v>14685</c:v>
                </c:pt>
                <c:pt idx="7">
                  <c:v>12929</c:v>
                </c:pt>
                <c:pt idx="8" formatCode="General">
                  <c:v>14288</c:v>
                </c:pt>
                <c:pt idx="9" formatCode="General">
                  <c:v>8663</c:v>
                </c:pt>
                <c:pt idx="10" formatCode="General">
                  <c:v>11710</c:v>
                </c:pt>
                <c:pt idx="11" formatCode="General">
                  <c:v>2459</c:v>
                </c:pt>
                <c:pt idx="12" formatCode="General">
                  <c:v>7309</c:v>
                </c:pt>
                <c:pt idx="13" formatCode="General">
                  <c:v>6464</c:v>
                </c:pt>
                <c:pt idx="14" formatCode="General">
                  <c:v>8072</c:v>
                </c:pt>
                <c:pt idx="15" formatCode="General">
                  <c:v>16054</c:v>
                </c:pt>
                <c:pt idx="16" formatCode="General">
                  <c:v>18412</c:v>
                </c:pt>
                <c:pt idx="17" formatCode="General">
                  <c:v>14517</c:v>
                </c:pt>
                <c:pt idx="18" formatCode="General">
                  <c:v>20880</c:v>
                </c:pt>
                <c:pt idx="19" formatCode="General">
                  <c:v>12352</c:v>
                </c:pt>
                <c:pt idx="20" formatCode="General">
                  <c:v>31988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C-483B-AF3B-9982885EFCE5}"/>
            </c:ext>
          </c:extLst>
        </c:ser>
        <c:ser>
          <c:idx val="3"/>
          <c:order val="1"/>
          <c:tx>
            <c:strRef>
              <c:f>'18.19'!$AO$14</c:f>
              <c:strCache>
                <c:ptCount val="1"/>
                <c:pt idx="0">
                  <c:v>2025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'18.19'!$AL$15:$AM$35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'18.19'!$AO$15:$AO$35</c:f>
              <c:numCache>
                <c:formatCode>General_)</c:formatCode>
                <c:ptCount val="21"/>
                <c:pt idx="0">
                  <c:v>71078</c:v>
                </c:pt>
                <c:pt idx="1">
                  <c:v>22803</c:v>
                </c:pt>
                <c:pt idx="2">
                  <c:v>27140</c:v>
                </c:pt>
                <c:pt idx="3">
                  <c:v>18143</c:v>
                </c:pt>
                <c:pt idx="4">
                  <c:v>16345</c:v>
                </c:pt>
                <c:pt idx="5">
                  <c:v>23700</c:v>
                </c:pt>
                <c:pt idx="6">
                  <c:v>14768</c:v>
                </c:pt>
                <c:pt idx="7">
                  <c:v>12911</c:v>
                </c:pt>
                <c:pt idx="8">
                  <c:v>14461</c:v>
                </c:pt>
                <c:pt idx="9">
                  <c:v>8738</c:v>
                </c:pt>
                <c:pt idx="10">
                  <c:v>11864</c:v>
                </c:pt>
                <c:pt idx="11">
                  <c:v>2496</c:v>
                </c:pt>
                <c:pt idx="12">
                  <c:v>7349</c:v>
                </c:pt>
                <c:pt idx="13">
                  <c:v>6514</c:v>
                </c:pt>
                <c:pt idx="14">
                  <c:v>8093</c:v>
                </c:pt>
                <c:pt idx="15">
                  <c:v>16146</c:v>
                </c:pt>
                <c:pt idx="16">
                  <c:v>18461</c:v>
                </c:pt>
                <c:pt idx="17">
                  <c:v>14547</c:v>
                </c:pt>
                <c:pt idx="18">
                  <c:v>20930</c:v>
                </c:pt>
                <c:pt idx="19">
                  <c:v>12460</c:v>
                </c:pt>
                <c:pt idx="20">
                  <c:v>32160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C-483B-AF3B-9982885EF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1219856"/>
        <c:axId val="401221032"/>
      </c:barChart>
      <c:catAx>
        <c:axId val="401219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01221032"/>
        <c:crosses val="autoZero"/>
        <c:auto val="1"/>
        <c:lblAlgn val="ctr"/>
        <c:lblOffset val="100"/>
        <c:noMultiLvlLbl val="0"/>
      </c:catAx>
      <c:valAx>
        <c:axId val="401221032"/>
        <c:scaling>
          <c:orientation val="minMax"/>
          <c:max val="8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40121985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5078845199648314"/>
          <c:y val="0.2994349604779194"/>
          <c:w val="0.16288791490028465"/>
          <c:h val="7.4646309807920044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1273239</xdr:colOff>
      <xdr:row>34</xdr:row>
      <xdr:rowOff>115465</xdr:rowOff>
    </xdr:from>
    <xdr:to>
      <xdr:col>9</xdr:col>
      <xdr:colOff>773169</xdr:colOff>
      <xdr:row>50</xdr:row>
      <xdr:rowOff>210911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2762F-539A-4A62-B765-36E0E39B7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0.00756</cdr:x>
      <cdr:y>0.11247</cdr:y>
    </cdr:from>
    <cdr:to>
      <cdr:x>0.17128</cdr:x>
      <cdr:y>0.17514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49" y="379220"/>
          <a:ext cx="1238251" cy="211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Number of persons</a:t>
          </a: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5894-F1D6-4D68-AEFB-F83D3157C1DD}">
  <dimension ref="A1:JH57"/>
  <sheetViews>
    <sheetView tabSelected="1" zoomScale="98" zoomScaleNormal="98" workbookViewId="0">
      <selection activeCell="O13" sqref="O13"/>
    </sheetView>
  </sheetViews>
  <sheetFormatPr defaultColWidth="9.140625" defaultRowHeight="15" x14ac:dyDescent="0.25"/>
  <cols>
    <col min="1" max="1" width="26.28515625" style="1" customWidth="1"/>
    <col min="2" max="2" width="14.42578125" style="1" customWidth="1"/>
    <col min="3" max="4" width="14.140625" style="1" customWidth="1"/>
    <col min="5" max="5" width="13.42578125" style="1" customWidth="1"/>
    <col min="6" max="6" width="12.7109375" style="1" customWidth="1"/>
    <col min="7" max="7" width="13" style="1" customWidth="1"/>
    <col min="8" max="8" width="19.28515625" style="58" customWidth="1"/>
    <col min="9" max="9" width="18.140625" style="58" customWidth="1"/>
    <col min="10" max="10" width="25.28515625" style="1" customWidth="1"/>
    <col min="11" max="11" width="9.140625" style="1"/>
    <col min="12" max="25" width="32.85546875" style="1" customWidth="1"/>
    <col min="26" max="26" width="35.28515625" style="1" customWidth="1"/>
    <col min="27" max="31" width="9.140625" style="1"/>
    <col min="32" max="36" width="9.140625" style="46"/>
    <col min="37" max="37" width="12.5703125" style="46" customWidth="1"/>
    <col min="38" max="42" width="9.140625" style="46"/>
    <col min="43" max="16384" width="9.140625" style="1"/>
  </cols>
  <sheetData>
    <row r="1" spans="1:42" s="2" customFormat="1" ht="21" x14ac:dyDescent="0.2">
      <c r="A1" s="96" t="s">
        <v>93</v>
      </c>
      <c r="B1" s="96"/>
      <c r="C1" s="96"/>
      <c r="D1" s="96"/>
      <c r="E1" s="96"/>
      <c r="F1" s="96"/>
      <c r="G1" s="96"/>
      <c r="H1" s="96"/>
      <c r="I1" s="96"/>
      <c r="J1" s="96"/>
    </row>
    <row r="2" spans="1:42" s="2" customFormat="1" x14ac:dyDescent="0.2">
      <c r="A2" s="97" t="s">
        <v>92</v>
      </c>
      <c r="B2" s="97"/>
      <c r="C2" s="97"/>
      <c r="D2" s="97"/>
      <c r="E2" s="97"/>
      <c r="F2" s="97"/>
      <c r="G2" s="97"/>
      <c r="H2" s="97"/>
      <c r="I2" s="97"/>
      <c r="J2" s="97"/>
    </row>
    <row r="3" spans="1:42" s="2" customFormat="1" x14ac:dyDescent="0.2">
      <c r="A3" s="3"/>
      <c r="B3" s="3"/>
      <c r="C3" s="3"/>
      <c r="D3" s="3"/>
      <c r="E3" s="3"/>
      <c r="F3" s="3"/>
      <c r="G3" s="3"/>
      <c r="H3" s="3"/>
      <c r="I3" s="3"/>
      <c r="J3" s="3"/>
    </row>
    <row r="4" spans="1:42" s="4" customFormat="1" ht="25.5" customHeight="1" x14ac:dyDescent="0.45">
      <c r="A4" s="98" t="s">
        <v>0</v>
      </c>
      <c r="B4" s="101" t="s">
        <v>1</v>
      </c>
      <c r="C4" s="103" t="s">
        <v>2</v>
      </c>
      <c r="D4" s="104"/>
      <c r="E4" s="107" t="s">
        <v>3</v>
      </c>
      <c r="F4" s="108"/>
      <c r="G4" s="111" t="s">
        <v>4</v>
      </c>
      <c r="H4" s="113" t="s">
        <v>5</v>
      </c>
      <c r="I4" s="113" t="s">
        <v>6</v>
      </c>
      <c r="J4" s="115" t="s">
        <v>7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2" s="4" customFormat="1" ht="31.5" customHeight="1" x14ac:dyDescent="0.45">
      <c r="A5" s="99"/>
      <c r="B5" s="102"/>
      <c r="C5" s="105"/>
      <c r="D5" s="106"/>
      <c r="E5" s="109"/>
      <c r="F5" s="110"/>
      <c r="G5" s="112"/>
      <c r="H5" s="114"/>
      <c r="I5" s="114"/>
      <c r="J5" s="116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s="7" customFormat="1" ht="36" x14ac:dyDescent="0.25">
      <c r="A6" s="99"/>
      <c r="B6" s="6" t="s">
        <v>8</v>
      </c>
      <c r="C6" s="118" t="s">
        <v>9</v>
      </c>
      <c r="D6" s="119"/>
      <c r="E6" s="118" t="s">
        <v>10</v>
      </c>
      <c r="F6" s="119"/>
      <c r="G6" s="120" t="s">
        <v>11</v>
      </c>
      <c r="H6" s="123" t="s">
        <v>12</v>
      </c>
      <c r="I6" s="123" t="s">
        <v>13</v>
      </c>
      <c r="J6" s="116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/>
      <c r="AA6" s="95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s="14" customFormat="1" ht="18" x14ac:dyDescent="0.25">
      <c r="A7" s="99"/>
      <c r="B7" s="11" t="s">
        <v>14</v>
      </c>
      <c r="C7" s="12" t="s">
        <v>15</v>
      </c>
      <c r="D7" s="13" t="s">
        <v>16</v>
      </c>
      <c r="E7" s="12" t="s">
        <v>15</v>
      </c>
      <c r="F7" s="13" t="s">
        <v>17</v>
      </c>
      <c r="G7" s="121"/>
      <c r="H7" s="123"/>
      <c r="I7" s="123"/>
      <c r="J7" s="116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"/>
      <c r="AA7" s="95"/>
    </row>
    <row r="8" spans="1:42" s="19" customFormat="1" ht="18.75" x14ac:dyDescent="0.25">
      <c r="A8" s="100"/>
      <c r="B8" s="15" t="s">
        <v>18</v>
      </c>
      <c r="C8" s="16" t="s">
        <v>19</v>
      </c>
      <c r="D8" s="17" t="s">
        <v>20</v>
      </c>
      <c r="E8" s="16" t="s">
        <v>21</v>
      </c>
      <c r="F8" s="17" t="s">
        <v>20</v>
      </c>
      <c r="G8" s="122"/>
      <c r="H8" s="18"/>
      <c r="I8" s="18"/>
      <c r="J8" s="117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</row>
    <row r="9" spans="1:42" s="31" customFormat="1" ht="18.75" x14ac:dyDescent="0.25">
      <c r="A9" s="21" t="s">
        <v>22</v>
      </c>
      <c r="B9" s="22">
        <f>SUM(B10:B11)</f>
        <v>381107</v>
      </c>
      <c r="C9" s="23">
        <f>SUM(C10:C11)</f>
        <v>2947</v>
      </c>
      <c r="D9" s="24">
        <f t="shared" ref="D9:I9" si="0">SUM(D10:D11)</f>
        <v>5009</v>
      </c>
      <c r="E9" s="25">
        <f t="shared" si="0"/>
        <v>102</v>
      </c>
      <c r="F9" s="26">
        <f t="shared" si="0"/>
        <v>138</v>
      </c>
      <c r="G9" s="27">
        <f t="shared" si="0"/>
        <v>19026</v>
      </c>
      <c r="H9" s="28">
        <f>SUM(H10:H11)</f>
        <v>14989</v>
      </c>
      <c r="I9" s="29">
        <f t="shared" si="0"/>
        <v>713</v>
      </c>
      <c r="J9" s="30" t="s">
        <v>23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</row>
    <row r="10" spans="1:42" s="34" customFormat="1" ht="18.75" x14ac:dyDescent="0.45">
      <c r="A10" s="33" t="s">
        <v>24</v>
      </c>
      <c r="B10" s="90">
        <v>71078</v>
      </c>
      <c r="C10" s="91">
        <v>857</v>
      </c>
      <c r="D10" s="91">
        <v>1363</v>
      </c>
      <c r="E10" s="90">
        <v>15</v>
      </c>
      <c r="F10" s="77">
        <v>18</v>
      </c>
      <c r="G10" s="92">
        <v>4617</v>
      </c>
      <c r="H10" s="91">
        <v>5393</v>
      </c>
      <c r="I10" s="91">
        <v>291</v>
      </c>
      <c r="J10" s="30" t="s">
        <v>25</v>
      </c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</row>
    <row r="11" spans="1:42" s="31" customFormat="1" ht="18.75" x14ac:dyDescent="0.45">
      <c r="A11" s="21" t="s">
        <v>26</v>
      </c>
      <c r="B11" s="36">
        <f>SUM(B12:B31)</f>
        <v>310029</v>
      </c>
      <c r="C11" s="23">
        <f t="shared" ref="C11:I11" si="1">SUM(C12:C31)</f>
        <v>2090</v>
      </c>
      <c r="D11" s="37">
        <f t="shared" si="1"/>
        <v>3646</v>
      </c>
      <c r="E11" s="36">
        <f t="shared" si="1"/>
        <v>87</v>
      </c>
      <c r="F11" s="38">
        <f t="shared" si="1"/>
        <v>120</v>
      </c>
      <c r="G11" s="39">
        <f t="shared" si="1"/>
        <v>14409</v>
      </c>
      <c r="H11" s="28">
        <f t="shared" si="1"/>
        <v>9596</v>
      </c>
      <c r="I11" s="40">
        <f t="shared" si="1"/>
        <v>422</v>
      </c>
      <c r="J11" s="30" t="s">
        <v>27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5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</row>
    <row r="12" spans="1:42" s="31" customFormat="1" ht="15.75" x14ac:dyDescent="0.25">
      <c r="A12" s="42" t="s">
        <v>28</v>
      </c>
      <c r="B12" s="85">
        <v>22803</v>
      </c>
      <c r="C12" s="78">
        <v>111</v>
      </c>
      <c r="D12" s="78">
        <v>176</v>
      </c>
      <c r="E12" s="93">
        <v>3</v>
      </c>
      <c r="F12" s="93">
        <v>3</v>
      </c>
      <c r="G12" s="79">
        <v>1364</v>
      </c>
      <c r="H12" s="78">
        <v>707</v>
      </c>
      <c r="I12" s="94">
        <v>39</v>
      </c>
      <c r="J12" s="43" t="s">
        <v>29</v>
      </c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</row>
    <row r="13" spans="1:42" s="31" customFormat="1" ht="15.75" x14ac:dyDescent="0.25">
      <c r="A13" s="42" t="s">
        <v>30</v>
      </c>
      <c r="B13" s="85">
        <v>27140</v>
      </c>
      <c r="C13" s="78">
        <v>229</v>
      </c>
      <c r="D13" s="78">
        <v>404</v>
      </c>
      <c r="E13" s="93">
        <v>8</v>
      </c>
      <c r="F13" s="93">
        <v>12</v>
      </c>
      <c r="G13" s="79">
        <v>997</v>
      </c>
      <c r="H13" s="78">
        <v>997</v>
      </c>
      <c r="I13" s="94">
        <v>58</v>
      </c>
      <c r="J13" s="43" t="s">
        <v>31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</row>
    <row r="14" spans="1:42" s="31" customFormat="1" ht="15.75" x14ac:dyDescent="0.25">
      <c r="A14" s="42" t="s">
        <v>32</v>
      </c>
      <c r="B14" s="85">
        <v>18143</v>
      </c>
      <c r="C14" s="78">
        <v>121</v>
      </c>
      <c r="D14" s="78">
        <v>201</v>
      </c>
      <c r="E14" s="93">
        <v>3</v>
      </c>
      <c r="F14" s="93">
        <v>4</v>
      </c>
      <c r="G14" s="79">
        <v>709</v>
      </c>
      <c r="H14" s="78">
        <v>618</v>
      </c>
      <c r="I14" s="94">
        <v>9</v>
      </c>
      <c r="J14" s="43" t="s">
        <v>33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F14" s="32"/>
      <c r="AG14" s="32"/>
      <c r="AH14" s="32"/>
      <c r="AI14" s="32"/>
      <c r="AJ14" s="32"/>
      <c r="AK14" s="32"/>
      <c r="AL14" s="32"/>
      <c r="AM14" s="14"/>
      <c r="AN14" s="14">
        <v>2024</v>
      </c>
      <c r="AO14" s="32">
        <v>2025</v>
      </c>
    </row>
    <row r="15" spans="1:42" s="31" customFormat="1" ht="15.75" x14ac:dyDescent="0.25">
      <c r="A15" s="42" t="s">
        <v>34</v>
      </c>
      <c r="B15" s="85">
        <v>16345</v>
      </c>
      <c r="C15" s="78">
        <v>116</v>
      </c>
      <c r="D15" s="78">
        <v>200</v>
      </c>
      <c r="E15" s="93">
        <v>3</v>
      </c>
      <c r="F15" s="93">
        <v>4</v>
      </c>
      <c r="G15" s="79">
        <v>624</v>
      </c>
      <c r="H15" s="78">
        <v>358</v>
      </c>
      <c r="I15" s="94">
        <v>5</v>
      </c>
      <c r="J15" s="43" t="s">
        <v>35</v>
      </c>
      <c r="Z15" s="41"/>
      <c r="AF15" s="32"/>
      <c r="AG15" s="32"/>
      <c r="AH15" s="32"/>
      <c r="AI15" s="32"/>
      <c r="AJ15" s="32"/>
      <c r="AK15" s="32"/>
      <c r="AL15" s="32"/>
      <c r="AM15" s="44" t="s">
        <v>24</v>
      </c>
      <c r="AN15" s="19">
        <v>70117</v>
      </c>
      <c r="AO15" s="32">
        <f>B10</f>
        <v>71078</v>
      </c>
      <c r="AP15" s="32"/>
    </row>
    <row r="16" spans="1:42" s="31" customFormat="1" ht="15.75" x14ac:dyDescent="0.25">
      <c r="A16" s="42" t="s">
        <v>36</v>
      </c>
      <c r="B16" s="85">
        <v>23700</v>
      </c>
      <c r="C16" s="78">
        <v>158</v>
      </c>
      <c r="D16" s="78">
        <v>269</v>
      </c>
      <c r="E16" s="93">
        <v>2</v>
      </c>
      <c r="F16" s="93">
        <v>4</v>
      </c>
      <c r="G16" s="79">
        <v>889</v>
      </c>
      <c r="H16" s="78">
        <v>592</v>
      </c>
      <c r="I16" s="94">
        <v>10</v>
      </c>
      <c r="J16" s="43" t="s">
        <v>37</v>
      </c>
      <c r="Z16" s="41"/>
      <c r="AF16" s="32"/>
      <c r="AG16" s="32"/>
      <c r="AH16" s="32"/>
      <c r="AI16" s="32"/>
      <c r="AJ16" s="32"/>
      <c r="AK16" s="32"/>
      <c r="AL16" s="32"/>
      <c r="AM16" s="45" t="s">
        <v>38</v>
      </c>
      <c r="AN16" s="31">
        <v>22647</v>
      </c>
      <c r="AO16" s="32">
        <f>B12</f>
        <v>22803</v>
      </c>
      <c r="AP16" s="32"/>
    </row>
    <row r="17" spans="1:268" s="31" customFormat="1" ht="15.75" x14ac:dyDescent="0.25">
      <c r="A17" s="42" t="s">
        <v>39</v>
      </c>
      <c r="B17" s="85">
        <v>14768</v>
      </c>
      <c r="C17" s="78">
        <v>56</v>
      </c>
      <c r="D17" s="78">
        <v>103</v>
      </c>
      <c r="E17" s="93">
        <v>0</v>
      </c>
      <c r="F17" s="93">
        <v>0</v>
      </c>
      <c r="G17" s="79">
        <v>731</v>
      </c>
      <c r="H17" s="78">
        <v>323</v>
      </c>
      <c r="I17" s="94">
        <v>14</v>
      </c>
      <c r="J17" s="43" t="s">
        <v>40</v>
      </c>
      <c r="Z17" s="41"/>
      <c r="AF17" s="32"/>
      <c r="AG17" s="32"/>
      <c r="AH17" s="32"/>
      <c r="AI17" s="32"/>
      <c r="AJ17" s="32"/>
      <c r="AK17" s="32"/>
      <c r="AL17" s="32"/>
      <c r="AM17" s="45" t="s">
        <v>41</v>
      </c>
      <c r="AN17" s="34">
        <v>27030</v>
      </c>
      <c r="AO17" s="32">
        <f t="shared" ref="AO17:AO32" si="2">B13</f>
        <v>27140</v>
      </c>
      <c r="AP17" s="32"/>
    </row>
    <row r="18" spans="1:268" s="31" customFormat="1" ht="18.75" customHeight="1" x14ac:dyDescent="0.25">
      <c r="A18" s="42" t="s">
        <v>42</v>
      </c>
      <c r="B18" s="85">
        <v>12911</v>
      </c>
      <c r="C18" s="78">
        <v>114</v>
      </c>
      <c r="D18" s="78">
        <v>189</v>
      </c>
      <c r="E18" s="93">
        <v>11</v>
      </c>
      <c r="F18" s="93">
        <v>16</v>
      </c>
      <c r="G18" s="79">
        <v>656</v>
      </c>
      <c r="H18" s="78">
        <v>475</v>
      </c>
      <c r="I18" s="94">
        <v>16</v>
      </c>
      <c r="J18" s="43" t="s">
        <v>43</v>
      </c>
      <c r="AF18" s="32"/>
      <c r="AG18" s="32"/>
      <c r="AH18" s="32"/>
      <c r="AI18" s="32"/>
      <c r="AJ18" s="32"/>
      <c r="AK18" s="32"/>
      <c r="AL18" s="32"/>
      <c r="AM18" s="45" t="s">
        <v>44</v>
      </c>
      <c r="AN18" s="31">
        <v>18098</v>
      </c>
      <c r="AO18" s="32">
        <f t="shared" si="2"/>
        <v>18143</v>
      </c>
      <c r="AP18" s="32"/>
    </row>
    <row r="19" spans="1:268" s="31" customFormat="1" ht="18.75" customHeight="1" x14ac:dyDescent="0.25">
      <c r="A19" s="42" t="s">
        <v>45</v>
      </c>
      <c r="B19" s="85">
        <v>14461</v>
      </c>
      <c r="C19" s="78">
        <v>80</v>
      </c>
      <c r="D19" s="78">
        <v>155</v>
      </c>
      <c r="E19" s="93">
        <v>2</v>
      </c>
      <c r="F19" s="93">
        <v>3</v>
      </c>
      <c r="G19" s="79">
        <v>682</v>
      </c>
      <c r="H19" s="78">
        <v>418</v>
      </c>
      <c r="I19" s="94">
        <v>5</v>
      </c>
      <c r="J19" s="43" t="s">
        <v>46</v>
      </c>
      <c r="AF19" s="32"/>
      <c r="AG19" s="32"/>
      <c r="AH19" s="32"/>
      <c r="AI19" s="32"/>
      <c r="AJ19" s="32"/>
      <c r="AK19" s="32"/>
      <c r="AL19" s="32"/>
      <c r="AM19" s="45" t="s">
        <v>47</v>
      </c>
      <c r="AN19" s="31">
        <v>16288</v>
      </c>
      <c r="AO19" s="32">
        <f t="shared" si="2"/>
        <v>16345</v>
      </c>
      <c r="AP19" s="32"/>
    </row>
    <row r="20" spans="1:268" s="31" customFormat="1" ht="18.75" customHeight="1" x14ac:dyDescent="0.25">
      <c r="A20" s="42" t="s">
        <v>48</v>
      </c>
      <c r="B20" s="85">
        <v>8738</v>
      </c>
      <c r="C20" s="78">
        <v>49</v>
      </c>
      <c r="D20" s="78">
        <v>88</v>
      </c>
      <c r="E20" s="93">
        <v>0</v>
      </c>
      <c r="F20" s="93">
        <v>0</v>
      </c>
      <c r="G20" s="79">
        <v>476</v>
      </c>
      <c r="H20" s="78">
        <v>263</v>
      </c>
      <c r="I20" s="94">
        <v>26</v>
      </c>
      <c r="J20" s="43" t="s">
        <v>49</v>
      </c>
      <c r="AF20" s="32"/>
      <c r="AG20" s="32"/>
      <c r="AH20" s="32"/>
      <c r="AI20" s="32"/>
      <c r="AJ20" s="32"/>
      <c r="AK20" s="32"/>
      <c r="AL20" s="46"/>
      <c r="AM20" s="45" t="s">
        <v>50</v>
      </c>
      <c r="AN20" s="31">
        <v>23638</v>
      </c>
      <c r="AO20" s="32">
        <f t="shared" si="2"/>
        <v>23700</v>
      </c>
      <c r="AP20" s="32"/>
    </row>
    <row r="21" spans="1:268" s="31" customFormat="1" ht="15.75" x14ac:dyDescent="0.25">
      <c r="A21" s="42" t="s">
        <v>51</v>
      </c>
      <c r="B21" s="85">
        <v>11864</v>
      </c>
      <c r="C21" s="78">
        <v>71</v>
      </c>
      <c r="D21" s="78">
        <v>133</v>
      </c>
      <c r="E21" s="93">
        <v>0</v>
      </c>
      <c r="F21" s="93">
        <v>0</v>
      </c>
      <c r="G21" s="79">
        <v>558</v>
      </c>
      <c r="H21" s="78">
        <v>346</v>
      </c>
      <c r="I21" s="94">
        <v>0</v>
      </c>
      <c r="J21" s="43" t="s">
        <v>52</v>
      </c>
      <c r="AF21" s="32"/>
      <c r="AG21" s="32"/>
      <c r="AH21" s="32"/>
      <c r="AI21" s="32"/>
      <c r="AJ21" s="32"/>
      <c r="AK21" s="32"/>
      <c r="AL21" s="46"/>
      <c r="AM21" s="45" t="s">
        <v>53</v>
      </c>
      <c r="AN21" s="31">
        <v>14685</v>
      </c>
      <c r="AO21" s="32">
        <f t="shared" si="2"/>
        <v>14768</v>
      </c>
      <c r="AP21" s="32"/>
    </row>
    <row r="22" spans="1:268" s="31" customFormat="1" ht="18.75" customHeight="1" x14ac:dyDescent="0.25">
      <c r="A22" s="42" t="s">
        <v>54</v>
      </c>
      <c r="B22" s="85">
        <v>2496</v>
      </c>
      <c r="C22" s="78">
        <v>14</v>
      </c>
      <c r="D22" s="78">
        <v>25</v>
      </c>
      <c r="E22" s="93">
        <v>0</v>
      </c>
      <c r="F22" s="93">
        <v>0</v>
      </c>
      <c r="G22" s="79">
        <v>116</v>
      </c>
      <c r="H22" s="78">
        <v>45</v>
      </c>
      <c r="I22" s="94">
        <v>0</v>
      </c>
      <c r="J22" s="43" t="s">
        <v>55</v>
      </c>
      <c r="AF22" s="32"/>
      <c r="AG22" s="32"/>
      <c r="AH22" s="32"/>
      <c r="AI22" s="32"/>
      <c r="AJ22" s="32"/>
      <c r="AK22" s="32"/>
      <c r="AL22" s="44"/>
      <c r="AM22" s="45" t="s">
        <v>56</v>
      </c>
      <c r="AN22" s="31">
        <v>12929</v>
      </c>
      <c r="AO22" s="32">
        <f t="shared" si="2"/>
        <v>12911</v>
      </c>
      <c r="AP22" s="32"/>
    </row>
    <row r="23" spans="1:268" s="31" customFormat="1" ht="13.15" customHeight="1" x14ac:dyDescent="0.25">
      <c r="A23" s="42" t="s">
        <v>57</v>
      </c>
      <c r="B23" s="85">
        <v>7349</v>
      </c>
      <c r="C23" s="78">
        <v>38</v>
      </c>
      <c r="D23" s="78">
        <v>56</v>
      </c>
      <c r="E23" s="93">
        <v>0</v>
      </c>
      <c r="F23" s="93">
        <v>0</v>
      </c>
      <c r="G23" s="79">
        <v>286</v>
      </c>
      <c r="H23" s="78">
        <v>141</v>
      </c>
      <c r="I23" s="94">
        <v>5</v>
      </c>
      <c r="J23" s="43" t="s">
        <v>58</v>
      </c>
      <c r="AF23" s="32"/>
      <c r="AG23" s="32"/>
      <c r="AH23" s="32"/>
      <c r="AI23" s="32"/>
      <c r="AJ23" s="32"/>
      <c r="AK23" s="32"/>
      <c r="AL23" s="45"/>
      <c r="AM23" s="31" t="s">
        <v>59</v>
      </c>
      <c r="AN23" s="1">
        <v>14288</v>
      </c>
      <c r="AO23" s="32">
        <f t="shared" si="2"/>
        <v>14461</v>
      </c>
      <c r="AP23" s="32"/>
    </row>
    <row r="24" spans="1:268" s="31" customFormat="1" ht="18.75" customHeight="1" x14ac:dyDescent="0.25">
      <c r="A24" s="42" t="s">
        <v>60</v>
      </c>
      <c r="B24" s="85">
        <v>6514</v>
      </c>
      <c r="C24" s="78">
        <v>28</v>
      </c>
      <c r="D24" s="78">
        <v>50</v>
      </c>
      <c r="E24" s="93">
        <v>2</v>
      </c>
      <c r="F24" s="93">
        <v>4</v>
      </c>
      <c r="G24" s="79">
        <v>325</v>
      </c>
      <c r="H24" s="78">
        <v>186</v>
      </c>
      <c r="I24" s="94">
        <v>7</v>
      </c>
      <c r="J24" s="43" t="s">
        <v>61</v>
      </c>
      <c r="AF24" s="32"/>
      <c r="AG24" s="32"/>
      <c r="AH24" s="32"/>
      <c r="AI24" s="32"/>
      <c r="AJ24" s="32"/>
      <c r="AK24" s="32"/>
      <c r="AL24" s="45"/>
      <c r="AM24" s="31" t="s">
        <v>62</v>
      </c>
      <c r="AN24" s="1">
        <v>8663</v>
      </c>
      <c r="AO24" s="32">
        <f t="shared" si="2"/>
        <v>8738</v>
      </c>
      <c r="AP24" s="32"/>
    </row>
    <row r="25" spans="1:268" s="31" customFormat="1" ht="18.75" customHeight="1" x14ac:dyDescent="0.25">
      <c r="A25" s="42" t="s">
        <v>63</v>
      </c>
      <c r="B25" s="85">
        <v>8093</v>
      </c>
      <c r="C25" s="78">
        <v>34</v>
      </c>
      <c r="D25" s="78">
        <v>63</v>
      </c>
      <c r="E25" s="93">
        <v>0</v>
      </c>
      <c r="F25" s="93">
        <v>0</v>
      </c>
      <c r="G25" s="79">
        <v>383</v>
      </c>
      <c r="H25" s="78">
        <v>188</v>
      </c>
      <c r="I25" s="94">
        <v>7</v>
      </c>
      <c r="J25" s="43" t="s">
        <v>64</v>
      </c>
      <c r="AF25" s="32"/>
      <c r="AG25" s="32"/>
      <c r="AH25" s="32"/>
      <c r="AI25" s="32"/>
      <c r="AJ25" s="32"/>
      <c r="AK25" s="32"/>
      <c r="AL25" s="45"/>
      <c r="AM25" s="31" t="s">
        <v>65</v>
      </c>
      <c r="AN25" s="1">
        <v>11710</v>
      </c>
      <c r="AO25" s="32">
        <f t="shared" si="2"/>
        <v>11864</v>
      </c>
      <c r="AP25" s="32"/>
    </row>
    <row r="26" spans="1:268" s="31" customFormat="1" ht="18.75" customHeight="1" x14ac:dyDescent="0.25">
      <c r="A26" s="42" t="s">
        <v>66</v>
      </c>
      <c r="B26" s="85">
        <v>16146</v>
      </c>
      <c r="C26" s="78">
        <v>112</v>
      </c>
      <c r="D26" s="78">
        <v>196</v>
      </c>
      <c r="E26" s="93">
        <v>3</v>
      </c>
      <c r="F26" s="93">
        <v>4</v>
      </c>
      <c r="G26" s="79">
        <v>756</v>
      </c>
      <c r="H26" s="78">
        <v>383</v>
      </c>
      <c r="I26" s="94">
        <v>17</v>
      </c>
      <c r="J26" s="43" t="s">
        <v>67</v>
      </c>
      <c r="AF26" s="32"/>
      <c r="AG26" s="32"/>
      <c r="AH26" s="32"/>
      <c r="AI26" s="32"/>
      <c r="AJ26" s="32"/>
      <c r="AK26" s="32"/>
      <c r="AL26" s="45"/>
      <c r="AM26" s="31" t="s">
        <v>68</v>
      </c>
      <c r="AN26" s="1">
        <v>2459</v>
      </c>
      <c r="AO26" s="32">
        <f t="shared" si="2"/>
        <v>2496</v>
      </c>
      <c r="AP26" s="32"/>
    </row>
    <row r="27" spans="1:268" s="32" customFormat="1" ht="18.75" customHeight="1" x14ac:dyDescent="0.25">
      <c r="A27" s="42" t="s">
        <v>69</v>
      </c>
      <c r="B27" s="85">
        <v>18461</v>
      </c>
      <c r="C27" s="78">
        <v>172</v>
      </c>
      <c r="D27" s="78">
        <v>299</v>
      </c>
      <c r="E27" s="80">
        <v>6</v>
      </c>
      <c r="F27" s="93">
        <v>8</v>
      </c>
      <c r="G27" s="79">
        <v>771</v>
      </c>
      <c r="H27" s="78">
        <v>531</v>
      </c>
      <c r="I27" s="78">
        <v>12</v>
      </c>
      <c r="J27" s="43" t="s">
        <v>70</v>
      </c>
      <c r="AL27" s="45"/>
      <c r="AM27" s="32" t="s">
        <v>71</v>
      </c>
      <c r="AN27" s="1">
        <v>7309</v>
      </c>
      <c r="AO27" s="32">
        <f t="shared" si="2"/>
        <v>7349</v>
      </c>
    </row>
    <row r="28" spans="1:268" s="47" customFormat="1" ht="18.75" customHeight="1" x14ac:dyDescent="0.25">
      <c r="A28" s="42" t="s">
        <v>72</v>
      </c>
      <c r="B28" s="85">
        <v>14547</v>
      </c>
      <c r="C28" s="78">
        <v>86</v>
      </c>
      <c r="D28" s="78">
        <v>159</v>
      </c>
      <c r="E28" s="80">
        <v>7</v>
      </c>
      <c r="F28" s="93">
        <v>11</v>
      </c>
      <c r="G28" s="79">
        <v>883</v>
      </c>
      <c r="H28" s="78">
        <v>560</v>
      </c>
      <c r="I28" s="78">
        <v>113</v>
      </c>
      <c r="J28" s="43" t="s">
        <v>73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  <c r="AG28" s="32"/>
      <c r="AH28" s="32"/>
      <c r="AI28" s="32"/>
      <c r="AJ28" s="32"/>
      <c r="AK28" s="32"/>
      <c r="AL28" s="45"/>
      <c r="AM28" s="47" t="s">
        <v>74</v>
      </c>
      <c r="AN28" s="1">
        <v>6464</v>
      </c>
      <c r="AO28" s="32">
        <f t="shared" si="2"/>
        <v>6514</v>
      </c>
      <c r="AP28" s="32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</row>
    <row r="29" spans="1:268" s="48" customFormat="1" ht="18.75" customHeight="1" x14ac:dyDescent="0.25">
      <c r="A29" s="42" t="s">
        <v>75</v>
      </c>
      <c r="B29" s="85">
        <v>20930</v>
      </c>
      <c r="C29" s="78">
        <v>168</v>
      </c>
      <c r="D29" s="78">
        <v>295</v>
      </c>
      <c r="E29" s="80">
        <v>10</v>
      </c>
      <c r="F29" s="93">
        <v>16</v>
      </c>
      <c r="G29" s="79">
        <v>1041</v>
      </c>
      <c r="H29" s="78">
        <v>708</v>
      </c>
      <c r="I29" s="78">
        <v>25</v>
      </c>
      <c r="J29" s="43" t="s">
        <v>76</v>
      </c>
      <c r="AL29" s="45"/>
      <c r="AM29" s="48" t="s">
        <v>77</v>
      </c>
      <c r="AN29" s="46">
        <v>8072</v>
      </c>
      <c r="AO29" s="32">
        <f t="shared" si="2"/>
        <v>8093</v>
      </c>
    </row>
    <row r="30" spans="1:268" s="47" customFormat="1" ht="18.75" customHeight="1" x14ac:dyDescent="0.25">
      <c r="A30" s="42" t="s">
        <v>78</v>
      </c>
      <c r="B30" s="85">
        <v>12460</v>
      </c>
      <c r="C30" s="78">
        <v>115</v>
      </c>
      <c r="D30" s="78">
        <v>199</v>
      </c>
      <c r="E30" s="80">
        <v>13</v>
      </c>
      <c r="F30" s="93">
        <v>14</v>
      </c>
      <c r="G30" s="79">
        <v>478</v>
      </c>
      <c r="H30" s="78">
        <v>560</v>
      </c>
      <c r="I30" s="78">
        <v>29</v>
      </c>
      <c r="J30" s="43" t="s">
        <v>79</v>
      </c>
      <c r="AF30" s="48"/>
      <c r="AG30" s="48"/>
      <c r="AH30" s="48"/>
      <c r="AI30" s="48"/>
      <c r="AJ30" s="48"/>
      <c r="AK30" s="48"/>
      <c r="AL30" s="45"/>
      <c r="AM30" s="45" t="s">
        <v>80</v>
      </c>
      <c r="AN30" s="46">
        <v>16054</v>
      </c>
      <c r="AO30" s="32">
        <f t="shared" si="2"/>
        <v>16146</v>
      </c>
      <c r="AP30" s="48"/>
    </row>
    <row r="31" spans="1:268" s="47" customFormat="1" ht="18.75" customHeight="1" x14ac:dyDescent="0.25">
      <c r="A31" s="49" t="s">
        <v>81</v>
      </c>
      <c r="B31" s="81">
        <v>32160</v>
      </c>
      <c r="C31" s="82">
        <v>218</v>
      </c>
      <c r="D31" s="82">
        <v>386</v>
      </c>
      <c r="E31" s="83">
        <v>14</v>
      </c>
      <c r="F31" s="83">
        <v>17</v>
      </c>
      <c r="G31" s="84">
        <v>1684</v>
      </c>
      <c r="H31" s="82">
        <v>1197</v>
      </c>
      <c r="I31" s="82">
        <v>25</v>
      </c>
      <c r="J31" s="50" t="s">
        <v>82</v>
      </c>
      <c r="AF31" s="48"/>
      <c r="AG31" s="48"/>
      <c r="AH31" s="48"/>
      <c r="AI31" s="48"/>
      <c r="AJ31" s="48"/>
      <c r="AK31" s="48"/>
      <c r="AL31" s="45"/>
      <c r="AM31" s="45" t="s">
        <v>83</v>
      </c>
      <c r="AN31" s="46">
        <v>18412</v>
      </c>
      <c r="AO31" s="32">
        <f t="shared" si="2"/>
        <v>18461</v>
      </c>
      <c r="AP31" s="48"/>
    </row>
    <row r="32" spans="1:268" s="52" customFormat="1" ht="17.25" customHeight="1" x14ac:dyDescent="0.25">
      <c r="A32" s="51" t="s">
        <v>84</v>
      </c>
      <c r="H32" s="53"/>
      <c r="I32" s="53"/>
      <c r="J32" s="56" t="s">
        <v>88</v>
      </c>
      <c r="AF32" s="54"/>
      <c r="AG32" s="54"/>
      <c r="AH32" s="54"/>
      <c r="AI32" s="54"/>
      <c r="AJ32" s="54"/>
      <c r="AK32" s="54"/>
      <c r="AL32" s="45"/>
      <c r="AM32" s="45" t="s">
        <v>85</v>
      </c>
      <c r="AN32" s="46">
        <v>14517</v>
      </c>
      <c r="AO32" s="32">
        <f t="shared" si="2"/>
        <v>14547</v>
      </c>
      <c r="AP32" s="54"/>
    </row>
    <row r="33" spans="1:42" s="52" customFormat="1" ht="17.25" customHeight="1" x14ac:dyDescent="0.25">
      <c r="A33" s="55" t="s">
        <v>94</v>
      </c>
      <c r="B33" s="55"/>
      <c r="C33" s="55"/>
      <c r="D33" s="55"/>
      <c r="E33" s="55"/>
      <c r="F33" s="55"/>
      <c r="G33" s="55"/>
      <c r="H33" s="55"/>
      <c r="I33" s="53"/>
      <c r="AF33" s="54"/>
      <c r="AG33" s="54"/>
      <c r="AH33" s="54"/>
      <c r="AI33" s="54"/>
      <c r="AJ33" s="54"/>
      <c r="AK33" s="54"/>
      <c r="AL33" s="45"/>
      <c r="AM33" s="57" t="s">
        <v>89</v>
      </c>
      <c r="AN33" s="46">
        <v>20880</v>
      </c>
      <c r="AO33" s="32">
        <f>B29</f>
        <v>20930</v>
      </c>
      <c r="AP33" s="54"/>
    </row>
    <row r="34" spans="1:42" s="52" customFormat="1" ht="17.25" customHeight="1" x14ac:dyDescent="0.25">
      <c r="A34" s="55" t="s">
        <v>86</v>
      </c>
      <c r="B34" s="55"/>
      <c r="C34" s="55"/>
      <c r="D34" s="55"/>
      <c r="E34" s="55"/>
      <c r="F34" s="55"/>
      <c r="G34" s="55"/>
      <c r="H34" s="55"/>
      <c r="I34" s="53"/>
      <c r="AF34" s="54"/>
      <c r="AG34" s="54"/>
      <c r="AH34" s="54"/>
      <c r="AI34" s="54"/>
      <c r="AJ34" s="54"/>
      <c r="AK34" s="54"/>
      <c r="AL34" s="45"/>
      <c r="AM34" s="57" t="s">
        <v>90</v>
      </c>
      <c r="AN34" s="46">
        <v>12352</v>
      </c>
      <c r="AO34" s="32">
        <f>B30</f>
        <v>12460</v>
      </c>
      <c r="AP34" s="54"/>
    </row>
    <row r="35" spans="1:42" s="52" customFormat="1" ht="17.25" customHeight="1" x14ac:dyDescent="0.25">
      <c r="H35" s="53"/>
      <c r="I35" s="53"/>
      <c r="AF35" s="54"/>
      <c r="AG35" s="54"/>
      <c r="AH35" s="54"/>
      <c r="AI35" s="54"/>
      <c r="AJ35" s="54"/>
      <c r="AK35" s="54"/>
      <c r="AL35" s="45"/>
      <c r="AM35" s="57" t="s">
        <v>91</v>
      </c>
      <c r="AN35" s="46">
        <v>31988</v>
      </c>
      <c r="AO35" s="32">
        <f>B31</f>
        <v>32160</v>
      </c>
      <c r="AP35" s="54"/>
    </row>
    <row r="36" spans="1:42" s="52" customFormat="1" ht="17.25" customHeight="1" x14ac:dyDescent="0.25">
      <c r="A36" s="51"/>
      <c r="H36" s="53"/>
      <c r="I36" s="53"/>
      <c r="AF36" s="54"/>
      <c r="AG36" s="54"/>
      <c r="AH36" s="54"/>
      <c r="AI36" s="54"/>
      <c r="AJ36" s="54"/>
      <c r="AK36" s="54"/>
      <c r="AL36" s="45"/>
      <c r="AM36" s="45"/>
      <c r="AN36" s="46"/>
      <c r="AO36" s="32"/>
      <c r="AP36" s="54"/>
    </row>
    <row r="37" spans="1:42" s="52" customFormat="1" ht="12.75" x14ac:dyDescent="0.2">
      <c r="F37" s="52" t="s">
        <v>87</v>
      </c>
      <c r="H37" s="53"/>
      <c r="I37" s="53"/>
      <c r="AF37" s="54"/>
      <c r="AG37" s="54"/>
      <c r="AH37" s="54"/>
      <c r="AI37" s="54"/>
      <c r="AJ37" s="54"/>
      <c r="AK37" s="54"/>
      <c r="AL37" s="45"/>
      <c r="AP37" s="54"/>
    </row>
    <row r="38" spans="1:42" x14ac:dyDescent="0.25">
      <c r="AL38" s="45"/>
      <c r="AM38" s="1"/>
      <c r="AN38" s="1"/>
      <c r="AO38" s="1"/>
    </row>
    <row r="39" spans="1:42" x14ac:dyDescent="0.25">
      <c r="A39" s="46"/>
      <c r="B39" s="46"/>
      <c r="C39" s="46"/>
      <c r="D39" s="46"/>
      <c r="E39" s="46"/>
      <c r="F39" s="46"/>
      <c r="G39" s="46"/>
      <c r="H39" s="59"/>
      <c r="I39" s="59"/>
      <c r="J39" s="46"/>
      <c r="AL39" s="45"/>
      <c r="AM39" s="1"/>
      <c r="AN39" s="1"/>
      <c r="AO39" s="1"/>
    </row>
    <row r="40" spans="1:42" ht="17.25" x14ac:dyDescent="0.25">
      <c r="A40" s="55"/>
      <c r="B40" s="46"/>
      <c r="C40" s="46"/>
      <c r="D40" s="46"/>
      <c r="E40" s="46"/>
      <c r="F40" s="46"/>
      <c r="G40" s="46"/>
      <c r="H40" s="59"/>
      <c r="I40" s="59"/>
      <c r="J40" s="56"/>
      <c r="AL40" s="45"/>
      <c r="AM40" s="60"/>
    </row>
    <row r="41" spans="1:42" s="61" customFormat="1" ht="21" x14ac:dyDescent="0.2">
      <c r="A41" s="96"/>
      <c r="B41" s="96"/>
      <c r="C41" s="96"/>
      <c r="D41" s="96"/>
      <c r="E41" s="96"/>
      <c r="F41" s="96"/>
      <c r="G41" s="96"/>
      <c r="H41" s="96"/>
      <c r="I41" s="96"/>
      <c r="J41" s="96"/>
    </row>
    <row r="42" spans="1:42" s="61" customFormat="1" x14ac:dyDescent="0.2">
      <c r="A42" s="97"/>
      <c r="B42" s="97"/>
      <c r="C42" s="97"/>
      <c r="D42" s="97"/>
      <c r="E42" s="97"/>
      <c r="F42" s="97"/>
      <c r="G42" s="97"/>
      <c r="H42" s="97"/>
      <c r="I42" s="97"/>
      <c r="J42" s="97"/>
    </row>
    <row r="43" spans="1:42" s="2" customForma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AI43" s="61"/>
      <c r="AJ43" s="61"/>
      <c r="AK43" s="61"/>
      <c r="AL43" s="61"/>
      <c r="AM43" s="61"/>
      <c r="AN43" s="61"/>
      <c r="AO43" s="61"/>
    </row>
    <row r="44" spans="1:42" s="4" customFormat="1" ht="18" x14ac:dyDescent="0.45">
      <c r="A44" s="99"/>
      <c r="B44" s="125"/>
      <c r="C44" s="125"/>
      <c r="D44" s="125"/>
      <c r="E44" s="126"/>
      <c r="F44" s="126"/>
      <c r="G44" s="127"/>
      <c r="H44" s="128"/>
      <c r="I44" s="62"/>
      <c r="J44" s="129"/>
      <c r="AF44" s="5"/>
      <c r="AG44" s="5"/>
      <c r="AH44" s="5"/>
      <c r="AI44" s="46"/>
      <c r="AJ44" s="63"/>
      <c r="AK44" s="32"/>
      <c r="AL44" s="63"/>
      <c r="AM44" s="32"/>
      <c r="AN44" s="63"/>
      <c r="AO44" s="32"/>
      <c r="AP44" s="5"/>
    </row>
    <row r="45" spans="1:42" s="4" customFormat="1" ht="18" x14ac:dyDescent="0.45">
      <c r="A45" s="99"/>
      <c r="B45" s="125"/>
      <c r="C45" s="125"/>
      <c r="D45" s="125"/>
      <c r="E45" s="126"/>
      <c r="F45" s="126"/>
      <c r="G45" s="127"/>
      <c r="H45" s="128"/>
      <c r="I45" s="62"/>
      <c r="J45" s="129"/>
      <c r="AF45" s="5"/>
      <c r="AG45" s="5"/>
      <c r="AH45" s="5"/>
      <c r="AI45" s="44"/>
      <c r="AJ45" s="64"/>
      <c r="AK45" s="32"/>
      <c r="AL45" s="32"/>
      <c r="AM45" s="32"/>
      <c r="AN45" s="5"/>
      <c r="AO45" s="65"/>
      <c r="AP45" s="5"/>
    </row>
    <row r="46" spans="1:42" s="7" customFormat="1" x14ac:dyDescent="0.25">
      <c r="A46" s="99"/>
      <c r="B46" s="9"/>
      <c r="C46" s="95"/>
      <c r="D46" s="95"/>
      <c r="E46" s="95"/>
      <c r="F46" s="95"/>
      <c r="G46" s="124"/>
      <c r="H46" s="95"/>
      <c r="I46" s="9"/>
      <c r="J46" s="129"/>
      <c r="AF46" s="10"/>
      <c r="AG46" s="10"/>
      <c r="AH46" s="10"/>
      <c r="AI46" s="45"/>
      <c r="AJ46" s="66"/>
      <c r="AK46" s="67"/>
      <c r="AL46" s="32"/>
      <c r="AM46" s="32"/>
      <c r="AN46" s="10"/>
      <c r="AO46" s="68"/>
      <c r="AP46" s="10"/>
    </row>
    <row r="47" spans="1:42" s="14" customFormat="1" x14ac:dyDescent="0.25">
      <c r="A47" s="99"/>
      <c r="B47" s="69"/>
      <c r="C47" s="69"/>
      <c r="D47" s="69"/>
      <c r="E47" s="69"/>
      <c r="F47" s="69"/>
      <c r="G47" s="124"/>
      <c r="H47" s="95"/>
      <c r="I47" s="9"/>
      <c r="J47" s="129"/>
      <c r="AM47" s="32"/>
      <c r="AO47" s="68"/>
    </row>
    <row r="48" spans="1:42" s="19" customFormat="1" ht="18.75" x14ac:dyDescent="0.25">
      <c r="A48" s="99"/>
      <c r="B48" s="70"/>
      <c r="C48" s="70"/>
      <c r="D48" s="70"/>
      <c r="E48" s="70"/>
      <c r="F48" s="70"/>
      <c r="G48" s="35"/>
      <c r="H48" s="71"/>
      <c r="I48" s="71"/>
      <c r="J48" s="129"/>
      <c r="AF48" s="20"/>
      <c r="AG48" s="20"/>
      <c r="AH48" s="20"/>
      <c r="AM48" s="32"/>
      <c r="AN48" s="20"/>
      <c r="AO48" s="68"/>
      <c r="AP48" s="20"/>
    </row>
    <row r="49" spans="1:42" s="31" customFormat="1" ht="18.75" x14ac:dyDescent="0.25">
      <c r="A49" s="21"/>
      <c r="B49" s="67"/>
      <c r="C49" s="26"/>
      <c r="D49" s="26"/>
      <c r="E49" s="26"/>
      <c r="F49" s="26"/>
      <c r="G49" s="26"/>
      <c r="H49" s="72"/>
      <c r="I49" s="72"/>
      <c r="J49" s="30"/>
      <c r="AF49" s="32"/>
      <c r="AG49" s="32"/>
      <c r="AH49" s="32"/>
      <c r="AM49" s="32"/>
      <c r="AN49" s="32"/>
      <c r="AO49" s="68"/>
      <c r="AP49" s="32"/>
    </row>
    <row r="50" spans="1:42" s="34" customFormat="1" ht="18.75" x14ac:dyDescent="0.25">
      <c r="A50" s="33"/>
      <c r="B50" s="67"/>
      <c r="C50" s="39"/>
      <c r="D50" s="39"/>
      <c r="E50" s="39"/>
      <c r="F50" s="39"/>
      <c r="G50" s="39"/>
      <c r="H50" s="72"/>
      <c r="I50" s="72"/>
      <c r="J50" s="30"/>
      <c r="AF50" s="35"/>
      <c r="AG50" s="35"/>
      <c r="AH50" s="35"/>
      <c r="AM50" s="32"/>
      <c r="AN50" s="35"/>
      <c r="AO50" s="68"/>
      <c r="AP50" s="35"/>
    </row>
    <row r="51" spans="1:42" s="31" customFormat="1" ht="18.75" x14ac:dyDescent="0.25">
      <c r="A51" s="21"/>
      <c r="B51" s="26"/>
      <c r="C51" s="26"/>
      <c r="D51" s="26"/>
      <c r="E51" s="26"/>
      <c r="F51" s="26"/>
      <c r="G51" s="39"/>
      <c r="H51" s="72"/>
      <c r="I51" s="72"/>
      <c r="J51" s="30"/>
      <c r="AF51" s="32"/>
      <c r="AG51" s="32"/>
      <c r="AH51" s="32"/>
      <c r="AM51" s="32"/>
      <c r="AN51" s="32"/>
      <c r="AO51" s="68"/>
      <c r="AP51" s="32"/>
    </row>
    <row r="52" spans="1:42" s="31" customFormat="1" ht="15.75" x14ac:dyDescent="0.25">
      <c r="A52" s="45"/>
      <c r="B52" s="60"/>
      <c r="C52" s="73"/>
      <c r="D52" s="73"/>
      <c r="E52" s="73"/>
      <c r="F52" s="73"/>
      <c r="G52" s="74"/>
      <c r="H52" s="75"/>
      <c r="I52" s="75"/>
      <c r="J52" s="76"/>
      <c r="AF52" s="32"/>
      <c r="AG52" s="32"/>
      <c r="AH52" s="32"/>
      <c r="AM52" s="32"/>
      <c r="AN52" s="32"/>
      <c r="AO52" s="68"/>
      <c r="AP52" s="32"/>
    </row>
    <row r="53" spans="1:42" s="31" customFormat="1" ht="15.75" x14ac:dyDescent="0.25">
      <c r="A53" s="45"/>
      <c r="B53" s="60"/>
      <c r="C53" s="74"/>
      <c r="D53" s="74"/>
      <c r="E53" s="74"/>
      <c r="F53" s="74"/>
      <c r="G53" s="74"/>
      <c r="H53" s="75"/>
      <c r="I53" s="75"/>
      <c r="J53" s="76"/>
      <c r="AF53" s="32"/>
      <c r="AG53" s="32"/>
      <c r="AH53" s="32"/>
      <c r="AM53" s="32"/>
      <c r="AN53" s="32"/>
      <c r="AO53" s="68"/>
      <c r="AP53" s="32"/>
    </row>
    <row r="54" spans="1:42" s="31" customFormat="1" ht="15.75" x14ac:dyDescent="0.25">
      <c r="A54" s="45"/>
      <c r="B54" s="60"/>
      <c r="C54" s="74"/>
      <c r="D54" s="74"/>
      <c r="E54" s="74"/>
      <c r="F54" s="74"/>
      <c r="G54" s="74"/>
      <c r="H54" s="75"/>
      <c r="I54" s="75"/>
      <c r="J54" s="76"/>
      <c r="AF54" s="32"/>
      <c r="AG54" s="32"/>
      <c r="AH54" s="32"/>
      <c r="AM54" s="32"/>
      <c r="AN54" s="32"/>
      <c r="AO54" s="68"/>
      <c r="AP54" s="32"/>
    </row>
    <row r="55" spans="1:42" s="31" customFormat="1" ht="15.75" x14ac:dyDescent="0.25">
      <c r="A55" s="45"/>
      <c r="B55" s="60"/>
      <c r="C55" s="74"/>
      <c r="D55" s="74"/>
      <c r="E55" s="74"/>
      <c r="F55" s="74"/>
      <c r="G55" s="74"/>
      <c r="H55" s="75"/>
      <c r="I55" s="75"/>
      <c r="J55" s="76"/>
      <c r="AF55" s="32"/>
      <c r="AG55" s="32"/>
      <c r="AH55" s="32"/>
      <c r="AM55" s="32"/>
      <c r="AN55" s="32"/>
      <c r="AO55" s="68"/>
      <c r="AP55" s="32"/>
    </row>
    <row r="56" spans="1:42" x14ac:dyDescent="0.25">
      <c r="AI56" s="1"/>
      <c r="AJ56" s="1"/>
      <c r="AK56" s="1"/>
      <c r="AO56" s="68"/>
    </row>
    <row r="57" spans="1:42" x14ac:dyDescent="0.25">
      <c r="AI57" s="1"/>
      <c r="AJ57" s="1"/>
      <c r="AK57" s="1"/>
      <c r="AO57" s="68"/>
    </row>
  </sheetData>
  <mergeCells count="29">
    <mergeCell ref="E46:F46"/>
    <mergeCell ref="G46:G47"/>
    <mergeCell ref="H46:H47"/>
    <mergeCell ref="A41:J41"/>
    <mergeCell ref="A42:J42"/>
    <mergeCell ref="A44:A48"/>
    <mergeCell ref="B44:B45"/>
    <mergeCell ref="C44:D45"/>
    <mergeCell ref="E44:F45"/>
    <mergeCell ref="G44:G45"/>
    <mergeCell ref="H44:H45"/>
    <mergeCell ref="J44:J48"/>
    <mergeCell ref="C46:D46"/>
    <mergeCell ref="AA6:AA7"/>
    <mergeCell ref="A1:J1"/>
    <mergeCell ref="A2:J2"/>
    <mergeCell ref="A4:A8"/>
    <mergeCell ref="B4:B5"/>
    <mergeCell ref="C4:D5"/>
    <mergeCell ref="E4:F5"/>
    <mergeCell ref="G4:G5"/>
    <mergeCell ref="H4:H5"/>
    <mergeCell ref="I4:I5"/>
    <mergeCell ref="J4:J8"/>
    <mergeCell ref="C6:D6"/>
    <mergeCell ref="E6:F6"/>
    <mergeCell ref="G6:G8"/>
    <mergeCell ref="H6:H7"/>
    <mergeCell ref="I6:I7"/>
  </mergeCells>
  <pageMargins left="0.7" right="0.7" top="0.75" bottom="0.75" header="0.3" footer="0.3"/>
  <pageSetup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18.19</vt:lpstr>
      <vt:lpstr>'18.19'!Print_Area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2026-07-27T20:19:08Z</cp:lastPrinted>
  <dcterms:created xsi:type="dcterms:W3CDTF">2025-05-19T08:29:05Z</dcterms:created>
  <dcterms:modified xsi:type="dcterms:W3CDTF">2026-07-27T20:19:37Z</dcterms:modified>
</cp:coreProperties>
</file>