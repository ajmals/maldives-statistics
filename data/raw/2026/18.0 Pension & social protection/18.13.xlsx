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72E98DBA-1800-4919-A0AE-1E102818BDD6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13" sheetId="13" r:id="rId1"/>
  </sheets>
  <definedNames>
    <definedName name="_xlnm.Print_Area" localSheetId="0">'18.13'!$A$1:$K$50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3" l="1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F6" i="13"/>
  <c r="E6" i="13"/>
  <c r="D6" i="13"/>
  <c r="C6" i="13"/>
  <c r="B6" i="13"/>
  <c r="G6" i="13" l="1"/>
  <c r="I24" i="13" s="1"/>
  <c r="I25" i="13"/>
  <c r="I31" i="13" l="1"/>
  <c r="I19" i="13"/>
  <c r="I20" i="13"/>
  <c r="I18" i="13"/>
  <c r="I14" i="13"/>
  <c r="I29" i="13"/>
  <c r="I16" i="13"/>
  <c r="I28" i="13"/>
  <c r="I23" i="13"/>
  <c r="I15" i="13"/>
  <c r="I11" i="13"/>
  <c r="I21" i="13"/>
  <c r="I27" i="13"/>
  <c r="I26" i="13"/>
  <c r="I17" i="13"/>
  <c r="I32" i="13"/>
  <c r="I9" i="13"/>
  <c r="I7" i="13"/>
  <c r="I13" i="13"/>
  <c r="I12" i="13"/>
  <c r="I22" i="13"/>
  <c r="I8" i="13"/>
  <c r="I30" i="13"/>
  <c r="I10" i="13"/>
  <c r="I6" i="13" l="1"/>
</calcChain>
</file>

<file path=xl/sharedStrings.xml><?xml version="1.0" encoding="utf-8"?>
<sst xmlns="http://schemas.openxmlformats.org/spreadsheetml/2006/main" count="68" uniqueCount="67">
  <si>
    <t>% share</t>
  </si>
  <si>
    <t>ޖުމްލަ</t>
  </si>
  <si>
    <t>Total</t>
  </si>
  <si>
    <t>މަޢުލޫމާތު ދެއްވި ފަރާތް: މޯލްޑިވްސް ޕެންޝަން އެޑްމިނިސްޓްރޭޝަން</t>
  </si>
  <si>
    <t>Source: Maldives Pension Administration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</si>
  <si>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</si>
  <si>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</si>
  <si>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</si>
  <si>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</si>
  <si>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</si>
  <si>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</si>
  <si>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</si>
  <si>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</si>
  <si>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</si>
  <si>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</si>
  <si>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</si>
  <si>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</si>
  <si>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</si>
  <si>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</si>
  <si>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</si>
  <si>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</si>
  <si>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</si>
  <si>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</si>
  <si>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</si>
  <si>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</si>
  <si>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</si>
  <si>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</si>
  <si>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</si>
  <si>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</si>
  <si>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</si>
  <si>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</si>
  <si>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</si>
  <si>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</si>
  <si>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</si>
  <si>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</si>
  <si>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</si>
  <si>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އެހެނިހެން</t>
  </si>
  <si>
    <t>Passenger Ferries</t>
  </si>
  <si>
    <t>ފެރީގެ ޙިދުމަތް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</si>
  <si>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</si>
  <si>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</si>
  <si>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</si>
  <si>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</si>
  <si>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</si>
  <si>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</si>
  <si>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</si>
  <si>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</si>
  <si>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</si>
  <si>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</si>
  <si>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</si>
  <si>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</si>
  <si>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</si>
  <si>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</si>
  <si>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</si>
  <si>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</si>
  <si>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</si>
  <si>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</si>
  <si>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</si>
  <si>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</si>
  <si>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</si>
  <si>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</si>
  <si>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</si>
  <si>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</si>
  <si>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</si>
  <si>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 xml:space="preserve">Housing Development </t>
  </si>
  <si>
    <t>TABLE   18.13:   ESTABLISHMENTS REGISTERED IN THE RETIREMENT PENSION SCHEME, BY EMPLOYMENT SIZE, END 2025</t>
  </si>
  <si>
    <t>ތާވަލު  18.13 : އެކި ދާއިރާތަކުން ރިޓާޔަމަންޓް ޕެންޝަން ސްކީމްގައި ރެޖިސްޓްރީކޮށްފައިވާ ތަންތަނުގެ ޢަދަދު، ތަނުގެމުވައްޒަފުންގެ ގިންތިން ،2025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</si>
</sst>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32">
    <xf numFmtId="0" fontId="0" fillId="0" borderId="0"/>
    <xf numFmtId="164" fontId="10" fillId="0" borderId="16"/>
    <xf numFmtId="43" fontId="3" fillId="0" borderId="16" applyFont="0" applyFill="0" applyBorder="0" applyAlignment="0" applyProtection="0"/>
    <xf numFmtId="43" fontId="3" fillId="0" borderId="16" applyFont="0" applyFill="0" applyBorder="0" applyAlignment="0" applyProtection="0"/>
    <xf numFmtId="0" fontId="9" fillId="0" borderId="16"/>
    <xf numFmtId="0" fontId="3" fillId="0" borderId="16"/>
    <xf numFmtId="0" fontId="3" fillId="0" borderId="16"/>
    <xf numFmtId="0" fontId="3" fillId="0" borderId="16"/>
    <xf numFmtId="0" fontId="9" fillId="0" borderId="16"/>
    <xf numFmtId="0" fontId="9" fillId="0" borderId="16"/>
    <xf numFmtId="0" fontId="3" fillId="0" borderId="16"/>
    <xf numFmtId="0" fontId="3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  <xf numFmtId="0" fontId="11" fillId="0" borderId="16"/>
  </cellStyleXfs>
  <cellXfs count="46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1" fillId="2" borderId="4" xfId="0" applyFont="1" applyFill="1" applyBorder="1"/>
    <xf numFmtId="0" fontId="5" fillId="2" borderId="4" xfId="0" applyFont="1" applyFill="1" applyBorder="1"/>
    <xf numFmtId="0" fontId="5" fillId="2" borderId="11" xfId="0" applyFont="1" applyFill="1" applyBorder="1"/>
    <xf numFmtId="43" fontId="3" fillId="2" borderId="4" xfId="0" applyNumberFormat="1" applyFont="1" applyFill="1" applyBorder="1"/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3" fillId="2" borderId="11" xfId="0" applyFont="1" applyFill="1" applyBorder="1" applyAlignment="1">
      <alignment horizontal="left" vertical="center"/>
    </xf>
    <xf numFmtId="3" fontId="3" fillId="2" borderId="11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49" fontId="4" fillId="2" borderId="11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14" xfId="0" applyNumberFormat="1" applyFont="1" applyFill="1" applyBorder="1" applyAlignment="1">
      <alignment horizontal="center" vertical="center"/>
    </xf>
    <xf numFmtId="165" fontId="3" fillId="2" borderId="1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165" fontId="3" fillId="2" borderId="12" xfId="0" applyNumberFormat="1" applyFont="1" applyFill="1" applyBorder="1" applyAlignment="1">
      <alignment horizontal="center" vertical="center"/>
    </xf>
    <xf numFmtId="0" fontId="6" fillId="2" borderId="6" xfId="0" applyFont="1" applyFill="1" applyBorder="1"/>
    <xf numFmtId="49" fontId="3" fillId="2" borderId="4" xfId="0" applyNumberFormat="1" applyFont="1" applyFill="1" applyBorder="1"/>
    <xf numFmtId="0" fontId="0" fillId="3" borderId="0" xfId="0" applyFill="1"/>
    <xf numFmtId="3" fontId="12" fillId="4" borderId="16" xfId="26" applyNumberFormat="1" applyFont="1" applyFill="1" applyAlignment="1">
      <alignment horizontal="right"/>
    </xf>
    <xf numFmtId="3" fontId="12" fillId="4" borderId="17" xfId="26" applyNumberFormat="1" applyFont="1" applyFill="1" applyBorder="1" applyAlignment="1">
      <alignment horizontal="right"/>
    </xf>
    <xf numFmtId="3" fontId="12" fillId="4" borderId="16" xfId="26" applyNumberFormat="1" applyFont="1" applyFill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16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3" borderId="18" xfId="0" applyFont="1" applyFill="1" applyBorder="1"/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422093376809921"/>
          <c:y val="0.21508640965333878"/>
          <c:w val="0.87112923800636777"/>
          <c:h val="0.6900504482394246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366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1357</c:v>
                </c:pt>
                <c:pt idx="1">
                  <c:v>553</c:v>
                </c:pt>
                <c:pt idx="2">
                  <c:v>158</c:v>
                </c:pt>
                <c:pt idx="3">
                  <c:v>164</c:v>
                </c:pt>
                <c:pt idx="4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C1-4635-86B0-43289E256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2371255"/>
        <c:axId val="2047441289"/>
      </c:barChart>
      <c:catAx>
        <c:axId val="1982371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7441289"/>
        <c:crosses val="autoZero"/>
        <c:auto val="1"/>
        <c:lblAlgn val="ctr"/>
        <c:lblOffset val="100"/>
        <c:noMultiLvlLbl val="1"/>
      </c:catAx>
      <c:valAx>
        <c:axId val="204744128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In Numbers</a:t>
                </a:r>
              </a:p>
            </c:rich>
          </c:tx>
          <c:layout>
            <c:manualLayout>
              <c:xMode val="edge"/>
              <c:yMode val="edge"/>
              <c:x val="9.2778482583152477E-3"/>
              <c:y val="0.40158502914408417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2371255"/>
        <c:crosses val="autoZero"/>
        <c:crossBetween val="between"/>
      </c:valAx>
      <c:spPr>
        <a:solidFill>
          <a:srgbClr val="F9FFF3"/>
        </a:solidFill>
        <a:ln>
          <a:solidFill>
            <a:schemeClr val="bg2">
              <a:lumMod val="8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1285875</xdr:colOff>
      <xdr:row>33</xdr:row>
      <xdr:rowOff>47625</xdr:rowOff>
    </xdr:from>
    <xdr:ext cx="7153275" cy="2933700"/>
    <xdr:graphicFrame macro="">
      <xdr:nvGraphicFramePr>
        <xdr:cNvPr id="189455869" name="Chart 14">
          <a:extLst>
            <a:ext uri="{FF2B5EF4-FFF2-40B4-BE49-F238E27FC236}">
              <a16:creationId xmlns:a16="http://schemas.microsoft.com/office/drawing/2014/main" id="{00000000-0008-0000-0C00-0000FDDD4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2333625</xdr:colOff>
      <xdr:row>34</xdr:row>
      <xdr:rowOff>47625</xdr:rowOff>
    </xdr:from>
    <xdr:ext cx="58483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2426588" y="3527588"/>
          <a:ext cx="5838825" cy="504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18.13: Establishments registered in the retirement pension scheme, by employment size, 2025 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D50"/>
  <sheetViews>
    <sheetView tabSelected="1" zoomScaleNormal="100" workbookViewId="0">
      <selection activeCell="J7" sqref="J7"/>
    </sheetView>
  </sheetViews>
  <sheetFormatPr defaultColWidth="14.42578125" defaultRowHeight="15" customHeight="1" x14ac:dyDescent="0.25"/>
  <cols>
    <col min="1" max="1" width="37.28515625" style="29" customWidth="1"/>
    <col min="2" max="2" width="8" style="29" customWidth="1"/>
    <col min="3" max="3" width="8.5703125" style="29" customWidth="1"/>
    <col min="4" max="4" width="10.140625" style="29" customWidth="1"/>
    <col min="5" max="5" width="9.7109375" style="29" customWidth="1"/>
    <col min="6" max="7" width="8.85546875" style="29" customWidth="1"/>
    <col min="8" max="8" width="2.42578125" style="29" customWidth="1"/>
    <col min="9" max="9" width="10.140625" style="29" customWidth="1"/>
    <col min="10" max="10" width="38.42578125" style="29" customWidth="1"/>
    <col min="11" max="11" width="4.140625" style="29" customWidth="1"/>
    <col min="12" max="25" width="8" style="29" customWidth="1"/>
    <col min="26" max="26" width="40.28515625" style="29" customWidth="1"/>
    <col min="27" max="30" width="8" style="29" customWidth="1"/>
    <col min="31" max="16384" width="14.42578125" style="29"/>
  </cols>
  <sheetData>
    <row r="1" spans="1:30" ht="17.25" customHeight="1" x14ac:dyDescent="0.25">
      <c r="A1" s="42" t="s">
        <v>66</v>
      </c>
      <c r="B1" s="36"/>
      <c r="C1" s="36"/>
      <c r="D1" s="36"/>
      <c r="E1" s="36"/>
      <c r="F1" s="36"/>
      <c r="G1" s="36"/>
      <c r="H1" s="36"/>
      <c r="I1" s="36"/>
      <c r="J1" s="3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7.25" customHeight="1" x14ac:dyDescent="0.25">
      <c r="A2" s="43" t="s">
        <v>65</v>
      </c>
      <c r="B2" s="36"/>
      <c r="C2" s="36"/>
      <c r="D2" s="36"/>
      <c r="E2" s="36"/>
      <c r="F2" s="36"/>
      <c r="G2" s="36"/>
      <c r="H2" s="36"/>
      <c r="I2" s="36"/>
      <c r="J2" s="3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3.5" customHeight="1" x14ac:dyDescent="0.25">
      <c r="A4" s="39" t="s">
        <v>5</v>
      </c>
      <c r="B4" s="33" t="s">
        <v>57</v>
      </c>
      <c r="C4" s="34"/>
      <c r="D4" s="34"/>
      <c r="E4" s="34"/>
      <c r="F4" s="34"/>
      <c r="G4" s="34"/>
      <c r="H4" s="35"/>
      <c r="I4" s="44" t="s">
        <v>0</v>
      </c>
      <c r="J4" s="41" t="s">
        <v>58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A5" s="37"/>
      <c r="B5" s="21" t="s">
        <v>59</v>
      </c>
      <c r="C5" s="21" t="s">
        <v>60</v>
      </c>
      <c r="D5" s="21" t="s">
        <v>61</v>
      </c>
      <c r="E5" s="21" t="s">
        <v>62</v>
      </c>
      <c r="F5" s="21" t="s">
        <v>63</v>
      </c>
      <c r="G5" s="21" t="s">
        <v>2</v>
      </c>
      <c r="H5" s="21"/>
      <c r="I5" s="45"/>
      <c r="J5" s="4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1" customHeight="1" x14ac:dyDescent="0.55000000000000004">
      <c r="A6" s="22" t="s">
        <v>2</v>
      </c>
      <c r="B6" s="17">
        <f t="shared" ref="B6:G6" si="0">SUM(B7:B32)</f>
        <v>1357</v>
      </c>
      <c r="C6" s="17">
        <f t="shared" si="0"/>
        <v>553</v>
      </c>
      <c r="D6" s="17">
        <f t="shared" si="0"/>
        <v>158</v>
      </c>
      <c r="E6" s="17">
        <f t="shared" si="0"/>
        <v>164</v>
      </c>
      <c r="F6" s="17">
        <f t="shared" si="0"/>
        <v>46</v>
      </c>
      <c r="G6" s="17">
        <f t="shared" si="0"/>
        <v>2278</v>
      </c>
      <c r="H6" s="17"/>
      <c r="I6" s="23">
        <f>SUM(I7:I32)</f>
        <v>100</v>
      </c>
      <c r="J6" s="5" t="s"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1" customHeight="1" x14ac:dyDescent="0.55000000000000004">
      <c r="A7" s="9" t="s">
        <v>6</v>
      </c>
      <c r="B7" s="30">
        <v>9</v>
      </c>
      <c r="C7" s="30">
        <v>3</v>
      </c>
      <c r="D7" s="30">
        <v>1</v>
      </c>
      <c r="E7" s="30">
        <v>2</v>
      </c>
      <c r="F7" s="30">
        <v>0</v>
      </c>
      <c r="G7" s="10">
        <f t="shared" ref="G7:G32" si="1">SUM(B7:F7)</f>
        <v>15</v>
      </c>
      <c r="H7" s="10"/>
      <c r="I7" s="24">
        <f t="shared" ref="I7:I32" si="2">G7/$G$6*100</f>
        <v>0.65847234416154521</v>
      </c>
      <c r="J7" s="6" t="s">
        <v>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1" customHeight="1" x14ac:dyDescent="0.55000000000000004">
      <c r="A8" s="9" t="s">
        <v>8</v>
      </c>
      <c r="B8" s="30">
        <v>7</v>
      </c>
      <c r="C8" s="30">
        <v>3</v>
      </c>
      <c r="D8" s="30">
        <v>2</v>
      </c>
      <c r="E8" s="30">
        <v>3</v>
      </c>
      <c r="F8" s="30">
        <v>4</v>
      </c>
      <c r="G8" s="10">
        <f t="shared" si="1"/>
        <v>19</v>
      </c>
      <c r="H8" s="10"/>
      <c r="I8" s="24">
        <f t="shared" si="2"/>
        <v>0.8340649692712907</v>
      </c>
      <c r="J8" s="6" t="s">
        <v>9</v>
      </c>
      <c r="K8" s="1"/>
      <c r="L8" s="1"/>
      <c r="M8" s="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1" customHeight="1" x14ac:dyDescent="0.55000000000000004">
      <c r="A9" s="9" t="s">
        <v>10</v>
      </c>
      <c r="B9" s="30">
        <v>2</v>
      </c>
      <c r="C9" s="30">
        <v>0</v>
      </c>
      <c r="D9" s="30">
        <v>0</v>
      </c>
      <c r="E9" s="30">
        <v>0</v>
      </c>
      <c r="F9" s="30">
        <v>0</v>
      </c>
      <c r="G9" s="10">
        <f t="shared" si="1"/>
        <v>2</v>
      </c>
      <c r="H9" s="10"/>
      <c r="I9" s="24">
        <f t="shared" si="2"/>
        <v>8.7796312554872691E-2</v>
      </c>
      <c r="J9" s="6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1" customHeight="1" x14ac:dyDescent="0.55000000000000004">
      <c r="A10" s="9" t="s">
        <v>12</v>
      </c>
      <c r="B10" s="30">
        <v>9</v>
      </c>
      <c r="C10" s="30">
        <v>2</v>
      </c>
      <c r="D10" s="30">
        <v>0</v>
      </c>
      <c r="E10" s="30">
        <v>0</v>
      </c>
      <c r="F10" s="30">
        <v>0</v>
      </c>
      <c r="G10" s="10">
        <f t="shared" si="1"/>
        <v>11</v>
      </c>
      <c r="H10" s="10"/>
      <c r="I10" s="24">
        <f t="shared" si="2"/>
        <v>0.48287971905179983</v>
      </c>
      <c r="J10" s="6" t="s">
        <v>13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" customHeight="1" x14ac:dyDescent="0.55000000000000004">
      <c r="A11" s="9" t="s">
        <v>14</v>
      </c>
      <c r="B11" s="30">
        <v>94</v>
      </c>
      <c r="C11" s="30">
        <v>20</v>
      </c>
      <c r="D11" s="30">
        <v>4</v>
      </c>
      <c r="E11" s="30">
        <v>4</v>
      </c>
      <c r="F11" s="30">
        <v>0</v>
      </c>
      <c r="G11" s="10">
        <f t="shared" si="1"/>
        <v>122</v>
      </c>
      <c r="H11" s="10"/>
      <c r="I11" s="24">
        <f t="shared" si="2"/>
        <v>5.3555750658472343</v>
      </c>
      <c r="J11" s="6" t="s">
        <v>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1" customHeight="1" x14ac:dyDescent="0.55000000000000004">
      <c r="A12" s="9" t="s">
        <v>16</v>
      </c>
      <c r="B12" s="30">
        <v>11</v>
      </c>
      <c r="C12" s="30">
        <v>1</v>
      </c>
      <c r="D12" s="30">
        <v>1</v>
      </c>
      <c r="E12" s="30">
        <v>0</v>
      </c>
      <c r="F12" s="30">
        <v>0</v>
      </c>
      <c r="G12" s="10">
        <f t="shared" si="1"/>
        <v>13</v>
      </c>
      <c r="H12" s="10"/>
      <c r="I12" s="24">
        <f t="shared" si="2"/>
        <v>0.57067603160667246</v>
      </c>
      <c r="J12" s="6" t="s">
        <v>17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44.25" customHeight="1" x14ac:dyDescent="0.25">
      <c r="A13" s="25" t="s">
        <v>18</v>
      </c>
      <c r="B13" s="32">
        <v>31</v>
      </c>
      <c r="C13" s="32">
        <v>27</v>
      </c>
      <c r="D13" s="32">
        <v>2</v>
      </c>
      <c r="E13" s="32">
        <v>3</v>
      </c>
      <c r="F13" s="32">
        <v>4</v>
      </c>
      <c r="G13" s="10">
        <f t="shared" si="1"/>
        <v>67</v>
      </c>
      <c r="H13" s="19"/>
      <c r="I13" s="24">
        <f t="shared" si="2"/>
        <v>2.9411764705882351</v>
      </c>
      <c r="J13" s="18" t="s">
        <v>19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21" customHeight="1" x14ac:dyDescent="0.55000000000000004">
      <c r="A14" s="9" t="s">
        <v>20</v>
      </c>
      <c r="B14" s="30">
        <v>14</v>
      </c>
      <c r="C14" s="30">
        <v>1</v>
      </c>
      <c r="D14" s="30">
        <v>0</v>
      </c>
      <c r="E14" s="30">
        <v>1</v>
      </c>
      <c r="F14" s="30">
        <v>1</v>
      </c>
      <c r="G14" s="10">
        <f t="shared" si="1"/>
        <v>17</v>
      </c>
      <c r="H14" s="10"/>
      <c r="I14" s="24">
        <f t="shared" si="2"/>
        <v>0.74626865671641784</v>
      </c>
      <c r="J14" s="6" t="s">
        <v>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" customHeight="1" x14ac:dyDescent="0.55000000000000004">
      <c r="A15" s="9" t="s">
        <v>22</v>
      </c>
      <c r="B15" s="30">
        <v>8</v>
      </c>
      <c r="C15" s="30">
        <v>6</v>
      </c>
      <c r="D15" s="30">
        <v>1</v>
      </c>
      <c r="E15" s="30">
        <v>0</v>
      </c>
      <c r="F15" s="30">
        <v>0</v>
      </c>
      <c r="G15" s="10">
        <f t="shared" si="1"/>
        <v>15</v>
      </c>
      <c r="H15" s="10"/>
      <c r="I15" s="24">
        <f t="shared" si="2"/>
        <v>0.65847234416154521</v>
      </c>
      <c r="J15" s="6" t="s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1" customHeight="1" x14ac:dyDescent="0.55000000000000004">
      <c r="A16" s="9" t="s">
        <v>24</v>
      </c>
      <c r="B16" s="30">
        <v>43</v>
      </c>
      <c r="C16" s="30">
        <v>174</v>
      </c>
      <c r="D16" s="30">
        <v>57</v>
      </c>
      <c r="E16" s="30">
        <v>53</v>
      </c>
      <c r="F16" s="30">
        <v>19</v>
      </c>
      <c r="G16" s="10">
        <f t="shared" si="1"/>
        <v>346</v>
      </c>
      <c r="H16" s="10"/>
      <c r="I16" s="24">
        <f t="shared" si="2"/>
        <v>15.188762071992976</v>
      </c>
      <c r="J16" s="6" t="s">
        <v>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1" customHeight="1" x14ac:dyDescent="0.55000000000000004">
      <c r="A17" s="9" t="s">
        <v>26</v>
      </c>
      <c r="B17" s="30">
        <v>22</v>
      </c>
      <c r="C17" s="30">
        <v>18</v>
      </c>
      <c r="D17" s="30">
        <v>3</v>
      </c>
      <c r="E17" s="30">
        <v>1</v>
      </c>
      <c r="F17" s="30">
        <v>1</v>
      </c>
      <c r="G17" s="10">
        <f t="shared" si="1"/>
        <v>45</v>
      </c>
      <c r="H17" s="10"/>
      <c r="I17" s="24">
        <f t="shared" si="2"/>
        <v>1.9754170324846356</v>
      </c>
      <c r="J17" s="6" t="s">
        <v>27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1" customHeight="1" x14ac:dyDescent="0.55000000000000004">
      <c r="A18" s="9" t="s">
        <v>28</v>
      </c>
      <c r="B18" s="30">
        <v>166</v>
      </c>
      <c r="C18" s="30">
        <v>62</v>
      </c>
      <c r="D18" s="30">
        <v>53</v>
      </c>
      <c r="E18" s="30">
        <v>64</v>
      </c>
      <c r="F18" s="30">
        <v>8</v>
      </c>
      <c r="G18" s="10">
        <f t="shared" si="1"/>
        <v>353</v>
      </c>
      <c r="H18" s="10"/>
      <c r="I18" s="24">
        <f t="shared" si="2"/>
        <v>15.49604916593503</v>
      </c>
      <c r="J18" s="6" t="s">
        <v>29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1" customHeight="1" x14ac:dyDescent="0.55000000000000004">
      <c r="A19" s="9" t="s">
        <v>64</v>
      </c>
      <c r="B19" s="30">
        <v>5</v>
      </c>
      <c r="C19" s="30">
        <v>0</v>
      </c>
      <c r="D19" s="30">
        <v>1</v>
      </c>
      <c r="E19" s="30">
        <v>0</v>
      </c>
      <c r="F19" s="30">
        <v>0</v>
      </c>
      <c r="G19" s="10">
        <f t="shared" si="1"/>
        <v>6</v>
      </c>
      <c r="H19" s="10"/>
      <c r="I19" s="24">
        <f t="shared" si="2"/>
        <v>0.26338893766461807</v>
      </c>
      <c r="J19" s="6" t="s">
        <v>30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1" customHeight="1" x14ac:dyDescent="0.55000000000000004">
      <c r="A20" s="9" t="s">
        <v>31</v>
      </c>
      <c r="B20" s="30">
        <v>3</v>
      </c>
      <c r="C20" s="30">
        <v>0</v>
      </c>
      <c r="D20" s="30">
        <v>0</v>
      </c>
      <c r="E20" s="30">
        <v>0</v>
      </c>
      <c r="F20" s="30">
        <v>1</v>
      </c>
      <c r="G20" s="10">
        <f t="shared" si="1"/>
        <v>4</v>
      </c>
      <c r="H20" s="10"/>
      <c r="I20" s="24">
        <f t="shared" si="2"/>
        <v>0.17559262510974538</v>
      </c>
      <c r="J20" s="6" t="s">
        <v>32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1" customHeight="1" x14ac:dyDescent="0.55000000000000004">
      <c r="A21" s="9" t="s">
        <v>33</v>
      </c>
      <c r="B21" s="30">
        <v>1</v>
      </c>
      <c r="C21" s="30">
        <v>0</v>
      </c>
      <c r="D21" s="30">
        <v>0</v>
      </c>
      <c r="E21" s="30">
        <v>0</v>
      </c>
      <c r="F21" s="30">
        <v>0</v>
      </c>
      <c r="G21" s="10">
        <f t="shared" si="1"/>
        <v>1</v>
      </c>
      <c r="H21" s="10"/>
      <c r="I21" s="24">
        <f t="shared" si="2"/>
        <v>4.3898156277436345E-2</v>
      </c>
      <c r="J21" s="6" t="s">
        <v>34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1" customHeight="1" x14ac:dyDescent="0.55000000000000004">
      <c r="A22" s="9" t="s">
        <v>37</v>
      </c>
      <c r="B22" s="30">
        <v>1</v>
      </c>
      <c r="C22" s="30">
        <v>0</v>
      </c>
      <c r="D22" s="30">
        <v>0</v>
      </c>
      <c r="E22" s="30">
        <v>0</v>
      </c>
      <c r="F22" s="30">
        <v>0</v>
      </c>
      <c r="G22" s="10">
        <f t="shared" si="1"/>
        <v>1</v>
      </c>
      <c r="H22" s="10"/>
      <c r="I22" s="24">
        <f t="shared" si="2"/>
        <v>4.3898156277436345E-2</v>
      </c>
      <c r="J22" s="6" t="s">
        <v>38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1" customHeight="1" x14ac:dyDescent="0.55000000000000004">
      <c r="A23" s="9" t="s">
        <v>39</v>
      </c>
      <c r="B23" s="30">
        <v>6</v>
      </c>
      <c r="C23" s="30">
        <v>6</v>
      </c>
      <c r="D23" s="30">
        <v>0</v>
      </c>
      <c r="E23" s="30">
        <v>0</v>
      </c>
      <c r="F23" s="30">
        <v>0</v>
      </c>
      <c r="G23" s="10">
        <f t="shared" si="1"/>
        <v>12</v>
      </c>
      <c r="H23" s="10"/>
      <c r="I23" s="24">
        <f t="shared" si="2"/>
        <v>0.52677787532923614</v>
      </c>
      <c r="J23" s="6" t="s">
        <v>40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1" customHeight="1" x14ac:dyDescent="0.55000000000000004">
      <c r="A24" s="9" t="s">
        <v>41</v>
      </c>
      <c r="B24" s="30">
        <v>22</v>
      </c>
      <c r="C24" s="30">
        <v>4</v>
      </c>
      <c r="D24" s="30">
        <v>0</v>
      </c>
      <c r="E24" s="30">
        <v>0</v>
      </c>
      <c r="F24" s="30">
        <v>0</v>
      </c>
      <c r="G24" s="10">
        <f t="shared" si="1"/>
        <v>26</v>
      </c>
      <c r="H24" s="10"/>
      <c r="I24" s="24">
        <f t="shared" si="2"/>
        <v>1.1413520632133449</v>
      </c>
      <c r="J24" s="6" t="s">
        <v>42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1" customHeight="1" x14ac:dyDescent="0.55000000000000004">
      <c r="A25" s="9" t="s">
        <v>43</v>
      </c>
      <c r="B25" s="30">
        <v>1</v>
      </c>
      <c r="C25" s="30">
        <v>1</v>
      </c>
      <c r="D25" s="30">
        <v>1</v>
      </c>
      <c r="E25" s="30">
        <v>0</v>
      </c>
      <c r="F25" s="30">
        <v>0</v>
      </c>
      <c r="G25" s="10">
        <f t="shared" si="1"/>
        <v>3</v>
      </c>
      <c r="H25" s="10"/>
      <c r="I25" s="24">
        <f t="shared" si="2"/>
        <v>0.13169446883230904</v>
      </c>
      <c r="J25" s="6" t="s">
        <v>44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1" customHeight="1" x14ac:dyDescent="0.55000000000000004">
      <c r="A26" s="9" t="s">
        <v>45</v>
      </c>
      <c r="B26" s="30">
        <v>33</v>
      </c>
      <c r="C26" s="30">
        <v>22</v>
      </c>
      <c r="D26" s="30">
        <v>11</v>
      </c>
      <c r="E26" s="30">
        <v>7</v>
      </c>
      <c r="F26" s="30">
        <v>0</v>
      </c>
      <c r="G26" s="10">
        <f t="shared" si="1"/>
        <v>73</v>
      </c>
      <c r="H26" s="10"/>
      <c r="I26" s="24">
        <f t="shared" si="2"/>
        <v>3.2045654082528534</v>
      </c>
      <c r="J26" s="6" t="s">
        <v>46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1" customHeight="1" x14ac:dyDescent="0.55000000000000004">
      <c r="A27" s="9" t="s">
        <v>47</v>
      </c>
      <c r="B27" s="30">
        <v>31</v>
      </c>
      <c r="C27" s="30">
        <v>8</v>
      </c>
      <c r="D27" s="30">
        <v>2</v>
      </c>
      <c r="E27" s="30">
        <v>5</v>
      </c>
      <c r="F27" s="30">
        <v>2</v>
      </c>
      <c r="G27" s="10">
        <f t="shared" si="1"/>
        <v>48</v>
      </c>
      <c r="H27" s="10"/>
      <c r="I27" s="24">
        <f t="shared" si="2"/>
        <v>2.1071115013169446</v>
      </c>
      <c r="J27" s="6" t="s">
        <v>48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1" customHeight="1" x14ac:dyDescent="0.55000000000000004">
      <c r="A28" s="9" t="s">
        <v>49</v>
      </c>
      <c r="B28" s="30">
        <v>175</v>
      </c>
      <c r="C28" s="30">
        <v>54</v>
      </c>
      <c r="D28" s="30">
        <v>3</v>
      </c>
      <c r="E28" s="30">
        <v>4</v>
      </c>
      <c r="F28" s="30">
        <v>0</v>
      </c>
      <c r="G28" s="10">
        <f t="shared" si="1"/>
        <v>236</v>
      </c>
      <c r="H28" s="10"/>
      <c r="I28" s="24">
        <f t="shared" si="2"/>
        <v>10.359964881474978</v>
      </c>
      <c r="J28" s="6" t="s">
        <v>50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1" customHeight="1" x14ac:dyDescent="0.55000000000000004">
      <c r="A29" s="9" t="s">
        <v>51</v>
      </c>
      <c r="B29" s="30">
        <v>7</v>
      </c>
      <c r="C29" s="30">
        <v>5</v>
      </c>
      <c r="D29" s="30">
        <v>0</v>
      </c>
      <c r="E29" s="30">
        <v>1</v>
      </c>
      <c r="F29" s="30">
        <v>2</v>
      </c>
      <c r="G29" s="10">
        <f t="shared" si="1"/>
        <v>15</v>
      </c>
      <c r="H29" s="10"/>
      <c r="I29" s="24">
        <f t="shared" si="2"/>
        <v>0.65847234416154521</v>
      </c>
      <c r="J29" s="6" t="s">
        <v>52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1" customHeight="1" x14ac:dyDescent="0.55000000000000004">
      <c r="A30" s="9" t="s">
        <v>53</v>
      </c>
      <c r="B30" s="30">
        <v>1</v>
      </c>
      <c r="C30" s="30">
        <v>2</v>
      </c>
      <c r="D30" s="30">
        <v>0</v>
      </c>
      <c r="E30" s="30">
        <v>0</v>
      </c>
      <c r="F30" s="30">
        <v>0</v>
      </c>
      <c r="G30" s="10">
        <f t="shared" si="1"/>
        <v>3</v>
      </c>
      <c r="H30" s="10"/>
      <c r="I30" s="24">
        <f t="shared" si="2"/>
        <v>0.13169446883230904</v>
      </c>
      <c r="J30" s="6" t="s">
        <v>54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7.25" customHeight="1" x14ac:dyDescent="0.55000000000000004">
      <c r="A31" s="9" t="s">
        <v>55</v>
      </c>
      <c r="B31" s="30">
        <v>124</v>
      </c>
      <c r="C31" s="30">
        <v>36</v>
      </c>
      <c r="D31" s="30">
        <v>2</v>
      </c>
      <c r="E31" s="30">
        <v>3</v>
      </c>
      <c r="F31" s="30">
        <v>2</v>
      </c>
      <c r="G31" s="10">
        <f t="shared" si="1"/>
        <v>167</v>
      </c>
      <c r="H31" s="10"/>
      <c r="I31" s="24">
        <f t="shared" si="2"/>
        <v>7.3309920983318708</v>
      </c>
      <c r="J31" s="6" t="s">
        <v>56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ht="21.75" customHeight="1" x14ac:dyDescent="0.55000000000000004">
      <c r="A32" s="12" t="s">
        <v>35</v>
      </c>
      <c r="B32" s="31">
        <v>531</v>
      </c>
      <c r="C32" s="31">
        <v>98</v>
      </c>
      <c r="D32" s="31">
        <v>14</v>
      </c>
      <c r="E32" s="31">
        <v>13</v>
      </c>
      <c r="F32" s="31">
        <v>2</v>
      </c>
      <c r="G32" s="10">
        <f t="shared" si="1"/>
        <v>658</v>
      </c>
      <c r="H32" s="13"/>
      <c r="I32" s="26">
        <f t="shared" si="2"/>
        <v>28.884986830553117</v>
      </c>
      <c r="J32" s="7" t="s">
        <v>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ht="15.75" customHeight="1" x14ac:dyDescent="0.45">
      <c r="A33" s="15" t="s">
        <v>4</v>
      </c>
      <c r="B33" s="1"/>
      <c r="C33" s="14"/>
      <c r="D33" s="14"/>
      <c r="E33" s="14"/>
      <c r="F33" s="14"/>
      <c r="G33" s="27"/>
      <c r="H33" s="14"/>
      <c r="I33" s="14"/>
      <c r="J33" s="16" t="s">
        <v>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25">
      <c r="A34" s="1"/>
      <c r="B34" s="1"/>
      <c r="C34" s="1"/>
      <c r="D34" s="28"/>
      <c r="E34" s="28"/>
      <c r="F34" s="2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8"/>
      <c r="AD35" s="28"/>
    </row>
    <row r="36" spans="1:3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1"/>
      <c r="AD36" s="11"/>
    </row>
    <row r="37" spans="1:3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</sheetData>
  <mergeCells count="6">
    <mergeCell ref="A1:J1"/>
    <mergeCell ref="A2:J2"/>
    <mergeCell ref="A4:A5"/>
    <mergeCell ref="B4:H4"/>
    <mergeCell ref="I4:I5"/>
    <mergeCell ref="J4:J5"/>
  </mergeCells>
  <pageMargins left="0.7" right="0.7" top="0.75" bottom="0.75" header="0" footer="0"/>
  <pageSetup paperSize="9" scale="52" orientation="landscape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2026-05-07T05:00:13Z</cp:lastPrinted>
  <dcterms:created xsi:type="dcterms:W3CDTF">2025-05-19T08:29:05Z</dcterms:created>
  <dcterms:modified xsi:type="dcterms:W3CDTF">2026-05-07T05:02:36Z</dcterms:modified>
</cp:coreProperties>
</file>