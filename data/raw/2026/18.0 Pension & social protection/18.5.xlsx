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ension &amp; Social Protection\"/>
    </mc:Choice>
  </mc:AlternateContent>
  <xr:revisionPtr revIDLastSave="0" documentId="13_ncr:1_{B3ADD28D-6922-465A-91E9-B126E365820E}" xr6:coauthVersionLast="47" xr6:coauthVersionMax="47" xr10:uidLastSave="{00000000-0000-0000-0000-000000000000}"/>
  <bookViews>
    <workbookView xWindow="-120" yWindow="-120" windowWidth="29040" windowHeight="15720" tabRatio="756" xr2:uid="{00000000-000D-0000-FFFF-FFFF00000000}"/>
  </bookViews>
  <sheets>
    <sheet name="18.5" sheetId="5" r:id="rId1"/>
  </sheets>
  <definedNames>
    <definedName name="_xlnm.Print_Area" localSheetId="0">'18.5'!$A$1:$AB$41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9" i="5" l="1"/>
  <c r="V18" i="5"/>
  <c r="V17" i="5"/>
  <c r="V16" i="5"/>
  <c r="V15" i="5"/>
  <c r="V14" i="5"/>
  <c r="V13" i="5"/>
  <c r="V12" i="5"/>
  <c r="V11" i="5"/>
  <c r="V10" i="5"/>
  <c r="V9" i="5"/>
  <c r="V8" i="5"/>
  <c r="Q19" i="5" l="1"/>
  <c r="L19" i="5"/>
  <c r="G19" i="5"/>
  <c r="B19" i="5"/>
  <c r="Q18" i="5"/>
  <c r="L18" i="5"/>
  <c r="G18" i="5"/>
  <c r="B18" i="5"/>
  <c r="Q17" i="5"/>
  <c r="L17" i="5"/>
  <c r="G17" i="5"/>
  <c r="B17" i="5"/>
  <c r="Q16" i="5"/>
  <c r="L16" i="5"/>
  <c r="G16" i="5"/>
  <c r="B16" i="5"/>
  <c r="Q15" i="5"/>
  <c r="L15" i="5"/>
  <c r="G15" i="5"/>
  <c r="B15" i="5"/>
  <c r="Q14" i="5"/>
  <c r="L14" i="5"/>
  <c r="G14" i="5"/>
  <c r="B14" i="5"/>
  <c r="Q13" i="5"/>
  <c r="L13" i="5"/>
  <c r="G13" i="5"/>
  <c r="B13" i="5"/>
  <c r="Q12" i="5"/>
  <c r="L12" i="5"/>
  <c r="G12" i="5"/>
  <c r="B12" i="5"/>
  <c r="Q11" i="5"/>
  <c r="L11" i="5"/>
  <c r="G11" i="5"/>
  <c r="B11" i="5"/>
  <c r="Q10" i="5"/>
  <c r="L10" i="5"/>
  <c r="G10" i="5"/>
  <c r="B10" i="5"/>
  <c r="Q9" i="5"/>
  <c r="L9" i="5"/>
  <c r="G9" i="5"/>
  <c r="B9" i="5"/>
  <c r="Q8" i="5"/>
  <c r="L8" i="5"/>
  <c r="G8" i="5"/>
  <c r="B8" i="5"/>
</calcChain>
</file>

<file path=xl/sharedStrings.xml><?xml version="1.0" encoding="utf-8"?>
<sst xmlns="http://schemas.openxmlformats.org/spreadsheetml/2006/main" count="56" uniqueCount="36">
  <si>
    <t>Total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</si>
  <si>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</si>
  <si>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</si>
  <si>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</si>
  <si>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</si>
  <si>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</si>
  <si>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</si>
  <si>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</si>
  <si>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</si>
  <si>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</si>
  <si>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</si>
  <si>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</si>
  <si>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</si>
  <si>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</si>
  <si>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</si>
  <si>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</si>
  <si>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</si>
  <si>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</si>
  <si>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</si>
  <si>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</si>
  <si>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</si>
  <si>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</si>
  <si>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</si>
  <si>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</si>
  <si>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</si>
  <si>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</si>
  <si>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</si>
  <si>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މަޢުލޫމާތު ދެއްވި ފަރާތް: މޯލްޑިވްސް ޕެންޝަން އެޑްމިނިސްޓްރޭޝަން</t>
  </si>
  <si>
    <t>Source: Maldives Pension Administration</t>
  </si>
  <si>
    <t>65-69</t>
  </si>
  <si>
    <t>70-74</t>
  </si>
  <si>
    <r>
      <rPr>
        <b/>
        <sz val="11"/>
        <color rgb="FF000000"/>
        <rFont val="Calibri"/>
        <family val="2"/>
      </rP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</si>
  <si>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&lt; 65</t>
  </si>
  <si>
    <t>75+</t>
  </si>
  <si>
    <t>TABLE   18.5: NUMBER OF BENEFICIARIES OF RETIREMENT PENSION SCHEME BY AGE, 2022 - 2025</t>
  </si>
  <si>
    <t>ތާވަލު  18.5 :ރިޓާޔަމަންޓް ޕެންޝަން ލިބޭ މީހުންގެ އަދަދު އަދި ޢުމުރުފުރާތައް، 2022 - 2025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</si>
</sst>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1"/>
      <color rgb="FF000000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32">
    <xf numFmtId="0" fontId="0" fillId="0" borderId="0"/>
    <xf numFmtId="164" fontId="12" fillId="0" borderId="20"/>
    <xf numFmtId="43" fontId="3" fillId="0" borderId="20" applyFont="0" applyFill="0" applyBorder="0" applyAlignment="0" applyProtection="0"/>
    <xf numFmtId="43" fontId="3" fillId="0" borderId="20" applyFont="0" applyFill="0" applyBorder="0" applyAlignment="0" applyProtection="0"/>
    <xf numFmtId="0" fontId="11" fillId="0" borderId="20"/>
    <xf numFmtId="0" fontId="3" fillId="0" borderId="20"/>
    <xf numFmtId="0" fontId="3" fillId="0" borderId="20"/>
    <xf numFmtId="0" fontId="3" fillId="0" borderId="20"/>
    <xf numFmtId="0" fontId="11" fillId="0" borderId="20"/>
    <xf numFmtId="0" fontId="11" fillId="0" borderId="20"/>
    <xf numFmtId="0" fontId="3" fillId="0" borderId="20"/>
    <xf numFmtId="0" fontId="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  <xf numFmtId="0" fontId="13" fillId="0" borderId="20"/>
  </cellStyleXfs>
  <cellXfs count="49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0" fontId="3" fillId="2" borderId="15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right" vertical="center"/>
    </xf>
    <xf numFmtId="0" fontId="7" fillId="2" borderId="4" xfId="0" applyFont="1" applyFill="1" applyBorder="1"/>
    <xf numFmtId="0" fontId="8" fillId="2" borderId="4" xfId="0" applyFont="1" applyFill="1" applyBorder="1"/>
    <xf numFmtId="0" fontId="9" fillId="2" borderId="4" xfId="0" applyFont="1" applyFill="1" applyBorder="1"/>
    <xf numFmtId="14" fontId="3" fillId="2" borderId="4" xfId="0" applyNumberFormat="1" applyFont="1" applyFill="1" applyBorder="1"/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right" vertical="center" wrapText="1"/>
    </xf>
    <xf numFmtId="0" fontId="4" fillId="2" borderId="16" xfId="0" applyFont="1" applyFill="1" applyBorder="1" applyAlignment="1">
      <alignment horizontal="right" vertical="center" wrapText="1"/>
    </xf>
    <xf numFmtId="0" fontId="4" fillId="2" borderId="17" xfId="0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vertical="center" wrapText="1"/>
    </xf>
    <xf numFmtId="164" fontId="3" fillId="2" borderId="4" xfId="0" applyNumberFormat="1" applyFont="1" applyFill="1" applyBorder="1" applyAlignment="1">
      <alignment vertical="center" wrapText="1"/>
    </xf>
    <xf numFmtId="164" fontId="3" fillId="2" borderId="18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vertical="center" wrapText="1"/>
    </xf>
    <xf numFmtId="3" fontId="3" fillId="2" borderId="15" xfId="0" applyNumberFormat="1" applyFont="1" applyFill="1" applyBorder="1" applyAlignment="1">
      <alignment vertical="center" wrapText="1"/>
    </xf>
    <xf numFmtId="164" fontId="3" fillId="2" borderId="15" xfId="0" applyNumberFormat="1" applyFont="1" applyFill="1" applyBorder="1" applyAlignment="1">
      <alignment vertical="center" wrapText="1"/>
    </xf>
    <xf numFmtId="164" fontId="3" fillId="2" borderId="16" xfId="0" applyNumberFormat="1" applyFont="1" applyFill="1" applyBorder="1" applyAlignment="1">
      <alignment vertical="center" wrapText="1"/>
    </xf>
    <xf numFmtId="3" fontId="3" fillId="2" borderId="17" xfId="0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wrapText="1"/>
    </xf>
    <xf numFmtId="2" fontId="3" fillId="2" borderId="4" xfId="0" applyNumberFormat="1" applyFont="1" applyFill="1" applyBorder="1" applyAlignment="1">
      <alignment wrapText="1"/>
    </xf>
    <xf numFmtId="0" fontId="0" fillId="3" borderId="0" xfId="0" applyFill="1"/>
    <xf numFmtId="164" fontId="3" fillId="4" borderId="4" xfId="0" applyNumberFormat="1" applyFont="1" applyFill="1" applyBorder="1" applyAlignment="1">
      <alignment vertical="center" wrapText="1"/>
    </xf>
    <xf numFmtId="164" fontId="3" fillId="4" borderId="15" xfId="0" applyNumberFormat="1" applyFont="1" applyFill="1" applyBorder="1" applyAlignment="1">
      <alignment vertical="center" wrapText="1"/>
    </xf>
    <xf numFmtId="164" fontId="14" fillId="4" borderId="20" xfId="18" applyNumberFormat="1" applyFont="1" applyFill="1" applyAlignment="1">
      <alignment horizontal="right" wrapText="1"/>
    </xf>
    <xf numFmtId="164" fontId="14" fillId="4" borderId="21" xfId="18" applyNumberFormat="1" applyFont="1" applyFill="1" applyBorder="1" applyAlignment="1">
      <alignment horizontal="right" wrapText="1"/>
    </xf>
    <xf numFmtId="0" fontId="2" fillId="3" borderId="10" xfId="0" applyFont="1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2" xfId="0" applyFont="1" applyFill="1" applyBorder="1"/>
    <xf numFmtId="0" fontId="2" fillId="3" borderId="20" xfId="0" applyFont="1" applyFill="1" applyBorder="1"/>
    <xf numFmtId="0" fontId="2" fillId="3" borderId="3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3" borderId="8" xfId="0" applyFont="1" applyFill="1" applyBorder="1"/>
    <xf numFmtId="0" fontId="2" fillId="3" borderId="14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wrapText="1"/>
    </xf>
    <xf numFmtId="0" fontId="2" fillId="3" borderId="6" xfId="0" applyFont="1" applyFill="1" applyBorder="1" applyAlignment="1"/>
    <xf numFmtId="0" fontId="4" fillId="2" borderId="7" xfId="0" applyFont="1" applyFill="1" applyBorder="1" applyAlignment="1">
      <alignment horizontal="center" vertical="center"/>
    </xf>
    <xf numFmtId="3" fontId="3" fillId="2" borderId="19" xfId="0" applyNumberFormat="1" applyFont="1" applyFill="1" applyBorder="1" applyAlignment="1">
      <alignment horizontal="right" vertical="center" wrapText="1"/>
    </xf>
    <xf numFmtId="164" fontId="14" fillId="4" borderId="20" xfId="18" applyNumberFormat="1" applyFont="1" applyFill="1" applyAlignment="1">
      <alignment horizontal="right" vertical="center" wrapText="1"/>
    </xf>
  </cellXfs>
  <cellStyles count="32">
    <cellStyle name="Comma 23" xfId="2" xr:uid="{94027C67-5182-4251-874E-333D39869C41}"/>
    <cellStyle name="Comma 3" xfId="3" xr:uid="{32D59405-9255-4528-A182-E2FB87AEA447}"/>
    <cellStyle name="Normal" xfId="0" builtinId="0"/>
    <cellStyle name="Normal 10" xfId="6" xr:uid="{EBA83A1A-0725-4264-B217-6FB255D01D9A}"/>
    <cellStyle name="Normal 11" xfId="8" xr:uid="{141512A6-9575-4B9F-B0CD-71B08DB8B8DD}"/>
    <cellStyle name="Normal 12" xfId="18" xr:uid="{EBB53E00-7290-4E95-B00B-97E70B994095}"/>
    <cellStyle name="Normal 13" xfId="19" xr:uid="{5089EADD-6FB8-455A-99B7-4CE3F8EA2523}"/>
    <cellStyle name="Normal 14" xfId="20" xr:uid="{6D8E876D-C549-4F8C-BBB2-9044945BA1DE}"/>
    <cellStyle name="Normal 15" xfId="21" xr:uid="{FC8B6F0F-4F04-414B-856A-E9EF52594A17}"/>
    <cellStyle name="Normal 16" xfId="22" xr:uid="{A9472295-1693-4D41-8C43-FD2ACA0018F7}"/>
    <cellStyle name="Normal 17" xfId="23" xr:uid="{AD84AE3E-C9FD-40C7-9E44-467A53F078DC}"/>
    <cellStyle name="Normal 18" xfId="24" xr:uid="{3ECF2013-8279-4761-949D-EDD1A3769A1A}"/>
    <cellStyle name="Normal 19" xfId="25" xr:uid="{2DA431D7-B0FC-4CC3-83FB-38993139A464}"/>
    <cellStyle name="Normal 2" xfId="1" xr:uid="{5582CC97-B3B3-49F0-A32C-77365FA866E7}"/>
    <cellStyle name="Normal 20" xfId="26" xr:uid="{BF15BF13-2BA4-453C-A5D4-7F378D5A7AB0}"/>
    <cellStyle name="Normal 21" xfId="27" xr:uid="{EB16884D-319E-44C4-BACF-AAE219752D74}"/>
    <cellStyle name="Normal 22" xfId="28" xr:uid="{0BC55367-C80F-4644-A253-56F0D6C8449D}"/>
    <cellStyle name="Normal 23" xfId="29" xr:uid="{70D0A6B6-C10D-4B03-BE3E-BCA8F6F565D6}"/>
    <cellStyle name="Normal 24" xfId="30" xr:uid="{5D1C52F0-96A7-41A3-BA9A-F4828B3BA100}"/>
    <cellStyle name="Normal 25" xfId="31" xr:uid="{98DE4CB4-469A-4E2E-95F6-679D1ED1E259}"/>
    <cellStyle name="Normal 3" xfId="12" xr:uid="{41F67738-7CBD-405C-A2E8-93EC8D754E04}"/>
    <cellStyle name="Normal 30 2" xfId="5" xr:uid="{319A01A9-484D-401C-B51C-AFA22C8C147A}"/>
    <cellStyle name="Normal 39" xfId="7" xr:uid="{358DB4F3-2572-40C1-8528-73DD19838977}"/>
    <cellStyle name="Normal 4" xfId="13" xr:uid="{F9DB212B-6BED-4D0E-9812-6AF8B0852E4C}"/>
    <cellStyle name="Normal 5" xfId="14" xr:uid="{2E2DF4F8-9240-4060-8DF2-DBD25985C646}"/>
    <cellStyle name="Normal 58" xfId="11" xr:uid="{5FADB181-8394-4B9F-BF6B-8B2AABC26B0E}"/>
    <cellStyle name="Normal 59" xfId="10" xr:uid="{BC46D8EB-1784-4261-8D55-F234E5AA2CF7}"/>
    <cellStyle name="Normal 6" xfId="15" xr:uid="{FD6A37D1-7F80-4842-A6BE-097A50A4815D}"/>
    <cellStyle name="Normal 7" xfId="16" xr:uid="{D3073D1C-C63F-4665-88AD-8A1CCCB7F8E6}"/>
    <cellStyle name="Normal 8" xfId="17" xr:uid="{994E9518-379D-453B-A8BE-5A00EF9195C3}"/>
    <cellStyle name="Normal 9" xfId="4" xr:uid="{625F25BA-A41A-4C28-BF91-33331014C8BC}"/>
    <cellStyle name="Normal 9 2" xfId="9" xr:uid="{9FC5A332-BEB2-4834-8023-4E42B3DA4A83}"/>
  </cellStyles>
  <dxfs count="0"/>
  <tableStyles count="0" defaultTableStyle="TableStyleMedium2" defaultPivotStyle="PivotStyleLight16"/>
  <colors>
    <mruColors>
      <color rgb="FF336600"/>
      <color rgb="FFF9FFF3"/>
      <color rgb="FFAEAAAA"/>
      <color rgb="FF003300"/>
      <color rgb="FF2F75B5"/>
      <color rgb="FFFF3399"/>
      <color rgb="FF9BC2E6"/>
      <color rgb="FF33CCCC"/>
      <color rgb="FF003399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8819188882763497"/>
          <c:y val="0.2224413166484501"/>
          <c:w val="0.35337029370668166"/>
          <c:h val="0.75779408593755804"/>
        </c:manualLayout>
      </c:layout>
      <c:doughnutChart>
        <c:varyColors val="1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713-4C69-B5A9-593B09ED606A}"/>
              </c:ext>
            </c:extLst>
          </c:dPt>
          <c:dPt>
            <c:idx val="1"/>
            <c:bubble3D val="0"/>
            <c:spPr>
              <a:solidFill>
                <a:srgbClr val="003300"/>
              </a:solidFill>
            </c:spPr>
            <c:extLst>
              <c:ext xmlns:c16="http://schemas.microsoft.com/office/drawing/2014/chart" uri="{C3380CC4-5D6E-409C-BE32-E72D297353CC}">
                <c16:uniqueId val="{00000002-6713-4C69-B5A9-593B09ED606A}"/>
              </c:ext>
            </c:extLst>
          </c:dPt>
          <c:dPt>
            <c:idx val="2"/>
            <c:bubble3D val="0"/>
            <c:spPr>
              <a:solidFill>
                <a:srgbClr val="336600"/>
              </a:solidFill>
            </c:spPr>
            <c:extLst>
              <c:ext xmlns:c16="http://schemas.microsoft.com/office/drawing/2014/chart" uri="{C3380CC4-5D6E-409C-BE32-E72D297353CC}">
                <c16:uniqueId val="{00000003-6713-4C69-B5A9-593B09ED606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6713-4C69-B5A9-593B09ED606A}"/>
              </c:ext>
            </c:extLst>
          </c:dPt>
          <c:dLbls>
            <c:dLbl>
              <c:idx val="0"/>
              <c:layout>
                <c:manualLayout>
                  <c:x val="3.5226772346983706E-3"/>
                  <c:y val="-0.13975448536355053"/>
                </c:manualLayout>
              </c:layout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13-4C69-B5A9-593B09ED606A}"/>
                </c:ext>
              </c:extLst>
            </c:dLbl>
            <c:dLbl>
              <c:idx val="1"/>
              <c:layout>
                <c:manualLayout>
                  <c:x val="-6.8692206076618231E-2"/>
                  <c:y val="3.7771482530689328E-2"/>
                </c:manualLayout>
              </c:layout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565389696169088"/>
                      <c:h val="0.103531633616619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713-4C69-B5A9-593B09ED606A}"/>
                </c:ext>
              </c:extLst>
            </c:dLbl>
            <c:dLbl>
              <c:idx val="2"/>
              <c:layout>
                <c:manualLayout>
                  <c:x val="-5.2840158520475562E-3"/>
                  <c:y val="2.2662889518413599E-2"/>
                </c:manualLayout>
              </c:layout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13-4C69-B5A9-593B09ED606A}"/>
                </c:ext>
              </c:extLst>
            </c:dLbl>
            <c:dLbl>
              <c:idx val="3"/>
              <c:layout>
                <c:manualLayout>
                  <c:x val="-5.2840158520475562E-3"/>
                  <c:y val="-2.2662889518413633E-2"/>
                </c:manualLayout>
              </c:layout>
              <c:spPr/>
              <c:txPr>
                <a:bodyPr/>
                <a:lstStyle/>
                <a:p>
                  <a:pPr lvl="0">
                    <a:defRPr b="1" i="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713-4C69-B5A9-593B09ED60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'18.5'!$W$7:$Z$7</c:f>
              <c:strCache>
                <c:ptCount val="4"/>
                <c:pt idx="0">
                  <c:v>&lt; 65</c:v>
                </c:pt>
                <c:pt idx="1">
                  <c:v>65-69</c:v>
                </c:pt>
                <c:pt idx="2">
                  <c:v>70-74</c:v>
                </c:pt>
                <c:pt idx="3">
                  <c:v>75+</c:v>
                </c:pt>
              </c:strCache>
            </c:strRef>
          </c:cat>
          <c:val>
            <c:numRef>
              <c:f>'18.5'!$W$19:$Z$19</c:f>
              <c:numCache>
                <c:formatCode>_(* #,##0_);_(* \(#,##0\);_(* "-"??_);_(@_)</c:formatCode>
                <c:ptCount val="4"/>
                <c:pt idx="0">
                  <c:v>26</c:v>
                </c:pt>
                <c:pt idx="1">
                  <c:v>2050</c:v>
                </c:pt>
                <c:pt idx="2">
                  <c:v>256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13-4C69-B5A9-593B09ED6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21</xdr:row>
      <xdr:rowOff>19050</xdr:rowOff>
    </xdr:from>
    <xdr:ext cx="7210425" cy="3362325"/>
    <xdr:graphicFrame macro="">
      <xdr:nvGraphicFramePr>
        <xdr:cNvPr id="1813304321" name="Chart 7">
          <a:extLst>
            <a:ext uri="{FF2B5EF4-FFF2-40B4-BE49-F238E27FC236}">
              <a16:creationId xmlns:a16="http://schemas.microsoft.com/office/drawing/2014/main" id="{00000000-0008-0000-0400-000001D41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0.11493</cdr:x>
      <cdr:y>0.04816</cdr:y>
    </cdr:from>
    <cdr:to>
      <cdr:x>0.91942</cdr:x>
      <cdr:y>0.11615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7B7D30C-425C-4782-2C83-85F12161787E}"/>
            </a:ext>
          </a:extLst>
        </cdr:cNvPr>
        <cdr:cNvSpPr txBox="1"/>
      </cdr:nvSpPr>
      <cdr:spPr>
        <a:xfrm xmlns:a="http://schemas.openxmlformats.org/drawingml/2006/main">
          <a:off x="828675" y="161926"/>
          <a:ext cx="580072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effectLst/>
              <a:latin typeface="+mn-lt"/>
              <a:ea typeface="+mn-ea"/>
              <a:cs typeface="+mn-cs"/>
            </a:rPr>
            <a:t>Figure 18.7: Percentage share of beneficiaries of retirement pension scheme by age group, </a:t>
          </a:r>
          <a:r>
            <a:rPr lang="dv-MV" sz="1100" b="1" i="0">
              <a:effectLst/>
              <a:latin typeface="+mn-lt"/>
              <a:ea typeface="+mn-ea"/>
              <a:cs typeface="+mn-cs"/>
            </a:rPr>
            <a:t>202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5</a:t>
          </a:r>
          <a:endParaRPr lang="en-US">
            <a:effectLst/>
          </a:endParaRPr>
        </a:p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U41"/>
  <sheetViews>
    <sheetView tabSelected="1" zoomScale="93" zoomScaleNormal="93" workbookViewId="0">
      <selection activeCell="U25" sqref="U25"/>
    </sheetView>
  </sheetViews>
  <sheetFormatPr defaultColWidth="14.42578125" defaultRowHeight="15" customHeight="1" x14ac:dyDescent="0.25"/>
  <cols>
    <col min="1" max="1" width="9.85546875" style="26" customWidth="1"/>
    <col min="2" max="26" width="9" style="26" customWidth="1"/>
    <col min="27" max="27" width="13.42578125" style="26" customWidth="1"/>
    <col min="28" max="28" width="3.7109375" style="26" customWidth="1"/>
    <col min="29" max="41" width="8" style="26" customWidth="1"/>
    <col min="42" max="42" width="11.85546875" style="26" customWidth="1"/>
    <col min="43" max="47" width="8" style="26" customWidth="1"/>
    <col min="48" max="16384" width="14.42578125" style="26"/>
  </cols>
  <sheetData>
    <row r="1" spans="1:47" ht="4.5" customHeight="1" x14ac:dyDescent="0.25">
      <c r="A1" s="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1" customHeight="1" x14ac:dyDescent="0.25">
      <c r="A2" s="43" t="s">
        <v>35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  <c r="W2" s="35"/>
      <c r="X2" s="35"/>
      <c r="Y2" s="35"/>
      <c r="Z2" s="35"/>
      <c r="AA2" s="36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ht="15.75" customHeight="1" x14ac:dyDescent="0.25">
      <c r="A3" s="41" t="s">
        <v>34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5"/>
      <c r="W3" s="35"/>
      <c r="X3" s="35"/>
      <c r="Y3" s="35"/>
      <c r="Z3" s="35"/>
      <c r="AA3" s="36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9" customHeight="1" x14ac:dyDescent="0.25">
      <c r="A4" s="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8" customHeight="1" x14ac:dyDescent="0.25">
      <c r="A5" s="37" t="s">
        <v>1</v>
      </c>
      <c r="B5" s="45"/>
      <c r="C5" s="45"/>
      <c r="D5" s="45"/>
      <c r="E5" s="45"/>
      <c r="F5" s="45"/>
      <c r="G5" s="46" t="s">
        <v>31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0" t="s">
        <v>2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5" customHeight="1" x14ac:dyDescent="0.25">
      <c r="A6" s="38"/>
      <c r="B6" s="44">
        <v>2021</v>
      </c>
      <c r="C6" s="31"/>
      <c r="D6" s="31"/>
      <c r="E6" s="31"/>
      <c r="F6" s="32"/>
      <c r="G6" s="44">
        <v>2022</v>
      </c>
      <c r="H6" s="31"/>
      <c r="I6" s="31"/>
      <c r="J6" s="31"/>
      <c r="K6" s="33"/>
      <c r="L6" s="42">
        <v>2023</v>
      </c>
      <c r="M6" s="31"/>
      <c r="N6" s="31"/>
      <c r="O6" s="31"/>
      <c r="P6" s="32"/>
      <c r="Q6" s="42">
        <v>2024</v>
      </c>
      <c r="R6" s="31"/>
      <c r="S6" s="31"/>
      <c r="T6" s="31"/>
      <c r="U6" s="32"/>
      <c r="V6" s="42">
        <v>2025</v>
      </c>
      <c r="W6" s="31"/>
      <c r="X6" s="31"/>
      <c r="Y6" s="31"/>
      <c r="Z6" s="32"/>
      <c r="AA6" s="38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5" customHeight="1" x14ac:dyDescent="0.25">
      <c r="A7" s="39"/>
      <c r="B7" s="13" t="s">
        <v>0</v>
      </c>
      <c r="C7" s="13" t="s">
        <v>32</v>
      </c>
      <c r="D7" s="13" t="s">
        <v>29</v>
      </c>
      <c r="E7" s="13" t="s">
        <v>30</v>
      </c>
      <c r="F7" s="13" t="s">
        <v>33</v>
      </c>
      <c r="G7" s="13" t="s">
        <v>0</v>
      </c>
      <c r="H7" s="13" t="s">
        <v>32</v>
      </c>
      <c r="I7" s="13" t="s">
        <v>29</v>
      </c>
      <c r="J7" s="13" t="s">
        <v>30</v>
      </c>
      <c r="K7" s="14" t="s">
        <v>33</v>
      </c>
      <c r="L7" s="15" t="s">
        <v>0</v>
      </c>
      <c r="M7" s="13" t="s">
        <v>32</v>
      </c>
      <c r="N7" s="13" t="s">
        <v>29</v>
      </c>
      <c r="O7" s="13" t="s">
        <v>30</v>
      </c>
      <c r="P7" s="13" t="s">
        <v>33</v>
      </c>
      <c r="Q7" s="15" t="s">
        <v>0</v>
      </c>
      <c r="R7" s="13" t="s">
        <v>32</v>
      </c>
      <c r="S7" s="13" t="s">
        <v>29</v>
      </c>
      <c r="T7" s="13" t="s">
        <v>30</v>
      </c>
      <c r="U7" s="13" t="s">
        <v>33</v>
      </c>
      <c r="V7" s="15" t="s">
        <v>0</v>
      </c>
      <c r="W7" s="13" t="s">
        <v>32</v>
      </c>
      <c r="X7" s="13" t="s">
        <v>29</v>
      </c>
      <c r="Y7" s="13" t="s">
        <v>30</v>
      </c>
      <c r="Z7" s="13" t="s">
        <v>33</v>
      </c>
      <c r="AA7" s="39"/>
      <c r="AB7" s="1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"/>
      <c r="AO7" s="1"/>
      <c r="AP7" s="1"/>
      <c r="AQ7" s="1"/>
      <c r="AR7" s="1"/>
      <c r="AS7" s="1"/>
      <c r="AT7" s="1"/>
      <c r="AU7" s="1"/>
    </row>
    <row r="8" spans="1:47" ht="20.25" customHeight="1" x14ac:dyDescent="0.25">
      <c r="A8" s="2" t="s">
        <v>3</v>
      </c>
      <c r="B8" s="16">
        <f t="shared" ref="B8:B19" si="0">SUM(C8:F8)</f>
        <v>1488</v>
      </c>
      <c r="C8" s="17">
        <v>15</v>
      </c>
      <c r="D8" s="17">
        <v>1112</v>
      </c>
      <c r="E8" s="17">
        <v>282</v>
      </c>
      <c r="F8" s="17">
        <v>79</v>
      </c>
      <c r="G8" s="16">
        <f t="shared" ref="G8:G19" si="1">SUM(H8:K8)</f>
        <v>1651</v>
      </c>
      <c r="H8" s="17">
        <v>15</v>
      </c>
      <c r="I8" s="17">
        <v>1276</v>
      </c>
      <c r="J8" s="17">
        <v>261</v>
      </c>
      <c r="K8" s="18">
        <v>99</v>
      </c>
      <c r="L8" s="19">
        <f t="shared" ref="L8:L19" si="2">SUM(M8:P8)</f>
        <v>1818</v>
      </c>
      <c r="M8" s="17">
        <v>20</v>
      </c>
      <c r="N8" s="17">
        <v>1441</v>
      </c>
      <c r="O8" s="17">
        <v>253</v>
      </c>
      <c r="P8" s="17">
        <v>104</v>
      </c>
      <c r="Q8" s="19">
        <f t="shared" ref="Q8:Q19" si="3">SUM(R8:U8)</f>
        <v>2032</v>
      </c>
      <c r="R8" s="27">
        <v>10</v>
      </c>
      <c r="S8" s="27">
        <v>1667</v>
      </c>
      <c r="T8" s="27">
        <v>248</v>
      </c>
      <c r="U8" s="27">
        <v>107</v>
      </c>
      <c r="V8" s="19">
        <f t="shared" ref="V8:V19" si="4">SUM(W8:Z8)</f>
        <v>2315</v>
      </c>
      <c r="W8" s="29">
        <v>8</v>
      </c>
      <c r="X8" s="29">
        <v>1969</v>
      </c>
      <c r="Y8" s="29">
        <v>236</v>
      </c>
      <c r="Z8" s="29">
        <v>102</v>
      </c>
      <c r="AA8" s="3" t="s">
        <v>4</v>
      </c>
      <c r="AB8" s="1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"/>
      <c r="AO8" s="1"/>
      <c r="AP8" s="1"/>
      <c r="AQ8" s="1"/>
      <c r="AR8" s="1"/>
      <c r="AS8" s="1"/>
      <c r="AT8" s="1"/>
      <c r="AU8" s="1"/>
    </row>
    <row r="9" spans="1:47" ht="20.25" customHeight="1" x14ac:dyDescent="0.25">
      <c r="A9" s="2" t="s">
        <v>5</v>
      </c>
      <c r="B9" s="16">
        <f t="shared" si="0"/>
        <v>1765</v>
      </c>
      <c r="C9" s="17">
        <v>14</v>
      </c>
      <c r="D9" s="17">
        <v>1257</v>
      </c>
      <c r="E9" s="17">
        <v>396</v>
      </c>
      <c r="F9" s="17">
        <v>98</v>
      </c>
      <c r="G9" s="16">
        <f t="shared" si="1"/>
        <v>1684</v>
      </c>
      <c r="H9" s="17">
        <v>5</v>
      </c>
      <c r="I9" s="17">
        <v>1311</v>
      </c>
      <c r="J9" s="17">
        <v>267</v>
      </c>
      <c r="K9" s="18">
        <v>101</v>
      </c>
      <c r="L9" s="19">
        <f t="shared" si="2"/>
        <v>1852</v>
      </c>
      <c r="M9" s="17">
        <v>9</v>
      </c>
      <c r="N9" s="17">
        <v>1476</v>
      </c>
      <c r="O9" s="17">
        <v>260</v>
      </c>
      <c r="P9" s="17">
        <v>107</v>
      </c>
      <c r="Q9" s="19">
        <f t="shared" si="3"/>
        <v>2115</v>
      </c>
      <c r="R9" s="27">
        <v>15</v>
      </c>
      <c r="S9" s="27">
        <v>1740</v>
      </c>
      <c r="T9" s="27">
        <v>252</v>
      </c>
      <c r="U9" s="27">
        <v>108</v>
      </c>
      <c r="V9" s="47">
        <f t="shared" si="4"/>
        <v>2367</v>
      </c>
      <c r="W9" s="29">
        <v>11</v>
      </c>
      <c r="X9" s="29">
        <v>2010</v>
      </c>
      <c r="Y9" s="29">
        <v>244</v>
      </c>
      <c r="Z9" s="29">
        <v>102</v>
      </c>
      <c r="AA9" s="3" t="s">
        <v>6</v>
      </c>
      <c r="AB9" s="1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"/>
      <c r="AO9" s="1"/>
      <c r="AP9" s="1"/>
      <c r="AQ9" s="1"/>
      <c r="AR9" s="1"/>
      <c r="AS9" s="1"/>
      <c r="AT9" s="1"/>
      <c r="AU9" s="1"/>
    </row>
    <row r="10" spans="1:47" ht="20.25" customHeight="1" x14ac:dyDescent="0.25">
      <c r="A10" s="2" t="s">
        <v>7</v>
      </c>
      <c r="B10" s="16">
        <f t="shared" si="0"/>
        <v>1495</v>
      </c>
      <c r="C10" s="17">
        <v>15</v>
      </c>
      <c r="D10" s="17">
        <v>1120</v>
      </c>
      <c r="E10" s="17">
        <v>280</v>
      </c>
      <c r="F10" s="17">
        <v>80</v>
      </c>
      <c r="G10" s="16">
        <f t="shared" si="1"/>
        <v>1646</v>
      </c>
      <c r="H10" s="17">
        <v>12</v>
      </c>
      <c r="I10" s="17">
        <v>1276</v>
      </c>
      <c r="J10" s="17">
        <v>259</v>
      </c>
      <c r="K10" s="18">
        <v>99</v>
      </c>
      <c r="L10" s="19">
        <f t="shared" si="2"/>
        <v>1849</v>
      </c>
      <c r="M10" s="17">
        <v>27</v>
      </c>
      <c r="N10" s="17">
        <v>1471</v>
      </c>
      <c r="O10" s="17">
        <v>245</v>
      </c>
      <c r="P10" s="17">
        <v>106</v>
      </c>
      <c r="Q10" s="19">
        <f t="shared" si="3"/>
        <v>2096</v>
      </c>
      <c r="R10" s="27">
        <v>12</v>
      </c>
      <c r="S10" s="27">
        <v>1735</v>
      </c>
      <c r="T10" s="27">
        <v>246</v>
      </c>
      <c r="U10" s="27">
        <v>103</v>
      </c>
      <c r="V10" s="47">
        <f t="shared" si="4"/>
        <v>2320</v>
      </c>
      <c r="W10" s="29">
        <v>10</v>
      </c>
      <c r="X10" s="29">
        <v>1956</v>
      </c>
      <c r="Y10" s="29">
        <v>253</v>
      </c>
      <c r="Z10" s="29">
        <v>101</v>
      </c>
      <c r="AA10" s="3" t="s">
        <v>8</v>
      </c>
      <c r="AB10" s="1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"/>
      <c r="AO10" s="1"/>
      <c r="AP10" s="1"/>
      <c r="AQ10" s="1"/>
      <c r="AR10" s="1"/>
      <c r="AS10" s="1"/>
      <c r="AT10" s="1"/>
      <c r="AU10" s="1"/>
    </row>
    <row r="11" spans="1:47" ht="20.25" customHeight="1" x14ac:dyDescent="0.25">
      <c r="A11" s="2" t="s">
        <v>9</v>
      </c>
      <c r="B11" s="16">
        <f t="shared" si="0"/>
        <v>1494</v>
      </c>
      <c r="C11" s="17">
        <v>18</v>
      </c>
      <c r="D11" s="17">
        <v>1119</v>
      </c>
      <c r="E11" s="17">
        <v>276</v>
      </c>
      <c r="F11" s="17">
        <v>81</v>
      </c>
      <c r="G11" s="16">
        <f t="shared" si="1"/>
        <v>1665</v>
      </c>
      <c r="H11" s="17">
        <v>20</v>
      </c>
      <c r="I11" s="17">
        <v>1284</v>
      </c>
      <c r="J11" s="17">
        <v>264</v>
      </c>
      <c r="K11" s="18">
        <v>97</v>
      </c>
      <c r="L11" s="19">
        <f t="shared" si="2"/>
        <v>1851</v>
      </c>
      <c r="M11" s="17">
        <v>22</v>
      </c>
      <c r="N11" s="17">
        <v>1481</v>
      </c>
      <c r="O11" s="17">
        <v>244</v>
      </c>
      <c r="P11" s="17">
        <v>104</v>
      </c>
      <c r="Q11" s="19">
        <f t="shared" si="3"/>
        <v>2094</v>
      </c>
      <c r="R11" s="27">
        <v>10</v>
      </c>
      <c r="S11" s="27">
        <v>1739</v>
      </c>
      <c r="T11" s="27">
        <v>234</v>
      </c>
      <c r="U11" s="27">
        <v>111</v>
      </c>
      <c r="V11" s="47">
        <f t="shared" si="4"/>
        <v>2352</v>
      </c>
      <c r="W11" s="29">
        <v>23</v>
      </c>
      <c r="X11" s="29">
        <v>1975</v>
      </c>
      <c r="Y11" s="29">
        <v>252</v>
      </c>
      <c r="Z11" s="29">
        <v>102</v>
      </c>
      <c r="AA11" s="3" t="s">
        <v>10</v>
      </c>
      <c r="AB11" s="1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"/>
      <c r="AO11" s="1"/>
      <c r="AP11" s="1"/>
      <c r="AQ11" s="1"/>
      <c r="AR11" s="1"/>
      <c r="AS11" s="1"/>
      <c r="AT11" s="1"/>
      <c r="AU11" s="1"/>
    </row>
    <row r="12" spans="1:47" ht="20.25" customHeight="1" x14ac:dyDescent="0.25">
      <c r="A12" s="2" t="s">
        <v>11</v>
      </c>
      <c r="B12" s="16">
        <f t="shared" si="0"/>
        <v>1482</v>
      </c>
      <c r="C12" s="17">
        <v>18</v>
      </c>
      <c r="D12" s="17">
        <v>1117</v>
      </c>
      <c r="E12" s="17">
        <v>269</v>
      </c>
      <c r="F12" s="17">
        <v>78</v>
      </c>
      <c r="G12" s="16">
        <f t="shared" si="1"/>
        <v>1669</v>
      </c>
      <c r="H12" s="17">
        <v>20</v>
      </c>
      <c r="I12" s="17">
        <v>1297</v>
      </c>
      <c r="J12" s="17">
        <v>256</v>
      </c>
      <c r="K12" s="18">
        <v>96</v>
      </c>
      <c r="L12" s="19">
        <f t="shared" si="2"/>
        <v>1838</v>
      </c>
      <c r="M12" s="17">
        <v>23</v>
      </c>
      <c r="N12" s="17">
        <v>1473</v>
      </c>
      <c r="O12" s="17">
        <v>236</v>
      </c>
      <c r="P12" s="17">
        <v>106</v>
      </c>
      <c r="Q12" s="19">
        <f t="shared" si="3"/>
        <v>2120</v>
      </c>
      <c r="R12" s="27">
        <v>21</v>
      </c>
      <c r="S12" s="27">
        <v>1752</v>
      </c>
      <c r="T12" s="27">
        <v>237</v>
      </c>
      <c r="U12" s="27">
        <v>110</v>
      </c>
      <c r="V12" s="47">
        <f t="shared" si="4"/>
        <v>2350</v>
      </c>
      <c r="W12" s="29">
        <v>13</v>
      </c>
      <c r="X12" s="29">
        <v>1984</v>
      </c>
      <c r="Y12" s="29">
        <v>248</v>
      </c>
      <c r="Z12" s="29">
        <v>105</v>
      </c>
      <c r="AA12" s="3" t="s">
        <v>12</v>
      </c>
      <c r="AB12" s="1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"/>
      <c r="AO12" s="1"/>
      <c r="AP12" s="1"/>
      <c r="AQ12" s="1"/>
      <c r="AR12" s="1"/>
      <c r="AS12" s="1"/>
      <c r="AT12" s="1"/>
      <c r="AU12" s="1"/>
    </row>
    <row r="13" spans="1:47" ht="20.25" customHeight="1" x14ac:dyDescent="0.25">
      <c r="A13" s="2" t="s">
        <v>13</v>
      </c>
      <c r="B13" s="16">
        <f t="shared" si="0"/>
        <v>1482</v>
      </c>
      <c r="C13" s="17">
        <v>19</v>
      </c>
      <c r="D13" s="17">
        <v>1117</v>
      </c>
      <c r="E13" s="17">
        <v>266</v>
      </c>
      <c r="F13" s="17">
        <v>80</v>
      </c>
      <c r="G13" s="16">
        <f t="shared" si="1"/>
        <v>1689</v>
      </c>
      <c r="H13" s="17">
        <v>7</v>
      </c>
      <c r="I13" s="17">
        <v>1329</v>
      </c>
      <c r="J13" s="17">
        <v>257</v>
      </c>
      <c r="K13" s="18">
        <v>96</v>
      </c>
      <c r="L13" s="19">
        <f t="shared" si="2"/>
        <v>1839</v>
      </c>
      <c r="M13" s="17">
        <v>14</v>
      </c>
      <c r="N13" s="17">
        <v>1482</v>
      </c>
      <c r="O13" s="17">
        <v>236</v>
      </c>
      <c r="P13" s="17">
        <v>107</v>
      </c>
      <c r="Q13" s="19">
        <f t="shared" si="3"/>
        <v>2147</v>
      </c>
      <c r="R13" s="27">
        <v>9</v>
      </c>
      <c r="S13" s="27">
        <v>1790</v>
      </c>
      <c r="T13" s="27">
        <v>237</v>
      </c>
      <c r="U13" s="27">
        <v>111</v>
      </c>
      <c r="V13" s="47">
        <f t="shared" si="4"/>
        <v>2383</v>
      </c>
      <c r="W13" s="29">
        <v>14</v>
      </c>
      <c r="X13" s="29">
        <v>2014</v>
      </c>
      <c r="Y13" s="29">
        <v>252</v>
      </c>
      <c r="Z13" s="29">
        <v>103</v>
      </c>
      <c r="AA13" s="3" t="s">
        <v>14</v>
      </c>
      <c r="AB13" s="1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"/>
      <c r="AO13" s="1"/>
      <c r="AP13" s="1"/>
      <c r="AQ13" s="1"/>
      <c r="AR13" s="1"/>
      <c r="AS13" s="1"/>
      <c r="AT13" s="1"/>
      <c r="AU13" s="1"/>
    </row>
    <row r="14" spans="1:47" ht="20.25" customHeight="1" x14ac:dyDescent="0.25">
      <c r="A14" s="2" t="s">
        <v>15</v>
      </c>
      <c r="B14" s="16">
        <f t="shared" si="0"/>
        <v>1450</v>
      </c>
      <c r="C14" s="17">
        <v>9</v>
      </c>
      <c r="D14" s="17">
        <v>1101</v>
      </c>
      <c r="E14" s="17">
        <v>260</v>
      </c>
      <c r="F14" s="17">
        <v>80</v>
      </c>
      <c r="G14" s="16">
        <f t="shared" si="1"/>
        <v>1691</v>
      </c>
      <c r="H14" s="17">
        <v>9</v>
      </c>
      <c r="I14" s="17">
        <v>1343</v>
      </c>
      <c r="J14" s="17">
        <v>246</v>
      </c>
      <c r="K14" s="18">
        <v>93</v>
      </c>
      <c r="L14" s="19">
        <f t="shared" si="2"/>
        <v>1841</v>
      </c>
      <c r="M14" s="17">
        <v>12</v>
      </c>
      <c r="N14" s="17">
        <v>1496</v>
      </c>
      <c r="O14" s="17">
        <v>226</v>
      </c>
      <c r="P14" s="17">
        <v>107</v>
      </c>
      <c r="Q14" s="19">
        <f t="shared" si="3"/>
        <v>2173</v>
      </c>
      <c r="R14" s="27">
        <v>25</v>
      </c>
      <c r="S14" s="27">
        <v>1803</v>
      </c>
      <c r="T14" s="27">
        <v>236</v>
      </c>
      <c r="U14" s="27">
        <v>109</v>
      </c>
      <c r="V14" s="47">
        <f t="shared" si="4"/>
        <v>2401</v>
      </c>
      <c r="W14" s="29">
        <v>20</v>
      </c>
      <c r="X14" s="29">
        <v>2024</v>
      </c>
      <c r="Y14" s="29">
        <v>252</v>
      </c>
      <c r="Z14" s="29">
        <v>105</v>
      </c>
      <c r="AA14" s="3" t="s">
        <v>16</v>
      </c>
      <c r="AB14" s="1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"/>
      <c r="AO14" s="1"/>
      <c r="AP14" s="1"/>
      <c r="AQ14" s="1"/>
      <c r="AR14" s="1"/>
      <c r="AS14" s="1"/>
      <c r="AT14" s="1"/>
      <c r="AU14" s="1"/>
    </row>
    <row r="15" spans="1:47" ht="20.25" customHeight="1" x14ac:dyDescent="0.25">
      <c r="A15" s="2" t="s">
        <v>17</v>
      </c>
      <c r="B15" s="16">
        <f t="shared" si="0"/>
        <v>1463</v>
      </c>
      <c r="C15" s="17">
        <v>10</v>
      </c>
      <c r="D15" s="17">
        <v>1100</v>
      </c>
      <c r="E15" s="17">
        <v>269</v>
      </c>
      <c r="F15" s="17">
        <v>84</v>
      </c>
      <c r="G15" s="16">
        <f t="shared" si="1"/>
        <v>1693</v>
      </c>
      <c r="H15" s="17">
        <v>12</v>
      </c>
      <c r="I15" s="17">
        <v>1335</v>
      </c>
      <c r="J15" s="17">
        <v>250</v>
      </c>
      <c r="K15" s="18">
        <v>96</v>
      </c>
      <c r="L15" s="19">
        <f t="shared" si="2"/>
        <v>1857</v>
      </c>
      <c r="M15" s="17">
        <v>12</v>
      </c>
      <c r="N15" s="17">
        <v>1518</v>
      </c>
      <c r="O15" s="17">
        <v>219</v>
      </c>
      <c r="P15" s="17">
        <v>108</v>
      </c>
      <c r="Q15" s="19">
        <f t="shared" si="3"/>
        <v>2173</v>
      </c>
      <c r="R15" s="27">
        <v>12</v>
      </c>
      <c r="S15" s="27">
        <v>1791</v>
      </c>
      <c r="T15" s="27">
        <v>263</v>
      </c>
      <c r="U15" s="27">
        <v>107</v>
      </c>
      <c r="V15" s="47">
        <f t="shared" si="4"/>
        <v>2411</v>
      </c>
      <c r="W15" s="29">
        <v>18</v>
      </c>
      <c r="X15" s="29">
        <v>2037</v>
      </c>
      <c r="Y15" s="29">
        <v>254</v>
      </c>
      <c r="Z15" s="29">
        <v>102</v>
      </c>
      <c r="AA15" s="3" t="s">
        <v>18</v>
      </c>
      <c r="AB15" s="1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"/>
      <c r="AO15" s="1"/>
      <c r="AP15" s="1"/>
      <c r="AQ15" s="1"/>
      <c r="AR15" s="1"/>
      <c r="AS15" s="1"/>
      <c r="AT15" s="1"/>
      <c r="AU15" s="1"/>
    </row>
    <row r="16" spans="1:47" ht="20.25" customHeight="1" x14ac:dyDescent="0.25">
      <c r="A16" s="2" t="s">
        <v>19</v>
      </c>
      <c r="B16" s="16">
        <f t="shared" si="0"/>
        <v>1481</v>
      </c>
      <c r="C16" s="17">
        <v>22</v>
      </c>
      <c r="D16" s="17">
        <v>1103</v>
      </c>
      <c r="E16" s="17">
        <v>266</v>
      </c>
      <c r="F16" s="17">
        <v>90</v>
      </c>
      <c r="G16" s="16">
        <f t="shared" si="1"/>
        <v>1697</v>
      </c>
      <c r="H16" s="17">
        <v>20</v>
      </c>
      <c r="I16" s="17">
        <v>1306</v>
      </c>
      <c r="J16" s="17">
        <v>266</v>
      </c>
      <c r="K16" s="18">
        <v>105</v>
      </c>
      <c r="L16" s="19">
        <f t="shared" si="2"/>
        <v>1874</v>
      </c>
      <c r="M16" s="17">
        <v>24</v>
      </c>
      <c r="N16" s="17">
        <v>1491</v>
      </c>
      <c r="O16" s="17">
        <v>251</v>
      </c>
      <c r="P16" s="17">
        <v>108</v>
      </c>
      <c r="Q16" s="19">
        <f t="shared" si="3"/>
        <v>2182</v>
      </c>
      <c r="R16" s="27">
        <v>12</v>
      </c>
      <c r="S16" s="27">
        <v>1794</v>
      </c>
      <c r="T16" s="27">
        <v>262</v>
      </c>
      <c r="U16" s="27">
        <v>114</v>
      </c>
      <c r="V16" s="47">
        <f t="shared" si="4"/>
        <v>2404</v>
      </c>
      <c r="W16" s="29">
        <v>10</v>
      </c>
      <c r="X16" s="29">
        <v>2035</v>
      </c>
      <c r="Y16" s="29">
        <v>255</v>
      </c>
      <c r="Z16" s="29">
        <v>104</v>
      </c>
      <c r="AA16" s="3" t="s">
        <v>20</v>
      </c>
      <c r="AB16" s="1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"/>
      <c r="AO16" s="1"/>
      <c r="AP16" s="1"/>
      <c r="AQ16" s="1"/>
      <c r="AR16" s="1"/>
      <c r="AS16" s="1"/>
      <c r="AT16" s="1"/>
      <c r="AU16" s="1"/>
    </row>
    <row r="17" spans="1:47" ht="20.25" customHeight="1" x14ac:dyDescent="0.25">
      <c r="A17" s="2" t="s">
        <v>21</v>
      </c>
      <c r="B17" s="16">
        <f t="shared" si="0"/>
        <v>1468</v>
      </c>
      <c r="C17" s="17">
        <v>16</v>
      </c>
      <c r="D17" s="17">
        <v>1096</v>
      </c>
      <c r="E17" s="17">
        <v>266</v>
      </c>
      <c r="F17" s="17">
        <v>90</v>
      </c>
      <c r="G17" s="16">
        <f t="shared" si="1"/>
        <v>1681</v>
      </c>
      <c r="H17" s="17">
        <v>14</v>
      </c>
      <c r="I17" s="17">
        <v>1300</v>
      </c>
      <c r="J17" s="17">
        <v>264</v>
      </c>
      <c r="K17" s="18">
        <v>103</v>
      </c>
      <c r="L17" s="19">
        <f t="shared" si="2"/>
        <v>1875</v>
      </c>
      <c r="M17" s="17">
        <v>15</v>
      </c>
      <c r="N17" s="17">
        <v>1504</v>
      </c>
      <c r="O17" s="17">
        <v>245</v>
      </c>
      <c r="P17" s="17">
        <v>111</v>
      </c>
      <c r="Q17" s="19">
        <f t="shared" si="3"/>
        <v>2182</v>
      </c>
      <c r="R17" s="27">
        <v>12</v>
      </c>
      <c r="S17" s="27">
        <v>1783</v>
      </c>
      <c r="T17" s="27">
        <v>274</v>
      </c>
      <c r="U17" s="27">
        <v>113</v>
      </c>
      <c r="V17" s="47">
        <f t="shared" si="4"/>
        <v>2402</v>
      </c>
      <c r="W17" s="29">
        <v>18</v>
      </c>
      <c r="X17" s="29">
        <v>2027</v>
      </c>
      <c r="Y17" s="29">
        <v>254</v>
      </c>
      <c r="Z17" s="29">
        <v>103</v>
      </c>
      <c r="AA17" s="3" t="s">
        <v>22</v>
      </c>
      <c r="AB17" s="1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"/>
      <c r="AO17" s="1"/>
      <c r="AP17" s="1"/>
      <c r="AQ17" s="1"/>
      <c r="AR17" s="1"/>
      <c r="AS17" s="1"/>
      <c r="AT17" s="1"/>
      <c r="AU17" s="1"/>
    </row>
    <row r="18" spans="1:47" ht="20.25" customHeight="1" x14ac:dyDescent="0.55000000000000004">
      <c r="A18" s="2" t="s">
        <v>23</v>
      </c>
      <c r="B18" s="16">
        <f t="shared" si="0"/>
        <v>1473</v>
      </c>
      <c r="C18" s="17">
        <v>11</v>
      </c>
      <c r="D18" s="17">
        <v>1106</v>
      </c>
      <c r="E18" s="17">
        <v>264</v>
      </c>
      <c r="F18" s="17">
        <v>92</v>
      </c>
      <c r="G18" s="16">
        <f t="shared" si="1"/>
        <v>1663</v>
      </c>
      <c r="H18" s="17">
        <v>15</v>
      </c>
      <c r="I18" s="17">
        <v>1282</v>
      </c>
      <c r="J18" s="17">
        <v>261</v>
      </c>
      <c r="K18" s="18">
        <v>105</v>
      </c>
      <c r="L18" s="19">
        <f t="shared" si="2"/>
        <v>1878</v>
      </c>
      <c r="M18" s="17">
        <v>16</v>
      </c>
      <c r="N18" s="17">
        <v>1510</v>
      </c>
      <c r="O18" s="17">
        <v>245</v>
      </c>
      <c r="P18" s="17">
        <v>107</v>
      </c>
      <c r="Q18" s="19">
        <f t="shared" si="3"/>
        <v>2184</v>
      </c>
      <c r="R18" s="27">
        <v>13</v>
      </c>
      <c r="S18" s="27">
        <v>1780</v>
      </c>
      <c r="T18" s="27">
        <v>280</v>
      </c>
      <c r="U18" s="27">
        <v>111</v>
      </c>
      <c r="V18" s="47">
        <f t="shared" si="4"/>
        <v>2397</v>
      </c>
      <c r="W18" s="48">
        <v>12</v>
      </c>
      <c r="X18" s="48">
        <v>2024</v>
      </c>
      <c r="Y18" s="48">
        <v>258</v>
      </c>
      <c r="Z18" s="48">
        <v>103</v>
      </c>
      <c r="AA18" s="4" t="s">
        <v>24</v>
      </c>
      <c r="AB18" s="1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"/>
      <c r="AO18" s="1"/>
      <c r="AP18" s="1"/>
      <c r="AQ18" s="1"/>
      <c r="AR18" s="1"/>
      <c r="AS18" s="1"/>
      <c r="AT18" s="1"/>
      <c r="AU18" s="1"/>
    </row>
    <row r="19" spans="1:47" ht="20.25" customHeight="1" x14ac:dyDescent="0.25">
      <c r="A19" s="5" t="s">
        <v>25</v>
      </c>
      <c r="B19" s="20">
        <f t="shared" si="0"/>
        <v>1483</v>
      </c>
      <c r="C19" s="21">
        <v>19</v>
      </c>
      <c r="D19" s="21">
        <v>1111</v>
      </c>
      <c r="E19" s="21">
        <v>255</v>
      </c>
      <c r="F19" s="21">
        <v>98</v>
      </c>
      <c r="G19" s="20">
        <f t="shared" si="1"/>
        <v>1666</v>
      </c>
      <c r="H19" s="21">
        <v>18</v>
      </c>
      <c r="I19" s="21">
        <v>1283</v>
      </c>
      <c r="J19" s="21">
        <v>259</v>
      </c>
      <c r="K19" s="22">
        <v>106</v>
      </c>
      <c r="L19" s="23">
        <f t="shared" si="2"/>
        <v>1869</v>
      </c>
      <c r="M19" s="21">
        <v>16</v>
      </c>
      <c r="N19" s="21">
        <v>1500</v>
      </c>
      <c r="O19" s="21">
        <v>246</v>
      </c>
      <c r="P19" s="21">
        <v>107</v>
      </c>
      <c r="Q19" s="23">
        <f t="shared" si="3"/>
        <v>2166</v>
      </c>
      <c r="R19" s="28">
        <v>14</v>
      </c>
      <c r="S19" s="28">
        <v>1768</v>
      </c>
      <c r="T19" s="28">
        <v>272</v>
      </c>
      <c r="U19" s="28">
        <v>112</v>
      </c>
      <c r="V19" s="23">
        <f t="shared" si="4"/>
        <v>2437</v>
      </c>
      <c r="W19" s="30">
        <v>26</v>
      </c>
      <c r="X19" s="30">
        <v>2050</v>
      </c>
      <c r="Y19" s="30">
        <v>256</v>
      </c>
      <c r="Z19" s="30">
        <v>105</v>
      </c>
      <c r="AA19" s="6" t="s">
        <v>26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5.75" customHeight="1" x14ac:dyDescent="0.45">
      <c r="A20" s="8" t="s">
        <v>28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9" t="s">
        <v>27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5.75" customHeight="1" x14ac:dyDescent="0.25">
      <c r="A22" s="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5.75" customHeight="1" x14ac:dyDescent="0.25">
      <c r="A23" s="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5.75" customHeight="1" x14ac:dyDescent="0.25">
      <c r="A24" s="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5.75" customHeight="1" x14ac:dyDescent="0.25">
      <c r="A25" s="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5.75" customHeight="1" x14ac:dyDescent="0.25">
      <c r="A26" s="1"/>
      <c r="B26" s="11"/>
      <c r="C26" s="25"/>
      <c r="D26" s="11"/>
      <c r="E26" s="11"/>
      <c r="F26" s="11"/>
      <c r="G26" s="11"/>
      <c r="H26" s="25"/>
      <c r="I26" s="11"/>
      <c r="J26" s="11"/>
      <c r="K26" s="11"/>
      <c r="L26" s="11"/>
      <c r="M26" s="25"/>
      <c r="N26" s="11"/>
      <c r="O26" s="11"/>
      <c r="P26" s="11"/>
      <c r="Q26" s="11"/>
      <c r="R26" s="25"/>
      <c r="S26" s="11"/>
      <c r="T26" s="11"/>
      <c r="U26" s="11"/>
      <c r="V26" s="11"/>
      <c r="W26" s="25"/>
      <c r="X26" s="11"/>
      <c r="Y26" s="11"/>
      <c r="Z26" s="1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5.75" customHeight="1" x14ac:dyDescent="0.25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7"/>
      <c r="AU27" s="1"/>
    </row>
    <row r="28" spans="1:47" ht="15.75" customHeight="1" x14ac:dyDescent="0.25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5.75" customHeight="1" x14ac:dyDescent="0.25">
      <c r="A29" s="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5.75" customHeight="1" x14ac:dyDescent="0.25">
      <c r="A30" s="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5.75" customHeight="1" x14ac:dyDescent="0.25">
      <c r="A31" s="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5.75" customHeight="1" x14ac:dyDescent="0.25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5.75" customHeight="1" x14ac:dyDescent="0.25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5.75" customHeight="1" x14ac:dyDescent="0.25">
      <c r="A34" s="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5.75" customHeight="1" x14ac:dyDescent="0.25">
      <c r="A35" s="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5.75" customHeight="1" x14ac:dyDescent="0.25">
      <c r="A36" s="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5.75" customHeight="1" x14ac:dyDescent="0.25">
      <c r="A37" s="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5.75" customHeight="1" x14ac:dyDescent="0.25">
      <c r="A38" s="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5.75" customHeight="1" x14ac:dyDescent="0.25">
      <c r="A39" s="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10">
    <mergeCell ref="L6:P6"/>
    <mergeCell ref="A2:AA2"/>
    <mergeCell ref="A3:AA3"/>
    <mergeCell ref="A5:A7"/>
    <mergeCell ref="AA5:AA7"/>
    <mergeCell ref="Q6:U6"/>
    <mergeCell ref="B6:F6"/>
    <mergeCell ref="G6:K6"/>
    <mergeCell ref="V6:Z6"/>
    <mergeCell ref="G5:Z5"/>
  </mergeCells>
  <pageMargins left="0.7" right="0.7" top="0.75" bottom="0.75" header="0" footer="0"/>
  <pageSetup paperSize="9"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18.5</vt:lpstr>
      <vt:lpstr>'18.5'!Print_Area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2026-05-07T03:45:05Z</cp:lastPrinted>
  <dcterms:created xsi:type="dcterms:W3CDTF">2025-05-19T08:29:05Z</dcterms:created>
  <dcterms:modified xsi:type="dcterms:W3CDTF">2026-05-07T03:45:13Z</dcterms:modified>
</cp:coreProperties>
</file>