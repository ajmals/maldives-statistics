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ension &amp; Social Protection\"/>
    </mc:Choice>
  </mc:AlternateContent>
  <xr:revisionPtr revIDLastSave="0" documentId="13_ncr:1_{FF83F279-58E1-4BD7-8018-F9EC7300C6EE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18.11 " sheetId="11" r:id="rId1"/>
  </sheets>
  <definedNames>
    <definedName name="_xlnm.Print_Area" localSheetId="0">'18.11 '!$A$1:$P$34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1" l="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 l="1"/>
</calcChain>
</file>

<file path=xl/sharedStrings.xml><?xml version="1.0" encoding="utf-8"?>
<sst xmlns="http://schemas.openxmlformats.org/spreadsheetml/2006/main" count="72" uniqueCount="71">
  <si>
    <t>ޖުމްލަ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</si>
  <si>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</si>
  <si>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</si>
  <si>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</si>
  <si>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</si>
  <si>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</si>
  <si>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</si>
  <si>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</si>
  <si>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</si>
  <si>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</si>
  <si>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</si>
  <si>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</si>
  <si>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</si>
  <si>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މަޢުލޫމާތު ދެއްވި ފަރާތް: މޯލްޑިވްސް ޕެންޝަން އެޑްމިނިސްޓްރޭޝަން</t>
  </si>
  <si>
    <t>Source: Maldives Pension Administration</t>
  </si>
  <si>
    <t xml:space="preserve">Total </t>
  </si>
  <si>
    <t>Sector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</si>
  <si>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</si>
  <si>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</si>
  <si>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</si>
  <si>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</si>
  <si>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</si>
  <si>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</si>
  <si>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</si>
  <si>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</si>
  <si>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</si>
  <si>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</si>
  <si>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</si>
  <si>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</si>
  <si>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</si>
  <si>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</si>
  <si>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</si>
  <si>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</si>
  <si>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</si>
  <si>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</si>
  <si>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</si>
  <si>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</si>
  <si>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</si>
  <si>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</si>
  <si>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</si>
  <si>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</si>
  <si>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Housing Development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</si>
  <si>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</si>
  <si>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</si>
  <si>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</si>
  <si>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</si>
  <si>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</si>
  <si>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Others</t>
  </si>
  <si>
    <t>އެހެނިހެން</t>
  </si>
  <si>
    <t>Passenger Ferries</t>
  </si>
  <si>
    <t>ފެރީގެ ޙިދުމަތް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</si>
  <si>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</si>
  <si>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</si>
  <si>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</si>
  <si>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</si>
  <si>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</si>
  <si>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</si>
  <si>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</si>
  <si>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</si>
  <si>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</si>
  <si>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</si>
  <si>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</si>
  <si>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</si>
  <si>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</si>
  <si>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</si>
  <si>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</si>
  <si>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</si>
  <si>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</si>
  <si>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</si>
  <si>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TABLE   18.11:   AMOUNT OF CONTRIBUTION TO RETIREMENT PENSION SCHEME BY SECTOR BY MONTH,  2025</t>
  </si>
  <si>
    <t>ތާވަލު 18.11 :މަސްމަހުގެ ގޮތުން ރިޓާޔަމަންޓް ޕެންޝަން ސްކީމްއަށް ޕަބްލިކް އަދި ޕްރައިވެޓް ސެކްޓަރއިން ފައިސާދެއްކި މިންވަރު،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</si>
</sst>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2">
    <xf numFmtId="0" fontId="0" fillId="0" borderId="0"/>
    <xf numFmtId="164" fontId="13" fillId="0" borderId="8"/>
    <xf numFmtId="43" fontId="3" fillId="0" borderId="8" applyFont="0" applyFill="0" applyBorder="0" applyAlignment="0" applyProtection="0"/>
    <xf numFmtId="43" fontId="3" fillId="0" borderId="8" applyFont="0" applyFill="0" applyBorder="0" applyAlignment="0" applyProtection="0"/>
    <xf numFmtId="0" fontId="12" fillId="0" borderId="8"/>
    <xf numFmtId="0" fontId="3" fillId="0" borderId="8"/>
    <xf numFmtId="0" fontId="3" fillId="0" borderId="8"/>
    <xf numFmtId="0" fontId="3" fillId="0" borderId="8"/>
    <xf numFmtId="0" fontId="12" fillId="0" borderId="8"/>
    <xf numFmtId="0" fontId="12" fillId="0" borderId="8"/>
    <xf numFmtId="0" fontId="3" fillId="0" borderId="8"/>
    <xf numFmtId="0" fontId="3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  <xf numFmtId="0" fontId="14" fillId="0" borderId="8"/>
  </cellStyleXfs>
  <cellXfs count="30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/>
    <xf numFmtId="0" fontId="6" fillId="2" borderId="4" xfId="0" applyFont="1" applyFill="1" applyBorder="1"/>
    <xf numFmtId="0" fontId="3" fillId="2" borderId="7" xfId="0" applyFont="1" applyFill="1" applyBorder="1"/>
    <xf numFmtId="0" fontId="6" fillId="2" borderId="7" xfId="0" applyFont="1" applyFill="1" applyBorder="1"/>
    <xf numFmtId="0" fontId="7" fillId="2" borderId="4" xfId="0" applyFont="1" applyFill="1" applyBorder="1"/>
    <xf numFmtId="3" fontId="4" fillId="2" borderId="7" xfId="0" applyNumberFormat="1" applyFont="1" applyFill="1" applyBorder="1" applyAlignment="1">
      <alignment horizontal="right" vertical="center" wrapText="1"/>
    </xf>
    <xf numFmtId="3" fontId="9" fillId="2" borderId="7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horizontal="left" vertical="center"/>
    </xf>
    <xf numFmtId="0" fontId="8" fillId="2" borderId="8" xfId="0" applyFont="1" applyFill="1" applyBorder="1"/>
    <xf numFmtId="0" fontId="0" fillId="3" borderId="0" xfId="0" applyFill="1"/>
    <xf numFmtId="0" fontId="11" fillId="3" borderId="0" xfId="0" applyFont="1" applyFill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6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center" vertical="center"/>
    </xf>
    <xf numFmtId="0" fontId="2" fillId="3" borderId="10" xfId="0" applyFont="1" applyFill="1" applyBorder="1"/>
    <xf numFmtId="0" fontId="2" fillId="3" borderId="11" xfId="0" applyFont="1" applyFill="1" applyBorder="1"/>
    <xf numFmtId="0" fontId="3" fillId="2" borderId="5" xfId="0" applyFont="1" applyFill="1" applyBorder="1" applyAlignment="1">
      <alignment horizontal="center"/>
    </xf>
    <xf numFmtId="3" fontId="9" fillId="2" borderId="4" xfId="0" applyNumberFormat="1" applyFont="1" applyFill="1" applyBorder="1" applyAlignment="1">
      <alignment horizontal="right" vertical="center"/>
    </xf>
    <xf numFmtId="3" fontId="5" fillId="2" borderId="4" xfId="0" applyNumberFormat="1" applyFont="1" applyFill="1" applyBorder="1" applyAlignment="1">
      <alignment horizontal="right" vertical="center"/>
    </xf>
    <xf numFmtId="3" fontId="5" fillId="2" borderId="12" xfId="0" applyNumberFormat="1" applyFont="1" applyFill="1" applyBorder="1" applyAlignment="1">
      <alignment horizontal="right" vertical="center"/>
    </xf>
  </cellXfs>
  <cellStyles count="32">
    <cellStyle name="Comma 23" xfId="2" xr:uid="{94027C67-5182-4251-874E-333D39869C41}"/>
    <cellStyle name="Comma 3" xfId="3" xr:uid="{32D59405-9255-4528-A182-E2FB87AEA447}"/>
    <cellStyle name="Normal" xfId="0" builtinId="0"/>
    <cellStyle name="Normal 10" xfId="6" xr:uid="{EBA83A1A-0725-4264-B217-6FB255D01D9A}"/>
    <cellStyle name="Normal 11" xfId="8" xr:uid="{141512A6-9575-4B9F-B0CD-71B08DB8B8DD}"/>
    <cellStyle name="Normal 12" xfId="18" xr:uid="{EBB53E00-7290-4E95-B00B-97E70B994095}"/>
    <cellStyle name="Normal 13" xfId="19" xr:uid="{5089EADD-6FB8-455A-99B7-4CE3F8EA2523}"/>
    <cellStyle name="Normal 14" xfId="20" xr:uid="{6D8E876D-C549-4F8C-BBB2-9044945BA1DE}"/>
    <cellStyle name="Normal 15" xfId="21" xr:uid="{FC8B6F0F-4F04-414B-856A-E9EF52594A17}"/>
    <cellStyle name="Normal 16" xfId="22" xr:uid="{A9472295-1693-4D41-8C43-FD2ACA0018F7}"/>
    <cellStyle name="Normal 17" xfId="23" xr:uid="{AD84AE3E-C9FD-40C7-9E44-467A53F078DC}"/>
    <cellStyle name="Normal 18" xfId="24" xr:uid="{3ECF2013-8279-4761-949D-EDD1A3769A1A}"/>
    <cellStyle name="Normal 19" xfId="25" xr:uid="{2DA431D7-B0FC-4CC3-83FB-38993139A464}"/>
    <cellStyle name="Normal 2" xfId="1" xr:uid="{5582CC97-B3B3-49F0-A32C-77365FA866E7}"/>
    <cellStyle name="Normal 20" xfId="26" xr:uid="{BF15BF13-2BA4-453C-A5D4-7F378D5A7AB0}"/>
    <cellStyle name="Normal 21" xfId="27" xr:uid="{EB16884D-319E-44C4-BACF-AAE219752D74}"/>
    <cellStyle name="Normal 22" xfId="28" xr:uid="{0BC55367-C80F-4644-A253-56F0D6C8449D}"/>
    <cellStyle name="Normal 23" xfId="29" xr:uid="{70D0A6B6-C10D-4B03-BE3E-BCA8F6F565D6}"/>
    <cellStyle name="Normal 24" xfId="30" xr:uid="{5D1C52F0-96A7-41A3-BA9A-F4828B3BA100}"/>
    <cellStyle name="Normal 25" xfId="31" xr:uid="{98DE4CB4-469A-4E2E-95F6-679D1ED1E259}"/>
    <cellStyle name="Normal 3" xfId="12" xr:uid="{41F67738-7CBD-405C-A2E8-93EC8D754E04}"/>
    <cellStyle name="Normal 30 2" xfId="5" xr:uid="{319A01A9-484D-401C-B51C-AFA22C8C147A}"/>
    <cellStyle name="Normal 39" xfId="7" xr:uid="{358DB4F3-2572-40C1-8528-73DD19838977}"/>
    <cellStyle name="Normal 4" xfId="13" xr:uid="{F9DB212B-6BED-4D0E-9812-6AF8B0852E4C}"/>
    <cellStyle name="Normal 5" xfId="14" xr:uid="{2E2DF4F8-9240-4060-8DF2-DBD25985C646}"/>
    <cellStyle name="Normal 58" xfId="11" xr:uid="{5FADB181-8394-4B9F-BF6B-8B2AABC26B0E}"/>
    <cellStyle name="Normal 59" xfId="10" xr:uid="{BC46D8EB-1784-4261-8D55-F234E5AA2CF7}"/>
    <cellStyle name="Normal 6" xfId="15" xr:uid="{FD6A37D1-7F80-4842-A6BE-097A50A4815D}"/>
    <cellStyle name="Normal 7" xfId="16" xr:uid="{D3073D1C-C63F-4665-88AD-8A1CCCB7F8E6}"/>
    <cellStyle name="Normal 8" xfId="17" xr:uid="{994E9518-379D-453B-A8BE-5A00EF9195C3}"/>
    <cellStyle name="Normal 9" xfId="4" xr:uid="{625F25BA-A41A-4C28-BF91-33331014C8BC}"/>
    <cellStyle name="Normal 9 2" xfId="9" xr:uid="{9FC5A332-BEB2-4834-8023-4E42B3DA4A83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Z34"/>
  <sheetViews>
    <sheetView tabSelected="1" zoomScaleNormal="100" workbookViewId="0">
      <selection activeCell="J39" sqref="J39"/>
    </sheetView>
  </sheetViews>
  <sheetFormatPr defaultColWidth="14.42578125" defaultRowHeight="15" customHeight="1" x14ac:dyDescent="0.25"/>
  <cols>
    <col min="1" max="1" width="43.7109375" style="15" customWidth="1"/>
    <col min="2" max="2" width="14.28515625" style="15" customWidth="1"/>
    <col min="3" max="14" width="12" style="15" customWidth="1"/>
    <col min="15" max="15" width="39.140625" style="15" customWidth="1"/>
    <col min="16" max="16" width="2" style="15" customWidth="1"/>
    <col min="17" max="26" width="8.7109375" style="15" customWidth="1"/>
    <col min="27" max="16384" width="14.42578125" style="15"/>
  </cols>
  <sheetData>
    <row r="1" spans="1:26" ht="18" customHeight="1" x14ac:dyDescent="0.55000000000000004">
      <c r="A1" s="17" t="s">
        <v>70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5">
      <c r="A2" s="21" t="s">
        <v>69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4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22" t="s">
        <v>16</v>
      </c>
      <c r="B4" s="23">
        <v>2025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5"/>
      <c r="O4" s="26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20"/>
      <c r="B5" s="8" t="s">
        <v>15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O5" s="20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x14ac:dyDescent="0.55000000000000004">
      <c r="A6" s="9" t="s">
        <v>15</v>
      </c>
      <c r="B6" s="27">
        <f t="shared" ref="B6:N6" si="0">SUM(B7:B32)</f>
        <v>1916487625.9800005</v>
      </c>
      <c r="C6" s="27">
        <f t="shared" si="0"/>
        <v>153595310.17999998</v>
      </c>
      <c r="D6" s="27">
        <f t="shared" si="0"/>
        <v>154009372.28999999</v>
      </c>
      <c r="E6" s="27">
        <f t="shared" si="0"/>
        <v>152171465.12</v>
      </c>
      <c r="F6" s="27">
        <f t="shared" si="0"/>
        <v>167905239.30999997</v>
      </c>
      <c r="G6" s="27">
        <f t="shared" si="0"/>
        <v>159520337.15000001</v>
      </c>
      <c r="H6" s="27">
        <f t="shared" si="0"/>
        <v>141300717.72999999</v>
      </c>
      <c r="I6" s="27">
        <f t="shared" si="0"/>
        <v>192790912.48999995</v>
      </c>
      <c r="J6" s="27">
        <f t="shared" si="0"/>
        <v>157960334.5</v>
      </c>
      <c r="K6" s="27">
        <f t="shared" si="0"/>
        <v>163523702.30999997</v>
      </c>
      <c r="L6" s="27">
        <f t="shared" si="0"/>
        <v>155438127.63999996</v>
      </c>
      <c r="M6" s="27">
        <f t="shared" si="0"/>
        <v>147899000.59</v>
      </c>
      <c r="N6" s="27">
        <f t="shared" si="0"/>
        <v>170373106.67000002</v>
      </c>
      <c r="O6" s="2" t="s">
        <v>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25" customHeight="1" x14ac:dyDescent="0.55000000000000004">
      <c r="A7" s="10" t="s">
        <v>17</v>
      </c>
      <c r="B7" s="28">
        <f t="shared" ref="B7:B32" si="1">SUM(C7:N7)</f>
        <v>6691793.3100000005</v>
      </c>
      <c r="C7" s="28">
        <v>545657.54</v>
      </c>
      <c r="D7" s="28">
        <v>526764.93000000005</v>
      </c>
      <c r="E7" s="28">
        <v>695559.04</v>
      </c>
      <c r="F7" s="28">
        <v>529287.38</v>
      </c>
      <c r="G7" s="28">
        <v>513155.93</v>
      </c>
      <c r="H7" s="28">
        <v>514889.79</v>
      </c>
      <c r="I7" s="28">
        <v>679742.86</v>
      </c>
      <c r="J7" s="28">
        <v>519085.32</v>
      </c>
      <c r="K7" s="28">
        <v>555590.54</v>
      </c>
      <c r="L7" s="28">
        <v>517478.1</v>
      </c>
      <c r="M7" s="28">
        <v>510357.4</v>
      </c>
      <c r="N7" s="28">
        <v>584224.48</v>
      </c>
      <c r="O7" s="3" t="s">
        <v>18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25" customHeight="1" x14ac:dyDescent="0.55000000000000004">
      <c r="A8" s="10" t="s">
        <v>19</v>
      </c>
      <c r="B8" s="28">
        <f t="shared" si="1"/>
        <v>128402648.04000001</v>
      </c>
      <c r="C8" s="28">
        <v>10434277.619999999</v>
      </c>
      <c r="D8" s="28">
        <v>9727724.4399999995</v>
      </c>
      <c r="E8" s="28">
        <v>8644478.5199999996</v>
      </c>
      <c r="F8" s="28">
        <v>9319372.0199999996</v>
      </c>
      <c r="G8" s="28">
        <v>10089345.92</v>
      </c>
      <c r="H8" s="28">
        <v>5230952.78</v>
      </c>
      <c r="I8" s="28">
        <v>17989362</v>
      </c>
      <c r="J8" s="28">
        <v>13090398.16</v>
      </c>
      <c r="K8" s="28">
        <v>10573250.119999999</v>
      </c>
      <c r="L8" s="28">
        <v>9591683.3200000003</v>
      </c>
      <c r="M8" s="28">
        <v>10716453.5</v>
      </c>
      <c r="N8" s="28">
        <v>12995349.640000001</v>
      </c>
      <c r="O8" s="3" t="s">
        <v>20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25" customHeight="1" x14ac:dyDescent="0.55000000000000004">
      <c r="A9" s="10" t="s">
        <v>21</v>
      </c>
      <c r="B9" s="28">
        <f t="shared" si="1"/>
        <v>111309.20000000001</v>
      </c>
      <c r="C9" s="28">
        <v>17870.68</v>
      </c>
      <c r="D9" s="28">
        <v>2240</v>
      </c>
      <c r="E9" s="28">
        <v>29709.32</v>
      </c>
      <c r="F9" s="28">
        <v>13322.4</v>
      </c>
      <c r="G9" s="28">
        <v>3780.04</v>
      </c>
      <c r="H9" s="28">
        <v>13337.3</v>
      </c>
      <c r="I9" s="28">
        <v>3785.88</v>
      </c>
      <c r="J9" s="28">
        <v>16063.58</v>
      </c>
      <c r="K9" s="28">
        <v>2800</v>
      </c>
      <c r="L9" s="28">
        <v>2800</v>
      </c>
      <c r="M9" s="28">
        <v>2800</v>
      </c>
      <c r="N9" s="28">
        <v>2800</v>
      </c>
      <c r="O9" s="3" t="s">
        <v>22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25" customHeight="1" x14ac:dyDescent="0.55000000000000004">
      <c r="A10" s="10" t="s">
        <v>23</v>
      </c>
      <c r="B10" s="28">
        <f t="shared" si="1"/>
        <v>271973.10000000003</v>
      </c>
      <c r="C10" s="28">
        <v>31598.5</v>
      </c>
      <c r="D10" s="28">
        <v>22129.74</v>
      </c>
      <c r="E10" s="28">
        <v>19587.259999999998</v>
      </c>
      <c r="F10" s="28">
        <v>22531.34</v>
      </c>
      <c r="G10" s="28">
        <v>20436.580000000002</v>
      </c>
      <c r="H10" s="28">
        <v>22958.74</v>
      </c>
      <c r="I10" s="28">
        <v>25485.38</v>
      </c>
      <c r="J10" s="28">
        <v>18296.98</v>
      </c>
      <c r="K10" s="28">
        <v>23761.1</v>
      </c>
      <c r="L10" s="28">
        <v>26579.82</v>
      </c>
      <c r="M10" s="28">
        <v>18296.18</v>
      </c>
      <c r="N10" s="28">
        <v>20311.48</v>
      </c>
      <c r="O10" s="3" t="s">
        <v>24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25" customHeight="1" x14ac:dyDescent="0.55000000000000004">
      <c r="A11" s="10" t="s">
        <v>25</v>
      </c>
      <c r="B11" s="28">
        <f t="shared" si="1"/>
        <v>43831788.840000004</v>
      </c>
      <c r="C11" s="28">
        <v>4568991.16</v>
      </c>
      <c r="D11" s="28">
        <v>3602016.96</v>
      </c>
      <c r="E11" s="28">
        <v>3729130.94</v>
      </c>
      <c r="F11" s="28">
        <v>3787059.83</v>
      </c>
      <c r="G11" s="28">
        <v>3784898</v>
      </c>
      <c r="H11" s="28">
        <v>3842192.2</v>
      </c>
      <c r="I11" s="28">
        <v>4358593.63</v>
      </c>
      <c r="J11" s="28">
        <v>3673163.66</v>
      </c>
      <c r="K11" s="28">
        <v>3809036.86</v>
      </c>
      <c r="L11" s="28">
        <v>4345126.22</v>
      </c>
      <c r="M11" s="28">
        <v>2081745.57</v>
      </c>
      <c r="N11" s="28">
        <v>2249833.81</v>
      </c>
      <c r="O11" s="3" t="s">
        <v>26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25" customHeight="1" x14ac:dyDescent="0.55000000000000004">
      <c r="A12" s="10" t="s">
        <v>27</v>
      </c>
      <c r="B12" s="28">
        <f t="shared" si="1"/>
        <v>2582418.7000000002</v>
      </c>
      <c r="C12" s="28">
        <v>352102.34</v>
      </c>
      <c r="D12" s="28">
        <v>203026.4</v>
      </c>
      <c r="E12" s="28">
        <v>184459.56</v>
      </c>
      <c r="F12" s="28">
        <v>185868.79999999999</v>
      </c>
      <c r="G12" s="28">
        <v>35788.22</v>
      </c>
      <c r="H12" s="28">
        <v>286918.94</v>
      </c>
      <c r="I12" s="28">
        <v>368207.1</v>
      </c>
      <c r="J12" s="28">
        <v>193760.08</v>
      </c>
      <c r="K12" s="28">
        <v>190216.78</v>
      </c>
      <c r="L12" s="28">
        <v>247094.26</v>
      </c>
      <c r="M12" s="28">
        <v>218102.5</v>
      </c>
      <c r="N12" s="28">
        <v>116873.72</v>
      </c>
      <c r="O12" s="3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" customHeight="1" x14ac:dyDescent="0.25">
      <c r="A13" s="11" t="s">
        <v>29</v>
      </c>
      <c r="B13" s="28">
        <f t="shared" si="1"/>
        <v>139925021.38</v>
      </c>
      <c r="C13" s="28">
        <v>7668526.8600000003</v>
      </c>
      <c r="D13" s="28">
        <v>11587726.609999999</v>
      </c>
      <c r="E13" s="28">
        <v>11518267.029999999</v>
      </c>
      <c r="F13" s="28">
        <v>12009740.310000001</v>
      </c>
      <c r="G13" s="28">
        <v>11892877.890000001</v>
      </c>
      <c r="H13" s="28">
        <v>8605684.8000000007</v>
      </c>
      <c r="I13" s="28">
        <v>16999506.640000001</v>
      </c>
      <c r="J13" s="28">
        <v>12401882.800000001</v>
      </c>
      <c r="K13" s="28">
        <v>12489178.779999999</v>
      </c>
      <c r="L13" s="28">
        <v>12396656.57</v>
      </c>
      <c r="M13" s="28">
        <v>8491193.4600000009</v>
      </c>
      <c r="N13" s="28">
        <v>13863779.630000001</v>
      </c>
      <c r="O13" s="12" t="s">
        <v>30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25" customHeight="1" x14ac:dyDescent="0.55000000000000004">
      <c r="A14" s="10" t="s">
        <v>31</v>
      </c>
      <c r="B14" s="28">
        <f t="shared" si="1"/>
        <v>12204942.35</v>
      </c>
      <c r="C14" s="28">
        <v>1033068.16</v>
      </c>
      <c r="D14" s="28">
        <v>980603.19</v>
      </c>
      <c r="E14" s="28">
        <v>1033421.44</v>
      </c>
      <c r="F14" s="28">
        <v>981337.78</v>
      </c>
      <c r="G14" s="28">
        <v>972858.16</v>
      </c>
      <c r="H14" s="28">
        <v>289012.38</v>
      </c>
      <c r="I14" s="28">
        <v>1782267</v>
      </c>
      <c r="J14" s="28">
        <v>993041.88</v>
      </c>
      <c r="K14" s="28">
        <v>1051641.1000000001</v>
      </c>
      <c r="L14" s="28">
        <v>231588.04</v>
      </c>
      <c r="M14" s="28">
        <v>1821713.58</v>
      </c>
      <c r="N14" s="28">
        <v>1034389.64</v>
      </c>
      <c r="O14" s="3" t="s">
        <v>32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25" customHeight="1" x14ac:dyDescent="0.55000000000000004">
      <c r="A15" s="10" t="s">
        <v>33</v>
      </c>
      <c r="B15" s="28">
        <f t="shared" si="1"/>
        <v>3458448.24</v>
      </c>
      <c r="C15" s="28">
        <v>264668.74</v>
      </c>
      <c r="D15" s="28">
        <v>220949.62</v>
      </c>
      <c r="E15" s="28">
        <v>310252.18</v>
      </c>
      <c r="F15" s="28">
        <v>258484.96</v>
      </c>
      <c r="G15" s="28">
        <v>258151.7</v>
      </c>
      <c r="H15" s="28">
        <v>149317.88</v>
      </c>
      <c r="I15" s="28">
        <v>382925.64</v>
      </c>
      <c r="J15" s="28">
        <v>256675.92</v>
      </c>
      <c r="K15" s="28">
        <v>261529.16</v>
      </c>
      <c r="L15" s="28">
        <v>252441.84</v>
      </c>
      <c r="M15" s="28">
        <v>255625.98</v>
      </c>
      <c r="N15" s="28">
        <v>587424.62</v>
      </c>
      <c r="O15" s="3" t="s">
        <v>34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 x14ac:dyDescent="0.55000000000000004">
      <c r="A16" s="10" t="s">
        <v>35</v>
      </c>
      <c r="B16" s="28">
        <f t="shared" si="1"/>
        <v>735609253.72000003</v>
      </c>
      <c r="C16" s="28">
        <v>54893136.060000002</v>
      </c>
      <c r="D16" s="28">
        <v>59514381.57</v>
      </c>
      <c r="E16" s="28">
        <v>57678160.799999997</v>
      </c>
      <c r="F16" s="28">
        <v>67779622.430000007</v>
      </c>
      <c r="G16" s="28">
        <v>64740663.090000004</v>
      </c>
      <c r="H16" s="28">
        <v>59990901.5</v>
      </c>
      <c r="I16" s="28">
        <v>67420241.909999996</v>
      </c>
      <c r="J16" s="28">
        <v>61690893.329999998</v>
      </c>
      <c r="K16" s="28">
        <v>60624230.009999998</v>
      </c>
      <c r="L16" s="28">
        <v>59892130.93</v>
      </c>
      <c r="M16" s="28">
        <v>56888629.579999998</v>
      </c>
      <c r="N16" s="28">
        <v>64496262.509999998</v>
      </c>
      <c r="O16" s="3" t="s">
        <v>36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25" customHeight="1" x14ac:dyDescent="0.55000000000000004">
      <c r="A17" s="10" t="s">
        <v>37</v>
      </c>
      <c r="B17" s="28">
        <f t="shared" si="1"/>
        <v>20133571.760000002</v>
      </c>
      <c r="C17" s="28">
        <v>1775042.85</v>
      </c>
      <c r="D17" s="28">
        <v>1686629.38</v>
      </c>
      <c r="E17" s="28">
        <v>1794116.71</v>
      </c>
      <c r="F17" s="28">
        <v>1653594.24</v>
      </c>
      <c r="G17" s="28">
        <v>1685972.54</v>
      </c>
      <c r="H17" s="28">
        <v>1643296.36</v>
      </c>
      <c r="I17" s="28">
        <v>1779731.96</v>
      </c>
      <c r="J17" s="28">
        <v>1711878.66</v>
      </c>
      <c r="K17" s="28">
        <v>1831914.47</v>
      </c>
      <c r="L17" s="28">
        <v>1145147.52</v>
      </c>
      <c r="M17" s="28">
        <v>1223613.54</v>
      </c>
      <c r="N17" s="28">
        <v>2202633.5299999998</v>
      </c>
      <c r="O17" s="3" t="s">
        <v>38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25" customHeight="1" x14ac:dyDescent="0.55000000000000004">
      <c r="A18" s="10" t="s">
        <v>39</v>
      </c>
      <c r="B18" s="28">
        <f t="shared" si="1"/>
        <v>377869941.76999998</v>
      </c>
      <c r="C18" s="28">
        <v>34837081.909999996</v>
      </c>
      <c r="D18" s="28">
        <v>30550516.329999998</v>
      </c>
      <c r="E18" s="28">
        <v>31066931.370000001</v>
      </c>
      <c r="F18" s="28">
        <v>30628441.079999998</v>
      </c>
      <c r="G18" s="28">
        <v>30204649.539999999</v>
      </c>
      <c r="H18" s="28">
        <v>30950194.350000001</v>
      </c>
      <c r="I18" s="28">
        <v>35879742.299999997</v>
      </c>
      <c r="J18" s="28">
        <v>27568037.600000001</v>
      </c>
      <c r="K18" s="28">
        <v>32677579.760000002</v>
      </c>
      <c r="L18" s="28">
        <v>30850218.129999999</v>
      </c>
      <c r="M18" s="28">
        <v>30420626.5</v>
      </c>
      <c r="N18" s="28">
        <v>32235922.899999999</v>
      </c>
      <c r="O18" s="3" t="s">
        <v>40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25" customHeight="1" x14ac:dyDescent="0.55000000000000004">
      <c r="A19" s="10" t="s">
        <v>41</v>
      </c>
      <c r="B19" s="28">
        <f t="shared" si="1"/>
        <v>2736647.34</v>
      </c>
      <c r="C19" s="28">
        <v>231721.4</v>
      </c>
      <c r="D19" s="28">
        <v>229501.24</v>
      </c>
      <c r="E19" s="28">
        <v>125706.92</v>
      </c>
      <c r="F19" s="28">
        <v>116703</v>
      </c>
      <c r="G19" s="28">
        <v>477525.96</v>
      </c>
      <c r="H19" s="28">
        <v>231381.72</v>
      </c>
      <c r="I19" s="28">
        <v>239171.7</v>
      </c>
      <c r="J19" s="28">
        <v>240320.26</v>
      </c>
      <c r="K19" s="28">
        <v>240169.56</v>
      </c>
      <c r="L19" s="28">
        <v>241201.7</v>
      </c>
      <c r="M19" s="28">
        <v>239048.82</v>
      </c>
      <c r="N19" s="28">
        <v>124195.06</v>
      </c>
      <c r="O19" s="3" t="s">
        <v>42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25" customHeight="1" x14ac:dyDescent="0.55000000000000004">
      <c r="A20" s="10" t="s">
        <v>43</v>
      </c>
      <c r="B20" s="28">
        <f t="shared" si="1"/>
        <v>10561617.940000001</v>
      </c>
      <c r="C20" s="28">
        <v>810220.84</v>
      </c>
      <c r="D20" s="28">
        <v>802446</v>
      </c>
      <c r="E20" s="28">
        <v>814164.94</v>
      </c>
      <c r="F20" s="28">
        <v>801828.3</v>
      </c>
      <c r="G20" s="28">
        <v>877944.08</v>
      </c>
      <c r="H20" s="28">
        <v>816224.88</v>
      </c>
      <c r="I20" s="28">
        <v>809886.94</v>
      </c>
      <c r="J20" s="28">
        <v>822028.39</v>
      </c>
      <c r="K20" s="28">
        <v>862083.91</v>
      </c>
      <c r="L20" s="28">
        <v>881813.7</v>
      </c>
      <c r="M20" s="28">
        <v>919176.58</v>
      </c>
      <c r="N20" s="28">
        <v>1343799.38</v>
      </c>
      <c r="O20" s="3" t="s">
        <v>44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25" customHeight="1" x14ac:dyDescent="0.55000000000000004">
      <c r="A21" s="10" t="s">
        <v>45</v>
      </c>
      <c r="B21" s="28">
        <f t="shared" si="1"/>
        <v>32969.22</v>
      </c>
      <c r="C21" s="28">
        <v>0</v>
      </c>
      <c r="D21" s="28">
        <v>5492.6</v>
      </c>
      <c r="E21" s="28">
        <v>0</v>
      </c>
      <c r="F21" s="28">
        <v>5501.74</v>
      </c>
      <c r="G21" s="28">
        <v>0</v>
      </c>
      <c r="H21" s="28">
        <v>2744</v>
      </c>
      <c r="I21" s="28">
        <v>5494.88</v>
      </c>
      <c r="J21" s="28">
        <v>2745.84</v>
      </c>
      <c r="K21" s="28">
        <v>2744</v>
      </c>
      <c r="L21" s="28">
        <v>0</v>
      </c>
      <c r="M21" s="28">
        <v>2753.14</v>
      </c>
      <c r="N21" s="28">
        <v>5493.02</v>
      </c>
      <c r="O21" s="3" t="s">
        <v>46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25" customHeight="1" x14ac:dyDescent="0.25">
      <c r="A22" s="10" t="s">
        <v>47</v>
      </c>
      <c r="B22" s="28">
        <f t="shared" si="1"/>
        <v>172981947.69</v>
      </c>
      <c r="C22" s="28">
        <v>15781790.52</v>
      </c>
      <c r="D22" s="28">
        <v>13269984.51</v>
      </c>
      <c r="E22" s="28">
        <v>13697865.43</v>
      </c>
      <c r="F22" s="28">
        <v>18784046.07</v>
      </c>
      <c r="G22" s="28">
        <v>12676787.23</v>
      </c>
      <c r="H22" s="28">
        <v>7903703.7699999996</v>
      </c>
      <c r="I22" s="28">
        <v>20602320.989999998</v>
      </c>
      <c r="J22" s="28">
        <v>13111269.029999999</v>
      </c>
      <c r="K22" s="28">
        <v>14156854.01</v>
      </c>
      <c r="L22" s="28">
        <v>13183234.77</v>
      </c>
      <c r="M22" s="28">
        <v>13588825.91</v>
      </c>
      <c r="N22" s="28">
        <v>16225265.449999999</v>
      </c>
      <c r="O22" s="16" t="s">
        <v>48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25" customHeight="1" x14ac:dyDescent="0.55000000000000004">
      <c r="A23" s="10" t="s">
        <v>49</v>
      </c>
      <c r="B23" s="28">
        <f t="shared" si="1"/>
        <v>77061.539999999994</v>
      </c>
      <c r="C23" s="28">
        <v>0</v>
      </c>
      <c r="D23" s="28">
        <v>2240</v>
      </c>
      <c r="E23" s="28">
        <v>4620</v>
      </c>
      <c r="F23" s="28">
        <v>1120</v>
      </c>
      <c r="G23" s="28">
        <v>1120</v>
      </c>
      <c r="H23" s="28">
        <v>1120</v>
      </c>
      <c r="I23" s="28">
        <v>1120</v>
      </c>
      <c r="J23" s="28">
        <v>50728.14</v>
      </c>
      <c r="K23" s="28">
        <v>3500</v>
      </c>
      <c r="L23" s="28">
        <v>3500</v>
      </c>
      <c r="M23" s="28">
        <v>6872.32</v>
      </c>
      <c r="N23" s="28">
        <v>1121.08</v>
      </c>
      <c r="O23" s="3" t="s">
        <v>50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25" customHeight="1" x14ac:dyDescent="0.55000000000000004">
      <c r="A24" s="10" t="s">
        <v>51</v>
      </c>
      <c r="B24" s="28">
        <f t="shared" si="1"/>
        <v>1390672.1600000001</v>
      </c>
      <c r="C24" s="28">
        <v>116106.84</v>
      </c>
      <c r="D24" s="28">
        <v>111197.72</v>
      </c>
      <c r="E24" s="28">
        <v>114601.58</v>
      </c>
      <c r="F24" s="28">
        <v>119983.03999999999</v>
      </c>
      <c r="G24" s="28">
        <v>115013.74</v>
      </c>
      <c r="H24" s="28">
        <v>117503.88</v>
      </c>
      <c r="I24" s="28">
        <v>112964.1</v>
      </c>
      <c r="J24" s="28">
        <v>116125.56</v>
      </c>
      <c r="K24" s="28">
        <v>107997.56</v>
      </c>
      <c r="L24" s="28">
        <v>152035.14000000001</v>
      </c>
      <c r="M24" s="28">
        <v>93742.94</v>
      </c>
      <c r="N24" s="28">
        <v>113400.06</v>
      </c>
      <c r="O24" s="3" t="s">
        <v>52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25" customHeight="1" x14ac:dyDescent="0.55000000000000004">
      <c r="A25" s="10" t="s">
        <v>53</v>
      </c>
      <c r="B25" s="28">
        <f t="shared" si="1"/>
        <v>2250799.7800000003</v>
      </c>
      <c r="C25" s="28">
        <v>191150.2</v>
      </c>
      <c r="D25" s="28">
        <v>174744.8</v>
      </c>
      <c r="E25" s="28">
        <v>114573.74</v>
      </c>
      <c r="F25" s="28">
        <v>137043.1</v>
      </c>
      <c r="G25" s="28">
        <v>207624</v>
      </c>
      <c r="H25" s="28">
        <v>291715.20000000001</v>
      </c>
      <c r="I25" s="28">
        <v>143332.28</v>
      </c>
      <c r="J25" s="28">
        <v>195694.4</v>
      </c>
      <c r="K25" s="28">
        <v>154802.38</v>
      </c>
      <c r="L25" s="28">
        <v>196709.1</v>
      </c>
      <c r="M25" s="28">
        <v>238526.88</v>
      </c>
      <c r="N25" s="28">
        <v>204883.7</v>
      </c>
      <c r="O25" s="3" t="s">
        <v>54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25" customHeight="1" x14ac:dyDescent="0.55000000000000004">
      <c r="A26" s="10" t="s">
        <v>55</v>
      </c>
      <c r="B26" s="28">
        <f t="shared" si="1"/>
        <v>523827.14</v>
      </c>
      <c r="C26" s="28">
        <v>41459.9</v>
      </c>
      <c r="D26" s="28">
        <v>40815.1</v>
      </c>
      <c r="E26" s="28">
        <v>42215.02</v>
      </c>
      <c r="F26" s="28">
        <v>42161.78</v>
      </c>
      <c r="G26" s="28">
        <v>44718.36</v>
      </c>
      <c r="H26" s="28">
        <v>44927.16</v>
      </c>
      <c r="I26" s="28">
        <v>45110.9</v>
      </c>
      <c r="J26" s="28">
        <v>44473.08</v>
      </c>
      <c r="K26" s="28">
        <v>44142.7</v>
      </c>
      <c r="L26" s="28">
        <v>44734.720000000001</v>
      </c>
      <c r="M26" s="28">
        <v>44877.7</v>
      </c>
      <c r="N26" s="28">
        <v>44190.720000000001</v>
      </c>
      <c r="O26" s="3" t="s">
        <v>56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25" customHeight="1" x14ac:dyDescent="0.55000000000000004">
      <c r="A27" s="10" t="s">
        <v>57</v>
      </c>
      <c r="B27" s="28">
        <f t="shared" si="1"/>
        <v>49034954.399999999</v>
      </c>
      <c r="C27" s="28">
        <v>3845037</v>
      </c>
      <c r="D27" s="28">
        <v>4143440.68</v>
      </c>
      <c r="E27" s="28">
        <v>3841683.9</v>
      </c>
      <c r="F27" s="28">
        <v>3837731.1</v>
      </c>
      <c r="G27" s="28">
        <v>3860396.56</v>
      </c>
      <c r="H27" s="28">
        <v>4411075</v>
      </c>
      <c r="I27" s="28">
        <v>4142552.9</v>
      </c>
      <c r="J27" s="28">
        <v>3974678.7</v>
      </c>
      <c r="K27" s="28">
        <v>6179642.5199999996</v>
      </c>
      <c r="L27" s="28">
        <v>3764303.42</v>
      </c>
      <c r="M27" s="28">
        <v>3092839.86</v>
      </c>
      <c r="N27" s="28">
        <v>3941572.76</v>
      </c>
      <c r="O27" s="3" t="s">
        <v>58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25" customHeight="1" x14ac:dyDescent="0.55000000000000004">
      <c r="A28" s="10" t="s">
        <v>59</v>
      </c>
      <c r="B28" s="28">
        <f t="shared" si="1"/>
        <v>75299964.900000006</v>
      </c>
      <c r="C28" s="28">
        <v>5887727.7400000002</v>
      </c>
      <c r="D28" s="28">
        <v>6229019.0199999996</v>
      </c>
      <c r="E28" s="28">
        <v>6100805.2199999997</v>
      </c>
      <c r="F28" s="28">
        <v>5985926.1600000001</v>
      </c>
      <c r="G28" s="28">
        <v>6236876.5800000001</v>
      </c>
      <c r="H28" s="28">
        <v>6544758.4199999999</v>
      </c>
      <c r="I28" s="28">
        <v>6223223.2800000003</v>
      </c>
      <c r="J28" s="28">
        <v>6196972.8600000003</v>
      </c>
      <c r="K28" s="28">
        <v>6291410.3799999999</v>
      </c>
      <c r="L28" s="28">
        <v>6514085.0999999996</v>
      </c>
      <c r="M28" s="28">
        <v>6453536.6200000001</v>
      </c>
      <c r="N28" s="28">
        <v>6635623.5199999996</v>
      </c>
      <c r="O28" s="3" t="s">
        <v>60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25" customHeight="1" x14ac:dyDescent="0.55000000000000004">
      <c r="A29" s="10" t="s">
        <v>61</v>
      </c>
      <c r="B29" s="28">
        <f t="shared" si="1"/>
        <v>42995925.439999998</v>
      </c>
      <c r="C29" s="28">
        <v>3669736.22</v>
      </c>
      <c r="D29" s="28">
        <v>3380284.44</v>
      </c>
      <c r="E29" s="28">
        <v>3620659.08</v>
      </c>
      <c r="F29" s="28">
        <v>3617753.85</v>
      </c>
      <c r="G29" s="28">
        <v>3511597.88</v>
      </c>
      <c r="H29" s="28">
        <v>3541244.51</v>
      </c>
      <c r="I29" s="28">
        <v>3976804.13</v>
      </c>
      <c r="J29" s="28">
        <v>3620236.18</v>
      </c>
      <c r="K29" s="28">
        <v>3811851.44</v>
      </c>
      <c r="L29" s="28">
        <v>3486580.41</v>
      </c>
      <c r="M29" s="28">
        <v>3242632.22</v>
      </c>
      <c r="N29" s="28">
        <v>3516545.08</v>
      </c>
      <c r="O29" s="3" t="s">
        <v>62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25" customHeight="1" x14ac:dyDescent="0.55000000000000004">
      <c r="A30" s="10" t="s">
        <v>63</v>
      </c>
      <c r="B30" s="28">
        <f t="shared" si="1"/>
        <v>42487239.080000006</v>
      </c>
      <c r="C30" s="28">
        <v>3286477.95</v>
      </c>
      <c r="D30" s="28">
        <v>3362001.96</v>
      </c>
      <c r="E30" s="28">
        <v>3351691.3</v>
      </c>
      <c r="F30" s="28">
        <v>3515582.31</v>
      </c>
      <c r="G30" s="28">
        <v>3648232.01</v>
      </c>
      <c r="H30" s="28">
        <v>2119819.17</v>
      </c>
      <c r="I30" s="28">
        <v>5002453.45</v>
      </c>
      <c r="J30" s="28">
        <v>3720608.01</v>
      </c>
      <c r="K30" s="28">
        <v>3726272.5</v>
      </c>
      <c r="L30" s="28">
        <v>3636647.64</v>
      </c>
      <c r="M30" s="28">
        <v>3547459.24</v>
      </c>
      <c r="N30" s="28">
        <v>3569993.54</v>
      </c>
      <c r="O30" s="3" t="s">
        <v>64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25" customHeight="1" x14ac:dyDescent="0.55000000000000004">
      <c r="A31" s="10" t="s">
        <v>65</v>
      </c>
      <c r="B31" s="28">
        <f t="shared" si="1"/>
        <v>418131.3</v>
      </c>
      <c r="C31" s="28">
        <v>35655.760000000002</v>
      </c>
      <c r="D31" s="28">
        <v>35106.76</v>
      </c>
      <c r="E31" s="28">
        <v>34706.120000000003</v>
      </c>
      <c r="F31" s="28">
        <v>24057.78</v>
      </c>
      <c r="G31" s="28">
        <v>24046.94</v>
      </c>
      <c r="H31" s="28">
        <v>53712.6</v>
      </c>
      <c r="I31" s="28">
        <v>33341</v>
      </c>
      <c r="J31" s="28">
        <v>33891.660000000003</v>
      </c>
      <c r="K31" s="28">
        <v>35245</v>
      </c>
      <c r="L31" s="28">
        <v>36628.76</v>
      </c>
      <c r="M31" s="28">
        <v>36099.86</v>
      </c>
      <c r="N31" s="28">
        <v>35639.06</v>
      </c>
      <c r="O31" s="3" t="s">
        <v>66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25" customHeight="1" x14ac:dyDescent="0.55000000000000004">
      <c r="A32" s="13" t="s">
        <v>67</v>
      </c>
      <c r="B32" s="29">
        <f t="shared" si="1"/>
        <v>44602757.640000001</v>
      </c>
      <c r="C32" s="29">
        <v>3276203.39</v>
      </c>
      <c r="D32" s="29">
        <v>3598388.29</v>
      </c>
      <c r="E32" s="29">
        <v>3604097.7</v>
      </c>
      <c r="F32" s="29">
        <v>3747138.51</v>
      </c>
      <c r="G32" s="29">
        <v>3635876.2</v>
      </c>
      <c r="H32" s="29">
        <v>3681130.4</v>
      </c>
      <c r="I32" s="29">
        <v>3783543.64</v>
      </c>
      <c r="J32" s="29">
        <v>3697384.42</v>
      </c>
      <c r="K32" s="29">
        <v>3816257.67</v>
      </c>
      <c r="L32" s="29">
        <v>3797708.43</v>
      </c>
      <c r="M32" s="29">
        <v>3743450.71</v>
      </c>
      <c r="N32" s="29">
        <v>4221578.28</v>
      </c>
      <c r="O32" s="5" t="s">
        <v>68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25" customHeight="1" x14ac:dyDescent="0.45">
      <c r="A33" s="6" t="s">
        <v>14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4" t="s">
        <v>13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</sheetData>
  <mergeCells count="5">
    <mergeCell ref="A1:O1"/>
    <mergeCell ref="A2:O2"/>
    <mergeCell ref="A4:A5"/>
    <mergeCell ref="B4:N4"/>
    <mergeCell ref="O4:O5"/>
  </mergeCells>
  <pageMargins left="0.7" right="0.7" top="0.75" bottom="0.75" header="0" footer="0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18.11 </vt:lpstr>
      <vt:lpstr>'18.11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2025-05-19T08:29:05Z</dcterms:created>
  <dcterms:modified xsi:type="dcterms:W3CDTF">2026-05-07T04:51:13Z</dcterms:modified>
</cp:coreProperties>
</file>