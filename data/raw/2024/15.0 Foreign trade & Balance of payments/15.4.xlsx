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F23F402E-A182-4570-BD61-D87CF6C8CA41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4" sheetId="4" r:id="rId1"/>
  </sheets>
  <definedNames>
    <definedName name="_xlnm.Print_Area" localSheetId="0">'15.4'!$A$1:$H$36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4" l="1"/>
  <c r="E16" i="4" s="1"/>
  <c r="F16" i="4" l="1"/>
  <c r="C6" i="4" l="1"/>
  <c r="B14" i="4"/>
  <c r="B15" i="4"/>
  <c r="B13" i="4"/>
  <c r="B12" i="4"/>
  <c r="B11" i="4"/>
  <c r="B10" i="4"/>
  <c r="B9" i="4"/>
  <c r="B8" i="4"/>
  <c r="B7" i="4"/>
  <c r="D6" i="4"/>
  <c r="F5" i="4"/>
  <c r="E5" i="4"/>
  <c r="E8" i="4" l="1"/>
  <c r="F8" i="4"/>
  <c r="F13" i="4"/>
  <c r="E13" i="4"/>
  <c r="E10" i="4"/>
  <c r="F10" i="4"/>
  <c r="F12" i="4"/>
  <c r="E12" i="4"/>
  <c r="E15" i="4"/>
  <c r="F15" i="4"/>
  <c r="F7" i="4"/>
  <c r="E7" i="4"/>
  <c r="E11" i="4"/>
  <c r="F11" i="4"/>
  <c r="E9" i="4"/>
  <c r="F9" i="4"/>
  <c r="F14" i="4"/>
  <c r="E14" i="4"/>
  <c r="B6" i="4"/>
  <c r="F6" i="4" s="1"/>
  <c r="E6" i="4" l="1"/>
</calcChain>
</file>

<file path=xl/sharedStrings.xml><?xml version="1.0" encoding="utf-8"?>
<sst xmlns="http://schemas.openxmlformats.org/spreadsheetml/2006/main" count="42" uniqueCount="37">
  <si>
    <t>Total</t>
  </si>
  <si>
    <t>Source:  Maldives Customs Services</t>
  </si>
  <si>
    <t>wlcmuj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</si>
  <si>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</si>
  <si>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</si>
  <si>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</si>
  <si>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</si>
  <si>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</si>
  <si>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</si>
  <si>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</si>
  <si>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</si>
  <si>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</si>
  <si>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</si>
  <si>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</si>
  <si>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</si>
  <si>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</si>
  <si>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</si>
  <si>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</si>
  <si>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</si>
  <si>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</si>
  <si>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</si>
  <si>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</si>
  <si>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</si>
  <si>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</si>
  <si>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</si>
  <si>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</si>
  <si>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</si>
  <si>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</si>
  <si>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</si>
  <si>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% share</t>
  </si>
  <si>
    <t>ބާވަތް</t>
  </si>
  <si>
    <t>cswmikih</t>
  </si>
  <si>
    <t>WnWk uhwm</t>
  </si>
  <si>
    <t xml:space="preserve">cswsivrWs ccscmwTcswk cscviDclOm :ctWrwfivcaed utWmUluAwm     </t>
  </si>
  <si>
    <t>Data Compile: Maldives Bureau of Statistics</t>
  </si>
  <si>
    <t>Table  15.4 :  SUMMARY OF MARINE PRODUCT EXPORTS BY COMMODITY, 2023</t>
  </si>
  <si>
    <t>2023 ,WsWluh egukwtctwvWb eguDnwk unuverukurEb cnEjcaWr : 15.4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</si>
</sst>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b/>
      <sz val="11"/>
      <color theme="1"/>
      <name val="Calibri"/>
      <family val="2"/>
    </font>
    <font>
      <b/>
      <sz val="9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sz val="10"/>
      <name val="A_Faseyha"/>
    </font>
    <font>
      <sz val="9"/>
      <name val="A_Faseyha"/>
    </font>
    <font>
      <b/>
      <sz val="11"/>
      <color theme="1"/>
      <name val="A_Faseyha"/>
    </font>
    <font>
      <i/>
      <sz val="10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2" applyNumberFormat="0" applyAlignment="0" applyProtection="0"/>
    <xf numFmtId="0" fontId="21" fillId="7" borderId="13" applyNumberFormat="0" applyAlignment="0" applyProtection="0"/>
    <xf numFmtId="0" fontId="22" fillId="7" borderId="12" applyNumberFormat="0" applyAlignment="0" applyProtection="0"/>
    <xf numFmtId="0" fontId="23" fillId="0" borderId="14" applyNumberFormat="0" applyFill="0" applyAlignment="0" applyProtection="0"/>
    <xf numFmtId="0" fontId="24" fillId="8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3" borderId="0" applyNumberFormat="0" applyBorder="0" applyAlignment="0" applyProtection="0"/>
    <xf numFmtId="0" fontId="28" fillId="0" borderId="0"/>
    <xf numFmtId="0" fontId="5" fillId="0" borderId="0"/>
    <xf numFmtId="172" fontId="5" fillId="0" borderId="0" applyFont="0" applyFill="0" applyBorder="0" applyAlignment="0" applyProtection="0"/>
    <xf numFmtId="173" fontId="29" fillId="0" borderId="0"/>
    <xf numFmtId="0" fontId="3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</cellStyleXfs>
  <cellXfs count="44">
    <xf numFmtId="0" fontId="0" fillId="0" borderId="0" xfId="0"/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168" fontId="8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68" fontId="6" fillId="2" borderId="0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wrapText="1" indent="2"/>
    </xf>
    <xf numFmtId="0" fontId="8" fillId="2" borderId="2" xfId="0" applyFont="1" applyFill="1" applyBorder="1" applyAlignment="1">
      <alignment horizontal="left" vertical="center" wrapText="1" indent="2"/>
    </xf>
    <xf numFmtId="168" fontId="6" fillId="2" borderId="2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 wrapText="1" indent="2"/>
    </xf>
    <xf numFmtId="169" fontId="3" fillId="2" borderId="0" xfId="0" applyNumberFormat="1" applyFont="1" applyFill="1" applyAlignment="1">
      <alignment vertical="center"/>
    </xf>
    <xf numFmtId="1" fontId="8" fillId="2" borderId="5" xfId="1" applyNumberFormat="1" applyFont="1" applyFill="1" applyBorder="1" applyAlignment="1">
      <alignment horizontal="right" vertical="center"/>
    </xf>
    <xf numFmtId="1" fontId="8" fillId="2" borderId="0" xfId="1" applyNumberFormat="1" applyFont="1" applyFill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right" vertical="center"/>
    </xf>
    <xf numFmtId="1" fontId="8" fillId="2" borderId="2" xfId="1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 wrapText="1"/>
    </xf>
    <xf numFmtId="0" fontId="33" fillId="2" borderId="0" xfId="0" applyFont="1" applyFill="1" applyAlignment="1">
      <alignment horizontal="right" vertical="center" wrapText="1" indent="2"/>
    </xf>
    <xf numFmtId="0" fontId="36" fillId="2" borderId="0" xfId="0" applyFont="1" applyFill="1" applyAlignment="1">
      <alignment horizontal="right" vertical="center" wrapText="1" indent="2"/>
    </xf>
    <xf numFmtId="0" fontId="33" fillId="2" borderId="2" xfId="0" applyFont="1" applyFill="1" applyBorder="1" applyAlignment="1">
      <alignment horizontal="right" vertical="center" wrapText="1" indent="2" readingOrder="1"/>
    </xf>
    <xf numFmtId="0" fontId="34" fillId="2" borderId="3" xfId="0" applyFont="1" applyFill="1" applyBorder="1" applyAlignment="1">
      <alignment horizontal="right" vertical="center" readingOrder="2"/>
    </xf>
    <xf numFmtId="0" fontId="32" fillId="2" borderId="5" xfId="0" applyFont="1" applyFill="1" applyBorder="1" applyAlignment="1">
      <alignment horizontal="right" vertical="center"/>
    </xf>
    <xf numFmtId="168" fontId="8" fillId="2" borderId="2" xfId="1" applyNumberFormat="1" applyFont="1" applyFill="1" applyBorder="1" applyAlignment="1">
      <alignment horizontal="right" vertical="center"/>
    </xf>
    <xf numFmtId="0" fontId="32" fillId="2" borderId="0" xfId="0" applyFont="1" applyFill="1" applyAlignment="1">
      <alignment horizontal="right" vertical="center"/>
    </xf>
    <xf numFmtId="1" fontId="8" fillId="2" borderId="1" xfId="1" applyNumberFormat="1" applyFont="1" applyFill="1" applyBorder="1" applyAlignment="1">
      <alignment horizontal="right" vertical="center"/>
    </xf>
    <xf numFmtId="168" fontId="0" fillId="2" borderId="0" xfId="0" applyNumberFormat="1" applyFill="1"/>
    <xf numFmtId="43" fontId="0" fillId="2" borderId="0" xfId="0" applyNumberFormat="1" applyFill="1"/>
    <xf numFmtId="0" fontId="0" fillId="2" borderId="2" xfId="0" applyFill="1" applyBorder="1"/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3" fontId="35" fillId="2" borderId="0" xfId="0" applyNumberFormat="1" applyFont="1" applyFill="1" applyAlignment="1">
      <alignment horizontal="center" vertical="center"/>
    </xf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9999"/>
      <color rgb="FFC1FFFF"/>
      <color rgb="FF00DFDA"/>
      <color rgb="FF008080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2023</a:t>
            </a:r>
          </a:p>
        </c:rich>
      </c:tx>
      <c:layout>
        <c:manualLayout>
          <c:xMode val="edge"/>
          <c:yMode val="edge"/>
          <c:x val="0.13145947729904212"/>
          <c:y val="3.5631785734527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982747438640122"/>
          <c:y val="0.23223044860128594"/>
          <c:w val="0.39512730912950422"/>
          <c:h val="0.83235242233768914"/>
        </c:manualLayout>
      </c:layout>
      <c:pieChart>
        <c:varyColors val="1"/>
        <c:ser>
          <c:idx val="0"/>
          <c:order val="0"/>
          <c:spPr>
            <a:solidFill>
              <a:srgbClr val="008080"/>
            </a:solidFill>
          </c:spPr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5-BF98-4661-AA3D-6AAD97BCBFE7}"/>
              </c:ext>
            </c:extLst>
          </c:dPt>
          <c:dPt>
            <c:idx val="6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3-BF98-4661-AA3D-6AAD97BCBFE7}"/>
              </c:ext>
            </c:extLst>
          </c:dPt>
          <c:dPt>
            <c:idx val="7"/>
            <c:bubble3D val="0"/>
            <c:spPr>
              <a:solidFill>
                <a:srgbClr val="C1FFFF"/>
              </a:solidFill>
            </c:spPr>
            <c:extLst>
              <c:ext xmlns:c16="http://schemas.microsoft.com/office/drawing/2014/chart" uri="{C3380CC4-5D6E-409C-BE32-E72D297353CC}">
                <c16:uniqueId val="{00000000-BF98-4661-AA3D-6AAD97BCBFE7}"/>
              </c:ext>
            </c:extLst>
          </c:dPt>
          <c:dLbls>
            <c:dLbl>
              <c:idx val="0"/>
              <c:layout>
                <c:manualLayout>
                  <c:x val="6.4692328730041895E-2"/>
                  <c:y val="4.836076057404857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98-4661-AA3D-6AAD97BCBFE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AB-4908-81D7-D946BCE7AE62}"/>
                </c:ext>
              </c:extLst>
            </c:dLbl>
            <c:dLbl>
              <c:idx val="2"/>
              <c:layout>
                <c:manualLayout>
                  <c:x val="-0.1660341382195486"/>
                  <c:y val="-0.150709150149523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8-4661-AA3D-6AAD97BCBFE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AB-4908-81D7-D946BCE7AE6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74-486A-8E12-FE48665F92EA}"/>
                </c:ext>
              </c:extLst>
            </c:dLbl>
            <c:dLbl>
              <c:idx val="6"/>
              <c:layout>
                <c:manualLayout>
                  <c:x val="0.14026191893046741"/>
                  <c:y val="0.108413702356501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8-4661-AA3D-6AAD97BCBFE7}"/>
                </c:ext>
              </c:extLst>
            </c:dLbl>
            <c:dLbl>
              <c:idx val="7"/>
              <c:layout>
                <c:manualLayout>
                  <c:x val="-1.2780579486755005E-2"/>
                  <c:y val="1.1311963857454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98-4661-AA3D-6AAD97BCBFE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8-4661-AA3D-6AAD97BCBFE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AB-4908-81D7-D946BCE7AE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'15.4'!$A$7:$A$16</c:f>
              <c:strCache>
                <c:ptCount val="10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Fish Meal</c:v>
                </c:pt>
                <c:pt idx="8">
                  <c:v>Live Reef Fish</c:v>
                </c:pt>
                <c:pt idx="9">
                  <c:v>Other Marine Products</c:v>
                </c:pt>
              </c:strCache>
            </c:strRef>
          </c:cat>
          <c:val>
            <c:numRef>
              <c:f>'15.4'!$B$7:$B$16</c:f>
              <c:numCache>
                <c:formatCode>_(* #,##0_);_(* \(#,##0\);_(* "-"??_);_(@_)</c:formatCode>
                <c:ptCount val="10"/>
                <c:pt idx="0">
                  <c:v>53305217.759999998</c:v>
                </c:pt>
                <c:pt idx="1">
                  <c:v>1184.46</c:v>
                </c:pt>
                <c:pt idx="2">
                  <c:v>1440035057.9699998</c:v>
                </c:pt>
                <c:pt idx="3">
                  <c:v>11565898.85</c:v>
                </c:pt>
                <c:pt idx="4">
                  <c:v>1357608.44</c:v>
                </c:pt>
                <c:pt idx="5">
                  <c:v>2808232.8700000006</c:v>
                </c:pt>
                <c:pt idx="6">
                  <c:v>594898700.80999994</c:v>
                </c:pt>
                <c:pt idx="7">
                  <c:v>67062740.5</c:v>
                </c:pt>
                <c:pt idx="8">
                  <c:v>900.75</c:v>
                </c:pt>
                <c:pt idx="9">
                  <c:v>13612.970000000001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BB-44E9-956A-4D79B477CB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20</xdr:row>
      <xdr:rowOff>126547</xdr:rowOff>
    </xdr:from>
    <xdr:to>
      <xdr:col>6</xdr:col>
      <xdr:colOff>1328381</xdr:colOff>
      <xdr:row>34</xdr:row>
      <xdr:rowOff>161715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1"/>
  <sheetViews>
    <sheetView tabSelected="1" zoomScale="95" zoomScaleNormal="95" workbookViewId="0">
      <selection activeCell="K16" sqref="K16"/>
    </sheetView>
  </sheetViews>
  <sheetFormatPr defaultColWidth="9.140625" defaultRowHeight="15" x14ac:dyDescent="0.25"/>
  <cols>
    <col min="1" max="1" width="28.28515625" style="4" customWidth="1"/>
    <col min="2" max="2" width="20.5703125" style="4" bestFit="1" customWidth="1"/>
    <col min="3" max="3" width="13.7109375" style="4" customWidth="1"/>
    <col min="4" max="4" width="13.85546875" style="4" customWidth="1"/>
    <col min="5" max="6" width="11.85546875" style="4" customWidth="1"/>
    <col min="7" max="7" width="30.85546875" style="4" customWidth="1"/>
    <col min="8" max="8" width="5.28515625" style="4" customWidth="1"/>
    <col min="9" max="9" width="25.42578125" style="4" bestFit="1" customWidth="1"/>
    <col min="10" max="10" width="14" style="4" customWidth="1"/>
    <col min="11" max="16384" width="9.140625" style="4"/>
  </cols>
  <sheetData>
    <row r="1" spans="1:10" ht="18" x14ac:dyDescent="0.25">
      <c r="A1" s="43" t="s">
        <v>36</v>
      </c>
      <c r="B1" s="43"/>
      <c r="C1" s="43"/>
      <c r="D1" s="43"/>
      <c r="E1" s="43"/>
      <c r="F1" s="43"/>
      <c r="G1" s="43"/>
    </row>
    <row r="2" spans="1:10" x14ac:dyDescent="0.25">
      <c r="A2" s="42" t="s">
        <v>35</v>
      </c>
      <c r="B2" s="42"/>
      <c r="C2" s="42"/>
      <c r="D2" s="42"/>
      <c r="E2" s="42"/>
      <c r="F2" s="42"/>
      <c r="G2" s="42"/>
    </row>
    <row r="3" spans="1:10" ht="15.75" x14ac:dyDescent="0.25">
      <c r="A3" s="37" t="s">
        <v>3</v>
      </c>
      <c r="B3" s="9" t="s">
        <v>4</v>
      </c>
      <c r="C3" s="5"/>
      <c r="D3" s="6" t="s">
        <v>5</v>
      </c>
      <c r="E3" s="10" t="s">
        <v>29</v>
      </c>
      <c r="F3" s="11" t="s">
        <v>29</v>
      </c>
      <c r="G3" s="39" t="s">
        <v>30</v>
      </c>
    </row>
    <row r="4" spans="1:10" x14ac:dyDescent="0.25">
      <c r="A4" s="36"/>
      <c r="B4" s="31" t="s">
        <v>2</v>
      </c>
      <c r="C4" s="31" t="s">
        <v>6</v>
      </c>
      <c r="D4" s="31" t="s">
        <v>7</v>
      </c>
      <c r="E4" s="29" t="s">
        <v>6</v>
      </c>
      <c r="F4" s="31" t="s">
        <v>7</v>
      </c>
      <c r="G4" s="40"/>
    </row>
    <row r="5" spans="1:10" x14ac:dyDescent="0.25">
      <c r="A5" s="38"/>
      <c r="B5" s="8" t="s">
        <v>0</v>
      </c>
      <c r="C5" s="8" t="s">
        <v>8</v>
      </c>
      <c r="D5" s="8" t="s">
        <v>9</v>
      </c>
      <c r="E5" s="12" t="str">
        <f>C5</f>
        <v>Private</v>
      </c>
      <c r="F5" s="8" t="str">
        <f>D5</f>
        <v>Government</v>
      </c>
      <c r="G5" s="41"/>
    </row>
    <row r="6" spans="1:10" x14ac:dyDescent="0.25">
      <c r="A6" s="13" t="s">
        <v>0</v>
      </c>
      <c r="B6" s="14">
        <f>SUM(B7:B16)</f>
        <v>2171049155.3799996</v>
      </c>
      <c r="C6" s="14">
        <f>SUM(C7:C16)</f>
        <v>665427674.2299999</v>
      </c>
      <c r="D6" s="14">
        <f>SUM(D7:D16)</f>
        <v>1505621481.1499999</v>
      </c>
      <c r="E6" s="20">
        <f>C6/B6*100</f>
        <v>30.650051040117042</v>
      </c>
      <c r="F6" s="32">
        <f>D6/B6*100</f>
        <v>69.349948959882951</v>
      </c>
      <c r="G6" s="24" t="s">
        <v>20</v>
      </c>
    </row>
    <row r="7" spans="1:10" ht="15.75" x14ac:dyDescent="0.25">
      <c r="A7" s="15" t="s">
        <v>10</v>
      </c>
      <c r="B7" s="14">
        <f>SUM(C7:C7)</f>
        <v>53305217.759999998</v>
      </c>
      <c r="C7" s="3">
        <v>53305217.759999998</v>
      </c>
      <c r="D7" s="3">
        <v>0</v>
      </c>
      <c r="E7" s="20">
        <f t="shared" ref="E7:E16" si="0">C7/B7*100</f>
        <v>100</v>
      </c>
      <c r="F7" s="21">
        <f t="shared" ref="F7:F15" si="1">D7/B7*100</f>
        <v>0</v>
      </c>
      <c r="G7" s="25" t="s">
        <v>21</v>
      </c>
      <c r="I7" s="34"/>
      <c r="J7" s="34"/>
    </row>
    <row r="8" spans="1:10" ht="15.75" x14ac:dyDescent="0.25">
      <c r="A8" s="15" t="s">
        <v>11</v>
      </c>
      <c r="B8" s="14">
        <f t="shared" ref="B8:B12" si="2">SUM(C8:D8)</f>
        <v>1184.46</v>
      </c>
      <c r="C8" s="3">
        <v>0</v>
      </c>
      <c r="D8" s="3">
        <v>1184.46</v>
      </c>
      <c r="E8" s="20">
        <f t="shared" si="0"/>
        <v>0</v>
      </c>
      <c r="F8" s="21">
        <f t="shared" si="1"/>
        <v>100</v>
      </c>
      <c r="G8" s="25" t="s">
        <v>22</v>
      </c>
      <c r="I8" s="34"/>
      <c r="J8" s="34"/>
    </row>
    <row r="9" spans="1:10" ht="15.75" x14ac:dyDescent="0.25">
      <c r="A9" s="15" t="s">
        <v>12</v>
      </c>
      <c r="B9" s="14">
        <f t="shared" si="2"/>
        <v>1440035057.9699998</v>
      </c>
      <c r="C9" s="3">
        <v>103644169.05</v>
      </c>
      <c r="D9" s="3">
        <v>1336390888.9199998</v>
      </c>
      <c r="E9" s="20">
        <f t="shared" si="0"/>
        <v>7.1973365145780512</v>
      </c>
      <c r="F9" s="21">
        <f t="shared" si="1"/>
        <v>92.802663485421959</v>
      </c>
      <c r="G9" s="25" t="s">
        <v>23</v>
      </c>
      <c r="H9" s="33"/>
      <c r="I9" s="34"/>
      <c r="J9" s="34"/>
    </row>
    <row r="10" spans="1:10" ht="15.75" x14ac:dyDescent="0.25">
      <c r="A10" s="15" t="s">
        <v>13</v>
      </c>
      <c r="B10" s="14">
        <f t="shared" si="2"/>
        <v>11565898.85</v>
      </c>
      <c r="C10" s="3">
        <v>11565898.85</v>
      </c>
      <c r="D10" s="3">
        <v>0</v>
      </c>
      <c r="E10" s="20">
        <f t="shared" si="0"/>
        <v>100</v>
      </c>
      <c r="F10" s="21">
        <f t="shared" si="1"/>
        <v>0</v>
      </c>
      <c r="G10" s="25" t="s">
        <v>31</v>
      </c>
      <c r="I10" s="34"/>
      <c r="J10" s="34"/>
    </row>
    <row r="11" spans="1:10" ht="15.75" x14ac:dyDescent="0.25">
      <c r="A11" s="15" t="s">
        <v>14</v>
      </c>
      <c r="B11" s="14">
        <f t="shared" si="2"/>
        <v>1357608.44</v>
      </c>
      <c r="C11" s="3">
        <v>1357608.44</v>
      </c>
      <c r="D11" s="3">
        <v>0</v>
      </c>
      <c r="E11" s="20">
        <f t="shared" si="0"/>
        <v>100</v>
      </c>
      <c r="F11" s="21">
        <f t="shared" si="1"/>
        <v>0</v>
      </c>
      <c r="G11" s="25" t="s">
        <v>24</v>
      </c>
      <c r="I11" s="34"/>
      <c r="J11" s="34"/>
    </row>
    <row r="12" spans="1:10" ht="15.75" x14ac:dyDescent="0.25">
      <c r="A12" s="15" t="s">
        <v>15</v>
      </c>
      <c r="B12" s="14">
        <f t="shared" si="2"/>
        <v>2808232.8700000006</v>
      </c>
      <c r="C12" s="3">
        <v>2808232.8700000006</v>
      </c>
      <c r="D12" s="3">
        <v>0</v>
      </c>
      <c r="E12" s="20">
        <f t="shared" si="0"/>
        <v>100</v>
      </c>
      <c r="F12" s="21">
        <f t="shared" si="1"/>
        <v>0</v>
      </c>
      <c r="G12" s="26" t="s">
        <v>25</v>
      </c>
      <c r="I12" s="34"/>
      <c r="J12" s="34"/>
    </row>
    <row r="13" spans="1:10" ht="15.75" x14ac:dyDescent="0.25">
      <c r="A13" s="15" t="s">
        <v>16</v>
      </c>
      <c r="B13" s="14">
        <f>SUM(C13:D13)</f>
        <v>594898700.80999994</v>
      </c>
      <c r="C13" s="3">
        <v>457643126.12999994</v>
      </c>
      <c r="D13" s="3">
        <v>137255574.67999998</v>
      </c>
      <c r="E13" s="20">
        <f t="shared" si="0"/>
        <v>76.927908147535689</v>
      </c>
      <c r="F13" s="21">
        <f t="shared" si="1"/>
        <v>23.0720918524643</v>
      </c>
      <c r="G13" s="25" t="s">
        <v>26</v>
      </c>
      <c r="I13" s="34"/>
      <c r="J13" s="34"/>
    </row>
    <row r="14" spans="1:10" ht="15.75" x14ac:dyDescent="0.25">
      <c r="A14" s="15" t="s">
        <v>18</v>
      </c>
      <c r="B14" s="14">
        <f>SUM(C14:D14)</f>
        <v>67062740.5</v>
      </c>
      <c r="C14" s="3">
        <v>35088907.410000004</v>
      </c>
      <c r="D14" s="4">
        <v>31973833.09</v>
      </c>
      <c r="E14" s="20">
        <f t="shared" si="0"/>
        <v>52.322507473430804</v>
      </c>
      <c r="F14" s="21">
        <f t="shared" si="1"/>
        <v>47.677492526569203</v>
      </c>
      <c r="G14" s="25" t="s">
        <v>32</v>
      </c>
      <c r="I14" s="34"/>
      <c r="J14" s="34"/>
    </row>
    <row r="15" spans="1:10" ht="15.75" x14ac:dyDescent="0.25">
      <c r="A15" s="15" t="s">
        <v>17</v>
      </c>
      <c r="B15" s="14">
        <f t="shared" ref="B15:B16" si="3">SUM(C15:D15)</f>
        <v>900.75</v>
      </c>
      <c r="C15" s="3">
        <v>900.75</v>
      </c>
      <c r="D15" s="3">
        <v>0</v>
      </c>
      <c r="E15" s="20">
        <f t="shared" si="0"/>
        <v>100</v>
      </c>
      <c r="F15" s="21">
        <f t="shared" si="1"/>
        <v>0</v>
      </c>
      <c r="G15" s="25" t="s">
        <v>27</v>
      </c>
      <c r="I15" s="34"/>
      <c r="J15" s="34"/>
    </row>
    <row r="16" spans="1:10" ht="15.75" x14ac:dyDescent="0.25">
      <c r="A16" s="16" t="s">
        <v>19</v>
      </c>
      <c r="B16" s="17">
        <f t="shared" si="3"/>
        <v>13612.970000000001</v>
      </c>
      <c r="C16" s="35">
        <v>13612.970000000001</v>
      </c>
      <c r="D16" s="30">
        <v>0</v>
      </c>
      <c r="E16" s="22">
        <f t="shared" si="0"/>
        <v>100</v>
      </c>
      <c r="F16" s="23">
        <f t="shared" ref="F16" si="4">D16/B16*100</f>
        <v>0</v>
      </c>
      <c r="G16" s="27" t="s">
        <v>28</v>
      </c>
      <c r="I16" s="34"/>
      <c r="J16" s="34"/>
    </row>
    <row r="17" spans="1:8" x14ac:dyDescent="0.25">
      <c r="A17" s="2" t="s">
        <v>1</v>
      </c>
      <c r="B17" s="1"/>
      <c r="C17" s="1"/>
      <c r="D17" s="7"/>
      <c r="E17" s="7"/>
      <c r="F17" s="7"/>
      <c r="G17" s="28" t="s">
        <v>33</v>
      </c>
    </row>
    <row r="18" spans="1:8" x14ac:dyDescent="0.25">
      <c r="A18" s="2" t="s">
        <v>34</v>
      </c>
      <c r="B18" s="1"/>
      <c r="C18" s="1"/>
      <c r="D18" s="7"/>
      <c r="E18" s="7"/>
      <c r="F18" s="7"/>
      <c r="G18" s="7"/>
    </row>
    <row r="19" spans="1:8" x14ac:dyDescent="0.25">
      <c r="A19" s="2"/>
      <c r="B19" s="1"/>
      <c r="C19" s="1"/>
      <c r="D19" s="7"/>
      <c r="E19" s="7"/>
      <c r="F19" s="7"/>
      <c r="G19" s="7"/>
    </row>
    <row r="20" spans="1:8" x14ac:dyDescent="0.25">
      <c r="A20" s="2" t="s">
        <v>34</v>
      </c>
      <c r="B20" s="1"/>
      <c r="C20" s="1"/>
      <c r="D20" s="7"/>
      <c r="E20" s="7"/>
      <c r="F20" s="7"/>
      <c r="G20" s="7"/>
    </row>
    <row r="22" spans="1:8" ht="12" customHeight="1" x14ac:dyDescent="0.25">
      <c r="A22" s="2"/>
      <c r="B22" s="1"/>
      <c r="C22" s="1"/>
      <c r="D22" s="7"/>
      <c r="E22" s="7"/>
      <c r="F22" s="7"/>
      <c r="G22" s="7"/>
      <c r="H22" s="1"/>
    </row>
    <row r="23" spans="1:8" ht="12" customHeight="1" x14ac:dyDescent="0.25">
      <c r="A23" s="2"/>
      <c r="B23" s="1"/>
      <c r="C23" s="1"/>
      <c r="D23" s="7"/>
      <c r="E23" s="7"/>
      <c r="F23" s="7"/>
      <c r="G23" s="7"/>
      <c r="H23" s="1"/>
    </row>
    <row r="24" spans="1:8" ht="12" customHeight="1" x14ac:dyDescent="0.25">
      <c r="A24" s="2"/>
      <c r="B24" s="1"/>
      <c r="C24" s="1"/>
      <c r="D24" s="7"/>
      <c r="E24" s="7"/>
      <c r="F24" s="7"/>
      <c r="G24" s="7"/>
      <c r="H24" s="1"/>
    </row>
    <row r="25" spans="1:8" ht="26.25" customHeight="1" x14ac:dyDescent="0.25">
      <c r="B25" s="1"/>
      <c r="C25" s="1"/>
      <c r="D25" s="7"/>
      <c r="E25" s="7"/>
      <c r="F25" s="7"/>
    </row>
    <row r="26" spans="1:8" ht="26.25" customHeight="1" x14ac:dyDescent="0.25"/>
    <row r="27" spans="1:8" ht="26.25" customHeight="1" x14ac:dyDescent="0.25"/>
    <row r="28" spans="1:8" ht="26.25" customHeight="1" x14ac:dyDescent="0.25"/>
    <row r="29" spans="1:8" ht="26.25" customHeight="1" x14ac:dyDescent="0.25">
      <c r="B29" s="1"/>
      <c r="C29" s="1"/>
      <c r="D29" s="7"/>
      <c r="E29" s="7"/>
      <c r="F29" s="7"/>
    </row>
    <row r="30" spans="1:8" ht="26.25" customHeight="1" x14ac:dyDescent="0.25"/>
    <row r="31" spans="1:8" ht="26.25" customHeight="1" x14ac:dyDescent="0.25"/>
    <row r="32" spans="1:8" ht="26.25" customHeight="1" x14ac:dyDescent="0.25"/>
    <row r="33" spans="1:8" ht="26.25" customHeight="1" x14ac:dyDescent="0.25"/>
    <row r="34" spans="1:8" ht="26.25" customHeight="1" x14ac:dyDescent="0.25"/>
    <row r="35" spans="1:8" ht="26.25" customHeight="1" x14ac:dyDescent="0.25"/>
    <row r="36" spans="1:8" ht="26.25" customHeight="1" x14ac:dyDescent="0.25"/>
    <row r="37" spans="1:8" ht="26.25" customHeight="1" x14ac:dyDescent="0.25">
      <c r="A37" s="18"/>
      <c r="B37" s="1"/>
      <c r="C37" s="1"/>
      <c r="D37" s="7"/>
      <c r="E37" s="7"/>
      <c r="F37" s="7"/>
      <c r="G37" s="7"/>
      <c r="H37" s="19"/>
    </row>
    <row r="38" spans="1:8" ht="26.25" customHeight="1" x14ac:dyDescent="0.25">
      <c r="B38" s="1"/>
      <c r="C38" s="1"/>
      <c r="D38" s="7"/>
      <c r="E38" s="7"/>
      <c r="F38" s="7"/>
    </row>
    <row r="39" spans="1:8" ht="26.25" customHeight="1" x14ac:dyDescent="0.25"/>
    <row r="40" spans="1:8" ht="26.25" customHeight="1" x14ac:dyDescent="0.25"/>
    <row r="41" spans="1:8" ht="26.25" customHeight="1" x14ac:dyDescent="0.25"/>
  </sheetData>
  <mergeCells count="4">
    <mergeCell ref="A1:G1"/>
    <mergeCell ref="A2:G2"/>
    <mergeCell ref="A3:A5"/>
    <mergeCell ref="G3:G5"/>
  </mergeCells>
  <pageMargins left="0.7" right="0.7" top="0.75" bottom="0.75" header="0.3" footer="0.3"/>
  <pageSetup scale="62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2024-08-06T08:24:47Z</cp:lastPrinted>
  <dcterms:created xsi:type="dcterms:W3CDTF">2019-12-05T04:01:34Z</dcterms:created>
  <dcterms:modified xsi:type="dcterms:W3CDTF">2024-08-06T08:24:52Z</dcterms:modified>
</cp:coreProperties>
</file>