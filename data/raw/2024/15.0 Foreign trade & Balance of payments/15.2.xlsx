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D23B91F1-BFB3-411D-8D25-2F17D52808F1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2" sheetId="2" r:id="rId1"/>
  </sheets>
  <definedNames>
    <definedName name="_xlnm.Print_Area" localSheetId="0">'15.2'!$A$1:$AI$32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15" i="2"/>
  <c r="AE17" i="2"/>
  <c r="AE18" i="2"/>
  <c r="AE19" i="2"/>
  <c r="AE20" i="2"/>
  <c r="AE21" i="2"/>
  <c r="AE22" i="2"/>
  <c r="AE23" i="2"/>
  <c r="AE24" i="2"/>
  <c r="AE25" i="2"/>
  <c r="AE27" i="2"/>
  <c r="AE28" i="2"/>
  <c r="U17" i="2"/>
  <c r="U28" i="2" l="1"/>
  <c r="U27" i="2"/>
  <c r="U23" i="2"/>
  <c r="U15" i="2"/>
  <c r="U14" i="2"/>
  <c r="U10" i="2"/>
  <c r="U26" i="2"/>
  <c r="U13" i="2"/>
  <c r="U25" i="2"/>
  <c r="U12" i="2"/>
  <c r="U24" i="2"/>
  <c r="U11" i="2"/>
  <c r="U22" i="2"/>
  <c r="U9" i="2"/>
  <c r="U21" i="2"/>
  <c r="U8" i="2"/>
  <c r="U20" i="2"/>
  <c r="U7" i="2"/>
  <c r="U19" i="2"/>
  <c r="U6" i="2"/>
  <c r="U18" i="2"/>
  <c r="AB26" i="2"/>
  <c r="AC18" i="2" l="1"/>
  <c r="AD18" i="2"/>
  <c r="AC19" i="2"/>
  <c r="AD19" i="2"/>
  <c r="AC20" i="2"/>
  <c r="AD20" i="2"/>
  <c r="AC21" i="2"/>
  <c r="AD21" i="2"/>
  <c r="AC22" i="2"/>
  <c r="AD22" i="2"/>
  <c r="AC23" i="2"/>
  <c r="AD23" i="2"/>
  <c r="AC24" i="2"/>
  <c r="AD24" i="2"/>
  <c r="AC25" i="2"/>
  <c r="AD25" i="2"/>
  <c r="AC27" i="2"/>
  <c r="AD27" i="2"/>
  <c r="AC28" i="2"/>
  <c r="AD28" i="2"/>
  <c r="AD17" i="2"/>
  <c r="AC17" i="2"/>
  <c r="AD15" i="2"/>
  <c r="AC15" i="2"/>
  <c r="AC14" i="2"/>
  <c r="AD14" i="2"/>
  <c r="AC7" i="2"/>
  <c r="AD7" i="2"/>
  <c r="AC8" i="2"/>
  <c r="AD8" i="2"/>
  <c r="AC9" i="2"/>
  <c r="AD9" i="2"/>
  <c r="AC10" i="2"/>
  <c r="AD10" i="2"/>
  <c r="AC11" i="2"/>
  <c r="AD11" i="2"/>
  <c r="AC12" i="2"/>
  <c r="AD12" i="2"/>
  <c r="AC13" i="2"/>
  <c r="AD13" i="2"/>
  <c r="I6" i="2"/>
  <c r="S26" i="2" s="1"/>
  <c r="J6" i="2"/>
  <c r="T7" i="2" l="1"/>
  <c r="AE6" i="2"/>
  <c r="S24" i="2"/>
  <c r="S15" i="2"/>
  <c r="S7" i="2"/>
  <c r="S28" i="2"/>
  <c r="S23" i="2"/>
  <c r="S19" i="2"/>
  <c r="S14" i="2"/>
  <c r="S10" i="2"/>
  <c r="S6" i="2"/>
  <c r="S27" i="2"/>
  <c r="S22" i="2"/>
  <c r="S18" i="2"/>
  <c r="S13" i="2"/>
  <c r="S9" i="2"/>
  <c r="S20" i="2"/>
  <c r="S11" i="2"/>
  <c r="S25" i="2"/>
  <c r="S21" i="2"/>
  <c r="S17" i="2"/>
  <c r="S12" i="2"/>
  <c r="S8" i="2"/>
  <c r="T20" i="2"/>
  <c r="T6" i="2"/>
  <c r="T28" i="2"/>
  <c r="T26" i="2"/>
  <c r="T11" i="2"/>
  <c r="T23" i="2"/>
  <c r="T10" i="2"/>
  <c r="T22" i="2"/>
  <c r="T18" i="2"/>
  <c r="T9" i="2"/>
  <c r="T25" i="2"/>
  <c r="T21" i="2"/>
  <c r="T17" i="2"/>
  <c r="T12" i="2"/>
  <c r="T8" i="2"/>
  <c r="T24" i="2"/>
  <c r="T15" i="2"/>
  <c r="T19" i="2"/>
  <c r="T14" i="2"/>
  <c r="T27" i="2"/>
  <c r="T13" i="2"/>
  <c r="AD6" i="2"/>
  <c r="AB7" i="2" l="1"/>
  <c r="AB8" i="2"/>
  <c r="AB9" i="2"/>
  <c r="AB10" i="2"/>
  <c r="AB11" i="2"/>
  <c r="AB12" i="2"/>
  <c r="AB13" i="2"/>
  <c r="AB14" i="2"/>
  <c r="AB15" i="2"/>
  <c r="AB17" i="2"/>
  <c r="AB18" i="2"/>
  <c r="AB19" i="2"/>
  <c r="AB20" i="2"/>
  <c r="AB21" i="2"/>
  <c r="AB22" i="2"/>
  <c r="AB23" i="2"/>
  <c r="AB24" i="2"/>
  <c r="AB25" i="2"/>
  <c r="AB27" i="2"/>
  <c r="AB28" i="2"/>
  <c r="H6" i="2"/>
  <c r="R26" i="2" s="1"/>
  <c r="R7" i="2" l="1"/>
  <c r="AC6" i="2"/>
  <c r="R23" i="2"/>
  <c r="R22" i="2"/>
  <c r="R14" i="2"/>
  <c r="R13" i="2"/>
  <c r="R6" i="2"/>
  <c r="R21" i="2"/>
  <c r="R12" i="2"/>
  <c r="R28" i="2"/>
  <c r="R19" i="2"/>
  <c r="R10" i="2"/>
  <c r="R27" i="2"/>
  <c r="R18" i="2"/>
  <c r="R9" i="2"/>
  <c r="R11" i="2"/>
  <c r="R25" i="2"/>
  <c r="R17" i="2"/>
  <c r="R8" i="2"/>
  <c r="R20" i="2"/>
  <c r="R24" i="2"/>
  <c r="R15" i="2"/>
  <c r="AA28" i="2" l="1"/>
  <c r="AA27" i="2"/>
  <c r="AA25" i="2"/>
  <c r="AA24" i="2"/>
  <c r="AA23" i="2"/>
  <c r="AA22" i="2"/>
  <c r="AA21" i="2"/>
  <c r="AA20" i="2"/>
  <c r="AA19" i="2"/>
  <c r="AA18" i="2"/>
  <c r="AA17" i="2"/>
  <c r="AA15" i="2"/>
  <c r="AA14" i="2"/>
  <c r="AA13" i="2"/>
  <c r="AA12" i="2"/>
  <c r="AA11" i="2"/>
  <c r="AA10" i="2"/>
  <c r="AA9" i="2"/>
  <c r="AA8" i="2"/>
  <c r="AA7" i="2"/>
  <c r="G6" i="2"/>
  <c r="AB6" i="2" l="1"/>
  <c r="Q26" i="2"/>
  <c r="Q27" i="2"/>
  <c r="Q6" i="2"/>
  <c r="Q14" i="2"/>
  <c r="Q12" i="2"/>
  <c r="Q21" i="2"/>
  <c r="Q7" i="2"/>
  <c r="Q15" i="2"/>
  <c r="Q24" i="2"/>
  <c r="Q13" i="2"/>
  <c r="Q8" i="2"/>
  <c r="Q17" i="2"/>
  <c r="Q25" i="2"/>
  <c r="Q9" i="2"/>
  <c r="Q18" i="2"/>
  <c r="Q10" i="2"/>
  <c r="Q19" i="2"/>
  <c r="Q28" i="2"/>
  <c r="Q22" i="2"/>
  <c r="Q23" i="2"/>
  <c r="Q11" i="2"/>
  <c r="Q20" i="2"/>
  <c r="Z28" i="2" l="1"/>
  <c r="Y28" i="2"/>
  <c r="X28" i="2"/>
  <c r="W28" i="2"/>
  <c r="V28" i="2"/>
  <c r="Z27" i="2"/>
  <c r="Y27" i="2"/>
  <c r="X27" i="2"/>
  <c r="W27" i="2"/>
  <c r="V27" i="2"/>
  <c r="X26" i="2"/>
  <c r="W26" i="2"/>
  <c r="V26" i="2"/>
  <c r="Z25" i="2"/>
  <c r="Y25" i="2"/>
  <c r="X25" i="2"/>
  <c r="W25" i="2"/>
  <c r="V25" i="2"/>
  <c r="Z24" i="2"/>
  <c r="Y24" i="2"/>
  <c r="X24" i="2"/>
  <c r="W24" i="2"/>
  <c r="V24" i="2"/>
  <c r="Z23" i="2"/>
  <c r="Y23" i="2"/>
  <c r="X23" i="2"/>
  <c r="W23" i="2"/>
  <c r="V23" i="2"/>
  <c r="Z22" i="2"/>
  <c r="Y22" i="2"/>
  <c r="X22" i="2"/>
  <c r="W22" i="2"/>
  <c r="V22" i="2"/>
  <c r="Z21" i="2"/>
  <c r="Y21" i="2"/>
  <c r="X21" i="2"/>
  <c r="W21" i="2"/>
  <c r="V21" i="2"/>
  <c r="Z20" i="2"/>
  <c r="Y20" i="2"/>
  <c r="X20" i="2"/>
  <c r="W20" i="2"/>
  <c r="V20" i="2"/>
  <c r="Z19" i="2"/>
  <c r="Y19" i="2"/>
  <c r="X19" i="2"/>
  <c r="W19" i="2"/>
  <c r="V19" i="2"/>
  <c r="Z18" i="2"/>
  <c r="Y18" i="2"/>
  <c r="X18" i="2"/>
  <c r="W18" i="2"/>
  <c r="V18" i="2"/>
  <c r="Z17" i="2"/>
  <c r="Y17" i="2"/>
  <c r="X17" i="2"/>
  <c r="W17" i="2"/>
  <c r="V17" i="2"/>
  <c r="Z15" i="2"/>
  <c r="Y15" i="2"/>
  <c r="X15" i="2"/>
  <c r="W15" i="2"/>
  <c r="V15" i="2"/>
  <c r="Z14" i="2"/>
  <c r="Y14" i="2"/>
  <c r="X14" i="2"/>
  <c r="W14" i="2"/>
  <c r="V14" i="2"/>
  <c r="Z13" i="2"/>
  <c r="Y13" i="2"/>
  <c r="X13" i="2"/>
  <c r="W13" i="2"/>
  <c r="V13" i="2"/>
  <c r="Z12" i="2"/>
  <c r="Y12" i="2"/>
  <c r="X12" i="2"/>
  <c r="W12" i="2"/>
  <c r="V12" i="2"/>
  <c r="Z11" i="2"/>
  <c r="Y11" i="2"/>
  <c r="X11" i="2"/>
  <c r="W11" i="2"/>
  <c r="V11" i="2"/>
  <c r="Z10" i="2"/>
  <c r="Y10" i="2"/>
  <c r="X10" i="2"/>
  <c r="W10" i="2"/>
  <c r="V10" i="2"/>
  <c r="Z9" i="2"/>
  <c r="Y9" i="2"/>
  <c r="X9" i="2"/>
  <c r="W9" i="2"/>
  <c r="V9" i="2"/>
  <c r="Z8" i="2"/>
  <c r="Y8" i="2"/>
  <c r="X8" i="2"/>
  <c r="W8" i="2"/>
  <c r="V8" i="2"/>
  <c r="Z7" i="2"/>
  <c r="Y7" i="2"/>
  <c r="X7" i="2"/>
  <c r="W7" i="2"/>
  <c r="V7" i="2"/>
  <c r="F6" i="2"/>
  <c r="E6" i="2"/>
  <c r="O25" i="2" s="1"/>
  <c r="D6" i="2"/>
  <c r="N15" i="2" s="1"/>
  <c r="C6" i="2"/>
  <c r="M27" i="2" s="1"/>
  <c r="L27" i="2"/>
  <c r="AA6" i="2" l="1"/>
  <c r="P26" i="2"/>
  <c r="P28" i="2"/>
  <c r="P17" i="2"/>
  <c r="L18" i="2"/>
  <c r="P19" i="2"/>
  <c r="L20" i="2"/>
  <c r="P21" i="2"/>
  <c r="L22" i="2"/>
  <c r="P23" i="2"/>
  <c r="L24" i="2"/>
  <c r="P25" i="2"/>
  <c r="V6" i="2"/>
  <c r="O15" i="2"/>
  <c r="P15" i="2"/>
  <c r="P6" i="2"/>
  <c r="L7" i="2"/>
  <c r="P8" i="2"/>
  <c r="L9" i="2"/>
  <c r="P10" i="2"/>
  <c r="L11" i="2"/>
  <c r="P12" i="2"/>
  <c r="L13" i="2"/>
  <c r="P14" i="2"/>
  <c r="M7" i="2"/>
  <c r="M9" i="2"/>
  <c r="M20" i="2"/>
  <c r="N7" i="2"/>
  <c r="N9" i="2"/>
  <c r="N11" i="2"/>
  <c r="N24" i="2"/>
  <c r="O27" i="2"/>
  <c r="O7" i="2"/>
  <c r="O18" i="2"/>
  <c r="Y6" i="2"/>
  <c r="P9" i="2"/>
  <c r="P11" i="2"/>
  <c r="L19" i="2"/>
  <c r="L21" i="2"/>
  <c r="L23" i="2"/>
  <c r="M28" i="2"/>
  <c r="M6" i="2"/>
  <c r="Z6" i="2"/>
  <c r="M8" i="2"/>
  <c r="M10" i="2"/>
  <c r="M12" i="2"/>
  <c r="M14" i="2"/>
  <c r="M17" i="2"/>
  <c r="M19" i="2"/>
  <c r="M21" i="2"/>
  <c r="M23" i="2"/>
  <c r="M25" i="2"/>
  <c r="N28" i="2"/>
  <c r="M11" i="2"/>
  <c r="M13" i="2"/>
  <c r="M18" i="2"/>
  <c r="M24" i="2"/>
  <c r="N26" i="2"/>
  <c r="W6" i="2"/>
  <c r="N13" i="2"/>
  <c r="N18" i="2"/>
  <c r="N20" i="2"/>
  <c r="N22" i="2"/>
  <c r="X6" i="2"/>
  <c r="O9" i="2"/>
  <c r="O11" i="2"/>
  <c r="O13" i="2"/>
  <c r="O20" i="2"/>
  <c r="O22" i="2"/>
  <c r="O24" i="2"/>
  <c r="P27" i="2"/>
  <c r="L28" i="2"/>
  <c r="L6" i="2"/>
  <c r="P7" i="2"/>
  <c r="L8" i="2"/>
  <c r="L10" i="2"/>
  <c r="L12" i="2"/>
  <c r="P13" i="2"/>
  <c r="L14" i="2"/>
  <c r="L17" i="2"/>
  <c r="P18" i="2"/>
  <c r="P20" i="2"/>
  <c r="P22" i="2"/>
  <c r="P24" i="2"/>
  <c r="L25" i="2"/>
  <c r="N6" i="2"/>
  <c r="N8" i="2"/>
  <c r="N10" i="2"/>
  <c r="N12" i="2"/>
  <c r="N14" i="2"/>
  <c r="L15" i="2"/>
  <c r="N17" i="2"/>
  <c r="N19" i="2"/>
  <c r="N21" i="2"/>
  <c r="N23" i="2"/>
  <c r="N25" i="2"/>
  <c r="O28" i="2"/>
  <c r="M22" i="2"/>
  <c r="N27" i="2"/>
  <c r="O6" i="2"/>
  <c r="O8" i="2"/>
  <c r="O10" i="2"/>
  <c r="O12" i="2"/>
  <c r="O14" i="2"/>
  <c r="M15" i="2"/>
  <c r="O17" i="2"/>
  <c r="O19" i="2"/>
  <c r="O21" i="2"/>
  <c r="O23" i="2"/>
  <c r="L26" i="2"/>
  <c r="M26" i="2"/>
</calcChain>
</file>

<file path=xl/sharedStrings.xml><?xml version="1.0" encoding="utf-8"?>
<sst xmlns="http://schemas.openxmlformats.org/spreadsheetml/2006/main" count="110" uniqueCount="105">
  <si>
    <t>(cnuhWh Wyifur) ugwa .cfea.iawa.Is</t>
  </si>
  <si>
    <t>cniawtcaws ctogWviawfiheb</t>
  </si>
  <si>
    <t>% urwvcnim ivurutia eruvcSwrwhwa Iruk</t>
  </si>
  <si>
    <t>Percentage  Share</t>
  </si>
  <si>
    <t>% Change Over Previous Year</t>
  </si>
  <si>
    <t>Source:  Maldives Customs Services</t>
  </si>
  <si>
    <t xml:space="preserve">cswsivrWs cscmwTcswk cscviDclOm :ctWrwfivcaed utWmUluAwm     </t>
  </si>
  <si>
    <t>Harmonized System</t>
  </si>
  <si>
    <t>cmwTcsis cDcziawnomWh</t>
  </si>
  <si>
    <t xml:space="preserve">C.I.F. Value (in MVR. '000) </t>
  </si>
  <si>
    <t>TOTAL</t>
  </si>
  <si>
    <t>wlcmuj</t>
  </si>
  <si>
    <t>Section I</t>
  </si>
  <si>
    <t>Live animals; animal product</t>
  </si>
  <si>
    <t>cnudcaefua egutwvWbedim ;inUd iaWrWvwnwjErid</t>
  </si>
  <si>
    <t>Section II</t>
  </si>
  <si>
    <t>Vegetable products</t>
  </si>
  <si>
    <t>cawtctwvWb egIrWkurwt iaWscaeg Whwgcswg</t>
  </si>
  <si>
    <t>Section III</t>
  </si>
  <si>
    <t>Animal And Vegetable Fats And Oils And Their Cleavage Products;
Prepared Edible Fats;Animal Or Vegetable Waxes</t>
  </si>
  <si>
    <t>...cawtctwvWbim iaWkwtctwvWb egIburws ,oyet egIrWkurwt iaWrWvwnwj</t>
  </si>
  <si>
    <t>Section IV</t>
  </si>
  <si>
    <t>Prepared Foodstuffs; Baverages, Spirits And And Vinegar;Tobacco And 
Manufactured Tobacco Substitues</t>
  </si>
  <si>
    <t>....Wrugnwb iaWtwvWb egukwtcniaubinif ,cawtwvWb egWnWk IrWycawt</t>
  </si>
  <si>
    <t>Section V</t>
  </si>
  <si>
    <t>Mineral products</t>
  </si>
  <si>
    <t>cawtcnudcaefua egunwdcAwm</t>
  </si>
  <si>
    <t>Section VI</t>
  </si>
  <si>
    <t>Products of the chemical &amp; allied industries</t>
  </si>
  <si>
    <t>WviawfiLug iaWmwkea csevcnUnea idwa iaWncnutwkcawswmclwkimek</t>
  </si>
  <si>
    <t>Section VII</t>
  </si>
  <si>
    <t>Plastic &amp; articles thereof; rubber &amp; article there of</t>
  </si>
  <si>
    <t>cawtctwvWb egurwbwr iaWkiTcsWlcp</t>
  </si>
  <si>
    <t>Section VIII</t>
  </si>
  <si>
    <t>Raw Hides &amp; Skins, Leather, Furskins &amp; Articles There Of;Saddlery And Harness;Travel Goods,Handbags And Similar Containers;Articles Of Animal Gut(Other Than Silk-Worm Gut)</t>
  </si>
  <si>
    <t>.....iawfcSokurWycawt cSwmudehitekwt ,iaWmwhOr egurWvwnwj egutwvWbikea</t>
  </si>
  <si>
    <t>Section IX</t>
  </si>
  <si>
    <t>Wood; Articles Of Wood; Wood Charcoal; Cork &amp; Articles Of Cork;Manufactures Of Straw,Of Esparto Or Of Other Plaiting Materials;Basketware And Wikerwork</t>
  </si>
  <si>
    <t>,ilediDukwl ,itekwtwncnuhiawfWdwh cniDukwliaWaiDukwl</t>
  </si>
  <si>
    <t xml:space="preserve">itekwtcncnuhiawfWdwh cnudwmiLufiaWdwmiLuf </t>
  </si>
  <si>
    <t>Section X</t>
  </si>
  <si>
    <t>Pulp Of Wood Or Of Other Fibrous Cellulosic Material;Recovered
(Waste And Scrap)Paper Or Paperboard;Paper And Paperboard And Articles Thereof</t>
  </si>
  <si>
    <t>cawtctwvWb Wdcawfua csWdurwk</t>
  </si>
  <si>
    <t>Section XI</t>
  </si>
  <si>
    <t>Textiles and textile articles</t>
  </si>
  <si>
    <t>cawtctwvWb wncnuh iawfWdwhcnitof iaWCcaof</t>
  </si>
  <si>
    <t>Section XII</t>
  </si>
  <si>
    <t>Footware, Headgear, Umbrellas, Sunumbrellas,Walking-Sticks,Seat-Sticks,
Whips,Riding-Crops And Parts Thereof;Prepared Feathers And Articles Made Therewith;Artificial Flowers;Articles Of Human Hair</t>
  </si>
  <si>
    <t>.......wDuk ,cawturwtcawv egIfot iaWlwhikWt ,cawtctwvWb egunWviawf</t>
  </si>
  <si>
    <t>Section XIII</t>
  </si>
  <si>
    <t>Articles Of Stone, Plaster, Cement, Asbestos ,Mica Or Similar Materials;
Ceramic Products;Glass And Glassware</t>
  </si>
  <si>
    <t>Wlifitcnemis ,itcnemis ,wvua  ,wlih iaWlwg</t>
  </si>
  <si>
    <t>Section XIV</t>
  </si>
  <si>
    <t>Natural Or Cultures Pearls, Precious And Semi-Precious Stones, Precious 
Metals,Metals Clad With Precious Metal And Articles Therfof;Imitation 
Jewellery;Coin</t>
  </si>
  <si>
    <t>....cnwdcAwm Itwmugwa ,urihWvwj wncnuhugwa cSwrwvcnimikea ,ctum</t>
  </si>
  <si>
    <t>Section XV</t>
  </si>
  <si>
    <t>Base metal and articles of base metal</t>
  </si>
  <si>
    <t>......wncnuhiawfWdwh cnukwtctwvWbea iaWkwtWdcaWm ,cnwduawmulcswa</t>
  </si>
  <si>
    <t>Section XVI</t>
  </si>
  <si>
    <t>Machinery &amp; Mechanical Appliances; Electrical Equipment;Parts Thereof;Sound Recorders And Reproducers,Television Image And Sound Recorders And Reproducers,And Parts And Accessories Of Such Articles</t>
  </si>
  <si>
    <t>WrukcnunEb iawgutwkcawswmegcnixem iaWnixem ikeaikea</t>
  </si>
  <si>
    <t>Section XVII</t>
  </si>
  <si>
    <t>Vehicles, Aircraft, Vessels And Associated Transport Equipment</t>
  </si>
  <si>
    <t>.....iaWkwtctwvWb eguTObWdcnitwm ,iaWdnwLua Wvcaud iawgumwgcaea</t>
  </si>
  <si>
    <t>Section XVIII</t>
  </si>
  <si>
    <t>Optical, Photographic, Cinematographic,Measuring,Checking,Precision ,Medical Or Surgical Instruments And Apparatus;Clocks And Watches;Musical Instruments; Parts And Accessories Thereof</t>
  </si>
  <si>
    <t>.....iawgumudeh umclif iaWycawgumugenOTof ,cawtctwvWb egImurud iaWniawa</t>
  </si>
  <si>
    <t>Section XIX</t>
  </si>
  <si>
    <t>Arms &amp; ammunition; parts &amp; accessories thereof</t>
  </si>
  <si>
    <t>-</t>
  </si>
  <si>
    <t xml:space="preserve">na </t>
  </si>
  <si>
    <t>unWmWs itekwtim idwa ,cnwzwv iaWrWyitwh</t>
  </si>
  <si>
    <t>Section XX</t>
  </si>
  <si>
    <t>Miscellaneous manufactured articles</t>
  </si>
  <si>
    <t>itekwtcnehea WviawfcSokurWycawt</t>
  </si>
  <si>
    <t>Section  XXI</t>
  </si>
  <si>
    <t>Work of art, collectors pieces &amp; antiques</t>
  </si>
  <si>
    <t>.egumurukcaeaiteCcaea ,iaWCcaekwt EverukwgwhWf iawgugnor egumwkirevuDWf</t>
  </si>
  <si>
    <t>(*)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</si>
  <si>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</si>
  <si>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</si>
  <si>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</si>
  <si>
    <r>
      <rPr>
        <sz val="9"/>
        <rFont val="Calibri"/>
        <family val="2"/>
        <scheme val="minor"/>
      </rPr>
      <t xml:space="preserve">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</si>
  <si>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</si>
  <si>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</si>
  <si>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</si>
  <si>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</si>
  <si>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VI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</si>
  <si>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</si>
  <si>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</si>
  <si>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</si>
  <si>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</si>
  <si>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</si>
  <si>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</si>
  <si>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</si>
  <si>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</si>
  <si>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</si>
  <si>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XVI </t>
    </r>
    <r>
      <rPr>
        <sz val="9"/>
        <rFont val="A_Faseyha"/>
      </rPr>
      <t xml:space="preserve">cnwxckes    </t>
    </r>
  </si>
  <si>
    <r>
      <rPr>
        <sz val="9"/>
        <rFont val="Calibri"/>
        <family val="2"/>
        <scheme val="minor"/>
      </rPr>
      <t xml:space="preserve">XVII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</si>
  <si>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</si>
  <si>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</si>
  <si>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</si>
  <si>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XXI </t>
    </r>
    <r>
      <rPr>
        <sz val="9"/>
        <rFont val="A_Faseyha"/>
      </rPr>
      <t>cnwxckes</t>
    </r>
  </si>
  <si>
    <t>Table 15:2  : SUMMARY OF IMPORTS CLASSIFIED BY HARMONIZED SYSTEM, 2016 - 2023</t>
  </si>
  <si>
    <t>2023 - 2016 ,WsWluh egukwtctwvWbegulwdum uDnwgiawm unuverukeretea cSwaejcaWr ,cnutog egukwtiawb egcmwTcsis cDcziawnomWh : 15:2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</si>
</sst>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#,##0.0"/>
    <numFmt numFmtId="168" formatCode="_(* #,##0_);_(* \(#,##0\);_(* &quot;-&quot;??_);_(@_)"/>
    <numFmt numFmtId="170" formatCode="0.0%"/>
    <numFmt numFmtId="172" formatCode="_-* #,##0.00\ _ރ_._-;_-* #,##0.00\ _ރ_.\-;_-* &quot;-&quot;??\ _ރ_._-;_-@_-"/>
    <numFmt numFmtId="173" formatCode="0.0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sz val="9"/>
      <name val="A_Haleem Gadhooni"/>
      <family val="2"/>
    </font>
    <font>
      <sz val="10"/>
      <name val="Faruma"/>
      <charset val="1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sz val="9"/>
      <name val="A_Faseyha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4" fillId="0" borderId="20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21" applyNumberFormat="0" applyAlignment="0" applyProtection="0"/>
    <xf numFmtId="0" fontId="29" fillId="7" borderId="22" applyNumberFormat="0" applyAlignment="0" applyProtection="0"/>
    <xf numFmtId="0" fontId="30" fillId="7" borderId="21" applyNumberFormat="0" applyAlignment="0" applyProtection="0"/>
    <xf numFmtId="0" fontId="31" fillId="0" borderId="23" applyNumberFormat="0" applyFill="0" applyAlignment="0" applyProtection="0"/>
    <xf numFmtId="0" fontId="32" fillId="8" borderId="24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26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33" borderId="0" applyNumberFormat="0" applyBorder="0" applyAlignment="0" applyProtection="0"/>
    <xf numFmtId="0" fontId="36" fillId="0" borderId="0"/>
    <xf numFmtId="0" fontId="3" fillId="0" borderId="0"/>
    <xf numFmtId="172" fontId="3" fillId="0" borderId="0" applyFont="0" applyFill="0" applyBorder="0" applyAlignment="0" applyProtection="0"/>
    <xf numFmtId="173" fontId="37" fillId="0" borderId="0"/>
    <xf numFmtId="0" fontId="3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4" borderId="0" applyNumberFormat="0" applyBorder="0" applyAlignment="0" applyProtection="0"/>
    <xf numFmtId="0" fontId="3" fillId="0" borderId="0"/>
  </cellStyleXfs>
  <cellXfs count="101">
    <xf numFmtId="0" fontId="0" fillId="0" borderId="0" xfId="0"/>
    <xf numFmtId="0" fontId="6" fillId="2" borderId="0" xfId="0" applyFont="1" applyFill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7" fillId="2" borderId="0" xfId="0" applyFont="1" applyFill="1"/>
    <xf numFmtId="165" fontId="8" fillId="2" borderId="4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43" fontId="6" fillId="2" borderId="0" xfId="2" applyFont="1" applyFill="1" applyBorder="1" applyAlignment="1" applyProtection="1">
      <alignment vertical="center"/>
    </xf>
    <xf numFmtId="0" fontId="14" fillId="2" borderId="0" xfId="0" applyFont="1" applyFill="1"/>
    <xf numFmtId="0" fontId="4" fillId="2" borderId="1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170" fontId="14" fillId="2" borderId="0" xfId="1" applyNumberFormat="1" applyFont="1" applyFill="1"/>
    <xf numFmtId="0" fontId="8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168" fontId="4" fillId="2" borderId="1" xfId="2" applyNumberFormat="1" applyFont="1" applyFill="1" applyBorder="1" applyAlignment="1" applyProtection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43" fontId="14" fillId="2" borderId="0" xfId="0" applyNumberFormat="1" applyFont="1" applyFill="1"/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170" fontId="14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168" fontId="8" fillId="2" borderId="0" xfId="2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/>
    </xf>
    <xf numFmtId="0" fontId="15" fillId="2" borderId="4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vertical="center"/>
    </xf>
    <xf numFmtId="168" fontId="8" fillId="2" borderId="4" xfId="2" applyNumberFormat="1" applyFont="1" applyFill="1" applyBorder="1" applyAlignment="1" applyProtection="1">
      <alignment horizontal="right" vertical="center"/>
    </xf>
    <xf numFmtId="165" fontId="8" fillId="2" borderId="11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8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9" fontId="7" fillId="2" borderId="0" xfId="1" applyFont="1" applyFill="1"/>
    <xf numFmtId="43" fontId="7" fillId="2" borderId="0" xfId="2" applyFont="1" applyFill="1"/>
    <xf numFmtId="0" fontId="18" fillId="2" borderId="0" xfId="0" applyFont="1" applyFill="1" applyAlignment="1">
      <alignment vertical="top"/>
    </xf>
    <xf numFmtId="43" fontId="7" fillId="2" borderId="0" xfId="2" applyFont="1" applyFill="1" applyBorder="1"/>
    <xf numFmtId="0" fontId="0" fillId="2" borderId="0" xfId="0" applyFill="1"/>
    <xf numFmtId="0" fontId="20" fillId="2" borderId="0" xfId="0" applyFont="1" applyFill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43" fillId="2" borderId="5" xfId="0" applyFont="1" applyFill="1" applyBorder="1" applyAlignment="1">
      <alignment horizontal="right" readingOrder="2"/>
    </xf>
    <xf numFmtId="0" fontId="40" fillId="2" borderId="0" xfId="0" applyFont="1" applyFill="1"/>
    <xf numFmtId="0" fontId="43" fillId="2" borderId="4" xfId="0" applyFont="1" applyFill="1" applyBorder="1" applyAlignment="1">
      <alignment horizontal="right" vertical="center"/>
    </xf>
    <xf numFmtId="0" fontId="43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42" fillId="2" borderId="0" xfId="0" applyFont="1" applyFill="1"/>
    <xf numFmtId="0" fontId="40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165" fontId="8" fillId="2" borderId="15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0" fontId="43" fillId="2" borderId="0" xfId="0" applyFont="1" applyFill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</xf>
    <xf numFmtId="168" fontId="4" fillId="2" borderId="6" xfId="2" applyNumberFormat="1" applyFont="1" applyFill="1" applyBorder="1" applyAlignment="1" applyProtection="1">
      <alignment horizontal="right" vertical="center"/>
    </xf>
    <xf numFmtId="165" fontId="21" fillId="2" borderId="17" xfId="0" applyNumberFormat="1" applyFont="1" applyFill="1" applyBorder="1" applyAlignment="1">
      <alignment horizontal="right" vertical="center"/>
    </xf>
    <xf numFmtId="0" fontId="44" fillId="2" borderId="0" xfId="70" applyFont="1" applyFill="1" applyAlignment="1">
      <alignment horizontal="left" vertical="center"/>
    </xf>
    <xf numFmtId="0" fontId="45" fillId="2" borderId="0" xfId="0" applyFont="1" applyFill="1" applyAlignment="1">
      <alignment horizontal="right" vertical="center"/>
    </xf>
    <xf numFmtId="0" fontId="45" fillId="2" borderId="4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168" fontId="8" fillId="2" borderId="14" xfId="2" applyNumberFormat="1" applyFont="1" applyFill="1" applyBorder="1" applyAlignment="1" applyProtection="1">
      <alignment horizontal="right" vertical="center"/>
    </xf>
    <xf numFmtId="165" fontId="8" fillId="2" borderId="14" xfId="0" applyNumberFormat="1" applyFont="1" applyFill="1" applyBorder="1" applyAlignment="1">
      <alignment horizontal="right" vertical="center"/>
    </xf>
    <xf numFmtId="168" fontId="8" fillId="2" borderId="14" xfId="2" applyNumberFormat="1" applyFont="1" applyFill="1" applyBorder="1" applyAlignment="1" applyProtection="1">
      <alignment vertical="center"/>
    </xf>
    <xf numFmtId="168" fontId="8" fillId="2" borderId="14" xfId="2" applyNumberFormat="1" applyFont="1" applyFill="1" applyBorder="1" applyAlignment="1" applyProtection="1">
      <alignment horizontal="center" vertical="center"/>
    </xf>
    <xf numFmtId="168" fontId="8" fillId="2" borderId="10" xfId="2" applyNumberFormat="1" applyFont="1" applyFill="1" applyBorder="1" applyAlignment="1" applyProtection="1">
      <alignment horizontal="right" vertical="center"/>
    </xf>
    <xf numFmtId="165" fontId="8" fillId="2" borderId="10" xfId="0" applyNumberFormat="1" applyFont="1" applyFill="1" applyBorder="1" applyAlignment="1">
      <alignment horizontal="right" vertical="center"/>
    </xf>
    <xf numFmtId="0" fontId="41" fillId="2" borderId="0" xfId="0" applyFont="1" applyFill="1" applyAlignment="1">
      <alignment horizontal="center" vertical="center"/>
    </xf>
    <xf numFmtId="0" fontId="40" fillId="2" borderId="1" xfId="0" applyFont="1" applyFill="1" applyBorder="1" applyAlignment="1">
      <alignment horizontal="right" vertical="center"/>
    </xf>
    <xf numFmtId="0" fontId="40" fillId="2" borderId="0" xfId="0" applyFont="1" applyFill="1" applyAlignment="1">
      <alignment horizontal="right" vertical="center"/>
    </xf>
    <xf numFmtId="0" fontId="40" fillId="2" borderId="4" xfId="0" applyFont="1" applyFill="1" applyBorder="1" applyAlignment="1">
      <alignment horizontal="right" vertical="center"/>
    </xf>
    <xf numFmtId="0" fontId="40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5" fontId="8" fillId="2" borderId="15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0" fontId="45" fillId="2" borderId="0" xfId="0" applyFont="1" applyFill="1" applyAlignment="1">
      <alignment horizontal="right" vertical="center"/>
    </xf>
    <xf numFmtId="0" fontId="43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168" fontId="8" fillId="2" borderId="0" xfId="2" applyNumberFormat="1" applyFont="1" applyFill="1" applyBorder="1" applyAlignment="1" applyProtection="1">
      <alignment horizontal="right" vertical="center"/>
    </xf>
    <xf numFmtId="0" fontId="11" fillId="2" borderId="4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40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8" fontId="8" fillId="2" borderId="0" xfId="2" applyNumberFormat="1" applyFont="1" applyFill="1" applyBorder="1" applyAlignment="1" applyProtection="1">
      <alignment horizontal="center" vertical="center"/>
    </xf>
    <xf numFmtId="165" fontId="8" fillId="2" borderId="14" xfId="0" applyNumberFormat="1" applyFont="1" applyFill="1" applyBorder="1" applyAlignment="1">
      <alignment horizontal="right" vertical="center"/>
    </xf>
    <xf numFmtId="0" fontId="40" fillId="2" borderId="1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/>
    </xf>
  </cellXfs>
  <cellStyles count="71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Quick data" xfId="70" xr:uid="{00000000-0005-0000-0000-000042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" xfId="1" builtinId="5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009999"/>
      <color rgb="FF00DFDA"/>
      <color rgb="FF008080"/>
      <color rgb="FFC1FFFF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J46"/>
  <sheetViews>
    <sheetView tabSelected="1" zoomScaleNormal="100" workbookViewId="0">
      <selection sqref="A1:AH1"/>
    </sheetView>
  </sheetViews>
  <sheetFormatPr defaultColWidth="9.140625" defaultRowHeight="15.75" x14ac:dyDescent="0.4"/>
  <cols>
    <col min="1" max="1" width="10.42578125" style="35" customWidth="1"/>
    <col min="2" max="2" width="41.42578125" style="36" customWidth="1"/>
    <col min="3" max="3" width="13" style="4" hidden="1" customWidth="1"/>
    <col min="4" max="11" width="11" style="4" customWidth="1"/>
    <col min="12" max="12" width="13" style="4" hidden="1" customWidth="1"/>
    <col min="13" max="13" width="7.85546875" style="4" hidden="1" customWidth="1"/>
    <col min="14" max="21" width="7.85546875" style="4" customWidth="1"/>
    <col min="22" max="22" width="4.5703125" style="4" hidden="1" customWidth="1"/>
    <col min="23" max="23" width="9.7109375" style="4" hidden="1" customWidth="1"/>
    <col min="24" max="31" width="8.28515625" style="4" customWidth="1"/>
    <col min="32" max="32" width="49.7109375" style="49" customWidth="1"/>
    <col min="33" max="33" width="10.7109375" style="38" customWidth="1"/>
    <col min="34" max="34" width="3.42578125" style="38" customWidth="1"/>
    <col min="35" max="35" width="4.42578125" style="4" customWidth="1"/>
    <col min="36" max="16384" width="9.140625" style="4"/>
  </cols>
  <sheetData>
    <row r="1" spans="1:36" ht="18.75" x14ac:dyDescent="0.2">
      <c r="A1" s="70" t="s">
        <v>104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1"/>
    </row>
    <row r="2" spans="1:36" ht="20.25" customHeight="1" x14ac:dyDescent="0.2">
      <c r="A2" s="84" t="s">
        <v>103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7"/>
      <c r="AI2" s="1"/>
    </row>
    <row r="3" spans="1:36" s="45" customFormat="1" ht="30.75" customHeight="1" x14ac:dyDescent="0.35">
      <c r="A3" s="85" t="s">
        <v>7</v>
      </c>
      <c r="B3" s="85"/>
      <c r="C3" s="99"/>
      <c r="D3" s="74" t="s">
        <v>0</v>
      </c>
      <c r="E3" s="74"/>
      <c r="F3" s="74"/>
      <c r="G3" s="74"/>
      <c r="H3" s="74"/>
      <c r="I3" s="74"/>
      <c r="J3" s="74"/>
      <c r="K3" s="88"/>
      <c r="L3" s="91" t="s">
        <v>1</v>
      </c>
      <c r="M3" s="74"/>
      <c r="N3" s="74"/>
      <c r="O3" s="74"/>
      <c r="P3" s="74"/>
      <c r="Q3" s="74"/>
      <c r="R3" s="74"/>
      <c r="S3" s="74"/>
      <c r="T3" s="74"/>
      <c r="U3" s="88"/>
      <c r="V3" s="91" t="s">
        <v>2</v>
      </c>
      <c r="W3" s="74"/>
      <c r="X3" s="74"/>
      <c r="Y3" s="74"/>
      <c r="Z3" s="74"/>
      <c r="AA3" s="74"/>
      <c r="AB3" s="74"/>
      <c r="AC3" s="74"/>
      <c r="AD3" s="74"/>
      <c r="AE3" s="74"/>
      <c r="AF3" s="71" t="s">
        <v>8</v>
      </c>
      <c r="AG3" s="71"/>
      <c r="AH3" s="71"/>
    </row>
    <row r="4" spans="1:36" s="8" customFormat="1" ht="17.25" customHeight="1" x14ac:dyDescent="0.2">
      <c r="A4" s="86"/>
      <c r="B4" s="86"/>
      <c r="C4" s="100"/>
      <c r="D4" s="89" t="s">
        <v>9</v>
      </c>
      <c r="E4" s="89"/>
      <c r="F4" s="89"/>
      <c r="G4" s="89"/>
      <c r="H4" s="89"/>
      <c r="I4" s="89"/>
      <c r="J4" s="89"/>
      <c r="K4" s="90"/>
      <c r="L4" s="92" t="s">
        <v>3</v>
      </c>
      <c r="M4" s="93"/>
      <c r="N4" s="93"/>
      <c r="O4" s="93"/>
      <c r="P4" s="93"/>
      <c r="Q4" s="93"/>
      <c r="R4" s="93"/>
      <c r="S4" s="93"/>
      <c r="T4" s="93"/>
      <c r="U4" s="94"/>
      <c r="V4" s="95" t="s">
        <v>4</v>
      </c>
      <c r="W4" s="96"/>
      <c r="X4" s="96"/>
      <c r="Y4" s="96"/>
      <c r="Z4" s="96"/>
      <c r="AA4" s="96"/>
      <c r="AB4" s="96"/>
      <c r="AC4" s="96"/>
      <c r="AD4" s="96"/>
      <c r="AE4" s="96"/>
      <c r="AF4" s="72"/>
      <c r="AG4" s="72"/>
      <c r="AH4" s="72"/>
    </row>
    <row r="5" spans="1:36" s="8" customFormat="1" ht="12.75" x14ac:dyDescent="0.2">
      <c r="A5" s="87"/>
      <c r="B5" s="87"/>
      <c r="C5" s="2">
        <v>2015</v>
      </c>
      <c r="D5" s="2">
        <v>2016</v>
      </c>
      <c r="E5" s="2">
        <v>2017</v>
      </c>
      <c r="F5" s="2">
        <v>2018</v>
      </c>
      <c r="G5" s="10">
        <v>2019</v>
      </c>
      <c r="H5" s="2">
        <v>2020</v>
      </c>
      <c r="I5" s="10">
        <v>2021</v>
      </c>
      <c r="J5" s="2">
        <v>2022</v>
      </c>
      <c r="K5" s="61">
        <v>2023</v>
      </c>
      <c r="L5" s="9">
        <v>2014</v>
      </c>
      <c r="M5" s="2">
        <v>2015</v>
      </c>
      <c r="N5" s="2">
        <v>2016</v>
      </c>
      <c r="O5" s="10">
        <v>2017</v>
      </c>
      <c r="P5" s="10">
        <v>2018</v>
      </c>
      <c r="Q5" s="10">
        <v>2019</v>
      </c>
      <c r="R5" s="10">
        <v>2020</v>
      </c>
      <c r="S5" s="10">
        <v>2021</v>
      </c>
      <c r="T5" s="10">
        <v>2022</v>
      </c>
      <c r="U5" s="62">
        <v>2023</v>
      </c>
      <c r="V5" s="2">
        <v>2014</v>
      </c>
      <c r="W5" s="2">
        <v>2015</v>
      </c>
      <c r="X5" s="2">
        <v>2016</v>
      </c>
      <c r="Y5" s="2">
        <v>2017</v>
      </c>
      <c r="Z5" s="2">
        <v>2018</v>
      </c>
      <c r="AA5" s="2">
        <v>2019</v>
      </c>
      <c r="AB5" s="2">
        <v>2020</v>
      </c>
      <c r="AC5" s="2">
        <v>2021</v>
      </c>
      <c r="AD5" s="2">
        <v>2022</v>
      </c>
      <c r="AE5" s="2">
        <v>2023</v>
      </c>
      <c r="AF5" s="73"/>
      <c r="AG5" s="73"/>
      <c r="AH5" s="73"/>
      <c r="AI5" s="11"/>
    </row>
    <row r="6" spans="1:36" s="8" customFormat="1" ht="19.5" customHeight="1" x14ac:dyDescent="0.2">
      <c r="A6" s="12"/>
      <c r="B6" s="13" t="s">
        <v>10</v>
      </c>
      <c r="C6" s="14">
        <f t="shared" ref="C6:E6" si="0">SUM(C7:C29)</f>
        <v>29147779.394449998</v>
      </c>
      <c r="D6" s="14">
        <f t="shared" si="0"/>
        <v>32705613.741919994</v>
      </c>
      <c r="E6" s="14">
        <f t="shared" si="0"/>
        <v>36319895.400504656</v>
      </c>
      <c r="F6" s="14">
        <f>SUM(F7:F28)</f>
        <v>45572679.692879997</v>
      </c>
      <c r="G6" s="14">
        <f>SUM(G7:G28)</f>
        <v>44419161.239239931</v>
      </c>
      <c r="H6" s="14">
        <f>SUM(H7:H28)</f>
        <v>28255524.517000012</v>
      </c>
      <c r="I6" s="14">
        <f t="shared" ref="I6:J6" si="1">SUM(I7:I28)</f>
        <v>38244243.662690014</v>
      </c>
      <c r="J6" s="14">
        <f t="shared" si="1"/>
        <v>53660565.95765996</v>
      </c>
      <c r="K6" s="56">
        <v>53811154.530110039</v>
      </c>
      <c r="L6" s="15" t="e">
        <f>(#REF!/#REF!)*100</f>
        <v>#REF!</v>
      </c>
      <c r="M6" s="16">
        <f t="shared" ref="M6:M15" si="2">(C6/C$6)*100</f>
        <v>100</v>
      </c>
      <c r="N6" s="16">
        <f t="shared" ref="N6:N15" si="3">(D6/D$6)*100</f>
        <v>100</v>
      </c>
      <c r="O6" s="16">
        <f t="shared" ref="O6:O15" si="4">(E6/E$6)*100</f>
        <v>100</v>
      </c>
      <c r="P6" s="16">
        <f t="shared" ref="P6:P15" si="5">(F6/F$6)*100</f>
        <v>100</v>
      </c>
      <c r="Q6" s="16">
        <f t="shared" ref="Q6:Q15" si="6">(G6/G$6)*100</f>
        <v>100</v>
      </c>
      <c r="R6" s="16">
        <f t="shared" ref="R6:R15" si="7">(H6/H$6)*100</f>
        <v>100</v>
      </c>
      <c r="S6" s="16">
        <f t="shared" ref="S6:U15" si="8">(I6/I$6)*100</f>
        <v>100</v>
      </c>
      <c r="T6" s="16">
        <f t="shared" si="8"/>
        <v>100</v>
      </c>
      <c r="U6" s="63">
        <f t="shared" si="8"/>
        <v>100</v>
      </c>
      <c r="V6" s="3" t="e">
        <f>((#REF!-#REF!)/#REF!)*100</f>
        <v>#REF!</v>
      </c>
      <c r="W6" s="3" t="e">
        <f>((C6-#REF!)/#REF!)*100</f>
        <v>#REF!</v>
      </c>
      <c r="X6" s="3">
        <f t="shared" ref="X6:X14" si="9">((D6-C6)/C6)*100</f>
        <v>12.206193478146883</v>
      </c>
      <c r="Y6" s="3">
        <f t="shared" ref="Y6:Y14" si="10">((E6-D6)/D6)*100</f>
        <v>11.050951946980598</v>
      </c>
      <c r="Z6" s="3">
        <f t="shared" ref="Z6:Z14" si="11">((F6-E6)/E6)*100</f>
        <v>25.475801046075635</v>
      </c>
      <c r="AA6" s="3">
        <f>((G6-F6)/F6)*100</f>
        <v>-2.5311622257321087</v>
      </c>
      <c r="AB6" s="3">
        <f>((H6-G6)/G6)*100</f>
        <v>-36.388883246090984</v>
      </c>
      <c r="AC6" s="3">
        <f>((I6-H6)/H6)*100</f>
        <v>35.351384610398092</v>
      </c>
      <c r="AD6" s="3">
        <f>((J6-I6)/I6)*100</f>
        <v>40.310176953531098</v>
      </c>
      <c r="AE6" s="3">
        <f>((K6-J6)/J6)*100</f>
        <v>0.28063172604049424</v>
      </c>
      <c r="AF6" s="50" t="s">
        <v>11</v>
      </c>
      <c r="AG6" s="43"/>
      <c r="AH6" s="43"/>
      <c r="AI6" s="11"/>
      <c r="AJ6" s="17"/>
    </row>
    <row r="7" spans="1:36" s="21" customFormat="1" ht="17.25" customHeight="1" x14ac:dyDescent="0.25">
      <c r="A7" s="18" t="s">
        <v>12</v>
      </c>
      <c r="B7" s="19" t="s">
        <v>13</v>
      </c>
      <c r="C7" s="55">
        <v>1876753.2120099999</v>
      </c>
      <c r="D7" s="55">
        <v>1956398.2647099921</v>
      </c>
      <c r="E7" s="55">
        <v>2143496.4560899935</v>
      </c>
      <c r="F7" s="55">
        <v>2356170.8097600038</v>
      </c>
      <c r="G7" s="55">
        <v>2603063.8518500063</v>
      </c>
      <c r="H7" s="55">
        <v>1591172.9614499977</v>
      </c>
      <c r="I7" s="55">
        <v>2619930.4366799961</v>
      </c>
      <c r="J7" s="55">
        <v>3322902.578720002</v>
      </c>
      <c r="K7" s="64">
        <v>3313668.8045899984</v>
      </c>
      <c r="L7" s="52" t="e">
        <f>(#REF!/#REF!)*100</f>
        <v>#REF!</v>
      </c>
      <c r="M7" s="53">
        <f t="shared" si="2"/>
        <v>6.4387519426860713</v>
      </c>
      <c r="N7" s="53">
        <f t="shared" si="3"/>
        <v>5.9818423838425154</v>
      </c>
      <c r="O7" s="53">
        <f t="shared" si="4"/>
        <v>5.9017142875918358</v>
      </c>
      <c r="P7" s="53">
        <f t="shared" si="5"/>
        <v>5.1701388323849597</v>
      </c>
      <c r="Q7" s="53">
        <f t="shared" si="6"/>
        <v>5.8602273866226389</v>
      </c>
      <c r="R7" s="53">
        <f t="shared" si="7"/>
        <v>5.6313693999651795</v>
      </c>
      <c r="S7" s="53">
        <f t="shared" si="8"/>
        <v>6.8505222898052107</v>
      </c>
      <c r="T7" s="53">
        <f t="shared" si="8"/>
        <v>6.1924478794015831</v>
      </c>
      <c r="U7" s="65">
        <f t="shared" si="8"/>
        <v>6.1579589464779732</v>
      </c>
      <c r="V7" s="53" t="e">
        <f>((#REF!-#REF!)/#REF!)*100</f>
        <v>#REF!</v>
      </c>
      <c r="W7" s="53" t="e">
        <f>((C7-#REF!)/#REF!)*100</f>
        <v>#REF!</v>
      </c>
      <c r="X7" s="53">
        <f t="shared" si="9"/>
        <v>4.2437680239637086</v>
      </c>
      <c r="Y7" s="53">
        <f t="shared" si="10"/>
        <v>9.5633999863384673</v>
      </c>
      <c r="Z7" s="53">
        <f t="shared" si="11"/>
        <v>9.9218430273477125</v>
      </c>
      <c r="AA7" s="53">
        <f t="shared" ref="AA7:AA15" si="12">((G7-F7)/F7)*100</f>
        <v>10.478571462955633</v>
      </c>
      <c r="AB7" s="53">
        <f t="shared" ref="AB7:AB15" si="13">((H7-G7)/G7)*100</f>
        <v>-38.873072194554666</v>
      </c>
      <c r="AC7" s="53">
        <f t="shared" ref="AC7:AC13" si="14">((I7-H7)/H7)*100</f>
        <v>64.65403197227009</v>
      </c>
      <c r="AD7" s="53">
        <f t="shared" ref="AD7:AE13" si="15">((J7-I7)/I7)*100</f>
        <v>26.831710193451535</v>
      </c>
      <c r="AE7" s="53">
        <f t="shared" si="15"/>
        <v>-0.27788278203330358</v>
      </c>
      <c r="AF7" s="54" t="s">
        <v>14</v>
      </c>
      <c r="AG7" s="59" t="s">
        <v>82</v>
      </c>
      <c r="AH7" s="51">
        <v>1</v>
      </c>
      <c r="AI7" s="20"/>
    </row>
    <row r="8" spans="1:36" s="21" customFormat="1" ht="19.5" customHeight="1" x14ac:dyDescent="0.25">
      <c r="A8" s="18" t="s">
        <v>15</v>
      </c>
      <c r="B8" s="19" t="s">
        <v>16</v>
      </c>
      <c r="C8" s="55">
        <v>2066082.1885499998</v>
      </c>
      <c r="D8" s="55">
        <v>2201236.4511900051</v>
      </c>
      <c r="E8" s="55">
        <v>2428930.5326746912</v>
      </c>
      <c r="F8" s="55">
        <v>2688480.3675900102</v>
      </c>
      <c r="G8" s="55">
        <v>2940826.6718500261</v>
      </c>
      <c r="H8" s="55">
        <v>2178534.8222399959</v>
      </c>
      <c r="I8" s="55">
        <v>2821434.9248900013</v>
      </c>
      <c r="J8" s="55">
        <v>3334408.7723699943</v>
      </c>
      <c r="K8" s="64">
        <v>3365705.1475900034</v>
      </c>
      <c r="L8" s="52" t="e">
        <f>(#REF!/#REF!)*100</f>
        <v>#REF!</v>
      </c>
      <c r="M8" s="53">
        <f t="shared" si="2"/>
        <v>7.0883004862572845</v>
      </c>
      <c r="N8" s="53">
        <f t="shared" si="3"/>
        <v>6.730454497995245</v>
      </c>
      <c r="O8" s="53">
        <f t="shared" si="4"/>
        <v>6.6876033256443295</v>
      </c>
      <c r="P8" s="53">
        <f t="shared" si="5"/>
        <v>5.899324739532581</v>
      </c>
      <c r="Q8" s="53">
        <f t="shared" si="6"/>
        <v>6.6206263013631528</v>
      </c>
      <c r="R8" s="53">
        <f t="shared" si="7"/>
        <v>7.7101199127599802</v>
      </c>
      <c r="S8" s="53">
        <f t="shared" si="8"/>
        <v>7.3774107020516455</v>
      </c>
      <c r="T8" s="53">
        <f t="shared" si="8"/>
        <v>6.2138904293349384</v>
      </c>
      <c r="U8" s="65">
        <f t="shared" si="8"/>
        <v>6.2546607241194252</v>
      </c>
      <c r="V8" s="53" t="e">
        <f>((#REF!-#REF!)/#REF!)*100</f>
        <v>#REF!</v>
      </c>
      <c r="W8" s="53" t="e">
        <f>((C8-#REF!)/#REF!)*100</f>
        <v>#REF!</v>
      </c>
      <c r="X8" s="53">
        <f t="shared" si="9"/>
        <v>6.5415724209334583</v>
      </c>
      <c r="Y8" s="53">
        <f t="shared" si="10"/>
        <v>10.34391745428316</v>
      </c>
      <c r="Z8" s="53">
        <f t="shared" si="11"/>
        <v>10.685766077859284</v>
      </c>
      <c r="AA8" s="53">
        <f t="shared" si="12"/>
        <v>9.3862059512163221</v>
      </c>
      <c r="AB8" s="53">
        <f t="shared" si="13"/>
        <v>-25.921005712672102</v>
      </c>
      <c r="AC8" s="53">
        <f t="shared" si="14"/>
        <v>29.510664511158364</v>
      </c>
      <c r="AD8" s="53">
        <f t="shared" si="15"/>
        <v>18.181310614491391</v>
      </c>
      <c r="AE8" s="53">
        <f t="shared" si="15"/>
        <v>0.93858843820653193</v>
      </c>
      <c r="AF8" s="54" t="s">
        <v>17</v>
      </c>
      <c r="AG8" s="59" t="s">
        <v>84</v>
      </c>
      <c r="AH8" s="51">
        <v>2</v>
      </c>
      <c r="AI8" s="20"/>
    </row>
    <row r="9" spans="1:36" s="21" customFormat="1" ht="36" x14ac:dyDescent="0.25">
      <c r="A9" s="18" t="s">
        <v>18</v>
      </c>
      <c r="B9" s="22" t="s">
        <v>19</v>
      </c>
      <c r="C9" s="55">
        <v>158538.83133000002</v>
      </c>
      <c r="D9" s="55">
        <v>182751.59895999977</v>
      </c>
      <c r="E9" s="55">
        <v>218073.53435000018</v>
      </c>
      <c r="F9" s="55">
        <v>235805.20949999994</v>
      </c>
      <c r="G9" s="55">
        <v>224097.96992000018</v>
      </c>
      <c r="H9" s="55">
        <v>210211.80439000003</v>
      </c>
      <c r="I9" s="55">
        <v>343133.87659000012</v>
      </c>
      <c r="J9" s="55">
        <v>435893.04565999977</v>
      </c>
      <c r="K9" s="64">
        <v>359556.02153999964</v>
      </c>
      <c r="L9" s="52" t="e">
        <f>(#REF!/#REF!)*100</f>
        <v>#REF!</v>
      </c>
      <c r="M9" s="53">
        <f t="shared" si="2"/>
        <v>0.54391392628759661</v>
      </c>
      <c r="N9" s="53">
        <f t="shared" si="3"/>
        <v>0.55877746371645154</v>
      </c>
      <c r="O9" s="53">
        <f t="shared" si="4"/>
        <v>0.60042445592222182</v>
      </c>
      <c r="P9" s="53">
        <f t="shared" si="5"/>
        <v>0.5174266931177206</v>
      </c>
      <c r="Q9" s="53">
        <f t="shared" si="6"/>
        <v>0.50450743253123798</v>
      </c>
      <c r="R9" s="53">
        <f t="shared" si="7"/>
        <v>0.74396709310253828</v>
      </c>
      <c r="S9" s="53">
        <f t="shared" si="8"/>
        <v>0.89721705471914381</v>
      </c>
      <c r="T9" s="53">
        <f t="shared" si="8"/>
        <v>0.81231540868192575</v>
      </c>
      <c r="U9" s="65">
        <f t="shared" si="8"/>
        <v>0.66818120644263446</v>
      </c>
      <c r="V9" s="53" t="e">
        <f>((#REF!-#REF!)/#REF!)*100</f>
        <v>#REF!</v>
      </c>
      <c r="W9" s="53" t="e">
        <f>((C9-#REF!)/#REF!)*100</f>
        <v>#REF!</v>
      </c>
      <c r="X9" s="53">
        <f t="shared" si="9"/>
        <v>15.272452450214333</v>
      </c>
      <c r="Y9" s="53">
        <f t="shared" si="10"/>
        <v>19.327839313587393</v>
      </c>
      <c r="Z9" s="53">
        <f t="shared" si="11"/>
        <v>8.1310532260833916</v>
      </c>
      <c r="AA9" s="53">
        <f t="shared" si="12"/>
        <v>-4.9647925950506888</v>
      </c>
      <c r="AB9" s="53">
        <f t="shared" si="13"/>
        <v>-6.196470916250294</v>
      </c>
      <c r="AC9" s="53">
        <f t="shared" si="14"/>
        <v>63.23244909376902</v>
      </c>
      <c r="AD9" s="53">
        <f t="shared" si="15"/>
        <v>27.032938278150446</v>
      </c>
      <c r="AE9" s="53">
        <f t="shared" si="15"/>
        <v>-17.512787799680488</v>
      </c>
      <c r="AF9" s="54" t="s">
        <v>20</v>
      </c>
      <c r="AG9" s="59" t="s">
        <v>83</v>
      </c>
      <c r="AH9" s="51">
        <v>3</v>
      </c>
      <c r="AI9" s="20"/>
    </row>
    <row r="10" spans="1:36" s="21" customFormat="1" ht="36" x14ac:dyDescent="0.25">
      <c r="A10" s="18" t="s">
        <v>21</v>
      </c>
      <c r="B10" s="22" t="s">
        <v>22</v>
      </c>
      <c r="C10" s="55">
        <v>2380707.0856900001</v>
      </c>
      <c r="D10" s="55">
        <v>2570338.2835499914</v>
      </c>
      <c r="E10" s="55">
        <v>2577125.4142600088</v>
      </c>
      <c r="F10" s="55">
        <v>2694268.578550003</v>
      </c>
      <c r="G10" s="55">
        <v>2972782.968260006</v>
      </c>
      <c r="H10" s="55">
        <v>2159406.7399600004</v>
      </c>
      <c r="I10" s="55">
        <v>3069285.5213800045</v>
      </c>
      <c r="J10" s="55">
        <v>3650314.998239994</v>
      </c>
      <c r="K10" s="64">
        <v>3661408.933309997</v>
      </c>
      <c r="L10" s="52" t="e">
        <f>(#REF!/#REF!)*100</f>
        <v>#REF!</v>
      </c>
      <c r="M10" s="53">
        <f t="shared" si="2"/>
        <v>8.1677134078464597</v>
      </c>
      <c r="N10" s="53">
        <f t="shared" si="3"/>
        <v>7.8590125347670625</v>
      </c>
      <c r="O10" s="53">
        <f t="shared" si="4"/>
        <v>7.0956300557633218</v>
      </c>
      <c r="P10" s="53">
        <f t="shared" si="5"/>
        <v>5.9120257941973495</v>
      </c>
      <c r="Q10" s="53">
        <f t="shared" si="6"/>
        <v>6.6925688944208304</v>
      </c>
      <c r="R10" s="53">
        <f t="shared" si="7"/>
        <v>7.642423125646765</v>
      </c>
      <c r="S10" s="53">
        <f t="shared" si="8"/>
        <v>8.0254836478157667</v>
      </c>
      <c r="T10" s="53">
        <f t="shared" si="8"/>
        <v>6.8026024942044376</v>
      </c>
      <c r="U10" s="65">
        <f t="shared" si="8"/>
        <v>6.8041820795003662</v>
      </c>
      <c r="V10" s="53" t="e">
        <f>((#REF!-#REF!)/#REF!)*100</f>
        <v>#REF!</v>
      </c>
      <c r="W10" s="53" t="e">
        <f>((C10-#REF!)/#REF!)*100</f>
        <v>#REF!</v>
      </c>
      <c r="X10" s="53">
        <f t="shared" si="9"/>
        <v>7.9653309304546616</v>
      </c>
      <c r="Y10" s="53">
        <f t="shared" si="10"/>
        <v>0.26405593199364558</v>
      </c>
      <c r="Z10" s="53">
        <f t="shared" si="11"/>
        <v>4.5454972288816782</v>
      </c>
      <c r="AA10" s="53">
        <f t="shared" si="12"/>
        <v>10.337291238421875</v>
      </c>
      <c r="AB10" s="53">
        <f t="shared" si="13"/>
        <v>-27.3607672334076</v>
      </c>
      <c r="AC10" s="53">
        <f t="shared" si="14"/>
        <v>42.13559051116318</v>
      </c>
      <c r="AD10" s="53">
        <f t="shared" si="15"/>
        <v>18.93044725922887</v>
      </c>
      <c r="AE10" s="53">
        <f t="shared" si="15"/>
        <v>0.30391719825143521</v>
      </c>
      <c r="AF10" s="54" t="s">
        <v>23</v>
      </c>
      <c r="AG10" s="59" t="s">
        <v>85</v>
      </c>
      <c r="AH10" s="51">
        <v>4</v>
      </c>
      <c r="AI10" s="20"/>
    </row>
    <row r="11" spans="1:36" s="21" customFormat="1" ht="19.5" customHeight="1" x14ac:dyDescent="0.25">
      <c r="A11" s="18" t="s">
        <v>24</v>
      </c>
      <c r="B11" s="19" t="s">
        <v>25</v>
      </c>
      <c r="C11" s="55">
        <v>5717767.5733999992</v>
      </c>
      <c r="D11" s="55">
        <v>5263630.4115100019</v>
      </c>
      <c r="E11" s="55">
        <v>6723146.614579998</v>
      </c>
      <c r="F11" s="55">
        <v>9854282.6076299883</v>
      </c>
      <c r="G11" s="55">
        <v>8813276.1820899993</v>
      </c>
      <c r="H11" s="55">
        <v>5190653.5381400017</v>
      </c>
      <c r="I11" s="55">
        <v>7987242.5961999996</v>
      </c>
      <c r="J11" s="55">
        <v>14387905.749579998</v>
      </c>
      <c r="K11" s="64">
        <v>14061172.384359995</v>
      </c>
      <c r="L11" s="52" t="e">
        <f>(#REF!/#REF!)*100</f>
        <v>#REF!</v>
      </c>
      <c r="M11" s="53">
        <f t="shared" si="2"/>
        <v>19.616477454501094</v>
      </c>
      <c r="N11" s="53">
        <f t="shared" si="3"/>
        <v>16.093966170594783</v>
      </c>
      <c r="O11" s="53">
        <f t="shared" si="4"/>
        <v>18.510919539946091</v>
      </c>
      <c r="P11" s="53">
        <f t="shared" si="5"/>
        <v>21.623223988668723</v>
      </c>
      <c r="Q11" s="53">
        <f t="shared" si="6"/>
        <v>19.841158491539328</v>
      </c>
      <c r="R11" s="53">
        <f t="shared" si="7"/>
        <v>18.370402343856796</v>
      </c>
      <c r="S11" s="53">
        <f t="shared" si="8"/>
        <v>20.884822998845507</v>
      </c>
      <c r="T11" s="53">
        <f t="shared" si="8"/>
        <v>26.812810287786665</v>
      </c>
      <c r="U11" s="65">
        <f t="shared" si="8"/>
        <v>26.130590408522202</v>
      </c>
      <c r="V11" s="53" t="e">
        <f>((#REF!-#REF!)/#REF!)*100</f>
        <v>#REF!</v>
      </c>
      <c r="W11" s="53" t="e">
        <f>((C11-#REF!)/#REF!)*100</f>
        <v>#REF!</v>
      </c>
      <c r="X11" s="53">
        <f t="shared" si="9"/>
        <v>-7.9425607295182568</v>
      </c>
      <c r="Y11" s="53">
        <f t="shared" si="10"/>
        <v>27.728318460172773</v>
      </c>
      <c r="Z11" s="53">
        <f t="shared" si="11"/>
        <v>46.572478224106021</v>
      </c>
      <c r="AA11" s="53">
        <f t="shared" si="12"/>
        <v>-10.564000110306933</v>
      </c>
      <c r="AB11" s="53">
        <f t="shared" si="13"/>
        <v>-41.104154336065761</v>
      </c>
      <c r="AC11" s="53">
        <f t="shared" si="14"/>
        <v>53.87739785580289</v>
      </c>
      <c r="AD11" s="53">
        <f t="shared" si="15"/>
        <v>80.136080459421237</v>
      </c>
      <c r="AE11" s="53">
        <f t="shared" si="15"/>
        <v>-2.2708889737447757</v>
      </c>
      <c r="AF11" s="54" t="s">
        <v>26</v>
      </c>
      <c r="AG11" s="59" t="s">
        <v>86</v>
      </c>
      <c r="AH11" s="51">
        <v>5</v>
      </c>
      <c r="AI11" s="20"/>
    </row>
    <row r="12" spans="1:36" s="21" customFormat="1" ht="19.5" customHeight="1" x14ac:dyDescent="0.25">
      <c r="A12" s="18" t="s">
        <v>27</v>
      </c>
      <c r="B12" s="19" t="s">
        <v>28</v>
      </c>
      <c r="C12" s="55">
        <v>1536770.7530100001</v>
      </c>
      <c r="D12" s="55">
        <v>1853999.7230299974</v>
      </c>
      <c r="E12" s="55">
        <v>1915072.1585100037</v>
      </c>
      <c r="F12" s="55">
        <v>2207909.9094800157</v>
      </c>
      <c r="G12" s="55">
        <v>2553688.590189985</v>
      </c>
      <c r="H12" s="55">
        <v>2336053.343789997</v>
      </c>
      <c r="I12" s="55">
        <v>2931155.4189900043</v>
      </c>
      <c r="J12" s="55">
        <v>3034464.5007300125</v>
      </c>
      <c r="K12" s="64">
        <v>2996682.5198900085</v>
      </c>
      <c r="L12" s="52" t="e">
        <f>(#REF!/#REF!)*100</f>
        <v>#REF!</v>
      </c>
      <c r="M12" s="53">
        <f t="shared" si="2"/>
        <v>5.2723424732060904</v>
      </c>
      <c r="N12" s="53">
        <f t="shared" si="3"/>
        <v>5.668750746156026</v>
      </c>
      <c r="O12" s="53">
        <f t="shared" si="4"/>
        <v>5.2727909521550949</v>
      </c>
      <c r="P12" s="53">
        <f t="shared" si="5"/>
        <v>4.8448103652438208</v>
      </c>
      <c r="Q12" s="53">
        <f t="shared" si="6"/>
        <v>5.7490698134436045</v>
      </c>
      <c r="R12" s="53">
        <f t="shared" si="7"/>
        <v>8.2675985801803265</v>
      </c>
      <c r="S12" s="53">
        <f t="shared" si="8"/>
        <v>7.6643048424292815</v>
      </c>
      <c r="T12" s="53">
        <f t="shared" si="8"/>
        <v>5.6549245178001106</v>
      </c>
      <c r="U12" s="65">
        <f t="shared" si="8"/>
        <v>5.5688872429102299</v>
      </c>
      <c r="V12" s="53" t="e">
        <f>((#REF!-#REF!)/#REF!)*100</f>
        <v>#REF!</v>
      </c>
      <c r="W12" s="53" t="e">
        <f>((C12-#REF!)/#REF!)*100</f>
        <v>#REF!</v>
      </c>
      <c r="X12" s="53">
        <f t="shared" si="9"/>
        <v>20.642569452773355</v>
      </c>
      <c r="Y12" s="53">
        <f t="shared" si="10"/>
        <v>3.294090863195783</v>
      </c>
      <c r="Z12" s="53">
        <f t="shared" si="11"/>
        <v>15.291212379059937</v>
      </c>
      <c r="AA12" s="53">
        <f t="shared" si="12"/>
        <v>15.660905330661951</v>
      </c>
      <c r="AB12" s="53">
        <f t="shared" si="13"/>
        <v>-8.5223878602910119</v>
      </c>
      <c r="AC12" s="53">
        <f t="shared" si="14"/>
        <v>25.474678340800118</v>
      </c>
      <c r="AD12" s="53">
        <f t="shared" si="15"/>
        <v>3.5245173650875761</v>
      </c>
      <c r="AE12" s="53">
        <f t="shared" si="15"/>
        <v>-1.2450954964513408</v>
      </c>
      <c r="AF12" s="54" t="s">
        <v>29</v>
      </c>
      <c r="AG12" s="59" t="s">
        <v>87</v>
      </c>
      <c r="AH12" s="51">
        <v>6</v>
      </c>
      <c r="AI12" s="20"/>
    </row>
    <row r="13" spans="1:36" s="21" customFormat="1" ht="19.5" customHeight="1" x14ac:dyDescent="0.25">
      <c r="A13" s="18" t="s">
        <v>30</v>
      </c>
      <c r="B13" s="19" t="s">
        <v>31</v>
      </c>
      <c r="C13" s="55">
        <v>995929.29975000001</v>
      </c>
      <c r="D13" s="55">
        <v>1160778.628180004</v>
      </c>
      <c r="E13" s="55">
        <v>1366985.4138200067</v>
      </c>
      <c r="F13" s="55">
        <v>1681104.446719985</v>
      </c>
      <c r="G13" s="55">
        <v>1509322.4911999973</v>
      </c>
      <c r="H13" s="55">
        <v>1121103.261980006</v>
      </c>
      <c r="I13" s="55">
        <v>1299027.5234099966</v>
      </c>
      <c r="J13" s="55">
        <v>1798781.4736599978</v>
      </c>
      <c r="K13" s="64">
        <v>1639632.494080002</v>
      </c>
      <c r="L13" s="52" t="e">
        <f>(#REF!/#REF!)*100</f>
        <v>#REF!</v>
      </c>
      <c r="M13" s="53">
        <f t="shared" si="2"/>
        <v>3.41682735508707</v>
      </c>
      <c r="N13" s="53">
        <f t="shared" si="3"/>
        <v>3.549172436694533</v>
      </c>
      <c r="O13" s="53">
        <f t="shared" si="4"/>
        <v>3.7637371989816155</v>
      </c>
      <c r="P13" s="53">
        <f t="shared" si="5"/>
        <v>3.6888426532061724</v>
      </c>
      <c r="Q13" s="53">
        <f t="shared" si="6"/>
        <v>3.397908580647985</v>
      </c>
      <c r="R13" s="53">
        <f t="shared" si="7"/>
        <v>3.9677311999835334</v>
      </c>
      <c r="S13" s="53">
        <f t="shared" si="8"/>
        <v>3.3966615600174372</v>
      </c>
      <c r="T13" s="53">
        <f t="shared" si="8"/>
        <v>3.3521477859165678</v>
      </c>
      <c r="U13" s="65">
        <f t="shared" si="8"/>
        <v>3.0470122940078257</v>
      </c>
      <c r="V13" s="53" t="e">
        <f>((#REF!-#REF!)/#REF!)*100</f>
        <v>#REF!</v>
      </c>
      <c r="W13" s="53" t="e">
        <f>((C13-#REF!)/#REF!)*100</f>
        <v>#REF!</v>
      </c>
      <c r="X13" s="53">
        <f t="shared" si="9"/>
        <v>16.552312345001269</v>
      </c>
      <c r="Y13" s="53">
        <f t="shared" si="10"/>
        <v>17.764522936067173</v>
      </c>
      <c r="Z13" s="53">
        <f t="shared" si="11"/>
        <v>22.978960106251648</v>
      </c>
      <c r="AA13" s="53">
        <f t="shared" si="12"/>
        <v>-10.218398735138246</v>
      </c>
      <c r="AB13" s="53">
        <f t="shared" si="13"/>
        <v>-25.721423452143412</v>
      </c>
      <c r="AC13" s="53">
        <f t="shared" si="14"/>
        <v>15.870461487709397</v>
      </c>
      <c r="AD13" s="53">
        <f t="shared" si="15"/>
        <v>38.471390424286625</v>
      </c>
      <c r="AE13" s="53">
        <f t="shared" si="15"/>
        <v>-8.8475994394235062</v>
      </c>
      <c r="AF13" s="54" t="s">
        <v>32</v>
      </c>
      <c r="AG13" s="59" t="s">
        <v>88</v>
      </c>
      <c r="AH13" s="51">
        <v>7</v>
      </c>
      <c r="AI13" s="20"/>
    </row>
    <row r="14" spans="1:36" s="21" customFormat="1" ht="48" x14ac:dyDescent="0.25">
      <c r="A14" s="18" t="s">
        <v>33</v>
      </c>
      <c r="B14" s="22" t="s">
        <v>34</v>
      </c>
      <c r="C14" s="55">
        <v>53386.486340000003</v>
      </c>
      <c r="D14" s="55">
        <v>53811.012350000012</v>
      </c>
      <c r="E14" s="55">
        <v>61743.707270000064</v>
      </c>
      <c r="F14" s="55">
        <v>65750.864800000039</v>
      </c>
      <c r="G14" s="55">
        <v>79632.210600000035</v>
      </c>
      <c r="H14" s="55">
        <v>35701.211560000003</v>
      </c>
      <c r="I14" s="55">
        <v>69221.757690000013</v>
      </c>
      <c r="J14" s="55">
        <v>103160.21446000006</v>
      </c>
      <c r="K14" s="64">
        <v>128629.19989000013</v>
      </c>
      <c r="L14" s="52" t="e">
        <f>(#REF!/#REF!)*100</f>
        <v>#REF!</v>
      </c>
      <c r="M14" s="53">
        <f t="shared" si="2"/>
        <v>0.18315798818679571</v>
      </c>
      <c r="N14" s="53">
        <f t="shared" si="3"/>
        <v>0.16453142501658194</v>
      </c>
      <c r="O14" s="53">
        <f t="shared" si="4"/>
        <v>0.16999968361456833</v>
      </c>
      <c r="P14" s="53">
        <f t="shared" si="5"/>
        <v>0.14427693355559373</v>
      </c>
      <c r="Q14" s="53">
        <f t="shared" si="6"/>
        <v>0.17927445809051626</v>
      </c>
      <c r="R14" s="53">
        <f t="shared" si="7"/>
        <v>0.12635126110831979</v>
      </c>
      <c r="S14" s="53">
        <f t="shared" si="8"/>
        <v>0.18099915454081988</v>
      </c>
      <c r="T14" s="53">
        <f t="shared" si="8"/>
        <v>0.19224585618682635</v>
      </c>
      <c r="U14" s="65">
        <f t="shared" si="8"/>
        <v>0.23903817157096241</v>
      </c>
      <c r="V14" s="53" t="e">
        <f>((#REF!-#REF!)/#REF!)*100</f>
        <v>#REF!</v>
      </c>
      <c r="W14" s="53" t="e">
        <f>((C14-#REF!)/#REF!)*100</f>
        <v>#REF!</v>
      </c>
      <c r="X14" s="53">
        <f t="shared" si="9"/>
        <v>0.79519376363589434</v>
      </c>
      <c r="Y14" s="53">
        <f t="shared" si="10"/>
        <v>14.741768596368082</v>
      </c>
      <c r="Z14" s="53">
        <f t="shared" si="11"/>
        <v>6.4899853072913336</v>
      </c>
      <c r="AA14" s="53">
        <f t="shared" si="12"/>
        <v>21.112035320332375</v>
      </c>
      <c r="AB14" s="53">
        <f t="shared" si="13"/>
        <v>-55.167373489943039</v>
      </c>
      <c r="AC14" s="53">
        <f t="shared" ref="AC14:AE15" si="16">((I14-H14)/H14)*100</f>
        <v>93.891900765510059</v>
      </c>
      <c r="AD14" s="53">
        <f t="shared" si="16"/>
        <v>49.028597225150932</v>
      </c>
      <c r="AE14" s="53">
        <f t="shared" si="16"/>
        <v>24.68876743162992</v>
      </c>
      <c r="AF14" s="54" t="s">
        <v>35</v>
      </c>
      <c r="AG14" s="59" t="s">
        <v>89</v>
      </c>
      <c r="AH14" s="51">
        <v>8</v>
      </c>
      <c r="AI14" s="20"/>
    </row>
    <row r="15" spans="1:36" s="21" customFormat="1" ht="22.5" customHeight="1" x14ac:dyDescent="0.25">
      <c r="A15" s="81" t="s">
        <v>36</v>
      </c>
      <c r="B15" s="82" t="s">
        <v>37</v>
      </c>
      <c r="C15" s="83">
        <v>1393444.51767</v>
      </c>
      <c r="D15" s="83">
        <v>1312707.0845699981</v>
      </c>
      <c r="E15" s="83">
        <v>1751019.8070699973</v>
      </c>
      <c r="F15" s="97">
        <v>2145220.6940100044</v>
      </c>
      <c r="G15" s="97">
        <v>1944782.7540599911</v>
      </c>
      <c r="H15" s="97">
        <v>1102367.8219099983</v>
      </c>
      <c r="I15" s="97">
        <v>940219.97757000057</v>
      </c>
      <c r="J15" s="97">
        <v>1459436.9387300005</v>
      </c>
      <c r="K15" s="66">
        <v>1144630.2451700007</v>
      </c>
      <c r="L15" s="77" t="e">
        <f>(#REF!/#REF!)*100</f>
        <v>#REF!</v>
      </c>
      <c r="M15" s="78">
        <f t="shared" si="2"/>
        <v>4.7806198160513205</v>
      </c>
      <c r="N15" s="78">
        <f t="shared" si="3"/>
        <v>4.0137057048633</v>
      </c>
      <c r="O15" s="78">
        <f t="shared" si="4"/>
        <v>4.8211036616742771</v>
      </c>
      <c r="P15" s="78">
        <f t="shared" si="5"/>
        <v>4.7072516000088553</v>
      </c>
      <c r="Q15" s="78">
        <f t="shared" si="6"/>
        <v>4.3782518620409432</v>
      </c>
      <c r="R15" s="78">
        <f t="shared" si="7"/>
        <v>3.9014240250495291</v>
      </c>
      <c r="S15" s="78">
        <f t="shared" si="8"/>
        <v>2.4584614245810075</v>
      </c>
      <c r="T15" s="78">
        <f t="shared" si="8"/>
        <v>2.7197568879194205</v>
      </c>
      <c r="U15" s="98">
        <f t="shared" si="8"/>
        <v>2.1271244877853768</v>
      </c>
      <c r="V15" s="77" t="e">
        <f>((#REF!-#REF!)/#REF!)*100</f>
        <v>#REF!</v>
      </c>
      <c r="W15" s="78" t="e">
        <f>((C15-#REF!)/#REF!)*100</f>
        <v>#REF!</v>
      </c>
      <c r="X15" s="78">
        <f>((D15-C15)/C15)*100</f>
        <v>-5.794090261663535</v>
      </c>
      <c r="Y15" s="78">
        <f>((E15-D15)/D15)*100</f>
        <v>33.389986818238036</v>
      </c>
      <c r="Z15" s="78">
        <f>((F15-E15)/E15)*100</f>
        <v>22.512645793517791</v>
      </c>
      <c r="AA15" s="78">
        <f t="shared" si="12"/>
        <v>-9.343464777758598</v>
      </c>
      <c r="AB15" s="78">
        <f t="shared" si="13"/>
        <v>-43.316659940105914</v>
      </c>
      <c r="AC15" s="78">
        <f t="shared" si="16"/>
        <v>-14.709050928124437</v>
      </c>
      <c r="AD15" s="78">
        <f t="shared" si="16"/>
        <v>55.222923735562048</v>
      </c>
      <c r="AE15" s="78">
        <f t="shared" si="16"/>
        <v>-21.570421112812454</v>
      </c>
      <c r="AF15" s="54" t="s">
        <v>38</v>
      </c>
      <c r="AG15" s="79" t="s">
        <v>90</v>
      </c>
      <c r="AH15" s="75">
        <v>9</v>
      </c>
      <c r="AI15" s="20"/>
    </row>
    <row r="16" spans="1:36" s="21" customFormat="1" ht="14.25" x14ac:dyDescent="0.25">
      <c r="A16" s="81"/>
      <c r="B16" s="82"/>
      <c r="C16" s="83"/>
      <c r="D16" s="83"/>
      <c r="E16" s="83"/>
      <c r="F16" s="97"/>
      <c r="G16" s="97"/>
      <c r="H16" s="97"/>
      <c r="I16" s="97"/>
      <c r="J16" s="97"/>
      <c r="K16" s="66">
        <v>0</v>
      </c>
      <c r="L16" s="77"/>
      <c r="M16" s="78"/>
      <c r="N16" s="78"/>
      <c r="O16" s="78"/>
      <c r="P16" s="78"/>
      <c r="Q16" s="78"/>
      <c r="R16" s="78"/>
      <c r="S16" s="78"/>
      <c r="T16" s="78"/>
      <c r="U16" s="98"/>
      <c r="V16" s="77"/>
      <c r="W16" s="78"/>
      <c r="X16" s="78"/>
      <c r="Y16" s="78"/>
      <c r="Z16" s="78"/>
      <c r="AA16" s="78"/>
      <c r="AB16" s="78"/>
      <c r="AC16" s="78"/>
      <c r="AD16" s="78"/>
      <c r="AE16" s="78"/>
      <c r="AF16" s="54" t="s">
        <v>39</v>
      </c>
      <c r="AG16" s="80"/>
      <c r="AH16" s="75"/>
      <c r="AI16" s="20"/>
    </row>
    <row r="17" spans="1:35" s="21" customFormat="1" ht="48" x14ac:dyDescent="0.25">
      <c r="A17" s="18" t="s">
        <v>40</v>
      </c>
      <c r="B17" s="22" t="s">
        <v>41</v>
      </c>
      <c r="C17" s="23">
        <v>370744.87017000001</v>
      </c>
      <c r="D17" s="23">
        <v>431307.89348999894</v>
      </c>
      <c r="E17" s="23">
        <v>462322.00358000078</v>
      </c>
      <c r="F17" s="23">
        <v>480319.25514000043</v>
      </c>
      <c r="G17" s="23">
        <v>570319.70002999937</v>
      </c>
      <c r="H17" s="23">
        <v>286693.42520000023</v>
      </c>
      <c r="I17" s="23">
        <v>500843.52227000007</v>
      </c>
      <c r="J17" s="55">
        <v>552528.0787500001</v>
      </c>
      <c r="K17" s="64">
        <v>613070.70119000156</v>
      </c>
      <c r="L17" s="52" t="e">
        <f>(#REF!/#REF!)*100</f>
        <v>#REF!</v>
      </c>
      <c r="M17" s="53">
        <f t="shared" ref="M17:M25" si="17">(C17/C$6)*100</f>
        <v>1.271948937010938</v>
      </c>
      <c r="N17" s="53">
        <f t="shared" ref="N17:N25" si="18">(D17/D$6)*100</f>
        <v>1.3187579872172699</v>
      </c>
      <c r="O17" s="53">
        <f t="shared" ref="O17:O25" si="19">(E17/E$6)*100</f>
        <v>1.2729166713777951</v>
      </c>
      <c r="P17" s="53">
        <f t="shared" ref="P17:P26" si="20">(F17/F$6)*100</f>
        <v>1.0539631603340689</v>
      </c>
      <c r="Q17" s="53">
        <f t="shared" ref="Q17:Q27" si="21">(G17/G$6)*100</f>
        <v>1.2839497282676702</v>
      </c>
      <c r="R17" s="53">
        <f t="shared" ref="R17:R26" si="22">(H17/H$6)*100</f>
        <v>1.0146455608265574</v>
      </c>
      <c r="S17" s="53">
        <f t="shared" ref="S17:U26" si="23">(I17/I$6)*100</f>
        <v>1.309591913197145</v>
      </c>
      <c r="T17" s="53">
        <f t="shared" si="23"/>
        <v>1.0296724771519625</v>
      </c>
      <c r="U17" s="65">
        <f t="shared" si="23"/>
        <v>1.1393004044300106</v>
      </c>
      <c r="V17" s="53" t="e">
        <f>((#REF!-#REF!)/#REF!)*100</f>
        <v>#REF!</v>
      </c>
      <c r="W17" s="53" t="e">
        <f>((C17-#REF!)/#REF!)*100</f>
        <v>#REF!</v>
      </c>
      <c r="X17" s="53">
        <f t="shared" ref="X17:AE17" si="24">((D17-C17)/C17)*100</f>
        <v>16.335498665761332</v>
      </c>
      <c r="Y17" s="53">
        <f t="shared" si="24"/>
        <v>7.1907123792810861</v>
      </c>
      <c r="Z17" s="53">
        <f t="shared" si="24"/>
        <v>3.8927958047935278</v>
      </c>
      <c r="AA17" s="53">
        <f t="shared" si="24"/>
        <v>18.737630008975213</v>
      </c>
      <c r="AB17" s="53">
        <f t="shared" si="24"/>
        <v>-49.731102540396222</v>
      </c>
      <c r="AC17" s="53">
        <f t="shared" si="24"/>
        <v>74.696549779823712</v>
      </c>
      <c r="AD17" s="53">
        <f t="shared" si="24"/>
        <v>10.31950183677076</v>
      </c>
      <c r="AE17" s="53">
        <f t="shared" si="24"/>
        <v>10.957383844992775</v>
      </c>
      <c r="AF17" s="54" t="s">
        <v>42</v>
      </c>
      <c r="AG17" s="59" t="s">
        <v>91</v>
      </c>
      <c r="AH17" s="51">
        <v>10</v>
      </c>
      <c r="AI17" s="20"/>
    </row>
    <row r="18" spans="1:35" s="21" customFormat="1" ht="14.25" x14ac:dyDescent="0.25">
      <c r="A18" s="18" t="s">
        <v>43</v>
      </c>
      <c r="B18" s="19" t="s">
        <v>44</v>
      </c>
      <c r="C18" s="55">
        <v>726293.07285999996</v>
      </c>
      <c r="D18" s="55">
        <v>803431.40316000255</v>
      </c>
      <c r="E18" s="55">
        <v>836940.10445000115</v>
      </c>
      <c r="F18" s="55">
        <v>1026687.9543199999</v>
      </c>
      <c r="G18" s="55">
        <v>1027103.0225600052</v>
      </c>
      <c r="H18" s="55">
        <v>717999.87025999953</v>
      </c>
      <c r="I18" s="55">
        <v>1068058.8184199992</v>
      </c>
      <c r="J18" s="55">
        <v>1269790.3624499978</v>
      </c>
      <c r="K18" s="64">
        <v>1362607.701790004</v>
      </c>
      <c r="L18" s="52" t="e">
        <f>(#REF!/#REF!)*100</f>
        <v>#REF!</v>
      </c>
      <c r="M18" s="53">
        <f t="shared" si="17"/>
        <v>2.4917612523110177</v>
      </c>
      <c r="N18" s="53">
        <f t="shared" si="18"/>
        <v>2.4565550412839823</v>
      </c>
      <c r="O18" s="53">
        <f t="shared" si="19"/>
        <v>2.3043571442619633</v>
      </c>
      <c r="P18" s="53">
        <f t="shared" si="20"/>
        <v>2.2528584257914583</v>
      </c>
      <c r="Q18" s="53">
        <f t="shared" si="21"/>
        <v>2.3122972021647752</v>
      </c>
      <c r="R18" s="53">
        <f t="shared" si="22"/>
        <v>2.5410955292230124</v>
      </c>
      <c r="S18" s="53">
        <f t="shared" si="23"/>
        <v>2.7927309213908362</v>
      </c>
      <c r="T18" s="53">
        <f t="shared" si="23"/>
        <v>2.3663379984696884</v>
      </c>
      <c r="U18" s="65">
        <f t="shared" si="23"/>
        <v>2.5322030602921868</v>
      </c>
      <c r="V18" s="53" t="e">
        <f>((#REF!-#REF!)/#REF!)*100</f>
        <v>#REF!</v>
      </c>
      <c r="W18" s="53" t="e">
        <f>((C18-#REF!)/#REF!)*100</f>
        <v>#REF!</v>
      </c>
      <c r="X18" s="53">
        <f t="shared" ref="X18:AB26" si="25">((D18-C18)/C18)*100</f>
        <v>10.62082693371244</v>
      </c>
      <c r="Y18" s="53">
        <f t="shared" si="25"/>
        <v>4.1706984763359287</v>
      </c>
      <c r="Z18" s="53">
        <f t="shared" si="25"/>
        <v>22.671616387016414</v>
      </c>
      <c r="AA18" s="53">
        <f t="shared" si="25"/>
        <v>4.0427886414640929E-2</v>
      </c>
      <c r="AB18" s="53">
        <f t="shared" si="25"/>
        <v>-30.094659007971842</v>
      </c>
      <c r="AC18" s="53">
        <f t="shared" ref="AC18:AC28" si="26">((I18-H18)/H18)*100</f>
        <v>48.754736965793263</v>
      </c>
      <c r="AD18" s="53">
        <f t="shared" ref="AD18:AE28" si="27">((J18-I18)/I18)*100</f>
        <v>18.887681141795554</v>
      </c>
      <c r="AE18" s="53">
        <f t="shared" si="27"/>
        <v>7.3096585140967489</v>
      </c>
      <c r="AF18" s="54" t="s">
        <v>45</v>
      </c>
      <c r="AG18" s="59" t="s">
        <v>92</v>
      </c>
      <c r="AH18" s="51">
        <v>11</v>
      </c>
      <c r="AI18" s="20"/>
    </row>
    <row r="19" spans="1:35" s="21" customFormat="1" ht="60" x14ac:dyDescent="0.25">
      <c r="A19" s="18" t="s">
        <v>46</v>
      </c>
      <c r="B19" s="22" t="s">
        <v>47</v>
      </c>
      <c r="C19" s="55">
        <v>177903.88394999999</v>
      </c>
      <c r="D19" s="55">
        <v>174245.40174999984</v>
      </c>
      <c r="E19" s="55">
        <v>197339.36860000002</v>
      </c>
      <c r="F19" s="55">
        <v>223891.15717000054</v>
      </c>
      <c r="G19" s="55">
        <v>264569.16437000048</v>
      </c>
      <c r="H19" s="55">
        <v>116120.74980999998</v>
      </c>
      <c r="I19" s="55">
        <v>207320.03025000027</v>
      </c>
      <c r="J19" s="55">
        <v>273479.83019999962</v>
      </c>
      <c r="K19" s="67">
        <v>289507.96074000024</v>
      </c>
      <c r="L19" s="52" t="e">
        <f>(#REF!/#REF!)*100</f>
        <v>#REF!</v>
      </c>
      <c r="M19" s="53">
        <f t="shared" si="17"/>
        <v>0.61035141491387335</v>
      </c>
      <c r="N19" s="53">
        <f t="shared" si="18"/>
        <v>0.53276909317455523</v>
      </c>
      <c r="O19" s="53">
        <f t="shared" si="19"/>
        <v>0.54333683074775052</v>
      </c>
      <c r="P19" s="53">
        <f t="shared" si="20"/>
        <v>0.4912837223503887</v>
      </c>
      <c r="Q19" s="53">
        <f t="shared" si="21"/>
        <v>0.59561945113065262</v>
      </c>
      <c r="R19" s="53">
        <f t="shared" si="22"/>
        <v>0.41096653413790146</v>
      </c>
      <c r="S19" s="53">
        <f t="shared" si="23"/>
        <v>0.54209473216032178</v>
      </c>
      <c r="T19" s="53">
        <f t="shared" si="23"/>
        <v>0.50964768134533778</v>
      </c>
      <c r="U19" s="65">
        <f t="shared" si="23"/>
        <v>0.53800733931104561</v>
      </c>
      <c r="V19" s="53" t="e">
        <f>((#REF!-#REF!)/#REF!)*100</f>
        <v>#REF!</v>
      </c>
      <c r="W19" s="53" t="e">
        <f>((C19-#REF!)/#REF!)*100</f>
        <v>#REF!</v>
      </c>
      <c r="X19" s="53">
        <f t="shared" si="25"/>
        <v>-2.0564375092723455</v>
      </c>
      <c r="Y19" s="53">
        <f t="shared" si="25"/>
        <v>13.253702317570736</v>
      </c>
      <c r="Z19" s="53">
        <f t="shared" si="25"/>
        <v>13.454886755931641</v>
      </c>
      <c r="AA19" s="53">
        <f t="shared" si="25"/>
        <v>18.168652891062205</v>
      </c>
      <c r="AB19" s="53">
        <f t="shared" si="25"/>
        <v>-56.109492167573663</v>
      </c>
      <c r="AC19" s="53">
        <f t="shared" si="26"/>
        <v>78.538315149723985</v>
      </c>
      <c r="AD19" s="53">
        <f t="shared" si="27"/>
        <v>31.911918915996424</v>
      </c>
      <c r="AE19" s="53">
        <f t="shared" si="27"/>
        <v>5.8608090140611209</v>
      </c>
      <c r="AF19" s="54" t="s">
        <v>48</v>
      </c>
      <c r="AG19" s="59" t="s">
        <v>93</v>
      </c>
      <c r="AH19" s="51">
        <v>12</v>
      </c>
      <c r="AI19" s="20"/>
    </row>
    <row r="20" spans="1:35" s="21" customFormat="1" ht="36" x14ac:dyDescent="0.25">
      <c r="A20" s="18" t="s">
        <v>49</v>
      </c>
      <c r="B20" s="24" t="s">
        <v>50</v>
      </c>
      <c r="C20" s="55">
        <v>777898.15535999998</v>
      </c>
      <c r="D20" s="55">
        <v>932485.53123999713</v>
      </c>
      <c r="E20" s="55">
        <v>1130688.7164900019</v>
      </c>
      <c r="F20" s="55">
        <v>1371509.1904800048</v>
      </c>
      <c r="G20" s="55">
        <v>1280780.8174600024</v>
      </c>
      <c r="H20" s="55">
        <v>672569.20977999922</v>
      </c>
      <c r="I20" s="55">
        <v>797100.0133399996</v>
      </c>
      <c r="J20" s="55">
        <v>996535.8226899982</v>
      </c>
      <c r="K20" s="64">
        <v>1037619.1441599982</v>
      </c>
      <c r="L20" s="52" t="e">
        <f>(#REF!/#REF!)*100</f>
        <v>#REF!</v>
      </c>
      <c r="M20" s="53">
        <f t="shared" si="17"/>
        <v>2.668807612521312</v>
      </c>
      <c r="N20" s="53">
        <f t="shared" si="18"/>
        <v>2.851148242005916</v>
      </c>
      <c r="O20" s="53">
        <f t="shared" si="19"/>
        <v>3.113138691677761</v>
      </c>
      <c r="P20" s="53">
        <f t="shared" si="20"/>
        <v>3.009498672719658</v>
      </c>
      <c r="Q20" s="53">
        <f t="shared" si="21"/>
        <v>2.8833971235111018</v>
      </c>
      <c r="R20" s="53">
        <f t="shared" si="22"/>
        <v>2.3803104747722741</v>
      </c>
      <c r="S20" s="53">
        <f t="shared" si="23"/>
        <v>2.0842352652345104</v>
      </c>
      <c r="T20" s="53">
        <f t="shared" si="23"/>
        <v>1.85711016070218</v>
      </c>
      <c r="U20" s="65">
        <f t="shared" si="23"/>
        <v>1.9282603267309535</v>
      </c>
      <c r="V20" s="53" t="e">
        <f>((#REF!-#REF!)/#REF!)*100</f>
        <v>#REF!</v>
      </c>
      <c r="W20" s="53" t="e">
        <f>((C20-#REF!)/#REF!)*100</f>
        <v>#REF!</v>
      </c>
      <c r="X20" s="53">
        <f t="shared" si="25"/>
        <v>19.872444074437528</v>
      </c>
      <c r="Y20" s="53">
        <f t="shared" si="25"/>
        <v>21.255363071042922</v>
      </c>
      <c r="Z20" s="53">
        <f t="shared" si="25"/>
        <v>21.29856524416217</v>
      </c>
      <c r="AA20" s="53">
        <f t="shared" si="25"/>
        <v>-6.6152216587224615</v>
      </c>
      <c r="AB20" s="53">
        <f t="shared" si="25"/>
        <v>-47.487563788329226</v>
      </c>
      <c r="AC20" s="53">
        <f t="shared" si="26"/>
        <v>18.515686080951436</v>
      </c>
      <c r="AD20" s="53">
        <f t="shared" si="27"/>
        <v>25.020173881860181</v>
      </c>
      <c r="AE20" s="53">
        <f t="shared" si="27"/>
        <v>4.1226136115309666</v>
      </c>
      <c r="AF20" s="54" t="s">
        <v>51</v>
      </c>
      <c r="AG20" s="59" t="s">
        <v>94</v>
      </c>
      <c r="AH20" s="51">
        <v>13</v>
      </c>
      <c r="AI20" s="20"/>
    </row>
    <row r="21" spans="1:35" s="21" customFormat="1" ht="60" x14ac:dyDescent="0.25">
      <c r="A21" s="18" t="s">
        <v>52</v>
      </c>
      <c r="B21" s="24" t="s">
        <v>53</v>
      </c>
      <c r="C21" s="55">
        <v>18708.022800000002</v>
      </c>
      <c r="D21" s="55">
        <v>16050.887490000005</v>
      </c>
      <c r="E21" s="55">
        <v>10434.367360000002</v>
      </c>
      <c r="F21" s="55">
        <v>13897.489099999979</v>
      </c>
      <c r="G21" s="55">
        <v>18651.156210000005</v>
      </c>
      <c r="H21" s="55">
        <v>12176.756660000017</v>
      </c>
      <c r="I21" s="55">
        <v>21920.566869999999</v>
      </c>
      <c r="J21" s="55">
        <v>26141.622799999986</v>
      </c>
      <c r="K21" s="64">
        <v>36029.549309999988</v>
      </c>
      <c r="L21" s="52" t="e">
        <f>(#REF!/#REF!)*100</f>
        <v>#REF!</v>
      </c>
      <c r="M21" s="53">
        <f t="shared" si="17"/>
        <v>6.4183355262947342E-2</v>
      </c>
      <c r="N21" s="53">
        <f t="shared" si="18"/>
        <v>4.9076857620399851E-2</v>
      </c>
      <c r="O21" s="53">
        <f t="shared" si="19"/>
        <v>2.8729067760076808E-2</v>
      </c>
      <c r="P21" s="53">
        <f t="shared" si="20"/>
        <v>3.0495220368117262E-2</v>
      </c>
      <c r="Q21" s="53">
        <f t="shared" si="21"/>
        <v>4.1988987836905738E-2</v>
      </c>
      <c r="R21" s="53">
        <f t="shared" si="22"/>
        <v>4.3095135794325244E-2</v>
      </c>
      <c r="S21" s="53">
        <f t="shared" si="23"/>
        <v>5.7317297377709873E-2</v>
      </c>
      <c r="T21" s="53">
        <f t="shared" si="23"/>
        <v>4.8716636385510041E-2</v>
      </c>
      <c r="U21" s="65">
        <f t="shared" si="23"/>
        <v>6.6955540397929295E-2</v>
      </c>
      <c r="V21" s="53" t="e">
        <f>((#REF!-#REF!)/#REF!)*100</f>
        <v>#REF!</v>
      </c>
      <c r="W21" s="53" t="e">
        <f>((C21-#REF!)/#REF!)*100</f>
        <v>#REF!</v>
      </c>
      <c r="X21" s="53">
        <f t="shared" si="25"/>
        <v>-14.203186185982183</v>
      </c>
      <c r="Y21" s="53">
        <f t="shared" si="25"/>
        <v>-34.99195999909162</v>
      </c>
      <c r="Z21" s="53">
        <f t="shared" si="25"/>
        <v>33.189570776238959</v>
      </c>
      <c r="AA21" s="53">
        <f t="shared" si="25"/>
        <v>34.205222798124254</v>
      </c>
      <c r="AB21" s="53">
        <f t="shared" si="25"/>
        <v>-34.713127042111594</v>
      </c>
      <c r="AC21" s="53">
        <f t="shared" si="26"/>
        <v>80.019749774649497</v>
      </c>
      <c r="AD21" s="53">
        <f t="shared" si="27"/>
        <v>19.256144036023226</v>
      </c>
      <c r="AE21" s="53">
        <f t="shared" si="27"/>
        <v>37.82445560342186</v>
      </c>
      <c r="AF21" s="54" t="s">
        <v>54</v>
      </c>
      <c r="AG21" s="59" t="s">
        <v>95</v>
      </c>
      <c r="AH21" s="51">
        <v>14</v>
      </c>
      <c r="AI21" s="20"/>
    </row>
    <row r="22" spans="1:35" s="21" customFormat="1" ht="14.25" x14ac:dyDescent="0.25">
      <c r="A22" s="18" t="s">
        <v>55</v>
      </c>
      <c r="B22" s="19" t="s">
        <v>56</v>
      </c>
      <c r="C22" s="55">
        <v>1767102.4527499999</v>
      </c>
      <c r="D22" s="55">
        <v>2550159.9829199752</v>
      </c>
      <c r="E22" s="55">
        <v>2868827.1141700028</v>
      </c>
      <c r="F22" s="55">
        <v>4039401.274309996</v>
      </c>
      <c r="G22" s="55">
        <v>3759745.2674399605</v>
      </c>
      <c r="H22" s="55">
        <v>1843482.5763799991</v>
      </c>
      <c r="I22" s="55">
        <v>2175451.7305299942</v>
      </c>
      <c r="J22" s="55">
        <v>3710365.895559994</v>
      </c>
      <c r="K22" s="64">
        <v>3917038.630010013</v>
      </c>
      <c r="L22" s="52" t="e">
        <f>(#REF!/#REF!)*100</f>
        <v>#REF!</v>
      </c>
      <c r="M22" s="53">
        <f t="shared" si="17"/>
        <v>6.0625628760126826</v>
      </c>
      <c r="N22" s="53">
        <f t="shared" si="18"/>
        <v>7.7973157851226649</v>
      </c>
      <c r="O22" s="53">
        <f t="shared" si="19"/>
        <v>7.8987758156653198</v>
      </c>
      <c r="P22" s="53">
        <f t="shared" si="20"/>
        <v>8.8636466004018803</v>
      </c>
      <c r="Q22" s="53">
        <f t="shared" si="21"/>
        <v>8.4642419229622856</v>
      </c>
      <c r="R22" s="53">
        <f t="shared" si="22"/>
        <v>6.524326155300578</v>
      </c>
      <c r="S22" s="53">
        <f t="shared" si="23"/>
        <v>5.6883115527587291</v>
      </c>
      <c r="T22" s="53">
        <f t="shared" si="23"/>
        <v>6.9145112977146024</v>
      </c>
      <c r="U22" s="65">
        <f t="shared" si="23"/>
        <v>7.2792317210332911</v>
      </c>
      <c r="V22" s="53" t="e">
        <f>((#REF!-#REF!)/#REF!)*100</f>
        <v>#REF!</v>
      </c>
      <c r="W22" s="53" t="e">
        <f>((C22-#REF!)/#REF!)*100</f>
        <v>#REF!</v>
      </c>
      <c r="X22" s="53">
        <f t="shared" si="25"/>
        <v>44.313080373544025</v>
      </c>
      <c r="Y22" s="53">
        <f t="shared" si="25"/>
        <v>12.495966268169123</v>
      </c>
      <c r="Z22" s="53">
        <f t="shared" si="25"/>
        <v>40.803231200589757</v>
      </c>
      <c r="AA22" s="53">
        <f t="shared" si="25"/>
        <v>-6.9232044028061051</v>
      </c>
      <c r="AB22" s="53">
        <f t="shared" si="25"/>
        <v>-50.967886246313689</v>
      </c>
      <c r="AC22" s="53">
        <f t="shared" si="26"/>
        <v>18.007718565036551</v>
      </c>
      <c r="AD22" s="53">
        <f t="shared" si="27"/>
        <v>70.556112254260711</v>
      </c>
      <c r="AE22" s="53">
        <f t="shared" si="27"/>
        <v>5.5701443002517275</v>
      </c>
      <c r="AF22" s="54" t="s">
        <v>57</v>
      </c>
      <c r="AG22" s="59" t="s">
        <v>96</v>
      </c>
      <c r="AH22" s="51">
        <v>15</v>
      </c>
      <c r="AI22" s="20"/>
    </row>
    <row r="23" spans="1:35" s="21" customFormat="1" ht="60" x14ac:dyDescent="0.25">
      <c r="A23" s="18" t="s">
        <v>58</v>
      </c>
      <c r="B23" s="24" t="s">
        <v>59</v>
      </c>
      <c r="C23" s="55">
        <v>5230103.2882599998</v>
      </c>
      <c r="D23" s="55">
        <v>6760823.6399200298</v>
      </c>
      <c r="E23" s="55">
        <v>7309675.9209199464</v>
      </c>
      <c r="F23" s="55">
        <v>8516076.0582299754</v>
      </c>
      <c r="G23" s="55">
        <v>7613620.8815099495</v>
      </c>
      <c r="H23" s="55">
        <v>5507974.3365500225</v>
      </c>
      <c r="I23" s="55">
        <v>7313562.4776200103</v>
      </c>
      <c r="J23" s="55">
        <v>9126045.7139999773</v>
      </c>
      <c r="K23" s="67">
        <v>9353368.3254000191</v>
      </c>
      <c r="L23" s="52" t="e">
        <f>(#REF!/#REF!)*100</f>
        <v>#REF!</v>
      </c>
      <c r="M23" s="53">
        <f t="shared" si="17"/>
        <v>17.943402197067059</v>
      </c>
      <c r="N23" s="53">
        <f t="shared" si="18"/>
        <v>20.671752847293099</v>
      </c>
      <c r="O23" s="53">
        <f t="shared" si="19"/>
        <v>20.125817655351451</v>
      </c>
      <c r="P23" s="53">
        <f t="shared" si="20"/>
        <v>18.686801205504878</v>
      </c>
      <c r="Q23" s="53">
        <f t="shared" si="21"/>
        <v>17.140397677712269</v>
      </c>
      <c r="R23" s="53">
        <f t="shared" si="22"/>
        <v>19.493442187690178</v>
      </c>
      <c r="S23" s="53">
        <f t="shared" si="23"/>
        <v>19.123302691314333</v>
      </c>
      <c r="T23" s="53">
        <f t="shared" si="23"/>
        <v>17.006987442511772</v>
      </c>
      <c r="U23" s="65">
        <f t="shared" si="23"/>
        <v>17.381839150405778</v>
      </c>
      <c r="V23" s="53" t="e">
        <f>((#REF!-#REF!)/#REF!)*100</f>
        <v>#REF!</v>
      </c>
      <c r="W23" s="53" t="e">
        <f>((C23-#REF!)/#REF!)*100</f>
        <v>#REF!</v>
      </c>
      <c r="X23" s="53">
        <f t="shared" si="25"/>
        <v>29.267497548203959</v>
      </c>
      <c r="Y23" s="53">
        <f t="shared" si="25"/>
        <v>8.1181274683628448</v>
      </c>
      <c r="Z23" s="53">
        <f t="shared" si="25"/>
        <v>16.504153540615512</v>
      </c>
      <c r="AA23" s="53">
        <f t="shared" si="25"/>
        <v>-10.597077463251271</v>
      </c>
      <c r="AB23" s="53">
        <f t="shared" si="25"/>
        <v>-27.656309366199107</v>
      </c>
      <c r="AC23" s="53">
        <f t="shared" si="26"/>
        <v>32.781346294379013</v>
      </c>
      <c r="AD23" s="53">
        <f t="shared" si="27"/>
        <v>24.782494740781758</v>
      </c>
      <c r="AE23" s="53">
        <f t="shared" si="27"/>
        <v>2.4909212437026618</v>
      </c>
      <c r="AF23" s="54" t="s">
        <v>60</v>
      </c>
      <c r="AG23" s="59" t="s">
        <v>97</v>
      </c>
      <c r="AH23" s="51">
        <v>16</v>
      </c>
      <c r="AI23" s="20"/>
    </row>
    <row r="24" spans="1:35" s="21" customFormat="1" ht="14.25" x14ac:dyDescent="0.25">
      <c r="A24" s="18" t="s">
        <v>61</v>
      </c>
      <c r="B24" s="25" t="s">
        <v>62</v>
      </c>
      <c r="C24" s="55">
        <v>2331155.3314</v>
      </c>
      <c r="D24" s="55">
        <v>2353259.2868899982</v>
      </c>
      <c r="E24" s="55">
        <v>1980260.7954800008</v>
      </c>
      <c r="F24" s="55">
        <v>2645381.8053399972</v>
      </c>
      <c r="G24" s="55">
        <v>3122825.3144200053</v>
      </c>
      <c r="H24" s="55">
        <v>856736.49488000001</v>
      </c>
      <c r="I24" s="55">
        <v>1644144.259039999</v>
      </c>
      <c r="J24" s="55">
        <v>3382270.8453000006</v>
      </c>
      <c r="K24" s="64">
        <v>3502485.5971300039</v>
      </c>
      <c r="L24" s="52" t="e">
        <f>(#REF!/#REF!)*100</f>
        <v>#REF!</v>
      </c>
      <c r="M24" s="53">
        <f t="shared" si="17"/>
        <v>7.9977115918610027</v>
      </c>
      <c r="N24" s="53">
        <f t="shared" si="18"/>
        <v>7.1952763383667646</v>
      </c>
      <c r="O24" s="53">
        <f t="shared" si="19"/>
        <v>5.4522756016871279</v>
      </c>
      <c r="P24" s="53">
        <f t="shared" si="20"/>
        <v>5.8047536883228217</v>
      </c>
      <c r="Q24" s="53">
        <f t="shared" si="21"/>
        <v>7.0303563311350832</v>
      </c>
      <c r="R24" s="53">
        <f t="shared" si="22"/>
        <v>3.0321026048004955</v>
      </c>
      <c r="S24" s="53">
        <f t="shared" si="23"/>
        <v>4.2990633402013883</v>
      </c>
      <c r="T24" s="53">
        <f t="shared" si="23"/>
        <v>6.3030845555537551</v>
      </c>
      <c r="U24" s="65">
        <f t="shared" si="23"/>
        <v>6.5088467766849112</v>
      </c>
      <c r="V24" s="53" t="e">
        <f>((#REF!-#REF!)/#REF!)*100</f>
        <v>#REF!</v>
      </c>
      <c r="W24" s="53" t="e">
        <f>((C24-#REF!)/#REF!)*100</f>
        <v>#REF!</v>
      </c>
      <c r="X24" s="53">
        <f t="shared" si="25"/>
        <v>0.94819745352290419</v>
      </c>
      <c r="Y24" s="53">
        <f t="shared" si="25"/>
        <v>-15.850292974002954</v>
      </c>
      <c r="Z24" s="53">
        <f t="shared" si="25"/>
        <v>33.58754621503153</v>
      </c>
      <c r="AA24" s="53">
        <f t="shared" si="25"/>
        <v>18.048189040849806</v>
      </c>
      <c r="AB24" s="53">
        <f t="shared" si="25"/>
        <v>-72.565340401081016</v>
      </c>
      <c r="AC24" s="53">
        <f t="shared" si="26"/>
        <v>91.907811662708312</v>
      </c>
      <c r="AD24" s="53">
        <f t="shared" si="27"/>
        <v>105.71618498214251</v>
      </c>
      <c r="AE24" s="53">
        <f t="shared" si="27"/>
        <v>3.5542615399075301</v>
      </c>
      <c r="AF24" s="54" t="s">
        <v>63</v>
      </c>
      <c r="AG24" s="59" t="s">
        <v>98</v>
      </c>
      <c r="AH24" s="51">
        <v>17</v>
      </c>
      <c r="AI24" s="20"/>
    </row>
    <row r="25" spans="1:35" s="21" customFormat="1" ht="60" x14ac:dyDescent="0.25">
      <c r="A25" s="18" t="s">
        <v>64</v>
      </c>
      <c r="B25" s="24" t="s">
        <v>65</v>
      </c>
      <c r="C25" s="55">
        <v>387889.24713999999</v>
      </c>
      <c r="D25" s="55">
        <v>456113.20961000083</v>
      </c>
      <c r="E25" s="55">
        <v>717631.50783999928</v>
      </c>
      <c r="F25" s="55">
        <v>927524.86933000269</v>
      </c>
      <c r="G25" s="55">
        <v>536804.22122999944</v>
      </c>
      <c r="H25" s="55">
        <v>805996.15995000093</v>
      </c>
      <c r="I25" s="55">
        <v>806612.77253000264</v>
      </c>
      <c r="J25" s="55">
        <v>776949.10153999901</v>
      </c>
      <c r="K25" s="64">
        <v>1076520.3734699967</v>
      </c>
      <c r="L25" s="52" t="e">
        <f>(#REF!/#REF!)*100</f>
        <v>#REF!</v>
      </c>
      <c r="M25" s="53">
        <f t="shared" si="17"/>
        <v>1.3307677469723735</v>
      </c>
      <c r="N25" s="53">
        <f t="shared" si="18"/>
        <v>1.3946022025735101</v>
      </c>
      <c r="O25" s="53">
        <f t="shared" si="19"/>
        <v>1.975863366142921</v>
      </c>
      <c r="P25" s="53">
        <f t="shared" si="20"/>
        <v>2.0352651535540791</v>
      </c>
      <c r="Q25" s="53">
        <f t="shared" si="21"/>
        <v>1.2084969780018855</v>
      </c>
      <c r="R25" s="53">
        <f t="shared" si="22"/>
        <v>2.8525259174186317</v>
      </c>
      <c r="S25" s="53">
        <f t="shared" si="23"/>
        <v>2.1091089672062489</v>
      </c>
      <c r="T25" s="53">
        <f t="shared" si="23"/>
        <v>1.4478958387301371</v>
      </c>
      <c r="U25" s="65">
        <f t="shared" si="23"/>
        <v>2.0005524558437595</v>
      </c>
      <c r="V25" s="53" t="e">
        <f>((#REF!-#REF!)/#REF!)*100</f>
        <v>#REF!</v>
      </c>
      <c r="W25" s="53" t="e">
        <f>((C25-#REF!)/#REF!)*100</f>
        <v>#REF!</v>
      </c>
      <c r="X25" s="53">
        <f t="shared" si="25"/>
        <v>17.588516044987689</v>
      </c>
      <c r="Y25" s="53">
        <f t="shared" si="25"/>
        <v>57.336269312087985</v>
      </c>
      <c r="Z25" s="53">
        <f t="shared" si="25"/>
        <v>29.248069405670595</v>
      </c>
      <c r="AA25" s="53">
        <f t="shared" si="25"/>
        <v>-42.125085916266613</v>
      </c>
      <c r="AB25" s="53">
        <f t="shared" si="25"/>
        <v>50.147135226170917</v>
      </c>
      <c r="AC25" s="53">
        <f t="shared" si="26"/>
        <v>7.6503165975375653E-2</v>
      </c>
      <c r="AD25" s="53">
        <f t="shared" si="27"/>
        <v>-3.6775602866988146</v>
      </c>
      <c r="AE25" s="53">
        <f t="shared" si="27"/>
        <v>38.557387007233082</v>
      </c>
      <c r="AF25" s="54" t="s">
        <v>66</v>
      </c>
      <c r="AG25" s="59" t="s">
        <v>99</v>
      </c>
      <c r="AH25" s="51">
        <v>18</v>
      </c>
      <c r="AI25" s="20"/>
    </row>
    <row r="26" spans="1:35" s="21" customFormat="1" ht="18.75" customHeight="1" x14ac:dyDescent="0.25">
      <c r="A26" s="18" t="s">
        <v>67</v>
      </c>
      <c r="B26" s="19" t="s">
        <v>68</v>
      </c>
      <c r="C26" s="55">
        <v>6846.5144800000007</v>
      </c>
      <c r="D26" s="55">
        <v>3126.7044500000002</v>
      </c>
      <c r="E26" s="55" t="s">
        <v>69</v>
      </c>
      <c r="F26" s="55">
        <v>950.5609300000001</v>
      </c>
      <c r="G26" s="55">
        <v>39264.400130000009</v>
      </c>
      <c r="H26" s="55">
        <v>71.888890000000004</v>
      </c>
      <c r="I26" s="55">
        <v>7499.2061399999993</v>
      </c>
      <c r="J26" s="55">
        <v>22014.524320000004</v>
      </c>
      <c r="K26" s="64">
        <v>6339.4885699999995</v>
      </c>
      <c r="L26" s="52" t="e">
        <f>(#REF!/#REF!)*100</f>
        <v>#REF!</v>
      </c>
      <c r="M26" s="53">
        <f t="shared" ref="M26:N28" si="28">(C26/C$6)*100</f>
        <v>2.3488974536782857E-2</v>
      </c>
      <c r="N26" s="53">
        <f t="shared" si="28"/>
        <v>9.5601460797306113E-3</v>
      </c>
      <c r="O26" s="53" t="s">
        <v>70</v>
      </c>
      <c r="P26" s="53">
        <f t="shared" si="20"/>
        <v>2.0858131152391066E-3</v>
      </c>
      <c r="Q26" s="53">
        <f t="shared" si="21"/>
        <v>8.839518584901554E-2</v>
      </c>
      <c r="R26" s="53">
        <f t="shared" si="22"/>
        <v>2.5442419218495789E-4</v>
      </c>
      <c r="S26" s="53">
        <f t="shared" si="23"/>
        <v>1.9608718650948272E-2</v>
      </c>
      <c r="T26" s="53">
        <f t="shared" ref="T26:U26" si="29">(J26/J$6)*100</f>
        <v>4.1025516460952399E-2</v>
      </c>
      <c r="U26" s="65">
        <f t="shared" si="29"/>
        <v>1.1780993411789255E-2</v>
      </c>
      <c r="V26" s="53" t="e">
        <f>((#REF!-#REF!)/#REF!)*100</f>
        <v>#REF!</v>
      </c>
      <c r="W26" s="53" t="e">
        <f>((C26-#REF!)/#REF!)*100</f>
        <v>#REF!</v>
      </c>
      <c r="X26" s="53">
        <f t="shared" ref="X26:X28" si="30">((D26-C26)/C26)*100</f>
        <v>-54.331441799565141</v>
      </c>
      <c r="Y26" s="53" t="s">
        <v>70</v>
      </c>
      <c r="Z26" s="53" t="s">
        <v>70</v>
      </c>
      <c r="AA26" s="57" t="s">
        <v>78</v>
      </c>
      <c r="AB26" s="53">
        <f t="shared" si="25"/>
        <v>-99.816910764555203</v>
      </c>
      <c r="AC26" s="57" t="s">
        <v>78</v>
      </c>
      <c r="AD26" s="57" t="s">
        <v>78</v>
      </c>
      <c r="AE26" s="57" t="s">
        <v>78</v>
      </c>
      <c r="AF26" s="54" t="s">
        <v>71</v>
      </c>
      <c r="AG26" s="59" t="s">
        <v>100</v>
      </c>
      <c r="AH26" s="51">
        <v>19</v>
      </c>
      <c r="AI26" s="20"/>
    </row>
    <row r="27" spans="1:35" s="21" customFormat="1" ht="18.75" customHeight="1" x14ac:dyDescent="0.25">
      <c r="A27" s="18" t="s">
        <v>72</v>
      </c>
      <c r="B27" s="19" t="s">
        <v>73</v>
      </c>
      <c r="C27" s="55">
        <v>1172917.77248</v>
      </c>
      <c r="D27" s="55">
        <v>1667661.1835900054</v>
      </c>
      <c r="E27" s="55">
        <v>1618551.7482499976</v>
      </c>
      <c r="F27" s="55">
        <v>2396664.2369499994</v>
      </c>
      <c r="G27" s="55">
        <v>2540540.6909399917</v>
      </c>
      <c r="H27" s="55">
        <v>1509539.1007399985</v>
      </c>
      <c r="I27" s="55">
        <v>1620055.3521699957</v>
      </c>
      <c r="J27" s="55">
        <v>1995299.6208499973</v>
      </c>
      <c r="K27" s="64">
        <v>1943745.3621799983</v>
      </c>
      <c r="L27" s="52" t="e">
        <f>(#REF!/#REF!)*100</f>
        <v>#REF!</v>
      </c>
      <c r="M27" s="53">
        <f t="shared" si="28"/>
        <v>4.02403818351711</v>
      </c>
      <c r="N27" s="53">
        <f t="shared" si="28"/>
        <v>5.0990059283079665</v>
      </c>
      <c r="O27" s="53">
        <f t="shared" ref="O27:R28" si="31">(E27/E$6)*100</f>
        <v>4.4563777797320094</v>
      </c>
      <c r="P27" s="53">
        <f t="shared" si="31"/>
        <v>5.2589934432239227</v>
      </c>
      <c r="Q27" s="53">
        <f t="shared" si="21"/>
        <v>5.7194702017373427</v>
      </c>
      <c r="R27" s="53">
        <f t="shared" si="31"/>
        <v>5.3424564807911468</v>
      </c>
      <c r="S27" s="53">
        <f t="shared" ref="S27:U28" si="32">(I27/I$6)*100</f>
        <v>4.2360763268289583</v>
      </c>
      <c r="T27" s="53">
        <f t="shared" si="32"/>
        <v>3.7183723004791966</v>
      </c>
      <c r="U27" s="65">
        <f t="shared" si="32"/>
        <v>3.6121606740334391</v>
      </c>
      <c r="V27" s="53" t="e">
        <f>((#REF!-#REF!)/#REF!)*100</f>
        <v>#REF!</v>
      </c>
      <c r="W27" s="53" t="e">
        <f>((C27-#REF!)/#REF!)*100</f>
        <v>#REF!</v>
      </c>
      <c r="X27" s="53">
        <f t="shared" si="30"/>
        <v>42.180570771293468</v>
      </c>
      <c r="Y27" s="53">
        <f t="shared" ref="Y27:AB28" si="33">((E27-D27)/D27)*100</f>
        <v>-2.944808923014504</v>
      </c>
      <c r="Z27" s="53">
        <f t="shared" si="33"/>
        <v>48.074612970596</v>
      </c>
      <c r="AA27" s="53">
        <f t="shared" si="33"/>
        <v>6.0031960994707338</v>
      </c>
      <c r="AB27" s="53">
        <f t="shared" si="33"/>
        <v>-40.581975084151317</v>
      </c>
      <c r="AC27" s="53">
        <f t="shared" si="26"/>
        <v>7.3211917051913682</v>
      </c>
      <c r="AD27" s="53">
        <f t="shared" si="27"/>
        <v>23.162435047504875</v>
      </c>
      <c r="AE27" s="53">
        <f t="shared" si="27"/>
        <v>-2.5837853188202811</v>
      </c>
      <c r="AF27" s="54" t="s">
        <v>74</v>
      </c>
      <c r="AG27" s="59" t="s">
        <v>101</v>
      </c>
      <c r="AH27" s="51">
        <v>20</v>
      </c>
      <c r="AI27" s="20"/>
    </row>
    <row r="28" spans="1:35" s="21" customFormat="1" ht="18.75" customHeight="1" x14ac:dyDescent="0.25">
      <c r="A28" s="26" t="s">
        <v>75</v>
      </c>
      <c r="B28" s="27" t="s">
        <v>76</v>
      </c>
      <c r="C28" s="28">
        <v>836.83505000000002</v>
      </c>
      <c r="D28" s="28">
        <v>1297.1593599999999</v>
      </c>
      <c r="E28" s="28">
        <v>1630.1147400000007</v>
      </c>
      <c r="F28" s="28">
        <v>1382.3535399999998</v>
      </c>
      <c r="G28" s="28">
        <v>3462.9129199999988</v>
      </c>
      <c r="H28" s="28">
        <v>958.44248000000005</v>
      </c>
      <c r="I28" s="28">
        <v>1022.8801099999998</v>
      </c>
      <c r="J28" s="28">
        <v>1876.2670500000002</v>
      </c>
      <c r="K28" s="68">
        <v>1735.9457399999999</v>
      </c>
      <c r="L28" s="29" t="e">
        <f>(#REF!/#REF!)*100</f>
        <v>#REF!</v>
      </c>
      <c r="M28" s="5">
        <f t="shared" si="28"/>
        <v>2.871007903124658E-3</v>
      </c>
      <c r="N28" s="5">
        <f t="shared" si="28"/>
        <v>3.9661673076551466E-3</v>
      </c>
      <c r="O28" s="5">
        <f t="shared" si="31"/>
        <v>4.4882143024490943E-3</v>
      </c>
      <c r="P28" s="5">
        <f t="shared" si="31"/>
        <v>3.0332943976870653E-3</v>
      </c>
      <c r="Q28" s="5">
        <f t="shared" si="31"/>
        <v>7.7959889907620724E-3</v>
      </c>
      <c r="R28" s="5">
        <f t="shared" si="31"/>
        <v>3.3920533997638248E-3</v>
      </c>
      <c r="S28" s="5">
        <f t="shared" si="32"/>
        <v>2.6745988730269813E-3</v>
      </c>
      <c r="T28" s="5">
        <f t="shared" si="32"/>
        <v>3.4965472624355837E-3</v>
      </c>
      <c r="U28" s="69">
        <f t="shared" si="32"/>
        <v>3.2259960879089692E-3</v>
      </c>
      <c r="V28" s="5" t="e">
        <f>((#REF!-#REF!)/#REF!)*100</f>
        <v>#REF!</v>
      </c>
      <c r="W28" s="5" t="e">
        <f>((C28-#REF!)/#REF!)*100</f>
        <v>#REF!</v>
      </c>
      <c r="X28" s="5">
        <f t="shared" si="30"/>
        <v>55.007771244763212</v>
      </c>
      <c r="Y28" s="5">
        <f t="shared" si="33"/>
        <v>25.66803973877202</v>
      </c>
      <c r="Z28" s="5">
        <f t="shared" si="33"/>
        <v>-15.199003721664447</v>
      </c>
      <c r="AA28" s="5">
        <f t="shared" si="33"/>
        <v>150.50848569462187</v>
      </c>
      <c r="AB28" s="5">
        <f t="shared" si="33"/>
        <v>-72.32265141683088</v>
      </c>
      <c r="AC28" s="5">
        <f t="shared" si="26"/>
        <v>6.7231608932859261</v>
      </c>
      <c r="AD28" s="5">
        <f t="shared" si="27"/>
        <v>83.429810752699112</v>
      </c>
      <c r="AE28" s="5">
        <f t="shared" si="27"/>
        <v>-7.4787493603322748</v>
      </c>
      <c r="AF28" s="46" t="s">
        <v>77</v>
      </c>
      <c r="AG28" s="60" t="s">
        <v>102</v>
      </c>
      <c r="AH28" s="30">
        <v>21</v>
      </c>
      <c r="AI28" s="20"/>
    </row>
    <row r="29" spans="1:35" s="33" customFormat="1" x14ac:dyDescent="0.35">
      <c r="A29" s="58" t="s">
        <v>79</v>
      </c>
      <c r="B29" s="19"/>
      <c r="C29" s="21"/>
      <c r="D29" s="21"/>
      <c r="E29" s="21"/>
      <c r="F29" s="21"/>
      <c r="G29" s="21"/>
      <c r="H29" s="14"/>
      <c r="I29" s="14"/>
      <c r="J29" s="21"/>
      <c r="K29" s="21"/>
      <c r="L29" s="21"/>
      <c r="M29" s="31"/>
      <c r="N29" s="3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47"/>
      <c r="AG29" s="48"/>
      <c r="AH29" s="44" t="s">
        <v>6</v>
      </c>
    </row>
    <row r="30" spans="1:35" s="33" customFormat="1" ht="18.75" x14ac:dyDescent="0.5">
      <c r="A30" s="6" t="s">
        <v>5</v>
      </c>
      <c r="B30" s="21"/>
      <c r="C30" s="34"/>
      <c r="D30" s="34"/>
      <c r="H30" s="41"/>
      <c r="I30" s="41"/>
      <c r="J30" s="41"/>
      <c r="K30" s="41"/>
      <c r="AF30" s="48"/>
      <c r="AG30" s="32"/>
      <c r="AH30" s="42" t="s">
        <v>81</v>
      </c>
    </row>
    <row r="31" spans="1:35" x14ac:dyDescent="0.4">
      <c r="A31" s="6" t="s">
        <v>80</v>
      </c>
    </row>
    <row r="32" spans="1:35" x14ac:dyDescent="0.4">
      <c r="C32" s="37"/>
      <c r="D32" s="37"/>
    </row>
    <row r="33" spans="2:34" x14ac:dyDescent="0.4">
      <c r="B33" s="39"/>
    </row>
    <row r="34" spans="2:34" x14ac:dyDescent="0.4">
      <c r="AG34" s="40"/>
      <c r="AH34" s="40"/>
    </row>
    <row r="35" spans="2:34" x14ac:dyDescent="0.4">
      <c r="AG35" s="40"/>
      <c r="AH35" s="40"/>
    </row>
    <row r="36" spans="2:34" x14ac:dyDescent="0.4">
      <c r="AG36" s="40"/>
      <c r="AH36" s="40"/>
    </row>
    <row r="37" spans="2:34" ht="12.75" x14ac:dyDescent="0.2"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40"/>
    </row>
    <row r="38" spans="2:34" x14ac:dyDescent="0.4">
      <c r="AG38" s="40"/>
      <c r="AH38" s="40"/>
    </row>
    <row r="39" spans="2:34" x14ac:dyDescent="0.4">
      <c r="AG39" s="40"/>
      <c r="AH39" s="40"/>
    </row>
    <row r="40" spans="2:34" x14ac:dyDescent="0.4">
      <c r="AG40" s="40"/>
      <c r="AH40" s="40"/>
    </row>
    <row r="41" spans="2:34" x14ac:dyDescent="0.4">
      <c r="AG41" s="40"/>
      <c r="AH41" s="40"/>
    </row>
    <row r="42" spans="2:34" x14ac:dyDescent="0.4">
      <c r="AG42" s="40"/>
      <c r="AH42" s="40"/>
    </row>
    <row r="43" spans="2:34" x14ac:dyDescent="0.4">
      <c r="AG43" s="40"/>
      <c r="AH43" s="40"/>
    </row>
    <row r="44" spans="2:34" x14ac:dyDescent="0.4">
      <c r="AG44" s="40"/>
      <c r="AH44" s="40"/>
    </row>
    <row r="45" spans="2:34" x14ac:dyDescent="0.4">
      <c r="AG45" s="40"/>
      <c r="AH45" s="40"/>
    </row>
    <row r="46" spans="2:34" x14ac:dyDescent="0.4">
      <c r="AG46" s="40"/>
      <c r="AH46" s="40"/>
    </row>
  </sheetData>
  <mergeCells count="43">
    <mergeCell ref="P15:P16"/>
    <mergeCell ref="O15:O16"/>
    <mergeCell ref="R15:R16"/>
    <mergeCell ref="AB15:AB16"/>
    <mergeCell ref="Q15:Q16"/>
    <mergeCell ref="S15:S16"/>
    <mergeCell ref="T15:T16"/>
    <mergeCell ref="U15:U16"/>
    <mergeCell ref="E15:E16"/>
    <mergeCell ref="F15:F16"/>
    <mergeCell ref="L15:L16"/>
    <mergeCell ref="M15:M16"/>
    <mergeCell ref="N15:N16"/>
    <mergeCell ref="H15:H16"/>
    <mergeCell ref="I15:I16"/>
    <mergeCell ref="J15:J16"/>
    <mergeCell ref="G15:G16"/>
    <mergeCell ref="A1:AH1"/>
    <mergeCell ref="A2:AG2"/>
    <mergeCell ref="A3:B5"/>
    <mergeCell ref="AF3:AH5"/>
    <mergeCell ref="L3:U3"/>
    <mergeCell ref="L4:U4"/>
    <mergeCell ref="V3:AE3"/>
    <mergeCell ref="V4:AE4"/>
    <mergeCell ref="D3:K3"/>
    <mergeCell ref="D4:K4"/>
    <mergeCell ref="A15:A16"/>
    <mergeCell ref="B15:B16"/>
    <mergeCell ref="C15:C16"/>
    <mergeCell ref="D15:D16"/>
    <mergeCell ref="AH15:AH16"/>
    <mergeCell ref="X37:AG37"/>
    <mergeCell ref="V15:V16"/>
    <mergeCell ref="W15:W16"/>
    <mergeCell ref="X15:X16"/>
    <mergeCell ref="Y15:Y16"/>
    <mergeCell ref="Z15:Z16"/>
    <mergeCell ref="AG15:AG16"/>
    <mergeCell ref="AA15:AA16"/>
    <mergeCell ref="AC15:AC16"/>
    <mergeCell ref="AD15:AD16"/>
    <mergeCell ref="AE15:AE16"/>
  </mergeCells>
  <pageMargins left="0.7" right="0.7" top="0.75" bottom="0.75" header="0.3" footer="0.3"/>
  <pageSetup scale="26" orientation="portrait" r:id="rId1"/>
  <colBreaks count="1" manualBreakCount="1">
    <brk id="35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2024-08-06T08:12:44Z</cp:lastPrinted>
  <dcterms:created xsi:type="dcterms:W3CDTF">2019-12-05T04:01:34Z</dcterms:created>
  <dcterms:modified xsi:type="dcterms:W3CDTF">2024-08-06T08:12:50Z</dcterms:modified>
</cp:coreProperties>
</file>