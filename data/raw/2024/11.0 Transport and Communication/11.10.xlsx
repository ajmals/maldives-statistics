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C29EDD4-5422-44B5-AB7B-446690C2C7B9}" xr6:coauthVersionLast="47" xr6:coauthVersionMax="47" xr10:uidLastSave="{00000000-0000-0000-0000-000000000000}"/>
  <bookViews>
    <workbookView xWindow="-110" yWindow="-110" windowWidth="19420" windowHeight="10300" tabRatio="737" xr2:uid="{00000000-000D-0000-FFFF-FFFF00000000}"/>
  </bookViews>
  <sheets>
    <sheet name="11.10" sheetId="1" r:id="rId1"/>
    <sheet name="11.15" sheetId="4" state="hidden" r:id="rId2"/>
  </sheets>
  <definedNames>
    <definedName name="_xlnm.Print_Area" localSheetId="0">'11.10'!$A$1:$N$73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9" i="1" l="1"/>
  <c r="K49" i="1"/>
  <c r="I49" i="1"/>
  <c r="H49" i="1"/>
  <c r="G49" i="1"/>
  <c r="E49" i="1"/>
  <c r="E8" i="1" s="1"/>
  <c r="E7" i="1" s="1"/>
  <c r="D49" i="1"/>
  <c r="C49" i="1"/>
  <c r="B49" i="1"/>
  <c r="L9" i="1"/>
  <c r="L8" i="1" s="1"/>
  <c r="L7" i="1" s="1"/>
  <c r="K9" i="1"/>
  <c r="K8" i="1" s="1"/>
  <c r="K7" i="1" s="1"/>
  <c r="J9" i="1"/>
  <c r="I9" i="1"/>
  <c r="I8" i="1" s="1"/>
  <c r="I7" i="1" s="1"/>
  <c r="H9" i="1"/>
  <c r="G9" i="1"/>
  <c r="E9" i="1"/>
  <c r="D9" i="1"/>
  <c r="D8" i="1" s="1"/>
  <c r="D7" i="1" s="1"/>
  <c r="C9" i="1"/>
  <c r="C8" i="1" s="1"/>
  <c r="C7" i="1" s="1"/>
  <c r="B9" i="1"/>
  <c r="B8" i="1" s="1"/>
  <c r="B7" i="1" s="1"/>
  <c r="G8" i="1" l="1"/>
  <c r="G7" i="1" s="1"/>
  <c r="H8" i="1"/>
  <c r="H7" i="1" s="1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<sst xmlns="http://schemas.openxmlformats.org/spreadsheetml/2006/main" count="337" uniqueCount="208">
  <si>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</si>
  <si>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</si>
  <si>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</si>
  <si>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</si>
  <si>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</si>
  <si>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</si>
  <si>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</si>
  <si>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</si>
  <si>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</si>
  <si>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</si>
  <si>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</si>
  <si>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</si>
  <si>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</si>
  <si>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</si>
  <si>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</si>
  <si>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</si>
  <si>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</si>
  <si>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</si>
  <si>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Total</t>
  </si>
  <si>
    <t>wlcmuj</t>
  </si>
  <si>
    <t>International Flights</t>
  </si>
  <si>
    <t xml:space="preserve">     cawtcTiawlcf ImWvcqwaclwniawb</t>
  </si>
  <si>
    <t>International Scheduled</t>
  </si>
  <si>
    <t>Wviawfihejwmwh cnutogImiaWd ImWvcqwaclwniawb</t>
  </si>
  <si>
    <t xml:space="preserve"> cscniawlrwaea cnwkcnwlIrcs</t>
  </si>
  <si>
    <t>cscniawlrwaea rOpwgcnis</t>
  </si>
  <si>
    <t>csEvrwaea rwtwq</t>
  </si>
  <si>
    <t>ODcnok</t>
  </si>
  <si>
    <t>czEvrwaea cxiTircb</t>
  </si>
  <si>
    <t>cTolcfOriaea</t>
  </si>
  <si>
    <t>cscniawlrwaea cnwaircTcsoa</t>
  </si>
  <si>
    <t>ސައުދީ އަރަބިއަން އެއަރލައިންސް</t>
  </si>
  <si>
    <t>މޯލްޑިވިއަން</t>
  </si>
  <si>
    <t>ޓޭރކިޝް އެއަރލައިންސް</t>
  </si>
  <si>
    <t>އެއަރ އޭޝިޔާ</t>
  </si>
  <si>
    <t>އެއްތިހާދު އެއަރވޭޒް</t>
  </si>
  <si>
    <t>ގޯ އެއަރ</t>
  </si>
  <si>
    <t>International Charter</t>
  </si>
  <si>
    <t xml:space="preserve"> cawtuTiawlcf rWTrWC ImWvcqwlwniawb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</si>
  <si>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</si>
  <si>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</si>
  <si>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</si>
  <si>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</si>
  <si>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Island Aviation</t>
  </si>
  <si>
    <t>cnwxEaivEa cDcneliawa</t>
  </si>
  <si>
    <t>Flyme</t>
  </si>
  <si>
    <t>ފްލައިމީ</t>
  </si>
  <si>
    <t xml:space="preserve">Trans Maldivian Airways </t>
  </si>
  <si>
    <t xml:space="preserve">   csEvrwaea cnwaiviDclOm  cscnWrcT</t>
  </si>
  <si>
    <t>Island Aviation (Sea Planes)</t>
  </si>
  <si>
    <t>(cnElcpIs) cnwxEaivEa cDcneliawa</t>
  </si>
  <si>
    <t>Other Domestic 1_/</t>
  </si>
  <si>
    <t>1_/ cawtcTiawlcf egEjcaWr cnehinehea</t>
  </si>
  <si>
    <t>1_/  Includes movements by photo, training, technical and surveillance flights</t>
  </si>
  <si>
    <t>.evekwtcTiawlcf WviretctWkwrwH iawgukwtcscnwlEvrws idwa Wmwkcnwk clwkinckeT ,gcninErcT ,cnugenOTof Inenemih iawgiawbim 1_/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</si>
  <si>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</si>
  <si>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</si>
  <si>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</si>
  <si>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</si>
  <si>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</si>
  <si>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</si>
  <si>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</si>
  <si>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</si>
  <si>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</si>
  <si>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</si>
  <si>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</si>
  <si>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</si>
  <si>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</si>
  <si>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</si>
  <si>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</si>
  <si>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</si>
  <si>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</si>
  <si>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</si>
  <si>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</si>
  <si>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</si>
  <si>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</si>
  <si>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</si>
  <si>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</si>
  <si>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</si>
  <si>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</si>
  <si>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</si>
  <si>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</si>
  <si>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</si>
  <si>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</si>
  <si>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</si>
  <si>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</si>
  <si>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</si>
  <si>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</si>
  <si>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</si>
  <si>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</si>
  <si>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</si>
  <si>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</si>
  <si>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</si>
  <si>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</si>
  <si>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</si>
  <si>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</si>
  <si>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</si>
  <si>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</si>
  <si>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</si>
  <si>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</si>
  <si>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</si>
  <si>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</si>
  <si>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</si>
  <si>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</si>
  <si>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ގަލްފް އެއަރ</t>
  </si>
  <si>
    <t>އީޑްލްވައިސް</t>
  </si>
  <si>
    <t>Manta Air</t>
  </si>
  <si>
    <t>Manta Air (Sea Planes)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</si>
  <si>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</si>
  <si>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</si>
  <si>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</si>
  <si>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</si>
  <si>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</si>
  <si>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</si>
  <si>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</si>
  <si>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</si>
  <si>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</si>
  <si>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ފުލައި ދުބައި</t>
  </si>
  <si>
    <t>އެއަރ އަޒުރ ރަޝިޔާ</t>
  </si>
  <si>
    <t>ފިޓްސް އެއަރ</t>
  </si>
  <si>
    <t>އެއަރ އަސްތާނާ</t>
  </si>
  <si>
    <t>އެއަރ ސީޝެލްސް</t>
  </si>
  <si>
    <t>ސްކެޓް އެއަލައިންސް</t>
  </si>
  <si>
    <t>އުޒްބަކިސްތާން އެއަރވޭސް</t>
  </si>
  <si>
    <t>މަންޓާ އެއަރ</t>
  </si>
  <si>
    <r>
      <t xml:space="preserve">(cnElcpIs) </t>
    </r>
    <r>
      <rPr>
        <sz val="12"/>
        <rFont val="Faruma"/>
      </rPr>
      <t>މަންޓާ އެއަރ</t>
    </r>
  </si>
  <si>
    <t>SRILANKAN AIRLINES</t>
  </si>
  <si>
    <t>SINGAPORE AIRLINES</t>
  </si>
  <si>
    <t>BANGKOK AIRLINES</t>
  </si>
  <si>
    <t>EMIRATES</t>
  </si>
  <si>
    <t>AIR INDIA</t>
  </si>
  <si>
    <t>QATAR AIRWAYS</t>
  </si>
  <si>
    <t>KUWAIT AIRWAYS</t>
  </si>
  <si>
    <t>WIZZ AIR</t>
  </si>
  <si>
    <t>EDELWEISS</t>
  </si>
  <si>
    <t>AIR FRANCE</t>
  </si>
  <si>
    <t>THAI AIR ASIA</t>
  </si>
  <si>
    <t>CONDOR</t>
  </si>
  <si>
    <t>BRITISH AIRWAYS</t>
  </si>
  <si>
    <t>ETIHAD AIRWAYS</t>
  </si>
  <si>
    <t>AEROFLOT</t>
  </si>
  <si>
    <t>GULF AIR</t>
  </si>
  <si>
    <t>AUSTRIAN AIRLINES</t>
  </si>
  <si>
    <t>GO AIR</t>
  </si>
  <si>
    <t>MALDIVIAN</t>
  </si>
  <si>
    <t>AIR ASIA</t>
  </si>
  <si>
    <t>TURKISH AIRLINES</t>
  </si>
  <si>
    <t>FLY DUBAI</t>
  </si>
  <si>
    <t>AZUR AIR RUSSIA</t>
  </si>
  <si>
    <t>ITA</t>
  </si>
  <si>
    <t>INDIGO</t>
  </si>
  <si>
    <t>FITS AIR</t>
  </si>
  <si>
    <t>SAUDI ARABIAN AIRLINES</t>
  </si>
  <si>
    <t xml:space="preserve">VISTARA </t>
  </si>
  <si>
    <t>US  BANGLA AIRLINES</t>
  </si>
  <si>
    <t>EUROWING DISCOVER</t>
  </si>
  <si>
    <t>NEOS SPA</t>
  </si>
  <si>
    <t>SMARTWINGS</t>
  </si>
  <si>
    <t>AIR ASTANA</t>
  </si>
  <si>
    <t>LOT POLISH AIRLINES</t>
  </si>
  <si>
    <t>AIR SEYCHELLES</t>
  </si>
  <si>
    <t>SALAM AIR</t>
  </si>
  <si>
    <t>SCAT AIRLINES</t>
  </si>
  <si>
    <t>UZBEKISTAN AIRWAYS</t>
  </si>
  <si>
    <t>ICELAND AIR</t>
  </si>
  <si>
    <t>ބެންކޮކް އެއަރލައިންސް</t>
  </si>
  <si>
    <t>އެމިރޭޓްސް</t>
  </si>
  <si>
    <t>އެއަރ އިންޑިއަރ</t>
  </si>
  <si>
    <t>ކުވައިތް އެއަރވޭސް</t>
  </si>
  <si>
    <t>ވިޒް އެއަރ</t>
  </si>
  <si>
    <t xml:space="preserve">އެއަރ ފްރާންސް </t>
  </si>
  <si>
    <t>ތައި އެއަރ އޭޝިއާ</t>
  </si>
  <si>
    <t>ވިސްޓާރާ</t>
  </si>
  <si>
    <t>ޔޫ.އެސް ބަންގްލާ އެއަރލައިންސް</t>
  </si>
  <si>
    <t>ނިއޯސް ސަޕާ</t>
  </si>
  <si>
    <t>އިންޑިގޯ</t>
  </si>
  <si>
    <t>ސަލަމް އެއަރ</t>
  </si>
  <si>
    <t>ލޮޓް ޕޮލިޝް އެއަރލައިންސް</t>
  </si>
  <si>
    <t>އައިސްލޭންޑް އެއަރ</t>
  </si>
  <si>
    <t>އައިޓީއޭ</t>
  </si>
  <si>
    <t>ސްމާޓްވިންގްސް</t>
  </si>
  <si>
    <t>ޔޫރޯވިންގ ޑިސްކަވަރ</t>
  </si>
  <si>
    <t>2023 ,cliaem iaWlwdum unulufua iaWncnurwjcniswf irukurutwfurutwd cnurwhwfuTOb egukwtcniawlrwaea ikeaikea cSwrwdnwbegiawv ImWvcqwaclwniawb  : 11.10 ulwvWt</t>
  </si>
  <si>
    <t>Table 11.10 :  AIR TRANSPORT MOVEMENTS AT VELANA INTERNATIONAL AIRPORT BY AIRLINE, CROSS-CLASSIFIED BY PASSENGER, CARGO AND MAIL, 2023</t>
  </si>
  <si>
    <t>FLYNAS</t>
  </si>
  <si>
    <t>ފުލައި ނަސް</t>
  </si>
  <si>
    <t>BEIJING CAPITAL AIRLINES</t>
  </si>
  <si>
    <t>ބެއިޖިންގް ކެޕިޓަލް އެއަރލައިންސް</t>
  </si>
  <si>
    <t>VIRGIN ATLANTIC</t>
  </si>
  <si>
    <t>ވޭރްޖިން އެޓްލާންޓިކް</t>
  </si>
  <si>
    <t>OMAN AIR</t>
  </si>
  <si>
    <t>އޯމަން އެއަރ</t>
  </si>
  <si>
    <t>CHINA EASTERN AIRLINES</t>
  </si>
  <si>
    <t>ޗައިނާ އީސްޓަން އެއަލައިންސް</t>
  </si>
  <si>
    <t>SICHUAN AIRLINES</t>
  </si>
  <si>
    <t>ސިޗުއަން އެއަރލައިންސް</t>
  </si>
  <si>
    <t>BATIK AIR</t>
  </si>
  <si>
    <t>ބަޓިކް އެއަރ</t>
  </si>
  <si>
    <t>BEOND</t>
  </si>
  <si>
    <t>ބިއޮންޑް</t>
  </si>
  <si>
    <t>MALAYSIAN AIRLINES</t>
  </si>
  <si>
    <t>މެލޭޝިއަން އެއަރލައިންސް</t>
  </si>
  <si>
    <t>CENTRUIM AIR</t>
  </si>
  <si>
    <t>ސެންޓްރިއަމް އެއަރ</t>
  </si>
  <si>
    <t>AIR ASIA X</t>
  </si>
  <si>
    <t>އެއަރ އޭޝިއާ އެކްސް</t>
  </si>
  <si>
    <t>HISKY EUROPE</t>
  </si>
  <si>
    <t>ހައި ސަކައި އިޔުރަޕް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</si>
</sst>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_(* #,##0.00_);_(* \(#,##0.00\);_(* &quot;-&quot;??_);_(@_)"/>
    <numFmt numFmtId="166" formatCode="General_)"/>
    <numFmt numFmtId="167" formatCode="_(* #,##0_);_(* \(#,##0\);_(* &quot;-&quot;??_);_(@_)"/>
    <numFmt numFmtId="169" formatCode="0.0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b/>
      <sz val="9"/>
      <name val="Akuru"/>
      <family val="2"/>
      <charset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Akuru"/>
      <family val="2"/>
      <charset val="2"/>
    </font>
    <font>
      <b/>
      <sz val="9"/>
      <name val="A_Randhoo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sz val="10"/>
      <name val="A_Reethi"/>
    </font>
    <font>
      <sz val="9"/>
      <name val="Aammu HimaThedhu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b/>
      <sz val="12"/>
      <name val="A_Faseyha"/>
    </font>
    <font>
      <sz val="12"/>
      <name val="A_Faseyha"/>
    </font>
    <font>
      <b/>
      <sz val="8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  <font>
      <sz val="12"/>
      <name val="Farum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165" fontId="1" fillId="0" borderId="0" applyFont="0" applyFill="0" applyBorder="0" applyAlignment="0" applyProtection="0"/>
    <xf numFmtId="166" fontId="2" fillId="0" borderId="0"/>
    <xf numFmtId="0" fontId="5" fillId="0" borderId="0"/>
    <xf numFmtId="40" fontId="13" fillId="0" borderId="0" applyFont="0" applyFill="0" applyBorder="0" applyAlignment="0" applyProtection="0"/>
    <xf numFmtId="0" fontId="5" fillId="0" borderId="0"/>
    <xf numFmtId="0" fontId="24" fillId="0" borderId="0"/>
    <xf numFmtId="167" fontId="2" fillId="0" borderId="0"/>
    <xf numFmtId="167" fontId="2" fillId="0" borderId="0"/>
    <xf numFmtId="169" fontId="2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0" fontId="46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</cellStyleXfs>
  <cellXfs count="202">
    <xf numFmtId="0" fontId="0" fillId="0" borderId="0" xfId="0"/>
    <xf numFmtId="166" fontId="0" fillId="2" borderId="0" xfId="0" applyNumberFormat="1" applyFill="1"/>
    <xf numFmtId="166" fontId="4" fillId="2" borderId="0" xfId="2" applyFont="1" applyFill="1" applyAlignment="1">
      <alignment horizontal="left" vertical="center"/>
    </xf>
    <xf numFmtId="0" fontId="6" fillId="2" borderId="0" xfId="3" applyFont="1" applyFill="1" applyAlignment="1">
      <alignment vertical="center"/>
    </xf>
    <xf numFmtId="166" fontId="9" fillId="2" borderId="0" xfId="2" applyFont="1" applyFill="1" applyAlignment="1">
      <alignment horizontal="right" vertical="center"/>
    </xf>
    <xf numFmtId="166" fontId="7" fillId="2" borderId="0" xfId="2" applyFont="1" applyFill="1" applyAlignment="1">
      <alignment horizontal="left" vertical="center"/>
    </xf>
    <xf numFmtId="166" fontId="11" fillId="2" borderId="0" xfId="0" applyNumberFormat="1" applyFont="1" applyFill="1"/>
    <xf numFmtId="166" fontId="12" fillId="2" borderId="0" xfId="2" applyFont="1" applyFill="1" applyAlignment="1">
      <alignment vertical="center"/>
    </xf>
    <xf numFmtId="38" fontId="12" fillId="2" borderId="0" xfId="4" applyNumberFormat="1" applyFont="1" applyFill="1" applyBorder="1" applyAlignment="1">
      <alignment horizontal="right" vertical="center" wrapText="1"/>
    </xf>
    <xf numFmtId="38" fontId="12" fillId="2" borderId="0" xfId="4" applyNumberFormat="1" applyFont="1" applyFill="1" applyBorder="1" applyAlignment="1">
      <alignment horizontal="right" vertical="top" wrapText="1"/>
    </xf>
    <xf numFmtId="166" fontId="12" fillId="2" borderId="0" xfId="2" applyFont="1" applyFill="1" applyAlignment="1">
      <alignment horizontal="left" vertical="center"/>
    </xf>
    <xf numFmtId="38" fontId="12" fillId="2" borderId="1" xfId="4" applyNumberFormat="1" applyFont="1" applyFill="1" applyBorder="1" applyAlignment="1" applyProtection="1">
      <alignment horizontal="right" vertical="center" wrapText="1"/>
    </xf>
    <xf numFmtId="166" fontId="14" fillId="2" borderId="0" xfId="0" applyNumberFormat="1" applyFont="1" applyFill="1" applyAlignment="1">
      <alignment horizontal="left" vertical="center"/>
    </xf>
    <xf numFmtId="38" fontId="14" fillId="2" borderId="1" xfId="4" applyNumberFormat="1" applyFont="1" applyFill="1" applyBorder="1" applyAlignment="1">
      <alignment horizontal="right" vertical="center" wrapText="1"/>
    </xf>
    <xf numFmtId="38" fontId="14" fillId="2" borderId="1" xfId="4" applyNumberFormat="1" applyFont="1" applyFill="1" applyBorder="1" applyAlignment="1">
      <alignment horizontal="right" vertical="center"/>
    </xf>
    <xf numFmtId="38" fontId="14" fillId="2" borderId="1" xfId="4" applyNumberFormat="1" applyFont="1" applyFill="1" applyBorder="1" applyAlignment="1" applyProtection="1">
      <alignment horizontal="right" vertical="center" wrapText="1"/>
    </xf>
    <xf numFmtId="38" fontId="14" fillId="2" borderId="1" xfId="4" applyNumberFormat="1" applyFont="1" applyFill="1" applyBorder="1" applyAlignment="1" applyProtection="1">
      <alignment horizontal="right" vertical="center"/>
    </xf>
    <xf numFmtId="0" fontId="15" fillId="2" borderId="0" xfId="0" applyFont="1" applyFill="1" applyAlignment="1">
      <alignment horizontal="right"/>
    </xf>
    <xf numFmtId="166" fontId="14" fillId="2" borderId="0" xfId="2" applyFont="1" applyFill="1" applyAlignment="1">
      <alignment horizontal="left" vertical="center"/>
    </xf>
    <xf numFmtId="0" fontId="17" fillId="2" borderId="0" xfId="0" applyFont="1" applyFill="1" applyAlignment="1">
      <alignment horizontal="right"/>
    </xf>
    <xf numFmtId="166" fontId="14" fillId="2" borderId="0" xfId="0" applyNumberFormat="1" applyFont="1" applyFill="1" applyAlignment="1">
      <alignment vertical="center"/>
    </xf>
    <xf numFmtId="0" fontId="15" fillId="2" borderId="0" xfId="0" applyFont="1" applyFill="1" applyAlignment="1">
      <alignment horizontal="right" vertical="center"/>
    </xf>
    <xf numFmtId="166" fontId="14" fillId="2" borderId="0" xfId="2" applyFont="1" applyFill="1" applyAlignment="1">
      <alignment vertical="center"/>
    </xf>
    <xf numFmtId="38" fontId="14" fillId="2" borderId="2" xfId="4" applyNumberFormat="1" applyFont="1" applyFill="1" applyBorder="1" applyAlignment="1">
      <alignment horizontal="right" vertical="center"/>
    </xf>
    <xf numFmtId="38" fontId="14" fillId="2" borderId="2" xfId="4" applyNumberFormat="1" applyFont="1" applyFill="1" applyBorder="1" applyAlignment="1">
      <alignment horizontal="right" vertical="center" wrapText="1"/>
    </xf>
    <xf numFmtId="38" fontId="12" fillId="2" borderId="0" xfId="4" applyNumberFormat="1" applyFont="1" applyFill="1" applyBorder="1" applyAlignment="1" applyProtection="1">
      <alignment horizontal="right" vertical="center"/>
    </xf>
    <xf numFmtId="166" fontId="14" fillId="2" borderId="3" xfId="0" applyNumberFormat="1" applyFont="1" applyFill="1" applyBorder="1" applyAlignment="1">
      <alignment horizontal="left" vertical="center" indent="1"/>
    </xf>
    <xf numFmtId="38" fontId="14" fillId="2" borderId="3" xfId="4" applyNumberFormat="1" applyFont="1" applyFill="1" applyBorder="1" applyAlignment="1">
      <alignment horizontal="right" vertical="center"/>
    </xf>
    <xf numFmtId="38" fontId="14" fillId="2" borderId="3" xfId="4" applyNumberFormat="1" applyFont="1" applyFill="1" applyBorder="1" applyAlignment="1">
      <alignment horizontal="right" vertical="center" wrapText="1"/>
    </xf>
    <xf numFmtId="166" fontId="14" fillId="2" borderId="1" xfId="0" applyNumberFormat="1" applyFont="1" applyFill="1" applyBorder="1" applyAlignment="1">
      <alignment horizontal="left" vertical="center" indent="1"/>
    </xf>
    <xf numFmtId="38" fontId="14" fillId="2" borderId="1" xfId="4" applyNumberFormat="1" applyFont="1" applyFill="1" applyBorder="1" applyAlignment="1" applyProtection="1">
      <alignment horizontal="left" vertical="center" indent="1"/>
    </xf>
    <xf numFmtId="38" fontId="14" fillId="2" borderId="6" xfId="4" applyNumberFormat="1" applyFont="1" applyFill="1" applyBorder="1" applyAlignment="1" applyProtection="1">
      <alignment horizontal="left" vertical="center" indent="1"/>
    </xf>
    <xf numFmtId="38" fontId="14" fillId="2" borderId="6" xfId="4" applyNumberFormat="1" applyFont="1" applyFill="1" applyBorder="1" applyAlignment="1" applyProtection="1">
      <alignment horizontal="right" vertical="center" wrapText="1"/>
      <protection locked="0"/>
    </xf>
    <xf numFmtId="38" fontId="14" fillId="2" borderId="6" xfId="4" applyNumberFormat="1" applyFont="1" applyFill="1" applyBorder="1" applyAlignment="1" applyProtection="1">
      <alignment horizontal="right" vertical="center"/>
    </xf>
    <xf numFmtId="38" fontId="14" fillId="2" borderId="6" xfId="4" applyNumberFormat="1" applyFont="1" applyFill="1" applyBorder="1" applyAlignment="1" applyProtection="1">
      <alignment horizontal="right" vertical="center" wrapText="1"/>
    </xf>
    <xf numFmtId="38" fontId="18" fillId="2" borderId="0" xfId="4" applyNumberFormat="1" applyFont="1" applyFill="1" applyAlignment="1">
      <alignment vertical="center"/>
    </xf>
    <xf numFmtId="38" fontId="10" fillId="2" borderId="0" xfId="4" applyNumberFormat="1" applyFont="1" applyFill="1" applyAlignment="1">
      <alignment vertical="center"/>
    </xf>
    <xf numFmtId="38" fontId="19" fillId="2" borderId="0" xfId="4" applyNumberFormat="1" applyFont="1" applyFill="1"/>
    <xf numFmtId="166" fontId="21" fillId="2" borderId="0" xfId="2" applyFont="1" applyFill="1" applyAlignment="1">
      <alignment horizontal="right" vertical="center"/>
    </xf>
    <xf numFmtId="37" fontId="21" fillId="2" borderId="0" xfId="2" applyNumberFormat="1" applyFont="1" applyFill="1" applyAlignment="1">
      <alignment horizontal="right" vertical="center"/>
    </xf>
    <xf numFmtId="37" fontId="10" fillId="2" borderId="0" xfId="2" applyNumberFormat="1" applyFont="1" applyFill="1" applyAlignment="1">
      <alignment horizontal="right" vertical="center"/>
    </xf>
    <xf numFmtId="37" fontId="22" fillId="2" borderId="0" xfId="2" applyNumberFormat="1" applyFont="1" applyFill="1" applyAlignment="1">
      <alignment horizontal="right" vertical="center"/>
    </xf>
    <xf numFmtId="0" fontId="22" fillId="2" borderId="0" xfId="3" applyFont="1" applyFill="1" applyAlignment="1">
      <alignment vertical="center"/>
    </xf>
    <xf numFmtId="166" fontId="20" fillId="2" borderId="0" xfId="2" applyFont="1" applyFill="1" applyAlignment="1">
      <alignment horizontal="left" vertical="center"/>
    </xf>
    <xf numFmtId="37" fontId="21" fillId="2" borderId="0" xfId="2" applyNumberFormat="1" applyFont="1" applyFill="1" applyAlignment="1">
      <alignment vertical="center"/>
    </xf>
    <xf numFmtId="37" fontId="10" fillId="2" borderId="0" xfId="2" applyNumberFormat="1" applyFont="1" applyFill="1" applyAlignment="1">
      <alignment vertical="center"/>
    </xf>
    <xf numFmtId="0" fontId="22" fillId="2" borderId="0" xfId="5" applyFont="1" applyFill="1" applyAlignment="1">
      <alignment vertical="center"/>
    </xf>
    <xf numFmtId="0" fontId="16" fillId="2" borderId="3" xfId="0" applyFont="1" applyFill="1" applyBorder="1" applyAlignment="1">
      <alignment horizontal="right" vertical="center"/>
    </xf>
    <xf numFmtId="166" fontId="10" fillId="2" borderId="0" xfId="2" applyFont="1" applyFill="1" applyAlignment="1">
      <alignment vertical="center"/>
    </xf>
    <xf numFmtId="166" fontId="2" fillId="2" borderId="0" xfId="0" applyNumberFormat="1" applyFont="1" applyFill="1"/>
    <xf numFmtId="0" fontId="16" fillId="2" borderId="0" xfId="0" applyFont="1" applyFill="1" applyAlignment="1">
      <alignment horizontal="right" vertical="center"/>
    </xf>
    <xf numFmtId="166" fontId="25" fillId="2" borderId="0" xfId="2" applyFont="1" applyFill="1" applyAlignment="1">
      <alignment horizontal="center" vertical="center" wrapText="1"/>
    </xf>
    <xf numFmtId="166" fontId="26" fillId="2" borderId="0" xfId="0" applyNumberFormat="1" applyFont="1" applyFill="1"/>
    <xf numFmtId="3" fontId="12" fillId="2" borderId="18" xfId="2" applyNumberFormat="1" applyFont="1" applyFill="1" applyBorder="1" applyAlignment="1">
      <alignment horizontal="right" vertical="center"/>
    </xf>
    <xf numFmtId="3" fontId="12" fillId="2" borderId="0" xfId="2" applyNumberFormat="1" applyFont="1" applyFill="1" applyAlignment="1">
      <alignment horizontal="right" vertical="center"/>
    </xf>
    <xf numFmtId="167" fontId="0" fillId="2" borderId="0" xfId="1" applyNumberFormat="1" applyFont="1" applyFill="1"/>
    <xf numFmtId="166" fontId="27" fillId="2" borderId="0" xfId="2" applyFont="1" applyFill="1" applyAlignment="1">
      <alignment horizontal="left" vertical="center"/>
    </xf>
    <xf numFmtId="37" fontId="5" fillId="2" borderId="0" xfId="2" applyNumberFormat="1" applyFont="1" applyFill="1" applyAlignment="1">
      <alignment vertical="center"/>
    </xf>
    <xf numFmtId="166" fontId="15" fillId="2" borderId="0" xfId="2" applyFont="1" applyFill="1"/>
    <xf numFmtId="0" fontId="15" fillId="2" borderId="0" xfId="5" applyFont="1" applyFill="1" applyAlignment="1">
      <alignment vertical="center"/>
    </xf>
    <xf numFmtId="166" fontId="0" fillId="2" borderId="0" xfId="0" applyNumberFormat="1" applyFill="1" applyAlignment="1">
      <alignment horizontal="center" vertical="center"/>
    </xf>
    <xf numFmtId="0" fontId="7" fillId="2" borderId="30" xfId="2" applyNumberFormat="1" applyFont="1" applyFill="1" applyBorder="1" applyAlignment="1">
      <alignment horizontal="center" vertical="center"/>
    </xf>
    <xf numFmtId="0" fontId="7" fillId="2" borderId="32" xfId="2" applyNumberFormat="1" applyFont="1" applyFill="1" applyBorder="1" applyAlignment="1">
      <alignment horizontal="center" vertical="center"/>
    </xf>
    <xf numFmtId="0" fontId="7" fillId="2" borderId="33" xfId="2" applyNumberFormat="1" applyFont="1" applyFill="1" applyBorder="1" applyAlignment="1">
      <alignment horizontal="center" vertical="center"/>
    </xf>
    <xf numFmtId="0" fontId="7" fillId="2" borderId="17" xfId="2" applyNumberFormat="1" applyFont="1" applyFill="1" applyBorder="1" applyAlignment="1">
      <alignment horizontal="center" vertical="center"/>
    </xf>
    <xf numFmtId="166" fontId="12" fillId="2" borderId="3" xfId="2" applyFont="1" applyFill="1" applyBorder="1" applyAlignment="1">
      <alignment horizontal="left" vertical="center"/>
    </xf>
    <xf numFmtId="3" fontId="7" fillId="2" borderId="3" xfId="2" applyNumberFormat="1" applyFont="1" applyFill="1" applyBorder="1" applyAlignment="1">
      <alignment horizontal="center" vertical="center"/>
    </xf>
    <xf numFmtId="3" fontId="7" fillId="2" borderId="4" xfId="2" applyNumberFormat="1" applyFont="1" applyFill="1" applyBorder="1" applyAlignment="1">
      <alignment horizontal="center" vertical="center"/>
    </xf>
    <xf numFmtId="3" fontId="7" fillId="2" borderId="34" xfId="2" applyNumberFormat="1" applyFont="1" applyFill="1" applyBorder="1" applyAlignment="1">
      <alignment horizontal="center" vertical="center"/>
    </xf>
    <xf numFmtId="3" fontId="7" fillId="2" borderId="14" xfId="2" applyNumberFormat="1" applyFont="1" applyFill="1" applyBorder="1" applyAlignment="1">
      <alignment horizontal="center" vertical="center"/>
    </xf>
    <xf numFmtId="3" fontId="7" fillId="2" borderId="35" xfId="2" applyNumberFormat="1" applyFont="1" applyFill="1" applyBorder="1" applyAlignment="1">
      <alignment horizontal="center" vertical="center"/>
    </xf>
    <xf numFmtId="3" fontId="7" fillId="2" borderId="36" xfId="2" applyNumberFormat="1" applyFont="1" applyFill="1" applyBorder="1" applyAlignment="1">
      <alignment horizontal="center" vertical="center"/>
    </xf>
    <xf numFmtId="3" fontId="7" fillId="2" borderId="19" xfId="2" applyNumberFormat="1" applyFont="1" applyFill="1" applyBorder="1" applyAlignment="1">
      <alignment horizontal="center" vertical="center"/>
    </xf>
    <xf numFmtId="166" fontId="21" fillId="2" borderId="1" xfId="2" applyFont="1" applyFill="1" applyBorder="1" applyAlignment="1">
      <alignment horizontal="left" vertical="center"/>
    </xf>
    <xf numFmtId="3" fontId="21" fillId="2" borderId="1" xfId="4" applyNumberFormat="1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0" fontId="21" fillId="2" borderId="37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3" fontId="21" fillId="2" borderId="8" xfId="4" applyNumberFormat="1" applyFont="1" applyFill="1" applyBorder="1" applyAlignment="1">
      <alignment horizontal="center" vertical="center"/>
    </xf>
    <xf numFmtId="0" fontId="28" fillId="2" borderId="8" xfId="0" applyFont="1" applyFill="1" applyBorder="1" applyAlignment="1">
      <alignment horizontal="center" vertical="center"/>
    </xf>
    <xf numFmtId="0" fontId="21" fillId="2" borderId="38" xfId="0" applyFont="1" applyFill="1" applyBorder="1" applyAlignment="1">
      <alignment horizontal="center" vertical="center"/>
    </xf>
    <xf numFmtId="166" fontId="21" fillId="2" borderId="6" xfId="2" applyFont="1" applyFill="1" applyBorder="1" applyAlignment="1">
      <alignment horizontal="left" vertical="center"/>
    </xf>
    <xf numFmtId="3" fontId="21" fillId="2" borderId="6" xfId="4" applyNumberFormat="1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25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center" vertical="center"/>
    </xf>
    <xf numFmtId="3" fontId="21" fillId="2" borderId="23" xfId="4" applyNumberFormat="1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166" fontId="3" fillId="2" borderId="39" xfId="2" applyFont="1" applyFill="1" applyBorder="1" applyAlignment="1">
      <alignment horizontal="center" vertical="center"/>
    </xf>
    <xf numFmtId="166" fontId="7" fillId="2" borderId="39" xfId="2" applyFont="1" applyFill="1" applyBorder="1" applyAlignment="1">
      <alignment horizontal="left" vertical="center"/>
    </xf>
    <xf numFmtId="166" fontId="8" fillId="2" borderId="39" xfId="2" applyFont="1" applyFill="1" applyBorder="1" applyAlignment="1">
      <alignment horizontal="right" vertical="center"/>
    </xf>
    <xf numFmtId="166" fontId="7" fillId="2" borderId="39" xfId="2" applyFont="1" applyFill="1" applyBorder="1" applyAlignment="1">
      <alignment vertical="center"/>
    </xf>
    <xf numFmtId="166" fontId="7" fillId="2" borderId="39" xfId="2" applyFont="1" applyFill="1" applyBorder="1" applyAlignment="1">
      <alignment horizontal="right" vertical="center"/>
    </xf>
    <xf numFmtId="166" fontId="14" fillId="2" borderId="2" xfId="0" applyNumberFormat="1" applyFont="1" applyFill="1" applyBorder="1" applyAlignment="1">
      <alignment horizontal="left" vertical="center" indent="1"/>
    </xf>
    <xf numFmtId="166" fontId="37" fillId="2" borderId="39" xfId="2" applyFont="1" applyFill="1" applyBorder="1" applyAlignment="1">
      <alignment horizontal="center" vertical="center"/>
    </xf>
    <xf numFmtId="0" fontId="38" fillId="2" borderId="0" xfId="3" applyFont="1" applyFill="1" applyAlignment="1">
      <alignment vertical="center"/>
    </xf>
    <xf numFmtId="0" fontId="37" fillId="2" borderId="0" xfId="3" applyFont="1" applyFill="1" applyAlignment="1">
      <alignment horizontal="right"/>
    </xf>
    <xf numFmtId="0" fontId="37" fillId="2" borderId="39" xfId="3" applyFont="1" applyFill="1" applyBorder="1"/>
    <xf numFmtId="0" fontId="38" fillId="2" borderId="0" xfId="3" applyFont="1" applyFill="1" applyAlignment="1">
      <alignment horizontal="right"/>
    </xf>
    <xf numFmtId="0" fontId="38" fillId="2" borderId="0" xfId="0" applyFont="1" applyFill="1" applyAlignment="1">
      <alignment horizontal="right" vertical="center"/>
    </xf>
    <xf numFmtId="166" fontId="37" fillId="2" borderId="0" xfId="2" applyFont="1" applyFill="1" applyAlignment="1">
      <alignment horizontal="right"/>
    </xf>
    <xf numFmtId="0" fontId="38" fillId="2" borderId="4" xfId="3" applyFont="1" applyFill="1" applyBorder="1" applyAlignment="1">
      <alignment horizontal="right"/>
    </xf>
    <xf numFmtId="38" fontId="38" fillId="2" borderId="5" xfId="4" applyNumberFormat="1" applyFont="1" applyFill="1" applyBorder="1" applyAlignment="1">
      <alignment horizontal="right"/>
    </xf>
    <xf numFmtId="38" fontId="38" fillId="2" borderId="7" xfId="4" applyNumberFormat="1" applyFont="1" applyFill="1" applyBorder="1" applyAlignment="1">
      <alignment horizontal="right"/>
    </xf>
    <xf numFmtId="166" fontId="38" fillId="2" borderId="0" xfId="0" applyNumberFormat="1" applyFont="1" applyFill="1"/>
    <xf numFmtId="166" fontId="35" fillId="2" borderId="0" xfId="2" applyFont="1" applyFill="1" applyAlignment="1">
      <alignment horizontal="right" vertical="center"/>
    </xf>
    <xf numFmtId="166" fontId="39" fillId="2" borderId="0" xfId="2" applyFont="1" applyFill="1" applyAlignment="1">
      <alignment horizontal="right" vertical="center"/>
    </xf>
    <xf numFmtId="166" fontId="39" fillId="2" borderId="0" xfId="2" applyFont="1" applyFill="1" applyAlignment="1">
      <alignment horizontal="right" vertical="center" wrapText="1"/>
    </xf>
    <xf numFmtId="166" fontId="39" fillId="2" borderId="39" xfId="2" applyFont="1" applyFill="1" applyBorder="1" applyAlignment="1">
      <alignment horizontal="right" vertical="center"/>
    </xf>
    <xf numFmtId="166" fontId="39" fillId="2" borderId="39" xfId="2" applyFont="1" applyFill="1" applyBorder="1" applyAlignment="1">
      <alignment horizontal="center" vertical="center"/>
    </xf>
    <xf numFmtId="166" fontId="14" fillId="2" borderId="39" xfId="2" applyFont="1" applyFill="1" applyBorder="1" applyAlignment="1">
      <alignment horizontal="left" vertical="center"/>
    </xf>
    <xf numFmtId="166" fontId="25" fillId="2" borderId="39" xfId="2" applyFont="1" applyFill="1" applyBorder="1" applyAlignment="1">
      <alignment horizontal="right" vertical="center"/>
    </xf>
    <xf numFmtId="0" fontId="7" fillId="2" borderId="39" xfId="2" applyNumberFormat="1" applyFont="1" applyFill="1" applyBorder="1" applyAlignment="1">
      <alignment horizontal="center" vertical="center"/>
    </xf>
    <xf numFmtId="166" fontId="32" fillId="2" borderId="0" xfId="2" applyFont="1" applyFill="1" applyAlignment="1">
      <alignment horizontal="right" vertical="center"/>
    </xf>
    <xf numFmtId="166" fontId="31" fillId="2" borderId="0" xfId="0" applyNumberFormat="1" applyFont="1" applyFill="1"/>
    <xf numFmtId="0" fontId="40" fillId="2" borderId="12" xfId="6" applyFont="1" applyFill="1" applyBorder="1" applyAlignment="1">
      <alignment horizontal="right"/>
    </xf>
    <xf numFmtId="0" fontId="40" fillId="2" borderId="13" xfId="6" applyFont="1" applyFill="1" applyBorder="1" applyAlignment="1">
      <alignment horizontal="right"/>
    </xf>
    <xf numFmtId="0" fontId="32" fillId="2" borderId="14" xfId="6" applyFont="1" applyFill="1" applyBorder="1" applyAlignment="1">
      <alignment horizontal="right"/>
    </xf>
    <xf numFmtId="166" fontId="41" fillId="2" borderId="9" xfId="2" applyFont="1" applyFill="1" applyBorder="1" applyAlignment="1">
      <alignment horizontal="center" vertical="center"/>
    </xf>
    <xf numFmtId="166" fontId="43" fillId="2" borderId="9" xfId="0" applyNumberFormat="1" applyFont="1" applyFill="1" applyBorder="1"/>
    <xf numFmtId="166" fontId="42" fillId="2" borderId="19" xfId="2" applyFont="1" applyFill="1" applyBorder="1" applyAlignment="1">
      <alignment vertical="center"/>
    </xf>
    <xf numFmtId="166" fontId="44" fillId="2" borderId="9" xfId="0" applyNumberFormat="1" applyFont="1" applyFill="1" applyBorder="1"/>
    <xf numFmtId="166" fontId="43" fillId="2" borderId="0" xfId="0" applyNumberFormat="1" applyFont="1" applyFill="1"/>
    <xf numFmtId="166" fontId="1" fillId="2" borderId="0" xfId="0" applyNumberFormat="1" applyFont="1" applyFill="1" applyAlignment="1">
      <alignment horizontal="center" vertical="center"/>
    </xf>
    <xf numFmtId="166" fontId="23" fillId="2" borderId="23" xfId="2" applyFont="1" applyFill="1" applyBorder="1" applyAlignment="1">
      <alignment vertical="center" wrapText="1"/>
    </xf>
    <xf numFmtId="3" fontId="14" fillId="3" borderId="1" xfId="2" applyNumberFormat="1" applyFont="1" applyFill="1" applyBorder="1" applyAlignment="1">
      <alignment horizontal="right" vertical="center"/>
    </xf>
    <xf numFmtId="3" fontId="14" fillId="3" borderId="1" xfId="4" applyNumberFormat="1" applyFont="1" applyFill="1" applyBorder="1" applyAlignment="1">
      <alignment horizontal="right" vertical="center"/>
    </xf>
    <xf numFmtId="3" fontId="14" fillId="3" borderId="0" xfId="2" applyNumberFormat="1" applyFont="1" applyFill="1" applyAlignment="1">
      <alignment horizontal="right" vertical="center"/>
    </xf>
    <xf numFmtId="3" fontId="14" fillId="3" borderId="6" xfId="2" applyNumberFormat="1" applyFont="1" applyFill="1" applyBorder="1" applyAlignment="1">
      <alignment horizontal="right" vertical="center"/>
    </xf>
    <xf numFmtId="3" fontId="14" fillId="3" borderId="6" xfId="4" applyNumberFormat="1" applyFont="1" applyFill="1" applyBorder="1" applyAlignment="1">
      <alignment horizontal="right" vertical="center"/>
    </xf>
    <xf numFmtId="3" fontId="14" fillId="3" borderId="39" xfId="2" applyNumberFormat="1" applyFont="1" applyFill="1" applyBorder="1" applyAlignment="1">
      <alignment horizontal="right" vertical="center"/>
    </xf>
    <xf numFmtId="166" fontId="42" fillId="2" borderId="9" xfId="2" applyFont="1" applyFill="1" applyBorder="1" applyAlignment="1">
      <alignment horizontal="center" vertical="center"/>
    </xf>
    <xf numFmtId="166" fontId="23" fillId="2" borderId="0" xfId="2" applyFont="1" applyFill="1" applyAlignment="1">
      <alignment horizontal="center" vertical="center" wrapText="1"/>
    </xf>
    <xf numFmtId="166" fontId="47" fillId="2" borderId="18" xfId="2" applyFont="1" applyFill="1" applyBorder="1" applyAlignment="1">
      <alignment horizontal="left" vertical="center"/>
    </xf>
    <xf numFmtId="166" fontId="47" fillId="2" borderId="19" xfId="2" applyFont="1" applyFill="1" applyBorder="1" applyAlignment="1">
      <alignment vertical="center"/>
    </xf>
    <xf numFmtId="166" fontId="36" fillId="2" borderId="19" xfId="2" applyFont="1" applyFill="1" applyBorder="1" applyAlignment="1">
      <alignment vertical="center"/>
    </xf>
    <xf numFmtId="166" fontId="29" fillId="2" borderId="1" xfId="2" applyFont="1" applyFill="1" applyBorder="1" applyAlignment="1">
      <alignment horizontal="center" vertical="center"/>
    </xf>
    <xf numFmtId="166" fontId="29" fillId="2" borderId="23" xfId="2" applyFont="1" applyFill="1" applyBorder="1" applyAlignment="1">
      <alignment vertical="center" wrapText="1"/>
    </xf>
    <xf numFmtId="166" fontId="30" fillId="2" borderId="6" xfId="2" applyFont="1" applyFill="1" applyBorder="1" applyAlignment="1">
      <alignment horizontal="left" vertical="center"/>
    </xf>
    <xf numFmtId="0" fontId="48" fillId="2" borderId="27" xfId="2" applyNumberFormat="1" applyFont="1" applyFill="1" applyBorder="1" applyAlignment="1">
      <alignment horizontal="center" vertical="center"/>
    </xf>
    <xf numFmtId="0" fontId="48" fillId="2" borderId="28" xfId="2" applyNumberFormat="1" applyFont="1" applyFill="1" applyBorder="1" applyAlignment="1">
      <alignment horizontal="center" vertical="center"/>
    </xf>
    <xf numFmtId="0" fontId="48" fillId="2" borderId="29" xfId="2" applyNumberFormat="1" applyFont="1" applyFill="1" applyBorder="1" applyAlignment="1">
      <alignment horizontal="center" vertical="center"/>
    </xf>
    <xf numFmtId="0" fontId="48" fillId="2" borderId="30" xfId="2" applyNumberFormat="1" applyFont="1" applyFill="1" applyBorder="1" applyAlignment="1">
      <alignment horizontal="center" vertical="center"/>
    </xf>
    <xf numFmtId="0" fontId="48" fillId="2" borderId="31" xfId="2" applyNumberFormat="1" applyFont="1" applyFill="1" applyBorder="1" applyAlignment="1">
      <alignment horizontal="center" vertical="center"/>
    </xf>
    <xf numFmtId="0" fontId="48" fillId="2" borderId="32" xfId="2" applyNumberFormat="1" applyFont="1" applyFill="1" applyBorder="1" applyAlignment="1">
      <alignment horizontal="center" vertical="center"/>
    </xf>
    <xf numFmtId="0" fontId="48" fillId="2" borderId="39" xfId="2" applyNumberFormat="1" applyFont="1" applyFill="1" applyBorder="1" applyAlignment="1">
      <alignment horizontal="center" vertical="center"/>
    </xf>
    <xf numFmtId="0" fontId="48" fillId="2" borderId="33" xfId="2" applyNumberFormat="1" applyFont="1" applyFill="1" applyBorder="1" applyAlignment="1">
      <alignment horizontal="center" vertical="center"/>
    </xf>
    <xf numFmtId="166" fontId="7" fillId="2" borderId="39" xfId="2" applyFont="1" applyFill="1" applyBorder="1" applyAlignment="1">
      <alignment horizontal="center" vertical="center"/>
    </xf>
    <xf numFmtId="166" fontId="40" fillId="2" borderId="0" xfId="2" applyFont="1" applyFill="1" applyAlignment="1">
      <alignment horizontal="right"/>
    </xf>
    <xf numFmtId="166" fontId="5" fillId="2" borderId="0" xfId="2" applyFont="1" applyFill="1" applyAlignment="1">
      <alignment vertical="center"/>
    </xf>
    <xf numFmtId="0" fontId="40" fillId="2" borderId="0" xfId="3" applyFont="1" applyFill="1" applyAlignment="1">
      <alignment vertical="center"/>
    </xf>
    <xf numFmtId="0" fontId="37" fillId="2" borderId="0" xfId="3" applyFont="1" applyFill="1" applyAlignment="1">
      <alignment horizontal="right" vertical="center" wrapText="1"/>
    </xf>
    <xf numFmtId="0" fontId="49" fillId="2" borderId="0" xfId="0" applyFont="1" applyFill="1" applyAlignment="1">
      <alignment horizontal="right" vertical="center"/>
    </xf>
    <xf numFmtId="0" fontId="49" fillId="2" borderId="0" xfId="3" applyFont="1" applyFill="1" applyAlignment="1">
      <alignment horizontal="right"/>
    </xf>
    <xf numFmtId="0" fontId="49" fillId="2" borderId="0" xfId="0" applyFont="1" applyFill="1" applyAlignment="1">
      <alignment horizontal="right"/>
    </xf>
    <xf numFmtId="0" fontId="49" fillId="2" borderId="5" xfId="3" applyFont="1" applyFill="1" applyBorder="1" applyAlignment="1">
      <alignment horizontal="right"/>
    </xf>
    <xf numFmtId="166" fontId="49" fillId="2" borderId="0" xfId="0" applyNumberFormat="1" applyFont="1" applyFill="1"/>
    <xf numFmtId="38" fontId="12" fillId="2" borderId="2" xfId="4" applyNumberFormat="1" applyFont="1" applyFill="1" applyBorder="1" applyAlignment="1">
      <alignment horizontal="right" vertical="center"/>
    </xf>
    <xf numFmtId="38" fontId="12" fillId="2" borderId="2" xfId="4" applyNumberFormat="1" applyFont="1" applyFill="1" applyBorder="1" applyAlignment="1">
      <alignment horizontal="right" vertical="center" wrapText="1"/>
    </xf>
    <xf numFmtId="166" fontId="3" fillId="2" borderId="0" xfId="2" applyFont="1" applyFill="1" applyAlignment="1">
      <alignment horizontal="center" vertical="center"/>
    </xf>
    <xf numFmtId="166" fontId="37" fillId="2" borderId="0" xfId="2" applyFont="1" applyFill="1" applyAlignment="1">
      <alignment horizontal="center" vertical="center"/>
    </xf>
    <xf numFmtId="166" fontId="12" fillId="2" borderId="9" xfId="2" applyFont="1" applyFill="1" applyBorder="1" applyAlignment="1">
      <alignment horizontal="left" vertical="center"/>
    </xf>
    <xf numFmtId="166" fontId="12" fillId="2" borderId="0" xfId="2" applyFont="1" applyFill="1" applyAlignment="1">
      <alignment horizontal="left" vertical="center"/>
    </xf>
    <xf numFmtId="166" fontId="12" fillId="2" borderId="39" xfId="2" applyFont="1" applyFill="1" applyBorder="1" applyAlignment="1">
      <alignment horizontal="left" vertical="center"/>
    </xf>
    <xf numFmtId="0" fontId="32" fillId="2" borderId="10" xfId="6" applyFont="1" applyFill="1" applyBorder="1" applyAlignment="1">
      <alignment horizontal="right" vertical="center"/>
    </xf>
    <xf numFmtId="0" fontId="32" fillId="2" borderId="12" xfId="6" applyFont="1" applyFill="1" applyBorder="1" applyAlignment="1">
      <alignment horizontal="right" vertical="center"/>
    </xf>
    <xf numFmtId="0" fontId="32" fillId="2" borderId="13" xfId="6" applyFont="1" applyFill="1" applyBorder="1" applyAlignment="1">
      <alignment horizontal="right" vertical="center"/>
    </xf>
    <xf numFmtId="166" fontId="29" fillId="2" borderId="7" xfId="2" applyFont="1" applyFill="1" applyBorder="1" applyAlignment="1">
      <alignment horizontal="center" vertical="center" wrapText="1"/>
    </xf>
    <xf numFmtId="166" fontId="29" fillId="2" borderId="23" xfId="2" applyFont="1" applyFill="1" applyBorder="1" applyAlignment="1">
      <alignment horizontal="center" vertical="center" wrapText="1"/>
    </xf>
    <xf numFmtId="166" fontId="29" fillId="2" borderId="24" xfId="2" applyFont="1" applyFill="1" applyBorder="1" applyAlignment="1">
      <alignment horizontal="center" vertical="center" wrapText="1"/>
    </xf>
    <xf numFmtId="166" fontId="29" fillId="2" borderId="15" xfId="2" applyFont="1" applyFill="1" applyBorder="1" applyAlignment="1">
      <alignment horizontal="center" vertical="center" wrapText="1"/>
    </xf>
    <xf numFmtId="166" fontId="29" fillId="2" borderId="0" xfId="2" applyFont="1" applyFill="1" applyAlignment="1">
      <alignment horizontal="center" vertical="center" wrapText="1"/>
    </xf>
    <xf numFmtId="166" fontId="23" fillId="2" borderId="15" xfId="2" applyFont="1" applyFill="1" applyBorder="1" applyAlignment="1">
      <alignment horizontal="center" vertical="center" wrapText="1"/>
    </xf>
    <xf numFmtId="166" fontId="23" fillId="2" borderId="0" xfId="2" applyFont="1" applyFill="1" applyAlignment="1">
      <alignment horizontal="center" vertical="center" wrapText="1"/>
    </xf>
    <xf numFmtId="166" fontId="23" fillId="2" borderId="17" xfId="2" applyFont="1" applyFill="1" applyBorder="1" applyAlignment="1">
      <alignment horizontal="center" vertical="center" wrapText="1"/>
    </xf>
    <xf numFmtId="166" fontId="23" fillId="2" borderId="39" xfId="2" applyFont="1" applyFill="1" applyBorder="1" applyAlignment="1">
      <alignment horizontal="center" vertical="center" wrapText="1"/>
    </xf>
    <xf numFmtId="166" fontId="23" fillId="2" borderId="26" xfId="2" applyFont="1" applyFill="1" applyBorder="1" applyAlignment="1">
      <alignment horizontal="center" vertical="center" wrapText="1"/>
    </xf>
    <xf numFmtId="166" fontId="23" fillId="2" borderId="25" xfId="2" applyFont="1" applyFill="1" applyBorder="1" applyAlignment="1">
      <alignment horizontal="center" vertical="center" wrapText="1"/>
    </xf>
    <xf numFmtId="166" fontId="23" fillId="2" borderId="23" xfId="2" applyFont="1" applyFill="1" applyBorder="1" applyAlignment="1">
      <alignment horizontal="center" vertical="center" wrapText="1"/>
    </xf>
    <xf numFmtId="166" fontId="23" fillId="2" borderId="24" xfId="2" applyFont="1" applyFill="1" applyBorder="1" applyAlignment="1">
      <alignment horizontal="center" vertical="center" wrapText="1"/>
    </xf>
    <xf numFmtId="166" fontId="42" fillId="2" borderId="16" xfId="2" applyFont="1" applyFill="1" applyBorder="1" applyAlignment="1">
      <alignment horizontal="center" vertical="center"/>
    </xf>
    <xf numFmtId="166" fontId="42" fillId="2" borderId="9" xfId="2" applyFont="1" applyFill="1" applyBorder="1" applyAlignment="1">
      <alignment horizontal="center" vertical="center"/>
    </xf>
    <xf numFmtId="166" fontId="42" fillId="2" borderId="22" xfId="2" applyFont="1" applyFill="1" applyBorder="1" applyAlignment="1">
      <alignment horizontal="center" vertical="center"/>
    </xf>
    <xf numFmtId="166" fontId="42" fillId="2" borderId="21" xfId="2" applyFont="1" applyFill="1" applyBorder="1" applyAlignment="1">
      <alignment horizontal="center" vertical="center"/>
    </xf>
    <xf numFmtId="166" fontId="42" fillId="2" borderId="19" xfId="2" applyFont="1" applyFill="1" applyBorder="1" applyAlignment="1">
      <alignment horizontal="center" vertical="center"/>
    </xf>
    <xf numFmtId="166" fontId="42" fillId="2" borderId="20" xfId="2" applyFont="1" applyFill="1" applyBorder="1" applyAlignment="1">
      <alignment horizontal="center" vertical="center"/>
    </xf>
    <xf numFmtId="166" fontId="12" fillId="2" borderId="18" xfId="2" applyFont="1" applyFill="1" applyBorder="1" applyAlignment="1">
      <alignment horizontal="left" vertical="center"/>
    </xf>
    <xf numFmtId="166" fontId="12" fillId="2" borderId="1" xfId="2" applyFont="1" applyFill="1" applyBorder="1" applyAlignment="1">
      <alignment horizontal="left" vertical="center"/>
    </xf>
    <xf numFmtId="166" fontId="12" fillId="2" borderId="6" xfId="2" applyFont="1" applyFill="1" applyBorder="1" applyAlignment="1">
      <alignment horizontal="left" vertical="center"/>
    </xf>
    <xf numFmtId="166" fontId="36" fillId="2" borderId="11" xfId="2" applyFont="1" applyFill="1" applyBorder="1" applyAlignment="1">
      <alignment horizontal="center" vertical="center"/>
    </xf>
    <xf numFmtId="166" fontId="36" fillId="2" borderId="19" xfId="2" applyFont="1" applyFill="1" applyBorder="1" applyAlignment="1">
      <alignment horizontal="center" vertical="center"/>
    </xf>
    <xf numFmtId="166" fontId="36" fillId="2" borderId="20" xfId="2" applyFont="1" applyFill="1" applyBorder="1" applyAlignment="1">
      <alignment horizontal="center" vertical="center"/>
    </xf>
    <xf numFmtId="166" fontId="36" fillId="2" borderId="16" xfId="2" applyFont="1" applyFill="1" applyBorder="1" applyAlignment="1">
      <alignment horizontal="center" vertical="center"/>
    </xf>
    <xf numFmtId="166" fontId="36" fillId="2" borderId="9" xfId="2" applyFont="1" applyFill="1" applyBorder="1" applyAlignment="1">
      <alignment horizontal="center" vertical="center"/>
    </xf>
    <xf numFmtId="166" fontId="33" fillId="2" borderId="0" xfId="2" applyFont="1" applyFill="1" applyAlignment="1">
      <alignment horizontal="center" vertical="center"/>
    </xf>
    <xf numFmtId="166" fontId="41" fillId="2" borderId="9" xfId="2" applyFont="1" applyFill="1" applyBorder="1" applyAlignment="1">
      <alignment horizontal="center" vertical="center"/>
    </xf>
    <xf numFmtId="166" fontId="25" fillId="2" borderId="39" xfId="2" applyFont="1" applyFill="1" applyBorder="1" applyAlignment="1">
      <alignment horizontal="center" vertical="center" wrapText="1"/>
    </xf>
    <xf numFmtId="166" fontId="32" fillId="2" borderId="9" xfId="2" applyFont="1" applyFill="1" applyBorder="1" applyAlignment="1">
      <alignment horizontal="right" vertical="center"/>
    </xf>
    <xf numFmtId="166" fontId="32" fillId="2" borderId="0" xfId="2" applyFont="1" applyFill="1" applyAlignment="1">
      <alignment horizontal="right" vertical="center"/>
    </xf>
    <xf numFmtId="166" fontId="32" fillId="2" borderId="39" xfId="2" applyFont="1" applyFill="1" applyBorder="1" applyAlignment="1">
      <alignment horizontal="right" vertical="center"/>
    </xf>
  </cellXfs>
  <cellStyles count="18">
    <cellStyle name="1" xfId="16" xr:uid="{00000000-0005-0000-0000-000000000000}"/>
    <cellStyle name="Comma" xfId="1" builtinId="3"/>
    <cellStyle name="Comma 2" xfId="4" xr:uid="{00000000-0005-0000-0000-000002000000}"/>
    <cellStyle name="Comma 3" xfId="15" xr:uid="{00000000-0005-0000-0000-000003000000}"/>
    <cellStyle name="Comma 4" xfId="9" xr:uid="{00000000-0005-0000-0000-000004000000}"/>
    <cellStyle name="Hyperlink 2" xfId="10" xr:uid="{00000000-0005-0000-0000-000005000000}"/>
    <cellStyle name="Normal" xfId="0" builtinId="0"/>
    <cellStyle name="Normal 2" xfId="2" xr:uid="{00000000-0005-0000-0000-000007000000}"/>
    <cellStyle name="Normal 2 3" xfId="12" xr:uid="{00000000-0005-0000-0000-000008000000}"/>
    <cellStyle name="Normal 3" xfId="7" xr:uid="{00000000-0005-0000-0000-000009000000}"/>
    <cellStyle name="Normal 3 2" xfId="13" xr:uid="{00000000-0005-0000-0000-00000A000000}"/>
    <cellStyle name="Normal 4" xfId="8" xr:uid="{00000000-0005-0000-0000-00000B000000}"/>
    <cellStyle name="Normal 5" xfId="11" xr:uid="{00000000-0005-0000-0000-00000C000000}"/>
    <cellStyle name="Normal 6" xfId="14" xr:uid="{00000000-0005-0000-0000-00000D000000}"/>
    <cellStyle name="Normal 6 2" xfId="17" xr:uid="{0F4CAA6B-809C-4AB7-8802-87F8F4DEEF07}"/>
    <cellStyle name="Normal_IX-6(Trans &amp; Comm)" xfId="5" xr:uid="{00000000-0005-0000-0000-00000E000000}"/>
    <cellStyle name="Normal_IX-9(Trans &amp; Comm)" xfId="3" xr:uid="{00000000-0005-0000-0000-000011000000}"/>
    <cellStyle name="Normal_X-5 (Electricity)" xfId="6" xr:uid="{00000000-0005-0000-0000-000012000000}"/>
  </cellStyles>
  <dxfs count="0"/>
  <tableStyles count="0" defaultTableStyle="TableStyleMedium2" defaultPivotStyle="PivotStyleLight16"/>
  <colors>
    <mruColors>
      <color rgb="FF57B7FF"/>
      <color rgb="FFFF9900"/>
      <color rgb="FF249390"/>
      <color rgb="FF33CCCC"/>
      <color rgb="FFEAFAFA"/>
      <color rgb="FF196563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BF75"/>
  <sheetViews>
    <sheetView tabSelected="1" zoomScale="72" zoomScaleNormal="72" workbookViewId="0">
      <selection activeCell="Q56" sqref="Q56"/>
    </sheetView>
  </sheetViews>
  <sheetFormatPr defaultColWidth="9.1796875" defaultRowHeight="18.5"/>
  <cols>
    <col min="1" max="1" width="25.1796875" style="1" customWidth="1"/>
    <col min="2" max="2" width="12.7265625" style="1" customWidth="1"/>
    <col min="3" max="4" width="11.81640625" style="1" customWidth="1"/>
    <col min="5" max="5" width="14.81640625" style="1" customWidth="1"/>
    <col min="6" max="6" width="1.1796875" style="1" customWidth="1"/>
    <col min="7" max="8" width="12.453125" style="1" customWidth="1"/>
    <col min="9" max="9" width="18" style="1" customWidth="1"/>
    <col min="10" max="10" width="3" style="1" customWidth="1"/>
    <col min="11" max="12" width="11.54296875" style="1" customWidth="1"/>
    <col min="13" max="13" width="33" style="106" customWidth="1"/>
    <col min="14" max="14" width="1.90625" style="1" customWidth="1"/>
    <col min="15" max="15" width="18.1796875" style="1" bestFit="1" customWidth="1"/>
    <col min="16" max="16384" width="9.1796875" style="1"/>
  </cols>
  <sheetData>
    <row r="1" spans="1:15">
      <c r="A1" s="162" t="s">
        <v>182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</row>
    <row r="2" spans="1:15" ht="15.5">
      <c r="A2" s="161" t="s">
        <v>183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</row>
    <row r="3" spans="1:15" ht="9.75" customHeight="1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6"/>
    </row>
    <row r="4" spans="1:15">
      <c r="A4" s="2"/>
      <c r="B4" s="3"/>
      <c r="C4" s="91" t="s">
        <v>0</v>
      </c>
      <c r="D4" s="92"/>
      <c r="E4" s="110" t="s">
        <v>1</v>
      </c>
      <c r="F4" s="4"/>
      <c r="G4" s="91" t="s">
        <v>2</v>
      </c>
      <c r="H4" s="92"/>
      <c r="I4" s="110" t="s">
        <v>3</v>
      </c>
      <c r="J4" s="4"/>
      <c r="K4" s="149" t="s">
        <v>4</v>
      </c>
      <c r="L4" s="111" t="s">
        <v>5</v>
      </c>
      <c r="M4" s="97"/>
    </row>
    <row r="5" spans="1:15">
      <c r="A5" s="5" t="s">
        <v>6</v>
      </c>
      <c r="B5" s="108" t="s">
        <v>7</v>
      </c>
      <c r="C5" s="108" t="s">
        <v>8</v>
      </c>
      <c r="D5" s="108" t="s">
        <v>9</v>
      </c>
      <c r="E5" s="109" t="s">
        <v>10</v>
      </c>
      <c r="F5" s="108"/>
      <c r="G5" s="108" t="s">
        <v>11</v>
      </c>
      <c r="H5" s="108" t="s">
        <v>12</v>
      </c>
      <c r="I5" s="108" t="s">
        <v>10</v>
      </c>
      <c r="J5" s="108"/>
      <c r="K5" s="108" t="s">
        <v>11</v>
      </c>
      <c r="L5" s="108" t="s">
        <v>12</v>
      </c>
      <c r="M5" s="98" t="s">
        <v>13</v>
      </c>
      <c r="O5" s="6"/>
    </row>
    <row r="6" spans="1:15">
      <c r="A6" s="93"/>
      <c r="B6" s="94" t="s">
        <v>14</v>
      </c>
      <c r="C6" s="94" t="s">
        <v>15</v>
      </c>
      <c r="D6" s="94" t="s">
        <v>16</v>
      </c>
      <c r="E6" s="94" t="s">
        <v>17</v>
      </c>
      <c r="F6" s="94"/>
      <c r="G6" s="94" t="s">
        <v>15</v>
      </c>
      <c r="H6" s="94" t="s">
        <v>16</v>
      </c>
      <c r="I6" s="94" t="s">
        <v>17</v>
      </c>
      <c r="J6" s="94"/>
      <c r="K6" s="94" t="s">
        <v>15</v>
      </c>
      <c r="L6" s="94" t="s">
        <v>16</v>
      </c>
      <c r="M6" s="99"/>
    </row>
    <row r="7" spans="1:15">
      <c r="A7" s="7" t="s">
        <v>18</v>
      </c>
      <c r="B7" s="8">
        <f>SUM(B8+B63)</f>
        <v>31756</v>
      </c>
      <c r="C7" s="8">
        <f>SUM(C8+C63)</f>
        <v>2272747</v>
      </c>
      <c r="D7" s="8">
        <f>SUM(D8+D63)</f>
        <v>2265159</v>
      </c>
      <c r="E7" s="8">
        <f>SUM(E8+E63)</f>
        <v>312611</v>
      </c>
      <c r="F7" s="8"/>
      <c r="G7" s="8">
        <f>SUM(G8+G63)</f>
        <v>33430625.100000005</v>
      </c>
      <c r="H7" s="8">
        <f>SUM(H8+H63)</f>
        <v>7842860.2000000002</v>
      </c>
      <c r="I7" s="8">
        <f>SUM(I8+I63)</f>
        <v>14806179.999999998</v>
      </c>
      <c r="J7" s="8"/>
      <c r="K7" s="8">
        <f>SUM(K8+K63)</f>
        <v>466005.09999999992</v>
      </c>
      <c r="L7" s="8">
        <f>SUM(L8+L63)</f>
        <v>9038.4000000000015</v>
      </c>
      <c r="M7" s="98" t="s">
        <v>19</v>
      </c>
    </row>
    <row r="8" spans="1:15">
      <c r="A8" s="7" t="s">
        <v>20</v>
      </c>
      <c r="B8" s="9">
        <f>SUM(B9+B49+B62)</f>
        <v>29538</v>
      </c>
      <c r="C8" s="8">
        <f>SUM(C9+C49+C62)</f>
        <v>2268679</v>
      </c>
      <c r="D8" s="8">
        <f>SUM(D9+D49+D62)</f>
        <v>2262511</v>
      </c>
      <c r="E8" s="8">
        <f>SUM(E9+E49+E62)</f>
        <v>312367</v>
      </c>
      <c r="F8" s="8"/>
      <c r="G8" s="8">
        <f>SUM(G9+G49+G62)</f>
        <v>33430625.100000005</v>
      </c>
      <c r="H8" s="8">
        <f>SUM(H9+H49+H62)</f>
        <v>7842860.2000000002</v>
      </c>
      <c r="I8" s="8">
        <f>SUM(I9+I49+I62)</f>
        <v>14806179.999999998</v>
      </c>
      <c r="J8" s="8"/>
      <c r="K8" s="8">
        <f>SUM(K9+K49+K62)</f>
        <v>466005.09999999992</v>
      </c>
      <c r="L8" s="8">
        <f>SUM(L9+L49+L62)</f>
        <v>9038.4000000000015</v>
      </c>
      <c r="M8" s="98" t="s">
        <v>21</v>
      </c>
    </row>
    <row r="9" spans="1:15" ht="37">
      <c r="A9" s="10" t="s">
        <v>22</v>
      </c>
      <c r="B9" s="11">
        <f>SUM(B10:B48)</f>
        <v>29206</v>
      </c>
      <c r="C9" s="11">
        <f>SUM(C10:C48)</f>
        <v>2244038</v>
      </c>
      <c r="D9" s="11">
        <f>SUM(D10:D48)</f>
        <v>2239484</v>
      </c>
      <c r="E9" s="11">
        <f>SUM(E10:E48)</f>
        <v>312367</v>
      </c>
      <c r="F9" s="11"/>
      <c r="G9" s="11">
        <f t="shared" ref="G9:L9" si="0">SUM(G10:G48)</f>
        <v>33429710.200000007</v>
      </c>
      <c r="H9" s="11">
        <f t="shared" si="0"/>
        <v>7842860.2000000002</v>
      </c>
      <c r="I9" s="11">
        <f t="shared" si="0"/>
        <v>14801425.099999998</v>
      </c>
      <c r="J9" s="11">
        <f t="shared" si="0"/>
        <v>0</v>
      </c>
      <c r="K9" s="11">
        <f t="shared" si="0"/>
        <v>466005.09999999992</v>
      </c>
      <c r="L9" s="11">
        <f t="shared" si="0"/>
        <v>9038.4000000000015</v>
      </c>
      <c r="M9" s="153" t="s">
        <v>23</v>
      </c>
    </row>
    <row r="10" spans="1:15">
      <c r="A10" s="12" t="s">
        <v>126</v>
      </c>
      <c r="B10" s="13">
        <v>2090</v>
      </c>
      <c r="C10" s="13">
        <v>185392</v>
      </c>
      <c r="D10" s="13">
        <v>152076</v>
      </c>
      <c r="E10" s="13">
        <v>0</v>
      </c>
      <c r="F10" s="14"/>
      <c r="G10" s="13">
        <v>5778863.4000000004</v>
      </c>
      <c r="H10" s="14">
        <v>1408350.5</v>
      </c>
      <c r="I10" s="13">
        <v>1754571.5999999999</v>
      </c>
      <c r="J10" s="14"/>
      <c r="K10" s="13">
        <v>98575.2</v>
      </c>
      <c r="L10" s="13">
        <v>489.49999999999989</v>
      </c>
      <c r="M10" s="100" t="s">
        <v>24</v>
      </c>
    </row>
    <row r="11" spans="1:15">
      <c r="A11" s="12" t="s">
        <v>127</v>
      </c>
      <c r="B11" s="13">
        <v>1460</v>
      </c>
      <c r="C11" s="13">
        <v>134652</v>
      </c>
      <c r="D11" s="13">
        <v>136093</v>
      </c>
      <c r="E11" s="15">
        <v>0</v>
      </c>
      <c r="F11" s="16"/>
      <c r="G11" s="13">
        <v>1412555.5</v>
      </c>
      <c r="H11" s="13">
        <v>1137324.8</v>
      </c>
      <c r="I11" s="13">
        <v>716064.79999999993</v>
      </c>
      <c r="J11" s="16"/>
      <c r="K11" s="13">
        <v>9257</v>
      </c>
      <c r="L11" s="13">
        <v>129.39999999999998</v>
      </c>
      <c r="M11" s="100" t="s">
        <v>25</v>
      </c>
    </row>
    <row r="12" spans="1:15" ht="21.5">
      <c r="A12" s="12" t="s">
        <v>128</v>
      </c>
      <c r="B12" s="13">
        <v>302</v>
      </c>
      <c r="C12" s="13">
        <v>11467</v>
      </c>
      <c r="D12" s="13">
        <v>10962</v>
      </c>
      <c r="E12" s="13">
        <v>0</v>
      </c>
      <c r="F12" s="16"/>
      <c r="G12" s="13">
        <v>101095</v>
      </c>
      <c r="H12" s="13">
        <v>138</v>
      </c>
      <c r="I12" s="13">
        <v>0</v>
      </c>
      <c r="J12" s="16"/>
      <c r="K12" s="13">
        <v>409.3</v>
      </c>
      <c r="L12" s="13">
        <v>0</v>
      </c>
      <c r="M12" s="158" t="s">
        <v>165</v>
      </c>
    </row>
    <row r="13" spans="1:15" ht="21.5">
      <c r="A13" s="12" t="s">
        <v>129</v>
      </c>
      <c r="B13" s="13">
        <v>3600</v>
      </c>
      <c r="C13" s="13">
        <v>309046</v>
      </c>
      <c r="D13" s="13">
        <v>328144</v>
      </c>
      <c r="E13" s="13">
        <v>112391</v>
      </c>
      <c r="F13" s="16"/>
      <c r="G13" s="13">
        <v>7837681.7000000002</v>
      </c>
      <c r="H13" s="13">
        <v>1786408.2</v>
      </c>
      <c r="I13" s="15">
        <v>2112142.1</v>
      </c>
      <c r="J13" s="16"/>
      <c r="K13" s="15">
        <v>261362.2</v>
      </c>
      <c r="L13" s="13">
        <v>2370.6</v>
      </c>
      <c r="M13" s="158" t="s">
        <v>166</v>
      </c>
      <c r="O13" s="100"/>
    </row>
    <row r="14" spans="1:15" ht="21.5">
      <c r="A14" s="12" t="s">
        <v>130</v>
      </c>
      <c r="B14" s="13">
        <v>268</v>
      </c>
      <c r="C14" s="13">
        <v>18124</v>
      </c>
      <c r="D14" s="13">
        <v>16827</v>
      </c>
      <c r="E14" s="15">
        <v>0</v>
      </c>
      <c r="F14" s="16"/>
      <c r="G14" s="13">
        <v>220405.3</v>
      </c>
      <c r="H14" s="13">
        <v>2845</v>
      </c>
      <c r="I14" s="13">
        <v>1620</v>
      </c>
      <c r="J14" s="16"/>
      <c r="K14" s="13">
        <v>24767.199999999997</v>
      </c>
      <c r="L14" s="13">
        <v>0</v>
      </c>
      <c r="M14" s="158" t="s">
        <v>167</v>
      </c>
      <c r="O14" s="100"/>
    </row>
    <row r="15" spans="1:15">
      <c r="A15" s="12" t="s">
        <v>131</v>
      </c>
      <c r="B15" s="13">
        <v>2888</v>
      </c>
      <c r="C15" s="13">
        <v>230972</v>
      </c>
      <c r="D15" s="13">
        <v>240357</v>
      </c>
      <c r="E15" s="13">
        <v>0</v>
      </c>
      <c r="F15" s="14"/>
      <c r="G15" s="13">
        <v>3848511</v>
      </c>
      <c r="H15" s="13">
        <v>1176595.2</v>
      </c>
      <c r="I15" s="13">
        <v>2880220.8</v>
      </c>
      <c r="J15" s="14"/>
      <c r="K15" s="13">
        <v>26534.600000000006</v>
      </c>
      <c r="L15" s="13">
        <v>5156.2000000000007</v>
      </c>
      <c r="M15" s="100" t="s">
        <v>26</v>
      </c>
      <c r="O15" s="100"/>
    </row>
    <row r="16" spans="1:15" ht="21.5">
      <c r="A16" s="12" t="s">
        <v>132</v>
      </c>
      <c r="B16" s="13">
        <v>54</v>
      </c>
      <c r="C16" s="13">
        <v>1974</v>
      </c>
      <c r="D16" s="13">
        <v>11859</v>
      </c>
      <c r="E16" s="13">
        <v>0</v>
      </c>
      <c r="F16" s="14"/>
      <c r="G16" s="13">
        <v>0</v>
      </c>
      <c r="H16" s="13">
        <v>0</v>
      </c>
      <c r="I16" s="13">
        <v>0</v>
      </c>
      <c r="J16" s="14"/>
      <c r="K16" s="13">
        <v>0</v>
      </c>
      <c r="L16" s="13">
        <v>0</v>
      </c>
      <c r="M16" s="155" t="s">
        <v>168</v>
      </c>
    </row>
    <row r="17" spans="1:14" ht="21.5">
      <c r="A17" s="12" t="s">
        <v>184</v>
      </c>
      <c r="B17" s="13">
        <v>90</v>
      </c>
      <c r="C17" s="13">
        <v>1690</v>
      </c>
      <c r="D17" s="13">
        <v>4707</v>
      </c>
      <c r="E17" s="13">
        <v>0</v>
      </c>
      <c r="F17" s="14"/>
      <c r="G17" s="13">
        <v>0</v>
      </c>
      <c r="H17" s="13">
        <v>0</v>
      </c>
      <c r="I17" s="13">
        <v>0</v>
      </c>
      <c r="J17" s="14"/>
      <c r="K17" s="13">
        <v>0</v>
      </c>
      <c r="L17" s="13">
        <v>0</v>
      </c>
      <c r="M17" s="155" t="s">
        <v>185</v>
      </c>
    </row>
    <row r="18" spans="1:14" ht="21.5">
      <c r="A18" s="12" t="s">
        <v>133</v>
      </c>
      <c r="B18" s="13">
        <v>732</v>
      </c>
      <c r="C18" s="13">
        <v>65338</v>
      </c>
      <c r="D18" s="13">
        <v>73461</v>
      </c>
      <c r="E18" s="13">
        <v>0</v>
      </c>
      <c r="F18" s="14"/>
      <c r="G18" s="13">
        <v>0</v>
      </c>
      <c r="H18" s="13">
        <v>1390</v>
      </c>
      <c r="I18" s="13">
        <v>0</v>
      </c>
      <c r="J18" s="14"/>
      <c r="K18" s="13">
        <v>0</v>
      </c>
      <c r="L18" s="13">
        <v>0</v>
      </c>
      <c r="M18" s="155" t="s">
        <v>169</v>
      </c>
    </row>
    <row r="19" spans="1:14" ht="21.5">
      <c r="A19" s="12" t="s">
        <v>134</v>
      </c>
      <c r="B19" s="13">
        <v>226</v>
      </c>
      <c r="C19" s="13">
        <v>26365</v>
      </c>
      <c r="D19" s="13">
        <v>27345</v>
      </c>
      <c r="E19" s="13">
        <v>2606</v>
      </c>
      <c r="F19" s="14"/>
      <c r="G19" s="13">
        <v>119156.10000000002</v>
      </c>
      <c r="H19" s="13">
        <v>2047</v>
      </c>
      <c r="I19" s="13">
        <v>37720.9</v>
      </c>
      <c r="J19" s="14"/>
      <c r="K19" s="13">
        <v>0</v>
      </c>
      <c r="L19" s="13">
        <v>0</v>
      </c>
      <c r="M19" s="155" t="s">
        <v>105</v>
      </c>
    </row>
    <row r="20" spans="1:14" ht="21.5">
      <c r="A20" s="12" t="s">
        <v>135</v>
      </c>
      <c r="B20" s="13">
        <v>72</v>
      </c>
      <c r="C20" s="13">
        <v>6039</v>
      </c>
      <c r="D20" s="13">
        <v>5783</v>
      </c>
      <c r="E20" s="13">
        <v>2810</v>
      </c>
      <c r="F20" s="14"/>
      <c r="G20" s="13">
        <v>43069.1</v>
      </c>
      <c r="H20" s="13">
        <v>1288</v>
      </c>
      <c r="I20" s="13">
        <v>17088.900000000001</v>
      </c>
      <c r="J20" s="14"/>
      <c r="K20" s="13">
        <v>0</v>
      </c>
      <c r="L20" s="13">
        <v>0</v>
      </c>
      <c r="M20" s="155" t="s">
        <v>170</v>
      </c>
    </row>
    <row r="21" spans="1:14" ht="21.5">
      <c r="A21" s="12" t="s">
        <v>136</v>
      </c>
      <c r="B21" s="13">
        <v>710</v>
      </c>
      <c r="C21" s="13">
        <v>53850</v>
      </c>
      <c r="D21" s="13">
        <v>51215</v>
      </c>
      <c r="E21" s="13">
        <v>0</v>
      </c>
      <c r="F21" s="14"/>
      <c r="G21" s="13">
        <v>190535.3</v>
      </c>
      <c r="H21" s="13">
        <v>33645</v>
      </c>
      <c r="I21" s="13">
        <v>16719.7</v>
      </c>
      <c r="J21" s="14"/>
      <c r="K21" s="13">
        <v>227.3</v>
      </c>
      <c r="L21" s="13">
        <v>0</v>
      </c>
      <c r="M21" s="155" t="s">
        <v>171</v>
      </c>
      <c r="N21" s="100"/>
    </row>
    <row r="22" spans="1:14" ht="21.5">
      <c r="A22" s="12" t="s">
        <v>186</v>
      </c>
      <c r="B22" s="13">
        <v>236</v>
      </c>
      <c r="C22" s="13">
        <v>27852</v>
      </c>
      <c r="D22" s="13">
        <v>27162</v>
      </c>
      <c r="E22" s="13">
        <v>0</v>
      </c>
      <c r="F22" s="14"/>
      <c r="G22" s="13">
        <v>422450</v>
      </c>
      <c r="H22" s="13">
        <v>4</v>
      </c>
      <c r="I22" s="13">
        <v>590282</v>
      </c>
      <c r="J22" s="14"/>
      <c r="K22" s="13">
        <v>0</v>
      </c>
      <c r="L22" s="13">
        <v>0</v>
      </c>
      <c r="M22" s="155" t="s">
        <v>187</v>
      </c>
      <c r="N22" s="100"/>
    </row>
    <row r="23" spans="1:14" ht="21.5">
      <c r="A23" s="12" t="s">
        <v>188</v>
      </c>
      <c r="B23" s="13">
        <v>54</v>
      </c>
      <c r="C23" s="13">
        <v>5859</v>
      </c>
      <c r="D23" s="13">
        <v>5243</v>
      </c>
      <c r="E23" s="13">
        <v>0</v>
      </c>
      <c r="F23" s="14"/>
      <c r="G23" s="13">
        <v>25471.5</v>
      </c>
      <c r="H23" s="13">
        <v>3842.5</v>
      </c>
      <c r="I23" s="13">
        <v>121852.79999999999</v>
      </c>
      <c r="J23" s="14"/>
      <c r="K23" s="13">
        <v>0</v>
      </c>
      <c r="L23" s="13">
        <v>0</v>
      </c>
      <c r="M23" s="155" t="s">
        <v>189</v>
      </c>
      <c r="N23" s="100"/>
    </row>
    <row r="24" spans="1:14" ht="21.5">
      <c r="A24" s="12" t="s">
        <v>190</v>
      </c>
      <c r="B24" s="13">
        <v>196</v>
      </c>
      <c r="C24" s="13">
        <v>7667</v>
      </c>
      <c r="D24" s="13">
        <v>7273</v>
      </c>
      <c r="E24" s="13">
        <v>0</v>
      </c>
      <c r="F24" s="14"/>
      <c r="G24" s="13">
        <v>61534.5</v>
      </c>
      <c r="H24" s="13">
        <v>3333</v>
      </c>
      <c r="I24" s="13">
        <v>19278.099999999999</v>
      </c>
      <c r="J24" s="14"/>
      <c r="K24" s="13">
        <v>0</v>
      </c>
      <c r="L24" s="13">
        <v>0</v>
      </c>
      <c r="M24" s="155" t="s">
        <v>191</v>
      </c>
      <c r="N24" s="100"/>
    </row>
    <row r="25" spans="1:14">
      <c r="A25" s="12" t="s">
        <v>137</v>
      </c>
      <c r="B25" s="13">
        <v>276</v>
      </c>
      <c r="C25" s="13">
        <v>38313</v>
      </c>
      <c r="D25" s="13">
        <v>38813</v>
      </c>
      <c r="E25" s="13">
        <v>0</v>
      </c>
      <c r="F25" s="14"/>
      <c r="G25" s="13">
        <v>353667.7</v>
      </c>
      <c r="H25" s="13">
        <v>79162.5</v>
      </c>
      <c r="I25" s="13">
        <v>283853.3</v>
      </c>
      <c r="J25" s="14"/>
      <c r="K25" s="13">
        <v>8510.1</v>
      </c>
      <c r="L25" s="13">
        <v>0</v>
      </c>
      <c r="M25" s="100" t="s">
        <v>27</v>
      </c>
    </row>
    <row r="26" spans="1:14">
      <c r="A26" s="12" t="s">
        <v>138</v>
      </c>
      <c r="B26" s="13">
        <v>488</v>
      </c>
      <c r="C26" s="13">
        <v>52024</v>
      </c>
      <c r="D26" s="13">
        <v>53002</v>
      </c>
      <c r="E26" s="13">
        <v>0</v>
      </c>
      <c r="F26" s="14"/>
      <c r="G26" s="13">
        <v>407568.89999999991</v>
      </c>
      <c r="H26" s="13">
        <v>175414.5</v>
      </c>
      <c r="I26" s="13">
        <v>1498634.6</v>
      </c>
      <c r="J26" s="14"/>
      <c r="K26" s="13">
        <v>3221.6</v>
      </c>
      <c r="L26" s="13">
        <v>0</v>
      </c>
      <c r="M26" s="100" t="s">
        <v>28</v>
      </c>
    </row>
    <row r="27" spans="1:14" ht="21.5">
      <c r="A27" s="12" t="s">
        <v>139</v>
      </c>
      <c r="B27" s="13">
        <v>1098</v>
      </c>
      <c r="C27" s="13">
        <v>93590</v>
      </c>
      <c r="D27" s="13">
        <v>92701</v>
      </c>
      <c r="E27" s="13">
        <v>35587</v>
      </c>
      <c r="F27" s="14"/>
      <c r="G27" s="13">
        <v>1780539.6999999997</v>
      </c>
      <c r="H27" s="13">
        <v>653953</v>
      </c>
      <c r="I27" s="13">
        <v>164582.39999999999</v>
      </c>
      <c r="J27" s="14"/>
      <c r="K27" s="13">
        <v>9583.6</v>
      </c>
      <c r="L27" s="13">
        <v>0</v>
      </c>
      <c r="M27" s="155" t="s">
        <v>35</v>
      </c>
    </row>
    <row r="28" spans="1:14">
      <c r="A28" s="12" t="s">
        <v>140</v>
      </c>
      <c r="B28" s="13">
        <v>676</v>
      </c>
      <c r="C28" s="13">
        <v>110340</v>
      </c>
      <c r="D28" s="13">
        <v>109177</v>
      </c>
      <c r="E28" s="13">
        <v>0</v>
      </c>
      <c r="F28" s="14"/>
      <c r="G28" s="13">
        <v>25558.899999999998</v>
      </c>
      <c r="H28" s="13">
        <v>150711.29999999999</v>
      </c>
      <c r="I28" s="13">
        <v>1415206.2</v>
      </c>
      <c r="J28" s="14"/>
      <c r="K28" s="13">
        <v>297.8</v>
      </c>
      <c r="L28" s="13">
        <v>0</v>
      </c>
      <c r="M28" s="100" t="s">
        <v>29</v>
      </c>
    </row>
    <row r="29" spans="1:14" ht="21.5">
      <c r="A29" s="12" t="s">
        <v>141</v>
      </c>
      <c r="B29" s="13">
        <v>1460</v>
      </c>
      <c r="C29" s="13">
        <v>31018</v>
      </c>
      <c r="D29" s="13">
        <v>27513</v>
      </c>
      <c r="E29" s="13">
        <v>62684</v>
      </c>
      <c r="F29" s="14"/>
      <c r="G29" s="13">
        <v>407742.6</v>
      </c>
      <c r="H29" s="13">
        <v>68964</v>
      </c>
      <c r="I29" s="13">
        <v>43829.1</v>
      </c>
      <c r="J29" s="14"/>
      <c r="K29" s="13">
        <v>0</v>
      </c>
      <c r="L29" s="13">
        <v>0</v>
      </c>
      <c r="M29" s="155" t="s">
        <v>104</v>
      </c>
    </row>
    <row r="30" spans="1:14">
      <c r="A30" s="12" t="s">
        <v>142</v>
      </c>
      <c r="B30" s="13">
        <v>188</v>
      </c>
      <c r="C30" s="13">
        <v>25090</v>
      </c>
      <c r="D30" s="13">
        <v>25307</v>
      </c>
      <c r="E30" s="13">
        <v>0</v>
      </c>
      <c r="F30" s="14"/>
      <c r="G30" s="13">
        <v>100563.20000000001</v>
      </c>
      <c r="H30" s="13">
        <v>0</v>
      </c>
      <c r="I30" s="13">
        <v>37024.5</v>
      </c>
      <c r="J30" s="14"/>
      <c r="K30" s="13">
        <v>0</v>
      </c>
      <c r="L30" s="13">
        <v>0</v>
      </c>
      <c r="M30" s="100" t="s">
        <v>30</v>
      </c>
    </row>
    <row r="31" spans="1:14" ht="21.5">
      <c r="A31" s="12" t="s">
        <v>143</v>
      </c>
      <c r="B31" s="13">
        <v>190</v>
      </c>
      <c r="C31" s="13">
        <v>9448</v>
      </c>
      <c r="D31" s="13">
        <v>10124</v>
      </c>
      <c r="E31" s="13">
        <v>0</v>
      </c>
      <c r="F31" s="14"/>
      <c r="G31" s="13">
        <v>228303.80000000002</v>
      </c>
      <c r="H31" s="13">
        <v>11399</v>
      </c>
      <c r="I31" s="13">
        <v>5611.6</v>
      </c>
      <c r="J31" s="14"/>
      <c r="K31" s="13">
        <v>62.199999999999996</v>
      </c>
      <c r="L31" s="13">
        <v>0</v>
      </c>
      <c r="M31" s="155" t="s">
        <v>36</v>
      </c>
      <c r="N31" s="155"/>
    </row>
    <row r="32" spans="1:14" ht="21.5">
      <c r="A32" s="12" t="s">
        <v>192</v>
      </c>
      <c r="B32" s="13">
        <v>458</v>
      </c>
      <c r="C32" s="13">
        <v>39639</v>
      </c>
      <c r="D32" s="13">
        <v>41238</v>
      </c>
      <c r="E32" s="13">
        <v>196</v>
      </c>
      <c r="F32" s="14"/>
      <c r="G32" s="13">
        <v>1560040.9</v>
      </c>
      <c r="H32" s="13">
        <v>13654</v>
      </c>
      <c r="I32" s="13">
        <v>1722300.4</v>
      </c>
      <c r="J32" s="14"/>
      <c r="K32" s="13">
        <v>0</v>
      </c>
      <c r="L32" s="13">
        <v>0</v>
      </c>
      <c r="M32" s="155" t="s">
        <v>193</v>
      </c>
      <c r="N32" s="101"/>
    </row>
    <row r="33" spans="1:17" ht="21.5">
      <c r="A33" s="12" t="s">
        <v>194</v>
      </c>
      <c r="B33" s="13">
        <v>114</v>
      </c>
      <c r="C33" s="13">
        <v>9682</v>
      </c>
      <c r="D33" s="13">
        <v>9588</v>
      </c>
      <c r="E33" s="13">
        <v>0</v>
      </c>
      <c r="F33" s="14"/>
      <c r="G33" s="13">
        <v>22484</v>
      </c>
      <c r="H33" s="13">
        <v>0</v>
      </c>
      <c r="I33" s="13">
        <v>0</v>
      </c>
      <c r="J33" s="14"/>
      <c r="K33" s="13">
        <v>0</v>
      </c>
      <c r="L33" s="13">
        <v>0</v>
      </c>
      <c r="M33" s="155" t="s">
        <v>195</v>
      </c>
      <c r="N33" s="101"/>
    </row>
    <row r="34" spans="1:17" ht="21.5">
      <c r="A34" s="12" t="s">
        <v>144</v>
      </c>
      <c r="B34" s="13">
        <v>1140</v>
      </c>
      <c r="C34" s="13">
        <v>59517</v>
      </c>
      <c r="D34" s="13">
        <v>61986</v>
      </c>
      <c r="E34" s="13">
        <v>0</v>
      </c>
      <c r="F34" s="14"/>
      <c r="G34" s="13">
        <v>507205.20000000007</v>
      </c>
      <c r="H34" s="13">
        <v>9369</v>
      </c>
      <c r="I34" s="15">
        <v>14532</v>
      </c>
      <c r="J34" s="16"/>
      <c r="K34" s="13">
        <v>2</v>
      </c>
      <c r="L34" s="15">
        <v>445.20000000000005</v>
      </c>
      <c r="M34" s="155" t="s">
        <v>32</v>
      </c>
      <c r="N34" s="101"/>
      <c r="O34" s="17"/>
    </row>
    <row r="35" spans="1:17" ht="21.5">
      <c r="A35" s="18" t="s">
        <v>145</v>
      </c>
      <c r="B35" s="16">
        <v>900</v>
      </c>
      <c r="C35" s="16">
        <v>67691</v>
      </c>
      <c r="D35" s="15">
        <v>67180</v>
      </c>
      <c r="E35" s="15">
        <v>0</v>
      </c>
      <c r="F35" s="16"/>
      <c r="G35" s="15">
        <v>300915.3</v>
      </c>
      <c r="H35" s="15">
        <v>25253</v>
      </c>
      <c r="I35" s="15">
        <v>27270.5</v>
      </c>
      <c r="J35" s="16"/>
      <c r="K35" s="15">
        <v>6.2</v>
      </c>
      <c r="L35" s="15">
        <v>0</v>
      </c>
      <c r="M35" s="154" t="s">
        <v>34</v>
      </c>
      <c r="O35" s="19"/>
    </row>
    <row r="36" spans="1:17" ht="21.5">
      <c r="A36" s="12" t="s">
        <v>146</v>
      </c>
      <c r="B36" s="13">
        <v>1254</v>
      </c>
      <c r="C36" s="13">
        <v>76657</v>
      </c>
      <c r="D36" s="13">
        <v>78549</v>
      </c>
      <c r="E36" s="13">
        <v>45620</v>
      </c>
      <c r="F36" s="14"/>
      <c r="G36" s="13">
        <v>1740452.0999999999</v>
      </c>
      <c r="H36" s="13">
        <v>718248.6</v>
      </c>
      <c r="I36" s="13">
        <v>472951.4</v>
      </c>
      <c r="J36" s="14"/>
      <c r="K36" s="13">
        <v>9734.6999999999989</v>
      </c>
      <c r="L36" s="13">
        <v>442.1</v>
      </c>
      <c r="M36" s="156" t="s">
        <v>33</v>
      </c>
    </row>
    <row r="37" spans="1:17" ht="21.5">
      <c r="A37" s="20" t="s">
        <v>147</v>
      </c>
      <c r="B37" s="14">
        <v>2690</v>
      </c>
      <c r="C37" s="14">
        <v>121549</v>
      </c>
      <c r="D37" s="13">
        <v>111214</v>
      </c>
      <c r="E37" s="14">
        <v>38307</v>
      </c>
      <c r="F37" s="14"/>
      <c r="G37" s="14">
        <v>1557675</v>
      </c>
      <c r="H37" s="14">
        <v>198381.4</v>
      </c>
      <c r="I37" s="14">
        <v>314188.80000000005</v>
      </c>
      <c r="J37" s="14"/>
      <c r="K37" s="14">
        <v>842.7</v>
      </c>
      <c r="L37" s="14">
        <v>0</v>
      </c>
      <c r="M37" s="155" t="s">
        <v>117</v>
      </c>
      <c r="O37" s="21"/>
    </row>
    <row r="38" spans="1:17" ht="21.5">
      <c r="A38" s="22" t="s">
        <v>148</v>
      </c>
      <c r="B38" s="14">
        <v>136</v>
      </c>
      <c r="C38" s="14">
        <v>13620</v>
      </c>
      <c r="D38" s="13">
        <v>14087</v>
      </c>
      <c r="E38" s="14">
        <v>0</v>
      </c>
      <c r="F38" s="14"/>
      <c r="G38" s="14">
        <v>59846.1</v>
      </c>
      <c r="H38" s="14">
        <v>57841</v>
      </c>
      <c r="I38" s="14">
        <v>68707.5</v>
      </c>
      <c r="J38" s="14"/>
      <c r="K38" s="14">
        <v>104.1</v>
      </c>
      <c r="L38" s="14">
        <v>5.4</v>
      </c>
      <c r="M38" s="155" t="s">
        <v>118</v>
      </c>
    </row>
    <row r="39" spans="1:17" ht="21.5">
      <c r="A39" s="22" t="s">
        <v>196</v>
      </c>
      <c r="B39" s="14">
        <v>316</v>
      </c>
      <c r="C39" s="14">
        <v>17346</v>
      </c>
      <c r="D39" s="13">
        <v>15649</v>
      </c>
      <c r="E39" s="14">
        <v>148</v>
      </c>
      <c r="F39" s="14"/>
      <c r="G39" s="14">
        <v>23090</v>
      </c>
      <c r="H39" s="14">
        <v>0</v>
      </c>
      <c r="I39" s="14">
        <v>8939.7000000000007</v>
      </c>
      <c r="J39" s="14"/>
      <c r="K39" s="14">
        <v>0</v>
      </c>
      <c r="L39" s="14">
        <v>0</v>
      </c>
      <c r="M39" s="155" t="s">
        <v>197</v>
      </c>
    </row>
    <row r="40" spans="1:17" ht="21.5">
      <c r="A40" s="20" t="s">
        <v>149</v>
      </c>
      <c r="B40" s="14">
        <v>94</v>
      </c>
      <c r="C40" s="14">
        <v>9816</v>
      </c>
      <c r="D40" s="13">
        <v>9922</v>
      </c>
      <c r="E40" s="14">
        <v>0</v>
      </c>
      <c r="F40" s="14"/>
      <c r="G40" s="14">
        <v>37474.100000000006</v>
      </c>
      <c r="H40" s="14">
        <v>990</v>
      </c>
      <c r="I40" s="14">
        <v>212.5</v>
      </c>
      <c r="J40" s="14"/>
      <c r="K40" s="14">
        <v>20.3</v>
      </c>
      <c r="L40" s="14">
        <v>0</v>
      </c>
      <c r="M40" s="155" t="s">
        <v>179</v>
      </c>
    </row>
    <row r="41" spans="1:17" ht="21.5">
      <c r="A41" s="20" t="s">
        <v>150</v>
      </c>
      <c r="B41" s="14">
        <v>2454</v>
      </c>
      <c r="C41" s="14">
        <v>213556</v>
      </c>
      <c r="D41" s="13">
        <v>210287</v>
      </c>
      <c r="E41" s="14">
        <v>0</v>
      </c>
      <c r="F41" s="14"/>
      <c r="G41" s="14">
        <v>3016534.6</v>
      </c>
      <c r="H41" s="14">
        <v>5629</v>
      </c>
      <c r="I41" s="14">
        <v>17606.2</v>
      </c>
      <c r="J41" s="14"/>
      <c r="K41" s="14">
        <v>6180.7</v>
      </c>
      <c r="L41" s="14">
        <v>0</v>
      </c>
      <c r="M41" s="155" t="s">
        <v>175</v>
      </c>
    </row>
    <row r="42" spans="1:17" ht="21.5">
      <c r="A42" s="20" t="s">
        <v>151</v>
      </c>
      <c r="B42" s="14">
        <v>172</v>
      </c>
      <c r="C42" s="14">
        <v>5978</v>
      </c>
      <c r="D42" s="13">
        <v>5691</v>
      </c>
      <c r="E42" s="14">
        <v>0</v>
      </c>
      <c r="F42" s="14"/>
      <c r="G42" s="14">
        <v>269870.90000000002</v>
      </c>
      <c r="H42" s="14">
        <v>64189.5</v>
      </c>
      <c r="I42" s="14">
        <v>51136.5</v>
      </c>
      <c r="J42" s="14"/>
      <c r="K42" s="14">
        <v>429.2</v>
      </c>
      <c r="L42" s="14">
        <v>0</v>
      </c>
      <c r="M42" s="155" t="s">
        <v>119</v>
      </c>
    </row>
    <row r="43" spans="1:17" ht="21.5">
      <c r="A43" s="20" t="s">
        <v>152</v>
      </c>
      <c r="B43" s="23">
        <v>356</v>
      </c>
      <c r="C43" s="23">
        <v>18677</v>
      </c>
      <c r="D43" s="24">
        <v>18523</v>
      </c>
      <c r="E43" s="23">
        <v>12018</v>
      </c>
      <c r="F43" s="23"/>
      <c r="G43" s="23">
        <v>119339.9</v>
      </c>
      <c r="H43" s="23">
        <v>23283.200000000001</v>
      </c>
      <c r="I43" s="23">
        <v>24813.599999999999</v>
      </c>
      <c r="J43" s="23"/>
      <c r="K43" s="23">
        <v>224.3</v>
      </c>
      <c r="L43" s="23">
        <v>0</v>
      </c>
      <c r="M43" s="155" t="s">
        <v>31</v>
      </c>
    </row>
    <row r="44" spans="1:17" ht="21.5">
      <c r="A44" s="20" t="s">
        <v>153</v>
      </c>
      <c r="B44" s="23">
        <v>912</v>
      </c>
      <c r="C44" s="23">
        <v>63927</v>
      </c>
      <c r="D44" s="24">
        <v>58487</v>
      </c>
      <c r="E44" s="23">
        <v>0</v>
      </c>
      <c r="F44" s="23"/>
      <c r="G44" s="23">
        <v>254055.10000000003</v>
      </c>
      <c r="H44" s="23">
        <v>10974</v>
      </c>
      <c r="I44" s="23">
        <v>58933.1</v>
      </c>
      <c r="J44" s="23"/>
      <c r="K44" s="23">
        <v>5652.5999999999995</v>
      </c>
      <c r="L44" s="23">
        <v>0</v>
      </c>
      <c r="M44" s="155" t="s">
        <v>172</v>
      </c>
      <c r="Q44" s="155"/>
    </row>
    <row r="45" spans="1:17" ht="21.5">
      <c r="A45" s="20" t="s">
        <v>154</v>
      </c>
      <c r="B45" s="23">
        <v>442</v>
      </c>
      <c r="C45" s="23">
        <v>30419</v>
      </c>
      <c r="D45" s="24">
        <v>31489</v>
      </c>
      <c r="E45" s="23">
        <v>0</v>
      </c>
      <c r="F45" s="23"/>
      <c r="G45" s="23">
        <v>349364.8</v>
      </c>
      <c r="H45" s="23">
        <v>711</v>
      </c>
      <c r="I45" s="23">
        <v>2027</v>
      </c>
      <c r="J45" s="23"/>
      <c r="K45" s="23">
        <v>0</v>
      </c>
      <c r="L45" s="23">
        <v>0</v>
      </c>
      <c r="M45" s="155" t="s">
        <v>173</v>
      </c>
      <c r="N45" s="155"/>
    </row>
    <row r="46" spans="1:17" ht="21.5">
      <c r="A46" s="20" t="s">
        <v>155</v>
      </c>
      <c r="B46" s="23">
        <v>114</v>
      </c>
      <c r="C46" s="23">
        <v>12954</v>
      </c>
      <c r="D46" s="23">
        <v>13391</v>
      </c>
      <c r="E46" s="23">
        <v>0</v>
      </c>
      <c r="F46" s="23"/>
      <c r="G46" s="23">
        <v>91217.4</v>
      </c>
      <c r="H46" s="23">
        <v>14978</v>
      </c>
      <c r="I46" s="23">
        <v>48260.600000000006</v>
      </c>
      <c r="J46" s="23"/>
      <c r="K46" s="23">
        <v>0.2</v>
      </c>
      <c r="L46" s="23">
        <v>0</v>
      </c>
      <c r="M46" s="155" t="s">
        <v>181</v>
      </c>
    </row>
    <row r="47" spans="1:17" ht="21.5">
      <c r="A47" s="20" t="s">
        <v>156</v>
      </c>
      <c r="B47" s="23">
        <v>234</v>
      </c>
      <c r="C47" s="23">
        <v>36489</v>
      </c>
      <c r="D47" s="23">
        <v>36731</v>
      </c>
      <c r="E47" s="23">
        <v>0</v>
      </c>
      <c r="F47" s="23"/>
      <c r="G47" s="23">
        <v>154871.6</v>
      </c>
      <c r="H47" s="23">
        <v>2543</v>
      </c>
      <c r="I47" s="23">
        <v>253241.9</v>
      </c>
      <c r="J47" s="23"/>
      <c r="K47" s="23">
        <v>0</v>
      </c>
      <c r="L47" s="23">
        <v>0</v>
      </c>
      <c r="M47" s="155" t="s">
        <v>174</v>
      </c>
    </row>
    <row r="48" spans="1:17" ht="21.5">
      <c r="A48" s="20" t="s">
        <v>198</v>
      </c>
      <c r="B48" s="23">
        <v>66</v>
      </c>
      <c r="C48" s="23">
        <v>411</v>
      </c>
      <c r="D48" s="23">
        <v>328</v>
      </c>
      <c r="E48" s="23">
        <v>0</v>
      </c>
      <c r="F48" s="23"/>
      <c r="G48" s="23">
        <v>0</v>
      </c>
      <c r="H48" s="23">
        <v>0</v>
      </c>
      <c r="I48" s="23">
        <v>0</v>
      </c>
      <c r="J48" s="23"/>
      <c r="K48" s="23">
        <v>0</v>
      </c>
      <c r="L48" s="23">
        <v>0</v>
      </c>
      <c r="M48" s="155" t="s">
        <v>199</v>
      </c>
      <c r="N48" s="155"/>
    </row>
    <row r="49" spans="1:16">
      <c r="A49" s="10" t="s">
        <v>37</v>
      </c>
      <c r="B49" s="25">
        <f>SUM(B50:B61)</f>
        <v>332</v>
      </c>
      <c r="C49" s="25">
        <f>SUM(C50:C61)</f>
        <v>24641</v>
      </c>
      <c r="D49" s="25">
        <f>SUM(D50:D61)</f>
        <v>23027</v>
      </c>
      <c r="E49" s="25">
        <f>SUM(E50:E61)</f>
        <v>0</v>
      </c>
      <c r="F49" s="25"/>
      <c r="G49" s="25">
        <f>SUM(G50:G61)</f>
        <v>914.9</v>
      </c>
      <c r="H49" s="25">
        <f>SUM(H50:H61)</f>
        <v>0</v>
      </c>
      <c r="I49" s="25">
        <f>SUM(I50:I61)</f>
        <v>4754.8999999999996</v>
      </c>
      <c r="J49" s="25"/>
      <c r="K49" s="25">
        <f>SUM(K50:K61)</f>
        <v>0</v>
      </c>
      <c r="L49" s="25">
        <f>SUM(L50:L61)</f>
        <v>0</v>
      </c>
      <c r="M49" s="98" t="s">
        <v>38</v>
      </c>
    </row>
    <row r="50" spans="1:16" ht="21.5">
      <c r="A50" s="12" t="s">
        <v>157</v>
      </c>
      <c r="B50" s="23">
        <v>2</v>
      </c>
      <c r="C50" s="23">
        <v>0</v>
      </c>
      <c r="D50" s="24">
        <v>66</v>
      </c>
      <c r="E50" s="23">
        <v>0</v>
      </c>
      <c r="F50" s="23"/>
      <c r="G50" s="23">
        <v>0</v>
      </c>
      <c r="H50" s="23">
        <v>0</v>
      </c>
      <c r="I50" s="23">
        <v>0</v>
      </c>
      <c r="J50" s="23"/>
      <c r="K50" s="23">
        <v>0</v>
      </c>
      <c r="L50" s="23">
        <v>0</v>
      </c>
      <c r="M50" s="155" t="s">
        <v>180</v>
      </c>
    </row>
    <row r="51" spans="1:16" ht="21.5">
      <c r="A51" s="12" t="s">
        <v>158</v>
      </c>
      <c r="B51" s="23">
        <v>154</v>
      </c>
      <c r="C51" s="23">
        <v>11536</v>
      </c>
      <c r="D51" s="24">
        <v>11458</v>
      </c>
      <c r="E51" s="23">
        <v>0</v>
      </c>
      <c r="F51" s="23"/>
      <c r="G51" s="23">
        <v>344.9</v>
      </c>
      <c r="H51" s="23">
        <v>0</v>
      </c>
      <c r="I51" s="23">
        <v>1922.9</v>
      </c>
      <c r="J51" s="23"/>
      <c r="K51" s="23">
        <v>0</v>
      </c>
      <c r="L51" s="23">
        <v>0</v>
      </c>
      <c r="M51" s="155" t="s">
        <v>120</v>
      </c>
      <c r="P51" s="155"/>
    </row>
    <row r="52" spans="1:16" ht="21.5">
      <c r="A52" s="18" t="s">
        <v>159</v>
      </c>
      <c r="B52" s="23">
        <v>18</v>
      </c>
      <c r="C52" s="23">
        <v>2278</v>
      </c>
      <c r="D52" s="24">
        <v>2273</v>
      </c>
      <c r="E52" s="23">
        <v>0</v>
      </c>
      <c r="F52" s="23"/>
      <c r="G52" s="23">
        <v>570</v>
      </c>
      <c r="H52" s="23">
        <v>0</v>
      </c>
      <c r="I52" s="23">
        <v>2832</v>
      </c>
      <c r="J52" s="23"/>
      <c r="K52" s="23">
        <v>0</v>
      </c>
      <c r="L52" s="23">
        <v>0</v>
      </c>
      <c r="M52" s="155" t="s">
        <v>177</v>
      </c>
    </row>
    <row r="53" spans="1:16" ht="21.5">
      <c r="A53" s="18" t="s">
        <v>200</v>
      </c>
      <c r="B53" s="23">
        <v>4</v>
      </c>
      <c r="C53" s="23">
        <v>35</v>
      </c>
      <c r="D53" s="24">
        <v>33</v>
      </c>
      <c r="E53" s="23">
        <v>0</v>
      </c>
      <c r="F53" s="23"/>
      <c r="G53" s="23">
        <v>0</v>
      </c>
      <c r="H53" s="23">
        <v>0</v>
      </c>
      <c r="I53" s="23">
        <v>0</v>
      </c>
      <c r="J53" s="23"/>
      <c r="K53" s="23">
        <v>0</v>
      </c>
      <c r="L53" s="23">
        <v>0</v>
      </c>
      <c r="M53" s="155" t="s">
        <v>201</v>
      </c>
    </row>
    <row r="54" spans="1:16" ht="21.5">
      <c r="A54" s="12" t="s">
        <v>202</v>
      </c>
      <c r="B54" s="23">
        <v>20</v>
      </c>
      <c r="C54" s="23">
        <v>1200</v>
      </c>
      <c r="D54" s="24">
        <v>1117</v>
      </c>
      <c r="E54" s="23">
        <v>0</v>
      </c>
      <c r="F54" s="23"/>
      <c r="G54" s="23">
        <v>0</v>
      </c>
      <c r="H54" s="23">
        <v>0</v>
      </c>
      <c r="I54" s="23">
        <v>0</v>
      </c>
      <c r="J54" s="23"/>
      <c r="K54" s="23">
        <v>0</v>
      </c>
      <c r="L54" s="23">
        <v>0</v>
      </c>
      <c r="M54" s="155" t="s">
        <v>203</v>
      </c>
    </row>
    <row r="55" spans="1:16" ht="21.5">
      <c r="A55" s="18" t="s">
        <v>160</v>
      </c>
      <c r="B55" s="23">
        <v>24</v>
      </c>
      <c r="C55" s="23">
        <v>1118</v>
      </c>
      <c r="D55" s="24">
        <v>1172</v>
      </c>
      <c r="E55" s="23">
        <v>0</v>
      </c>
      <c r="F55" s="23"/>
      <c r="G55" s="23">
        <v>0</v>
      </c>
      <c r="H55" s="23">
        <v>0</v>
      </c>
      <c r="I55" s="23">
        <v>0</v>
      </c>
      <c r="J55" s="23"/>
      <c r="K55" s="23">
        <v>0</v>
      </c>
      <c r="L55" s="23">
        <v>0</v>
      </c>
      <c r="M55" s="155" t="s">
        <v>121</v>
      </c>
    </row>
    <row r="56" spans="1:16" ht="21.5">
      <c r="A56" s="18" t="s">
        <v>161</v>
      </c>
      <c r="B56" s="23">
        <v>28</v>
      </c>
      <c r="C56" s="23">
        <v>1772</v>
      </c>
      <c r="D56" s="24">
        <v>709</v>
      </c>
      <c r="E56" s="23">
        <v>0</v>
      </c>
      <c r="F56" s="23"/>
      <c r="G56" s="23">
        <v>0</v>
      </c>
      <c r="H56" s="23">
        <v>0</v>
      </c>
      <c r="I56" s="23">
        <v>0</v>
      </c>
      <c r="J56" s="23"/>
      <c r="K56" s="23">
        <v>0</v>
      </c>
      <c r="L56" s="23">
        <v>0</v>
      </c>
      <c r="M56" s="155" t="s">
        <v>176</v>
      </c>
    </row>
    <row r="57" spans="1:16" ht="21.5">
      <c r="A57" s="12" t="s">
        <v>162</v>
      </c>
      <c r="B57" s="23">
        <v>56</v>
      </c>
      <c r="C57" s="23">
        <v>4765</v>
      </c>
      <c r="D57" s="24">
        <v>4623</v>
      </c>
      <c r="E57" s="23">
        <v>0</v>
      </c>
      <c r="F57" s="23"/>
      <c r="G57" s="23">
        <v>0</v>
      </c>
      <c r="H57" s="23">
        <v>0</v>
      </c>
      <c r="I57" s="23">
        <v>0</v>
      </c>
      <c r="J57" s="23"/>
      <c r="K57" s="23">
        <v>0</v>
      </c>
      <c r="L57" s="23">
        <v>0</v>
      </c>
      <c r="M57" s="155" t="s">
        <v>122</v>
      </c>
    </row>
    <row r="58" spans="1:16" ht="21.5">
      <c r="A58" s="12" t="s">
        <v>204</v>
      </c>
      <c r="B58" s="23">
        <v>4</v>
      </c>
      <c r="C58" s="23">
        <v>283</v>
      </c>
      <c r="D58" s="24">
        <v>274</v>
      </c>
      <c r="E58" s="23">
        <v>0</v>
      </c>
      <c r="F58" s="23"/>
      <c r="G58" s="23">
        <v>0</v>
      </c>
      <c r="H58" s="23">
        <v>0</v>
      </c>
      <c r="I58" s="23">
        <v>0</v>
      </c>
      <c r="J58" s="23"/>
      <c r="K58" s="23">
        <v>0</v>
      </c>
      <c r="L58" s="23">
        <v>0</v>
      </c>
      <c r="M58" s="155" t="s">
        <v>205</v>
      </c>
    </row>
    <row r="59" spans="1:16" ht="21.5">
      <c r="A59" s="18" t="s">
        <v>163</v>
      </c>
      <c r="B59" s="23">
        <v>18</v>
      </c>
      <c r="C59" s="23">
        <v>1380</v>
      </c>
      <c r="D59" s="24">
        <v>1208</v>
      </c>
      <c r="E59" s="23">
        <v>0</v>
      </c>
      <c r="F59" s="23"/>
      <c r="G59" s="23">
        <v>0</v>
      </c>
      <c r="H59" s="23">
        <v>0</v>
      </c>
      <c r="I59" s="23">
        <v>0</v>
      </c>
      <c r="J59" s="23"/>
      <c r="K59" s="23">
        <v>0</v>
      </c>
      <c r="L59" s="23">
        <v>0</v>
      </c>
      <c r="M59" s="155" t="s">
        <v>123</v>
      </c>
    </row>
    <row r="60" spans="1:16" ht="21.5">
      <c r="A60" s="18" t="s">
        <v>206</v>
      </c>
      <c r="B60" s="23">
        <v>2</v>
      </c>
      <c r="C60" s="23">
        <v>210</v>
      </c>
      <c r="D60" s="24">
        <v>30</v>
      </c>
      <c r="E60" s="23">
        <v>0</v>
      </c>
      <c r="F60" s="23"/>
      <c r="G60" s="23">
        <v>0</v>
      </c>
      <c r="H60" s="23">
        <v>0</v>
      </c>
      <c r="I60" s="23">
        <v>0</v>
      </c>
      <c r="J60" s="23"/>
      <c r="K60" s="23">
        <v>0</v>
      </c>
      <c r="L60" s="23">
        <v>0</v>
      </c>
      <c r="M60" s="155" t="s">
        <v>207</v>
      </c>
    </row>
    <row r="61" spans="1:16" ht="21.5">
      <c r="A61" s="18" t="s">
        <v>164</v>
      </c>
      <c r="B61" s="23">
        <v>2</v>
      </c>
      <c r="C61" s="23">
        <v>64</v>
      </c>
      <c r="D61" s="24">
        <v>64</v>
      </c>
      <c r="E61" s="23">
        <v>0</v>
      </c>
      <c r="F61" s="23"/>
      <c r="G61" s="23">
        <v>0</v>
      </c>
      <c r="H61" s="23">
        <v>0</v>
      </c>
      <c r="I61" s="23">
        <v>0</v>
      </c>
      <c r="J61" s="23"/>
      <c r="K61" s="23">
        <v>0</v>
      </c>
      <c r="L61" s="23">
        <v>0</v>
      </c>
      <c r="M61" s="155" t="s">
        <v>178</v>
      </c>
    </row>
    <row r="62" spans="1:16">
      <c r="A62" s="10" t="s">
        <v>39</v>
      </c>
      <c r="B62" s="159"/>
      <c r="C62" s="159"/>
      <c r="D62" s="160"/>
      <c r="E62" s="159"/>
      <c r="F62" s="159"/>
      <c r="G62" s="159"/>
      <c r="H62" s="159"/>
      <c r="I62" s="159"/>
      <c r="J62" s="159"/>
      <c r="K62" s="159"/>
      <c r="L62" s="159"/>
      <c r="M62" s="102" t="s">
        <v>40</v>
      </c>
    </row>
    <row r="63" spans="1:16">
      <c r="A63" s="10" t="s">
        <v>41</v>
      </c>
      <c r="B63" s="25">
        <v>2218</v>
      </c>
      <c r="C63" s="25">
        <v>4068</v>
      </c>
      <c r="D63" s="25">
        <v>2648</v>
      </c>
      <c r="E63" s="25">
        <v>244</v>
      </c>
      <c r="F63" s="25"/>
      <c r="G63" s="25">
        <v>0</v>
      </c>
      <c r="H63" s="25">
        <v>0</v>
      </c>
      <c r="I63" s="25">
        <v>0</v>
      </c>
      <c r="J63" s="25"/>
      <c r="K63" s="25">
        <v>0</v>
      </c>
      <c r="L63" s="25">
        <v>0</v>
      </c>
      <c r="M63" s="102" t="s">
        <v>42</v>
      </c>
    </row>
    <row r="64" spans="1:16">
      <c r="A64" s="26" t="s">
        <v>43</v>
      </c>
      <c r="B64" s="27">
        <v>20576</v>
      </c>
      <c r="C64" s="27">
        <v>395015</v>
      </c>
      <c r="D64" s="28">
        <v>399130</v>
      </c>
      <c r="E64" s="27">
        <v>35</v>
      </c>
      <c r="F64" s="27"/>
      <c r="G64" s="27">
        <v>250246.99999999994</v>
      </c>
      <c r="H64" s="27">
        <v>507760</v>
      </c>
      <c r="I64" s="27">
        <v>61139.1</v>
      </c>
      <c r="J64" s="27"/>
      <c r="K64" s="27">
        <v>1196.0999999999997</v>
      </c>
      <c r="L64" s="27">
        <v>9608.1000000000022</v>
      </c>
      <c r="M64" s="103" t="s">
        <v>44</v>
      </c>
    </row>
    <row r="65" spans="1:58" ht="21.5">
      <c r="A65" s="29" t="s">
        <v>45</v>
      </c>
      <c r="B65" s="14">
        <v>4290</v>
      </c>
      <c r="C65" s="14">
        <v>94497</v>
      </c>
      <c r="D65" s="13">
        <v>101256</v>
      </c>
      <c r="E65" s="14">
        <v>0</v>
      </c>
      <c r="F65" s="14"/>
      <c r="G65" s="14">
        <v>0</v>
      </c>
      <c r="H65" s="14">
        <v>0</v>
      </c>
      <c r="I65" s="14">
        <v>0</v>
      </c>
      <c r="J65" s="14"/>
      <c r="K65" s="14">
        <v>0</v>
      </c>
      <c r="L65" s="14">
        <v>0</v>
      </c>
      <c r="M65" s="157" t="s">
        <v>46</v>
      </c>
    </row>
    <row r="66" spans="1:58" ht="21.5">
      <c r="A66" s="29" t="s">
        <v>106</v>
      </c>
      <c r="B66" s="14">
        <v>5932</v>
      </c>
      <c r="C66" s="14">
        <v>103108</v>
      </c>
      <c r="D66" s="13">
        <v>108224</v>
      </c>
      <c r="E66" s="14">
        <v>0</v>
      </c>
      <c r="F66" s="14"/>
      <c r="G66" s="14">
        <v>0</v>
      </c>
      <c r="H66" s="14">
        <v>0</v>
      </c>
      <c r="I66" s="14">
        <v>0</v>
      </c>
      <c r="J66" s="14"/>
      <c r="K66" s="14">
        <v>0</v>
      </c>
      <c r="L66" s="14">
        <v>0</v>
      </c>
      <c r="M66" s="157" t="s">
        <v>124</v>
      </c>
    </row>
    <row r="67" spans="1:58">
      <c r="A67" s="30" t="s">
        <v>47</v>
      </c>
      <c r="B67" s="14">
        <v>113656</v>
      </c>
      <c r="C67" s="14">
        <v>541468</v>
      </c>
      <c r="D67" s="13">
        <v>532924</v>
      </c>
      <c r="E67" s="14">
        <v>0</v>
      </c>
      <c r="F67" s="14"/>
      <c r="G67" s="14">
        <v>0</v>
      </c>
      <c r="H67" s="14">
        <v>0</v>
      </c>
      <c r="I67" s="14">
        <v>0</v>
      </c>
      <c r="J67" s="14"/>
      <c r="K67" s="14">
        <v>0</v>
      </c>
      <c r="L67" s="14">
        <v>0</v>
      </c>
      <c r="M67" s="104" t="s">
        <v>48</v>
      </c>
    </row>
    <row r="68" spans="1:58">
      <c r="A68" s="29" t="s">
        <v>49</v>
      </c>
      <c r="B68" s="23">
        <v>15695</v>
      </c>
      <c r="C68" s="23">
        <v>71149</v>
      </c>
      <c r="D68" s="24">
        <v>67173</v>
      </c>
      <c r="E68" s="23">
        <v>0</v>
      </c>
      <c r="F68" s="23"/>
      <c r="G68" s="23">
        <v>0</v>
      </c>
      <c r="H68" s="23">
        <v>0</v>
      </c>
      <c r="I68" s="23">
        <v>0</v>
      </c>
      <c r="J68" s="23"/>
      <c r="K68" s="23">
        <v>0</v>
      </c>
      <c r="L68" s="23">
        <v>0</v>
      </c>
      <c r="M68" s="103" t="s">
        <v>50</v>
      </c>
    </row>
    <row r="69" spans="1:58" ht="21.5">
      <c r="A69" s="95" t="s">
        <v>107</v>
      </c>
      <c r="B69" s="23">
        <v>23816</v>
      </c>
      <c r="C69" s="23">
        <v>102592</v>
      </c>
      <c r="D69" s="24">
        <v>98677</v>
      </c>
      <c r="E69" s="23">
        <v>0</v>
      </c>
      <c r="F69" s="23"/>
      <c r="G69" s="23">
        <v>0</v>
      </c>
      <c r="H69" s="23">
        <v>0</v>
      </c>
      <c r="I69" s="23">
        <v>0</v>
      </c>
      <c r="J69" s="23"/>
      <c r="K69" s="23">
        <v>0</v>
      </c>
      <c r="L69" s="23">
        <v>0</v>
      </c>
      <c r="M69" s="103" t="s">
        <v>125</v>
      </c>
    </row>
    <row r="70" spans="1:58" s="36" customFormat="1">
      <c r="A70" s="31" t="s">
        <v>51</v>
      </c>
      <c r="B70" s="32">
        <v>308</v>
      </c>
      <c r="C70" s="33">
        <v>38</v>
      </c>
      <c r="D70" s="34">
        <v>44</v>
      </c>
      <c r="E70" s="33">
        <v>0</v>
      </c>
      <c r="F70" s="33"/>
      <c r="G70" s="33">
        <v>0</v>
      </c>
      <c r="H70" s="33">
        <v>0</v>
      </c>
      <c r="I70" s="33">
        <v>0</v>
      </c>
      <c r="J70" s="33"/>
      <c r="K70" s="33">
        <v>0</v>
      </c>
      <c r="L70" s="33">
        <v>0</v>
      </c>
      <c r="M70" s="105" t="s">
        <v>52</v>
      </c>
      <c r="N70" s="35"/>
      <c r="O70" s="35"/>
      <c r="P70" s="35"/>
      <c r="Q70" s="35"/>
      <c r="BF70" s="37"/>
    </row>
    <row r="71" spans="1:58" ht="16.5">
      <c r="A71" s="43" t="s">
        <v>53</v>
      </c>
      <c r="B71" s="38"/>
      <c r="C71" s="39"/>
      <c r="D71" s="39"/>
      <c r="E71" s="40"/>
      <c r="F71" s="40"/>
      <c r="G71" s="40"/>
      <c r="H71" s="41"/>
      <c r="I71" s="41"/>
      <c r="J71" s="41"/>
      <c r="K71" s="42"/>
      <c r="L71" s="52"/>
      <c r="M71" s="150" t="s">
        <v>54</v>
      </c>
    </row>
    <row r="72" spans="1:58" ht="17.5">
      <c r="A72" s="43" t="s">
        <v>55</v>
      </c>
      <c r="B72" s="43"/>
      <c r="C72" s="44"/>
      <c r="D72" s="44"/>
      <c r="E72" s="45"/>
      <c r="F72" s="45"/>
      <c r="G72" s="45"/>
      <c r="H72" s="46"/>
      <c r="I72" s="46"/>
      <c r="J72" s="46"/>
      <c r="L72" s="59"/>
      <c r="M72" s="47" t="s">
        <v>56</v>
      </c>
    </row>
    <row r="73" spans="1:58" ht="15.5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151"/>
      <c r="M73" s="152"/>
    </row>
    <row r="74" spans="1:58" ht="15.5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151"/>
      <c r="M74" s="152"/>
    </row>
    <row r="75" spans="1:58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97"/>
    </row>
  </sheetData>
  <mergeCells count="2">
    <mergeCell ref="A1:M1"/>
    <mergeCell ref="A2:M2"/>
  </mergeCells>
  <pageMargins left="0.7" right="0.7" top="0.75" bottom="0.75" header="0.3" footer="0.3"/>
  <pageSetup scale="45" orientation="portrait" horizontalDpi="4294967295" verticalDpi="4294967295" r:id="rId1"/>
  <rowBreaks count="1" manualBreakCount="1">
    <brk id="7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796875" defaultRowHeight="14.5"/>
  <cols>
    <col min="1" max="3" width="12.54296875" style="1" customWidth="1"/>
    <col min="4" max="4" width="2.453125" style="1" customWidth="1"/>
    <col min="5" max="6" width="12.54296875" style="1" customWidth="1"/>
    <col min="7" max="7" width="2" style="1" customWidth="1"/>
    <col min="8" max="9" width="12.54296875" style="1" customWidth="1"/>
    <col min="10" max="10" width="2.26953125" style="1" customWidth="1"/>
    <col min="11" max="12" width="12.54296875" style="1" customWidth="1"/>
    <col min="13" max="13" width="2.26953125" style="1" customWidth="1"/>
    <col min="14" max="15" width="12.54296875" style="1" customWidth="1"/>
    <col min="16" max="16" width="1.26953125" style="1" customWidth="1"/>
    <col min="17" max="17" width="9.7265625" style="1" customWidth="1"/>
    <col min="18" max="18" width="11.1796875" style="1" customWidth="1"/>
    <col min="19" max="19" width="1.26953125" style="1" customWidth="1"/>
    <col min="20" max="20" width="9.7265625" style="1" customWidth="1"/>
    <col min="21" max="21" width="11.1796875" style="1" customWidth="1"/>
    <col min="22" max="22" width="1.26953125" style="1" customWidth="1"/>
    <col min="23" max="23" width="9.7265625" style="1" customWidth="1"/>
    <col min="24" max="24" width="11.1796875" style="1" customWidth="1"/>
    <col min="25" max="25" width="1.26953125" style="1" customWidth="1"/>
    <col min="26" max="27" width="9.7265625" style="1" customWidth="1"/>
    <col min="28" max="28" width="13.7265625" style="1" customWidth="1"/>
    <col min="29" max="40" width="9.1796875" style="1"/>
    <col min="41" max="41" width="25.7265625" style="1" customWidth="1"/>
    <col min="42" max="16384" width="9.1796875" style="1"/>
  </cols>
  <sheetData>
    <row r="1" spans="1:29" ht="17">
      <c r="A1" s="196" t="s">
        <v>115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</row>
    <row r="2" spans="1:29" ht="15.5">
      <c r="A2" s="161" t="s">
        <v>116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</row>
    <row r="4" spans="1:29" s="49" customFormat="1" ht="18.5">
      <c r="A4" s="163" t="s">
        <v>57</v>
      </c>
      <c r="B4" s="197" t="s">
        <v>83</v>
      </c>
      <c r="C4" s="197"/>
      <c r="D4" s="120"/>
      <c r="E4" s="197" t="s">
        <v>84</v>
      </c>
      <c r="F4" s="197"/>
      <c r="G4" s="120"/>
      <c r="H4" s="197" t="s">
        <v>85</v>
      </c>
      <c r="I4" s="197"/>
      <c r="J4" s="120"/>
      <c r="K4" s="197" t="s">
        <v>86</v>
      </c>
      <c r="L4" s="197"/>
      <c r="M4" s="120"/>
      <c r="N4" s="197" t="s">
        <v>87</v>
      </c>
      <c r="O4" s="197"/>
      <c r="P4" s="120"/>
      <c r="Q4" s="197" t="s">
        <v>88</v>
      </c>
      <c r="R4" s="197"/>
      <c r="S4" s="120"/>
      <c r="T4" s="197" t="s">
        <v>89</v>
      </c>
      <c r="U4" s="197"/>
      <c r="V4" s="120"/>
      <c r="W4" s="197" t="s">
        <v>90</v>
      </c>
      <c r="X4" s="197"/>
      <c r="Y4" s="120"/>
      <c r="Z4" s="197" t="s">
        <v>91</v>
      </c>
      <c r="AA4" s="197"/>
      <c r="AB4" s="199" t="s">
        <v>58</v>
      </c>
    </row>
    <row r="5" spans="1:29" s="52" customFormat="1" ht="15" customHeight="1">
      <c r="A5" s="164"/>
      <c r="B5" s="198" t="s">
        <v>92</v>
      </c>
      <c r="C5" s="198"/>
      <c r="D5" s="51"/>
      <c r="E5" s="198" t="s">
        <v>93</v>
      </c>
      <c r="F5" s="198"/>
      <c r="G5" s="51"/>
      <c r="H5" s="198" t="s">
        <v>94</v>
      </c>
      <c r="I5" s="198"/>
      <c r="J5" s="51"/>
      <c r="K5" s="198" t="s">
        <v>95</v>
      </c>
      <c r="L5" s="198"/>
      <c r="M5" s="51"/>
      <c r="N5" s="198" t="s">
        <v>96</v>
      </c>
      <c r="O5" s="198"/>
      <c r="P5" s="51"/>
      <c r="Q5" s="198" t="s">
        <v>97</v>
      </c>
      <c r="R5" s="198"/>
      <c r="S5" s="51"/>
      <c r="T5" s="198" t="s">
        <v>98</v>
      </c>
      <c r="U5" s="198"/>
      <c r="V5" s="51"/>
      <c r="W5" s="198" t="s">
        <v>99</v>
      </c>
      <c r="X5" s="198"/>
      <c r="Y5" s="51"/>
      <c r="Z5" s="198" t="s">
        <v>100</v>
      </c>
      <c r="AA5" s="198"/>
      <c r="AB5" s="200"/>
      <c r="AC5" s="6"/>
    </row>
    <row r="6" spans="1:29" s="116" customFormat="1" ht="14">
      <c r="A6" s="164"/>
      <c r="B6" s="107" t="s">
        <v>8</v>
      </c>
      <c r="C6" s="107" t="s">
        <v>9</v>
      </c>
      <c r="D6" s="107"/>
      <c r="E6" s="107" t="s">
        <v>8</v>
      </c>
      <c r="F6" s="107" t="s">
        <v>9</v>
      </c>
      <c r="G6" s="107"/>
      <c r="H6" s="107" t="s">
        <v>8</v>
      </c>
      <c r="I6" s="107" t="s">
        <v>9</v>
      </c>
      <c r="J6" s="107"/>
      <c r="K6" s="107" t="s">
        <v>8</v>
      </c>
      <c r="L6" s="107" t="s">
        <v>9</v>
      </c>
      <c r="M6" s="107"/>
      <c r="N6" s="107" t="s">
        <v>8</v>
      </c>
      <c r="O6" s="107" t="s">
        <v>9</v>
      </c>
      <c r="P6" s="107"/>
      <c r="Q6" s="107" t="s">
        <v>8</v>
      </c>
      <c r="R6" s="107" t="s">
        <v>9</v>
      </c>
      <c r="S6" s="107"/>
      <c r="T6" s="107" t="s">
        <v>8</v>
      </c>
      <c r="U6" s="107" t="s">
        <v>9</v>
      </c>
      <c r="V6" s="107"/>
      <c r="W6" s="107" t="s">
        <v>8</v>
      </c>
      <c r="X6" s="107" t="s">
        <v>9</v>
      </c>
      <c r="Y6" s="107"/>
      <c r="Z6" s="107" t="s">
        <v>8</v>
      </c>
      <c r="AA6" s="107" t="s">
        <v>9</v>
      </c>
      <c r="AB6" s="200"/>
    </row>
    <row r="7" spans="1:29" s="52" customFormat="1" ht="14">
      <c r="A7" s="165"/>
      <c r="B7" s="113" t="s">
        <v>15</v>
      </c>
      <c r="C7" s="113" t="s">
        <v>16</v>
      </c>
      <c r="D7" s="113"/>
      <c r="E7" s="113" t="s">
        <v>15</v>
      </c>
      <c r="F7" s="113" t="s">
        <v>16</v>
      </c>
      <c r="G7" s="113"/>
      <c r="H7" s="113" t="s">
        <v>15</v>
      </c>
      <c r="I7" s="113" t="s">
        <v>16</v>
      </c>
      <c r="J7" s="113"/>
      <c r="K7" s="113" t="s">
        <v>15</v>
      </c>
      <c r="L7" s="113" t="s">
        <v>16</v>
      </c>
      <c r="M7" s="113"/>
      <c r="N7" s="113" t="s">
        <v>15</v>
      </c>
      <c r="O7" s="113" t="s">
        <v>16</v>
      </c>
      <c r="P7" s="113"/>
      <c r="Q7" s="113" t="s">
        <v>15</v>
      </c>
      <c r="R7" s="113" t="s">
        <v>16</v>
      </c>
      <c r="S7" s="113"/>
      <c r="T7" s="113" t="s">
        <v>15</v>
      </c>
      <c r="U7" s="113" t="s">
        <v>16</v>
      </c>
      <c r="V7" s="113"/>
      <c r="W7" s="113" t="s">
        <v>15</v>
      </c>
      <c r="X7" s="113" t="s">
        <v>16</v>
      </c>
      <c r="Y7" s="113"/>
      <c r="Z7" s="113" t="s">
        <v>15</v>
      </c>
      <c r="AA7" s="113" t="s">
        <v>16</v>
      </c>
      <c r="AB7" s="201"/>
    </row>
    <row r="8" spans="1:29" s="49" customFormat="1" ht="15.5">
      <c r="A8" s="10" t="s">
        <v>18</v>
      </c>
      <c r="B8" s="53">
        <f>SUM(B9:B20)</f>
        <v>0</v>
      </c>
      <c r="C8" s="53">
        <f>SUM(C9:C20)</f>
        <v>0</v>
      </c>
      <c r="D8" s="53"/>
      <c r="E8" s="53">
        <f>SUM(E9:E20)</f>
        <v>0</v>
      </c>
      <c r="F8" s="53">
        <f>SUM(F9:F20)</f>
        <v>0</v>
      </c>
      <c r="G8" s="53"/>
      <c r="H8" s="53">
        <f>SUM(H9:H20)</f>
        <v>0</v>
      </c>
      <c r="I8" s="53">
        <f>SUM(I9:I20)</f>
        <v>0</v>
      </c>
      <c r="J8" s="53"/>
      <c r="K8" s="53">
        <f>SUM(K9:K20)</f>
        <v>0</v>
      </c>
      <c r="L8" s="53">
        <f>SUM(L9:L20)</f>
        <v>0</v>
      </c>
      <c r="M8" s="53"/>
      <c r="N8" s="53">
        <f>SUM(N9:N20)</f>
        <v>0</v>
      </c>
      <c r="O8" s="53">
        <f>SUM(O9:O20)</f>
        <v>0</v>
      </c>
      <c r="P8" s="53"/>
      <c r="Q8" s="53">
        <f>SUM(Q9:Q20)</f>
        <v>0</v>
      </c>
      <c r="R8" s="53">
        <f>SUM(R9:R20)</f>
        <v>0</v>
      </c>
      <c r="S8" s="53"/>
      <c r="T8" s="53">
        <f>SUM(T9:T20)</f>
        <v>0</v>
      </c>
      <c r="U8" s="53">
        <f>SUM(U9:U20)</f>
        <v>0</v>
      </c>
      <c r="V8" s="53"/>
      <c r="W8" s="53">
        <f>SUM(W9:W20)</f>
        <v>0</v>
      </c>
      <c r="X8" s="53">
        <f>SUM(X9:X20)</f>
        <v>0</v>
      </c>
      <c r="Y8" s="54"/>
      <c r="Z8" s="53">
        <f>SUM(Z9:Z20)</f>
        <v>0</v>
      </c>
      <c r="AA8" s="53">
        <f>SUM(AA9:AA20)</f>
        <v>0</v>
      </c>
      <c r="AB8" s="115" t="s">
        <v>19</v>
      </c>
    </row>
    <row r="9" spans="1:29" s="49" customFormat="1" ht="15.5">
      <c r="A9" s="18" t="s">
        <v>59</v>
      </c>
      <c r="B9" s="127"/>
      <c r="C9" s="127"/>
      <c r="D9" s="127"/>
      <c r="E9" s="128"/>
      <c r="F9" s="128"/>
      <c r="G9" s="128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9"/>
      <c r="Z9" s="129"/>
      <c r="AA9" s="129"/>
      <c r="AB9" s="117" t="s">
        <v>60</v>
      </c>
    </row>
    <row r="10" spans="1:29" s="49" customFormat="1" ht="15.5">
      <c r="A10" s="18" t="s">
        <v>61</v>
      </c>
      <c r="B10" s="127"/>
      <c r="C10" s="127"/>
      <c r="D10" s="127"/>
      <c r="E10" s="128"/>
      <c r="F10" s="128"/>
      <c r="G10" s="128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9"/>
      <c r="Z10" s="129"/>
      <c r="AA10" s="129"/>
      <c r="AB10" s="117" t="s">
        <v>62</v>
      </c>
    </row>
    <row r="11" spans="1:29" s="49" customFormat="1" ht="15.5">
      <c r="A11" s="18" t="s">
        <v>63</v>
      </c>
      <c r="B11" s="127"/>
      <c r="C11" s="127"/>
      <c r="D11" s="127"/>
      <c r="E11" s="128"/>
      <c r="F11" s="128"/>
      <c r="G11" s="128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9"/>
      <c r="Z11" s="129"/>
      <c r="AA11" s="129"/>
      <c r="AB11" s="117" t="s">
        <v>64</v>
      </c>
    </row>
    <row r="12" spans="1:29" s="49" customFormat="1" ht="15.5">
      <c r="A12" s="18" t="s">
        <v>65</v>
      </c>
      <c r="B12" s="127"/>
      <c r="C12" s="127"/>
      <c r="D12" s="127"/>
      <c r="E12" s="128"/>
      <c r="F12" s="128"/>
      <c r="G12" s="128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9"/>
      <c r="Z12" s="129"/>
      <c r="AA12" s="129"/>
      <c r="AB12" s="117" t="s">
        <v>66</v>
      </c>
    </row>
    <row r="13" spans="1:29" s="49" customFormat="1" ht="15.5">
      <c r="A13" s="18" t="s">
        <v>67</v>
      </c>
      <c r="B13" s="127"/>
      <c r="C13" s="127"/>
      <c r="D13" s="127"/>
      <c r="E13" s="128"/>
      <c r="F13" s="128"/>
      <c r="G13" s="128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9"/>
      <c r="Z13" s="129"/>
      <c r="AA13" s="129"/>
      <c r="AB13" s="117" t="s">
        <v>68</v>
      </c>
    </row>
    <row r="14" spans="1:29" s="49" customFormat="1" ht="15.5">
      <c r="A14" s="18" t="s">
        <v>69</v>
      </c>
      <c r="B14" s="127"/>
      <c r="C14" s="127"/>
      <c r="D14" s="127"/>
      <c r="E14" s="128"/>
      <c r="F14" s="128"/>
      <c r="G14" s="128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9"/>
      <c r="Z14" s="129"/>
      <c r="AA14" s="129"/>
      <c r="AB14" s="117" t="s">
        <v>70</v>
      </c>
    </row>
    <row r="15" spans="1:29" s="49" customFormat="1" ht="15.5">
      <c r="A15" s="18" t="s">
        <v>71</v>
      </c>
      <c r="B15" s="127"/>
      <c r="C15" s="127"/>
      <c r="D15" s="127"/>
      <c r="E15" s="128"/>
      <c r="F15" s="128"/>
      <c r="G15" s="128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9"/>
      <c r="Z15" s="129"/>
      <c r="AA15" s="129"/>
      <c r="AB15" s="117" t="s">
        <v>72</v>
      </c>
    </row>
    <row r="16" spans="1:29" s="49" customFormat="1" ht="15.5">
      <c r="A16" s="18" t="s">
        <v>73</v>
      </c>
      <c r="B16" s="127"/>
      <c r="C16" s="127"/>
      <c r="D16" s="127"/>
      <c r="E16" s="128"/>
      <c r="F16" s="128"/>
      <c r="G16" s="128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9"/>
      <c r="Z16" s="129"/>
      <c r="AA16" s="129"/>
      <c r="AB16" s="117" t="s">
        <v>74</v>
      </c>
    </row>
    <row r="17" spans="1:44" s="49" customFormat="1" ht="15.5">
      <c r="A17" s="18" t="s">
        <v>75</v>
      </c>
      <c r="B17" s="127"/>
      <c r="C17" s="127"/>
      <c r="D17" s="127"/>
      <c r="E17" s="128"/>
      <c r="F17" s="128"/>
      <c r="G17" s="128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9"/>
      <c r="Z17" s="129"/>
      <c r="AA17" s="129"/>
      <c r="AB17" s="117" t="s">
        <v>76</v>
      </c>
    </row>
    <row r="18" spans="1:44" s="49" customFormat="1" ht="15.5">
      <c r="A18" s="18" t="s">
        <v>77</v>
      </c>
      <c r="B18" s="127"/>
      <c r="C18" s="127"/>
      <c r="D18" s="127"/>
      <c r="E18" s="128"/>
      <c r="F18" s="128"/>
      <c r="G18" s="128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9"/>
      <c r="Z18" s="129"/>
      <c r="AA18" s="129"/>
      <c r="AB18" s="117" t="s">
        <v>78</v>
      </c>
    </row>
    <row r="19" spans="1:44" s="49" customFormat="1" ht="15.5">
      <c r="A19" s="18" t="s">
        <v>79</v>
      </c>
      <c r="B19" s="127"/>
      <c r="C19" s="127"/>
      <c r="D19" s="127"/>
      <c r="E19" s="128"/>
      <c r="F19" s="128"/>
      <c r="G19" s="128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9"/>
      <c r="Z19" s="129"/>
      <c r="AA19" s="129"/>
      <c r="AB19" s="117" t="s">
        <v>80</v>
      </c>
    </row>
    <row r="20" spans="1:44" s="49" customFormat="1" ht="15.5">
      <c r="A20" s="112" t="s">
        <v>81</v>
      </c>
      <c r="B20" s="130"/>
      <c r="C20" s="130"/>
      <c r="D20" s="130"/>
      <c r="E20" s="131"/>
      <c r="F20" s="131"/>
      <c r="G20" s="131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2"/>
      <c r="Z20" s="132"/>
      <c r="AA20" s="132"/>
      <c r="AB20" s="118" t="s">
        <v>82</v>
      </c>
    </row>
    <row r="21" spans="1:44" ht="17.5">
      <c r="A21" s="43" t="s">
        <v>55</v>
      </c>
      <c r="AB21" s="47" t="s">
        <v>56</v>
      </c>
      <c r="AO21" s="49"/>
      <c r="AP21" s="94" t="s">
        <v>15</v>
      </c>
      <c r="AQ21" s="94" t="s">
        <v>16</v>
      </c>
    </row>
    <row r="22" spans="1:44" ht="15" customHeight="1">
      <c r="AN22" s="55"/>
      <c r="AO22" s="55" t="str">
        <f>B5</f>
        <v>L.Kadhdhoo</v>
      </c>
      <c r="AP22" s="1">
        <f>B8</f>
        <v>0</v>
      </c>
      <c r="AQ22" s="1">
        <f>C8</f>
        <v>0</v>
      </c>
    </row>
    <row r="23" spans="1:44" s="49" customFormat="1" ht="17">
      <c r="B23" s="56"/>
      <c r="C23" s="57"/>
      <c r="D23" s="57"/>
      <c r="E23" s="57"/>
      <c r="F23" s="58"/>
      <c r="G23" s="58"/>
      <c r="R23" s="59"/>
      <c r="S23" s="59"/>
      <c r="U23" s="59"/>
      <c r="V23" s="59"/>
      <c r="X23" s="59"/>
      <c r="Y23" s="59"/>
      <c r="Z23" s="59"/>
      <c r="AA23" s="59"/>
      <c r="AB23" s="59"/>
      <c r="AE23" s="59"/>
      <c r="AM23" s="1"/>
      <c r="AN23" s="55"/>
      <c r="AO23" s="55" t="str">
        <f>E5</f>
        <v>GDh.Kaadedhdhoo</v>
      </c>
      <c r="AP23" s="1">
        <f>E8</f>
        <v>0</v>
      </c>
      <c r="AQ23" s="1">
        <f>F8</f>
        <v>0</v>
      </c>
    </row>
    <row r="24" spans="1:44" ht="17.5">
      <c r="A24" s="18"/>
      <c r="Q24" s="50"/>
      <c r="T24" s="50"/>
      <c r="W24" s="50"/>
      <c r="AO24" s="49" t="str">
        <f>H5</f>
        <v xml:space="preserve">Gn.Fuvahmulah </v>
      </c>
      <c r="AP24" s="1">
        <f>H8</f>
        <v>0</v>
      </c>
      <c r="AQ24" s="1">
        <f>I8</f>
        <v>0</v>
      </c>
    </row>
    <row r="25" spans="1:44" s="49" customFormat="1" ht="17">
      <c r="B25" s="56"/>
      <c r="C25" s="57"/>
      <c r="D25" s="57"/>
      <c r="E25" s="57"/>
      <c r="F25" s="58"/>
      <c r="G25" s="58"/>
      <c r="R25" s="59"/>
      <c r="S25" s="59"/>
      <c r="U25" s="59"/>
      <c r="V25" s="59"/>
      <c r="X25" s="59"/>
      <c r="Y25" s="59"/>
      <c r="Z25" s="59"/>
      <c r="AA25" s="59"/>
      <c r="AB25" s="59"/>
      <c r="AE25" s="59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7.5">
      <c r="A26" s="18"/>
      <c r="Q26" s="50"/>
      <c r="T26" s="50"/>
      <c r="W26" s="50"/>
      <c r="AO26" s="1" t="str">
        <f>N5</f>
        <v>B.Dharavandhoo</v>
      </c>
      <c r="AP26" s="1">
        <f>N8</f>
        <v>0</v>
      </c>
      <c r="AQ26" s="1">
        <f>O8</f>
        <v>0</v>
      </c>
    </row>
    <row r="27" spans="1:44">
      <c r="AO27" s="1" t="str">
        <f>Q5</f>
        <v>GA. Koodoo</v>
      </c>
      <c r="AP27" s="1">
        <f>Q8</f>
        <v>0</v>
      </c>
      <c r="AQ27" s="1">
        <f>R8</f>
        <v>0</v>
      </c>
    </row>
    <row r="28" spans="1:44">
      <c r="AO28" s="1" t="s">
        <v>101</v>
      </c>
      <c r="AP28" s="1">
        <f>T8</f>
        <v>0</v>
      </c>
      <c r="AQ28" s="1">
        <f>U8</f>
        <v>0</v>
      </c>
    </row>
    <row r="29" spans="1:44" ht="17">
      <c r="D29" s="57"/>
      <c r="E29" s="57"/>
      <c r="F29" s="58"/>
      <c r="G29" s="58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>
      <c r="AO30" s="1" t="str">
        <f>Z5</f>
        <v>Dh.kudahuvadhoo</v>
      </c>
      <c r="AP30" s="1">
        <f>Z8</f>
        <v>0</v>
      </c>
      <c r="AQ30" s="1">
        <f>AA8</f>
        <v>0</v>
      </c>
    </row>
    <row r="32" spans="1:44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124" customFormat="1" ht="21.75" customHeight="1">
      <c r="A44" s="188" t="s">
        <v>57</v>
      </c>
      <c r="B44" s="135"/>
      <c r="D44" s="136"/>
      <c r="F44" s="136"/>
      <c r="G44" s="191" t="s">
        <v>83</v>
      </c>
      <c r="H44" s="192"/>
      <c r="I44" s="192"/>
      <c r="J44" s="192"/>
      <c r="K44" s="193"/>
      <c r="L44" s="123"/>
      <c r="M44" s="137"/>
      <c r="N44" s="123"/>
      <c r="O44" s="137"/>
      <c r="P44" s="194" t="s">
        <v>84</v>
      </c>
      <c r="Q44" s="195"/>
      <c r="R44" s="195"/>
      <c r="S44" s="195"/>
      <c r="T44" s="195"/>
      <c r="U44" s="195"/>
      <c r="V44" s="195"/>
      <c r="W44" s="195"/>
      <c r="X44" s="195"/>
      <c r="Y44" s="195"/>
      <c r="Z44" s="195"/>
      <c r="AA44" s="195"/>
      <c r="AB44" s="136"/>
      <c r="AC44" s="182" t="s">
        <v>85</v>
      </c>
      <c r="AD44" s="183"/>
      <c r="AE44" s="183"/>
      <c r="AF44" s="183"/>
      <c r="AG44" s="183"/>
      <c r="AH44" s="183"/>
      <c r="AI44" s="183"/>
      <c r="AJ44" s="183"/>
      <c r="AK44" s="122"/>
      <c r="AL44" s="182" t="s">
        <v>86</v>
      </c>
      <c r="AM44" s="183"/>
      <c r="AN44" s="183"/>
      <c r="AO44" s="183"/>
      <c r="AP44" s="183"/>
      <c r="AQ44" s="183"/>
      <c r="AR44" s="183"/>
      <c r="AS44" s="122"/>
      <c r="AT44" s="182" t="s">
        <v>87</v>
      </c>
      <c r="AU44" s="183"/>
      <c r="AV44" s="183"/>
      <c r="AW44" s="183"/>
      <c r="AX44" s="183"/>
      <c r="AY44" s="133"/>
      <c r="AZ44" s="122"/>
      <c r="BA44" s="182" t="s">
        <v>88</v>
      </c>
      <c r="BB44" s="183"/>
      <c r="BC44" s="183"/>
      <c r="BD44" s="183"/>
      <c r="BE44" s="184"/>
      <c r="BF44" s="121"/>
      <c r="BG44" s="185" t="s">
        <v>89</v>
      </c>
      <c r="BH44" s="186"/>
      <c r="BI44" s="186"/>
      <c r="BJ44" s="186"/>
      <c r="BK44" s="187"/>
      <c r="BL44" s="182" t="s">
        <v>90</v>
      </c>
      <c r="BM44" s="183"/>
      <c r="BN44" s="183"/>
      <c r="BO44" s="183"/>
      <c r="BP44" s="184"/>
      <c r="BQ44" s="182" t="s">
        <v>91</v>
      </c>
      <c r="BR44" s="183"/>
      <c r="BS44" s="183"/>
      <c r="BT44" s="166" t="s">
        <v>58</v>
      </c>
    </row>
    <row r="45" spans="1:80" s="125" customFormat="1" ht="16.5" customHeight="1">
      <c r="A45" s="189"/>
      <c r="B45" s="138"/>
      <c r="D45" s="139"/>
      <c r="F45" s="139"/>
      <c r="G45" s="169" t="s">
        <v>92</v>
      </c>
      <c r="H45" s="170"/>
      <c r="I45" s="170"/>
      <c r="J45" s="170"/>
      <c r="K45" s="171"/>
      <c r="M45" s="139"/>
      <c r="O45" s="139"/>
      <c r="P45" s="172" t="s">
        <v>93</v>
      </c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39"/>
      <c r="AC45" s="174" t="s">
        <v>108</v>
      </c>
      <c r="AD45" s="175"/>
      <c r="AE45" s="175"/>
      <c r="AF45" s="175"/>
      <c r="AG45" s="175"/>
      <c r="AH45" s="175"/>
      <c r="AI45" s="175"/>
      <c r="AJ45" s="175"/>
      <c r="AK45" s="126"/>
      <c r="AL45" s="174" t="s">
        <v>109</v>
      </c>
      <c r="AM45" s="175"/>
      <c r="AN45" s="175"/>
      <c r="AO45" s="175"/>
      <c r="AP45" s="175"/>
      <c r="AQ45" s="175"/>
      <c r="AR45" s="175"/>
      <c r="AS45" s="126"/>
      <c r="AT45" s="174" t="s">
        <v>110</v>
      </c>
      <c r="AU45" s="175"/>
      <c r="AV45" s="175"/>
      <c r="AW45" s="175"/>
      <c r="AX45" s="175"/>
      <c r="AY45" s="134"/>
      <c r="AZ45" s="126"/>
      <c r="BA45" s="176" t="s">
        <v>111</v>
      </c>
      <c r="BB45" s="177"/>
      <c r="BC45" s="177"/>
      <c r="BD45" s="177"/>
      <c r="BE45" s="178"/>
      <c r="BG45" s="179" t="s">
        <v>112</v>
      </c>
      <c r="BH45" s="180"/>
      <c r="BI45" s="180"/>
      <c r="BJ45" s="180"/>
      <c r="BK45" s="181"/>
      <c r="BL45" s="176" t="s">
        <v>113</v>
      </c>
      <c r="BM45" s="177"/>
      <c r="BN45" s="177"/>
      <c r="BO45" s="177"/>
      <c r="BP45" s="178"/>
      <c r="BQ45" s="176" t="s">
        <v>114</v>
      </c>
      <c r="BR45" s="177"/>
      <c r="BS45" s="177"/>
      <c r="BT45" s="167"/>
    </row>
    <row r="46" spans="1:80" ht="23.25" customHeight="1">
      <c r="A46" s="190"/>
      <c r="B46" s="140"/>
      <c r="C46" s="141">
        <v>2011</v>
      </c>
      <c r="D46" s="141">
        <v>2012</v>
      </c>
      <c r="E46" s="142">
        <v>2013</v>
      </c>
      <c r="F46" s="143">
        <v>2014</v>
      </c>
      <c r="G46" s="144">
        <v>2015</v>
      </c>
      <c r="H46" s="145">
        <v>2016</v>
      </c>
      <c r="I46" s="146">
        <v>2017</v>
      </c>
      <c r="J46" s="146">
        <v>2018</v>
      </c>
      <c r="K46" s="146">
        <v>2019</v>
      </c>
      <c r="L46" s="147">
        <v>2011</v>
      </c>
      <c r="M46" s="147">
        <v>2012</v>
      </c>
      <c r="N46" s="147">
        <v>2013</v>
      </c>
      <c r="O46" s="146">
        <v>2014</v>
      </c>
      <c r="P46" s="144">
        <v>2015</v>
      </c>
      <c r="Q46" s="146">
        <v>2016</v>
      </c>
      <c r="R46" s="147">
        <v>2011</v>
      </c>
      <c r="S46" s="147">
        <v>2012</v>
      </c>
      <c r="T46" s="146">
        <v>2013</v>
      </c>
      <c r="U46" s="146">
        <v>2014</v>
      </c>
      <c r="V46" s="147">
        <v>2011</v>
      </c>
      <c r="W46" s="147">
        <v>2012</v>
      </c>
      <c r="X46" s="146">
        <v>2013</v>
      </c>
      <c r="Y46" s="146">
        <v>2017</v>
      </c>
      <c r="Z46" s="146">
        <v>2018</v>
      </c>
      <c r="AA46" s="148">
        <v>2019</v>
      </c>
      <c r="AB46" s="146">
        <v>2014</v>
      </c>
      <c r="AC46" s="62">
        <v>2015</v>
      </c>
      <c r="AD46" s="62">
        <v>2016</v>
      </c>
      <c r="AE46" s="114">
        <v>2011</v>
      </c>
      <c r="AF46" s="114">
        <v>2012</v>
      </c>
      <c r="AG46" s="114">
        <v>2013</v>
      </c>
      <c r="AH46" s="62">
        <v>2017</v>
      </c>
      <c r="AI46" s="62">
        <v>2018</v>
      </c>
      <c r="AJ46" s="62">
        <v>2019</v>
      </c>
      <c r="AK46" s="62">
        <v>2014</v>
      </c>
      <c r="AL46" s="61">
        <v>2015</v>
      </c>
      <c r="AM46" s="62">
        <v>2016</v>
      </c>
      <c r="AN46" s="62">
        <v>2017</v>
      </c>
      <c r="AO46" s="62">
        <v>2018</v>
      </c>
      <c r="AP46" s="114">
        <v>2012</v>
      </c>
      <c r="AQ46" s="114">
        <v>2013</v>
      </c>
      <c r="AR46" s="62">
        <v>2019</v>
      </c>
      <c r="AS46" s="62">
        <v>2014</v>
      </c>
      <c r="AT46" s="61">
        <v>2015</v>
      </c>
      <c r="AU46" s="62">
        <v>2016</v>
      </c>
      <c r="AV46" s="114">
        <v>2013</v>
      </c>
      <c r="AW46" s="62">
        <v>2017</v>
      </c>
      <c r="AX46" s="62">
        <v>2018</v>
      </c>
      <c r="AY46" s="62">
        <v>2019</v>
      </c>
      <c r="AZ46" s="114">
        <v>2014</v>
      </c>
      <c r="BA46" s="61">
        <v>2015</v>
      </c>
      <c r="BB46" s="62">
        <v>2016</v>
      </c>
      <c r="BC46" s="62">
        <v>2017</v>
      </c>
      <c r="BD46" s="62">
        <v>2018</v>
      </c>
      <c r="BE46" s="62">
        <v>2019</v>
      </c>
      <c r="BF46" s="114">
        <v>2014</v>
      </c>
      <c r="BG46" s="61">
        <v>2015</v>
      </c>
      <c r="BH46" s="62">
        <v>2016</v>
      </c>
      <c r="BI46" s="62">
        <v>2017</v>
      </c>
      <c r="BJ46" s="62">
        <v>2018</v>
      </c>
      <c r="BK46" s="63">
        <v>2019</v>
      </c>
      <c r="BL46" s="64">
        <v>2015</v>
      </c>
      <c r="BM46" s="62">
        <v>2016</v>
      </c>
      <c r="BN46" s="62">
        <v>2017</v>
      </c>
      <c r="BO46" s="62">
        <v>2018</v>
      </c>
      <c r="BP46" s="62">
        <v>2019</v>
      </c>
      <c r="BQ46" s="61">
        <v>2017</v>
      </c>
      <c r="BR46" s="62">
        <v>2018</v>
      </c>
      <c r="BS46" s="62">
        <v>2019</v>
      </c>
      <c r="BT46" s="168"/>
      <c r="BU46" s="6"/>
    </row>
    <row r="47" spans="1:80" ht="23.25" customHeight="1">
      <c r="A47" s="65" t="s">
        <v>18</v>
      </c>
      <c r="B47" s="65"/>
      <c r="C47" s="66">
        <f t="shared" ref="C47:AZ47" si="0">SUM(C48:C59)</f>
        <v>1542</v>
      </c>
      <c r="D47" s="66">
        <f t="shared" si="0"/>
        <v>1816</v>
      </c>
      <c r="E47" s="66">
        <f t="shared" si="0"/>
        <v>2310</v>
      </c>
      <c r="F47" s="67">
        <f t="shared" si="0"/>
        <v>2220</v>
      </c>
      <c r="G47" s="68">
        <f t="shared" si="0"/>
        <v>2088</v>
      </c>
      <c r="H47" s="69">
        <f t="shared" si="0"/>
        <v>2392</v>
      </c>
      <c r="I47" s="70">
        <f t="shared" si="0"/>
        <v>2619</v>
      </c>
      <c r="J47" s="70">
        <f t="shared" si="0"/>
        <v>2559</v>
      </c>
      <c r="K47" s="70">
        <f t="shared" si="0"/>
        <v>2583</v>
      </c>
      <c r="L47" s="70">
        <f t="shared" si="0"/>
        <v>3226</v>
      </c>
      <c r="M47" s="70">
        <f t="shared" si="0"/>
        <v>3982</v>
      </c>
      <c r="N47" s="70">
        <f t="shared" si="0"/>
        <v>4121</v>
      </c>
      <c r="O47" s="70">
        <f t="shared" si="0"/>
        <v>4410</v>
      </c>
      <c r="P47" s="68">
        <f>SUM(P48:P59)</f>
        <v>4290</v>
      </c>
      <c r="Q47" s="70">
        <f t="shared" ref="Q47" si="1">SUM(Q48:Q59)</f>
        <v>4978</v>
      </c>
      <c r="R47" s="70">
        <f t="shared" si="0"/>
        <v>1637</v>
      </c>
      <c r="S47" s="70">
        <f t="shared" si="0"/>
        <v>1397</v>
      </c>
      <c r="T47" s="70">
        <f t="shared" si="0"/>
        <v>1949</v>
      </c>
      <c r="U47" s="70">
        <f t="shared" si="0"/>
        <v>1977</v>
      </c>
      <c r="V47" s="70">
        <f t="shared" si="0"/>
        <v>262</v>
      </c>
      <c r="W47" s="70">
        <f t="shared" si="0"/>
        <v>710</v>
      </c>
      <c r="X47" s="70">
        <f>SUM(X48:X59)</f>
        <v>2432</v>
      </c>
      <c r="Y47" s="70">
        <f t="shared" ref="Y47:AB47" si="2">SUM(Y48:Y59)</f>
        <v>5182</v>
      </c>
      <c r="Z47" s="70">
        <f t="shared" si="2"/>
        <v>4726</v>
      </c>
      <c r="AA47" s="71">
        <f t="shared" si="2"/>
        <v>4794</v>
      </c>
      <c r="AB47" s="70">
        <f t="shared" si="2"/>
        <v>2773</v>
      </c>
      <c r="AC47" s="70">
        <f>SUM(AC48:AC59)</f>
        <v>2151</v>
      </c>
      <c r="AD47" s="70">
        <f t="shared" ref="AD47" si="3">SUM(AD48:AD59)</f>
        <v>1998</v>
      </c>
      <c r="AE47" s="70">
        <f t="shared" si="0"/>
        <v>769</v>
      </c>
      <c r="AF47" s="70">
        <f t="shared" si="0"/>
        <v>3315</v>
      </c>
      <c r="AG47" s="70">
        <f>SUM(AG48:AG59)</f>
        <v>4519</v>
      </c>
      <c r="AH47" s="70">
        <f t="shared" ref="AH47:AK47" si="4">SUM(AH48:AH59)</f>
        <v>1845</v>
      </c>
      <c r="AI47" s="70">
        <f t="shared" si="4"/>
        <v>1799</v>
      </c>
      <c r="AJ47" s="70">
        <f t="shared" si="4"/>
        <v>2485</v>
      </c>
      <c r="AK47" s="70">
        <f t="shared" si="4"/>
        <v>4924</v>
      </c>
      <c r="AL47" s="68">
        <f>SUM(AL48:AL59)</f>
        <v>4265</v>
      </c>
      <c r="AM47" s="70">
        <f t="shared" ref="AM47:AO47" si="5">SUM(AM48:AM59)</f>
        <v>3963</v>
      </c>
      <c r="AN47" s="70">
        <f t="shared" si="5"/>
        <v>4305</v>
      </c>
      <c r="AO47" s="70">
        <f t="shared" si="5"/>
        <v>4824</v>
      </c>
      <c r="AP47" s="70">
        <f t="shared" si="0"/>
        <v>173</v>
      </c>
      <c r="AQ47" s="70">
        <f t="shared" si="0"/>
        <v>3515</v>
      </c>
      <c r="AR47" s="70">
        <f t="shared" si="0"/>
        <v>4798</v>
      </c>
      <c r="AS47" s="70">
        <f t="shared" si="0"/>
        <v>4248</v>
      </c>
      <c r="AT47" s="68">
        <f>SUM(AT48:AT59)</f>
        <v>3934</v>
      </c>
      <c r="AU47" s="70">
        <f t="shared" ref="AU47:AY47" si="6">SUM(AU48:AU59)</f>
        <v>3870</v>
      </c>
      <c r="AV47" s="70">
        <f t="shared" si="0"/>
        <v>2906</v>
      </c>
      <c r="AW47" s="70">
        <f t="shared" si="0"/>
        <v>4198</v>
      </c>
      <c r="AX47" s="70">
        <f t="shared" si="6"/>
        <v>4532</v>
      </c>
      <c r="AY47" s="70">
        <f t="shared" si="6"/>
        <v>5159</v>
      </c>
      <c r="AZ47" s="70">
        <f t="shared" si="0"/>
        <v>2076</v>
      </c>
      <c r="BA47" s="68">
        <f>SUM(BA48:BA59)</f>
        <v>1988</v>
      </c>
      <c r="BB47" s="70">
        <f t="shared" ref="BB47:BF47" si="7">SUM(BB48:BB59)</f>
        <v>1916</v>
      </c>
      <c r="BC47" s="70">
        <f t="shared" si="7"/>
        <v>1916</v>
      </c>
      <c r="BD47" s="70">
        <f t="shared" si="7"/>
        <v>1975</v>
      </c>
      <c r="BE47" s="70">
        <f t="shared" si="7"/>
        <v>2043</v>
      </c>
      <c r="BF47" s="70">
        <f t="shared" si="7"/>
        <v>826</v>
      </c>
      <c r="BG47" s="68">
        <f>SUM(BG48:BG59)</f>
        <v>331</v>
      </c>
      <c r="BH47" s="70">
        <f t="shared" ref="BH47:BK47" si="8">SUM(BH48:BH59)</f>
        <v>269</v>
      </c>
      <c r="BI47" s="70">
        <f t="shared" si="8"/>
        <v>245</v>
      </c>
      <c r="BJ47" s="70">
        <f t="shared" si="8"/>
        <v>246</v>
      </c>
      <c r="BK47" s="71">
        <f t="shared" si="8"/>
        <v>241</v>
      </c>
      <c r="BL47" s="68">
        <f>SUM(BL48:BL59)</f>
        <v>552</v>
      </c>
      <c r="BM47" s="70">
        <f t="shared" ref="BM47:BS47" si="9">SUM(BM48:BM59)</f>
        <v>1475</v>
      </c>
      <c r="BN47" s="70">
        <f t="shared" si="9"/>
        <v>1911</v>
      </c>
      <c r="BO47" s="70">
        <f t="shared" si="9"/>
        <v>1898</v>
      </c>
      <c r="BP47" s="70">
        <f t="shared" si="9"/>
        <v>1940</v>
      </c>
      <c r="BQ47" s="68">
        <f t="shared" si="9"/>
        <v>488</v>
      </c>
      <c r="BR47" s="72">
        <f t="shared" si="9"/>
        <v>1941</v>
      </c>
      <c r="BS47" s="72">
        <f t="shared" si="9"/>
        <v>2224</v>
      </c>
      <c r="BT47" s="119" t="s">
        <v>19</v>
      </c>
    </row>
    <row r="48" spans="1:80" ht="23.25" customHeight="1">
      <c r="A48" s="73" t="s">
        <v>59</v>
      </c>
      <c r="B48" s="73"/>
      <c r="C48" s="74">
        <v>87</v>
      </c>
      <c r="D48" s="74">
        <v>140</v>
      </c>
      <c r="E48" s="74">
        <v>189</v>
      </c>
      <c r="F48" s="75">
        <v>215</v>
      </c>
      <c r="G48" s="76">
        <v>166</v>
      </c>
      <c r="H48" s="77">
        <v>174</v>
      </c>
      <c r="I48" s="78">
        <v>199</v>
      </c>
      <c r="J48" s="78">
        <v>264</v>
      </c>
      <c r="K48" s="78">
        <v>232</v>
      </c>
      <c r="L48" s="79">
        <v>290</v>
      </c>
      <c r="M48" s="79">
        <v>428</v>
      </c>
      <c r="N48" s="79">
        <v>290</v>
      </c>
      <c r="O48" s="78">
        <v>356</v>
      </c>
      <c r="P48" s="76">
        <v>376</v>
      </c>
      <c r="Q48" s="78">
        <v>400</v>
      </c>
      <c r="R48" s="78">
        <v>137</v>
      </c>
      <c r="S48" s="78">
        <v>111</v>
      </c>
      <c r="T48" s="78">
        <v>175</v>
      </c>
      <c r="U48" s="78">
        <v>164</v>
      </c>
      <c r="V48" s="80" t="s">
        <v>102</v>
      </c>
      <c r="W48" s="78">
        <v>48</v>
      </c>
      <c r="X48" s="78">
        <v>115</v>
      </c>
      <c r="Y48" s="78">
        <v>496</v>
      </c>
      <c r="Z48" s="78">
        <v>406</v>
      </c>
      <c r="AA48" s="81">
        <v>408</v>
      </c>
      <c r="AB48" s="78">
        <v>227</v>
      </c>
      <c r="AC48" s="78">
        <v>230</v>
      </c>
      <c r="AD48" s="78">
        <v>166</v>
      </c>
      <c r="AE48" s="80" t="s">
        <v>102</v>
      </c>
      <c r="AF48" s="78">
        <v>351</v>
      </c>
      <c r="AG48" s="78">
        <v>339</v>
      </c>
      <c r="AH48" s="78">
        <v>157</v>
      </c>
      <c r="AI48" s="78">
        <v>117</v>
      </c>
      <c r="AJ48" s="78">
        <v>261</v>
      </c>
      <c r="AK48" s="78">
        <v>400</v>
      </c>
      <c r="AL48" s="76">
        <v>359</v>
      </c>
      <c r="AM48" s="78">
        <v>339</v>
      </c>
      <c r="AN48" s="78">
        <v>321</v>
      </c>
      <c r="AO48" s="78">
        <v>400</v>
      </c>
      <c r="AP48" s="80" t="s">
        <v>102</v>
      </c>
      <c r="AQ48" s="78">
        <v>191</v>
      </c>
      <c r="AR48" s="78">
        <v>441</v>
      </c>
      <c r="AS48" s="78">
        <v>361</v>
      </c>
      <c r="AT48" s="76">
        <v>331</v>
      </c>
      <c r="AU48" s="78">
        <v>342</v>
      </c>
      <c r="AV48" s="78">
        <v>288</v>
      </c>
      <c r="AW48" s="78">
        <v>351</v>
      </c>
      <c r="AX48" s="78">
        <v>415</v>
      </c>
      <c r="AY48" s="78">
        <v>414</v>
      </c>
      <c r="AZ48" s="78">
        <v>174</v>
      </c>
      <c r="BA48" s="76">
        <v>181</v>
      </c>
      <c r="BB48" s="78">
        <v>164</v>
      </c>
      <c r="BC48" s="78">
        <v>155</v>
      </c>
      <c r="BD48" s="78">
        <v>179</v>
      </c>
      <c r="BE48" s="78">
        <v>169</v>
      </c>
      <c r="BF48" s="78">
        <v>57</v>
      </c>
      <c r="BG48" s="76">
        <v>30</v>
      </c>
      <c r="BH48" s="78">
        <v>29</v>
      </c>
      <c r="BI48" s="78">
        <v>19</v>
      </c>
      <c r="BJ48" s="78">
        <v>23</v>
      </c>
      <c r="BK48" s="81">
        <v>24</v>
      </c>
      <c r="BL48" s="76" t="s">
        <v>103</v>
      </c>
      <c r="BM48" s="78">
        <v>124</v>
      </c>
      <c r="BN48" s="78">
        <v>142</v>
      </c>
      <c r="BO48" s="78">
        <v>178</v>
      </c>
      <c r="BP48" s="78">
        <v>156</v>
      </c>
      <c r="BQ48" s="76" t="s">
        <v>103</v>
      </c>
      <c r="BR48" s="78">
        <v>171</v>
      </c>
      <c r="BS48" s="78">
        <v>176</v>
      </c>
      <c r="BT48" s="117" t="s">
        <v>60</v>
      </c>
      <c r="BY48" s="60"/>
      <c r="BZ48" s="60"/>
      <c r="CA48" s="60"/>
      <c r="CB48" s="60"/>
    </row>
    <row r="49" spans="1:80" ht="23.25" customHeight="1">
      <c r="A49" s="73" t="s">
        <v>61</v>
      </c>
      <c r="B49" s="73"/>
      <c r="C49" s="74">
        <v>69</v>
      </c>
      <c r="D49" s="74">
        <v>128</v>
      </c>
      <c r="E49" s="74">
        <v>161</v>
      </c>
      <c r="F49" s="75">
        <v>192</v>
      </c>
      <c r="G49" s="76">
        <v>161</v>
      </c>
      <c r="H49" s="77">
        <v>195</v>
      </c>
      <c r="I49" s="78">
        <v>195</v>
      </c>
      <c r="J49" s="78">
        <v>213</v>
      </c>
      <c r="K49" s="78">
        <v>223</v>
      </c>
      <c r="L49" s="79">
        <v>268</v>
      </c>
      <c r="M49" s="79">
        <v>332</v>
      </c>
      <c r="N49" s="79">
        <v>314</v>
      </c>
      <c r="O49" s="78">
        <v>360</v>
      </c>
      <c r="P49" s="76">
        <v>336</v>
      </c>
      <c r="Q49" s="78">
        <v>428</v>
      </c>
      <c r="R49" s="78">
        <v>185</v>
      </c>
      <c r="S49" s="78">
        <v>109</v>
      </c>
      <c r="T49" s="78">
        <v>158</v>
      </c>
      <c r="U49" s="78">
        <v>176</v>
      </c>
      <c r="V49" s="80" t="s">
        <v>102</v>
      </c>
      <c r="W49" s="78">
        <v>40</v>
      </c>
      <c r="X49" s="78">
        <v>83</v>
      </c>
      <c r="Y49" s="78">
        <v>462</v>
      </c>
      <c r="Z49" s="78">
        <v>408</v>
      </c>
      <c r="AA49" s="81">
        <v>356</v>
      </c>
      <c r="AB49" s="78">
        <v>212</v>
      </c>
      <c r="AC49" s="78">
        <v>199</v>
      </c>
      <c r="AD49" s="78">
        <v>120</v>
      </c>
      <c r="AE49" s="80" t="s">
        <v>102</v>
      </c>
      <c r="AF49" s="78">
        <v>351</v>
      </c>
      <c r="AG49" s="78">
        <v>427</v>
      </c>
      <c r="AH49" s="78">
        <v>102</v>
      </c>
      <c r="AI49" s="78">
        <v>89</v>
      </c>
      <c r="AJ49" s="78">
        <v>221</v>
      </c>
      <c r="AK49" s="78">
        <v>380</v>
      </c>
      <c r="AL49" s="76">
        <v>407</v>
      </c>
      <c r="AM49" s="78">
        <v>323</v>
      </c>
      <c r="AN49" s="78">
        <v>260</v>
      </c>
      <c r="AO49" s="78">
        <v>373</v>
      </c>
      <c r="AP49" s="80" t="s">
        <v>102</v>
      </c>
      <c r="AQ49" s="78">
        <v>213</v>
      </c>
      <c r="AR49" s="78">
        <v>375</v>
      </c>
      <c r="AS49" s="78">
        <v>356</v>
      </c>
      <c r="AT49" s="76">
        <v>304</v>
      </c>
      <c r="AU49" s="78">
        <v>320</v>
      </c>
      <c r="AV49" s="78">
        <v>304</v>
      </c>
      <c r="AW49" s="78">
        <v>308</v>
      </c>
      <c r="AX49" s="78">
        <v>365</v>
      </c>
      <c r="AY49" s="78">
        <v>376</v>
      </c>
      <c r="AZ49" s="78">
        <v>159</v>
      </c>
      <c r="BA49" s="76">
        <v>169</v>
      </c>
      <c r="BB49" s="78">
        <v>159</v>
      </c>
      <c r="BC49" s="78">
        <v>161</v>
      </c>
      <c r="BD49" s="78">
        <v>164</v>
      </c>
      <c r="BE49" s="78">
        <v>164</v>
      </c>
      <c r="BF49" s="78">
        <v>83</v>
      </c>
      <c r="BG49" s="76">
        <v>23</v>
      </c>
      <c r="BH49" s="78">
        <v>23</v>
      </c>
      <c r="BI49" s="78">
        <v>17</v>
      </c>
      <c r="BJ49" s="78">
        <v>15</v>
      </c>
      <c r="BK49" s="81">
        <v>19</v>
      </c>
      <c r="BL49" s="76" t="s">
        <v>103</v>
      </c>
      <c r="BM49" s="78">
        <v>143</v>
      </c>
      <c r="BN49" s="78">
        <v>136</v>
      </c>
      <c r="BO49" s="78">
        <v>180</v>
      </c>
      <c r="BP49" s="78">
        <v>161</v>
      </c>
      <c r="BQ49" s="76" t="s">
        <v>103</v>
      </c>
      <c r="BR49" s="78">
        <v>168</v>
      </c>
      <c r="BS49" s="78">
        <v>181</v>
      </c>
      <c r="BT49" s="117" t="s">
        <v>62</v>
      </c>
    </row>
    <row r="50" spans="1:80" ht="23.25" customHeight="1">
      <c r="A50" s="73" t="s">
        <v>63</v>
      </c>
      <c r="B50" s="73"/>
      <c r="C50" s="74">
        <v>80</v>
      </c>
      <c r="D50" s="74">
        <v>161</v>
      </c>
      <c r="E50" s="74">
        <v>184</v>
      </c>
      <c r="F50" s="75">
        <v>214</v>
      </c>
      <c r="G50" s="76">
        <v>173</v>
      </c>
      <c r="H50" s="77">
        <v>201</v>
      </c>
      <c r="I50" s="78">
        <v>193</v>
      </c>
      <c r="J50" s="78">
        <v>258</v>
      </c>
      <c r="K50" s="78">
        <v>218</v>
      </c>
      <c r="L50" s="79">
        <v>202</v>
      </c>
      <c r="M50" s="79">
        <v>320</v>
      </c>
      <c r="N50" s="79">
        <v>358</v>
      </c>
      <c r="O50" s="78">
        <v>388</v>
      </c>
      <c r="P50" s="76">
        <v>396</v>
      </c>
      <c r="Q50" s="78">
        <v>402</v>
      </c>
      <c r="R50" s="78">
        <v>131</v>
      </c>
      <c r="S50" s="78">
        <v>98</v>
      </c>
      <c r="T50" s="78">
        <v>141</v>
      </c>
      <c r="U50" s="78">
        <v>190</v>
      </c>
      <c r="V50" s="80" t="s">
        <v>102</v>
      </c>
      <c r="W50" s="78">
        <v>56</v>
      </c>
      <c r="X50" s="78">
        <v>197</v>
      </c>
      <c r="Y50" s="78">
        <v>446</v>
      </c>
      <c r="Z50" s="78">
        <v>388</v>
      </c>
      <c r="AA50" s="81">
        <v>400</v>
      </c>
      <c r="AB50" s="78">
        <v>246</v>
      </c>
      <c r="AC50" s="78">
        <v>235</v>
      </c>
      <c r="AD50" s="78">
        <v>168</v>
      </c>
      <c r="AE50" s="80" t="s">
        <v>102</v>
      </c>
      <c r="AF50" s="78">
        <v>233</v>
      </c>
      <c r="AG50" s="78">
        <v>348</v>
      </c>
      <c r="AH50" s="78">
        <v>183</v>
      </c>
      <c r="AI50" s="78">
        <v>149</v>
      </c>
      <c r="AJ50" s="78">
        <v>277</v>
      </c>
      <c r="AK50" s="78">
        <v>391</v>
      </c>
      <c r="AL50" s="76">
        <v>377</v>
      </c>
      <c r="AM50" s="78">
        <v>314</v>
      </c>
      <c r="AN50" s="78">
        <v>281</v>
      </c>
      <c r="AO50" s="78">
        <v>369</v>
      </c>
      <c r="AP50" s="80" t="s">
        <v>102</v>
      </c>
      <c r="AQ50" s="78">
        <v>231</v>
      </c>
      <c r="AR50" s="78">
        <v>436</v>
      </c>
      <c r="AS50" s="78">
        <v>393</v>
      </c>
      <c r="AT50" s="76">
        <v>356</v>
      </c>
      <c r="AU50" s="78">
        <v>343</v>
      </c>
      <c r="AV50" s="78">
        <v>364</v>
      </c>
      <c r="AW50" s="78">
        <v>327</v>
      </c>
      <c r="AX50" s="78">
        <v>397</v>
      </c>
      <c r="AY50" s="78">
        <v>414</v>
      </c>
      <c r="AZ50" s="78">
        <v>176</v>
      </c>
      <c r="BA50" s="76">
        <v>170</v>
      </c>
      <c r="BB50" s="78">
        <v>163</v>
      </c>
      <c r="BC50" s="78">
        <v>174</v>
      </c>
      <c r="BD50" s="78">
        <v>169</v>
      </c>
      <c r="BE50" s="78">
        <v>178</v>
      </c>
      <c r="BF50" s="78">
        <v>108</v>
      </c>
      <c r="BG50" s="76">
        <v>25</v>
      </c>
      <c r="BH50" s="78">
        <v>23</v>
      </c>
      <c r="BI50" s="78">
        <v>20</v>
      </c>
      <c r="BJ50" s="78">
        <v>19</v>
      </c>
      <c r="BK50" s="81">
        <v>17</v>
      </c>
      <c r="BL50" s="76" t="s">
        <v>103</v>
      </c>
      <c r="BM50" s="78">
        <v>114</v>
      </c>
      <c r="BN50" s="78">
        <v>148</v>
      </c>
      <c r="BO50" s="78">
        <v>156</v>
      </c>
      <c r="BP50" s="78">
        <v>160</v>
      </c>
      <c r="BQ50" s="76" t="s">
        <v>103</v>
      </c>
      <c r="BR50" s="78">
        <v>150</v>
      </c>
      <c r="BS50" s="78">
        <v>202</v>
      </c>
      <c r="BT50" s="117" t="s">
        <v>64</v>
      </c>
    </row>
    <row r="51" spans="1:80" ht="23.25" customHeight="1">
      <c r="A51" s="73" t="s">
        <v>65</v>
      </c>
      <c r="B51" s="73"/>
      <c r="C51" s="74">
        <v>147</v>
      </c>
      <c r="D51" s="74">
        <v>149</v>
      </c>
      <c r="E51" s="74">
        <v>190</v>
      </c>
      <c r="F51" s="75">
        <v>192</v>
      </c>
      <c r="G51" s="76">
        <v>173</v>
      </c>
      <c r="H51" s="77">
        <v>192</v>
      </c>
      <c r="I51" s="78">
        <v>211</v>
      </c>
      <c r="J51" s="78">
        <v>245</v>
      </c>
      <c r="K51" s="78">
        <v>213</v>
      </c>
      <c r="L51" s="79">
        <v>192</v>
      </c>
      <c r="M51" s="79">
        <v>358</v>
      </c>
      <c r="N51" s="79">
        <v>268</v>
      </c>
      <c r="O51" s="78">
        <v>354</v>
      </c>
      <c r="P51" s="76">
        <v>390</v>
      </c>
      <c r="Q51" s="78">
        <v>368</v>
      </c>
      <c r="R51" s="78">
        <v>167</v>
      </c>
      <c r="S51" s="78">
        <v>131</v>
      </c>
      <c r="T51" s="78">
        <v>174</v>
      </c>
      <c r="U51" s="78">
        <v>166</v>
      </c>
      <c r="V51" s="80" t="s">
        <v>102</v>
      </c>
      <c r="W51" s="78">
        <v>42</v>
      </c>
      <c r="X51" s="78">
        <v>241</v>
      </c>
      <c r="Y51" s="78">
        <v>436</v>
      </c>
      <c r="Z51" s="78">
        <v>438</v>
      </c>
      <c r="AA51" s="81">
        <v>412</v>
      </c>
      <c r="AB51" s="78">
        <v>230</v>
      </c>
      <c r="AC51" s="78">
        <v>229</v>
      </c>
      <c r="AD51" s="78">
        <v>139</v>
      </c>
      <c r="AE51" s="80" t="s">
        <v>102</v>
      </c>
      <c r="AF51" s="78">
        <v>226</v>
      </c>
      <c r="AG51" s="78">
        <v>284</v>
      </c>
      <c r="AH51" s="78">
        <v>138</v>
      </c>
      <c r="AI51" s="78">
        <v>120</v>
      </c>
      <c r="AJ51" s="78">
        <v>278</v>
      </c>
      <c r="AK51" s="78">
        <v>390</v>
      </c>
      <c r="AL51" s="76">
        <v>367</v>
      </c>
      <c r="AM51" s="78">
        <v>314</v>
      </c>
      <c r="AN51" s="78">
        <v>289</v>
      </c>
      <c r="AO51" s="78">
        <v>346</v>
      </c>
      <c r="AP51" s="80" t="s">
        <v>102</v>
      </c>
      <c r="AQ51" s="78">
        <v>239</v>
      </c>
      <c r="AR51" s="78">
        <v>437</v>
      </c>
      <c r="AS51" s="78">
        <v>358</v>
      </c>
      <c r="AT51" s="76">
        <v>341</v>
      </c>
      <c r="AU51" s="78">
        <v>328</v>
      </c>
      <c r="AV51" s="78">
        <v>289</v>
      </c>
      <c r="AW51" s="78">
        <v>316</v>
      </c>
      <c r="AX51" s="78">
        <v>353</v>
      </c>
      <c r="AY51" s="78">
        <v>471</v>
      </c>
      <c r="AZ51" s="78">
        <v>175</v>
      </c>
      <c r="BA51" s="76">
        <v>175</v>
      </c>
      <c r="BB51" s="78">
        <v>154</v>
      </c>
      <c r="BC51" s="78">
        <v>158</v>
      </c>
      <c r="BD51" s="78">
        <v>164</v>
      </c>
      <c r="BE51" s="78">
        <v>165</v>
      </c>
      <c r="BF51" s="78">
        <v>112</v>
      </c>
      <c r="BG51" s="76">
        <v>26</v>
      </c>
      <c r="BH51" s="78">
        <v>21</v>
      </c>
      <c r="BI51" s="78">
        <v>22</v>
      </c>
      <c r="BJ51" s="78">
        <v>21</v>
      </c>
      <c r="BK51" s="81">
        <v>21</v>
      </c>
      <c r="BL51" s="76" t="s">
        <v>103</v>
      </c>
      <c r="BM51" s="78">
        <v>106</v>
      </c>
      <c r="BN51" s="78">
        <v>156</v>
      </c>
      <c r="BO51" s="78">
        <v>146</v>
      </c>
      <c r="BP51" s="78">
        <v>156</v>
      </c>
      <c r="BQ51" s="76" t="s">
        <v>103</v>
      </c>
      <c r="BR51" s="78">
        <v>161</v>
      </c>
      <c r="BS51" s="78">
        <v>181</v>
      </c>
      <c r="BT51" s="117" t="s">
        <v>66</v>
      </c>
      <c r="BY51" s="60"/>
      <c r="BZ51" s="60"/>
      <c r="CA51" s="60"/>
      <c r="CB51" s="60"/>
    </row>
    <row r="52" spans="1:80" ht="23.25" customHeight="1">
      <c r="A52" s="73" t="s">
        <v>67</v>
      </c>
      <c r="B52" s="73"/>
      <c r="C52" s="74">
        <v>128</v>
      </c>
      <c r="D52" s="74">
        <v>139</v>
      </c>
      <c r="E52" s="74">
        <v>178</v>
      </c>
      <c r="F52" s="75">
        <v>186</v>
      </c>
      <c r="G52" s="76">
        <v>182</v>
      </c>
      <c r="H52" s="77">
        <v>194</v>
      </c>
      <c r="I52" s="78">
        <v>209</v>
      </c>
      <c r="J52" s="78">
        <v>200</v>
      </c>
      <c r="K52" s="78">
        <v>220</v>
      </c>
      <c r="L52" s="79">
        <v>274</v>
      </c>
      <c r="M52" s="79">
        <v>284</v>
      </c>
      <c r="N52" s="79">
        <v>274</v>
      </c>
      <c r="O52" s="78">
        <v>368</v>
      </c>
      <c r="P52" s="76">
        <v>356</v>
      </c>
      <c r="Q52" s="78">
        <v>364</v>
      </c>
      <c r="R52" s="78">
        <v>102</v>
      </c>
      <c r="S52" s="78">
        <v>99</v>
      </c>
      <c r="T52" s="78">
        <v>130</v>
      </c>
      <c r="U52" s="78">
        <v>154</v>
      </c>
      <c r="V52" s="80" t="s">
        <v>102</v>
      </c>
      <c r="W52" s="78">
        <v>68</v>
      </c>
      <c r="X52" s="78">
        <v>233</v>
      </c>
      <c r="Y52" s="78">
        <v>380</v>
      </c>
      <c r="Z52" s="78">
        <v>372</v>
      </c>
      <c r="AA52" s="81">
        <v>426</v>
      </c>
      <c r="AB52" s="78">
        <v>236</v>
      </c>
      <c r="AC52" s="78">
        <v>222</v>
      </c>
      <c r="AD52" s="78">
        <v>136</v>
      </c>
      <c r="AE52" s="80" t="s">
        <v>102</v>
      </c>
      <c r="AF52" s="78">
        <v>180</v>
      </c>
      <c r="AG52" s="78">
        <v>382</v>
      </c>
      <c r="AH52" s="78">
        <v>168</v>
      </c>
      <c r="AI52" s="78">
        <v>147</v>
      </c>
      <c r="AJ52" s="78">
        <v>211</v>
      </c>
      <c r="AK52" s="78">
        <v>411</v>
      </c>
      <c r="AL52" s="76">
        <v>397</v>
      </c>
      <c r="AM52" s="78">
        <v>370</v>
      </c>
      <c r="AN52" s="78">
        <v>325</v>
      </c>
      <c r="AO52" s="78">
        <v>527</v>
      </c>
      <c r="AP52" s="80" t="s">
        <v>102</v>
      </c>
      <c r="AQ52" s="78">
        <v>288</v>
      </c>
      <c r="AR52" s="78">
        <v>454</v>
      </c>
      <c r="AS52" s="78">
        <v>370</v>
      </c>
      <c r="AT52" s="76">
        <v>341</v>
      </c>
      <c r="AU52" s="78">
        <v>321</v>
      </c>
      <c r="AV52" s="78">
        <v>259</v>
      </c>
      <c r="AW52" s="78">
        <v>319</v>
      </c>
      <c r="AX52" s="78">
        <v>336</v>
      </c>
      <c r="AY52" s="78">
        <v>428</v>
      </c>
      <c r="AZ52" s="78">
        <v>181</v>
      </c>
      <c r="BA52" s="76">
        <v>166</v>
      </c>
      <c r="BB52" s="78">
        <v>163</v>
      </c>
      <c r="BC52" s="78">
        <v>142</v>
      </c>
      <c r="BD52" s="78">
        <v>158</v>
      </c>
      <c r="BE52" s="78">
        <v>149</v>
      </c>
      <c r="BF52" s="78">
        <v>91</v>
      </c>
      <c r="BG52" s="76">
        <v>28</v>
      </c>
      <c r="BH52" s="78">
        <v>21</v>
      </c>
      <c r="BI52" s="78">
        <v>20</v>
      </c>
      <c r="BJ52" s="78">
        <v>16</v>
      </c>
      <c r="BK52" s="81">
        <v>15</v>
      </c>
      <c r="BL52" s="76">
        <v>9</v>
      </c>
      <c r="BM52" s="78">
        <v>90</v>
      </c>
      <c r="BN52" s="78">
        <v>160</v>
      </c>
      <c r="BO52" s="78">
        <v>146</v>
      </c>
      <c r="BP52" s="78">
        <v>182</v>
      </c>
      <c r="BQ52" s="76" t="s">
        <v>103</v>
      </c>
      <c r="BR52" s="78">
        <v>148</v>
      </c>
      <c r="BS52" s="78">
        <v>184</v>
      </c>
      <c r="BT52" s="117" t="s">
        <v>68</v>
      </c>
    </row>
    <row r="53" spans="1:80" ht="23.25" customHeight="1">
      <c r="A53" s="73" t="s">
        <v>69</v>
      </c>
      <c r="B53" s="73"/>
      <c r="C53" s="74">
        <v>137</v>
      </c>
      <c r="D53" s="74">
        <v>136</v>
      </c>
      <c r="E53" s="74">
        <v>192</v>
      </c>
      <c r="F53" s="75">
        <v>180</v>
      </c>
      <c r="G53" s="76">
        <v>174</v>
      </c>
      <c r="H53" s="77">
        <v>185</v>
      </c>
      <c r="I53" s="78">
        <v>192</v>
      </c>
      <c r="J53" s="78">
        <v>175</v>
      </c>
      <c r="K53" s="78">
        <v>185</v>
      </c>
      <c r="L53" s="79">
        <v>278</v>
      </c>
      <c r="M53" s="79">
        <v>318</v>
      </c>
      <c r="N53" s="79">
        <v>328</v>
      </c>
      <c r="O53" s="78">
        <v>346</v>
      </c>
      <c r="P53" s="76">
        <v>340</v>
      </c>
      <c r="Q53" s="78">
        <v>336</v>
      </c>
      <c r="R53" s="78">
        <v>127</v>
      </c>
      <c r="S53" s="78">
        <v>102</v>
      </c>
      <c r="T53" s="78">
        <v>173</v>
      </c>
      <c r="U53" s="78">
        <v>169</v>
      </c>
      <c r="V53" s="80" t="s">
        <v>102</v>
      </c>
      <c r="W53" s="78">
        <v>58</v>
      </c>
      <c r="X53" s="78">
        <v>225</v>
      </c>
      <c r="Y53" s="78">
        <v>376</v>
      </c>
      <c r="Z53" s="78">
        <v>356</v>
      </c>
      <c r="AA53" s="81">
        <v>406</v>
      </c>
      <c r="AB53" s="78">
        <v>231</v>
      </c>
      <c r="AC53" s="78">
        <v>138</v>
      </c>
      <c r="AD53" s="78">
        <v>198</v>
      </c>
      <c r="AE53" s="80" t="s">
        <v>102</v>
      </c>
      <c r="AF53" s="78">
        <v>150</v>
      </c>
      <c r="AG53" s="78">
        <v>354</v>
      </c>
      <c r="AH53" s="78">
        <v>168</v>
      </c>
      <c r="AI53" s="78">
        <v>137</v>
      </c>
      <c r="AJ53" s="78">
        <v>190</v>
      </c>
      <c r="AK53" s="78">
        <v>407</v>
      </c>
      <c r="AL53" s="76">
        <v>345</v>
      </c>
      <c r="AM53" s="78">
        <v>327</v>
      </c>
      <c r="AN53" s="78">
        <v>395</v>
      </c>
      <c r="AO53" s="78">
        <v>374</v>
      </c>
      <c r="AP53" s="80" t="s">
        <v>102</v>
      </c>
      <c r="AQ53" s="78">
        <v>292</v>
      </c>
      <c r="AR53" s="78">
        <v>442</v>
      </c>
      <c r="AS53" s="78">
        <v>331</v>
      </c>
      <c r="AT53" s="76">
        <v>302</v>
      </c>
      <c r="AU53" s="78">
        <v>286</v>
      </c>
      <c r="AV53" s="78">
        <v>341</v>
      </c>
      <c r="AW53" s="78">
        <v>310</v>
      </c>
      <c r="AX53" s="78">
        <v>340</v>
      </c>
      <c r="AY53" s="78">
        <v>450</v>
      </c>
      <c r="AZ53" s="78">
        <v>168</v>
      </c>
      <c r="BA53" s="76">
        <v>146</v>
      </c>
      <c r="BB53" s="78">
        <v>144</v>
      </c>
      <c r="BC53" s="78">
        <v>145</v>
      </c>
      <c r="BD53" s="78">
        <v>155</v>
      </c>
      <c r="BE53" s="78">
        <v>153</v>
      </c>
      <c r="BF53" s="78">
        <v>68</v>
      </c>
      <c r="BG53" s="76">
        <v>28</v>
      </c>
      <c r="BH53" s="78">
        <v>18</v>
      </c>
      <c r="BI53" s="78">
        <v>20</v>
      </c>
      <c r="BJ53" s="78">
        <v>19</v>
      </c>
      <c r="BK53" s="81">
        <v>20</v>
      </c>
      <c r="BL53" s="76">
        <v>43</v>
      </c>
      <c r="BM53" s="78">
        <v>86</v>
      </c>
      <c r="BN53" s="78">
        <v>147</v>
      </c>
      <c r="BO53" s="78">
        <v>150</v>
      </c>
      <c r="BP53" s="78">
        <v>151</v>
      </c>
      <c r="BQ53" s="76" t="s">
        <v>103</v>
      </c>
      <c r="BR53" s="78">
        <v>123</v>
      </c>
      <c r="BS53" s="78">
        <v>166</v>
      </c>
      <c r="BT53" s="117" t="s">
        <v>70</v>
      </c>
    </row>
    <row r="54" spans="1:80" ht="23.25" customHeight="1">
      <c r="A54" s="73" t="s">
        <v>71</v>
      </c>
      <c r="B54" s="73"/>
      <c r="C54" s="74">
        <v>178</v>
      </c>
      <c r="D54" s="74">
        <v>154</v>
      </c>
      <c r="E54" s="74">
        <v>189</v>
      </c>
      <c r="F54" s="75">
        <v>178</v>
      </c>
      <c r="G54" s="76">
        <v>168</v>
      </c>
      <c r="H54" s="77">
        <v>193</v>
      </c>
      <c r="I54" s="78">
        <v>215</v>
      </c>
      <c r="J54" s="78">
        <v>195</v>
      </c>
      <c r="K54" s="78">
        <v>195</v>
      </c>
      <c r="L54" s="79">
        <v>322</v>
      </c>
      <c r="M54" s="79">
        <v>372</v>
      </c>
      <c r="N54" s="79">
        <v>308</v>
      </c>
      <c r="O54" s="78">
        <v>362</v>
      </c>
      <c r="P54" s="76">
        <v>356</v>
      </c>
      <c r="Q54" s="78">
        <v>402</v>
      </c>
      <c r="R54" s="78">
        <v>161</v>
      </c>
      <c r="S54" s="78">
        <v>146</v>
      </c>
      <c r="T54" s="78">
        <v>124</v>
      </c>
      <c r="U54" s="78">
        <v>161</v>
      </c>
      <c r="V54" s="80" t="s">
        <v>102</v>
      </c>
      <c r="W54" s="78">
        <v>60</v>
      </c>
      <c r="X54" s="78">
        <v>228</v>
      </c>
      <c r="Y54" s="78">
        <v>442</v>
      </c>
      <c r="Z54" s="78">
        <v>370</v>
      </c>
      <c r="AA54" s="81">
        <v>402</v>
      </c>
      <c r="AB54" s="78">
        <v>247</v>
      </c>
      <c r="AC54" s="78">
        <v>132</v>
      </c>
      <c r="AD54" s="78">
        <v>211</v>
      </c>
      <c r="AE54" s="80" t="s">
        <v>102</v>
      </c>
      <c r="AF54" s="78">
        <v>226</v>
      </c>
      <c r="AG54" s="78">
        <v>337</v>
      </c>
      <c r="AH54" s="78">
        <v>189</v>
      </c>
      <c r="AI54" s="78">
        <v>148</v>
      </c>
      <c r="AJ54" s="78">
        <v>151</v>
      </c>
      <c r="AK54" s="78">
        <v>452</v>
      </c>
      <c r="AL54" s="76">
        <v>353</v>
      </c>
      <c r="AM54" s="78">
        <v>338</v>
      </c>
      <c r="AN54" s="78">
        <v>428</v>
      </c>
      <c r="AO54" s="78">
        <v>403</v>
      </c>
      <c r="AP54" s="80" t="s">
        <v>102</v>
      </c>
      <c r="AQ54" s="78">
        <v>302</v>
      </c>
      <c r="AR54" s="78">
        <v>430</v>
      </c>
      <c r="AS54" s="78">
        <v>346</v>
      </c>
      <c r="AT54" s="76">
        <v>330</v>
      </c>
      <c r="AU54" s="78">
        <v>296</v>
      </c>
      <c r="AV54" s="78">
        <v>254</v>
      </c>
      <c r="AW54" s="78">
        <v>366</v>
      </c>
      <c r="AX54" s="78">
        <v>378</v>
      </c>
      <c r="AY54" s="78">
        <v>478</v>
      </c>
      <c r="AZ54" s="78">
        <v>173</v>
      </c>
      <c r="BA54" s="76">
        <v>152</v>
      </c>
      <c r="BB54" s="78">
        <v>162</v>
      </c>
      <c r="BC54" s="78">
        <v>154</v>
      </c>
      <c r="BD54" s="78">
        <v>166</v>
      </c>
      <c r="BE54" s="78">
        <v>153</v>
      </c>
      <c r="BF54" s="78">
        <v>58</v>
      </c>
      <c r="BG54" s="76">
        <v>26</v>
      </c>
      <c r="BH54" s="78">
        <v>25</v>
      </c>
      <c r="BI54" s="78">
        <v>21</v>
      </c>
      <c r="BJ54" s="78">
        <v>19</v>
      </c>
      <c r="BK54" s="81">
        <v>23</v>
      </c>
      <c r="BL54" s="76">
        <v>39</v>
      </c>
      <c r="BM54" s="78">
        <v>120</v>
      </c>
      <c r="BN54" s="78">
        <v>155</v>
      </c>
      <c r="BO54" s="78">
        <v>169</v>
      </c>
      <c r="BP54" s="78">
        <v>165</v>
      </c>
      <c r="BQ54" s="76" t="s">
        <v>103</v>
      </c>
      <c r="BR54" s="78">
        <v>157</v>
      </c>
      <c r="BS54" s="78">
        <v>176</v>
      </c>
      <c r="BT54" s="117" t="s">
        <v>72</v>
      </c>
      <c r="BY54" s="60"/>
      <c r="BZ54" s="60"/>
      <c r="CA54" s="60"/>
      <c r="CB54" s="60"/>
    </row>
    <row r="55" spans="1:80" ht="23.25" customHeight="1">
      <c r="A55" s="73" t="s">
        <v>73</v>
      </c>
      <c r="B55" s="73"/>
      <c r="C55" s="74">
        <v>139</v>
      </c>
      <c r="D55" s="74">
        <v>153</v>
      </c>
      <c r="E55" s="74">
        <v>200</v>
      </c>
      <c r="F55" s="75">
        <v>189</v>
      </c>
      <c r="G55" s="76">
        <v>173</v>
      </c>
      <c r="H55" s="77">
        <v>214</v>
      </c>
      <c r="I55" s="78">
        <v>217</v>
      </c>
      <c r="J55" s="78">
        <v>210</v>
      </c>
      <c r="K55" s="78">
        <v>221</v>
      </c>
      <c r="L55" s="79">
        <v>254</v>
      </c>
      <c r="M55" s="79">
        <v>362</v>
      </c>
      <c r="N55" s="79">
        <v>464</v>
      </c>
      <c r="O55" s="78">
        <v>392</v>
      </c>
      <c r="P55" s="76">
        <v>346</v>
      </c>
      <c r="Q55" s="78">
        <v>438</v>
      </c>
      <c r="R55" s="78">
        <v>121</v>
      </c>
      <c r="S55" s="78">
        <v>145</v>
      </c>
      <c r="T55" s="78">
        <v>138</v>
      </c>
      <c r="U55" s="78">
        <v>159</v>
      </c>
      <c r="V55" s="80" t="s">
        <v>102</v>
      </c>
      <c r="W55" s="78">
        <v>66</v>
      </c>
      <c r="X55" s="78">
        <v>226</v>
      </c>
      <c r="Y55" s="78">
        <v>436</v>
      </c>
      <c r="Z55" s="78">
        <v>412</v>
      </c>
      <c r="AA55" s="81">
        <v>424</v>
      </c>
      <c r="AB55" s="78">
        <v>226</v>
      </c>
      <c r="AC55" s="78">
        <v>99</v>
      </c>
      <c r="AD55" s="78">
        <v>149</v>
      </c>
      <c r="AE55" s="80" t="s">
        <v>102</v>
      </c>
      <c r="AF55" s="78">
        <v>250</v>
      </c>
      <c r="AG55" s="78">
        <v>402</v>
      </c>
      <c r="AH55" s="78">
        <v>146</v>
      </c>
      <c r="AI55" s="78">
        <v>180</v>
      </c>
      <c r="AJ55" s="78">
        <v>177</v>
      </c>
      <c r="AK55" s="78">
        <v>464</v>
      </c>
      <c r="AL55" s="76">
        <v>365</v>
      </c>
      <c r="AM55" s="78">
        <v>381</v>
      </c>
      <c r="AN55" s="78">
        <v>421</v>
      </c>
      <c r="AO55" s="78">
        <v>450</v>
      </c>
      <c r="AP55" s="80" t="s">
        <v>102</v>
      </c>
      <c r="AQ55" s="78">
        <v>333</v>
      </c>
      <c r="AR55" s="78">
        <v>420</v>
      </c>
      <c r="AS55" s="78">
        <v>370</v>
      </c>
      <c r="AT55" s="76">
        <v>341</v>
      </c>
      <c r="AU55" s="78">
        <v>329</v>
      </c>
      <c r="AV55" s="78">
        <v>159</v>
      </c>
      <c r="AW55" s="78">
        <v>397</v>
      </c>
      <c r="AX55" s="78">
        <v>430</v>
      </c>
      <c r="AY55" s="78">
        <v>480</v>
      </c>
      <c r="AZ55" s="78">
        <v>172</v>
      </c>
      <c r="BA55" s="76">
        <v>163</v>
      </c>
      <c r="BB55" s="78">
        <v>156</v>
      </c>
      <c r="BC55" s="78">
        <v>148</v>
      </c>
      <c r="BD55" s="78">
        <v>165</v>
      </c>
      <c r="BE55" s="78">
        <v>161</v>
      </c>
      <c r="BF55" s="78">
        <v>60</v>
      </c>
      <c r="BG55" s="76">
        <v>26</v>
      </c>
      <c r="BH55" s="78">
        <v>19</v>
      </c>
      <c r="BI55" s="78">
        <v>22</v>
      </c>
      <c r="BJ55" s="78">
        <v>27</v>
      </c>
      <c r="BK55" s="81">
        <v>30</v>
      </c>
      <c r="BL55" s="76">
        <v>54</v>
      </c>
      <c r="BM55" s="78">
        <v>149</v>
      </c>
      <c r="BN55" s="78">
        <v>173</v>
      </c>
      <c r="BO55" s="78">
        <v>147</v>
      </c>
      <c r="BP55" s="78">
        <v>155</v>
      </c>
      <c r="BQ55" s="76" t="s">
        <v>103</v>
      </c>
      <c r="BR55" s="78">
        <v>172</v>
      </c>
      <c r="BS55" s="78">
        <v>189</v>
      </c>
      <c r="BT55" s="117" t="s">
        <v>74</v>
      </c>
    </row>
    <row r="56" spans="1:80" ht="23.25" customHeight="1">
      <c r="A56" s="73" t="s">
        <v>75</v>
      </c>
      <c r="B56" s="73"/>
      <c r="C56" s="74">
        <v>148</v>
      </c>
      <c r="D56" s="74">
        <v>155</v>
      </c>
      <c r="E56" s="74">
        <v>200</v>
      </c>
      <c r="F56" s="75">
        <v>185</v>
      </c>
      <c r="G56" s="76">
        <v>177</v>
      </c>
      <c r="H56" s="77">
        <v>233</v>
      </c>
      <c r="I56" s="78">
        <v>242</v>
      </c>
      <c r="J56" s="78">
        <v>215</v>
      </c>
      <c r="K56" s="78">
        <v>228</v>
      </c>
      <c r="L56" s="79">
        <v>272</v>
      </c>
      <c r="M56" s="79">
        <v>286</v>
      </c>
      <c r="N56" s="79">
        <v>376</v>
      </c>
      <c r="O56" s="78">
        <v>346</v>
      </c>
      <c r="P56" s="76">
        <v>320</v>
      </c>
      <c r="Q56" s="78">
        <v>432</v>
      </c>
      <c r="R56" s="78">
        <v>139</v>
      </c>
      <c r="S56" s="78">
        <v>100</v>
      </c>
      <c r="T56" s="78">
        <v>202</v>
      </c>
      <c r="U56" s="78">
        <v>139</v>
      </c>
      <c r="V56" s="80" t="s">
        <v>102</v>
      </c>
      <c r="W56" s="78">
        <v>54</v>
      </c>
      <c r="X56" s="78">
        <v>199</v>
      </c>
      <c r="Y56" s="78">
        <v>434</v>
      </c>
      <c r="Z56" s="78">
        <v>402</v>
      </c>
      <c r="AA56" s="81">
        <v>392</v>
      </c>
      <c r="AB56" s="78">
        <v>223</v>
      </c>
      <c r="AC56" s="78">
        <v>185</v>
      </c>
      <c r="AD56" s="78">
        <v>167</v>
      </c>
      <c r="AE56" s="80" t="s">
        <v>102</v>
      </c>
      <c r="AF56" s="78">
        <v>308</v>
      </c>
      <c r="AG56" s="78">
        <v>387</v>
      </c>
      <c r="AH56" s="78">
        <v>172</v>
      </c>
      <c r="AI56" s="78">
        <v>191</v>
      </c>
      <c r="AJ56" s="78">
        <v>178</v>
      </c>
      <c r="AK56" s="78">
        <v>409</v>
      </c>
      <c r="AL56" s="76">
        <v>341</v>
      </c>
      <c r="AM56" s="78">
        <v>317</v>
      </c>
      <c r="AN56" s="78">
        <v>419</v>
      </c>
      <c r="AO56" s="78">
        <v>375</v>
      </c>
      <c r="AP56" s="80" t="s">
        <v>102</v>
      </c>
      <c r="AQ56" s="78">
        <v>335</v>
      </c>
      <c r="AR56" s="78">
        <v>318</v>
      </c>
      <c r="AS56" s="78">
        <v>357</v>
      </c>
      <c r="AT56" s="76">
        <v>314</v>
      </c>
      <c r="AU56" s="78">
        <v>331</v>
      </c>
      <c r="AV56" s="78">
        <v>159</v>
      </c>
      <c r="AW56" s="78">
        <v>362</v>
      </c>
      <c r="AX56" s="78">
        <v>360</v>
      </c>
      <c r="AY56" s="78">
        <v>380</v>
      </c>
      <c r="AZ56" s="78">
        <v>166</v>
      </c>
      <c r="BA56" s="76">
        <v>151</v>
      </c>
      <c r="BB56" s="78">
        <v>155</v>
      </c>
      <c r="BC56" s="78">
        <v>166</v>
      </c>
      <c r="BD56" s="78">
        <v>158</v>
      </c>
      <c r="BE56" s="78">
        <v>154</v>
      </c>
      <c r="BF56" s="78">
        <v>46</v>
      </c>
      <c r="BG56" s="76">
        <v>32</v>
      </c>
      <c r="BH56" s="78">
        <v>24</v>
      </c>
      <c r="BI56" s="78">
        <v>21</v>
      </c>
      <c r="BJ56" s="78">
        <v>23</v>
      </c>
      <c r="BK56" s="81">
        <v>21</v>
      </c>
      <c r="BL56" s="76">
        <v>69</v>
      </c>
      <c r="BM56" s="78">
        <v>130</v>
      </c>
      <c r="BN56" s="78">
        <v>173</v>
      </c>
      <c r="BO56" s="78">
        <v>141</v>
      </c>
      <c r="BP56" s="78">
        <v>154</v>
      </c>
      <c r="BQ56" s="76" t="s">
        <v>103</v>
      </c>
      <c r="BR56" s="78">
        <v>165</v>
      </c>
      <c r="BS56" s="78">
        <v>161</v>
      </c>
      <c r="BT56" s="117" t="s">
        <v>76</v>
      </c>
    </row>
    <row r="57" spans="1:80" ht="23.25" customHeight="1">
      <c r="A57" s="73" t="s">
        <v>77</v>
      </c>
      <c r="B57" s="73"/>
      <c r="C57" s="74">
        <v>144</v>
      </c>
      <c r="D57" s="74">
        <v>157</v>
      </c>
      <c r="E57" s="74">
        <v>204</v>
      </c>
      <c r="F57" s="75">
        <v>180</v>
      </c>
      <c r="G57" s="76">
        <v>163</v>
      </c>
      <c r="H57" s="77">
        <v>228</v>
      </c>
      <c r="I57" s="78">
        <v>238</v>
      </c>
      <c r="J57" s="78">
        <v>168</v>
      </c>
      <c r="K57" s="78">
        <v>217</v>
      </c>
      <c r="L57" s="79">
        <v>190</v>
      </c>
      <c r="M57" s="79">
        <v>272</v>
      </c>
      <c r="N57" s="79">
        <v>380</v>
      </c>
      <c r="O57" s="78">
        <v>366</v>
      </c>
      <c r="P57" s="76">
        <v>334</v>
      </c>
      <c r="Q57" s="78">
        <v>492</v>
      </c>
      <c r="R57" s="78">
        <v>104</v>
      </c>
      <c r="S57" s="78">
        <v>122</v>
      </c>
      <c r="T57" s="78">
        <v>165</v>
      </c>
      <c r="U57" s="78">
        <v>177</v>
      </c>
      <c r="V57" s="78">
        <v>4</v>
      </c>
      <c r="W57" s="78">
        <v>52</v>
      </c>
      <c r="X57" s="78">
        <v>210</v>
      </c>
      <c r="Y57" s="78">
        <v>446</v>
      </c>
      <c r="Z57" s="78">
        <v>394</v>
      </c>
      <c r="AA57" s="81">
        <v>408</v>
      </c>
      <c r="AB57" s="78">
        <v>251</v>
      </c>
      <c r="AC57" s="78">
        <v>104</v>
      </c>
      <c r="AD57" s="78">
        <v>172</v>
      </c>
      <c r="AE57" s="78">
        <v>186</v>
      </c>
      <c r="AF57" s="78">
        <v>365</v>
      </c>
      <c r="AG57" s="78">
        <v>439</v>
      </c>
      <c r="AH57" s="78">
        <v>122</v>
      </c>
      <c r="AI57" s="78">
        <v>105</v>
      </c>
      <c r="AJ57" s="78">
        <v>151</v>
      </c>
      <c r="AK57" s="78">
        <v>451</v>
      </c>
      <c r="AL57" s="76">
        <v>336</v>
      </c>
      <c r="AM57" s="78">
        <v>326</v>
      </c>
      <c r="AN57" s="78">
        <v>402</v>
      </c>
      <c r="AO57" s="78">
        <v>414</v>
      </c>
      <c r="AP57" s="78">
        <v>30</v>
      </c>
      <c r="AQ57" s="78">
        <v>357</v>
      </c>
      <c r="AR57" s="78">
        <v>350</v>
      </c>
      <c r="AS57" s="78">
        <v>368</v>
      </c>
      <c r="AT57" s="76">
        <v>328</v>
      </c>
      <c r="AU57" s="78">
        <v>321</v>
      </c>
      <c r="AV57" s="78">
        <v>160</v>
      </c>
      <c r="AW57" s="78">
        <v>387</v>
      </c>
      <c r="AX57" s="78">
        <v>392</v>
      </c>
      <c r="AY57" s="78">
        <v>441</v>
      </c>
      <c r="AZ57" s="78">
        <v>185</v>
      </c>
      <c r="BA57" s="76">
        <v>173</v>
      </c>
      <c r="BB57" s="78">
        <v>167</v>
      </c>
      <c r="BC57" s="78">
        <v>163</v>
      </c>
      <c r="BD57" s="78">
        <v>167</v>
      </c>
      <c r="BE57" s="78">
        <v>165</v>
      </c>
      <c r="BF57" s="78">
        <v>54</v>
      </c>
      <c r="BG57" s="76">
        <v>27</v>
      </c>
      <c r="BH57" s="78">
        <v>20</v>
      </c>
      <c r="BI57" s="78">
        <v>19</v>
      </c>
      <c r="BJ57" s="78">
        <v>18</v>
      </c>
      <c r="BK57" s="81">
        <v>19</v>
      </c>
      <c r="BL57" s="76">
        <v>87</v>
      </c>
      <c r="BM57" s="78">
        <v>150</v>
      </c>
      <c r="BN57" s="78">
        <v>188</v>
      </c>
      <c r="BO57" s="78">
        <v>171</v>
      </c>
      <c r="BP57" s="78">
        <v>171</v>
      </c>
      <c r="BQ57" s="76">
        <v>132</v>
      </c>
      <c r="BR57" s="78">
        <v>180</v>
      </c>
      <c r="BS57" s="78">
        <v>186</v>
      </c>
      <c r="BT57" s="117" t="s">
        <v>78</v>
      </c>
      <c r="BY57" s="60"/>
      <c r="BZ57" s="60"/>
      <c r="CA57" s="60"/>
      <c r="CB57" s="60"/>
    </row>
    <row r="58" spans="1:80" ht="23.25" customHeight="1">
      <c r="A58" s="73" t="s">
        <v>79</v>
      </c>
      <c r="B58" s="73"/>
      <c r="C58" s="74">
        <v>151</v>
      </c>
      <c r="D58" s="74">
        <v>170</v>
      </c>
      <c r="E58" s="74">
        <v>203</v>
      </c>
      <c r="F58" s="75">
        <v>147</v>
      </c>
      <c r="G58" s="76">
        <v>179</v>
      </c>
      <c r="H58" s="77">
        <v>202</v>
      </c>
      <c r="I58" s="78">
        <v>241</v>
      </c>
      <c r="J58" s="78">
        <v>204</v>
      </c>
      <c r="K58" s="78">
        <v>226</v>
      </c>
      <c r="L58" s="79">
        <v>354</v>
      </c>
      <c r="M58" s="79">
        <v>282</v>
      </c>
      <c r="N58" s="79">
        <v>390</v>
      </c>
      <c r="O58" s="78">
        <v>374</v>
      </c>
      <c r="P58" s="76">
        <v>334</v>
      </c>
      <c r="Q58" s="78">
        <v>458</v>
      </c>
      <c r="R58" s="78">
        <v>142</v>
      </c>
      <c r="S58" s="78">
        <v>129</v>
      </c>
      <c r="T58" s="78">
        <v>199</v>
      </c>
      <c r="U58" s="78">
        <v>160</v>
      </c>
      <c r="V58" s="78">
        <v>144</v>
      </c>
      <c r="W58" s="78">
        <v>84</v>
      </c>
      <c r="X58" s="78">
        <v>253</v>
      </c>
      <c r="Y58" s="78">
        <v>410</v>
      </c>
      <c r="Z58" s="78">
        <v>390</v>
      </c>
      <c r="AA58" s="81">
        <v>348</v>
      </c>
      <c r="AB58" s="78">
        <v>224</v>
      </c>
      <c r="AC58" s="78">
        <v>162</v>
      </c>
      <c r="AD58" s="78">
        <v>177</v>
      </c>
      <c r="AE58" s="78">
        <v>275</v>
      </c>
      <c r="AF58" s="78">
        <v>325</v>
      </c>
      <c r="AG58" s="78">
        <v>415</v>
      </c>
      <c r="AH58" s="78">
        <v>133</v>
      </c>
      <c r="AI58" s="78">
        <v>148</v>
      </c>
      <c r="AJ58" s="78">
        <v>173</v>
      </c>
      <c r="AK58" s="78">
        <v>375</v>
      </c>
      <c r="AL58" s="76">
        <v>304</v>
      </c>
      <c r="AM58" s="78">
        <v>298</v>
      </c>
      <c r="AN58" s="78">
        <v>365</v>
      </c>
      <c r="AO58" s="78">
        <v>383</v>
      </c>
      <c r="AP58" s="78">
        <v>49</v>
      </c>
      <c r="AQ58" s="78">
        <v>365</v>
      </c>
      <c r="AR58" s="78">
        <v>349</v>
      </c>
      <c r="AS58" s="78">
        <v>309</v>
      </c>
      <c r="AT58" s="76">
        <v>319</v>
      </c>
      <c r="AU58" s="78">
        <v>324</v>
      </c>
      <c r="AV58" s="78">
        <v>159</v>
      </c>
      <c r="AW58" s="78">
        <v>370</v>
      </c>
      <c r="AX58" s="78">
        <v>379</v>
      </c>
      <c r="AY58" s="78">
        <v>374</v>
      </c>
      <c r="AZ58" s="78">
        <v>169</v>
      </c>
      <c r="BA58" s="76">
        <v>164</v>
      </c>
      <c r="BB58" s="78">
        <v>160</v>
      </c>
      <c r="BC58" s="78">
        <v>170</v>
      </c>
      <c r="BD58" s="78">
        <v>159</v>
      </c>
      <c r="BE58" s="78">
        <v>177</v>
      </c>
      <c r="BF58" s="78">
        <v>50</v>
      </c>
      <c r="BG58" s="76">
        <v>30</v>
      </c>
      <c r="BH58" s="78">
        <v>22</v>
      </c>
      <c r="BI58" s="78">
        <v>21</v>
      </c>
      <c r="BJ58" s="78">
        <v>24</v>
      </c>
      <c r="BK58" s="81">
        <v>17</v>
      </c>
      <c r="BL58" s="76">
        <v>127</v>
      </c>
      <c r="BM58" s="78">
        <v>132</v>
      </c>
      <c r="BN58" s="78">
        <v>164</v>
      </c>
      <c r="BO58" s="78">
        <v>156</v>
      </c>
      <c r="BP58" s="78">
        <v>168</v>
      </c>
      <c r="BQ58" s="76">
        <v>178</v>
      </c>
      <c r="BR58" s="78">
        <v>175</v>
      </c>
      <c r="BS58" s="78">
        <v>210</v>
      </c>
      <c r="BT58" s="117" t="s">
        <v>80</v>
      </c>
    </row>
    <row r="59" spans="1:80" ht="23.25" customHeight="1">
      <c r="A59" s="82" t="s">
        <v>81</v>
      </c>
      <c r="B59" s="82"/>
      <c r="C59" s="83">
        <v>134</v>
      </c>
      <c r="D59" s="83">
        <v>174</v>
      </c>
      <c r="E59" s="83">
        <v>220</v>
      </c>
      <c r="F59" s="84">
        <v>162</v>
      </c>
      <c r="G59" s="85">
        <v>199</v>
      </c>
      <c r="H59" s="86">
        <v>181</v>
      </c>
      <c r="I59" s="87">
        <v>267</v>
      </c>
      <c r="J59" s="87">
        <v>212</v>
      </c>
      <c r="K59" s="87">
        <v>205</v>
      </c>
      <c r="L59" s="88">
        <v>330</v>
      </c>
      <c r="M59" s="88">
        <v>368</v>
      </c>
      <c r="N59" s="88">
        <v>371</v>
      </c>
      <c r="O59" s="87">
        <v>398</v>
      </c>
      <c r="P59" s="85">
        <v>406</v>
      </c>
      <c r="Q59" s="87">
        <v>458</v>
      </c>
      <c r="R59" s="87">
        <v>121</v>
      </c>
      <c r="S59" s="87">
        <v>105</v>
      </c>
      <c r="T59" s="87">
        <v>170</v>
      </c>
      <c r="U59" s="87">
        <v>162</v>
      </c>
      <c r="V59" s="87">
        <v>114</v>
      </c>
      <c r="W59" s="87">
        <v>82</v>
      </c>
      <c r="X59" s="87">
        <v>222</v>
      </c>
      <c r="Y59" s="87">
        <v>418</v>
      </c>
      <c r="Z59" s="87">
        <v>390</v>
      </c>
      <c r="AA59" s="89">
        <v>412</v>
      </c>
      <c r="AB59" s="87">
        <v>220</v>
      </c>
      <c r="AC59" s="87">
        <v>216</v>
      </c>
      <c r="AD59" s="87">
        <v>195</v>
      </c>
      <c r="AE59" s="87">
        <v>308</v>
      </c>
      <c r="AF59" s="87">
        <v>350</v>
      </c>
      <c r="AG59" s="87">
        <v>405</v>
      </c>
      <c r="AH59" s="87">
        <v>167</v>
      </c>
      <c r="AI59" s="87">
        <v>268</v>
      </c>
      <c r="AJ59" s="87">
        <v>217</v>
      </c>
      <c r="AK59" s="87">
        <v>394</v>
      </c>
      <c r="AL59" s="85">
        <v>314</v>
      </c>
      <c r="AM59" s="87">
        <v>316</v>
      </c>
      <c r="AN59" s="87">
        <v>399</v>
      </c>
      <c r="AO59" s="87">
        <v>410</v>
      </c>
      <c r="AP59" s="87">
        <v>94</v>
      </c>
      <c r="AQ59" s="87">
        <v>369</v>
      </c>
      <c r="AR59" s="87">
        <v>346</v>
      </c>
      <c r="AS59" s="87">
        <v>329</v>
      </c>
      <c r="AT59" s="85">
        <v>327</v>
      </c>
      <c r="AU59" s="87">
        <v>329</v>
      </c>
      <c r="AV59" s="87">
        <v>170</v>
      </c>
      <c r="AW59" s="87">
        <v>385</v>
      </c>
      <c r="AX59" s="87">
        <v>387</v>
      </c>
      <c r="AY59" s="87">
        <v>453</v>
      </c>
      <c r="AZ59" s="87">
        <v>178</v>
      </c>
      <c r="BA59" s="85">
        <v>178</v>
      </c>
      <c r="BB59" s="87">
        <v>169</v>
      </c>
      <c r="BC59" s="87">
        <v>180</v>
      </c>
      <c r="BD59" s="87">
        <v>171</v>
      </c>
      <c r="BE59" s="87">
        <v>255</v>
      </c>
      <c r="BF59" s="87">
        <v>39</v>
      </c>
      <c r="BG59" s="85">
        <v>30</v>
      </c>
      <c r="BH59" s="87">
        <v>24</v>
      </c>
      <c r="BI59" s="87">
        <v>23</v>
      </c>
      <c r="BJ59" s="87">
        <v>22</v>
      </c>
      <c r="BK59" s="89">
        <v>15</v>
      </c>
      <c r="BL59" s="85">
        <v>124</v>
      </c>
      <c r="BM59" s="87">
        <v>131</v>
      </c>
      <c r="BN59" s="87">
        <v>169</v>
      </c>
      <c r="BO59" s="87">
        <v>158</v>
      </c>
      <c r="BP59" s="87">
        <v>161</v>
      </c>
      <c r="BQ59" s="85">
        <v>178</v>
      </c>
      <c r="BR59" s="87">
        <v>171</v>
      </c>
      <c r="BS59" s="87">
        <v>212</v>
      </c>
      <c r="BT59" s="118" t="s">
        <v>82</v>
      </c>
    </row>
    <row r="60" spans="1:80" ht="17.5">
      <c r="A60" s="43" t="s">
        <v>55</v>
      </c>
      <c r="B60" s="43"/>
      <c r="C60" s="45"/>
      <c r="D60" s="45"/>
      <c r="E60" s="45"/>
      <c r="F60" s="45"/>
      <c r="G60" s="45"/>
      <c r="H60" s="45"/>
      <c r="I60" s="45"/>
      <c r="J60" s="45"/>
      <c r="K60" s="45"/>
      <c r="BT60" s="47" t="s">
        <v>56</v>
      </c>
      <c r="BX60" s="55"/>
      <c r="BY60" s="60"/>
      <c r="BZ60" s="60"/>
      <c r="CA60" s="60"/>
      <c r="CB60" s="60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11.10</vt:lpstr>
      <vt:lpstr>11.15</vt:lpstr>
      <vt:lpstr>'11.10'!Print_Area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2024-09-24T00:40:48Z</cp:lastPrinted>
  <dcterms:created xsi:type="dcterms:W3CDTF">2019-03-24T03:32:16Z</dcterms:created>
  <dcterms:modified xsi:type="dcterms:W3CDTF">2024-09-24T00:41:00Z</dcterms:modified>
</cp:coreProperties>
</file>