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A4775D00-10C5-408E-840D-E4F79C13ECEC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0" sheetId="6" r:id="rId2"/>
  </sheets>
  <definedNames>
    <definedName name="_xlnm.Print_Area" localSheetId="1">'11.20'!$A$1:$K$19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G5" i="6" s="1"/>
  <c r="F5" i="6"/>
  <c r="E5" i="6"/>
  <c r="D5" i="6"/>
  <c r="B15" i="6" l="1"/>
  <c r="B11" i="6"/>
  <c r="B8" i="6"/>
  <c r="B6" i="6"/>
  <c r="B13" i="6"/>
  <c r="B9" i="6"/>
  <c r="B17" i="6"/>
  <c r="B7" i="6"/>
  <c r="B14" i="6"/>
  <c r="B10" i="6"/>
  <c r="B16" i="6"/>
  <c r="C5" i="6"/>
  <c r="B5" i="6" s="1"/>
  <c r="B12" i="6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<sst xmlns="http://schemas.openxmlformats.org/spreadsheetml/2006/main" count="219" uniqueCount="72">
  <si>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</si>
  <si>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</si>
  <si>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</si>
  <si>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</si>
  <si>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</si>
  <si>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</si>
  <si>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</si>
  <si>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</si>
  <si>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</si>
  <si>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</si>
  <si>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</si>
  <si>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</si>
  <si>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</si>
  <si>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</si>
  <si>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</si>
  <si>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</si>
  <si>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</si>
  <si>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</si>
  <si>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</si>
  <si>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</si>
  <si>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</si>
  <si>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</si>
  <si>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</si>
  <si>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</si>
  <si>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</si>
  <si>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</si>
  <si>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</si>
  <si>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</si>
  <si>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</si>
  <si>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</si>
  <si>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</si>
  <si>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</si>
  <si>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</si>
  <si>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</si>
  <si>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</si>
  <si>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</si>
  <si>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</si>
  <si>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</si>
  <si>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</si>
  <si>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</si>
  <si>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</si>
  <si>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</si>
  <si>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</si>
  <si>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</si>
  <si>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</si>
  <si>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</si>
  <si>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</si>
  <si>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</si>
  <si>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</si>
  <si>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</si>
  <si>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</si>
  <si>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</si>
  <si>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</si>
  <si>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</si>
  <si>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</si>
  <si>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</si>
  <si>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</si>
  <si>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</si>
  <si>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</si>
  <si>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</si>
  <si>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</si>
  <si>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</si>
  <si>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</si>
  <si>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</si>
  <si>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</si>
  <si>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</si>
  <si>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</si>
  <si>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</si>
  <si>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</si>
  <si>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</si>
  <si>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11.20 :  AIRCRAFT MOVEMENT AT HANIMAADHOO INTERNATIONAL AIRPORT BY MONTH, 2023</t>
  </si>
  <si>
    <t>ތާވަލު 11.20: މަސްމަހުގެ ގޮތުން ގަން އިންޓަރނޭޝަނަލް އެއަރޕޯޓުން ދަތުރުކުރި ފްލައިޓްތައް،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</si>
</sst>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1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Font="1" applyFill="1" applyAlignment="1">
      <alignment horizontal="lef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4" fillId="2" borderId="0" xfId="4" applyFont="1" applyFill="1" applyAlignment="1">
      <alignment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right" vertical="center"/>
    </xf>
    <xf numFmtId="3" fontId="5" fillId="2" borderId="41" xfId="2" applyNumberFormat="1" applyFont="1" applyFill="1" applyBorder="1" applyAlignment="1">
      <alignment horizontal="right" vertical="center"/>
    </xf>
    <xf numFmtId="3" fontId="5" fillId="2" borderId="42" xfId="2" applyNumberFormat="1" applyFont="1" applyFill="1" applyBorder="1" applyAlignment="1">
      <alignment horizontal="right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4" fillId="2" borderId="45" xfId="2" applyFont="1" applyFill="1" applyBorder="1" applyAlignment="1">
      <alignment horizontal="lef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164" fontId="18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5" fillId="2" borderId="0" xfId="5" applyFont="1" applyFill="1" applyAlignment="1">
      <alignment horizontal="right"/>
    </xf>
    <xf numFmtId="0" fontId="30" fillId="2" borderId="0" xfId="5" applyFont="1" applyFill="1" applyAlignment="1">
      <alignment horizontal="right"/>
    </xf>
    <xf numFmtId="0" fontId="30" fillId="2" borderId="45" xfId="5" applyFont="1" applyFill="1" applyBorder="1" applyAlignment="1">
      <alignment horizontal="right"/>
    </xf>
    <xf numFmtId="164" fontId="31" fillId="2" borderId="0" xfId="0" applyNumberFormat="1" applyFont="1" applyFill="1"/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3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8" fillId="2" borderId="17" xfId="2" applyFont="1" applyFill="1" applyBorder="1" applyAlignment="1">
      <alignment horizontal="left" vertical="center"/>
    </xf>
    <xf numFmtId="164" fontId="38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45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5" fillId="2" borderId="45" xfId="2" applyFont="1" applyFill="1" applyBorder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5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0" fontId="25" fillId="2" borderId="45" xfId="5" applyFont="1" applyFill="1" applyBorder="1" applyAlignment="1">
      <alignment horizontal="right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5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18" fillId="2" borderId="45" xfId="2" applyFont="1" applyFill="1" applyBorder="1" applyAlignment="1">
      <alignment horizontal="center" vertical="center" wrapText="1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5" xfId="2" applyFont="1" applyFill="1" applyBorder="1" applyAlignment="1">
      <alignment horizontal="right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5" fillId="2" borderId="45" xfId="2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center" vertical="center"/>
    </xf>
    <xf numFmtId="164" fontId="8" fillId="2" borderId="45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right" vertical="center" wrapText="1"/>
    </xf>
    <xf numFmtId="164" fontId="5" fillId="2" borderId="45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5" t="s">
        <v>68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9" ht="15.75" x14ac:dyDescent="0.25">
      <c r="A2" s="109" t="s">
        <v>69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4" spans="1:29" s="10" customFormat="1" ht="19.5" x14ac:dyDescent="0.15">
      <c r="A4" s="110" t="s">
        <v>8</v>
      </c>
      <c r="B4" s="146" t="s">
        <v>34</v>
      </c>
      <c r="C4" s="146"/>
      <c r="D4" s="79"/>
      <c r="E4" s="146" t="s">
        <v>35</v>
      </c>
      <c r="F4" s="146"/>
      <c r="G4" s="79"/>
      <c r="H4" s="146" t="s">
        <v>36</v>
      </c>
      <c r="I4" s="146"/>
      <c r="J4" s="79"/>
      <c r="K4" s="146" t="s">
        <v>37</v>
      </c>
      <c r="L4" s="146"/>
      <c r="M4" s="79"/>
      <c r="N4" s="146" t="s">
        <v>38</v>
      </c>
      <c r="O4" s="146"/>
      <c r="P4" s="79"/>
      <c r="Q4" s="146" t="s">
        <v>39</v>
      </c>
      <c r="R4" s="146"/>
      <c r="S4" s="79"/>
      <c r="T4" s="146" t="s">
        <v>40</v>
      </c>
      <c r="U4" s="146"/>
      <c r="V4" s="79"/>
      <c r="W4" s="146" t="s">
        <v>41</v>
      </c>
      <c r="X4" s="146"/>
      <c r="Y4" s="79"/>
      <c r="Z4" s="146" t="s">
        <v>42</v>
      </c>
      <c r="AA4" s="146"/>
      <c r="AB4" s="148" t="s">
        <v>9</v>
      </c>
    </row>
    <row r="5" spans="1:29" s="16" customFormat="1" ht="15" customHeight="1" x14ac:dyDescent="0.25">
      <c r="A5" s="111"/>
      <c r="B5" s="147" t="s">
        <v>43</v>
      </c>
      <c r="C5" s="147"/>
      <c r="D5" s="15"/>
      <c r="E5" s="147" t="s">
        <v>44</v>
      </c>
      <c r="F5" s="147"/>
      <c r="G5" s="15"/>
      <c r="H5" s="147" t="s">
        <v>45</v>
      </c>
      <c r="I5" s="147"/>
      <c r="J5" s="15"/>
      <c r="K5" s="147" t="s">
        <v>46</v>
      </c>
      <c r="L5" s="147"/>
      <c r="M5" s="15"/>
      <c r="N5" s="147" t="s">
        <v>47</v>
      </c>
      <c r="O5" s="147"/>
      <c r="P5" s="15"/>
      <c r="Q5" s="147" t="s">
        <v>48</v>
      </c>
      <c r="R5" s="147"/>
      <c r="S5" s="15"/>
      <c r="T5" s="147" t="s">
        <v>49</v>
      </c>
      <c r="U5" s="147"/>
      <c r="V5" s="15"/>
      <c r="W5" s="147" t="s">
        <v>50</v>
      </c>
      <c r="X5" s="147"/>
      <c r="Y5" s="15"/>
      <c r="Z5" s="147" t="s">
        <v>51</v>
      </c>
      <c r="AA5" s="147"/>
      <c r="AB5" s="149"/>
      <c r="AC5" s="3"/>
    </row>
    <row r="6" spans="1:29" s="75" customFormat="1" ht="14.25" x14ac:dyDescent="0.2">
      <c r="A6" s="111"/>
      <c r="B6" s="63" t="s">
        <v>0</v>
      </c>
      <c r="C6" s="63" t="s">
        <v>1</v>
      </c>
      <c r="D6" s="63"/>
      <c r="E6" s="63" t="s">
        <v>0</v>
      </c>
      <c r="F6" s="63" t="s">
        <v>1</v>
      </c>
      <c r="G6" s="63"/>
      <c r="H6" s="63" t="s">
        <v>0</v>
      </c>
      <c r="I6" s="63" t="s">
        <v>1</v>
      </c>
      <c r="J6" s="63"/>
      <c r="K6" s="63" t="s">
        <v>0</v>
      </c>
      <c r="L6" s="63" t="s">
        <v>1</v>
      </c>
      <c r="M6" s="63"/>
      <c r="N6" s="63" t="s">
        <v>0</v>
      </c>
      <c r="O6" s="63" t="s">
        <v>1</v>
      </c>
      <c r="P6" s="63"/>
      <c r="Q6" s="63" t="s">
        <v>0</v>
      </c>
      <c r="R6" s="63" t="s">
        <v>1</v>
      </c>
      <c r="S6" s="63"/>
      <c r="T6" s="63" t="s">
        <v>0</v>
      </c>
      <c r="U6" s="63" t="s">
        <v>1</v>
      </c>
      <c r="V6" s="63"/>
      <c r="W6" s="63" t="s">
        <v>0</v>
      </c>
      <c r="X6" s="63" t="s">
        <v>1</v>
      </c>
      <c r="Y6" s="63"/>
      <c r="Z6" s="63" t="s">
        <v>0</v>
      </c>
      <c r="AA6" s="63" t="s">
        <v>1</v>
      </c>
      <c r="AB6" s="149"/>
    </row>
    <row r="7" spans="1:29" s="16" customFormat="1" ht="14.25" x14ac:dyDescent="0.2">
      <c r="A7" s="113"/>
      <c r="B7" s="67" t="s">
        <v>2</v>
      </c>
      <c r="C7" s="67" t="s">
        <v>3</v>
      </c>
      <c r="D7" s="67"/>
      <c r="E7" s="67" t="s">
        <v>2</v>
      </c>
      <c r="F7" s="67" t="s">
        <v>3</v>
      </c>
      <c r="G7" s="67"/>
      <c r="H7" s="67" t="s">
        <v>2</v>
      </c>
      <c r="I7" s="67" t="s">
        <v>3</v>
      </c>
      <c r="J7" s="67"/>
      <c r="K7" s="67" t="s">
        <v>2</v>
      </c>
      <c r="L7" s="67" t="s">
        <v>3</v>
      </c>
      <c r="M7" s="67"/>
      <c r="N7" s="67" t="s">
        <v>2</v>
      </c>
      <c r="O7" s="67" t="s">
        <v>3</v>
      </c>
      <c r="P7" s="67"/>
      <c r="Q7" s="67" t="s">
        <v>2</v>
      </c>
      <c r="R7" s="67" t="s">
        <v>3</v>
      </c>
      <c r="S7" s="67"/>
      <c r="T7" s="67" t="s">
        <v>2</v>
      </c>
      <c r="U7" s="67" t="s">
        <v>3</v>
      </c>
      <c r="V7" s="67"/>
      <c r="W7" s="67" t="s">
        <v>2</v>
      </c>
      <c r="X7" s="67" t="s">
        <v>3</v>
      </c>
      <c r="Y7" s="67"/>
      <c r="Z7" s="67" t="s">
        <v>2</v>
      </c>
      <c r="AA7" s="67" t="s">
        <v>3</v>
      </c>
      <c r="AB7" s="150"/>
    </row>
    <row r="8" spans="1:29" s="10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74" t="s">
        <v>5</v>
      </c>
    </row>
    <row r="9" spans="1:29" s="10" customFormat="1" ht="15.75" x14ac:dyDescent="0.4">
      <c r="A9" s="5" t="s">
        <v>10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11</v>
      </c>
    </row>
    <row r="10" spans="1:29" s="10" customFormat="1" ht="15.75" x14ac:dyDescent="0.4">
      <c r="A10" s="5" t="s">
        <v>12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13</v>
      </c>
    </row>
    <row r="11" spans="1:29" s="10" customFormat="1" ht="15.75" x14ac:dyDescent="0.4">
      <c r="A11" s="5" t="s">
        <v>14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15</v>
      </c>
    </row>
    <row r="12" spans="1:29" s="10" customFormat="1" ht="15.75" x14ac:dyDescent="0.4">
      <c r="A12" s="5" t="s">
        <v>16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17</v>
      </c>
    </row>
    <row r="13" spans="1:29" s="10" customFormat="1" ht="15.75" x14ac:dyDescent="0.4">
      <c r="A13" s="5" t="s">
        <v>18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19</v>
      </c>
    </row>
    <row r="14" spans="1:29" s="10" customFormat="1" ht="15.75" x14ac:dyDescent="0.4">
      <c r="A14" s="5" t="s">
        <v>20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21</v>
      </c>
    </row>
    <row r="15" spans="1:29" s="10" customFormat="1" ht="15.75" x14ac:dyDescent="0.4">
      <c r="A15" s="5" t="s">
        <v>22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23</v>
      </c>
    </row>
    <row r="16" spans="1:29" s="10" customFormat="1" ht="15.75" x14ac:dyDescent="0.4">
      <c r="A16" s="5" t="s">
        <v>24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25</v>
      </c>
    </row>
    <row r="17" spans="1:44" s="10" customFormat="1" ht="15.75" x14ac:dyDescent="0.4">
      <c r="A17" s="5" t="s">
        <v>26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27</v>
      </c>
    </row>
    <row r="18" spans="1:44" s="10" customFormat="1" ht="15.75" x14ac:dyDescent="0.4">
      <c r="A18" s="5" t="s">
        <v>28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29</v>
      </c>
    </row>
    <row r="19" spans="1:44" s="10" customFormat="1" ht="15.75" x14ac:dyDescent="0.4">
      <c r="A19" s="5" t="s">
        <v>30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31</v>
      </c>
    </row>
    <row r="20" spans="1:44" s="10" customFormat="1" ht="15.75" x14ac:dyDescent="0.4">
      <c r="A20" s="64" t="s">
        <v>32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33</v>
      </c>
    </row>
    <row r="21" spans="1:44" ht="18.75" x14ac:dyDescent="0.25">
      <c r="A21" s="6" t="s">
        <v>6</v>
      </c>
      <c r="AB21" s="9" t="s">
        <v>7</v>
      </c>
      <c r="AO21" s="10"/>
      <c r="AP21" s="62" t="s">
        <v>2</v>
      </c>
      <c r="AQ21" s="62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37" t="s">
        <v>8</v>
      </c>
      <c r="B44" s="94"/>
      <c r="D44" s="95"/>
      <c r="F44" s="95"/>
      <c r="G44" s="140" t="s">
        <v>34</v>
      </c>
      <c r="H44" s="141"/>
      <c r="I44" s="141"/>
      <c r="J44" s="141"/>
      <c r="K44" s="142"/>
      <c r="L44" s="82"/>
      <c r="M44" s="96"/>
      <c r="N44" s="82"/>
      <c r="O44" s="96"/>
      <c r="P44" s="143" t="s">
        <v>35</v>
      </c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95"/>
      <c r="AC44" s="131" t="s">
        <v>36</v>
      </c>
      <c r="AD44" s="132"/>
      <c r="AE44" s="132"/>
      <c r="AF44" s="132"/>
      <c r="AG44" s="132"/>
      <c r="AH44" s="132"/>
      <c r="AI44" s="132"/>
      <c r="AJ44" s="132"/>
      <c r="AK44" s="81"/>
      <c r="AL44" s="131" t="s">
        <v>37</v>
      </c>
      <c r="AM44" s="132"/>
      <c r="AN44" s="132"/>
      <c r="AO44" s="132"/>
      <c r="AP44" s="132"/>
      <c r="AQ44" s="132"/>
      <c r="AR44" s="132"/>
      <c r="AS44" s="81"/>
      <c r="AT44" s="131" t="s">
        <v>38</v>
      </c>
      <c r="AU44" s="132"/>
      <c r="AV44" s="132"/>
      <c r="AW44" s="132"/>
      <c r="AX44" s="132"/>
      <c r="AY44" s="92"/>
      <c r="AZ44" s="81"/>
      <c r="BA44" s="131" t="s">
        <v>39</v>
      </c>
      <c r="BB44" s="132"/>
      <c r="BC44" s="132"/>
      <c r="BD44" s="132"/>
      <c r="BE44" s="133"/>
      <c r="BF44" s="80"/>
      <c r="BG44" s="134" t="s">
        <v>40</v>
      </c>
      <c r="BH44" s="135"/>
      <c r="BI44" s="135"/>
      <c r="BJ44" s="135"/>
      <c r="BK44" s="136"/>
      <c r="BL44" s="131" t="s">
        <v>41</v>
      </c>
      <c r="BM44" s="132"/>
      <c r="BN44" s="132"/>
      <c r="BO44" s="132"/>
      <c r="BP44" s="133"/>
      <c r="BQ44" s="131" t="s">
        <v>42</v>
      </c>
      <c r="BR44" s="132"/>
      <c r="BS44" s="132"/>
      <c r="BT44" s="115" t="s">
        <v>9</v>
      </c>
    </row>
    <row r="45" spans="1:80" s="84" customFormat="1" ht="16.5" customHeight="1" x14ac:dyDescent="0.25">
      <c r="A45" s="138"/>
      <c r="B45" s="97"/>
      <c r="D45" s="98"/>
      <c r="F45" s="98"/>
      <c r="G45" s="118" t="s">
        <v>43</v>
      </c>
      <c r="H45" s="119"/>
      <c r="I45" s="119"/>
      <c r="J45" s="119"/>
      <c r="K45" s="120"/>
      <c r="M45" s="98"/>
      <c r="O45" s="98"/>
      <c r="P45" s="121" t="s">
        <v>44</v>
      </c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98"/>
      <c r="AC45" s="123" t="s">
        <v>61</v>
      </c>
      <c r="AD45" s="124"/>
      <c r="AE45" s="124"/>
      <c r="AF45" s="124"/>
      <c r="AG45" s="124"/>
      <c r="AH45" s="124"/>
      <c r="AI45" s="124"/>
      <c r="AJ45" s="124"/>
      <c r="AK45" s="85"/>
      <c r="AL45" s="123" t="s">
        <v>62</v>
      </c>
      <c r="AM45" s="124"/>
      <c r="AN45" s="124"/>
      <c r="AO45" s="124"/>
      <c r="AP45" s="124"/>
      <c r="AQ45" s="124"/>
      <c r="AR45" s="124"/>
      <c r="AS45" s="85"/>
      <c r="AT45" s="123" t="s">
        <v>63</v>
      </c>
      <c r="AU45" s="124"/>
      <c r="AV45" s="124"/>
      <c r="AW45" s="124"/>
      <c r="AX45" s="124"/>
      <c r="AY45" s="93"/>
      <c r="AZ45" s="85"/>
      <c r="BA45" s="125" t="s">
        <v>64</v>
      </c>
      <c r="BB45" s="126"/>
      <c r="BC45" s="126"/>
      <c r="BD45" s="126"/>
      <c r="BE45" s="127"/>
      <c r="BG45" s="128" t="s">
        <v>65</v>
      </c>
      <c r="BH45" s="129"/>
      <c r="BI45" s="129"/>
      <c r="BJ45" s="129"/>
      <c r="BK45" s="130"/>
      <c r="BL45" s="125" t="s">
        <v>66</v>
      </c>
      <c r="BM45" s="126"/>
      <c r="BN45" s="126"/>
      <c r="BO45" s="126"/>
      <c r="BP45" s="127"/>
      <c r="BQ45" s="125" t="s">
        <v>67</v>
      </c>
      <c r="BR45" s="126"/>
      <c r="BS45" s="126"/>
      <c r="BT45" s="116"/>
    </row>
    <row r="46" spans="1:80" ht="23.25" customHeight="1" x14ac:dyDescent="0.25">
      <c r="A46" s="139"/>
      <c r="B46" s="99"/>
      <c r="C46" s="100">
        <v>2011</v>
      </c>
      <c r="D46" s="100">
        <v>2012</v>
      </c>
      <c r="E46" s="101">
        <v>2013</v>
      </c>
      <c r="F46" s="102">
        <v>2014</v>
      </c>
      <c r="G46" s="103">
        <v>2015</v>
      </c>
      <c r="H46" s="104">
        <v>2016</v>
      </c>
      <c r="I46" s="105">
        <v>2017</v>
      </c>
      <c r="J46" s="105">
        <v>2018</v>
      </c>
      <c r="K46" s="105">
        <v>2019</v>
      </c>
      <c r="L46" s="106">
        <v>2011</v>
      </c>
      <c r="M46" s="106">
        <v>2012</v>
      </c>
      <c r="N46" s="106">
        <v>2013</v>
      </c>
      <c r="O46" s="105">
        <v>2014</v>
      </c>
      <c r="P46" s="103">
        <v>2015</v>
      </c>
      <c r="Q46" s="105">
        <v>2016</v>
      </c>
      <c r="R46" s="106">
        <v>2011</v>
      </c>
      <c r="S46" s="106">
        <v>2012</v>
      </c>
      <c r="T46" s="105">
        <v>2013</v>
      </c>
      <c r="U46" s="105">
        <v>2014</v>
      </c>
      <c r="V46" s="106">
        <v>2011</v>
      </c>
      <c r="W46" s="106">
        <v>2012</v>
      </c>
      <c r="X46" s="105">
        <v>2013</v>
      </c>
      <c r="Y46" s="105">
        <v>2017</v>
      </c>
      <c r="Z46" s="105">
        <v>2018</v>
      </c>
      <c r="AA46" s="107">
        <v>2019</v>
      </c>
      <c r="AB46" s="105">
        <v>2014</v>
      </c>
      <c r="AC46" s="26">
        <v>2015</v>
      </c>
      <c r="AD46" s="26">
        <v>2016</v>
      </c>
      <c r="AE46" s="68">
        <v>2011</v>
      </c>
      <c r="AF46" s="68">
        <v>2012</v>
      </c>
      <c r="AG46" s="68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68">
        <v>2012</v>
      </c>
      <c r="AQ46" s="68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68">
        <v>2013</v>
      </c>
      <c r="AW46" s="26">
        <v>2017</v>
      </c>
      <c r="AX46" s="26">
        <v>2018</v>
      </c>
      <c r="AY46" s="26">
        <v>2019</v>
      </c>
      <c r="AZ46" s="68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68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17"/>
      <c r="BU46" s="3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78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76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76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76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76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76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76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76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76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76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76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76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77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9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9"/>
  <sheetViews>
    <sheetView tabSelected="1" zoomScale="95" zoomScaleNormal="95" workbookViewId="0">
      <selection activeCell="F27" sqref="F27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3" customWidth="1"/>
    <col min="11" max="11" width="3.425781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51" t="s">
        <v>71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0" ht="15" x14ac:dyDescent="0.25">
      <c r="A2" s="153" t="s">
        <v>70</v>
      </c>
      <c r="B2" s="153"/>
      <c r="C2" s="153"/>
      <c r="D2" s="153"/>
      <c r="E2" s="153"/>
      <c r="F2" s="153"/>
      <c r="G2" s="153"/>
      <c r="H2" s="153"/>
      <c r="I2" s="153"/>
      <c r="J2" s="153"/>
    </row>
    <row r="3" spans="1:10" ht="15" x14ac:dyDescent="0.25">
      <c r="A3" s="154" t="s">
        <v>8</v>
      </c>
      <c r="B3" s="156" t="s">
        <v>55</v>
      </c>
      <c r="C3" s="158" t="s">
        <v>59</v>
      </c>
      <c r="D3" s="159"/>
      <c r="E3" s="159"/>
      <c r="F3" s="160"/>
      <c r="G3" s="158" t="s">
        <v>60</v>
      </c>
      <c r="H3" s="159"/>
      <c r="I3" s="159"/>
      <c r="J3" s="112" t="s">
        <v>9</v>
      </c>
    </row>
    <row r="4" spans="1:10" ht="15" x14ac:dyDescent="0.25">
      <c r="A4" s="155"/>
      <c r="B4" s="157"/>
      <c r="C4" s="56" t="s">
        <v>4</v>
      </c>
      <c r="D4" s="62" t="s">
        <v>56</v>
      </c>
      <c r="E4" s="62" t="s">
        <v>57</v>
      </c>
      <c r="F4" s="57" t="s">
        <v>58</v>
      </c>
      <c r="G4" s="58" t="s">
        <v>4</v>
      </c>
      <c r="H4" s="62" t="s">
        <v>56</v>
      </c>
      <c r="I4" s="108" t="s">
        <v>58</v>
      </c>
      <c r="J4" s="114"/>
    </row>
    <row r="5" spans="1:10" ht="17.25" x14ac:dyDescent="0.4">
      <c r="A5" s="2" t="s">
        <v>4</v>
      </c>
      <c r="B5" s="54">
        <f t="shared" ref="B5:B17" si="0">SUM(C5+G5)</f>
        <v>2802</v>
      </c>
      <c r="C5" s="59">
        <f>SUM(D5:F5)</f>
        <v>36</v>
      </c>
      <c r="D5" s="54">
        <f>SUM(D6:D17)</f>
        <v>34</v>
      </c>
      <c r="E5" s="54">
        <f>SUM(E6:E17)</f>
        <v>0</v>
      </c>
      <c r="F5" s="60">
        <f>SUM(F6:F17)</f>
        <v>2</v>
      </c>
      <c r="G5" s="59">
        <f t="shared" ref="G5:G17" si="1">SUM(H5:I5)</f>
        <v>2766</v>
      </c>
      <c r="H5" s="12">
        <f>SUM(H6:H17)</f>
        <v>2510</v>
      </c>
      <c r="I5" s="12">
        <f>SUM(I6:I17)</f>
        <v>256</v>
      </c>
      <c r="J5" s="70" t="s">
        <v>5</v>
      </c>
    </row>
    <row r="6" spans="1:10" ht="17.25" x14ac:dyDescent="0.4">
      <c r="A6" s="11" t="s">
        <v>10</v>
      </c>
      <c r="B6" s="54">
        <f t="shared" si="0"/>
        <v>360</v>
      </c>
      <c r="C6" s="59">
        <f t="shared" ref="C6:C17" si="2">SUM(D6:F6)</f>
        <v>18</v>
      </c>
      <c r="D6" s="13">
        <v>18</v>
      </c>
      <c r="E6" s="13">
        <v>0</v>
      </c>
      <c r="F6" s="13">
        <v>0</v>
      </c>
      <c r="G6" s="59">
        <f t="shared" si="1"/>
        <v>342</v>
      </c>
      <c r="H6" s="13">
        <v>320</v>
      </c>
      <c r="I6" s="13">
        <v>22</v>
      </c>
      <c r="J6" s="71" t="s">
        <v>11</v>
      </c>
    </row>
    <row r="7" spans="1:10" ht="17.25" x14ac:dyDescent="0.4">
      <c r="A7" s="11" t="s">
        <v>12</v>
      </c>
      <c r="B7" s="54">
        <f t="shared" si="0"/>
        <v>318</v>
      </c>
      <c r="C7" s="59">
        <f t="shared" si="2"/>
        <v>16</v>
      </c>
      <c r="D7" s="13">
        <v>16</v>
      </c>
      <c r="E7" s="13">
        <v>0</v>
      </c>
      <c r="F7" s="13">
        <v>0</v>
      </c>
      <c r="G7" s="59">
        <f t="shared" si="1"/>
        <v>302</v>
      </c>
      <c r="H7" s="13">
        <v>276</v>
      </c>
      <c r="I7" s="13">
        <v>26</v>
      </c>
      <c r="J7" s="71" t="s">
        <v>13</v>
      </c>
    </row>
    <row r="8" spans="1:10" ht="17.25" x14ac:dyDescent="0.4">
      <c r="A8" s="11" t="s">
        <v>14</v>
      </c>
      <c r="B8" s="54">
        <f t="shared" si="0"/>
        <v>312</v>
      </c>
      <c r="C8" s="59">
        <f t="shared" si="2"/>
        <v>2</v>
      </c>
      <c r="D8" s="13">
        <v>0</v>
      </c>
      <c r="E8" s="13">
        <v>0</v>
      </c>
      <c r="F8" s="13">
        <v>2</v>
      </c>
      <c r="G8" s="59">
        <f t="shared" si="1"/>
        <v>310</v>
      </c>
      <c r="H8" s="13">
        <v>282</v>
      </c>
      <c r="I8" s="13">
        <v>28</v>
      </c>
      <c r="J8" s="71" t="s">
        <v>15</v>
      </c>
    </row>
    <row r="9" spans="1:10" ht="17.25" x14ac:dyDescent="0.4">
      <c r="A9" s="11" t="s">
        <v>16</v>
      </c>
      <c r="B9" s="54">
        <f t="shared" si="0"/>
        <v>192</v>
      </c>
      <c r="C9" s="59">
        <f t="shared" si="2"/>
        <v>0</v>
      </c>
      <c r="D9" s="13">
        <v>0</v>
      </c>
      <c r="E9" s="13">
        <v>0</v>
      </c>
      <c r="F9" s="13">
        <v>0</v>
      </c>
      <c r="G9" s="59">
        <f t="shared" si="1"/>
        <v>192</v>
      </c>
      <c r="H9" s="13">
        <v>162</v>
      </c>
      <c r="I9" s="13">
        <v>30</v>
      </c>
      <c r="J9" s="71" t="s">
        <v>17</v>
      </c>
    </row>
    <row r="10" spans="1:10" ht="17.25" x14ac:dyDescent="0.4">
      <c r="A10" s="11" t="s">
        <v>18</v>
      </c>
      <c r="B10" s="54">
        <f t="shared" si="0"/>
        <v>192</v>
      </c>
      <c r="C10" s="59">
        <f t="shared" si="2"/>
        <v>0</v>
      </c>
      <c r="D10" s="13">
        <v>0</v>
      </c>
      <c r="E10" s="13">
        <v>0</v>
      </c>
      <c r="F10" s="13">
        <v>0</v>
      </c>
      <c r="G10" s="59">
        <f t="shared" si="1"/>
        <v>192</v>
      </c>
      <c r="H10" s="13">
        <v>176</v>
      </c>
      <c r="I10" s="13">
        <v>16</v>
      </c>
      <c r="J10" s="71" t="s">
        <v>19</v>
      </c>
    </row>
    <row r="11" spans="1:10" ht="17.25" x14ac:dyDescent="0.4">
      <c r="A11" s="11" t="s">
        <v>20</v>
      </c>
      <c r="B11" s="54">
        <f t="shared" si="0"/>
        <v>200</v>
      </c>
      <c r="C11" s="59">
        <f t="shared" si="2"/>
        <v>0</v>
      </c>
      <c r="D11" s="13">
        <v>0</v>
      </c>
      <c r="E11" s="13">
        <v>0</v>
      </c>
      <c r="F11" s="13">
        <v>0</v>
      </c>
      <c r="G11" s="59">
        <f t="shared" si="1"/>
        <v>200</v>
      </c>
      <c r="H11" s="13">
        <v>186</v>
      </c>
      <c r="I11" s="13">
        <v>14</v>
      </c>
      <c r="J11" s="71" t="s">
        <v>21</v>
      </c>
    </row>
    <row r="12" spans="1:10" ht="17.25" x14ac:dyDescent="0.4">
      <c r="A12" s="11" t="s">
        <v>22</v>
      </c>
      <c r="B12" s="54">
        <f t="shared" si="0"/>
        <v>234</v>
      </c>
      <c r="C12" s="59">
        <f t="shared" si="2"/>
        <v>0</v>
      </c>
      <c r="D12" s="13">
        <v>0</v>
      </c>
      <c r="E12" s="13">
        <v>0</v>
      </c>
      <c r="F12" s="13">
        <v>0</v>
      </c>
      <c r="G12" s="59">
        <f t="shared" si="1"/>
        <v>234</v>
      </c>
      <c r="H12" s="13">
        <v>202</v>
      </c>
      <c r="I12" s="13">
        <v>32</v>
      </c>
      <c r="J12" s="71" t="s">
        <v>23</v>
      </c>
    </row>
    <row r="13" spans="1:10" ht="17.25" x14ac:dyDescent="0.4">
      <c r="A13" s="11" t="s">
        <v>24</v>
      </c>
      <c r="B13" s="54">
        <f t="shared" si="0"/>
        <v>220</v>
      </c>
      <c r="C13" s="59">
        <f t="shared" si="2"/>
        <v>0</v>
      </c>
      <c r="D13" s="13">
        <v>0</v>
      </c>
      <c r="E13" s="13">
        <v>0</v>
      </c>
      <c r="F13" s="13">
        <v>0</v>
      </c>
      <c r="G13" s="59">
        <f t="shared" si="1"/>
        <v>220</v>
      </c>
      <c r="H13" s="13">
        <v>176</v>
      </c>
      <c r="I13" s="13">
        <v>44</v>
      </c>
      <c r="J13" s="71" t="s">
        <v>25</v>
      </c>
    </row>
    <row r="14" spans="1:10" ht="17.25" x14ac:dyDescent="0.4">
      <c r="A14" s="11" t="s">
        <v>26</v>
      </c>
      <c r="B14" s="54">
        <f t="shared" si="0"/>
        <v>210</v>
      </c>
      <c r="C14" s="59">
        <f t="shared" si="2"/>
        <v>0</v>
      </c>
      <c r="D14" s="13">
        <v>0</v>
      </c>
      <c r="E14" s="13">
        <v>0</v>
      </c>
      <c r="F14" s="13">
        <v>0</v>
      </c>
      <c r="G14" s="59">
        <f t="shared" si="1"/>
        <v>210</v>
      </c>
      <c r="H14" s="13">
        <v>182</v>
      </c>
      <c r="I14" s="13">
        <v>28</v>
      </c>
      <c r="J14" s="71" t="s">
        <v>27</v>
      </c>
    </row>
    <row r="15" spans="1:10" ht="17.25" x14ac:dyDescent="0.4">
      <c r="A15" s="11" t="s">
        <v>28</v>
      </c>
      <c r="B15" s="54">
        <f t="shared" si="0"/>
        <v>186</v>
      </c>
      <c r="C15" s="59">
        <f t="shared" si="2"/>
        <v>0</v>
      </c>
      <c r="D15" s="13">
        <v>0</v>
      </c>
      <c r="E15" s="13">
        <v>0</v>
      </c>
      <c r="F15" s="13">
        <v>0</v>
      </c>
      <c r="G15" s="59">
        <f t="shared" si="1"/>
        <v>186</v>
      </c>
      <c r="H15" s="13">
        <v>186</v>
      </c>
      <c r="I15" s="13">
        <v>0</v>
      </c>
      <c r="J15" s="71" t="s">
        <v>29</v>
      </c>
    </row>
    <row r="16" spans="1:10" ht="17.25" x14ac:dyDescent="0.4">
      <c r="A16" s="11" t="s">
        <v>30</v>
      </c>
      <c r="B16" s="54">
        <f t="shared" si="0"/>
        <v>191</v>
      </c>
      <c r="C16" s="59">
        <f t="shared" si="2"/>
        <v>0</v>
      </c>
      <c r="D16" s="13">
        <v>0</v>
      </c>
      <c r="E16" s="13">
        <v>0</v>
      </c>
      <c r="F16" s="13">
        <v>0</v>
      </c>
      <c r="G16" s="59">
        <f t="shared" si="1"/>
        <v>191</v>
      </c>
      <c r="H16" s="13">
        <v>175</v>
      </c>
      <c r="I16" s="13">
        <v>16</v>
      </c>
      <c r="J16" s="71" t="s">
        <v>31</v>
      </c>
    </row>
    <row r="17" spans="1:10" ht="17.25" x14ac:dyDescent="0.4">
      <c r="A17" s="65" t="s">
        <v>32</v>
      </c>
      <c r="B17" s="69">
        <f t="shared" si="0"/>
        <v>187</v>
      </c>
      <c r="C17" s="61">
        <f t="shared" si="2"/>
        <v>0</v>
      </c>
      <c r="D17" s="66">
        <v>0</v>
      </c>
      <c r="E17" s="66">
        <v>0</v>
      </c>
      <c r="F17" s="66">
        <v>0</v>
      </c>
      <c r="G17" s="61">
        <f t="shared" si="1"/>
        <v>187</v>
      </c>
      <c r="H17" s="66">
        <v>187</v>
      </c>
      <c r="I17" s="66">
        <v>0</v>
      </c>
      <c r="J17" s="72" t="s">
        <v>33</v>
      </c>
    </row>
    <row r="18" spans="1:10" ht="18.75" x14ac:dyDescent="0.25">
      <c r="A18" s="6" t="s">
        <v>6</v>
      </c>
      <c r="B18" s="6"/>
      <c r="C18" s="7"/>
      <c r="D18" s="7"/>
      <c r="E18" s="7"/>
      <c r="F18" s="7"/>
      <c r="G18" s="7"/>
      <c r="H18" s="55"/>
      <c r="J18" s="9" t="s">
        <v>7</v>
      </c>
    </row>
    <row r="19" spans="1:10" ht="12.75" customHeight="1" x14ac:dyDescent="0.25">
      <c r="A19" s="6"/>
      <c r="B19" s="6"/>
      <c r="C19" s="7"/>
      <c r="D19" s="7"/>
      <c r="E19" s="7"/>
      <c r="F19" s="7"/>
      <c r="G19" s="7"/>
      <c r="H19" s="55"/>
      <c r="J19" s="14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6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11.20</vt:lpstr>
      <vt:lpstr>'11.20'!Print_Area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2024-09-25T08:48:26Z</cp:lastPrinted>
  <dcterms:created xsi:type="dcterms:W3CDTF">2019-03-24T03:32:16Z</dcterms:created>
  <dcterms:modified xsi:type="dcterms:W3CDTF">2024-09-25T08:48:40Z</dcterms:modified>
</cp:coreProperties>
</file>