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2468B165-AF34-45AF-B9B3-5736D80142A6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22" sheetId="7" r:id="rId2"/>
  </sheets>
  <definedNames>
    <definedName name="_xlnm.Print_Area" localSheetId="1">'11.22'!$A$1:$J$21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8" i="7" l="1"/>
  <c r="B17" i="7"/>
  <c r="B16" i="7"/>
  <c r="B15" i="7"/>
  <c r="B14" i="7"/>
  <c r="B13" i="7"/>
  <c r="B12" i="7"/>
  <c r="B11" i="7"/>
  <c r="B10" i="7"/>
  <c r="B9" i="7"/>
  <c r="B8" i="7"/>
  <c r="B7" i="7"/>
  <c r="H6" i="7"/>
  <c r="G6" i="7"/>
  <c r="F6" i="7"/>
  <c r="E6" i="7"/>
  <c r="D6" i="7"/>
  <c r="C6" i="7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6" i="7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<sst xmlns="http://schemas.openxmlformats.org/spreadsheetml/2006/main" count="219" uniqueCount="76">
  <si>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</si>
  <si>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</si>
  <si>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</si>
  <si>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</si>
  <si>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</si>
  <si>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</si>
  <si>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</si>
  <si>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</si>
  <si>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</si>
  <si>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</si>
  <si>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</si>
  <si>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</si>
  <si>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</si>
  <si>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</si>
  <si>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</si>
  <si>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</si>
  <si>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</si>
  <si>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</si>
  <si>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</si>
  <si>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</si>
  <si>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</si>
  <si>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</si>
  <si>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</si>
  <si>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</si>
  <si>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</si>
  <si>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</si>
  <si>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</si>
  <si>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</si>
  <si>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</si>
  <si>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</si>
  <si>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</si>
  <si>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</si>
  <si>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</si>
  <si>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</si>
  <si>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</si>
  <si>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</si>
  <si>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</si>
  <si>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</si>
  <si>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</si>
  <si>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</si>
  <si>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</si>
  <si>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</si>
  <si>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</si>
  <si>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</si>
  <si>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</si>
  <si>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</si>
  <si>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</si>
  <si>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</si>
  <si>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</si>
  <si>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</si>
  <si>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</si>
  <si>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</si>
  <si>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</si>
  <si>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</si>
  <si>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</si>
  <si>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</si>
  <si>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</si>
  <si>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</si>
  <si>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</si>
  <si>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</si>
  <si>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</si>
  <si>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</si>
  <si>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t>(in Kg)</t>
  </si>
  <si>
    <t>Inward</t>
  </si>
  <si>
    <t>Outward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</si>
  <si>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</si>
  <si>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</si>
  <si>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</si>
  <si>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</si>
  <si>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</si>
  <si>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</si>
  <si>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</si>
  <si>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</si>
  <si>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</si>
  <si>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11.22 :  CARGO HANDLED AT IBRAHIM NASIR INTERNATIONAL AIRPORT BY MONTH, 2023</t>
  </si>
  <si>
    <t>ތާވަލު 11.22: މަސްމަހުގެ ގޮތުން އިބްރާހީމް ނާސިރު އިންޓަރނޭޝަނަލް އެއަރޕޯޓުގައި ފަސިންޖަރުންގެ ދަތުރުފަތުރު ހުރި ގޮތް،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</si>
</sst>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4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38" fontId="5" fillId="2" borderId="0" xfId="3" applyNumberFormat="1" applyFont="1" applyFill="1" applyAlignment="1" applyProtection="1">
      <alignment horizontal="right" vertical="center"/>
    </xf>
    <xf numFmtId="38" fontId="5" fillId="2" borderId="0" xfId="3" applyNumberFormat="1" applyFont="1" applyFill="1" applyBorder="1" applyAlignment="1" applyProtection="1">
      <alignment horizontal="right" vertical="center" wrapText="1"/>
    </xf>
    <xf numFmtId="38" fontId="5" fillId="2" borderId="8" xfId="3" applyNumberFormat="1" applyFont="1" applyFill="1" applyBorder="1" applyAlignment="1" applyProtection="1">
      <alignment horizontal="right" vertical="center" wrapText="1"/>
    </xf>
    <xf numFmtId="38" fontId="14" fillId="2" borderId="0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0" xfId="3" applyNumberFormat="1" applyFont="1" applyFill="1" applyAlignment="1" applyProtection="1">
      <alignment horizontal="right" vertical="center" wrapText="1"/>
      <protection locked="0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37" fontId="14" fillId="2" borderId="0" xfId="2" applyNumberFormat="1" applyFont="1" applyFill="1" applyAlignment="1">
      <alignment vertical="top"/>
    </xf>
    <xf numFmtId="164" fontId="5" fillId="2" borderId="41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4" fillId="2" borderId="41" xfId="2" applyFont="1" applyFill="1" applyBorder="1" applyAlignment="1">
      <alignment horizontal="left" vertical="center"/>
    </xf>
    <xf numFmtId="164" fontId="18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164" fontId="8" fillId="2" borderId="41" xfId="2" applyFont="1" applyFill="1" applyBorder="1" applyAlignment="1">
      <alignment horizontal="right" vertical="center" wrapText="1"/>
    </xf>
    <xf numFmtId="38" fontId="5" fillId="2" borderId="41" xfId="3" applyNumberFormat="1" applyFont="1" applyFill="1" applyBorder="1" applyAlignment="1" applyProtection="1">
      <alignment horizontal="right" vertical="center"/>
    </xf>
    <xf numFmtId="38" fontId="14" fillId="2" borderId="41" xfId="3" applyNumberFormat="1" applyFont="1" applyFill="1" applyBorder="1" applyAlignment="1" applyProtection="1">
      <alignment horizontal="right" vertical="center" wrapText="1"/>
    </xf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41" xfId="2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164" fontId="32" fillId="2" borderId="0" xfId="0" applyNumberFormat="1" applyFont="1" applyFill="1" applyAlignment="1">
      <alignment vertical="top"/>
    </xf>
    <xf numFmtId="164" fontId="5" fillId="2" borderId="40" xfId="2" applyFont="1" applyFill="1" applyBorder="1" applyAlignment="1">
      <alignment horizontal="right" vertical="center"/>
    </xf>
    <xf numFmtId="38" fontId="5" fillId="2" borderId="39" xfId="3" applyNumberFormat="1" applyFont="1" applyFill="1" applyBorder="1" applyAlignment="1" applyProtection="1">
      <alignment horizontal="right" vertical="center" wrapText="1"/>
    </xf>
    <xf numFmtId="38" fontId="14" fillId="2" borderId="39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40" xfId="3" applyNumberFormat="1" applyFont="1" applyFill="1" applyBorder="1" applyAlignment="1" applyProtection="1">
      <alignment horizontal="right"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5" fillId="2" borderId="41" xfId="2" applyFont="1" applyFill="1" applyBorder="1" applyAlignment="1">
      <alignment horizontal="right" vertical="center" wrapText="1"/>
    </xf>
    <xf numFmtId="164" fontId="5" fillId="2" borderId="0" xfId="2" applyFont="1" applyFill="1" applyAlignment="1">
      <alignment horizontal="right" vertical="center" wrapText="1"/>
    </xf>
    <xf numFmtId="164" fontId="3" fillId="2" borderId="0" xfId="2" applyFont="1" applyFill="1" applyAlignment="1">
      <alignment horizontal="center" vertical="center"/>
    </xf>
    <xf numFmtId="164" fontId="15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18" fillId="2" borderId="41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1" xfId="2" applyFont="1" applyFill="1" applyBorder="1" applyAlignment="1">
      <alignment horizontal="right" vertical="center"/>
    </xf>
    <xf numFmtId="164" fontId="5" fillId="2" borderId="31" xfId="2" applyFont="1" applyFill="1" applyBorder="1" applyAlignment="1">
      <alignment horizontal="center" vertical="center"/>
    </xf>
    <xf numFmtId="164" fontId="5" fillId="2" borderId="38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5" fillId="2" borderId="41" xfId="2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4" t="s">
        <v>72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 spans="1:29" ht="15.75" x14ac:dyDescent="0.25">
      <c r="A2" s="119" t="s">
        <v>73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</row>
    <row r="4" spans="1:29" s="9" customFormat="1" ht="19.5" x14ac:dyDescent="0.15">
      <c r="A4" s="121" t="s">
        <v>9</v>
      </c>
      <c r="B4" s="155" t="s">
        <v>36</v>
      </c>
      <c r="C4" s="155"/>
      <c r="D4" s="81"/>
      <c r="E4" s="155" t="s">
        <v>37</v>
      </c>
      <c r="F4" s="155"/>
      <c r="G4" s="81"/>
      <c r="H4" s="155" t="s">
        <v>38</v>
      </c>
      <c r="I4" s="155"/>
      <c r="J4" s="81"/>
      <c r="K4" s="155" t="s">
        <v>39</v>
      </c>
      <c r="L4" s="155"/>
      <c r="M4" s="81"/>
      <c r="N4" s="155" t="s">
        <v>40</v>
      </c>
      <c r="O4" s="155"/>
      <c r="P4" s="81"/>
      <c r="Q4" s="155" t="s">
        <v>41</v>
      </c>
      <c r="R4" s="155"/>
      <c r="S4" s="81"/>
      <c r="T4" s="155" t="s">
        <v>42</v>
      </c>
      <c r="U4" s="155"/>
      <c r="V4" s="81"/>
      <c r="W4" s="155" t="s">
        <v>43</v>
      </c>
      <c r="X4" s="155"/>
      <c r="Y4" s="81"/>
      <c r="Z4" s="155" t="s">
        <v>44</v>
      </c>
      <c r="AA4" s="155"/>
      <c r="AB4" s="157" t="s">
        <v>11</v>
      </c>
    </row>
    <row r="5" spans="1:29" s="14" customFormat="1" ht="15" customHeight="1" x14ac:dyDescent="0.25">
      <c r="A5" s="122"/>
      <c r="B5" s="156" t="s">
        <v>45</v>
      </c>
      <c r="C5" s="156"/>
      <c r="D5" s="13"/>
      <c r="E5" s="156" t="s">
        <v>46</v>
      </c>
      <c r="F5" s="156"/>
      <c r="G5" s="13"/>
      <c r="H5" s="156" t="s">
        <v>47</v>
      </c>
      <c r="I5" s="156"/>
      <c r="J5" s="13"/>
      <c r="K5" s="156" t="s">
        <v>48</v>
      </c>
      <c r="L5" s="156"/>
      <c r="M5" s="13"/>
      <c r="N5" s="156" t="s">
        <v>49</v>
      </c>
      <c r="O5" s="156"/>
      <c r="P5" s="13"/>
      <c r="Q5" s="156" t="s">
        <v>50</v>
      </c>
      <c r="R5" s="156"/>
      <c r="S5" s="13"/>
      <c r="T5" s="156" t="s">
        <v>51</v>
      </c>
      <c r="U5" s="156"/>
      <c r="V5" s="13"/>
      <c r="W5" s="156" t="s">
        <v>52</v>
      </c>
      <c r="X5" s="156"/>
      <c r="Y5" s="13"/>
      <c r="Z5" s="156" t="s">
        <v>53</v>
      </c>
      <c r="AA5" s="156"/>
      <c r="AB5" s="158"/>
      <c r="AC5" s="3"/>
    </row>
    <row r="6" spans="1:29" s="77" customFormat="1" ht="14.25" x14ac:dyDescent="0.2">
      <c r="A6" s="122"/>
      <c r="B6" s="65" t="s">
        <v>0</v>
      </c>
      <c r="C6" s="65" t="s">
        <v>1</v>
      </c>
      <c r="D6" s="65"/>
      <c r="E6" s="65" t="s">
        <v>0</v>
      </c>
      <c r="F6" s="65" t="s">
        <v>1</v>
      </c>
      <c r="G6" s="65"/>
      <c r="H6" s="65" t="s">
        <v>0</v>
      </c>
      <c r="I6" s="65" t="s">
        <v>1</v>
      </c>
      <c r="J6" s="65"/>
      <c r="K6" s="65" t="s">
        <v>0</v>
      </c>
      <c r="L6" s="65" t="s">
        <v>1</v>
      </c>
      <c r="M6" s="65"/>
      <c r="N6" s="65" t="s">
        <v>0</v>
      </c>
      <c r="O6" s="65" t="s">
        <v>1</v>
      </c>
      <c r="P6" s="65"/>
      <c r="Q6" s="65" t="s">
        <v>0</v>
      </c>
      <c r="R6" s="65" t="s">
        <v>1</v>
      </c>
      <c r="S6" s="65"/>
      <c r="T6" s="65" t="s">
        <v>0</v>
      </c>
      <c r="U6" s="65" t="s">
        <v>1</v>
      </c>
      <c r="V6" s="65"/>
      <c r="W6" s="65" t="s">
        <v>0</v>
      </c>
      <c r="X6" s="65" t="s">
        <v>1</v>
      </c>
      <c r="Y6" s="65"/>
      <c r="Z6" s="65" t="s">
        <v>0</v>
      </c>
      <c r="AA6" s="65" t="s">
        <v>1</v>
      </c>
      <c r="AB6" s="158"/>
    </row>
    <row r="7" spans="1:29" s="14" customFormat="1" ht="14.25" x14ac:dyDescent="0.2">
      <c r="A7" s="123"/>
      <c r="B7" s="68" t="s">
        <v>2</v>
      </c>
      <c r="C7" s="68" t="s">
        <v>3</v>
      </c>
      <c r="D7" s="68"/>
      <c r="E7" s="68" t="s">
        <v>2</v>
      </c>
      <c r="F7" s="68" t="s">
        <v>3</v>
      </c>
      <c r="G7" s="68"/>
      <c r="H7" s="68" t="s">
        <v>2</v>
      </c>
      <c r="I7" s="68" t="s">
        <v>3</v>
      </c>
      <c r="J7" s="68"/>
      <c r="K7" s="68" t="s">
        <v>2</v>
      </c>
      <c r="L7" s="68" t="s">
        <v>3</v>
      </c>
      <c r="M7" s="68"/>
      <c r="N7" s="68" t="s">
        <v>2</v>
      </c>
      <c r="O7" s="68" t="s">
        <v>3</v>
      </c>
      <c r="P7" s="68"/>
      <c r="Q7" s="68" t="s">
        <v>2</v>
      </c>
      <c r="R7" s="68" t="s">
        <v>3</v>
      </c>
      <c r="S7" s="68"/>
      <c r="T7" s="68" t="s">
        <v>2</v>
      </c>
      <c r="U7" s="68" t="s">
        <v>3</v>
      </c>
      <c r="V7" s="68"/>
      <c r="W7" s="68" t="s">
        <v>2</v>
      </c>
      <c r="X7" s="68" t="s">
        <v>3</v>
      </c>
      <c r="Y7" s="68"/>
      <c r="Z7" s="68" t="s">
        <v>2</v>
      </c>
      <c r="AA7" s="68" t="s">
        <v>3</v>
      </c>
      <c r="AB7" s="159"/>
    </row>
    <row r="8" spans="1:29" s="9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74" t="s">
        <v>5</v>
      </c>
    </row>
    <row r="9" spans="1:29" s="9" customFormat="1" ht="15.75" x14ac:dyDescent="0.4">
      <c r="A9" s="5" t="s">
        <v>12</v>
      </c>
      <c r="B9" s="93"/>
      <c r="C9" s="93"/>
      <c r="D9" s="93"/>
      <c r="E9" s="94"/>
      <c r="F9" s="94"/>
      <c r="G9" s="94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5"/>
      <c r="Z9" s="95"/>
      <c r="AA9" s="95"/>
      <c r="AB9" s="78" t="s">
        <v>13</v>
      </c>
    </row>
    <row r="10" spans="1:29" s="9" customFormat="1" ht="15.75" x14ac:dyDescent="0.4">
      <c r="A10" s="5" t="s">
        <v>14</v>
      </c>
      <c r="B10" s="93"/>
      <c r="C10" s="93"/>
      <c r="D10" s="93"/>
      <c r="E10" s="94"/>
      <c r="F10" s="94"/>
      <c r="G10" s="94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5"/>
      <c r="Z10" s="95"/>
      <c r="AA10" s="95"/>
      <c r="AB10" s="78" t="s">
        <v>15</v>
      </c>
    </row>
    <row r="11" spans="1:29" s="9" customFormat="1" ht="15.75" x14ac:dyDescent="0.4">
      <c r="A11" s="5" t="s">
        <v>16</v>
      </c>
      <c r="B11" s="93"/>
      <c r="C11" s="93"/>
      <c r="D11" s="93"/>
      <c r="E11" s="94"/>
      <c r="F11" s="94"/>
      <c r="G11" s="94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5"/>
      <c r="Z11" s="95"/>
      <c r="AA11" s="95"/>
      <c r="AB11" s="78" t="s">
        <v>17</v>
      </c>
    </row>
    <row r="12" spans="1:29" s="9" customFormat="1" ht="15.75" x14ac:dyDescent="0.4">
      <c r="A12" s="5" t="s">
        <v>18</v>
      </c>
      <c r="B12" s="93"/>
      <c r="C12" s="93"/>
      <c r="D12" s="93"/>
      <c r="E12" s="94"/>
      <c r="F12" s="94"/>
      <c r="G12" s="94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5"/>
      <c r="Z12" s="95"/>
      <c r="AA12" s="95"/>
      <c r="AB12" s="78" t="s">
        <v>19</v>
      </c>
    </row>
    <row r="13" spans="1:29" s="9" customFormat="1" ht="15.75" x14ac:dyDescent="0.4">
      <c r="A13" s="5" t="s">
        <v>20</v>
      </c>
      <c r="B13" s="93"/>
      <c r="C13" s="93"/>
      <c r="D13" s="93"/>
      <c r="E13" s="94"/>
      <c r="F13" s="94"/>
      <c r="G13" s="94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5"/>
      <c r="Z13" s="95"/>
      <c r="AA13" s="95"/>
      <c r="AB13" s="78" t="s">
        <v>21</v>
      </c>
    </row>
    <row r="14" spans="1:29" s="9" customFormat="1" ht="15.75" x14ac:dyDescent="0.4">
      <c r="A14" s="5" t="s">
        <v>22</v>
      </c>
      <c r="B14" s="93"/>
      <c r="C14" s="93"/>
      <c r="D14" s="93"/>
      <c r="E14" s="94"/>
      <c r="F14" s="94"/>
      <c r="G14" s="94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5"/>
      <c r="Z14" s="95"/>
      <c r="AA14" s="95"/>
      <c r="AB14" s="78" t="s">
        <v>23</v>
      </c>
    </row>
    <row r="15" spans="1:29" s="9" customFormat="1" ht="15.75" x14ac:dyDescent="0.4">
      <c r="A15" s="5" t="s">
        <v>24</v>
      </c>
      <c r="B15" s="93"/>
      <c r="C15" s="93"/>
      <c r="D15" s="93"/>
      <c r="E15" s="94"/>
      <c r="F15" s="94"/>
      <c r="G15" s="94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5"/>
      <c r="Z15" s="95"/>
      <c r="AA15" s="95"/>
      <c r="AB15" s="78" t="s">
        <v>25</v>
      </c>
    </row>
    <row r="16" spans="1:29" s="9" customFormat="1" ht="15.75" x14ac:dyDescent="0.4">
      <c r="A16" s="5" t="s">
        <v>26</v>
      </c>
      <c r="B16" s="93"/>
      <c r="C16" s="93"/>
      <c r="D16" s="93"/>
      <c r="E16" s="94"/>
      <c r="F16" s="94"/>
      <c r="G16" s="94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5"/>
      <c r="Z16" s="95"/>
      <c r="AA16" s="95"/>
      <c r="AB16" s="78" t="s">
        <v>27</v>
      </c>
    </row>
    <row r="17" spans="1:44" s="9" customFormat="1" ht="15.75" x14ac:dyDescent="0.4">
      <c r="A17" s="5" t="s">
        <v>28</v>
      </c>
      <c r="B17" s="93"/>
      <c r="C17" s="93"/>
      <c r="D17" s="93"/>
      <c r="E17" s="94"/>
      <c r="F17" s="94"/>
      <c r="G17" s="94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5"/>
      <c r="Z17" s="95"/>
      <c r="AA17" s="95"/>
      <c r="AB17" s="78" t="s">
        <v>29</v>
      </c>
    </row>
    <row r="18" spans="1:44" s="9" customFormat="1" ht="15.75" x14ac:dyDescent="0.4">
      <c r="A18" s="5" t="s">
        <v>30</v>
      </c>
      <c r="B18" s="93"/>
      <c r="C18" s="93"/>
      <c r="D18" s="93"/>
      <c r="E18" s="94"/>
      <c r="F18" s="94"/>
      <c r="G18" s="94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5"/>
      <c r="Z18" s="95"/>
      <c r="AA18" s="95"/>
      <c r="AB18" s="78" t="s">
        <v>31</v>
      </c>
    </row>
    <row r="19" spans="1:44" s="9" customFormat="1" ht="15.75" x14ac:dyDescent="0.4">
      <c r="A19" s="5" t="s">
        <v>32</v>
      </c>
      <c r="B19" s="93"/>
      <c r="C19" s="93"/>
      <c r="D19" s="93"/>
      <c r="E19" s="94"/>
      <c r="F19" s="94"/>
      <c r="G19" s="94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5"/>
      <c r="Z19" s="95"/>
      <c r="AA19" s="95"/>
      <c r="AB19" s="78" t="s">
        <v>33</v>
      </c>
    </row>
    <row r="20" spans="1:44" s="9" customFormat="1" ht="15.75" x14ac:dyDescent="0.4">
      <c r="A20" s="66" t="s">
        <v>34</v>
      </c>
      <c r="B20" s="96"/>
      <c r="C20" s="96"/>
      <c r="D20" s="96"/>
      <c r="E20" s="97"/>
      <c r="F20" s="97"/>
      <c r="G20" s="97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8"/>
      <c r="Z20" s="98"/>
      <c r="AA20" s="98"/>
      <c r="AB20" s="79" t="s">
        <v>35</v>
      </c>
    </row>
    <row r="21" spans="1:44" ht="18.75" x14ac:dyDescent="0.25">
      <c r="A21" s="6" t="s">
        <v>7</v>
      </c>
      <c r="AB21" s="8" t="s">
        <v>8</v>
      </c>
      <c r="AO21" s="9"/>
      <c r="AP21" s="64" t="s">
        <v>2</v>
      </c>
      <c r="AQ21" s="64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57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5" customFormat="1" ht="21.75" customHeight="1" x14ac:dyDescent="0.55000000000000004">
      <c r="A44" s="146" t="s">
        <v>9</v>
      </c>
      <c r="B44" s="101"/>
      <c r="D44" s="102"/>
      <c r="F44" s="102"/>
      <c r="G44" s="149" t="s">
        <v>36</v>
      </c>
      <c r="H44" s="150"/>
      <c r="I44" s="150"/>
      <c r="J44" s="150"/>
      <c r="K44" s="151"/>
      <c r="L44" s="84"/>
      <c r="M44" s="103"/>
      <c r="N44" s="84"/>
      <c r="O44" s="103"/>
      <c r="P44" s="152" t="s">
        <v>37</v>
      </c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02"/>
      <c r="AC44" s="140" t="s">
        <v>38</v>
      </c>
      <c r="AD44" s="141"/>
      <c r="AE44" s="141"/>
      <c r="AF44" s="141"/>
      <c r="AG44" s="141"/>
      <c r="AH44" s="141"/>
      <c r="AI44" s="141"/>
      <c r="AJ44" s="141"/>
      <c r="AK44" s="83"/>
      <c r="AL44" s="140" t="s">
        <v>39</v>
      </c>
      <c r="AM44" s="141"/>
      <c r="AN44" s="141"/>
      <c r="AO44" s="141"/>
      <c r="AP44" s="141"/>
      <c r="AQ44" s="141"/>
      <c r="AR44" s="141"/>
      <c r="AS44" s="83"/>
      <c r="AT44" s="140" t="s">
        <v>40</v>
      </c>
      <c r="AU44" s="141"/>
      <c r="AV44" s="141"/>
      <c r="AW44" s="141"/>
      <c r="AX44" s="141"/>
      <c r="AY44" s="99"/>
      <c r="AZ44" s="83"/>
      <c r="BA44" s="140" t="s">
        <v>41</v>
      </c>
      <c r="BB44" s="141"/>
      <c r="BC44" s="141"/>
      <c r="BD44" s="141"/>
      <c r="BE44" s="142"/>
      <c r="BF44" s="82"/>
      <c r="BG44" s="143" t="s">
        <v>42</v>
      </c>
      <c r="BH44" s="144"/>
      <c r="BI44" s="144"/>
      <c r="BJ44" s="144"/>
      <c r="BK44" s="145"/>
      <c r="BL44" s="140" t="s">
        <v>43</v>
      </c>
      <c r="BM44" s="141"/>
      <c r="BN44" s="141"/>
      <c r="BO44" s="141"/>
      <c r="BP44" s="142"/>
      <c r="BQ44" s="140" t="s">
        <v>44</v>
      </c>
      <c r="BR44" s="141"/>
      <c r="BS44" s="141"/>
      <c r="BT44" s="124" t="s">
        <v>11</v>
      </c>
    </row>
    <row r="45" spans="1:80" s="86" customFormat="1" ht="16.5" customHeight="1" x14ac:dyDescent="0.25">
      <c r="A45" s="147"/>
      <c r="B45" s="104"/>
      <c r="D45" s="105"/>
      <c r="F45" s="105"/>
      <c r="G45" s="127" t="s">
        <v>45</v>
      </c>
      <c r="H45" s="128"/>
      <c r="I45" s="128"/>
      <c r="J45" s="128"/>
      <c r="K45" s="129"/>
      <c r="M45" s="105"/>
      <c r="O45" s="105"/>
      <c r="P45" s="130" t="s">
        <v>46</v>
      </c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05"/>
      <c r="AC45" s="132" t="s">
        <v>65</v>
      </c>
      <c r="AD45" s="133"/>
      <c r="AE45" s="133"/>
      <c r="AF45" s="133"/>
      <c r="AG45" s="133"/>
      <c r="AH45" s="133"/>
      <c r="AI45" s="133"/>
      <c r="AJ45" s="133"/>
      <c r="AK45" s="87"/>
      <c r="AL45" s="132" t="s">
        <v>66</v>
      </c>
      <c r="AM45" s="133"/>
      <c r="AN45" s="133"/>
      <c r="AO45" s="133"/>
      <c r="AP45" s="133"/>
      <c r="AQ45" s="133"/>
      <c r="AR45" s="133"/>
      <c r="AS45" s="87"/>
      <c r="AT45" s="132" t="s">
        <v>67</v>
      </c>
      <c r="AU45" s="133"/>
      <c r="AV45" s="133"/>
      <c r="AW45" s="133"/>
      <c r="AX45" s="133"/>
      <c r="AY45" s="100"/>
      <c r="AZ45" s="87"/>
      <c r="BA45" s="134" t="s">
        <v>68</v>
      </c>
      <c r="BB45" s="135"/>
      <c r="BC45" s="135"/>
      <c r="BD45" s="135"/>
      <c r="BE45" s="136"/>
      <c r="BG45" s="137" t="s">
        <v>69</v>
      </c>
      <c r="BH45" s="138"/>
      <c r="BI45" s="138"/>
      <c r="BJ45" s="138"/>
      <c r="BK45" s="139"/>
      <c r="BL45" s="134" t="s">
        <v>70</v>
      </c>
      <c r="BM45" s="135"/>
      <c r="BN45" s="135"/>
      <c r="BO45" s="135"/>
      <c r="BP45" s="136"/>
      <c r="BQ45" s="134" t="s">
        <v>71</v>
      </c>
      <c r="BR45" s="135"/>
      <c r="BS45" s="135"/>
      <c r="BT45" s="125"/>
    </row>
    <row r="46" spans="1:80" ht="23.25" customHeight="1" x14ac:dyDescent="0.25">
      <c r="A46" s="148"/>
      <c r="B46" s="106"/>
      <c r="C46" s="107">
        <v>2011</v>
      </c>
      <c r="D46" s="107">
        <v>2012</v>
      </c>
      <c r="E46" s="108">
        <v>2013</v>
      </c>
      <c r="F46" s="109">
        <v>2014</v>
      </c>
      <c r="G46" s="110">
        <v>2015</v>
      </c>
      <c r="H46" s="111">
        <v>2016</v>
      </c>
      <c r="I46" s="112">
        <v>2017</v>
      </c>
      <c r="J46" s="112">
        <v>2018</v>
      </c>
      <c r="K46" s="112">
        <v>2019</v>
      </c>
      <c r="L46" s="113">
        <v>2011</v>
      </c>
      <c r="M46" s="113">
        <v>2012</v>
      </c>
      <c r="N46" s="113">
        <v>2013</v>
      </c>
      <c r="O46" s="112">
        <v>2014</v>
      </c>
      <c r="P46" s="110">
        <v>2015</v>
      </c>
      <c r="Q46" s="112">
        <v>2016</v>
      </c>
      <c r="R46" s="113">
        <v>2011</v>
      </c>
      <c r="S46" s="113">
        <v>2012</v>
      </c>
      <c r="T46" s="112">
        <v>2013</v>
      </c>
      <c r="U46" s="112">
        <v>2014</v>
      </c>
      <c r="V46" s="113">
        <v>2011</v>
      </c>
      <c r="W46" s="113">
        <v>2012</v>
      </c>
      <c r="X46" s="112">
        <v>2013</v>
      </c>
      <c r="Y46" s="112">
        <v>2017</v>
      </c>
      <c r="Z46" s="112">
        <v>2018</v>
      </c>
      <c r="AA46" s="114">
        <v>2019</v>
      </c>
      <c r="AB46" s="112">
        <v>2014</v>
      </c>
      <c r="AC46" s="24">
        <v>2015</v>
      </c>
      <c r="AD46" s="24">
        <v>2016</v>
      </c>
      <c r="AE46" s="69">
        <v>2011</v>
      </c>
      <c r="AF46" s="69">
        <v>2012</v>
      </c>
      <c r="AG46" s="69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9">
        <v>2012</v>
      </c>
      <c r="AQ46" s="69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9">
        <v>2013</v>
      </c>
      <c r="AW46" s="24">
        <v>2017</v>
      </c>
      <c r="AX46" s="24">
        <v>2018</v>
      </c>
      <c r="AY46" s="24">
        <v>2019</v>
      </c>
      <c r="AZ46" s="69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9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26"/>
      <c r="BU46" s="3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80" t="s">
        <v>5</v>
      </c>
    </row>
    <row r="48" spans="1:80" ht="23.25" customHeight="1" x14ac:dyDescent="0.4">
      <c r="A48" s="35" t="s">
        <v>12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58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58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58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59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59</v>
      </c>
      <c r="BR48" s="40">
        <v>171</v>
      </c>
      <c r="BS48" s="40">
        <v>176</v>
      </c>
      <c r="BT48" s="78" t="s">
        <v>13</v>
      </c>
      <c r="BY48" s="22"/>
      <c r="BZ48" s="22"/>
      <c r="CA48" s="22"/>
      <c r="CB48" s="22"/>
    </row>
    <row r="49" spans="1:80" ht="23.25" customHeight="1" x14ac:dyDescent="0.4">
      <c r="A49" s="35" t="s">
        <v>14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58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58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58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59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59</v>
      </c>
      <c r="BR49" s="40">
        <v>168</v>
      </c>
      <c r="BS49" s="40">
        <v>181</v>
      </c>
      <c r="BT49" s="78" t="s">
        <v>15</v>
      </c>
    </row>
    <row r="50" spans="1:80" ht="23.25" customHeight="1" x14ac:dyDescent="0.4">
      <c r="A50" s="35" t="s">
        <v>16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58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58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58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59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59</v>
      </c>
      <c r="BR50" s="40">
        <v>150</v>
      </c>
      <c r="BS50" s="40">
        <v>202</v>
      </c>
      <c r="BT50" s="78" t="s">
        <v>17</v>
      </c>
    </row>
    <row r="51" spans="1:80" ht="23.25" customHeight="1" x14ac:dyDescent="0.4">
      <c r="A51" s="35" t="s">
        <v>18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58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58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58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59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59</v>
      </c>
      <c r="BR51" s="40">
        <v>161</v>
      </c>
      <c r="BS51" s="40">
        <v>181</v>
      </c>
      <c r="BT51" s="78" t="s">
        <v>19</v>
      </c>
      <c r="BY51" s="22"/>
      <c r="BZ51" s="22"/>
      <c r="CA51" s="22"/>
      <c r="CB51" s="22"/>
    </row>
    <row r="52" spans="1:80" ht="23.25" customHeight="1" x14ac:dyDescent="0.4">
      <c r="A52" s="35" t="s">
        <v>20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58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58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58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59</v>
      </c>
      <c r="BR52" s="40">
        <v>148</v>
      </c>
      <c r="BS52" s="40">
        <v>184</v>
      </c>
      <c r="BT52" s="78" t="s">
        <v>21</v>
      </c>
    </row>
    <row r="53" spans="1:80" ht="23.25" customHeight="1" x14ac:dyDescent="0.4">
      <c r="A53" s="35" t="s">
        <v>22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58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58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58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59</v>
      </c>
      <c r="BR53" s="40">
        <v>123</v>
      </c>
      <c r="BS53" s="40">
        <v>166</v>
      </c>
      <c r="BT53" s="78" t="s">
        <v>23</v>
      </c>
    </row>
    <row r="54" spans="1:80" ht="23.25" customHeight="1" x14ac:dyDescent="0.4">
      <c r="A54" s="35" t="s">
        <v>24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58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58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58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59</v>
      </c>
      <c r="BR54" s="40">
        <v>157</v>
      </c>
      <c r="BS54" s="40">
        <v>176</v>
      </c>
      <c r="BT54" s="78" t="s">
        <v>25</v>
      </c>
      <c r="BY54" s="22"/>
      <c r="BZ54" s="22"/>
      <c r="CA54" s="22"/>
      <c r="CB54" s="22"/>
    </row>
    <row r="55" spans="1:80" ht="23.25" customHeight="1" x14ac:dyDescent="0.4">
      <c r="A55" s="35" t="s">
        <v>26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58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58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58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59</v>
      </c>
      <c r="BR55" s="40">
        <v>172</v>
      </c>
      <c r="BS55" s="40">
        <v>189</v>
      </c>
      <c r="BT55" s="78" t="s">
        <v>27</v>
      </c>
    </row>
    <row r="56" spans="1:80" ht="23.25" customHeight="1" x14ac:dyDescent="0.4">
      <c r="A56" s="35" t="s">
        <v>28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58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58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58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59</v>
      </c>
      <c r="BR56" s="40">
        <v>165</v>
      </c>
      <c r="BS56" s="40">
        <v>161</v>
      </c>
      <c r="BT56" s="78" t="s">
        <v>29</v>
      </c>
    </row>
    <row r="57" spans="1:80" ht="23.25" customHeight="1" x14ac:dyDescent="0.4">
      <c r="A57" s="35" t="s">
        <v>30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78" t="s">
        <v>31</v>
      </c>
      <c r="BY57" s="22"/>
      <c r="BZ57" s="22"/>
      <c r="CA57" s="22"/>
      <c r="CB57" s="22"/>
    </row>
    <row r="58" spans="1:80" ht="23.25" customHeight="1" x14ac:dyDescent="0.4">
      <c r="A58" s="35" t="s">
        <v>32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78" t="s">
        <v>33</v>
      </c>
    </row>
    <row r="59" spans="1:80" ht="23.25" customHeight="1" x14ac:dyDescent="0.4">
      <c r="A59" s="44" t="s">
        <v>34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79" t="s">
        <v>35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7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I20"/>
  <sheetViews>
    <sheetView tabSelected="1" zoomScale="112" zoomScaleNormal="112" workbookViewId="0">
      <selection activeCell="I42" sqref="I42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0" customWidth="1"/>
    <col min="10" max="10" width="6.28515625" style="1" customWidth="1"/>
    <col min="11" max="16384" width="9.140625" style="1"/>
  </cols>
  <sheetData>
    <row r="1" spans="1:9" ht="21" x14ac:dyDescent="0.25">
      <c r="A1" s="162" t="s">
        <v>75</v>
      </c>
      <c r="B1" s="162"/>
      <c r="C1" s="162"/>
      <c r="D1" s="162"/>
      <c r="E1" s="162"/>
      <c r="F1" s="162"/>
      <c r="G1" s="162"/>
      <c r="H1" s="162"/>
      <c r="I1" s="162"/>
    </row>
    <row r="2" spans="1:9" ht="18" customHeight="1" x14ac:dyDescent="0.25">
      <c r="A2" s="120" t="s">
        <v>74</v>
      </c>
      <c r="B2" s="120"/>
      <c r="C2" s="120"/>
      <c r="D2" s="120"/>
      <c r="E2" s="120"/>
      <c r="F2" s="120"/>
      <c r="G2" s="120"/>
      <c r="H2" s="120"/>
      <c r="I2" s="120"/>
    </row>
    <row r="3" spans="1:9" ht="16.5" customHeight="1" x14ac:dyDescent="0.25">
      <c r="A3" s="163" t="s">
        <v>62</v>
      </c>
      <c r="B3" s="163"/>
      <c r="C3" s="163"/>
      <c r="D3" s="163"/>
      <c r="E3" s="163"/>
      <c r="F3" s="163"/>
      <c r="G3" s="163"/>
      <c r="H3" s="163"/>
      <c r="I3" s="163"/>
    </row>
    <row r="4" spans="1:9" ht="15" x14ac:dyDescent="0.25">
      <c r="A4" s="115"/>
      <c r="B4" s="115"/>
      <c r="C4" s="160" t="s">
        <v>6</v>
      </c>
      <c r="D4" s="160"/>
      <c r="E4" s="161"/>
      <c r="F4" s="160" t="s">
        <v>10</v>
      </c>
      <c r="G4" s="160"/>
      <c r="H4" s="160"/>
      <c r="I4" s="157" t="s">
        <v>11</v>
      </c>
    </row>
    <row r="5" spans="1:9" ht="15" x14ac:dyDescent="0.25">
      <c r="A5" s="116" t="s">
        <v>9</v>
      </c>
      <c r="B5" s="71" t="s">
        <v>60</v>
      </c>
      <c r="C5" s="117" t="s">
        <v>63</v>
      </c>
      <c r="D5" s="117" t="s">
        <v>64</v>
      </c>
      <c r="E5" s="89" t="s">
        <v>61</v>
      </c>
      <c r="F5" s="117" t="s">
        <v>63</v>
      </c>
      <c r="G5" s="118" t="s">
        <v>64</v>
      </c>
      <c r="H5" s="10" t="s">
        <v>61</v>
      </c>
      <c r="I5" s="159"/>
    </row>
    <row r="6" spans="1:9" ht="15.75" x14ac:dyDescent="0.25">
      <c r="A6" s="2" t="s">
        <v>4</v>
      </c>
      <c r="B6" s="56">
        <f>SUM(C6:H6)</f>
        <v>56898811.400000006</v>
      </c>
      <c r="C6" s="57">
        <f t="shared" ref="C6:H6" si="0">SUM(C7:C18)</f>
        <v>33430625.100000001</v>
      </c>
      <c r="D6" s="57">
        <f t="shared" si="0"/>
        <v>7842860.2000000002</v>
      </c>
      <c r="E6" s="90">
        <f t="shared" si="0"/>
        <v>14806179.999999998</v>
      </c>
      <c r="F6" s="57">
        <f t="shared" si="0"/>
        <v>250246.99999999994</v>
      </c>
      <c r="G6" s="58">
        <f t="shared" si="0"/>
        <v>507760</v>
      </c>
      <c r="H6" s="58">
        <f t="shared" si="0"/>
        <v>61139.1</v>
      </c>
      <c r="I6" s="74" t="s">
        <v>5</v>
      </c>
    </row>
    <row r="7" spans="1:9" ht="15.75" x14ac:dyDescent="0.25">
      <c r="A7" s="11" t="s">
        <v>12</v>
      </c>
      <c r="B7" s="56">
        <f t="shared" ref="B7:B18" si="1">SUM(C7:H7)</f>
        <v>3687407</v>
      </c>
      <c r="C7" s="59">
        <v>2626822.5</v>
      </c>
      <c r="D7" s="59">
        <v>730746.6</v>
      </c>
      <c r="E7" s="91">
        <v>271434.99999999994</v>
      </c>
      <c r="F7" s="59">
        <v>21373.4</v>
      </c>
      <c r="G7" s="60">
        <v>33504.100000000006</v>
      </c>
      <c r="H7" s="59">
        <v>3525.3999999999996</v>
      </c>
      <c r="I7" s="75" t="s">
        <v>13</v>
      </c>
    </row>
    <row r="8" spans="1:9" ht="15.75" x14ac:dyDescent="0.25">
      <c r="A8" s="11" t="s">
        <v>14</v>
      </c>
      <c r="B8" s="56">
        <f t="shared" si="1"/>
        <v>5013727.5000000009</v>
      </c>
      <c r="C8" s="59">
        <v>2589866.8000000003</v>
      </c>
      <c r="D8" s="59">
        <v>952144.99999999988</v>
      </c>
      <c r="E8" s="91">
        <v>1408039.1</v>
      </c>
      <c r="F8" s="59">
        <v>17842.199999999997</v>
      </c>
      <c r="G8" s="60">
        <v>41898.000000000007</v>
      </c>
      <c r="H8" s="59">
        <v>3936.3999999999996</v>
      </c>
      <c r="I8" s="75" t="s">
        <v>15</v>
      </c>
    </row>
    <row r="9" spans="1:9" ht="15.75" x14ac:dyDescent="0.25">
      <c r="A9" s="11" t="s">
        <v>16</v>
      </c>
      <c r="B9" s="56">
        <f t="shared" si="1"/>
        <v>5894067.2999999998</v>
      </c>
      <c r="C9" s="59">
        <v>3091948.7</v>
      </c>
      <c r="D9" s="59">
        <v>1068318.8</v>
      </c>
      <c r="E9" s="91">
        <v>1652294.4000000004</v>
      </c>
      <c r="F9" s="59">
        <v>21265.200000000012</v>
      </c>
      <c r="G9" s="60">
        <v>56865.600000000006</v>
      </c>
      <c r="H9" s="59">
        <v>3374.6</v>
      </c>
      <c r="I9" s="75" t="s">
        <v>17</v>
      </c>
    </row>
    <row r="10" spans="1:9" ht="15.75" x14ac:dyDescent="0.25">
      <c r="A10" s="11" t="s">
        <v>18</v>
      </c>
      <c r="B10" s="56">
        <f t="shared" si="1"/>
        <v>5471018.5999999987</v>
      </c>
      <c r="C10" s="59">
        <v>2766695.2</v>
      </c>
      <c r="D10" s="59">
        <v>1058241.8</v>
      </c>
      <c r="E10" s="91">
        <v>1515406.3</v>
      </c>
      <c r="F10" s="59">
        <v>77453.099999999933</v>
      </c>
      <c r="G10" s="60">
        <v>48532.600000000006</v>
      </c>
      <c r="H10" s="59">
        <v>4689.6000000000004</v>
      </c>
      <c r="I10" s="75" t="s">
        <v>54</v>
      </c>
    </row>
    <row r="11" spans="1:9" ht="15.75" x14ac:dyDescent="0.25">
      <c r="A11" s="11" t="s">
        <v>20</v>
      </c>
      <c r="B11" s="56">
        <f t="shared" si="1"/>
        <v>4276688.3000000007</v>
      </c>
      <c r="C11" s="59">
        <v>2320112.2999999998</v>
      </c>
      <c r="D11" s="59">
        <v>458256.7</v>
      </c>
      <c r="E11" s="91">
        <v>1435011.3</v>
      </c>
      <c r="F11" s="59">
        <v>16681.899999999994</v>
      </c>
      <c r="G11" s="60">
        <v>41681.199999999997</v>
      </c>
      <c r="H11" s="59">
        <v>4944.8999999999996</v>
      </c>
      <c r="I11" s="75" t="s">
        <v>21</v>
      </c>
    </row>
    <row r="12" spans="1:9" ht="15.75" x14ac:dyDescent="0.25">
      <c r="A12" s="11" t="s">
        <v>22</v>
      </c>
      <c r="B12" s="56">
        <f t="shared" si="1"/>
        <v>3792635.3000000007</v>
      </c>
      <c r="C12" s="59">
        <v>2260924.3000000003</v>
      </c>
      <c r="D12" s="59">
        <v>519101.2</v>
      </c>
      <c r="E12" s="91">
        <v>954437.79999999981</v>
      </c>
      <c r="F12" s="59">
        <v>14549.199999999997</v>
      </c>
      <c r="G12" s="60">
        <v>37348.599999999991</v>
      </c>
      <c r="H12" s="59">
        <v>6274.2</v>
      </c>
      <c r="I12" s="75" t="s">
        <v>23</v>
      </c>
    </row>
    <row r="13" spans="1:9" ht="15.75" x14ac:dyDescent="0.25">
      <c r="A13" s="11" t="s">
        <v>24</v>
      </c>
      <c r="B13" s="56">
        <f t="shared" si="1"/>
        <v>4315160.5000000019</v>
      </c>
      <c r="C13" s="59">
        <v>2588699.6000000006</v>
      </c>
      <c r="D13" s="59">
        <v>510610</v>
      </c>
      <c r="E13" s="91">
        <v>1157302.6000000001</v>
      </c>
      <c r="F13" s="59">
        <v>15148.9</v>
      </c>
      <c r="G13" s="60">
        <v>37412.9</v>
      </c>
      <c r="H13" s="59">
        <v>5986.5</v>
      </c>
      <c r="I13" s="75" t="s">
        <v>25</v>
      </c>
    </row>
    <row r="14" spans="1:9" ht="15.75" x14ac:dyDescent="0.25">
      <c r="A14" s="11" t="s">
        <v>26</v>
      </c>
      <c r="B14" s="56">
        <f t="shared" si="1"/>
        <v>4819968.9000000013</v>
      </c>
      <c r="C14" s="59">
        <v>2995074.9000000008</v>
      </c>
      <c r="D14" s="59">
        <v>497185</v>
      </c>
      <c r="E14" s="91">
        <v>1251079.6000000001</v>
      </c>
      <c r="F14" s="59">
        <v>16894.899999999998</v>
      </c>
      <c r="G14" s="60">
        <v>51139.6</v>
      </c>
      <c r="H14" s="59">
        <v>8594.9</v>
      </c>
      <c r="I14" s="75" t="s">
        <v>55</v>
      </c>
    </row>
    <row r="15" spans="1:9" ht="15.75" x14ac:dyDescent="0.25">
      <c r="A15" s="11" t="s">
        <v>28</v>
      </c>
      <c r="B15" s="56">
        <f t="shared" si="1"/>
        <v>4371168.3</v>
      </c>
      <c r="C15" s="59">
        <v>2597539.1999999997</v>
      </c>
      <c r="D15" s="59">
        <v>426210.7</v>
      </c>
      <c r="E15" s="91">
        <v>1289554.2</v>
      </c>
      <c r="F15" s="59">
        <v>11694.2</v>
      </c>
      <c r="G15" s="60">
        <v>41677.400000000009</v>
      </c>
      <c r="H15" s="59">
        <v>4492.5999999999995</v>
      </c>
      <c r="I15" s="75" t="s">
        <v>29</v>
      </c>
    </row>
    <row r="16" spans="1:9" ht="15.75" x14ac:dyDescent="0.25">
      <c r="A16" s="11" t="s">
        <v>30</v>
      </c>
      <c r="B16" s="56">
        <f t="shared" si="1"/>
        <v>4934660.3000000017</v>
      </c>
      <c r="C16" s="59">
        <v>2961674.8000000003</v>
      </c>
      <c r="D16" s="59">
        <v>580171.80000000005</v>
      </c>
      <c r="E16" s="91">
        <v>1335829.6000000001</v>
      </c>
      <c r="F16" s="59">
        <v>13284.000000000002</v>
      </c>
      <c r="G16" s="60">
        <v>39032.9</v>
      </c>
      <c r="H16" s="59">
        <v>4667.2</v>
      </c>
      <c r="I16" s="75" t="s">
        <v>56</v>
      </c>
    </row>
    <row r="17" spans="1:9" ht="15.75" x14ac:dyDescent="0.25">
      <c r="A17" s="11" t="s">
        <v>32</v>
      </c>
      <c r="B17" s="56">
        <f t="shared" si="1"/>
        <v>4642843.2</v>
      </c>
      <c r="C17" s="59">
        <v>2941873.7</v>
      </c>
      <c r="D17" s="59">
        <v>538577.5</v>
      </c>
      <c r="E17" s="91">
        <v>1106785.5</v>
      </c>
      <c r="F17" s="59">
        <v>11905.7</v>
      </c>
      <c r="G17" s="60">
        <v>37473.299999999996</v>
      </c>
      <c r="H17" s="59">
        <v>6227.5</v>
      </c>
      <c r="I17" s="75" t="s">
        <v>33</v>
      </c>
    </row>
    <row r="18" spans="1:9" ht="15.75" x14ac:dyDescent="0.25">
      <c r="A18" s="67" t="s">
        <v>34</v>
      </c>
      <c r="B18" s="72">
        <f t="shared" si="1"/>
        <v>5679466.1999999983</v>
      </c>
      <c r="C18" s="73">
        <v>3689393.0999999992</v>
      </c>
      <c r="D18" s="73">
        <v>503295.1</v>
      </c>
      <c r="E18" s="92">
        <v>1429004.5999999999</v>
      </c>
      <c r="F18" s="73">
        <v>12154.299999999997</v>
      </c>
      <c r="G18" s="73">
        <v>41193.799999999996</v>
      </c>
      <c r="H18" s="73">
        <v>4425.3</v>
      </c>
      <c r="I18" s="76" t="s">
        <v>35</v>
      </c>
    </row>
    <row r="19" spans="1:9" s="52" customFormat="1" ht="17.25" x14ac:dyDescent="0.25">
      <c r="A19" s="53" t="s">
        <v>7</v>
      </c>
      <c r="B19" s="61"/>
      <c r="C19" s="61"/>
      <c r="D19" s="62"/>
      <c r="E19" s="62"/>
      <c r="F19" s="62"/>
      <c r="G19" s="62"/>
      <c r="H19" s="62"/>
      <c r="I19" s="55" t="s">
        <v>8</v>
      </c>
    </row>
    <row r="20" spans="1:9" ht="18.75" x14ac:dyDescent="0.25">
      <c r="A20" s="52"/>
      <c r="B20" s="53"/>
      <c r="C20" s="63"/>
      <c r="D20" s="63"/>
      <c r="E20" s="63"/>
      <c r="F20" s="63"/>
      <c r="G20" s="63"/>
      <c r="H20" s="54"/>
      <c r="I20" s="88"/>
    </row>
  </sheetData>
  <mergeCells count="6">
    <mergeCell ref="C4:E4"/>
    <mergeCell ref="F4:H4"/>
    <mergeCell ref="I4:I5"/>
    <mergeCell ref="A3:I3"/>
    <mergeCell ref="A2:I2"/>
    <mergeCell ref="A1:I1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11.22</vt:lpstr>
      <vt:lpstr>'11.22'!Print_Area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2024-09-25T08:51:04Z</cp:lastPrinted>
  <dcterms:created xsi:type="dcterms:W3CDTF">2019-03-24T03:32:16Z</dcterms:created>
  <dcterms:modified xsi:type="dcterms:W3CDTF">2024-09-25T08:51:17Z</dcterms:modified>
</cp:coreProperties>
</file>