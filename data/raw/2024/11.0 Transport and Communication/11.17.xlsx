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4\Final\Web\11. TRANSPORT &amp; COMMUNICATION\"/>
    </mc:Choice>
  </mc:AlternateContent>
  <xr:revisionPtr revIDLastSave="0" documentId="13_ncr:1_{94469853-A817-4965-B95B-EB60143B121D}" xr6:coauthVersionLast="47" xr6:coauthVersionMax="47" xr10:uidLastSave="{00000000-0000-0000-0000-000000000000}"/>
  <bookViews>
    <workbookView xWindow="-120" yWindow="-120" windowWidth="29040" windowHeight="15720" tabRatio="811" firstSheet="1" activeTab="1" xr2:uid="{00000000-000D-0000-FFFF-FFFF00000000}"/>
  </bookViews>
  <sheets>
    <sheet name="11.15" sheetId="4" state="hidden" r:id="rId1"/>
    <sheet name="11.17" sheetId="5" r:id="rId2"/>
  </sheets>
  <definedNames>
    <definedName name="_xlnm.Print_Area" localSheetId="1">'11.17'!$A$1:$DS$28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H19" i="5" l="1"/>
  <c r="AD19" i="5"/>
  <c r="AK18" i="5"/>
  <c r="AH18" i="5"/>
  <c r="AD18" i="5"/>
  <c r="AK17" i="5"/>
  <c r="AI17" i="5"/>
  <c r="AG17" i="5"/>
  <c r="AE17" i="5"/>
  <c r="AD17" i="5"/>
  <c r="AK16" i="5"/>
  <c r="AI16" i="5"/>
  <c r="AH16" i="5"/>
  <c r="AE16" i="5"/>
  <c r="AD16" i="5"/>
  <c r="AI15" i="5"/>
  <c r="AG15" i="5"/>
  <c r="AE15" i="5"/>
  <c r="AD15" i="5"/>
  <c r="AI14" i="5"/>
  <c r="AH14" i="5"/>
  <c r="AH7" i="5" s="1"/>
  <c r="AG14" i="5"/>
  <c r="AG7" i="5" s="1"/>
  <c r="AE14" i="5"/>
  <c r="AD14" i="5"/>
  <c r="AI13" i="5"/>
  <c r="AH13" i="5"/>
  <c r="AE13" i="5"/>
  <c r="AD13" i="5"/>
  <c r="AI12" i="5"/>
  <c r="AH12" i="5"/>
  <c r="AE12" i="5"/>
  <c r="AD12" i="5"/>
  <c r="AI11" i="5"/>
  <c r="AE11" i="5"/>
  <c r="AE7" i="5" s="1"/>
  <c r="AD11" i="5"/>
  <c r="AI10" i="5"/>
  <c r="AI7" i="5" s="1"/>
  <c r="AF10" i="5"/>
  <c r="AE10" i="5"/>
  <c r="AD10" i="5"/>
  <c r="AI9" i="5"/>
  <c r="AG9" i="5"/>
  <c r="AF9" i="5"/>
  <c r="AD9" i="5"/>
  <c r="AI8" i="5"/>
  <c r="AD8" i="5"/>
  <c r="AD7" i="5" s="1"/>
  <c r="DR7" i="5"/>
  <c r="DQ7" i="5"/>
  <c r="DP7" i="5"/>
  <c r="DO7" i="5"/>
  <c r="DN7" i="5"/>
  <c r="DM7" i="5"/>
  <c r="DL7" i="5"/>
  <c r="DK7" i="5"/>
  <c r="DJ7" i="5"/>
  <c r="DI7" i="5"/>
  <c r="DH7" i="5"/>
  <c r="DG7" i="5"/>
  <c r="DF7" i="5"/>
  <c r="DE7" i="5"/>
  <c r="DD7" i="5"/>
  <c r="DC7" i="5"/>
  <c r="DB7" i="5"/>
  <c r="DA7" i="5"/>
  <c r="CZ7" i="5"/>
  <c r="CY7" i="5"/>
  <c r="CX7" i="5"/>
  <c r="CW7" i="5"/>
  <c r="CV7" i="5"/>
  <c r="CU7" i="5"/>
  <c r="CT7" i="5"/>
  <c r="CS7" i="5"/>
  <c r="CR7" i="5"/>
  <c r="CQ7" i="5"/>
  <c r="CP7" i="5"/>
  <c r="CO7" i="5"/>
  <c r="CN7" i="5"/>
  <c r="CM7" i="5"/>
  <c r="CL7" i="5"/>
  <c r="CK7" i="5"/>
  <c r="CJ7" i="5"/>
  <c r="CI7" i="5"/>
  <c r="CH7" i="5"/>
  <c r="CG7" i="5"/>
  <c r="CF7" i="5"/>
  <c r="CE7" i="5"/>
  <c r="CD7" i="5"/>
  <c r="CC7" i="5"/>
  <c r="CB7" i="5"/>
  <c r="CA7" i="5"/>
  <c r="BZ7" i="5"/>
  <c r="BY7" i="5"/>
  <c r="BX7" i="5"/>
  <c r="BW7" i="5"/>
  <c r="BV7" i="5"/>
  <c r="BU7" i="5"/>
  <c r="BT7" i="5"/>
  <c r="BS7" i="5"/>
  <c r="BR7" i="5"/>
  <c r="BQ7" i="5"/>
  <c r="BP7" i="5"/>
  <c r="BO7" i="5"/>
  <c r="BN7" i="5"/>
  <c r="BM7" i="5"/>
  <c r="BL7" i="5"/>
  <c r="BK7" i="5"/>
  <c r="BJ7" i="5"/>
  <c r="BI7" i="5"/>
  <c r="BH7" i="5"/>
  <c r="BG7" i="5"/>
  <c r="BF7" i="5"/>
  <c r="BE7" i="5"/>
  <c r="BD7" i="5"/>
  <c r="BC7" i="5"/>
  <c r="BB7" i="5"/>
  <c r="BA7" i="5"/>
  <c r="AZ7" i="5"/>
  <c r="AY7" i="5"/>
  <c r="AX7" i="5"/>
  <c r="AW7" i="5"/>
  <c r="AV7" i="5"/>
  <c r="AU7" i="5"/>
  <c r="AT7" i="5"/>
  <c r="AS7" i="5"/>
  <c r="AR7" i="5"/>
  <c r="AQ7" i="5"/>
  <c r="AP7" i="5"/>
  <c r="AO7" i="5"/>
  <c r="AN7" i="5"/>
  <c r="AM7" i="5"/>
  <c r="AL7" i="5"/>
  <c r="AK7" i="5"/>
  <c r="AJ7" i="5"/>
  <c r="AF7" i="5"/>
  <c r="AC7" i="5"/>
  <c r="AB7" i="5"/>
  <c r="AA7" i="5"/>
  <c r="Z7" i="5"/>
  <c r="Y7" i="5"/>
  <c r="X7" i="5"/>
  <c r="W7" i="5"/>
  <c r="V7" i="5"/>
  <c r="U7" i="5"/>
  <c r="T7" i="5"/>
  <c r="S7" i="5"/>
  <c r="R7" i="5"/>
  <c r="Q7" i="5"/>
  <c r="P7" i="5"/>
  <c r="O7" i="5"/>
  <c r="N7" i="5"/>
  <c r="M7" i="5"/>
  <c r="L7" i="5"/>
  <c r="K7" i="5"/>
  <c r="J7" i="5"/>
  <c r="I7" i="5"/>
  <c r="H7" i="5"/>
  <c r="G7" i="5"/>
  <c r="F7" i="5"/>
  <c r="E7" i="5"/>
  <c r="D7" i="5"/>
  <c r="C7" i="5"/>
  <c r="BS47" i="4" l="1"/>
  <c r="BR47" i="4"/>
  <c r="BQ47" i="4"/>
  <c r="BP47" i="4"/>
  <c r="BO47" i="4"/>
  <c r="BN47" i="4"/>
  <c r="BM47" i="4"/>
  <c r="BL47" i="4"/>
  <c r="BK47" i="4"/>
  <c r="BJ47" i="4"/>
  <c r="BI47" i="4"/>
  <c r="BH47" i="4"/>
  <c r="BG47" i="4"/>
  <c r="BF47" i="4"/>
  <c r="BE47" i="4"/>
  <c r="BD47" i="4"/>
  <c r="BC47" i="4"/>
  <c r="BB47" i="4"/>
  <c r="BA47" i="4"/>
  <c r="AZ47" i="4"/>
  <c r="AY47" i="4"/>
  <c r="AX47" i="4"/>
  <c r="AW47" i="4"/>
  <c r="AV47" i="4"/>
  <c r="AU47" i="4"/>
  <c r="AT47" i="4"/>
  <c r="AS47" i="4"/>
  <c r="AR47" i="4"/>
  <c r="AQ47" i="4"/>
  <c r="AP47" i="4"/>
  <c r="AO47" i="4"/>
  <c r="AN47" i="4"/>
  <c r="AM47" i="4"/>
  <c r="AL47" i="4"/>
  <c r="AK47" i="4"/>
  <c r="AJ47" i="4"/>
  <c r="AI47" i="4"/>
  <c r="AH47" i="4"/>
  <c r="AG47" i="4"/>
  <c r="AF47" i="4"/>
  <c r="AE47" i="4"/>
  <c r="AD47" i="4"/>
  <c r="AC47" i="4"/>
  <c r="AB47" i="4"/>
  <c r="AA47" i="4"/>
  <c r="Z47" i="4"/>
  <c r="Y47" i="4"/>
  <c r="X47" i="4"/>
  <c r="W47" i="4"/>
  <c r="V47" i="4"/>
  <c r="U47" i="4"/>
  <c r="T47" i="4"/>
  <c r="S47" i="4"/>
  <c r="R47" i="4"/>
  <c r="Q47" i="4"/>
  <c r="P47" i="4"/>
  <c r="O47" i="4"/>
  <c r="N47" i="4"/>
  <c r="M47" i="4"/>
  <c r="L47" i="4"/>
  <c r="K47" i="4"/>
  <c r="J47" i="4"/>
  <c r="I47" i="4"/>
  <c r="H47" i="4"/>
  <c r="G47" i="4"/>
  <c r="F47" i="4"/>
  <c r="E47" i="4"/>
  <c r="D47" i="4"/>
  <c r="C47" i="4"/>
  <c r="AO22" i="4" l="1"/>
  <c r="AO23" i="4"/>
  <c r="AO24" i="4"/>
  <c r="AO25" i="4"/>
  <c r="AO26" i="4"/>
  <c r="AO27" i="4"/>
  <c r="AO29" i="4"/>
  <c r="AO30" i="4"/>
  <c r="AA8" i="4" l="1"/>
  <c r="AQ30" i="4" s="1"/>
  <c r="Z8" i="4"/>
  <c r="AP30" i="4" s="1"/>
  <c r="X8" i="4"/>
  <c r="AQ29" i="4" s="1"/>
  <c r="W8" i="4"/>
  <c r="AP29" i="4" s="1"/>
  <c r="U8" i="4"/>
  <c r="AQ28" i="4" s="1"/>
  <c r="T8" i="4"/>
  <c r="AP28" i="4" s="1"/>
  <c r="R8" i="4"/>
  <c r="AQ27" i="4" s="1"/>
  <c r="Q8" i="4"/>
  <c r="AP27" i="4" s="1"/>
  <c r="O8" i="4"/>
  <c r="AQ26" i="4" s="1"/>
  <c r="N8" i="4"/>
  <c r="AP26" i="4" s="1"/>
  <c r="L8" i="4"/>
  <c r="AQ25" i="4" s="1"/>
  <c r="K8" i="4"/>
  <c r="AP25" i="4" s="1"/>
  <c r="I8" i="4"/>
  <c r="AQ24" i="4" s="1"/>
  <c r="H8" i="4"/>
  <c r="AP24" i="4" s="1"/>
  <c r="F8" i="4"/>
  <c r="AQ23" i="4" s="1"/>
  <c r="E8" i="4"/>
  <c r="AP23" i="4" s="1"/>
  <c r="C8" i="4"/>
  <c r="AQ22" i="4" s="1"/>
  <c r="B8" i="4"/>
  <c r="AP22" i="4" l="1"/>
  <c r="AP32" i="4" s="1"/>
  <c r="AQ32" i="4"/>
  <c r="AR32" i="4" l="1"/>
</calcChain>
</file>

<file path=xl/sharedStrings.xml><?xml version="1.0" encoding="utf-8"?>
<sst xmlns="http://schemas.openxmlformats.org/spreadsheetml/2006/main" count="355" uniqueCount="78">
  <si>
    <t>iawa</t>
  </si>
  <si>
    <t>iruf</t>
  </si>
  <si>
    <t>In</t>
  </si>
  <si>
    <t>Out</t>
  </si>
  <si>
    <t>Total</t>
  </si>
  <si>
    <t>wlcmuj</t>
  </si>
  <si>
    <t>Source: Civil Aviation Authority</t>
  </si>
  <si>
    <t>މައުލޫމާތު ދެއްވީ: ސިވިލް އޭވިއޭޝަން އޮތޯރިޓީ</t>
  </si>
  <si>
    <t>Month</t>
  </si>
  <si>
    <t>cswm</t>
  </si>
  <si>
    <t>January</t>
  </si>
  <si>
    <t>Irwaunej</t>
  </si>
  <si>
    <t>February</t>
  </si>
  <si>
    <t>Irwaurcbef</t>
  </si>
  <si>
    <t>March</t>
  </si>
  <si>
    <t>cCrWm</t>
  </si>
  <si>
    <t>April</t>
  </si>
  <si>
    <t>clircpEa</t>
  </si>
  <si>
    <t>May</t>
  </si>
  <si>
    <t>Em</t>
  </si>
  <si>
    <t>June</t>
  </si>
  <si>
    <t>cnUj</t>
  </si>
  <si>
    <t>July</t>
  </si>
  <si>
    <t>iawluj</t>
  </si>
  <si>
    <t>August</t>
  </si>
  <si>
    <t>cTcswgoa</t>
  </si>
  <si>
    <t>September</t>
  </si>
  <si>
    <t>rwbcmeTcpes</t>
  </si>
  <si>
    <t>October</t>
  </si>
  <si>
    <t>rwbUTckoa</t>
  </si>
  <si>
    <t>November</t>
  </si>
  <si>
    <t>rwbcmevon</t>
  </si>
  <si>
    <t>December</t>
  </si>
  <si>
    <t>rwbcmesiD</t>
  </si>
  <si>
    <t>Udcawk .l</t>
  </si>
  <si>
    <t>UdcaeDWk .dg</t>
  </si>
  <si>
    <t>ޏ.ފުވައްމުލައް</t>
  </si>
  <si>
    <t>އދ.މާމިގިލި</t>
  </si>
  <si>
    <t>ބ.ދަރަވަންދޫ</t>
  </si>
  <si>
    <t>ގއ.ކޫއްޑޫ</t>
  </si>
  <si>
    <t>ތ.ތިމަރަފުށި</t>
  </si>
  <si>
    <t>ރ.އިފުރު</t>
  </si>
  <si>
    <t>ދ.ކުޑަހުވަދޫ</t>
  </si>
  <si>
    <t>L.Kadhdhoo</t>
  </si>
  <si>
    <t>GDh.Kaadedhdhoo</t>
  </si>
  <si>
    <t xml:space="preserve">Gn.Fuvahmulah </t>
  </si>
  <si>
    <t>ADh.Maamigili</t>
  </si>
  <si>
    <t>B.Dharavandhoo</t>
  </si>
  <si>
    <t>GA. Koodoo</t>
  </si>
  <si>
    <t xml:space="preserve">Th. Thimarafushi  </t>
  </si>
  <si>
    <t xml:space="preserve">R.Ifuru  </t>
  </si>
  <si>
    <t>Dh.kudahuvadhoo</t>
  </si>
  <si>
    <t xml:space="preserve">THA. Thimarafushi  </t>
  </si>
  <si>
    <t>_</t>
  </si>
  <si>
    <t>-</t>
  </si>
  <si>
    <t>1_/ Started operation in October 2011</t>
  </si>
  <si>
    <t>2_/ Started operation in October 2012</t>
  </si>
  <si>
    <t>3_/ Started operation in January 2013</t>
  </si>
  <si>
    <t>4_/ Started operation in January 2014</t>
  </si>
  <si>
    <t>5_/ Started operation in May 2015</t>
  </si>
  <si>
    <t>6_/ Started operation in October 2017</t>
  </si>
  <si>
    <r>
      <t xml:space="preserve">Gn.Fuvahmulah </t>
    </r>
    <r>
      <rPr>
        <b/>
        <vertAlign val="superscript"/>
        <sz val="11"/>
        <rFont val="Calibri"/>
        <family val="2"/>
        <scheme val="minor"/>
      </rPr>
      <t>1_/</t>
    </r>
  </si>
  <si>
    <r>
      <t xml:space="preserve">ADh.Maamigili </t>
    </r>
    <r>
      <rPr>
        <b/>
        <vertAlign val="superscript"/>
        <sz val="11"/>
        <rFont val="Calibri"/>
        <family val="2"/>
        <scheme val="minor"/>
      </rPr>
      <t xml:space="preserve">1_/ </t>
    </r>
  </si>
  <si>
    <r>
      <t xml:space="preserve">B.Dharavandhoo </t>
    </r>
    <r>
      <rPr>
        <b/>
        <vertAlign val="superscript"/>
        <sz val="11"/>
        <rFont val="Calibri"/>
        <family val="2"/>
        <scheme val="minor"/>
      </rPr>
      <t xml:space="preserve">2_/ </t>
    </r>
  </si>
  <si>
    <r>
      <t xml:space="preserve">GA.Koodoo </t>
    </r>
    <r>
      <rPr>
        <b/>
        <vertAlign val="superscript"/>
        <sz val="11"/>
        <rFont val="Calibri"/>
        <family val="2"/>
        <scheme val="minor"/>
      </rPr>
      <t xml:space="preserve">3_/ </t>
    </r>
  </si>
  <si>
    <r>
      <t xml:space="preserve">Th. Thimarafushi  </t>
    </r>
    <r>
      <rPr>
        <b/>
        <vertAlign val="superscript"/>
        <sz val="11"/>
        <rFont val="Calibri"/>
        <family val="2"/>
        <scheme val="minor"/>
      </rPr>
      <t xml:space="preserve">4_/ </t>
    </r>
  </si>
  <si>
    <r>
      <t xml:space="preserve">Raa.Ifuru </t>
    </r>
    <r>
      <rPr>
        <b/>
        <vertAlign val="superscript"/>
        <sz val="11"/>
        <rFont val="Calibri"/>
        <family val="2"/>
        <scheme val="minor"/>
      </rPr>
      <t xml:space="preserve"> 5_/ </t>
    </r>
  </si>
  <si>
    <r>
      <t>Dh.kudahuvadhoo</t>
    </r>
    <r>
      <rPr>
        <b/>
        <vertAlign val="superscript"/>
        <sz val="11"/>
        <rFont val="Calibri"/>
        <family val="2"/>
        <scheme val="minor"/>
      </rPr>
      <t xml:space="preserve">6_/ </t>
    </r>
  </si>
  <si>
    <t>2020 ,ctogiruh urutwfurutwd egcnurwjcniswf iawgukwturwdnwb egiawv egEjcaWr cnutogeguhwmcswm  :11.15 ulwvWt</t>
  </si>
  <si>
    <t>Table 11.15 :  PASSENGER MOVEMENTS AT DOMESTIC AIRPORTS BY MONTH, 2020</t>
  </si>
  <si>
    <r>
      <t>Maavurlu</t>
    </r>
    <r>
      <rPr>
        <b/>
        <vertAlign val="superscript"/>
        <sz val="11"/>
        <rFont val="Calibri"/>
        <family val="2"/>
        <scheme val="minor"/>
      </rPr>
      <t xml:space="preserve"> </t>
    </r>
  </si>
  <si>
    <r>
      <t>Funadhoo</t>
    </r>
    <r>
      <rPr>
        <b/>
        <vertAlign val="superscript"/>
        <sz val="11"/>
        <rFont val="Calibri"/>
        <family val="2"/>
        <scheme val="minor"/>
      </rPr>
      <t xml:space="preserve"> </t>
    </r>
  </si>
  <si>
    <t>Kuludhufushi</t>
  </si>
  <si>
    <t>Hoarafushi</t>
  </si>
  <si>
    <t>Madivaru</t>
  </si>
  <si>
    <t>Table 11.17 :  NUMBER OF AIRCRAFT MOVEMENTS AT DOMESTIC AIRPORTS BY MONTH, 2015-2023</t>
  </si>
  <si>
    <t>2023 - 2015 ,cawtcTiawlcf irukurutwd cnukwturwdnwb egiawv egEjcaWr cnutogeguhwmcswm  : 11.17 ulwvWt</t>
  </si>
  <si>
    <t>Faresmaathoda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</si>
</sst>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General_)"/>
    <numFmt numFmtId="165" formatCode="_(* #,##0_);_(* \(#,##0\);_(* &quot;-&quot;??_);_(@_)"/>
    <numFmt numFmtId="166" formatCode="0.0"/>
  </numFmts>
  <fonts count="4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2"/>
      <name val="A_Randhoo"/>
    </font>
    <font>
      <b/>
      <sz val="12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9"/>
      <name val="Calibri"/>
      <family val="2"/>
      <scheme val="minor"/>
    </font>
    <font>
      <sz val="9"/>
      <name val="Arial"/>
      <family val="2"/>
    </font>
    <font>
      <b/>
      <sz val="11"/>
      <color rgb="FFFF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MS Sans Serif"/>
      <family val="2"/>
    </font>
    <font>
      <sz val="10"/>
      <name val="Calibri"/>
      <family val="2"/>
      <scheme val="minor"/>
    </font>
    <font>
      <sz val="10"/>
      <name val="A_Randhoo"/>
    </font>
    <font>
      <sz val="10"/>
      <name val="Faruma"/>
    </font>
    <font>
      <sz val="9"/>
      <name val="Courier"/>
      <family val="3"/>
    </font>
    <font>
      <i/>
      <sz val="9"/>
      <name val="Calibri"/>
      <family val="2"/>
      <scheme val="minor"/>
    </font>
    <font>
      <sz val="9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Garamond"/>
      <family val="1"/>
    </font>
    <font>
      <b/>
      <sz val="10.5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0"/>
      <name val="Arial"/>
      <family val="2"/>
    </font>
    <font>
      <b/>
      <sz val="10"/>
      <name val="A_Reethi"/>
    </font>
    <font>
      <sz val="6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name val="A_Faseyha"/>
    </font>
    <font>
      <b/>
      <sz val="11"/>
      <name val="A_Faseyha"/>
    </font>
    <font>
      <u/>
      <sz val="10"/>
      <color indexed="12"/>
      <name val="Arial"/>
      <family val="2"/>
    </font>
    <font>
      <b/>
      <sz val="9"/>
      <name val="A_Faseyha"/>
    </font>
    <font>
      <b/>
      <sz val="12"/>
      <color theme="1"/>
      <name val="A_Faseyha"/>
    </font>
    <font>
      <b/>
      <sz val="12"/>
      <name val="A_Faseyha"/>
    </font>
    <font>
      <sz val="10"/>
      <name val="A_Faseyha"/>
    </font>
    <font>
      <b/>
      <sz val="10.5"/>
      <name val="Faruma"/>
    </font>
    <font>
      <b/>
      <sz val="12"/>
      <name val="Faruma"/>
    </font>
    <font>
      <sz val="12"/>
      <color theme="1"/>
      <name val="Faruma"/>
    </font>
    <font>
      <sz val="12"/>
      <color theme="1"/>
      <name val="A_Faseyha"/>
    </font>
    <font>
      <b/>
      <vertAlign val="superscript"/>
      <sz val="11"/>
      <name val="Calibri"/>
      <family val="2"/>
      <scheme val="minor"/>
    </font>
    <font>
      <sz val="10"/>
      <name val="Arial"/>
      <family val="2"/>
    </font>
    <font>
      <b/>
      <sz val="12"/>
      <color theme="1"/>
      <name val="Faruma"/>
    </font>
    <font>
      <b/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55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/>
      <top style="thin">
        <color indexed="64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/>
      <right/>
      <top style="thin">
        <color indexed="64"/>
      </top>
      <bottom style="thin">
        <color theme="0"/>
      </bottom>
      <diagonal/>
    </border>
    <border>
      <left/>
      <right style="hair">
        <color indexed="64"/>
      </right>
      <top style="thin">
        <color indexed="64"/>
      </top>
      <bottom style="thin">
        <color theme="0"/>
      </bottom>
      <diagonal/>
    </border>
    <border>
      <left style="hair">
        <color indexed="64"/>
      </left>
      <right/>
      <top style="thin">
        <color indexed="64"/>
      </top>
      <bottom style="thin">
        <color theme="0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/>
      <top style="thin">
        <color theme="0"/>
      </top>
      <bottom style="thin">
        <color indexed="64"/>
      </bottom>
      <diagonal/>
    </border>
    <border>
      <left/>
      <right style="hair">
        <color indexed="64"/>
      </right>
      <top style="thin">
        <color theme="0"/>
      </top>
      <bottom style="thin">
        <color indexed="64"/>
      </bottom>
      <diagonal/>
    </border>
    <border>
      <left style="hair">
        <color indexed="64"/>
      </left>
      <right/>
      <top style="thin">
        <color theme="0"/>
      </top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hair">
        <color indexed="64"/>
      </right>
      <top/>
      <bottom style="thin">
        <color theme="0"/>
      </bottom>
      <diagonal/>
    </border>
    <border>
      <left style="hair">
        <color indexed="64"/>
      </left>
      <right/>
      <top style="thin">
        <color theme="0"/>
      </top>
      <bottom style="thin">
        <color theme="0"/>
      </bottom>
      <diagonal/>
    </border>
    <border>
      <left/>
      <right style="hair">
        <color indexed="64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hair">
        <color theme="1"/>
      </right>
      <top style="thin">
        <color indexed="64"/>
      </top>
      <bottom/>
      <diagonal/>
    </border>
    <border>
      <left/>
      <right style="hair">
        <color theme="1"/>
      </right>
      <top/>
      <bottom style="thin">
        <color indexed="64"/>
      </bottom>
      <diagonal/>
    </border>
    <border>
      <left/>
      <right style="hair">
        <color theme="1"/>
      </right>
      <top style="thin">
        <color indexed="64"/>
      </top>
      <bottom style="thin">
        <color indexed="64"/>
      </bottom>
      <diagonal/>
    </border>
    <border>
      <left/>
      <right style="hair">
        <color theme="1"/>
      </right>
      <top/>
      <bottom style="thin">
        <color theme="0"/>
      </bottom>
      <diagonal/>
    </border>
    <border>
      <left/>
      <right style="hair">
        <color theme="1"/>
      </right>
      <top style="thin">
        <color theme="0"/>
      </top>
      <bottom style="thin">
        <color theme="0"/>
      </bottom>
      <diagonal/>
    </border>
    <border>
      <left/>
      <right style="hair">
        <color theme="1"/>
      </right>
      <top style="thin">
        <color theme="0"/>
      </top>
      <bottom style="thin">
        <color indexed="64"/>
      </bottom>
      <diagonal/>
    </border>
    <border>
      <left style="hair">
        <color theme="1"/>
      </left>
      <right/>
      <top style="thin">
        <color indexed="64"/>
      </top>
      <bottom style="thin">
        <color indexed="64"/>
      </bottom>
      <diagonal/>
    </border>
    <border>
      <left style="hair">
        <color theme="1"/>
      </left>
      <right/>
      <top/>
      <bottom style="thin">
        <color theme="0"/>
      </bottom>
      <diagonal/>
    </border>
    <border>
      <left style="hair">
        <color theme="1"/>
      </left>
      <right/>
      <top style="thin">
        <color theme="0"/>
      </top>
      <bottom style="thin">
        <color theme="0"/>
      </bottom>
      <diagonal/>
    </border>
    <border>
      <left style="hair">
        <color theme="1"/>
      </left>
      <right/>
      <top style="thin">
        <color theme="0"/>
      </top>
      <bottom style="thin">
        <color indexed="64"/>
      </bottom>
      <diagonal/>
    </border>
    <border>
      <left style="hair">
        <color theme="1"/>
      </left>
      <right/>
      <top style="thin">
        <color indexed="64"/>
      </top>
      <bottom/>
      <diagonal/>
    </border>
    <border>
      <left style="hair">
        <color theme="1"/>
      </left>
      <right/>
      <top/>
      <bottom style="thin">
        <color indexed="64"/>
      </bottom>
      <diagonal/>
    </border>
    <border>
      <left/>
      <right style="hair">
        <color theme="1"/>
      </right>
      <top/>
      <bottom/>
      <diagonal/>
    </border>
    <border>
      <left style="hair">
        <color theme="1"/>
      </left>
      <right/>
      <top/>
      <bottom/>
      <diagonal/>
    </border>
  </borders>
  <cellStyleXfs count="17">
    <xf numFmtId="0" fontId="0" fillId="0" borderId="0"/>
    <xf numFmtId="43" fontId="1" fillId="0" borderId="0" applyFont="0" applyFill="0" applyBorder="0" applyAlignment="0" applyProtection="0"/>
    <xf numFmtId="164" fontId="2" fillId="0" borderId="0"/>
    <xf numFmtId="40" fontId="11" fillId="0" borderId="0" applyFont="0" applyFill="0" applyBorder="0" applyAlignment="0" applyProtection="0"/>
    <xf numFmtId="0" fontId="5" fillId="0" borderId="0"/>
    <xf numFmtId="0" fontId="19" fillId="0" borderId="0"/>
    <xf numFmtId="165" fontId="2" fillId="0" borderId="0"/>
    <xf numFmtId="165" fontId="2" fillId="0" borderId="0"/>
    <xf numFmtId="166" fontId="2" fillId="0" borderId="0" applyFont="0" applyFill="0" applyBorder="0" applyAlignment="0" applyProtection="0"/>
    <xf numFmtId="0" fontId="30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5" fillId="0" borderId="0"/>
    <xf numFmtId="0" fontId="5" fillId="0" borderId="0"/>
    <xf numFmtId="0" fontId="40" fillId="0" borderId="0"/>
    <xf numFmtId="43" fontId="5" fillId="0" borderId="0" applyFont="0" applyFill="0" applyBorder="0" applyAlignment="0" applyProtection="0"/>
    <xf numFmtId="0" fontId="5" fillId="0" borderId="0"/>
    <xf numFmtId="0" fontId="5" fillId="0" borderId="0"/>
  </cellStyleXfs>
  <cellXfs count="175">
    <xf numFmtId="0" fontId="0" fillId="0" borderId="0" xfId="0"/>
    <xf numFmtId="164" fontId="0" fillId="2" borderId="0" xfId="0" applyNumberFormat="1" applyFill="1"/>
    <xf numFmtId="164" fontId="9" fillId="2" borderId="0" xfId="0" applyNumberFormat="1" applyFont="1" applyFill="1"/>
    <xf numFmtId="164" fontId="10" fillId="2" borderId="0" xfId="2" applyFont="1" applyFill="1" applyAlignment="1">
      <alignment vertical="center"/>
    </xf>
    <xf numFmtId="164" fontId="10" fillId="2" borderId="0" xfId="2" applyFont="1" applyFill="1" applyAlignment="1">
      <alignment horizontal="left" vertical="center"/>
    </xf>
    <xf numFmtId="164" fontId="12" fillId="2" borderId="0" xfId="2" applyFont="1" applyFill="1" applyAlignment="1">
      <alignment horizontal="left" vertical="center"/>
    </xf>
    <xf numFmtId="164" fontId="16" fillId="2" borderId="0" xfId="2" applyFont="1" applyFill="1" applyAlignment="1">
      <alignment horizontal="left" vertical="center"/>
    </xf>
    <xf numFmtId="37" fontId="8" fillId="2" borderId="0" xfId="2" applyNumberFormat="1" applyFont="1" applyFill="1" applyAlignment="1">
      <alignment vertical="center"/>
    </xf>
    <xf numFmtId="0" fontId="14" fillId="2" borderId="2" xfId="0" applyFont="1" applyFill="1" applyBorder="1" applyAlignment="1">
      <alignment horizontal="right" vertical="center"/>
    </xf>
    <xf numFmtId="164" fontId="2" fillId="2" borderId="0" xfId="0" applyNumberFormat="1" applyFont="1" applyFill="1"/>
    <xf numFmtId="0" fontId="14" fillId="2" borderId="13" xfId="0" applyFont="1" applyFill="1" applyBorder="1" applyAlignment="1">
      <alignment horizontal="right" vertical="center"/>
    </xf>
    <xf numFmtId="0" fontId="14" fillId="2" borderId="0" xfId="0" applyFont="1" applyFill="1" applyAlignment="1">
      <alignment horizontal="right" vertical="center"/>
    </xf>
    <xf numFmtId="164" fontId="20" fillId="2" borderId="0" xfId="2" applyFont="1" applyFill="1" applyAlignment="1">
      <alignment horizontal="center" vertical="center" wrapText="1"/>
    </xf>
    <xf numFmtId="164" fontId="21" fillId="2" borderId="0" xfId="0" applyNumberFormat="1" applyFont="1" applyFill="1"/>
    <xf numFmtId="3" fontId="10" fillId="2" borderId="17" xfId="2" applyNumberFormat="1" applyFont="1" applyFill="1" applyBorder="1" applyAlignment="1">
      <alignment horizontal="right" vertical="center"/>
    </xf>
    <xf numFmtId="3" fontId="10" fillId="2" borderId="0" xfId="2" applyNumberFormat="1" applyFont="1" applyFill="1" applyAlignment="1">
      <alignment horizontal="right" vertical="center"/>
    </xf>
    <xf numFmtId="165" fontId="0" fillId="2" borderId="0" xfId="1" applyNumberFormat="1" applyFont="1" applyFill="1"/>
    <xf numFmtId="164" fontId="22" fillId="2" borderId="0" xfId="2" applyFont="1" applyFill="1" applyAlignment="1">
      <alignment horizontal="left" vertical="center"/>
    </xf>
    <xf numFmtId="37" fontId="5" fillId="2" borderId="0" xfId="2" applyNumberFormat="1" applyFont="1" applyFill="1" applyAlignment="1">
      <alignment vertical="center"/>
    </xf>
    <xf numFmtId="164" fontId="13" fillId="2" borderId="0" xfId="2" applyFont="1" applyFill="1"/>
    <xf numFmtId="0" fontId="13" fillId="2" borderId="0" xfId="4" applyFont="1" applyFill="1" applyAlignment="1">
      <alignment vertical="center"/>
    </xf>
    <xf numFmtId="164" fontId="3" fillId="2" borderId="0" xfId="2" applyFont="1" applyFill="1" applyAlignment="1">
      <alignment vertical="center"/>
    </xf>
    <xf numFmtId="164" fontId="6" fillId="2" borderId="0" xfId="2" applyFont="1" applyFill="1" applyAlignment="1">
      <alignment horizontal="center" vertical="center"/>
    </xf>
    <xf numFmtId="164" fontId="0" fillId="2" borderId="0" xfId="0" applyNumberFormat="1" applyFill="1" applyAlignment="1">
      <alignment horizontal="center" vertical="center"/>
    </xf>
    <xf numFmtId="0" fontId="7" fillId="2" borderId="29" xfId="2" applyNumberFormat="1" applyFont="1" applyFill="1" applyBorder="1" applyAlignment="1">
      <alignment horizontal="center" vertical="center"/>
    </xf>
    <xf numFmtId="0" fontId="7" fillId="2" borderId="31" xfId="2" applyNumberFormat="1" applyFont="1" applyFill="1" applyBorder="1" applyAlignment="1">
      <alignment horizontal="center" vertical="center"/>
    </xf>
    <xf numFmtId="0" fontId="7" fillId="2" borderId="32" xfId="2" applyNumberFormat="1" applyFont="1" applyFill="1" applyBorder="1" applyAlignment="1">
      <alignment horizontal="center" vertical="center"/>
    </xf>
    <xf numFmtId="0" fontId="7" fillId="2" borderId="16" xfId="2" applyNumberFormat="1" applyFont="1" applyFill="1" applyBorder="1" applyAlignment="1">
      <alignment horizontal="center" vertical="center"/>
    </xf>
    <xf numFmtId="164" fontId="10" fillId="2" borderId="2" xfId="2" applyFont="1" applyFill="1" applyBorder="1" applyAlignment="1">
      <alignment horizontal="left" vertical="center"/>
    </xf>
    <xf numFmtId="3" fontId="7" fillId="2" borderId="2" xfId="2" applyNumberFormat="1" applyFont="1" applyFill="1" applyBorder="1" applyAlignment="1">
      <alignment horizontal="center" vertical="center"/>
    </xf>
    <xf numFmtId="3" fontId="7" fillId="2" borderId="3" xfId="2" applyNumberFormat="1" applyFont="1" applyFill="1" applyBorder="1" applyAlignment="1">
      <alignment horizontal="center" vertical="center"/>
    </xf>
    <xf numFmtId="3" fontId="7" fillId="2" borderId="33" xfId="2" applyNumberFormat="1" applyFont="1" applyFill="1" applyBorder="1" applyAlignment="1">
      <alignment horizontal="center" vertical="center"/>
    </xf>
    <xf numFmtId="3" fontId="7" fillId="2" borderId="13" xfId="2" applyNumberFormat="1" applyFont="1" applyFill="1" applyBorder="1" applyAlignment="1">
      <alignment horizontal="center" vertical="center"/>
    </xf>
    <xf numFmtId="3" fontId="7" fillId="2" borderId="34" xfId="2" applyNumberFormat="1" applyFont="1" applyFill="1" applyBorder="1" applyAlignment="1">
      <alignment horizontal="center" vertical="center"/>
    </xf>
    <xf numFmtId="3" fontId="7" fillId="2" borderId="35" xfId="2" applyNumberFormat="1" applyFont="1" applyFill="1" applyBorder="1" applyAlignment="1">
      <alignment horizontal="center" vertical="center"/>
    </xf>
    <xf numFmtId="3" fontId="7" fillId="2" borderId="18" xfId="2" applyNumberFormat="1" applyFont="1" applyFill="1" applyBorder="1" applyAlignment="1">
      <alignment horizontal="center" vertical="center"/>
    </xf>
    <xf numFmtId="164" fontId="17" fillId="2" borderId="1" xfId="2" applyFont="1" applyFill="1" applyBorder="1" applyAlignment="1">
      <alignment horizontal="left" vertical="center"/>
    </xf>
    <xf numFmtId="3" fontId="17" fillId="2" borderId="1" xfId="3" applyNumberFormat="1" applyFont="1" applyFill="1" applyBorder="1" applyAlignment="1">
      <alignment horizontal="center" vertical="center"/>
    </xf>
    <xf numFmtId="0" fontId="17" fillId="2" borderId="4" xfId="0" applyFont="1" applyFill="1" applyBorder="1" applyAlignment="1">
      <alignment horizontal="center" vertical="center"/>
    </xf>
    <xf numFmtId="0" fontId="17" fillId="2" borderId="36" xfId="0" applyFont="1" applyFill="1" applyBorder="1" applyAlignment="1">
      <alignment horizontal="center" vertical="center"/>
    </xf>
    <xf numFmtId="0" fontId="17" fillId="2" borderId="11" xfId="0" applyFont="1" applyFill="1" applyBorder="1" applyAlignment="1">
      <alignment horizontal="center" vertical="center"/>
    </xf>
    <xf numFmtId="0" fontId="17" fillId="2" borderId="7" xfId="0" applyFont="1" applyFill="1" applyBorder="1" applyAlignment="1">
      <alignment horizontal="center" vertical="center"/>
    </xf>
    <xf numFmtId="3" fontId="17" fillId="2" borderId="7" xfId="3" applyNumberFormat="1" applyFont="1" applyFill="1" applyBorder="1" applyAlignment="1">
      <alignment horizontal="center" vertical="center"/>
    </xf>
    <xf numFmtId="0" fontId="24" fillId="2" borderId="7" xfId="0" applyFont="1" applyFill="1" applyBorder="1" applyAlignment="1">
      <alignment horizontal="center" vertical="center"/>
    </xf>
    <xf numFmtId="0" fontId="17" fillId="2" borderId="37" xfId="0" applyFont="1" applyFill="1" applyBorder="1" applyAlignment="1">
      <alignment horizontal="center" vertical="center"/>
    </xf>
    <xf numFmtId="164" fontId="17" fillId="2" borderId="5" xfId="2" applyFont="1" applyFill="1" applyBorder="1" applyAlignment="1">
      <alignment horizontal="left" vertical="center"/>
    </xf>
    <xf numFmtId="3" fontId="17" fillId="2" borderId="5" xfId="3" applyNumberFormat="1" applyFont="1" applyFill="1" applyBorder="1" applyAlignment="1">
      <alignment horizontal="center" vertical="center"/>
    </xf>
    <xf numFmtId="0" fontId="17" fillId="2" borderId="6" xfId="0" applyFont="1" applyFill="1" applyBorder="1" applyAlignment="1">
      <alignment horizontal="center" vertical="center"/>
    </xf>
    <xf numFmtId="0" fontId="17" fillId="2" borderId="24" xfId="0" applyFont="1" applyFill="1" applyBorder="1" applyAlignment="1">
      <alignment horizontal="center" vertical="center"/>
    </xf>
    <xf numFmtId="0" fontId="17" fillId="2" borderId="12" xfId="0" applyFont="1" applyFill="1" applyBorder="1" applyAlignment="1">
      <alignment horizontal="center" vertical="center"/>
    </xf>
    <xf numFmtId="0" fontId="17" fillId="2" borderId="22" xfId="0" applyFont="1" applyFill="1" applyBorder="1" applyAlignment="1">
      <alignment horizontal="center" vertical="center"/>
    </xf>
    <xf numFmtId="3" fontId="17" fillId="2" borderId="22" xfId="3" applyNumberFormat="1" applyFont="1" applyFill="1" applyBorder="1" applyAlignment="1">
      <alignment horizontal="center" vertical="center"/>
    </xf>
    <xf numFmtId="0" fontId="17" fillId="2" borderId="23" xfId="0" applyFont="1" applyFill="1" applyBorder="1" applyAlignment="1">
      <alignment horizontal="center" vertical="center"/>
    </xf>
    <xf numFmtId="164" fontId="15" fillId="2" borderId="0" xfId="2" applyFont="1" applyFill="1"/>
    <xf numFmtId="0" fontId="7" fillId="2" borderId="0" xfId="2" applyNumberFormat="1" applyFont="1" applyFill="1" applyAlignment="1">
      <alignment horizontal="center" vertical="center"/>
    </xf>
    <xf numFmtId="3" fontId="7" fillId="2" borderId="0" xfId="2" applyNumberFormat="1" applyFont="1" applyFill="1" applyAlignment="1">
      <alignment horizontal="center" vertical="center"/>
    </xf>
    <xf numFmtId="0" fontId="24" fillId="2" borderId="0" xfId="0" applyFont="1" applyFill="1" applyAlignment="1">
      <alignment horizontal="center" vertical="center"/>
    </xf>
    <xf numFmtId="0" fontId="17" fillId="2" borderId="0" xfId="0" applyFont="1" applyFill="1" applyAlignment="1">
      <alignment horizontal="center" vertical="center"/>
    </xf>
    <xf numFmtId="164" fontId="17" fillId="2" borderId="1" xfId="2" applyFont="1" applyFill="1" applyBorder="1" applyAlignment="1">
      <alignment horizontal="left" vertical="center" indent="1"/>
    </xf>
    <xf numFmtId="164" fontId="17" fillId="2" borderId="5" xfId="2" applyFont="1" applyFill="1" applyBorder="1" applyAlignment="1">
      <alignment horizontal="left" vertical="center" indent="1"/>
    </xf>
    <xf numFmtId="164" fontId="7" fillId="2" borderId="40" xfId="2" applyFont="1" applyFill="1" applyBorder="1" applyAlignment="1">
      <alignment horizontal="right" vertical="center"/>
    </xf>
    <xf numFmtId="164" fontId="31" fillId="2" borderId="0" xfId="2" applyFont="1" applyFill="1" applyAlignment="1">
      <alignment horizontal="right" vertical="center"/>
    </xf>
    <xf numFmtId="164" fontId="12" fillId="2" borderId="40" xfId="2" applyFont="1" applyFill="1" applyBorder="1" applyAlignment="1">
      <alignment horizontal="left" vertical="center"/>
    </xf>
    <xf numFmtId="164" fontId="20" fillId="2" borderId="40" xfId="2" applyFont="1" applyFill="1" applyBorder="1" applyAlignment="1">
      <alignment horizontal="right" vertical="center"/>
    </xf>
    <xf numFmtId="0" fontId="7" fillId="2" borderId="40" xfId="2" applyNumberFormat="1" applyFont="1" applyFill="1" applyBorder="1" applyAlignment="1">
      <alignment horizontal="center" vertical="center"/>
    </xf>
    <xf numFmtId="164" fontId="28" fillId="2" borderId="0" xfId="2" applyFont="1" applyFill="1" applyAlignment="1">
      <alignment horizontal="right" vertical="center"/>
    </xf>
    <xf numFmtId="164" fontId="27" fillId="2" borderId="0" xfId="0" applyNumberFormat="1" applyFont="1" applyFill="1"/>
    <xf numFmtId="0" fontId="34" fillId="2" borderId="11" xfId="5" applyFont="1" applyFill="1" applyBorder="1" applyAlignment="1">
      <alignment horizontal="right"/>
    </xf>
    <xf numFmtId="0" fontId="34" fillId="2" borderId="12" xfId="5" applyFont="1" applyFill="1" applyBorder="1" applyAlignment="1">
      <alignment horizontal="right"/>
    </xf>
    <xf numFmtId="0" fontId="28" fillId="2" borderId="13" xfId="5" applyFont="1" applyFill="1" applyBorder="1" applyAlignment="1">
      <alignment horizontal="right"/>
    </xf>
    <xf numFmtId="164" fontId="35" fillId="2" borderId="8" xfId="2" applyFont="1" applyFill="1" applyBorder="1" applyAlignment="1">
      <alignment horizontal="center" vertical="center"/>
    </xf>
    <xf numFmtId="164" fontId="37" fillId="2" borderId="8" xfId="0" applyNumberFormat="1" applyFont="1" applyFill="1" applyBorder="1"/>
    <xf numFmtId="164" fontId="36" fillId="2" borderId="18" xfId="2" applyFont="1" applyFill="1" applyBorder="1" applyAlignment="1">
      <alignment vertical="center"/>
    </xf>
    <xf numFmtId="164" fontId="38" fillId="2" borderId="8" xfId="0" applyNumberFormat="1" applyFont="1" applyFill="1" applyBorder="1"/>
    <xf numFmtId="164" fontId="36" fillId="2" borderId="17" xfId="2" applyFont="1" applyFill="1" applyBorder="1" applyAlignment="1">
      <alignment horizontal="left" vertical="center"/>
    </xf>
    <xf numFmtId="164" fontId="37" fillId="2" borderId="0" xfId="0" applyNumberFormat="1" applyFont="1" applyFill="1"/>
    <xf numFmtId="164" fontId="1" fillId="2" borderId="0" xfId="0" applyNumberFormat="1" applyFont="1" applyFill="1" applyAlignment="1">
      <alignment horizontal="center" vertical="center"/>
    </xf>
    <xf numFmtId="164" fontId="18" fillId="2" borderId="22" xfId="2" applyFont="1" applyFill="1" applyBorder="1" applyAlignment="1">
      <alignment vertical="center" wrapText="1"/>
    </xf>
    <xf numFmtId="3" fontId="12" fillId="3" borderId="1" xfId="2" applyNumberFormat="1" applyFont="1" applyFill="1" applyBorder="1" applyAlignment="1">
      <alignment horizontal="right" vertical="center"/>
    </xf>
    <xf numFmtId="3" fontId="12" fillId="3" borderId="1" xfId="3" applyNumberFormat="1" applyFont="1" applyFill="1" applyBorder="1" applyAlignment="1">
      <alignment horizontal="right" vertical="center"/>
    </xf>
    <xf numFmtId="3" fontId="12" fillId="3" borderId="0" xfId="2" applyNumberFormat="1" applyFont="1" applyFill="1" applyAlignment="1">
      <alignment horizontal="right" vertical="center"/>
    </xf>
    <xf numFmtId="3" fontId="12" fillId="3" borderId="5" xfId="2" applyNumberFormat="1" applyFont="1" applyFill="1" applyBorder="1" applyAlignment="1">
      <alignment horizontal="right" vertical="center"/>
    </xf>
    <xf numFmtId="3" fontId="12" fillId="3" borderId="5" xfId="3" applyNumberFormat="1" applyFont="1" applyFill="1" applyBorder="1" applyAlignment="1">
      <alignment horizontal="right" vertical="center"/>
    </xf>
    <xf numFmtId="3" fontId="12" fillId="3" borderId="40" xfId="2" applyNumberFormat="1" applyFont="1" applyFill="1" applyBorder="1" applyAlignment="1">
      <alignment horizontal="right" vertical="center"/>
    </xf>
    <xf numFmtId="164" fontId="36" fillId="2" borderId="8" xfId="2" applyFont="1" applyFill="1" applyBorder="1" applyAlignment="1">
      <alignment horizontal="center" vertical="center"/>
    </xf>
    <xf numFmtId="164" fontId="18" fillId="2" borderId="0" xfId="2" applyFont="1" applyFill="1" applyAlignment="1">
      <alignment horizontal="center" vertical="center" wrapText="1"/>
    </xf>
    <xf numFmtId="164" fontId="41" fillId="2" borderId="17" xfId="2" applyFont="1" applyFill="1" applyBorder="1" applyAlignment="1">
      <alignment horizontal="left" vertical="center"/>
    </xf>
    <xf numFmtId="164" fontId="41" fillId="2" borderId="18" xfId="2" applyFont="1" applyFill="1" applyBorder="1" applyAlignment="1">
      <alignment vertical="center"/>
    </xf>
    <xf numFmtId="164" fontId="32" fillId="2" borderId="18" xfId="2" applyFont="1" applyFill="1" applyBorder="1" applyAlignment="1">
      <alignment vertical="center"/>
    </xf>
    <xf numFmtId="164" fontId="25" fillId="2" borderId="1" xfId="2" applyFont="1" applyFill="1" applyBorder="1" applyAlignment="1">
      <alignment horizontal="center" vertical="center"/>
    </xf>
    <xf numFmtId="164" fontId="25" fillId="2" borderId="22" xfId="2" applyFont="1" applyFill="1" applyBorder="1" applyAlignment="1">
      <alignment vertical="center" wrapText="1"/>
    </xf>
    <xf numFmtId="164" fontId="26" fillId="2" borderId="5" xfId="2" applyFont="1" applyFill="1" applyBorder="1" applyAlignment="1">
      <alignment horizontal="left" vertical="center"/>
    </xf>
    <xf numFmtId="0" fontId="42" fillId="2" borderId="26" xfId="2" applyNumberFormat="1" applyFont="1" applyFill="1" applyBorder="1" applyAlignment="1">
      <alignment horizontal="center" vertical="center"/>
    </xf>
    <xf numFmtId="0" fontId="42" fillId="2" borderId="27" xfId="2" applyNumberFormat="1" applyFont="1" applyFill="1" applyBorder="1" applyAlignment="1">
      <alignment horizontal="center" vertical="center"/>
    </xf>
    <xf numFmtId="0" fontId="42" fillId="2" borderId="28" xfId="2" applyNumberFormat="1" applyFont="1" applyFill="1" applyBorder="1" applyAlignment="1">
      <alignment horizontal="center" vertical="center"/>
    </xf>
    <xf numFmtId="0" fontId="42" fillId="2" borderId="29" xfId="2" applyNumberFormat="1" applyFont="1" applyFill="1" applyBorder="1" applyAlignment="1">
      <alignment horizontal="center" vertical="center"/>
    </xf>
    <xf numFmtId="0" fontId="42" fillId="2" borderId="30" xfId="2" applyNumberFormat="1" applyFont="1" applyFill="1" applyBorder="1" applyAlignment="1">
      <alignment horizontal="center" vertical="center"/>
    </xf>
    <xf numFmtId="0" fontId="42" fillId="2" borderId="31" xfId="2" applyNumberFormat="1" applyFont="1" applyFill="1" applyBorder="1" applyAlignment="1">
      <alignment horizontal="center" vertical="center"/>
    </xf>
    <xf numFmtId="0" fontId="42" fillId="2" borderId="40" xfId="2" applyNumberFormat="1" applyFont="1" applyFill="1" applyBorder="1" applyAlignment="1">
      <alignment horizontal="center" vertical="center"/>
    </xf>
    <xf numFmtId="0" fontId="42" fillId="2" borderId="32" xfId="2" applyNumberFormat="1" applyFont="1" applyFill="1" applyBorder="1" applyAlignment="1">
      <alignment horizontal="center" vertical="center"/>
    </xf>
    <xf numFmtId="0" fontId="7" fillId="2" borderId="43" xfId="2" applyNumberFormat="1" applyFont="1" applyFill="1" applyBorder="1" applyAlignment="1">
      <alignment horizontal="center" vertical="center"/>
    </xf>
    <xf numFmtId="3" fontId="7" fillId="2" borderId="44" xfId="2" applyNumberFormat="1" applyFont="1" applyFill="1" applyBorder="1" applyAlignment="1">
      <alignment horizontal="center" vertical="center"/>
    </xf>
    <xf numFmtId="0" fontId="7" fillId="2" borderId="47" xfId="2" applyNumberFormat="1" applyFont="1" applyFill="1" applyBorder="1" applyAlignment="1">
      <alignment horizontal="center" vertical="center"/>
    </xf>
    <xf numFmtId="3" fontId="7" fillId="2" borderId="48" xfId="2" applyNumberFormat="1" applyFont="1" applyFill="1" applyBorder="1" applyAlignment="1">
      <alignment horizontal="center" vertical="center"/>
    </xf>
    <xf numFmtId="0" fontId="7" fillId="2" borderId="38" xfId="2" applyNumberFormat="1" applyFont="1" applyFill="1" applyBorder="1" applyAlignment="1">
      <alignment horizontal="center" vertical="center"/>
    </xf>
    <xf numFmtId="3" fontId="17" fillId="2" borderId="4" xfId="3" applyNumberFormat="1" applyFont="1" applyFill="1" applyBorder="1" applyAlignment="1">
      <alignment horizontal="center" vertical="center"/>
    </xf>
    <xf numFmtId="3" fontId="17" fillId="2" borderId="6" xfId="3" applyNumberFormat="1" applyFont="1" applyFill="1" applyBorder="1" applyAlignment="1">
      <alignment horizontal="center" vertical="center"/>
    </xf>
    <xf numFmtId="3" fontId="17" fillId="2" borderId="49" xfId="3" applyNumberFormat="1" applyFont="1" applyFill="1" applyBorder="1" applyAlignment="1">
      <alignment horizontal="center" vertical="center"/>
    </xf>
    <xf numFmtId="3" fontId="17" fillId="2" borderId="50" xfId="3" applyNumberFormat="1" applyFont="1" applyFill="1" applyBorder="1" applyAlignment="1">
      <alignment horizontal="center" vertical="center"/>
    </xf>
    <xf numFmtId="3" fontId="17" fillId="2" borderId="0" xfId="3" applyNumberFormat="1" applyFont="1" applyFill="1" applyBorder="1" applyAlignment="1">
      <alignment horizontal="center" vertical="center"/>
    </xf>
    <xf numFmtId="3" fontId="17" fillId="2" borderId="40" xfId="3" applyNumberFormat="1" applyFont="1" applyFill="1" applyBorder="1" applyAlignment="1">
      <alignment horizontal="center" vertical="center"/>
    </xf>
    <xf numFmtId="164" fontId="10" fillId="2" borderId="5" xfId="2" applyFont="1" applyFill="1" applyBorder="1" applyAlignment="1">
      <alignment horizontal="left" vertical="center"/>
    </xf>
    <xf numFmtId="164" fontId="7" fillId="2" borderId="0" xfId="2" applyFont="1" applyFill="1" applyAlignment="1">
      <alignment horizontal="center" vertical="center" wrapText="1"/>
    </xf>
    <xf numFmtId="164" fontId="23" fillId="2" borderId="0" xfId="2" applyFont="1" applyFill="1" applyAlignment="1">
      <alignment horizontal="center" vertical="center"/>
    </xf>
    <xf numFmtId="164" fontId="18" fillId="2" borderId="1" xfId="2" applyFont="1" applyFill="1" applyBorder="1" applyAlignment="1">
      <alignment horizontal="center" vertical="center"/>
    </xf>
    <xf numFmtId="164" fontId="18" fillId="2" borderId="40" xfId="2" applyFont="1" applyFill="1" applyBorder="1" applyAlignment="1">
      <alignment horizontal="center" vertical="center" wrapText="1"/>
    </xf>
    <xf numFmtId="0" fontId="17" fillId="2" borderId="45" xfId="0" applyFont="1" applyFill="1" applyBorder="1" applyAlignment="1">
      <alignment horizontal="center" vertical="center"/>
    </xf>
    <xf numFmtId="0" fontId="17" fillId="2" borderId="46" xfId="0" applyFont="1" applyFill="1" applyBorder="1" applyAlignment="1">
      <alignment horizontal="center" vertical="center"/>
    </xf>
    <xf numFmtId="164" fontId="18" fillId="2" borderId="25" xfId="2" applyFont="1" applyFill="1" applyBorder="1" applyAlignment="1">
      <alignment horizontal="center" vertical="center" wrapText="1"/>
    </xf>
    <xf numFmtId="164" fontId="36" fillId="2" borderId="21" xfId="2" applyFont="1" applyFill="1" applyBorder="1" applyAlignment="1">
      <alignment horizontal="center" vertical="center"/>
    </xf>
    <xf numFmtId="3" fontId="7" fillId="2" borderId="20" xfId="2" applyNumberFormat="1" applyFont="1" applyFill="1" applyBorder="1" applyAlignment="1">
      <alignment horizontal="center" vertical="center"/>
    </xf>
    <xf numFmtId="164" fontId="20" fillId="2" borderId="40" xfId="2" applyFont="1" applyFill="1" applyBorder="1" applyAlignment="1">
      <alignment horizontal="center" vertical="center" wrapText="1"/>
    </xf>
    <xf numFmtId="164" fontId="35" fillId="2" borderId="8" xfId="2" applyFont="1" applyFill="1" applyBorder="1" applyAlignment="1">
      <alignment horizontal="center" vertical="center"/>
    </xf>
    <xf numFmtId="164" fontId="29" fillId="2" borderId="0" xfId="2" applyFont="1" applyFill="1" applyAlignment="1">
      <alignment horizontal="center" vertical="center"/>
    </xf>
    <xf numFmtId="164" fontId="4" fillId="2" borderId="0" xfId="2" applyFont="1" applyFill="1" applyAlignment="1">
      <alignment horizontal="center" vertical="center"/>
    </xf>
    <xf numFmtId="164" fontId="10" fillId="2" borderId="8" xfId="2" applyFont="1" applyFill="1" applyBorder="1" applyAlignment="1">
      <alignment horizontal="left" vertical="center"/>
    </xf>
    <xf numFmtId="164" fontId="10" fillId="2" borderId="0" xfId="2" applyFont="1" applyFill="1" applyAlignment="1">
      <alignment horizontal="left" vertical="center"/>
    </xf>
    <xf numFmtId="164" fontId="10" fillId="2" borderId="40" xfId="2" applyFont="1" applyFill="1" applyBorder="1" applyAlignment="1">
      <alignment horizontal="left" vertical="center"/>
    </xf>
    <xf numFmtId="164" fontId="28" fillId="2" borderId="8" xfId="2" applyFont="1" applyFill="1" applyBorder="1" applyAlignment="1">
      <alignment horizontal="right" vertical="center"/>
    </xf>
    <xf numFmtId="164" fontId="28" fillId="2" borderId="0" xfId="2" applyFont="1" applyFill="1" applyAlignment="1">
      <alignment horizontal="right" vertical="center"/>
    </xf>
    <xf numFmtId="164" fontId="28" fillId="2" borderId="40" xfId="2" applyFont="1" applyFill="1" applyBorder="1" applyAlignment="1">
      <alignment horizontal="right" vertical="center"/>
    </xf>
    <xf numFmtId="164" fontId="10" fillId="2" borderId="17" xfId="2" applyFont="1" applyFill="1" applyBorder="1" applyAlignment="1">
      <alignment horizontal="left" vertical="center"/>
    </xf>
    <xf numFmtId="164" fontId="10" fillId="2" borderId="1" xfId="2" applyFont="1" applyFill="1" applyBorder="1" applyAlignment="1">
      <alignment horizontal="left" vertical="center"/>
    </xf>
    <xf numFmtId="164" fontId="10" fillId="2" borderId="5" xfId="2" applyFont="1" applyFill="1" applyBorder="1" applyAlignment="1">
      <alignment horizontal="left" vertical="center"/>
    </xf>
    <xf numFmtId="164" fontId="32" fillId="2" borderId="10" xfId="2" applyFont="1" applyFill="1" applyBorder="1" applyAlignment="1">
      <alignment horizontal="center" vertical="center"/>
    </xf>
    <xf numFmtId="164" fontId="32" fillId="2" borderId="18" xfId="2" applyFont="1" applyFill="1" applyBorder="1" applyAlignment="1">
      <alignment horizontal="center" vertical="center"/>
    </xf>
    <xf numFmtId="164" fontId="32" fillId="2" borderId="19" xfId="2" applyFont="1" applyFill="1" applyBorder="1" applyAlignment="1">
      <alignment horizontal="center" vertical="center"/>
    </xf>
    <xf numFmtId="164" fontId="32" fillId="2" borderId="15" xfId="2" applyFont="1" applyFill="1" applyBorder="1" applyAlignment="1">
      <alignment horizontal="center" vertical="center"/>
    </xf>
    <xf numFmtId="164" fontId="32" fillId="2" borderId="8" xfId="2" applyFont="1" applyFill="1" applyBorder="1" applyAlignment="1">
      <alignment horizontal="center" vertical="center"/>
    </xf>
    <xf numFmtId="164" fontId="36" fillId="2" borderId="15" xfId="2" applyFont="1" applyFill="1" applyBorder="1" applyAlignment="1">
      <alignment horizontal="center" vertical="center"/>
    </xf>
    <xf numFmtId="164" fontId="36" fillId="2" borderId="8" xfId="2" applyFont="1" applyFill="1" applyBorder="1" applyAlignment="1">
      <alignment horizontal="center" vertical="center"/>
    </xf>
    <xf numFmtId="0" fontId="28" fillId="2" borderId="9" xfId="5" applyFont="1" applyFill="1" applyBorder="1" applyAlignment="1">
      <alignment horizontal="right" vertical="center"/>
    </xf>
    <xf numFmtId="0" fontId="28" fillId="2" borderId="11" xfId="5" applyFont="1" applyFill="1" applyBorder="1" applyAlignment="1">
      <alignment horizontal="right" vertical="center"/>
    </xf>
    <xf numFmtId="0" fontId="28" fillId="2" borderId="12" xfId="5" applyFont="1" applyFill="1" applyBorder="1" applyAlignment="1">
      <alignment horizontal="right" vertical="center"/>
    </xf>
    <xf numFmtId="164" fontId="25" fillId="2" borderId="6" xfId="2" applyFont="1" applyFill="1" applyBorder="1" applyAlignment="1">
      <alignment horizontal="center" vertical="center" wrapText="1"/>
    </xf>
    <xf numFmtId="164" fontId="25" fillId="2" borderId="22" xfId="2" applyFont="1" applyFill="1" applyBorder="1" applyAlignment="1">
      <alignment horizontal="center" vertical="center" wrapText="1"/>
    </xf>
    <xf numFmtId="164" fontId="25" fillId="2" borderId="23" xfId="2" applyFont="1" applyFill="1" applyBorder="1" applyAlignment="1">
      <alignment horizontal="center" vertical="center" wrapText="1"/>
    </xf>
    <xf numFmtId="164" fontId="25" fillId="2" borderId="14" xfId="2" applyFont="1" applyFill="1" applyBorder="1" applyAlignment="1">
      <alignment horizontal="center" vertical="center" wrapText="1"/>
    </xf>
    <xf numFmtId="164" fontId="25" fillId="2" borderId="0" xfId="2" applyFont="1" applyFill="1" applyAlignment="1">
      <alignment horizontal="center" vertical="center" wrapText="1"/>
    </xf>
    <xf numFmtId="164" fontId="18" fillId="2" borderId="14" xfId="2" applyFont="1" applyFill="1" applyBorder="1" applyAlignment="1">
      <alignment horizontal="center" vertical="center" wrapText="1"/>
    </xf>
    <xf numFmtId="164" fontId="18" fillId="2" borderId="0" xfId="2" applyFont="1" applyFill="1" applyAlignment="1">
      <alignment horizontal="center" vertical="center" wrapText="1"/>
    </xf>
    <xf numFmtId="164" fontId="18" fillId="2" borderId="16" xfId="2" applyFont="1" applyFill="1" applyBorder="1" applyAlignment="1">
      <alignment horizontal="center" vertical="center" wrapText="1"/>
    </xf>
    <xf numFmtId="164" fontId="18" fillId="2" borderId="40" xfId="2" applyFont="1" applyFill="1" applyBorder="1" applyAlignment="1">
      <alignment horizontal="center" vertical="center" wrapText="1"/>
    </xf>
    <xf numFmtId="164" fontId="18" fillId="2" borderId="25" xfId="2" applyFont="1" applyFill="1" applyBorder="1" applyAlignment="1">
      <alignment horizontal="center" vertical="center" wrapText="1"/>
    </xf>
    <xf numFmtId="164" fontId="18" fillId="2" borderId="24" xfId="2" applyFont="1" applyFill="1" applyBorder="1" applyAlignment="1">
      <alignment horizontal="center" vertical="center" wrapText="1"/>
    </xf>
    <xf numFmtId="164" fontId="18" fillId="2" borderId="22" xfId="2" applyFont="1" applyFill="1" applyBorder="1" applyAlignment="1">
      <alignment horizontal="center" vertical="center" wrapText="1"/>
    </xf>
    <xf numFmtId="164" fontId="18" fillId="2" borderId="23" xfId="2" applyFont="1" applyFill="1" applyBorder="1" applyAlignment="1">
      <alignment horizontal="center" vertical="center" wrapText="1"/>
    </xf>
    <xf numFmtId="164" fontId="36" fillId="2" borderId="21" xfId="2" applyFont="1" applyFill="1" applyBorder="1" applyAlignment="1">
      <alignment horizontal="center" vertical="center"/>
    </xf>
    <xf numFmtId="164" fontId="36" fillId="2" borderId="20" xfId="2" applyFont="1" applyFill="1" applyBorder="1" applyAlignment="1">
      <alignment horizontal="center" vertical="center"/>
    </xf>
    <xf numFmtId="164" fontId="36" fillId="2" borderId="18" xfId="2" applyFont="1" applyFill="1" applyBorder="1" applyAlignment="1">
      <alignment horizontal="center" vertical="center"/>
    </xf>
    <xf numFmtId="164" fontId="36" fillId="2" borderId="19" xfId="2" applyFont="1" applyFill="1" applyBorder="1" applyAlignment="1">
      <alignment horizontal="center" vertical="center"/>
    </xf>
    <xf numFmtId="164" fontId="33" fillId="2" borderId="8" xfId="2" applyFont="1" applyFill="1" applyBorder="1" applyAlignment="1">
      <alignment horizontal="center" vertical="center"/>
    </xf>
    <xf numFmtId="164" fontId="33" fillId="2" borderId="41" xfId="2" applyFont="1" applyFill="1" applyBorder="1" applyAlignment="1">
      <alignment horizontal="center" vertical="center"/>
    </xf>
    <xf numFmtId="164" fontId="18" fillId="2" borderId="42" xfId="2" applyFont="1" applyFill="1" applyBorder="1" applyAlignment="1">
      <alignment horizontal="center" vertical="center" wrapText="1"/>
    </xf>
    <xf numFmtId="164" fontId="33" fillId="2" borderId="0" xfId="2" applyFont="1" applyFill="1" applyAlignment="1">
      <alignment horizontal="center" vertical="center"/>
    </xf>
    <xf numFmtId="164" fontId="18" fillId="2" borderId="0" xfId="2" applyFont="1" applyFill="1" applyAlignment="1">
      <alignment horizontal="center" vertical="center"/>
    </xf>
    <xf numFmtId="164" fontId="7" fillId="2" borderId="0" xfId="2" applyFont="1" applyFill="1" applyAlignment="1">
      <alignment horizontal="center" vertical="center" wrapText="1"/>
    </xf>
    <xf numFmtId="164" fontId="23" fillId="2" borderId="0" xfId="2" applyFont="1" applyFill="1" applyAlignment="1">
      <alignment horizontal="center" vertical="center"/>
    </xf>
    <xf numFmtId="164" fontId="36" fillId="2" borderId="51" xfId="2" applyFont="1" applyFill="1" applyBorder="1" applyAlignment="1">
      <alignment horizontal="center" vertical="center"/>
    </xf>
    <xf numFmtId="164" fontId="36" fillId="2" borderId="41" xfId="2" applyFont="1" applyFill="1" applyBorder="1" applyAlignment="1">
      <alignment horizontal="center" vertical="center"/>
    </xf>
    <xf numFmtId="164" fontId="18" fillId="2" borderId="54" xfId="2" applyFont="1" applyFill="1" applyBorder="1" applyAlignment="1">
      <alignment horizontal="center" vertical="center" wrapText="1"/>
    </xf>
    <xf numFmtId="164" fontId="18" fillId="2" borderId="53" xfId="2" applyFont="1" applyFill="1" applyBorder="1" applyAlignment="1">
      <alignment horizontal="center" vertical="center" wrapText="1"/>
    </xf>
    <xf numFmtId="164" fontId="18" fillId="2" borderId="52" xfId="2" applyFont="1" applyFill="1" applyBorder="1" applyAlignment="1">
      <alignment horizontal="center" vertical="center" wrapText="1"/>
    </xf>
    <xf numFmtId="164" fontId="18" fillId="2" borderId="38" xfId="2" applyFont="1" applyFill="1" applyBorder="1" applyAlignment="1">
      <alignment horizontal="center" vertical="center" wrapText="1"/>
    </xf>
    <xf numFmtId="164" fontId="33" fillId="2" borderId="39" xfId="2" applyFont="1" applyFill="1" applyBorder="1" applyAlignment="1">
      <alignment horizontal="center" vertical="center"/>
    </xf>
  </cellXfs>
  <cellStyles count="17">
    <cellStyle name="1" xfId="15" xr:uid="{00000000-0005-0000-0000-000000000000}"/>
    <cellStyle name="Comma" xfId="1" builtinId="3"/>
    <cellStyle name="Comma 2" xfId="3" xr:uid="{00000000-0005-0000-0000-000002000000}"/>
    <cellStyle name="Comma 3" xfId="14" xr:uid="{00000000-0005-0000-0000-000003000000}"/>
    <cellStyle name="Comma 4" xfId="8" xr:uid="{00000000-0005-0000-0000-000004000000}"/>
    <cellStyle name="Hyperlink 2" xfId="9" xr:uid="{00000000-0005-0000-0000-000005000000}"/>
    <cellStyle name="Normal" xfId="0" builtinId="0"/>
    <cellStyle name="Normal 2" xfId="2" xr:uid="{00000000-0005-0000-0000-000007000000}"/>
    <cellStyle name="Normal 2 3" xfId="11" xr:uid="{00000000-0005-0000-0000-000008000000}"/>
    <cellStyle name="Normal 3" xfId="6" xr:uid="{00000000-0005-0000-0000-000009000000}"/>
    <cellStyle name="Normal 3 2" xfId="12" xr:uid="{00000000-0005-0000-0000-00000A000000}"/>
    <cellStyle name="Normal 4" xfId="7" xr:uid="{00000000-0005-0000-0000-00000B000000}"/>
    <cellStyle name="Normal 5" xfId="10" xr:uid="{00000000-0005-0000-0000-00000C000000}"/>
    <cellStyle name="Normal 6" xfId="13" xr:uid="{00000000-0005-0000-0000-00000D000000}"/>
    <cellStyle name="Normal 6 2" xfId="16" xr:uid="{0F4CAA6B-809C-4AB7-8802-87F8F4DEEF07}"/>
    <cellStyle name="Normal_IX-6(Trans &amp; Comm)" xfId="4" xr:uid="{00000000-0005-0000-0000-00000E000000}"/>
    <cellStyle name="Normal_X-5 (Electricity)" xfId="5" xr:uid="{00000000-0005-0000-0000-000012000000}"/>
  </cellStyles>
  <dxfs count="0"/>
  <tableStyles count="0" defaultTableStyle="TableStyleMedium2" defaultPivotStyle="PivotStyleLight16"/>
  <colors>
    <mruColors>
      <color rgb="FF249390"/>
      <color rgb="FF33CCCC"/>
      <color rgb="FF196563"/>
      <color rgb="FF57B7FF"/>
      <color rgb="FFFF9900"/>
      <color rgb="FFEAFAFA"/>
      <color rgb="FFCF9F6F"/>
      <color rgb="FF996633"/>
      <color rgb="FFC28446"/>
      <color rgb="FF66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/>
          <a:lstStyle/>
          <a:p>
            <a:pPr>
              <a:defRPr sz="1100">
                <a:latin typeface="Consolas" pitchFamily="49" charset="0"/>
                <a:cs typeface="Consolas" pitchFamily="49" charset="0"/>
              </a:defRPr>
            </a:pPr>
            <a:r>
              <a:rPr lang="en-US" sz="1100">
                <a:latin typeface="Consolas" pitchFamily="49" charset="0"/>
                <a:cs typeface="Consolas" pitchFamily="49" charset="0"/>
              </a:rPr>
              <a:t>Figure 11.10: Passanger movement at Domestic airports, 2019</a:t>
            </a:r>
          </a:p>
        </c:rich>
      </c:tx>
      <c:layout>
        <c:manualLayout>
          <c:xMode val="edge"/>
          <c:yMode val="edge"/>
          <c:x val="0.26093412785515935"/>
          <c:y val="4.367609343924457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8.1035039001789891E-2"/>
          <c:y val="0.15175900044906082"/>
          <c:w val="0.89363709798202262"/>
          <c:h val="0.7305387596737421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'11.15'!$AP$21</c:f>
              <c:strCache>
                <c:ptCount val="1"/>
                <c:pt idx="0">
                  <c:v>In</c:v>
                </c:pt>
              </c:strCache>
            </c:strRef>
          </c:tx>
          <c:spPr>
            <a:solidFill>
              <a:srgbClr val="9A4D00"/>
            </a:solidFill>
          </c:spPr>
          <c:invertIfNegative val="0"/>
          <c:cat>
            <c:strRef>
              <c:f>'11.15'!$AO$22:$AO$30</c:f>
              <c:strCache>
                <c:ptCount val="9"/>
                <c:pt idx="0">
                  <c:v> L.Kadhdhoo </c:v>
                </c:pt>
                <c:pt idx="1">
                  <c:v> GDh.Kaadedhdhoo </c:v>
                </c:pt>
                <c:pt idx="2">
                  <c:v>Gn.Fuvahmulah </c:v>
                </c:pt>
                <c:pt idx="3">
                  <c:v>ADh.Maamigili</c:v>
                </c:pt>
                <c:pt idx="4">
                  <c:v>B.Dharavandhoo</c:v>
                </c:pt>
                <c:pt idx="5">
                  <c:v>GA. Koodoo</c:v>
                </c:pt>
                <c:pt idx="6">
                  <c:v>THA. Thimarafushi  </c:v>
                </c:pt>
                <c:pt idx="7">
                  <c:v>R.Ifuru  </c:v>
                </c:pt>
                <c:pt idx="8">
                  <c:v>Dh.kudahuvadhoo</c:v>
                </c:pt>
              </c:strCache>
            </c:strRef>
          </c:cat>
          <c:val>
            <c:numRef>
              <c:f>'11.15'!$AP$22:$AP$30</c:f>
              <c:numCache>
                <c:formatCode>General_)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DF-4A8D-B6BC-32BD3BA19818}"/>
            </c:ext>
          </c:extLst>
        </c:ser>
        <c:ser>
          <c:idx val="1"/>
          <c:order val="1"/>
          <c:tx>
            <c:strRef>
              <c:f>'11.15'!$AQ$21</c:f>
              <c:strCache>
                <c:ptCount val="1"/>
                <c:pt idx="0">
                  <c:v>Out</c:v>
                </c:pt>
              </c:strCache>
            </c:strRef>
          </c:tx>
          <c:spPr>
            <a:solidFill>
              <a:srgbClr val="CF9F6F"/>
            </a:solidFill>
          </c:spPr>
          <c:invertIfNegative val="0"/>
          <c:cat>
            <c:strRef>
              <c:f>'11.15'!$AO$22:$AO$30</c:f>
              <c:strCache>
                <c:ptCount val="9"/>
                <c:pt idx="0">
                  <c:v> L.Kadhdhoo </c:v>
                </c:pt>
                <c:pt idx="1">
                  <c:v> GDh.Kaadedhdhoo </c:v>
                </c:pt>
                <c:pt idx="2">
                  <c:v>Gn.Fuvahmulah </c:v>
                </c:pt>
                <c:pt idx="3">
                  <c:v>ADh.Maamigili</c:v>
                </c:pt>
                <c:pt idx="4">
                  <c:v>B.Dharavandhoo</c:v>
                </c:pt>
                <c:pt idx="5">
                  <c:v>GA. Koodoo</c:v>
                </c:pt>
                <c:pt idx="6">
                  <c:v>THA. Thimarafushi  </c:v>
                </c:pt>
                <c:pt idx="7">
                  <c:v>R.Ifuru  </c:v>
                </c:pt>
                <c:pt idx="8">
                  <c:v>Dh.kudahuvadhoo</c:v>
                </c:pt>
              </c:strCache>
            </c:strRef>
          </c:cat>
          <c:val>
            <c:numRef>
              <c:f>'11.15'!$AQ$22:$AQ$30</c:f>
              <c:numCache>
                <c:formatCode>General_)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5DF-4A8D-B6BC-32BD3BA198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2981960"/>
        <c:axId val="412978432"/>
      </c:barChart>
      <c:catAx>
        <c:axId val="4129819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/>
            </a:pPr>
            <a:endParaRPr lang="en-US"/>
          </a:p>
        </c:txPr>
        <c:crossAx val="412978432"/>
        <c:crosses val="autoZero"/>
        <c:auto val="1"/>
        <c:lblAlgn val="ctr"/>
        <c:lblOffset val="100"/>
        <c:noMultiLvlLbl val="0"/>
      </c:catAx>
      <c:valAx>
        <c:axId val="412978432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7.1291299536675387E-3"/>
              <c:y val="0.35576828461749022"/>
            </c:manualLayout>
          </c:layout>
          <c:overlay val="0"/>
        </c:title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sz="1000"/>
            </a:pPr>
            <a:endParaRPr lang="en-US"/>
          </a:p>
        </c:txPr>
        <c:crossAx val="412981960"/>
        <c:crosses val="autoZero"/>
        <c:crossBetween val="between"/>
      </c:valAx>
      <c:spPr>
        <a:ln>
          <a:solidFill>
            <a:schemeClr val="bg1">
              <a:lumMod val="7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7486452562396716"/>
          <c:y val="0.227916852781404"/>
          <c:w val="0.14073558596968916"/>
          <c:h val="9.5300486094918216E-2"/>
        </c:manualLayout>
      </c:layout>
      <c:overlay val="1"/>
      <c:txPr>
        <a:bodyPr/>
        <a:lstStyle/>
        <a:p>
          <a:pPr>
            <a:defRPr sz="140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278" l="0.70000000000000062" r="0.70000000000000062" t="0.75000000000000278" header="0.30000000000000032" footer="0.30000000000000032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21</xdr:row>
      <xdr:rowOff>0</xdr:rowOff>
    </xdr:from>
    <xdr:to>
      <xdr:col>22</xdr:col>
      <xdr:colOff>581025</xdr:colOff>
      <xdr:row>37</xdr:row>
      <xdr:rowOff>123825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:CB60"/>
  <sheetViews>
    <sheetView zoomScaleNormal="100" workbookViewId="0">
      <selection activeCell="A2" sqref="A2:AB2"/>
    </sheetView>
  </sheetViews>
  <sheetFormatPr defaultColWidth="9.140625" defaultRowHeight="15" x14ac:dyDescent="0.25"/>
  <cols>
    <col min="1" max="3" width="12.5703125" style="1" customWidth="1"/>
    <col min="4" max="4" width="2.42578125" style="1" customWidth="1"/>
    <col min="5" max="6" width="12.5703125" style="1" customWidth="1"/>
    <col min="7" max="7" width="2" style="1" customWidth="1"/>
    <col min="8" max="9" width="12.5703125" style="1" customWidth="1"/>
    <col min="10" max="10" width="2.28515625" style="1" customWidth="1"/>
    <col min="11" max="12" width="12.5703125" style="1" customWidth="1"/>
    <col min="13" max="13" width="2.28515625" style="1" customWidth="1"/>
    <col min="14" max="15" width="12.5703125" style="1" customWidth="1"/>
    <col min="16" max="16" width="1.28515625" style="1" customWidth="1"/>
    <col min="17" max="17" width="9.7109375" style="1" customWidth="1"/>
    <col min="18" max="18" width="11.140625" style="1" customWidth="1"/>
    <col min="19" max="19" width="1.28515625" style="1" customWidth="1"/>
    <col min="20" max="20" width="9.7109375" style="1" customWidth="1"/>
    <col min="21" max="21" width="11.140625" style="1" customWidth="1"/>
    <col min="22" max="22" width="1.28515625" style="1" customWidth="1"/>
    <col min="23" max="23" width="9.7109375" style="1" customWidth="1"/>
    <col min="24" max="24" width="11.140625" style="1" customWidth="1"/>
    <col min="25" max="25" width="1.28515625" style="1" customWidth="1"/>
    <col min="26" max="27" width="9.7109375" style="1" customWidth="1"/>
    <col min="28" max="28" width="13.7109375" style="1" customWidth="1"/>
    <col min="29" max="40" width="9.140625" style="1"/>
    <col min="41" max="41" width="25.7109375" style="1" customWidth="1"/>
    <col min="42" max="16384" width="9.140625" style="1"/>
  </cols>
  <sheetData>
    <row r="1" spans="1:29" ht="18" x14ac:dyDescent="0.25">
      <c r="A1" s="123" t="s">
        <v>68</v>
      </c>
      <c r="B1" s="123"/>
      <c r="C1" s="123"/>
      <c r="D1" s="123"/>
      <c r="E1" s="123"/>
      <c r="F1" s="123"/>
      <c r="G1" s="123"/>
      <c r="H1" s="123"/>
      <c r="I1" s="123"/>
      <c r="J1" s="123"/>
      <c r="K1" s="123"/>
      <c r="L1" s="123"/>
      <c r="M1" s="123"/>
      <c r="N1" s="123"/>
      <c r="O1" s="123"/>
      <c r="P1" s="123"/>
      <c r="Q1" s="123"/>
      <c r="R1" s="123"/>
      <c r="S1" s="123"/>
      <c r="T1" s="123"/>
      <c r="U1" s="123"/>
      <c r="V1" s="123"/>
      <c r="W1" s="123"/>
      <c r="X1" s="123"/>
      <c r="Y1" s="123"/>
      <c r="Z1" s="123"/>
      <c r="AA1" s="123"/>
      <c r="AB1" s="123"/>
    </row>
    <row r="2" spans="1:29" ht="15.75" x14ac:dyDescent="0.25">
      <c r="A2" s="124" t="s">
        <v>69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P2" s="124"/>
      <c r="Q2" s="124"/>
      <c r="R2" s="124"/>
      <c r="S2" s="124"/>
      <c r="T2" s="124"/>
      <c r="U2" s="124"/>
      <c r="V2" s="124"/>
      <c r="W2" s="124"/>
      <c r="X2" s="124"/>
      <c r="Y2" s="124"/>
      <c r="Z2" s="124"/>
      <c r="AA2" s="124"/>
      <c r="AB2" s="124"/>
    </row>
    <row r="4" spans="1:29" s="9" customFormat="1" ht="19.5" x14ac:dyDescent="0.15">
      <c r="A4" s="125" t="s">
        <v>8</v>
      </c>
      <c r="B4" s="122" t="s">
        <v>34</v>
      </c>
      <c r="C4" s="122"/>
      <c r="D4" s="70"/>
      <c r="E4" s="122" t="s">
        <v>35</v>
      </c>
      <c r="F4" s="122"/>
      <c r="G4" s="70"/>
      <c r="H4" s="122" t="s">
        <v>36</v>
      </c>
      <c r="I4" s="122"/>
      <c r="J4" s="70"/>
      <c r="K4" s="122" t="s">
        <v>37</v>
      </c>
      <c r="L4" s="122"/>
      <c r="M4" s="70"/>
      <c r="N4" s="122" t="s">
        <v>38</v>
      </c>
      <c r="O4" s="122"/>
      <c r="P4" s="70"/>
      <c r="Q4" s="122" t="s">
        <v>39</v>
      </c>
      <c r="R4" s="122"/>
      <c r="S4" s="70"/>
      <c r="T4" s="122" t="s">
        <v>40</v>
      </c>
      <c r="U4" s="122"/>
      <c r="V4" s="70"/>
      <c r="W4" s="122" t="s">
        <v>41</v>
      </c>
      <c r="X4" s="122"/>
      <c r="Y4" s="70"/>
      <c r="Z4" s="122" t="s">
        <v>42</v>
      </c>
      <c r="AA4" s="122"/>
      <c r="AB4" s="128" t="s">
        <v>9</v>
      </c>
    </row>
    <row r="5" spans="1:29" s="13" customFormat="1" ht="15" customHeight="1" x14ac:dyDescent="0.25">
      <c r="A5" s="126"/>
      <c r="B5" s="121" t="s">
        <v>43</v>
      </c>
      <c r="C5" s="121"/>
      <c r="D5" s="12"/>
      <c r="E5" s="121" t="s">
        <v>44</v>
      </c>
      <c r="F5" s="121"/>
      <c r="G5" s="12"/>
      <c r="H5" s="121" t="s">
        <v>45</v>
      </c>
      <c r="I5" s="121"/>
      <c r="J5" s="12"/>
      <c r="K5" s="121" t="s">
        <v>46</v>
      </c>
      <c r="L5" s="121"/>
      <c r="M5" s="12"/>
      <c r="N5" s="121" t="s">
        <v>47</v>
      </c>
      <c r="O5" s="121"/>
      <c r="P5" s="12"/>
      <c r="Q5" s="121" t="s">
        <v>48</v>
      </c>
      <c r="R5" s="121"/>
      <c r="S5" s="12"/>
      <c r="T5" s="121" t="s">
        <v>49</v>
      </c>
      <c r="U5" s="121"/>
      <c r="V5" s="12"/>
      <c r="W5" s="121" t="s">
        <v>50</v>
      </c>
      <c r="X5" s="121"/>
      <c r="Y5" s="12"/>
      <c r="Z5" s="121" t="s">
        <v>51</v>
      </c>
      <c r="AA5" s="121"/>
      <c r="AB5" s="129"/>
      <c r="AC5" s="2"/>
    </row>
    <row r="6" spans="1:29" s="66" customFormat="1" ht="14.25" x14ac:dyDescent="0.2">
      <c r="A6" s="126"/>
      <c r="B6" s="61" t="s">
        <v>0</v>
      </c>
      <c r="C6" s="61" t="s">
        <v>1</v>
      </c>
      <c r="D6" s="61"/>
      <c r="E6" s="61" t="s">
        <v>0</v>
      </c>
      <c r="F6" s="61" t="s">
        <v>1</v>
      </c>
      <c r="G6" s="61"/>
      <c r="H6" s="61" t="s">
        <v>0</v>
      </c>
      <c r="I6" s="61" t="s">
        <v>1</v>
      </c>
      <c r="J6" s="61"/>
      <c r="K6" s="61" t="s">
        <v>0</v>
      </c>
      <c r="L6" s="61" t="s">
        <v>1</v>
      </c>
      <c r="M6" s="61"/>
      <c r="N6" s="61" t="s">
        <v>0</v>
      </c>
      <c r="O6" s="61" t="s">
        <v>1</v>
      </c>
      <c r="P6" s="61"/>
      <c r="Q6" s="61" t="s">
        <v>0</v>
      </c>
      <c r="R6" s="61" t="s">
        <v>1</v>
      </c>
      <c r="S6" s="61"/>
      <c r="T6" s="61" t="s">
        <v>0</v>
      </c>
      <c r="U6" s="61" t="s">
        <v>1</v>
      </c>
      <c r="V6" s="61"/>
      <c r="W6" s="61" t="s">
        <v>0</v>
      </c>
      <c r="X6" s="61" t="s">
        <v>1</v>
      </c>
      <c r="Y6" s="61"/>
      <c r="Z6" s="61" t="s">
        <v>0</v>
      </c>
      <c r="AA6" s="61" t="s">
        <v>1</v>
      </c>
      <c r="AB6" s="129"/>
    </row>
    <row r="7" spans="1:29" s="13" customFormat="1" ht="14.25" x14ac:dyDescent="0.2">
      <c r="A7" s="127"/>
      <c r="B7" s="63" t="s">
        <v>2</v>
      </c>
      <c r="C7" s="63" t="s">
        <v>3</v>
      </c>
      <c r="D7" s="63"/>
      <c r="E7" s="63" t="s">
        <v>2</v>
      </c>
      <c r="F7" s="63" t="s">
        <v>3</v>
      </c>
      <c r="G7" s="63"/>
      <c r="H7" s="63" t="s">
        <v>2</v>
      </c>
      <c r="I7" s="63" t="s">
        <v>3</v>
      </c>
      <c r="J7" s="63"/>
      <c r="K7" s="63" t="s">
        <v>2</v>
      </c>
      <c r="L7" s="63" t="s">
        <v>3</v>
      </c>
      <c r="M7" s="63"/>
      <c r="N7" s="63" t="s">
        <v>2</v>
      </c>
      <c r="O7" s="63" t="s">
        <v>3</v>
      </c>
      <c r="P7" s="63"/>
      <c r="Q7" s="63" t="s">
        <v>2</v>
      </c>
      <c r="R7" s="63" t="s">
        <v>3</v>
      </c>
      <c r="S7" s="63"/>
      <c r="T7" s="63" t="s">
        <v>2</v>
      </c>
      <c r="U7" s="63" t="s">
        <v>3</v>
      </c>
      <c r="V7" s="63"/>
      <c r="W7" s="63" t="s">
        <v>2</v>
      </c>
      <c r="X7" s="63" t="s">
        <v>3</v>
      </c>
      <c r="Y7" s="63"/>
      <c r="Z7" s="63" t="s">
        <v>2</v>
      </c>
      <c r="AA7" s="63" t="s">
        <v>3</v>
      </c>
      <c r="AB7" s="130"/>
    </row>
    <row r="8" spans="1:29" s="9" customFormat="1" ht="15.75" x14ac:dyDescent="0.15">
      <c r="A8" s="4" t="s">
        <v>4</v>
      </c>
      <c r="B8" s="14">
        <f>SUM(B9:B20)</f>
        <v>0</v>
      </c>
      <c r="C8" s="14">
        <f>SUM(C9:C20)</f>
        <v>0</v>
      </c>
      <c r="D8" s="14"/>
      <c r="E8" s="14">
        <f>SUM(E9:E20)</f>
        <v>0</v>
      </c>
      <c r="F8" s="14">
        <f>SUM(F9:F20)</f>
        <v>0</v>
      </c>
      <c r="G8" s="14"/>
      <c r="H8" s="14">
        <f>SUM(H9:H20)</f>
        <v>0</v>
      </c>
      <c r="I8" s="14">
        <f>SUM(I9:I20)</f>
        <v>0</v>
      </c>
      <c r="J8" s="14"/>
      <c r="K8" s="14">
        <f>SUM(K9:K20)</f>
        <v>0</v>
      </c>
      <c r="L8" s="14">
        <f>SUM(L9:L20)</f>
        <v>0</v>
      </c>
      <c r="M8" s="14"/>
      <c r="N8" s="14">
        <f>SUM(N9:N20)</f>
        <v>0</v>
      </c>
      <c r="O8" s="14">
        <f>SUM(O9:O20)</f>
        <v>0</v>
      </c>
      <c r="P8" s="14"/>
      <c r="Q8" s="14">
        <f>SUM(Q9:Q20)</f>
        <v>0</v>
      </c>
      <c r="R8" s="14">
        <f>SUM(R9:R20)</f>
        <v>0</v>
      </c>
      <c r="S8" s="14"/>
      <c r="T8" s="14">
        <f>SUM(T9:T20)</f>
        <v>0</v>
      </c>
      <c r="U8" s="14">
        <f>SUM(U9:U20)</f>
        <v>0</v>
      </c>
      <c r="V8" s="14"/>
      <c r="W8" s="14">
        <f>SUM(W9:W20)</f>
        <v>0</v>
      </c>
      <c r="X8" s="14">
        <f>SUM(X9:X20)</f>
        <v>0</v>
      </c>
      <c r="Y8" s="15"/>
      <c r="Z8" s="14">
        <f>SUM(Z9:Z20)</f>
        <v>0</v>
      </c>
      <c r="AA8" s="14">
        <f>SUM(AA9:AA20)</f>
        <v>0</v>
      </c>
      <c r="AB8" s="65" t="s">
        <v>5</v>
      </c>
    </row>
    <row r="9" spans="1:29" s="9" customFormat="1" ht="15.75" x14ac:dyDescent="0.4">
      <c r="A9" s="5" t="s">
        <v>10</v>
      </c>
      <c r="B9" s="78"/>
      <c r="C9" s="78"/>
      <c r="D9" s="78"/>
      <c r="E9" s="79"/>
      <c r="F9" s="79"/>
      <c r="G9" s="79"/>
      <c r="H9" s="78"/>
      <c r="I9" s="78"/>
      <c r="J9" s="78"/>
      <c r="K9" s="78"/>
      <c r="L9" s="78"/>
      <c r="M9" s="78"/>
      <c r="N9" s="78"/>
      <c r="O9" s="78"/>
      <c r="P9" s="78"/>
      <c r="Q9" s="78"/>
      <c r="R9" s="78"/>
      <c r="S9" s="78"/>
      <c r="T9" s="78"/>
      <c r="U9" s="78"/>
      <c r="V9" s="78"/>
      <c r="W9" s="78"/>
      <c r="X9" s="78"/>
      <c r="Y9" s="80"/>
      <c r="Z9" s="80"/>
      <c r="AA9" s="80"/>
      <c r="AB9" s="67" t="s">
        <v>11</v>
      </c>
    </row>
    <row r="10" spans="1:29" s="9" customFormat="1" ht="15.75" x14ac:dyDescent="0.4">
      <c r="A10" s="5" t="s">
        <v>12</v>
      </c>
      <c r="B10" s="78"/>
      <c r="C10" s="78"/>
      <c r="D10" s="78"/>
      <c r="E10" s="79"/>
      <c r="F10" s="79"/>
      <c r="G10" s="79"/>
      <c r="H10" s="78"/>
      <c r="I10" s="78"/>
      <c r="J10" s="78"/>
      <c r="K10" s="78"/>
      <c r="L10" s="78"/>
      <c r="M10" s="78"/>
      <c r="N10" s="78"/>
      <c r="O10" s="78"/>
      <c r="P10" s="78"/>
      <c r="Q10" s="78"/>
      <c r="R10" s="78"/>
      <c r="S10" s="78"/>
      <c r="T10" s="78"/>
      <c r="U10" s="78"/>
      <c r="V10" s="78"/>
      <c r="W10" s="78"/>
      <c r="X10" s="78"/>
      <c r="Y10" s="80"/>
      <c r="Z10" s="80"/>
      <c r="AA10" s="80"/>
      <c r="AB10" s="67" t="s">
        <v>13</v>
      </c>
    </row>
    <row r="11" spans="1:29" s="9" customFormat="1" ht="15.75" x14ac:dyDescent="0.4">
      <c r="A11" s="5" t="s">
        <v>14</v>
      </c>
      <c r="B11" s="78"/>
      <c r="C11" s="78"/>
      <c r="D11" s="78"/>
      <c r="E11" s="79"/>
      <c r="F11" s="79"/>
      <c r="G11" s="79"/>
      <c r="H11" s="78"/>
      <c r="I11" s="78"/>
      <c r="J11" s="78"/>
      <c r="K11" s="78"/>
      <c r="L11" s="78"/>
      <c r="M11" s="78"/>
      <c r="N11" s="78"/>
      <c r="O11" s="78"/>
      <c r="P11" s="78"/>
      <c r="Q11" s="78"/>
      <c r="R11" s="78"/>
      <c r="S11" s="78"/>
      <c r="T11" s="78"/>
      <c r="U11" s="78"/>
      <c r="V11" s="78"/>
      <c r="W11" s="78"/>
      <c r="X11" s="78"/>
      <c r="Y11" s="80"/>
      <c r="Z11" s="80"/>
      <c r="AA11" s="80"/>
      <c r="AB11" s="67" t="s">
        <v>15</v>
      </c>
    </row>
    <row r="12" spans="1:29" s="9" customFormat="1" ht="15.75" x14ac:dyDescent="0.4">
      <c r="A12" s="5" t="s">
        <v>16</v>
      </c>
      <c r="B12" s="78"/>
      <c r="C12" s="78"/>
      <c r="D12" s="78"/>
      <c r="E12" s="79"/>
      <c r="F12" s="79"/>
      <c r="G12" s="79"/>
      <c r="H12" s="78"/>
      <c r="I12" s="78"/>
      <c r="J12" s="78"/>
      <c r="K12" s="78"/>
      <c r="L12" s="78"/>
      <c r="M12" s="78"/>
      <c r="N12" s="78"/>
      <c r="O12" s="78"/>
      <c r="P12" s="78"/>
      <c r="Q12" s="78"/>
      <c r="R12" s="78"/>
      <c r="S12" s="78"/>
      <c r="T12" s="78"/>
      <c r="U12" s="78"/>
      <c r="V12" s="78"/>
      <c r="W12" s="78"/>
      <c r="X12" s="78"/>
      <c r="Y12" s="80"/>
      <c r="Z12" s="80"/>
      <c r="AA12" s="80"/>
      <c r="AB12" s="67" t="s">
        <v>17</v>
      </c>
    </row>
    <row r="13" spans="1:29" s="9" customFormat="1" ht="15.75" x14ac:dyDescent="0.4">
      <c r="A13" s="5" t="s">
        <v>18</v>
      </c>
      <c r="B13" s="78"/>
      <c r="C13" s="78"/>
      <c r="D13" s="78"/>
      <c r="E13" s="79"/>
      <c r="F13" s="79"/>
      <c r="G13" s="79"/>
      <c r="H13" s="78"/>
      <c r="I13" s="78"/>
      <c r="J13" s="78"/>
      <c r="K13" s="78"/>
      <c r="L13" s="78"/>
      <c r="M13" s="78"/>
      <c r="N13" s="78"/>
      <c r="O13" s="78"/>
      <c r="P13" s="78"/>
      <c r="Q13" s="78"/>
      <c r="R13" s="78"/>
      <c r="S13" s="78"/>
      <c r="T13" s="78"/>
      <c r="U13" s="78"/>
      <c r="V13" s="78"/>
      <c r="W13" s="78"/>
      <c r="X13" s="78"/>
      <c r="Y13" s="80"/>
      <c r="Z13" s="80"/>
      <c r="AA13" s="80"/>
      <c r="AB13" s="67" t="s">
        <v>19</v>
      </c>
    </row>
    <row r="14" spans="1:29" s="9" customFormat="1" ht="15.75" x14ac:dyDescent="0.4">
      <c r="A14" s="5" t="s">
        <v>20</v>
      </c>
      <c r="B14" s="78"/>
      <c r="C14" s="78"/>
      <c r="D14" s="78"/>
      <c r="E14" s="79"/>
      <c r="F14" s="79"/>
      <c r="G14" s="79"/>
      <c r="H14" s="78"/>
      <c r="I14" s="78"/>
      <c r="J14" s="78"/>
      <c r="K14" s="78"/>
      <c r="L14" s="78"/>
      <c r="M14" s="78"/>
      <c r="N14" s="78"/>
      <c r="O14" s="78"/>
      <c r="P14" s="78"/>
      <c r="Q14" s="78"/>
      <c r="R14" s="78"/>
      <c r="S14" s="78"/>
      <c r="T14" s="78"/>
      <c r="U14" s="78"/>
      <c r="V14" s="78"/>
      <c r="W14" s="78"/>
      <c r="X14" s="78"/>
      <c r="Y14" s="80"/>
      <c r="Z14" s="80"/>
      <c r="AA14" s="80"/>
      <c r="AB14" s="67" t="s">
        <v>21</v>
      </c>
    </row>
    <row r="15" spans="1:29" s="9" customFormat="1" ht="15.75" x14ac:dyDescent="0.4">
      <c r="A15" s="5" t="s">
        <v>22</v>
      </c>
      <c r="B15" s="78"/>
      <c r="C15" s="78"/>
      <c r="D15" s="78"/>
      <c r="E15" s="79"/>
      <c r="F15" s="79"/>
      <c r="G15" s="79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  <c r="S15" s="78"/>
      <c r="T15" s="78"/>
      <c r="U15" s="78"/>
      <c r="V15" s="78"/>
      <c r="W15" s="78"/>
      <c r="X15" s="78"/>
      <c r="Y15" s="80"/>
      <c r="Z15" s="80"/>
      <c r="AA15" s="80"/>
      <c r="AB15" s="67" t="s">
        <v>23</v>
      </c>
    </row>
    <row r="16" spans="1:29" s="9" customFormat="1" ht="15.75" x14ac:dyDescent="0.4">
      <c r="A16" s="5" t="s">
        <v>24</v>
      </c>
      <c r="B16" s="78"/>
      <c r="C16" s="78"/>
      <c r="D16" s="78"/>
      <c r="E16" s="79"/>
      <c r="F16" s="79"/>
      <c r="G16" s="79"/>
      <c r="H16" s="78"/>
      <c r="I16" s="78"/>
      <c r="J16" s="78"/>
      <c r="K16" s="78"/>
      <c r="L16" s="78"/>
      <c r="M16" s="78"/>
      <c r="N16" s="78"/>
      <c r="O16" s="78"/>
      <c r="P16" s="78"/>
      <c r="Q16" s="78"/>
      <c r="R16" s="78"/>
      <c r="S16" s="78"/>
      <c r="T16" s="78"/>
      <c r="U16" s="78"/>
      <c r="V16" s="78"/>
      <c r="W16" s="78"/>
      <c r="X16" s="78"/>
      <c r="Y16" s="80"/>
      <c r="Z16" s="80"/>
      <c r="AA16" s="80"/>
      <c r="AB16" s="67" t="s">
        <v>25</v>
      </c>
    </row>
    <row r="17" spans="1:44" s="9" customFormat="1" ht="15.75" x14ac:dyDescent="0.4">
      <c r="A17" s="5" t="s">
        <v>26</v>
      </c>
      <c r="B17" s="78"/>
      <c r="C17" s="78"/>
      <c r="D17" s="78"/>
      <c r="E17" s="79"/>
      <c r="F17" s="79"/>
      <c r="G17" s="79"/>
      <c r="H17" s="78"/>
      <c r="I17" s="78"/>
      <c r="J17" s="78"/>
      <c r="K17" s="78"/>
      <c r="L17" s="78"/>
      <c r="M17" s="78"/>
      <c r="N17" s="78"/>
      <c r="O17" s="78"/>
      <c r="P17" s="78"/>
      <c r="Q17" s="78"/>
      <c r="R17" s="78"/>
      <c r="S17" s="78"/>
      <c r="T17" s="78"/>
      <c r="U17" s="78"/>
      <c r="V17" s="78"/>
      <c r="W17" s="78"/>
      <c r="X17" s="78"/>
      <c r="Y17" s="80"/>
      <c r="Z17" s="80"/>
      <c r="AA17" s="80"/>
      <c r="AB17" s="67" t="s">
        <v>27</v>
      </c>
    </row>
    <row r="18" spans="1:44" s="9" customFormat="1" ht="15.75" x14ac:dyDescent="0.4">
      <c r="A18" s="5" t="s">
        <v>28</v>
      </c>
      <c r="B18" s="78"/>
      <c r="C18" s="78"/>
      <c r="D18" s="78"/>
      <c r="E18" s="79"/>
      <c r="F18" s="79"/>
      <c r="G18" s="79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  <c r="S18" s="78"/>
      <c r="T18" s="78"/>
      <c r="U18" s="78"/>
      <c r="V18" s="78"/>
      <c r="W18" s="78"/>
      <c r="X18" s="78"/>
      <c r="Y18" s="80"/>
      <c r="Z18" s="80"/>
      <c r="AA18" s="80"/>
      <c r="AB18" s="67" t="s">
        <v>29</v>
      </c>
    </row>
    <row r="19" spans="1:44" s="9" customFormat="1" ht="15.75" x14ac:dyDescent="0.4">
      <c r="A19" s="5" t="s">
        <v>30</v>
      </c>
      <c r="B19" s="78"/>
      <c r="C19" s="78"/>
      <c r="D19" s="78"/>
      <c r="E19" s="79"/>
      <c r="F19" s="79"/>
      <c r="G19" s="79"/>
      <c r="H19" s="78"/>
      <c r="I19" s="78"/>
      <c r="J19" s="78"/>
      <c r="K19" s="78"/>
      <c r="L19" s="78"/>
      <c r="M19" s="78"/>
      <c r="N19" s="78"/>
      <c r="O19" s="78"/>
      <c r="P19" s="78"/>
      <c r="Q19" s="78"/>
      <c r="R19" s="78"/>
      <c r="S19" s="78"/>
      <c r="T19" s="78"/>
      <c r="U19" s="78"/>
      <c r="V19" s="78"/>
      <c r="W19" s="78"/>
      <c r="X19" s="78"/>
      <c r="Y19" s="80"/>
      <c r="Z19" s="80"/>
      <c r="AA19" s="80"/>
      <c r="AB19" s="67" t="s">
        <v>31</v>
      </c>
    </row>
    <row r="20" spans="1:44" s="9" customFormat="1" ht="15.75" x14ac:dyDescent="0.4">
      <c r="A20" s="62" t="s">
        <v>32</v>
      </c>
      <c r="B20" s="81"/>
      <c r="C20" s="81"/>
      <c r="D20" s="81"/>
      <c r="E20" s="82"/>
      <c r="F20" s="82"/>
      <c r="G20" s="82"/>
      <c r="H20" s="81"/>
      <c r="I20" s="81"/>
      <c r="J20" s="81"/>
      <c r="K20" s="81"/>
      <c r="L20" s="81"/>
      <c r="M20" s="81"/>
      <c r="N20" s="81"/>
      <c r="O20" s="81"/>
      <c r="P20" s="81"/>
      <c r="Q20" s="81"/>
      <c r="R20" s="81"/>
      <c r="S20" s="81"/>
      <c r="T20" s="81"/>
      <c r="U20" s="81"/>
      <c r="V20" s="81"/>
      <c r="W20" s="81"/>
      <c r="X20" s="81"/>
      <c r="Y20" s="83"/>
      <c r="Z20" s="83"/>
      <c r="AA20" s="83"/>
      <c r="AB20" s="68" t="s">
        <v>33</v>
      </c>
    </row>
    <row r="21" spans="1:44" ht="18.75" x14ac:dyDescent="0.25">
      <c r="A21" s="6" t="s">
        <v>6</v>
      </c>
      <c r="AB21" s="8" t="s">
        <v>7</v>
      </c>
      <c r="AO21" s="9"/>
      <c r="AP21" s="60" t="s">
        <v>2</v>
      </c>
      <c r="AQ21" s="60" t="s">
        <v>3</v>
      </c>
    </row>
    <row r="22" spans="1:44" ht="15" customHeight="1" x14ac:dyDescent="0.25">
      <c r="AN22" s="16"/>
      <c r="AO22" s="16" t="str">
        <f>B5</f>
        <v>L.Kadhdhoo</v>
      </c>
      <c r="AP22" s="1">
        <f>B8</f>
        <v>0</v>
      </c>
      <c r="AQ22" s="1">
        <f>C8</f>
        <v>0</v>
      </c>
    </row>
    <row r="23" spans="1:44" s="9" customFormat="1" ht="17.25" x14ac:dyDescent="0.4">
      <c r="B23" s="17"/>
      <c r="C23" s="18"/>
      <c r="D23" s="18"/>
      <c r="E23" s="18"/>
      <c r="F23" s="19"/>
      <c r="G23" s="19"/>
      <c r="R23" s="20"/>
      <c r="S23" s="20"/>
      <c r="U23" s="20"/>
      <c r="V23" s="20"/>
      <c r="X23" s="20"/>
      <c r="Y23" s="20"/>
      <c r="Z23" s="20"/>
      <c r="AA23" s="20"/>
      <c r="AB23" s="20"/>
      <c r="AE23" s="20"/>
      <c r="AM23" s="1"/>
      <c r="AN23" s="16"/>
      <c r="AO23" s="16" t="str">
        <f>E5</f>
        <v>GDh.Kaadedhdhoo</v>
      </c>
      <c r="AP23" s="1">
        <f>E8</f>
        <v>0</v>
      </c>
      <c r="AQ23" s="1">
        <f>F8</f>
        <v>0</v>
      </c>
    </row>
    <row r="24" spans="1:44" ht="18.75" x14ac:dyDescent="0.25">
      <c r="A24" s="5"/>
      <c r="Q24" s="11"/>
      <c r="T24" s="11"/>
      <c r="W24" s="11"/>
      <c r="AO24" s="9" t="str">
        <f>H5</f>
        <v xml:space="preserve">Gn.Fuvahmulah </v>
      </c>
      <c r="AP24" s="1">
        <f>H8</f>
        <v>0</v>
      </c>
      <c r="AQ24" s="1">
        <f>I8</f>
        <v>0</v>
      </c>
    </row>
    <row r="25" spans="1:44" s="9" customFormat="1" ht="17.25" x14ac:dyDescent="0.4">
      <c r="B25" s="17"/>
      <c r="C25" s="18"/>
      <c r="D25" s="18"/>
      <c r="E25" s="18"/>
      <c r="F25" s="19"/>
      <c r="G25" s="19"/>
      <c r="R25" s="20"/>
      <c r="S25" s="20"/>
      <c r="U25" s="20"/>
      <c r="V25" s="20"/>
      <c r="X25" s="20"/>
      <c r="Y25" s="20"/>
      <c r="Z25" s="20"/>
      <c r="AA25" s="20"/>
      <c r="AB25" s="20"/>
      <c r="AE25" s="20"/>
      <c r="AO25" s="1" t="str">
        <f>K5</f>
        <v>ADh.Maamigili</v>
      </c>
      <c r="AP25" s="1">
        <f>K8</f>
        <v>0</v>
      </c>
      <c r="AQ25" s="1">
        <f>L8</f>
        <v>0</v>
      </c>
    </row>
    <row r="26" spans="1:44" ht="18.75" x14ac:dyDescent="0.25">
      <c r="A26" s="5"/>
      <c r="Q26" s="11"/>
      <c r="T26" s="11"/>
      <c r="W26" s="11"/>
      <c r="AO26" s="1" t="str">
        <f>N5</f>
        <v>B.Dharavandhoo</v>
      </c>
      <c r="AP26" s="1">
        <f>N8</f>
        <v>0</v>
      </c>
      <c r="AQ26" s="1">
        <f>O8</f>
        <v>0</v>
      </c>
    </row>
    <row r="27" spans="1:44" x14ac:dyDescent="0.25">
      <c r="AO27" s="1" t="str">
        <f>Q5</f>
        <v>GA. Koodoo</v>
      </c>
      <c r="AP27" s="1">
        <f>Q8</f>
        <v>0</v>
      </c>
      <c r="AQ27" s="1">
        <f>R8</f>
        <v>0</v>
      </c>
    </row>
    <row r="28" spans="1:44" x14ac:dyDescent="0.25">
      <c r="AO28" s="1" t="s">
        <v>52</v>
      </c>
      <c r="AP28" s="1">
        <f>T8</f>
        <v>0</v>
      </c>
      <c r="AQ28" s="1">
        <f>U8</f>
        <v>0</v>
      </c>
    </row>
    <row r="29" spans="1:44" ht="17.25" x14ac:dyDescent="0.4">
      <c r="D29" s="18"/>
      <c r="E29" s="18"/>
      <c r="F29" s="19"/>
      <c r="G29" s="19"/>
      <c r="AO29" s="1" t="str">
        <f>W5</f>
        <v xml:space="preserve">R.Ifuru  </v>
      </c>
      <c r="AP29" s="1">
        <f>W8</f>
        <v>0</v>
      </c>
      <c r="AQ29" s="1">
        <f>X8</f>
        <v>0</v>
      </c>
    </row>
    <row r="30" spans="1:44" x14ac:dyDescent="0.25">
      <c r="AO30" s="1" t="str">
        <f>Z5</f>
        <v>Dh.kudahuvadhoo</v>
      </c>
      <c r="AP30" s="1">
        <f>Z8</f>
        <v>0</v>
      </c>
      <c r="AQ30" s="1">
        <f>AA8</f>
        <v>0</v>
      </c>
    </row>
    <row r="32" spans="1:44" x14ac:dyDescent="0.25">
      <c r="AP32" s="1">
        <f>SUM(AP22:AP30)</f>
        <v>0</v>
      </c>
      <c r="AQ32" s="1">
        <f>SUM(AQ22:AQ30)</f>
        <v>0</v>
      </c>
      <c r="AR32" s="1">
        <f>SUM(AP32:AQ32)</f>
        <v>0</v>
      </c>
    </row>
    <row r="44" spans="1:80" s="75" customFormat="1" ht="21.75" customHeight="1" x14ac:dyDescent="0.55000000000000004">
      <c r="A44" s="131" t="s">
        <v>8</v>
      </c>
      <c r="B44" s="86"/>
      <c r="D44" s="87"/>
      <c r="F44" s="87"/>
      <c r="G44" s="134" t="s">
        <v>34</v>
      </c>
      <c r="H44" s="135"/>
      <c r="I44" s="135"/>
      <c r="J44" s="135"/>
      <c r="K44" s="136"/>
      <c r="L44" s="73"/>
      <c r="M44" s="88"/>
      <c r="N44" s="73"/>
      <c r="O44" s="88"/>
      <c r="P44" s="137" t="s">
        <v>35</v>
      </c>
      <c r="Q44" s="138"/>
      <c r="R44" s="138"/>
      <c r="S44" s="138"/>
      <c r="T44" s="138"/>
      <c r="U44" s="138"/>
      <c r="V44" s="138"/>
      <c r="W44" s="138"/>
      <c r="X44" s="138"/>
      <c r="Y44" s="138"/>
      <c r="Z44" s="138"/>
      <c r="AA44" s="138"/>
      <c r="AB44" s="87"/>
      <c r="AC44" s="139" t="s">
        <v>36</v>
      </c>
      <c r="AD44" s="140"/>
      <c r="AE44" s="140"/>
      <c r="AF44" s="140"/>
      <c r="AG44" s="140"/>
      <c r="AH44" s="140"/>
      <c r="AI44" s="140"/>
      <c r="AJ44" s="140"/>
      <c r="AK44" s="72"/>
      <c r="AL44" s="139" t="s">
        <v>37</v>
      </c>
      <c r="AM44" s="140"/>
      <c r="AN44" s="140"/>
      <c r="AO44" s="140"/>
      <c r="AP44" s="140"/>
      <c r="AQ44" s="140"/>
      <c r="AR44" s="140"/>
      <c r="AS44" s="72"/>
      <c r="AT44" s="139" t="s">
        <v>38</v>
      </c>
      <c r="AU44" s="140"/>
      <c r="AV44" s="140"/>
      <c r="AW44" s="140"/>
      <c r="AX44" s="140"/>
      <c r="AY44" s="84"/>
      <c r="AZ44" s="72"/>
      <c r="BA44" s="139" t="s">
        <v>39</v>
      </c>
      <c r="BB44" s="140"/>
      <c r="BC44" s="140"/>
      <c r="BD44" s="140"/>
      <c r="BE44" s="157"/>
      <c r="BF44" s="71"/>
      <c r="BG44" s="158" t="s">
        <v>40</v>
      </c>
      <c r="BH44" s="159"/>
      <c r="BI44" s="159"/>
      <c r="BJ44" s="159"/>
      <c r="BK44" s="160"/>
      <c r="BL44" s="139" t="s">
        <v>41</v>
      </c>
      <c r="BM44" s="140"/>
      <c r="BN44" s="140"/>
      <c r="BO44" s="140"/>
      <c r="BP44" s="157"/>
      <c r="BQ44" s="139" t="s">
        <v>42</v>
      </c>
      <c r="BR44" s="140"/>
      <c r="BS44" s="140"/>
      <c r="BT44" s="141" t="s">
        <v>9</v>
      </c>
    </row>
    <row r="45" spans="1:80" s="76" customFormat="1" ht="16.5" customHeight="1" x14ac:dyDescent="0.25">
      <c r="A45" s="132"/>
      <c r="B45" s="89"/>
      <c r="D45" s="90"/>
      <c r="F45" s="90"/>
      <c r="G45" s="144" t="s">
        <v>43</v>
      </c>
      <c r="H45" s="145"/>
      <c r="I45" s="145"/>
      <c r="J45" s="145"/>
      <c r="K45" s="146"/>
      <c r="M45" s="90"/>
      <c r="O45" s="90"/>
      <c r="P45" s="147" t="s">
        <v>44</v>
      </c>
      <c r="Q45" s="148"/>
      <c r="R45" s="148"/>
      <c r="S45" s="148"/>
      <c r="T45" s="148"/>
      <c r="U45" s="148"/>
      <c r="V45" s="148"/>
      <c r="W45" s="148"/>
      <c r="X45" s="148"/>
      <c r="Y45" s="148"/>
      <c r="Z45" s="148"/>
      <c r="AA45" s="148"/>
      <c r="AB45" s="90"/>
      <c r="AC45" s="149" t="s">
        <v>61</v>
      </c>
      <c r="AD45" s="150"/>
      <c r="AE45" s="150"/>
      <c r="AF45" s="150"/>
      <c r="AG45" s="150"/>
      <c r="AH45" s="150"/>
      <c r="AI45" s="150"/>
      <c r="AJ45" s="150"/>
      <c r="AK45" s="77"/>
      <c r="AL45" s="149" t="s">
        <v>62</v>
      </c>
      <c r="AM45" s="150"/>
      <c r="AN45" s="150"/>
      <c r="AO45" s="150"/>
      <c r="AP45" s="150"/>
      <c r="AQ45" s="150"/>
      <c r="AR45" s="150"/>
      <c r="AS45" s="77"/>
      <c r="AT45" s="149" t="s">
        <v>63</v>
      </c>
      <c r="AU45" s="150"/>
      <c r="AV45" s="150"/>
      <c r="AW45" s="150"/>
      <c r="AX45" s="150"/>
      <c r="AY45" s="85"/>
      <c r="AZ45" s="77"/>
      <c r="BA45" s="151" t="s">
        <v>64</v>
      </c>
      <c r="BB45" s="152"/>
      <c r="BC45" s="152"/>
      <c r="BD45" s="152"/>
      <c r="BE45" s="153"/>
      <c r="BG45" s="154" t="s">
        <v>65</v>
      </c>
      <c r="BH45" s="155"/>
      <c r="BI45" s="155"/>
      <c r="BJ45" s="155"/>
      <c r="BK45" s="156"/>
      <c r="BL45" s="151" t="s">
        <v>66</v>
      </c>
      <c r="BM45" s="152"/>
      <c r="BN45" s="152"/>
      <c r="BO45" s="152"/>
      <c r="BP45" s="153"/>
      <c r="BQ45" s="151" t="s">
        <v>67</v>
      </c>
      <c r="BR45" s="152"/>
      <c r="BS45" s="152"/>
      <c r="BT45" s="142"/>
    </row>
    <row r="46" spans="1:80" ht="23.25" customHeight="1" x14ac:dyDescent="0.25">
      <c r="A46" s="133"/>
      <c r="B46" s="91"/>
      <c r="C46" s="92">
        <v>2011</v>
      </c>
      <c r="D46" s="92">
        <v>2012</v>
      </c>
      <c r="E46" s="93">
        <v>2013</v>
      </c>
      <c r="F46" s="94">
        <v>2014</v>
      </c>
      <c r="G46" s="95">
        <v>2015</v>
      </c>
      <c r="H46" s="96">
        <v>2016</v>
      </c>
      <c r="I46" s="97">
        <v>2017</v>
      </c>
      <c r="J46" s="97">
        <v>2018</v>
      </c>
      <c r="K46" s="97">
        <v>2019</v>
      </c>
      <c r="L46" s="98">
        <v>2011</v>
      </c>
      <c r="M46" s="98">
        <v>2012</v>
      </c>
      <c r="N46" s="98">
        <v>2013</v>
      </c>
      <c r="O46" s="97">
        <v>2014</v>
      </c>
      <c r="P46" s="95">
        <v>2015</v>
      </c>
      <c r="Q46" s="97">
        <v>2016</v>
      </c>
      <c r="R46" s="98">
        <v>2011</v>
      </c>
      <c r="S46" s="98">
        <v>2012</v>
      </c>
      <c r="T46" s="97">
        <v>2013</v>
      </c>
      <c r="U46" s="97">
        <v>2014</v>
      </c>
      <c r="V46" s="98">
        <v>2011</v>
      </c>
      <c r="W46" s="98">
        <v>2012</v>
      </c>
      <c r="X46" s="97">
        <v>2013</v>
      </c>
      <c r="Y46" s="97">
        <v>2017</v>
      </c>
      <c r="Z46" s="97">
        <v>2018</v>
      </c>
      <c r="AA46" s="99">
        <v>2019</v>
      </c>
      <c r="AB46" s="97">
        <v>2014</v>
      </c>
      <c r="AC46" s="25">
        <v>2015</v>
      </c>
      <c r="AD46" s="25">
        <v>2016</v>
      </c>
      <c r="AE46" s="64">
        <v>2011</v>
      </c>
      <c r="AF46" s="64">
        <v>2012</v>
      </c>
      <c r="AG46" s="64">
        <v>2013</v>
      </c>
      <c r="AH46" s="25">
        <v>2017</v>
      </c>
      <c r="AI46" s="25">
        <v>2018</v>
      </c>
      <c r="AJ46" s="25">
        <v>2019</v>
      </c>
      <c r="AK46" s="25">
        <v>2014</v>
      </c>
      <c r="AL46" s="24">
        <v>2015</v>
      </c>
      <c r="AM46" s="25">
        <v>2016</v>
      </c>
      <c r="AN46" s="25">
        <v>2017</v>
      </c>
      <c r="AO46" s="25">
        <v>2018</v>
      </c>
      <c r="AP46" s="64">
        <v>2012</v>
      </c>
      <c r="AQ46" s="64">
        <v>2013</v>
      </c>
      <c r="AR46" s="25">
        <v>2019</v>
      </c>
      <c r="AS46" s="25">
        <v>2014</v>
      </c>
      <c r="AT46" s="24">
        <v>2015</v>
      </c>
      <c r="AU46" s="25">
        <v>2016</v>
      </c>
      <c r="AV46" s="64">
        <v>2013</v>
      </c>
      <c r="AW46" s="25">
        <v>2017</v>
      </c>
      <c r="AX46" s="25">
        <v>2018</v>
      </c>
      <c r="AY46" s="25">
        <v>2019</v>
      </c>
      <c r="AZ46" s="64">
        <v>2014</v>
      </c>
      <c r="BA46" s="24">
        <v>2015</v>
      </c>
      <c r="BB46" s="25">
        <v>2016</v>
      </c>
      <c r="BC46" s="25">
        <v>2017</v>
      </c>
      <c r="BD46" s="25">
        <v>2018</v>
      </c>
      <c r="BE46" s="25">
        <v>2019</v>
      </c>
      <c r="BF46" s="64">
        <v>2014</v>
      </c>
      <c r="BG46" s="24">
        <v>2015</v>
      </c>
      <c r="BH46" s="25">
        <v>2016</v>
      </c>
      <c r="BI46" s="25">
        <v>2017</v>
      </c>
      <c r="BJ46" s="25">
        <v>2018</v>
      </c>
      <c r="BK46" s="26">
        <v>2019</v>
      </c>
      <c r="BL46" s="27">
        <v>2015</v>
      </c>
      <c r="BM46" s="25">
        <v>2016</v>
      </c>
      <c r="BN46" s="25">
        <v>2017</v>
      </c>
      <c r="BO46" s="25">
        <v>2018</v>
      </c>
      <c r="BP46" s="25">
        <v>2019</v>
      </c>
      <c r="BQ46" s="24">
        <v>2017</v>
      </c>
      <c r="BR46" s="25">
        <v>2018</v>
      </c>
      <c r="BS46" s="25">
        <v>2019</v>
      </c>
      <c r="BT46" s="143"/>
      <c r="BU46" s="2"/>
    </row>
    <row r="47" spans="1:80" ht="23.25" customHeight="1" x14ac:dyDescent="0.4">
      <c r="A47" s="28" t="s">
        <v>4</v>
      </c>
      <c r="B47" s="28"/>
      <c r="C47" s="29">
        <f t="shared" ref="C47:AZ47" si="0">SUM(C48:C59)</f>
        <v>1542</v>
      </c>
      <c r="D47" s="29">
        <f t="shared" si="0"/>
        <v>1816</v>
      </c>
      <c r="E47" s="29">
        <f t="shared" si="0"/>
        <v>2310</v>
      </c>
      <c r="F47" s="30">
        <f t="shared" si="0"/>
        <v>2220</v>
      </c>
      <c r="G47" s="31">
        <f t="shared" si="0"/>
        <v>2088</v>
      </c>
      <c r="H47" s="32">
        <f t="shared" si="0"/>
        <v>2392</v>
      </c>
      <c r="I47" s="33">
        <f t="shared" si="0"/>
        <v>2619</v>
      </c>
      <c r="J47" s="33">
        <f t="shared" si="0"/>
        <v>2559</v>
      </c>
      <c r="K47" s="33">
        <f t="shared" si="0"/>
        <v>2583</v>
      </c>
      <c r="L47" s="33">
        <f t="shared" si="0"/>
        <v>3226</v>
      </c>
      <c r="M47" s="33">
        <f t="shared" si="0"/>
        <v>3982</v>
      </c>
      <c r="N47" s="33">
        <f t="shared" si="0"/>
        <v>4121</v>
      </c>
      <c r="O47" s="33">
        <f t="shared" si="0"/>
        <v>4410</v>
      </c>
      <c r="P47" s="31">
        <f>SUM(P48:P59)</f>
        <v>4290</v>
      </c>
      <c r="Q47" s="33">
        <f t="shared" ref="Q47" si="1">SUM(Q48:Q59)</f>
        <v>4978</v>
      </c>
      <c r="R47" s="33">
        <f t="shared" si="0"/>
        <v>1637</v>
      </c>
      <c r="S47" s="33">
        <f t="shared" si="0"/>
        <v>1397</v>
      </c>
      <c r="T47" s="33">
        <f t="shared" si="0"/>
        <v>1949</v>
      </c>
      <c r="U47" s="33">
        <f t="shared" si="0"/>
        <v>1977</v>
      </c>
      <c r="V47" s="33">
        <f t="shared" si="0"/>
        <v>262</v>
      </c>
      <c r="W47" s="33">
        <f t="shared" si="0"/>
        <v>710</v>
      </c>
      <c r="X47" s="33">
        <f>SUM(X48:X59)</f>
        <v>2432</v>
      </c>
      <c r="Y47" s="33">
        <f t="shared" ref="Y47:AB47" si="2">SUM(Y48:Y59)</f>
        <v>5182</v>
      </c>
      <c r="Z47" s="33">
        <f t="shared" si="2"/>
        <v>4726</v>
      </c>
      <c r="AA47" s="34">
        <f t="shared" si="2"/>
        <v>4794</v>
      </c>
      <c r="AB47" s="33">
        <f t="shared" si="2"/>
        <v>2773</v>
      </c>
      <c r="AC47" s="33">
        <f>SUM(AC48:AC59)</f>
        <v>2151</v>
      </c>
      <c r="AD47" s="33">
        <f t="shared" ref="AD47" si="3">SUM(AD48:AD59)</f>
        <v>1998</v>
      </c>
      <c r="AE47" s="33">
        <f t="shared" si="0"/>
        <v>769</v>
      </c>
      <c r="AF47" s="33">
        <f t="shared" si="0"/>
        <v>3315</v>
      </c>
      <c r="AG47" s="33">
        <f>SUM(AG48:AG59)</f>
        <v>4519</v>
      </c>
      <c r="AH47" s="33">
        <f t="shared" ref="AH47:AK47" si="4">SUM(AH48:AH59)</f>
        <v>1845</v>
      </c>
      <c r="AI47" s="33">
        <f t="shared" si="4"/>
        <v>1799</v>
      </c>
      <c r="AJ47" s="33">
        <f t="shared" si="4"/>
        <v>2485</v>
      </c>
      <c r="AK47" s="33">
        <f t="shared" si="4"/>
        <v>4924</v>
      </c>
      <c r="AL47" s="31">
        <f>SUM(AL48:AL59)</f>
        <v>4265</v>
      </c>
      <c r="AM47" s="33">
        <f t="shared" ref="AM47:AO47" si="5">SUM(AM48:AM59)</f>
        <v>3963</v>
      </c>
      <c r="AN47" s="33">
        <f t="shared" si="5"/>
        <v>4305</v>
      </c>
      <c r="AO47" s="33">
        <f t="shared" si="5"/>
        <v>4824</v>
      </c>
      <c r="AP47" s="33">
        <f t="shared" si="0"/>
        <v>173</v>
      </c>
      <c r="AQ47" s="33">
        <f t="shared" si="0"/>
        <v>3515</v>
      </c>
      <c r="AR47" s="33">
        <f t="shared" si="0"/>
        <v>4798</v>
      </c>
      <c r="AS47" s="33">
        <f t="shared" si="0"/>
        <v>4248</v>
      </c>
      <c r="AT47" s="31">
        <f>SUM(AT48:AT59)</f>
        <v>3934</v>
      </c>
      <c r="AU47" s="33">
        <f t="shared" ref="AU47:AY47" si="6">SUM(AU48:AU59)</f>
        <v>3870</v>
      </c>
      <c r="AV47" s="33">
        <f t="shared" si="0"/>
        <v>2906</v>
      </c>
      <c r="AW47" s="33">
        <f t="shared" si="0"/>
        <v>4198</v>
      </c>
      <c r="AX47" s="33">
        <f t="shared" si="6"/>
        <v>4532</v>
      </c>
      <c r="AY47" s="33">
        <f t="shared" si="6"/>
        <v>5159</v>
      </c>
      <c r="AZ47" s="33">
        <f t="shared" si="0"/>
        <v>2076</v>
      </c>
      <c r="BA47" s="31">
        <f>SUM(BA48:BA59)</f>
        <v>1988</v>
      </c>
      <c r="BB47" s="33">
        <f t="shared" ref="BB47:BF47" si="7">SUM(BB48:BB59)</f>
        <v>1916</v>
      </c>
      <c r="BC47" s="33">
        <f t="shared" si="7"/>
        <v>1916</v>
      </c>
      <c r="BD47" s="33">
        <f t="shared" si="7"/>
        <v>1975</v>
      </c>
      <c r="BE47" s="33">
        <f t="shared" si="7"/>
        <v>2043</v>
      </c>
      <c r="BF47" s="33">
        <f t="shared" si="7"/>
        <v>826</v>
      </c>
      <c r="BG47" s="31">
        <f>SUM(BG48:BG59)</f>
        <v>331</v>
      </c>
      <c r="BH47" s="33">
        <f t="shared" ref="BH47:BK47" si="8">SUM(BH48:BH59)</f>
        <v>269</v>
      </c>
      <c r="BI47" s="33">
        <f t="shared" si="8"/>
        <v>245</v>
      </c>
      <c r="BJ47" s="33">
        <f t="shared" si="8"/>
        <v>246</v>
      </c>
      <c r="BK47" s="34">
        <f t="shared" si="8"/>
        <v>241</v>
      </c>
      <c r="BL47" s="31">
        <f>SUM(BL48:BL59)</f>
        <v>552</v>
      </c>
      <c r="BM47" s="33">
        <f t="shared" ref="BM47:BS47" si="9">SUM(BM48:BM59)</f>
        <v>1475</v>
      </c>
      <c r="BN47" s="33">
        <f t="shared" si="9"/>
        <v>1911</v>
      </c>
      <c r="BO47" s="33">
        <f t="shared" si="9"/>
        <v>1898</v>
      </c>
      <c r="BP47" s="33">
        <f t="shared" si="9"/>
        <v>1940</v>
      </c>
      <c r="BQ47" s="31">
        <f t="shared" si="9"/>
        <v>488</v>
      </c>
      <c r="BR47" s="35">
        <f t="shared" si="9"/>
        <v>1941</v>
      </c>
      <c r="BS47" s="35">
        <f t="shared" si="9"/>
        <v>2224</v>
      </c>
      <c r="BT47" s="69" t="s">
        <v>5</v>
      </c>
    </row>
    <row r="48" spans="1:80" ht="23.25" customHeight="1" x14ac:dyDescent="0.4">
      <c r="A48" s="36" t="s">
        <v>10</v>
      </c>
      <c r="B48" s="36"/>
      <c r="C48" s="37">
        <v>87</v>
      </c>
      <c r="D48" s="37">
        <v>140</v>
      </c>
      <c r="E48" s="37">
        <v>189</v>
      </c>
      <c r="F48" s="38">
        <v>215</v>
      </c>
      <c r="G48" s="39">
        <v>166</v>
      </c>
      <c r="H48" s="40">
        <v>174</v>
      </c>
      <c r="I48" s="41">
        <v>199</v>
      </c>
      <c r="J48" s="41">
        <v>264</v>
      </c>
      <c r="K48" s="41">
        <v>232</v>
      </c>
      <c r="L48" s="42">
        <v>290</v>
      </c>
      <c r="M48" s="42">
        <v>428</v>
      </c>
      <c r="N48" s="42">
        <v>290</v>
      </c>
      <c r="O48" s="41">
        <v>356</v>
      </c>
      <c r="P48" s="39">
        <v>376</v>
      </c>
      <c r="Q48" s="41">
        <v>400</v>
      </c>
      <c r="R48" s="41">
        <v>137</v>
      </c>
      <c r="S48" s="41">
        <v>111</v>
      </c>
      <c r="T48" s="41">
        <v>175</v>
      </c>
      <c r="U48" s="41">
        <v>164</v>
      </c>
      <c r="V48" s="43" t="s">
        <v>53</v>
      </c>
      <c r="W48" s="41">
        <v>48</v>
      </c>
      <c r="X48" s="41">
        <v>115</v>
      </c>
      <c r="Y48" s="41">
        <v>496</v>
      </c>
      <c r="Z48" s="41">
        <v>406</v>
      </c>
      <c r="AA48" s="44">
        <v>408</v>
      </c>
      <c r="AB48" s="41">
        <v>227</v>
      </c>
      <c r="AC48" s="41">
        <v>230</v>
      </c>
      <c r="AD48" s="41">
        <v>166</v>
      </c>
      <c r="AE48" s="43" t="s">
        <v>53</v>
      </c>
      <c r="AF48" s="41">
        <v>351</v>
      </c>
      <c r="AG48" s="41">
        <v>339</v>
      </c>
      <c r="AH48" s="41">
        <v>157</v>
      </c>
      <c r="AI48" s="41">
        <v>117</v>
      </c>
      <c r="AJ48" s="41">
        <v>261</v>
      </c>
      <c r="AK48" s="41">
        <v>400</v>
      </c>
      <c r="AL48" s="39">
        <v>359</v>
      </c>
      <c r="AM48" s="41">
        <v>339</v>
      </c>
      <c r="AN48" s="41">
        <v>321</v>
      </c>
      <c r="AO48" s="41">
        <v>400</v>
      </c>
      <c r="AP48" s="43" t="s">
        <v>53</v>
      </c>
      <c r="AQ48" s="41">
        <v>191</v>
      </c>
      <c r="AR48" s="41">
        <v>441</v>
      </c>
      <c r="AS48" s="41">
        <v>361</v>
      </c>
      <c r="AT48" s="39">
        <v>331</v>
      </c>
      <c r="AU48" s="41">
        <v>342</v>
      </c>
      <c r="AV48" s="41">
        <v>288</v>
      </c>
      <c r="AW48" s="41">
        <v>351</v>
      </c>
      <c r="AX48" s="41">
        <v>415</v>
      </c>
      <c r="AY48" s="41">
        <v>414</v>
      </c>
      <c r="AZ48" s="41">
        <v>174</v>
      </c>
      <c r="BA48" s="39">
        <v>181</v>
      </c>
      <c r="BB48" s="41">
        <v>164</v>
      </c>
      <c r="BC48" s="41">
        <v>155</v>
      </c>
      <c r="BD48" s="41">
        <v>179</v>
      </c>
      <c r="BE48" s="41">
        <v>169</v>
      </c>
      <c r="BF48" s="41">
        <v>57</v>
      </c>
      <c r="BG48" s="39">
        <v>30</v>
      </c>
      <c r="BH48" s="41">
        <v>29</v>
      </c>
      <c r="BI48" s="41">
        <v>19</v>
      </c>
      <c r="BJ48" s="41">
        <v>23</v>
      </c>
      <c r="BK48" s="44">
        <v>24</v>
      </c>
      <c r="BL48" s="39" t="s">
        <v>54</v>
      </c>
      <c r="BM48" s="41">
        <v>124</v>
      </c>
      <c r="BN48" s="41">
        <v>142</v>
      </c>
      <c r="BO48" s="41">
        <v>178</v>
      </c>
      <c r="BP48" s="41">
        <v>156</v>
      </c>
      <c r="BQ48" s="39" t="s">
        <v>54</v>
      </c>
      <c r="BR48" s="41">
        <v>171</v>
      </c>
      <c r="BS48" s="41">
        <v>176</v>
      </c>
      <c r="BT48" s="67" t="s">
        <v>11</v>
      </c>
      <c r="BY48" s="23"/>
      <c r="BZ48" s="23"/>
      <c r="CA48" s="23"/>
      <c r="CB48" s="23"/>
    </row>
    <row r="49" spans="1:80" ht="23.25" customHeight="1" x14ac:dyDescent="0.4">
      <c r="A49" s="36" t="s">
        <v>12</v>
      </c>
      <c r="B49" s="36"/>
      <c r="C49" s="37">
        <v>69</v>
      </c>
      <c r="D49" s="37">
        <v>128</v>
      </c>
      <c r="E49" s="37">
        <v>161</v>
      </c>
      <c r="F49" s="38">
        <v>192</v>
      </c>
      <c r="G49" s="39">
        <v>161</v>
      </c>
      <c r="H49" s="40">
        <v>195</v>
      </c>
      <c r="I49" s="41">
        <v>195</v>
      </c>
      <c r="J49" s="41">
        <v>213</v>
      </c>
      <c r="K49" s="41">
        <v>223</v>
      </c>
      <c r="L49" s="42">
        <v>268</v>
      </c>
      <c r="M49" s="42">
        <v>332</v>
      </c>
      <c r="N49" s="42">
        <v>314</v>
      </c>
      <c r="O49" s="41">
        <v>360</v>
      </c>
      <c r="P49" s="39">
        <v>336</v>
      </c>
      <c r="Q49" s="41">
        <v>428</v>
      </c>
      <c r="R49" s="41">
        <v>185</v>
      </c>
      <c r="S49" s="41">
        <v>109</v>
      </c>
      <c r="T49" s="41">
        <v>158</v>
      </c>
      <c r="U49" s="41">
        <v>176</v>
      </c>
      <c r="V49" s="43" t="s">
        <v>53</v>
      </c>
      <c r="W49" s="41">
        <v>40</v>
      </c>
      <c r="X49" s="41">
        <v>83</v>
      </c>
      <c r="Y49" s="41">
        <v>462</v>
      </c>
      <c r="Z49" s="41">
        <v>408</v>
      </c>
      <c r="AA49" s="44">
        <v>356</v>
      </c>
      <c r="AB49" s="41">
        <v>212</v>
      </c>
      <c r="AC49" s="41">
        <v>199</v>
      </c>
      <c r="AD49" s="41">
        <v>120</v>
      </c>
      <c r="AE49" s="43" t="s">
        <v>53</v>
      </c>
      <c r="AF49" s="41">
        <v>351</v>
      </c>
      <c r="AG49" s="41">
        <v>427</v>
      </c>
      <c r="AH49" s="41">
        <v>102</v>
      </c>
      <c r="AI49" s="41">
        <v>89</v>
      </c>
      <c r="AJ49" s="41">
        <v>221</v>
      </c>
      <c r="AK49" s="41">
        <v>380</v>
      </c>
      <c r="AL49" s="39">
        <v>407</v>
      </c>
      <c r="AM49" s="41">
        <v>323</v>
      </c>
      <c r="AN49" s="41">
        <v>260</v>
      </c>
      <c r="AO49" s="41">
        <v>373</v>
      </c>
      <c r="AP49" s="43" t="s">
        <v>53</v>
      </c>
      <c r="AQ49" s="41">
        <v>213</v>
      </c>
      <c r="AR49" s="41">
        <v>375</v>
      </c>
      <c r="AS49" s="41">
        <v>356</v>
      </c>
      <c r="AT49" s="39">
        <v>304</v>
      </c>
      <c r="AU49" s="41">
        <v>320</v>
      </c>
      <c r="AV49" s="41">
        <v>304</v>
      </c>
      <c r="AW49" s="41">
        <v>308</v>
      </c>
      <c r="AX49" s="41">
        <v>365</v>
      </c>
      <c r="AY49" s="41">
        <v>376</v>
      </c>
      <c r="AZ49" s="41">
        <v>159</v>
      </c>
      <c r="BA49" s="39">
        <v>169</v>
      </c>
      <c r="BB49" s="41">
        <v>159</v>
      </c>
      <c r="BC49" s="41">
        <v>161</v>
      </c>
      <c r="BD49" s="41">
        <v>164</v>
      </c>
      <c r="BE49" s="41">
        <v>164</v>
      </c>
      <c r="BF49" s="41">
        <v>83</v>
      </c>
      <c r="BG49" s="39">
        <v>23</v>
      </c>
      <c r="BH49" s="41">
        <v>23</v>
      </c>
      <c r="BI49" s="41">
        <v>17</v>
      </c>
      <c r="BJ49" s="41">
        <v>15</v>
      </c>
      <c r="BK49" s="44">
        <v>19</v>
      </c>
      <c r="BL49" s="39" t="s">
        <v>54</v>
      </c>
      <c r="BM49" s="41">
        <v>143</v>
      </c>
      <c r="BN49" s="41">
        <v>136</v>
      </c>
      <c r="BO49" s="41">
        <v>180</v>
      </c>
      <c r="BP49" s="41">
        <v>161</v>
      </c>
      <c r="BQ49" s="39" t="s">
        <v>54</v>
      </c>
      <c r="BR49" s="41">
        <v>168</v>
      </c>
      <c r="BS49" s="41">
        <v>181</v>
      </c>
      <c r="BT49" s="67" t="s">
        <v>13</v>
      </c>
    </row>
    <row r="50" spans="1:80" ht="23.25" customHeight="1" x14ac:dyDescent="0.4">
      <c r="A50" s="36" t="s">
        <v>14</v>
      </c>
      <c r="B50" s="36"/>
      <c r="C50" s="37">
        <v>80</v>
      </c>
      <c r="D50" s="37">
        <v>161</v>
      </c>
      <c r="E50" s="37">
        <v>184</v>
      </c>
      <c r="F50" s="38">
        <v>214</v>
      </c>
      <c r="G50" s="39">
        <v>173</v>
      </c>
      <c r="H50" s="40">
        <v>201</v>
      </c>
      <c r="I50" s="41">
        <v>193</v>
      </c>
      <c r="J50" s="41">
        <v>258</v>
      </c>
      <c r="K50" s="41">
        <v>218</v>
      </c>
      <c r="L50" s="42">
        <v>202</v>
      </c>
      <c r="M50" s="42">
        <v>320</v>
      </c>
      <c r="N50" s="42">
        <v>358</v>
      </c>
      <c r="O50" s="41">
        <v>388</v>
      </c>
      <c r="P50" s="39">
        <v>396</v>
      </c>
      <c r="Q50" s="41">
        <v>402</v>
      </c>
      <c r="R50" s="41">
        <v>131</v>
      </c>
      <c r="S50" s="41">
        <v>98</v>
      </c>
      <c r="T50" s="41">
        <v>141</v>
      </c>
      <c r="U50" s="41">
        <v>190</v>
      </c>
      <c r="V50" s="43" t="s">
        <v>53</v>
      </c>
      <c r="W50" s="41">
        <v>56</v>
      </c>
      <c r="X50" s="41">
        <v>197</v>
      </c>
      <c r="Y50" s="41">
        <v>446</v>
      </c>
      <c r="Z50" s="41">
        <v>388</v>
      </c>
      <c r="AA50" s="44">
        <v>400</v>
      </c>
      <c r="AB50" s="41">
        <v>246</v>
      </c>
      <c r="AC50" s="41">
        <v>235</v>
      </c>
      <c r="AD50" s="41">
        <v>168</v>
      </c>
      <c r="AE50" s="43" t="s">
        <v>53</v>
      </c>
      <c r="AF50" s="41">
        <v>233</v>
      </c>
      <c r="AG50" s="41">
        <v>348</v>
      </c>
      <c r="AH50" s="41">
        <v>183</v>
      </c>
      <c r="AI50" s="41">
        <v>149</v>
      </c>
      <c r="AJ50" s="41">
        <v>277</v>
      </c>
      <c r="AK50" s="41">
        <v>391</v>
      </c>
      <c r="AL50" s="39">
        <v>377</v>
      </c>
      <c r="AM50" s="41">
        <v>314</v>
      </c>
      <c r="AN50" s="41">
        <v>281</v>
      </c>
      <c r="AO50" s="41">
        <v>369</v>
      </c>
      <c r="AP50" s="43" t="s">
        <v>53</v>
      </c>
      <c r="AQ50" s="41">
        <v>231</v>
      </c>
      <c r="AR50" s="41">
        <v>436</v>
      </c>
      <c r="AS50" s="41">
        <v>393</v>
      </c>
      <c r="AT50" s="39">
        <v>356</v>
      </c>
      <c r="AU50" s="41">
        <v>343</v>
      </c>
      <c r="AV50" s="41">
        <v>364</v>
      </c>
      <c r="AW50" s="41">
        <v>327</v>
      </c>
      <c r="AX50" s="41">
        <v>397</v>
      </c>
      <c r="AY50" s="41">
        <v>414</v>
      </c>
      <c r="AZ50" s="41">
        <v>176</v>
      </c>
      <c r="BA50" s="39">
        <v>170</v>
      </c>
      <c r="BB50" s="41">
        <v>163</v>
      </c>
      <c r="BC50" s="41">
        <v>174</v>
      </c>
      <c r="BD50" s="41">
        <v>169</v>
      </c>
      <c r="BE50" s="41">
        <v>178</v>
      </c>
      <c r="BF50" s="41">
        <v>108</v>
      </c>
      <c r="BG50" s="39">
        <v>25</v>
      </c>
      <c r="BH50" s="41">
        <v>23</v>
      </c>
      <c r="BI50" s="41">
        <v>20</v>
      </c>
      <c r="BJ50" s="41">
        <v>19</v>
      </c>
      <c r="BK50" s="44">
        <v>17</v>
      </c>
      <c r="BL50" s="39" t="s">
        <v>54</v>
      </c>
      <c r="BM50" s="41">
        <v>114</v>
      </c>
      <c r="BN50" s="41">
        <v>148</v>
      </c>
      <c r="BO50" s="41">
        <v>156</v>
      </c>
      <c r="BP50" s="41">
        <v>160</v>
      </c>
      <c r="BQ50" s="39" t="s">
        <v>54</v>
      </c>
      <c r="BR50" s="41">
        <v>150</v>
      </c>
      <c r="BS50" s="41">
        <v>202</v>
      </c>
      <c r="BT50" s="67" t="s">
        <v>15</v>
      </c>
    </row>
    <row r="51" spans="1:80" ht="23.25" customHeight="1" x14ac:dyDescent="0.4">
      <c r="A51" s="36" t="s">
        <v>16</v>
      </c>
      <c r="B51" s="36"/>
      <c r="C51" s="37">
        <v>147</v>
      </c>
      <c r="D51" s="37">
        <v>149</v>
      </c>
      <c r="E51" s="37">
        <v>190</v>
      </c>
      <c r="F51" s="38">
        <v>192</v>
      </c>
      <c r="G51" s="39">
        <v>173</v>
      </c>
      <c r="H51" s="40">
        <v>192</v>
      </c>
      <c r="I51" s="41">
        <v>211</v>
      </c>
      <c r="J51" s="41">
        <v>245</v>
      </c>
      <c r="K51" s="41">
        <v>213</v>
      </c>
      <c r="L51" s="42">
        <v>192</v>
      </c>
      <c r="M51" s="42">
        <v>358</v>
      </c>
      <c r="N51" s="42">
        <v>268</v>
      </c>
      <c r="O51" s="41">
        <v>354</v>
      </c>
      <c r="P51" s="39">
        <v>390</v>
      </c>
      <c r="Q51" s="41">
        <v>368</v>
      </c>
      <c r="R51" s="41">
        <v>167</v>
      </c>
      <c r="S51" s="41">
        <v>131</v>
      </c>
      <c r="T51" s="41">
        <v>174</v>
      </c>
      <c r="U51" s="41">
        <v>166</v>
      </c>
      <c r="V51" s="43" t="s">
        <v>53</v>
      </c>
      <c r="W51" s="41">
        <v>42</v>
      </c>
      <c r="X51" s="41">
        <v>241</v>
      </c>
      <c r="Y51" s="41">
        <v>436</v>
      </c>
      <c r="Z51" s="41">
        <v>438</v>
      </c>
      <c r="AA51" s="44">
        <v>412</v>
      </c>
      <c r="AB51" s="41">
        <v>230</v>
      </c>
      <c r="AC51" s="41">
        <v>229</v>
      </c>
      <c r="AD51" s="41">
        <v>139</v>
      </c>
      <c r="AE51" s="43" t="s">
        <v>53</v>
      </c>
      <c r="AF51" s="41">
        <v>226</v>
      </c>
      <c r="AG51" s="41">
        <v>284</v>
      </c>
      <c r="AH51" s="41">
        <v>138</v>
      </c>
      <c r="AI51" s="41">
        <v>120</v>
      </c>
      <c r="AJ51" s="41">
        <v>278</v>
      </c>
      <c r="AK51" s="41">
        <v>390</v>
      </c>
      <c r="AL51" s="39">
        <v>367</v>
      </c>
      <c r="AM51" s="41">
        <v>314</v>
      </c>
      <c r="AN51" s="41">
        <v>289</v>
      </c>
      <c r="AO51" s="41">
        <v>346</v>
      </c>
      <c r="AP51" s="43" t="s">
        <v>53</v>
      </c>
      <c r="AQ51" s="41">
        <v>239</v>
      </c>
      <c r="AR51" s="41">
        <v>437</v>
      </c>
      <c r="AS51" s="41">
        <v>358</v>
      </c>
      <c r="AT51" s="39">
        <v>341</v>
      </c>
      <c r="AU51" s="41">
        <v>328</v>
      </c>
      <c r="AV51" s="41">
        <v>289</v>
      </c>
      <c r="AW51" s="41">
        <v>316</v>
      </c>
      <c r="AX51" s="41">
        <v>353</v>
      </c>
      <c r="AY51" s="41">
        <v>471</v>
      </c>
      <c r="AZ51" s="41">
        <v>175</v>
      </c>
      <c r="BA51" s="39">
        <v>175</v>
      </c>
      <c r="BB51" s="41">
        <v>154</v>
      </c>
      <c r="BC51" s="41">
        <v>158</v>
      </c>
      <c r="BD51" s="41">
        <v>164</v>
      </c>
      <c r="BE51" s="41">
        <v>165</v>
      </c>
      <c r="BF51" s="41">
        <v>112</v>
      </c>
      <c r="BG51" s="39">
        <v>26</v>
      </c>
      <c r="BH51" s="41">
        <v>21</v>
      </c>
      <c r="BI51" s="41">
        <v>22</v>
      </c>
      <c r="BJ51" s="41">
        <v>21</v>
      </c>
      <c r="BK51" s="44">
        <v>21</v>
      </c>
      <c r="BL51" s="39" t="s">
        <v>54</v>
      </c>
      <c r="BM51" s="41">
        <v>106</v>
      </c>
      <c r="BN51" s="41">
        <v>156</v>
      </c>
      <c r="BO51" s="41">
        <v>146</v>
      </c>
      <c r="BP51" s="41">
        <v>156</v>
      </c>
      <c r="BQ51" s="39" t="s">
        <v>54</v>
      </c>
      <c r="BR51" s="41">
        <v>161</v>
      </c>
      <c r="BS51" s="41">
        <v>181</v>
      </c>
      <c r="BT51" s="67" t="s">
        <v>17</v>
      </c>
      <c r="BY51" s="23"/>
      <c r="BZ51" s="23"/>
      <c r="CA51" s="23"/>
      <c r="CB51" s="23"/>
    </row>
    <row r="52" spans="1:80" ht="23.25" customHeight="1" x14ac:dyDescent="0.4">
      <c r="A52" s="36" t="s">
        <v>18</v>
      </c>
      <c r="B52" s="36"/>
      <c r="C52" s="37">
        <v>128</v>
      </c>
      <c r="D52" s="37">
        <v>139</v>
      </c>
      <c r="E52" s="37">
        <v>178</v>
      </c>
      <c r="F52" s="38">
        <v>186</v>
      </c>
      <c r="G52" s="39">
        <v>182</v>
      </c>
      <c r="H52" s="40">
        <v>194</v>
      </c>
      <c r="I52" s="41">
        <v>209</v>
      </c>
      <c r="J52" s="41">
        <v>200</v>
      </c>
      <c r="K52" s="41">
        <v>220</v>
      </c>
      <c r="L52" s="42">
        <v>274</v>
      </c>
      <c r="M52" s="42">
        <v>284</v>
      </c>
      <c r="N52" s="42">
        <v>274</v>
      </c>
      <c r="O52" s="41">
        <v>368</v>
      </c>
      <c r="P52" s="39">
        <v>356</v>
      </c>
      <c r="Q52" s="41">
        <v>364</v>
      </c>
      <c r="R52" s="41">
        <v>102</v>
      </c>
      <c r="S52" s="41">
        <v>99</v>
      </c>
      <c r="T52" s="41">
        <v>130</v>
      </c>
      <c r="U52" s="41">
        <v>154</v>
      </c>
      <c r="V52" s="43" t="s">
        <v>53</v>
      </c>
      <c r="W52" s="41">
        <v>68</v>
      </c>
      <c r="X52" s="41">
        <v>233</v>
      </c>
      <c r="Y52" s="41">
        <v>380</v>
      </c>
      <c r="Z52" s="41">
        <v>372</v>
      </c>
      <c r="AA52" s="44">
        <v>426</v>
      </c>
      <c r="AB52" s="41">
        <v>236</v>
      </c>
      <c r="AC52" s="41">
        <v>222</v>
      </c>
      <c r="AD52" s="41">
        <v>136</v>
      </c>
      <c r="AE52" s="43" t="s">
        <v>53</v>
      </c>
      <c r="AF52" s="41">
        <v>180</v>
      </c>
      <c r="AG52" s="41">
        <v>382</v>
      </c>
      <c r="AH52" s="41">
        <v>168</v>
      </c>
      <c r="AI52" s="41">
        <v>147</v>
      </c>
      <c r="AJ52" s="41">
        <v>211</v>
      </c>
      <c r="AK52" s="41">
        <v>411</v>
      </c>
      <c r="AL52" s="39">
        <v>397</v>
      </c>
      <c r="AM52" s="41">
        <v>370</v>
      </c>
      <c r="AN52" s="41">
        <v>325</v>
      </c>
      <c r="AO52" s="41">
        <v>527</v>
      </c>
      <c r="AP52" s="43" t="s">
        <v>53</v>
      </c>
      <c r="AQ52" s="41">
        <v>288</v>
      </c>
      <c r="AR52" s="41">
        <v>454</v>
      </c>
      <c r="AS52" s="41">
        <v>370</v>
      </c>
      <c r="AT52" s="39">
        <v>341</v>
      </c>
      <c r="AU52" s="41">
        <v>321</v>
      </c>
      <c r="AV52" s="41">
        <v>259</v>
      </c>
      <c r="AW52" s="41">
        <v>319</v>
      </c>
      <c r="AX52" s="41">
        <v>336</v>
      </c>
      <c r="AY52" s="41">
        <v>428</v>
      </c>
      <c r="AZ52" s="41">
        <v>181</v>
      </c>
      <c r="BA52" s="39">
        <v>166</v>
      </c>
      <c r="BB52" s="41">
        <v>163</v>
      </c>
      <c r="BC52" s="41">
        <v>142</v>
      </c>
      <c r="BD52" s="41">
        <v>158</v>
      </c>
      <c r="BE52" s="41">
        <v>149</v>
      </c>
      <c r="BF52" s="41">
        <v>91</v>
      </c>
      <c r="BG52" s="39">
        <v>28</v>
      </c>
      <c r="BH52" s="41">
        <v>21</v>
      </c>
      <c r="BI52" s="41">
        <v>20</v>
      </c>
      <c r="BJ52" s="41">
        <v>16</v>
      </c>
      <c r="BK52" s="44">
        <v>15</v>
      </c>
      <c r="BL52" s="39">
        <v>9</v>
      </c>
      <c r="BM52" s="41">
        <v>90</v>
      </c>
      <c r="BN52" s="41">
        <v>160</v>
      </c>
      <c r="BO52" s="41">
        <v>146</v>
      </c>
      <c r="BP52" s="41">
        <v>182</v>
      </c>
      <c r="BQ52" s="39" t="s">
        <v>54</v>
      </c>
      <c r="BR52" s="41">
        <v>148</v>
      </c>
      <c r="BS52" s="41">
        <v>184</v>
      </c>
      <c r="BT52" s="67" t="s">
        <v>19</v>
      </c>
    </row>
    <row r="53" spans="1:80" ht="23.25" customHeight="1" x14ac:dyDescent="0.4">
      <c r="A53" s="36" t="s">
        <v>20</v>
      </c>
      <c r="B53" s="36"/>
      <c r="C53" s="37">
        <v>137</v>
      </c>
      <c r="D53" s="37">
        <v>136</v>
      </c>
      <c r="E53" s="37">
        <v>192</v>
      </c>
      <c r="F53" s="38">
        <v>180</v>
      </c>
      <c r="G53" s="39">
        <v>174</v>
      </c>
      <c r="H53" s="40">
        <v>185</v>
      </c>
      <c r="I53" s="41">
        <v>192</v>
      </c>
      <c r="J53" s="41">
        <v>175</v>
      </c>
      <c r="K53" s="41">
        <v>185</v>
      </c>
      <c r="L53" s="42">
        <v>278</v>
      </c>
      <c r="M53" s="42">
        <v>318</v>
      </c>
      <c r="N53" s="42">
        <v>328</v>
      </c>
      <c r="O53" s="41">
        <v>346</v>
      </c>
      <c r="P53" s="39">
        <v>340</v>
      </c>
      <c r="Q53" s="41">
        <v>336</v>
      </c>
      <c r="R53" s="41">
        <v>127</v>
      </c>
      <c r="S53" s="41">
        <v>102</v>
      </c>
      <c r="T53" s="41">
        <v>173</v>
      </c>
      <c r="U53" s="41">
        <v>169</v>
      </c>
      <c r="V53" s="43" t="s">
        <v>53</v>
      </c>
      <c r="W53" s="41">
        <v>58</v>
      </c>
      <c r="X53" s="41">
        <v>225</v>
      </c>
      <c r="Y53" s="41">
        <v>376</v>
      </c>
      <c r="Z53" s="41">
        <v>356</v>
      </c>
      <c r="AA53" s="44">
        <v>406</v>
      </c>
      <c r="AB53" s="41">
        <v>231</v>
      </c>
      <c r="AC53" s="41">
        <v>138</v>
      </c>
      <c r="AD53" s="41">
        <v>198</v>
      </c>
      <c r="AE53" s="43" t="s">
        <v>53</v>
      </c>
      <c r="AF53" s="41">
        <v>150</v>
      </c>
      <c r="AG53" s="41">
        <v>354</v>
      </c>
      <c r="AH53" s="41">
        <v>168</v>
      </c>
      <c r="AI53" s="41">
        <v>137</v>
      </c>
      <c r="AJ53" s="41">
        <v>190</v>
      </c>
      <c r="AK53" s="41">
        <v>407</v>
      </c>
      <c r="AL53" s="39">
        <v>345</v>
      </c>
      <c r="AM53" s="41">
        <v>327</v>
      </c>
      <c r="AN53" s="41">
        <v>395</v>
      </c>
      <c r="AO53" s="41">
        <v>374</v>
      </c>
      <c r="AP53" s="43" t="s">
        <v>53</v>
      </c>
      <c r="AQ53" s="41">
        <v>292</v>
      </c>
      <c r="AR53" s="41">
        <v>442</v>
      </c>
      <c r="AS53" s="41">
        <v>331</v>
      </c>
      <c r="AT53" s="39">
        <v>302</v>
      </c>
      <c r="AU53" s="41">
        <v>286</v>
      </c>
      <c r="AV53" s="41">
        <v>341</v>
      </c>
      <c r="AW53" s="41">
        <v>310</v>
      </c>
      <c r="AX53" s="41">
        <v>340</v>
      </c>
      <c r="AY53" s="41">
        <v>450</v>
      </c>
      <c r="AZ53" s="41">
        <v>168</v>
      </c>
      <c r="BA53" s="39">
        <v>146</v>
      </c>
      <c r="BB53" s="41">
        <v>144</v>
      </c>
      <c r="BC53" s="41">
        <v>145</v>
      </c>
      <c r="BD53" s="41">
        <v>155</v>
      </c>
      <c r="BE53" s="41">
        <v>153</v>
      </c>
      <c r="BF53" s="41">
        <v>68</v>
      </c>
      <c r="BG53" s="39">
        <v>28</v>
      </c>
      <c r="BH53" s="41">
        <v>18</v>
      </c>
      <c r="BI53" s="41">
        <v>20</v>
      </c>
      <c r="BJ53" s="41">
        <v>19</v>
      </c>
      <c r="BK53" s="44">
        <v>20</v>
      </c>
      <c r="BL53" s="39">
        <v>43</v>
      </c>
      <c r="BM53" s="41">
        <v>86</v>
      </c>
      <c r="BN53" s="41">
        <v>147</v>
      </c>
      <c r="BO53" s="41">
        <v>150</v>
      </c>
      <c r="BP53" s="41">
        <v>151</v>
      </c>
      <c r="BQ53" s="39" t="s">
        <v>54</v>
      </c>
      <c r="BR53" s="41">
        <v>123</v>
      </c>
      <c r="BS53" s="41">
        <v>166</v>
      </c>
      <c r="BT53" s="67" t="s">
        <v>21</v>
      </c>
    </row>
    <row r="54" spans="1:80" ht="23.25" customHeight="1" x14ac:dyDescent="0.4">
      <c r="A54" s="36" t="s">
        <v>22</v>
      </c>
      <c r="B54" s="36"/>
      <c r="C54" s="37">
        <v>178</v>
      </c>
      <c r="D54" s="37">
        <v>154</v>
      </c>
      <c r="E54" s="37">
        <v>189</v>
      </c>
      <c r="F54" s="38">
        <v>178</v>
      </c>
      <c r="G54" s="39">
        <v>168</v>
      </c>
      <c r="H54" s="40">
        <v>193</v>
      </c>
      <c r="I54" s="41">
        <v>215</v>
      </c>
      <c r="J54" s="41">
        <v>195</v>
      </c>
      <c r="K54" s="41">
        <v>195</v>
      </c>
      <c r="L54" s="42">
        <v>322</v>
      </c>
      <c r="M54" s="42">
        <v>372</v>
      </c>
      <c r="N54" s="42">
        <v>308</v>
      </c>
      <c r="O54" s="41">
        <v>362</v>
      </c>
      <c r="P54" s="39">
        <v>356</v>
      </c>
      <c r="Q54" s="41">
        <v>402</v>
      </c>
      <c r="R54" s="41">
        <v>161</v>
      </c>
      <c r="S54" s="41">
        <v>146</v>
      </c>
      <c r="T54" s="41">
        <v>124</v>
      </c>
      <c r="U54" s="41">
        <v>161</v>
      </c>
      <c r="V54" s="43" t="s">
        <v>53</v>
      </c>
      <c r="W54" s="41">
        <v>60</v>
      </c>
      <c r="X54" s="41">
        <v>228</v>
      </c>
      <c r="Y54" s="41">
        <v>442</v>
      </c>
      <c r="Z54" s="41">
        <v>370</v>
      </c>
      <c r="AA54" s="44">
        <v>402</v>
      </c>
      <c r="AB54" s="41">
        <v>247</v>
      </c>
      <c r="AC54" s="41">
        <v>132</v>
      </c>
      <c r="AD54" s="41">
        <v>211</v>
      </c>
      <c r="AE54" s="43" t="s">
        <v>53</v>
      </c>
      <c r="AF54" s="41">
        <v>226</v>
      </c>
      <c r="AG54" s="41">
        <v>337</v>
      </c>
      <c r="AH54" s="41">
        <v>189</v>
      </c>
      <c r="AI54" s="41">
        <v>148</v>
      </c>
      <c r="AJ54" s="41">
        <v>151</v>
      </c>
      <c r="AK54" s="41">
        <v>452</v>
      </c>
      <c r="AL54" s="39">
        <v>353</v>
      </c>
      <c r="AM54" s="41">
        <v>338</v>
      </c>
      <c r="AN54" s="41">
        <v>428</v>
      </c>
      <c r="AO54" s="41">
        <v>403</v>
      </c>
      <c r="AP54" s="43" t="s">
        <v>53</v>
      </c>
      <c r="AQ54" s="41">
        <v>302</v>
      </c>
      <c r="AR54" s="41">
        <v>430</v>
      </c>
      <c r="AS54" s="41">
        <v>346</v>
      </c>
      <c r="AT54" s="39">
        <v>330</v>
      </c>
      <c r="AU54" s="41">
        <v>296</v>
      </c>
      <c r="AV54" s="41">
        <v>254</v>
      </c>
      <c r="AW54" s="41">
        <v>366</v>
      </c>
      <c r="AX54" s="41">
        <v>378</v>
      </c>
      <c r="AY54" s="41">
        <v>478</v>
      </c>
      <c r="AZ54" s="41">
        <v>173</v>
      </c>
      <c r="BA54" s="39">
        <v>152</v>
      </c>
      <c r="BB54" s="41">
        <v>162</v>
      </c>
      <c r="BC54" s="41">
        <v>154</v>
      </c>
      <c r="BD54" s="41">
        <v>166</v>
      </c>
      <c r="BE54" s="41">
        <v>153</v>
      </c>
      <c r="BF54" s="41">
        <v>58</v>
      </c>
      <c r="BG54" s="39">
        <v>26</v>
      </c>
      <c r="BH54" s="41">
        <v>25</v>
      </c>
      <c r="BI54" s="41">
        <v>21</v>
      </c>
      <c r="BJ54" s="41">
        <v>19</v>
      </c>
      <c r="BK54" s="44">
        <v>23</v>
      </c>
      <c r="BL54" s="39">
        <v>39</v>
      </c>
      <c r="BM54" s="41">
        <v>120</v>
      </c>
      <c r="BN54" s="41">
        <v>155</v>
      </c>
      <c r="BO54" s="41">
        <v>169</v>
      </c>
      <c r="BP54" s="41">
        <v>165</v>
      </c>
      <c r="BQ54" s="39" t="s">
        <v>54</v>
      </c>
      <c r="BR54" s="41">
        <v>157</v>
      </c>
      <c r="BS54" s="41">
        <v>176</v>
      </c>
      <c r="BT54" s="67" t="s">
        <v>23</v>
      </c>
      <c r="BY54" s="23"/>
      <c r="BZ54" s="23"/>
      <c r="CA54" s="23"/>
      <c r="CB54" s="23"/>
    </row>
    <row r="55" spans="1:80" ht="23.25" customHeight="1" x14ac:dyDescent="0.4">
      <c r="A55" s="36" t="s">
        <v>24</v>
      </c>
      <c r="B55" s="36"/>
      <c r="C55" s="37">
        <v>139</v>
      </c>
      <c r="D55" s="37">
        <v>153</v>
      </c>
      <c r="E55" s="37">
        <v>200</v>
      </c>
      <c r="F55" s="38">
        <v>189</v>
      </c>
      <c r="G55" s="39">
        <v>173</v>
      </c>
      <c r="H55" s="40">
        <v>214</v>
      </c>
      <c r="I55" s="41">
        <v>217</v>
      </c>
      <c r="J55" s="41">
        <v>210</v>
      </c>
      <c r="K55" s="41">
        <v>221</v>
      </c>
      <c r="L55" s="42">
        <v>254</v>
      </c>
      <c r="M55" s="42">
        <v>362</v>
      </c>
      <c r="N55" s="42">
        <v>464</v>
      </c>
      <c r="O55" s="41">
        <v>392</v>
      </c>
      <c r="P55" s="39">
        <v>346</v>
      </c>
      <c r="Q55" s="41">
        <v>438</v>
      </c>
      <c r="R55" s="41">
        <v>121</v>
      </c>
      <c r="S55" s="41">
        <v>145</v>
      </c>
      <c r="T55" s="41">
        <v>138</v>
      </c>
      <c r="U55" s="41">
        <v>159</v>
      </c>
      <c r="V55" s="43" t="s">
        <v>53</v>
      </c>
      <c r="W55" s="41">
        <v>66</v>
      </c>
      <c r="X55" s="41">
        <v>226</v>
      </c>
      <c r="Y55" s="41">
        <v>436</v>
      </c>
      <c r="Z55" s="41">
        <v>412</v>
      </c>
      <c r="AA55" s="44">
        <v>424</v>
      </c>
      <c r="AB55" s="41">
        <v>226</v>
      </c>
      <c r="AC55" s="41">
        <v>99</v>
      </c>
      <c r="AD55" s="41">
        <v>149</v>
      </c>
      <c r="AE55" s="43" t="s">
        <v>53</v>
      </c>
      <c r="AF55" s="41">
        <v>250</v>
      </c>
      <c r="AG55" s="41">
        <v>402</v>
      </c>
      <c r="AH55" s="41">
        <v>146</v>
      </c>
      <c r="AI55" s="41">
        <v>180</v>
      </c>
      <c r="AJ55" s="41">
        <v>177</v>
      </c>
      <c r="AK55" s="41">
        <v>464</v>
      </c>
      <c r="AL55" s="39">
        <v>365</v>
      </c>
      <c r="AM55" s="41">
        <v>381</v>
      </c>
      <c r="AN55" s="41">
        <v>421</v>
      </c>
      <c r="AO55" s="41">
        <v>450</v>
      </c>
      <c r="AP55" s="43" t="s">
        <v>53</v>
      </c>
      <c r="AQ55" s="41">
        <v>333</v>
      </c>
      <c r="AR55" s="41">
        <v>420</v>
      </c>
      <c r="AS55" s="41">
        <v>370</v>
      </c>
      <c r="AT55" s="39">
        <v>341</v>
      </c>
      <c r="AU55" s="41">
        <v>329</v>
      </c>
      <c r="AV55" s="41">
        <v>159</v>
      </c>
      <c r="AW55" s="41">
        <v>397</v>
      </c>
      <c r="AX55" s="41">
        <v>430</v>
      </c>
      <c r="AY55" s="41">
        <v>480</v>
      </c>
      <c r="AZ55" s="41">
        <v>172</v>
      </c>
      <c r="BA55" s="39">
        <v>163</v>
      </c>
      <c r="BB55" s="41">
        <v>156</v>
      </c>
      <c r="BC55" s="41">
        <v>148</v>
      </c>
      <c r="BD55" s="41">
        <v>165</v>
      </c>
      <c r="BE55" s="41">
        <v>161</v>
      </c>
      <c r="BF55" s="41">
        <v>60</v>
      </c>
      <c r="BG55" s="39">
        <v>26</v>
      </c>
      <c r="BH55" s="41">
        <v>19</v>
      </c>
      <c r="BI55" s="41">
        <v>22</v>
      </c>
      <c r="BJ55" s="41">
        <v>27</v>
      </c>
      <c r="BK55" s="44">
        <v>30</v>
      </c>
      <c r="BL55" s="39">
        <v>54</v>
      </c>
      <c r="BM55" s="41">
        <v>149</v>
      </c>
      <c r="BN55" s="41">
        <v>173</v>
      </c>
      <c r="BO55" s="41">
        <v>147</v>
      </c>
      <c r="BP55" s="41">
        <v>155</v>
      </c>
      <c r="BQ55" s="39" t="s">
        <v>54</v>
      </c>
      <c r="BR55" s="41">
        <v>172</v>
      </c>
      <c r="BS55" s="41">
        <v>189</v>
      </c>
      <c r="BT55" s="67" t="s">
        <v>25</v>
      </c>
    </row>
    <row r="56" spans="1:80" ht="23.25" customHeight="1" x14ac:dyDescent="0.4">
      <c r="A56" s="36" t="s">
        <v>26</v>
      </c>
      <c r="B56" s="36"/>
      <c r="C56" s="37">
        <v>148</v>
      </c>
      <c r="D56" s="37">
        <v>155</v>
      </c>
      <c r="E56" s="37">
        <v>200</v>
      </c>
      <c r="F56" s="38">
        <v>185</v>
      </c>
      <c r="G56" s="39">
        <v>177</v>
      </c>
      <c r="H56" s="40">
        <v>233</v>
      </c>
      <c r="I56" s="41">
        <v>242</v>
      </c>
      <c r="J56" s="41">
        <v>215</v>
      </c>
      <c r="K56" s="41">
        <v>228</v>
      </c>
      <c r="L56" s="42">
        <v>272</v>
      </c>
      <c r="M56" s="42">
        <v>286</v>
      </c>
      <c r="N56" s="42">
        <v>376</v>
      </c>
      <c r="O56" s="41">
        <v>346</v>
      </c>
      <c r="P56" s="39">
        <v>320</v>
      </c>
      <c r="Q56" s="41">
        <v>432</v>
      </c>
      <c r="R56" s="41">
        <v>139</v>
      </c>
      <c r="S56" s="41">
        <v>100</v>
      </c>
      <c r="T56" s="41">
        <v>202</v>
      </c>
      <c r="U56" s="41">
        <v>139</v>
      </c>
      <c r="V56" s="43" t="s">
        <v>53</v>
      </c>
      <c r="W56" s="41">
        <v>54</v>
      </c>
      <c r="X56" s="41">
        <v>199</v>
      </c>
      <c r="Y56" s="41">
        <v>434</v>
      </c>
      <c r="Z56" s="41">
        <v>402</v>
      </c>
      <c r="AA56" s="44">
        <v>392</v>
      </c>
      <c r="AB56" s="41">
        <v>223</v>
      </c>
      <c r="AC56" s="41">
        <v>185</v>
      </c>
      <c r="AD56" s="41">
        <v>167</v>
      </c>
      <c r="AE56" s="43" t="s">
        <v>53</v>
      </c>
      <c r="AF56" s="41">
        <v>308</v>
      </c>
      <c r="AG56" s="41">
        <v>387</v>
      </c>
      <c r="AH56" s="41">
        <v>172</v>
      </c>
      <c r="AI56" s="41">
        <v>191</v>
      </c>
      <c r="AJ56" s="41">
        <v>178</v>
      </c>
      <c r="AK56" s="41">
        <v>409</v>
      </c>
      <c r="AL56" s="39">
        <v>341</v>
      </c>
      <c r="AM56" s="41">
        <v>317</v>
      </c>
      <c r="AN56" s="41">
        <v>419</v>
      </c>
      <c r="AO56" s="41">
        <v>375</v>
      </c>
      <c r="AP56" s="43" t="s">
        <v>53</v>
      </c>
      <c r="AQ56" s="41">
        <v>335</v>
      </c>
      <c r="AR56" s="41">
        <v>318</v>
      </c>
      <c r="AS56" s="41">
        <v>357</v>
      </c>
      <c r="AT56" s="39">
        <v>314</v>
      </c>
      <c r="AU56" s="41">
        <v>331</v>
      </c>
      <c r="AV56" s="41">
        <v>159</v>
      </c>
      <c r="AW56" s="41">
        <v>362</v>
      </c>
      <c r="AX56" s="41">
        <v>360</v>
      </c>
      <c r="AY56" s="41">
        <v>380</v>
      </c>
      <c r="AZ56" s="41">
        <v>166</v>
      </c>
      <c r="BA56" s="39">
        <v>151</v>
      </c>
      <c r="BB56" s="41">
        <v>155</v>
      </c>
      <c r="BC56" s="41">
        <v>166</v>
      </c>
      <c r="BD56" s="41">
        <v>158</v>
      </c>
      <c r="BE56" s="41">
        <v>154</v>
      </c>
      <c r="BF56" s="41">
        <v>46</v>
      </c>
      <c r="BG56" s="39">
        <v>32</v>
      </c>
      <c r="BH56" s="41">
        <v>24</v>
      </c>
      <c r="BI56" s="41">
        <v>21</v>
      </c>
      <c r="BJ56" s="41">
        <v>23</v>
      </c>
      <c r="BK56" s="44">
        <v>21</v>
      </c>
      <c r="BL56" s="39">
        <v>69</v>
      </c>
      <c r="BM56" s="41">
        <v>130</v>
      </c>
      <c r="BN56" s="41">
        <v>173</v>
      </c>
      <c r="BO56" s="41">
        <v>141</v>
      </c>
      <c r="BP56" s="41">
        <v>154</v>
      </c>
      <c r="BQ56" s="39" t="s">
        <v>54</v>
      </c>
      <c r="BR56" s="41">
        <v>165</v>
      </c>
      <c r="BS56" s="41">
        <v>161</v>
      </c>
      <c r="BT56" s="67" t="s">
        <v>27</v>
      </c>
    </row>
    <row r="57" spans="1:80" ht="23.25" customHeight="1" x14ac:dyDescent="0.4">
      <c r="A57" s="36" t="s">
        <v>28</v>
      </c>
      <c r="B57" s="36"/>
      <c r="C57" s="37">
        <v>144</v>
      </c>
      <c r="D57" s="37">
        <v>157</v>
      </c>
      <c r="E57" s="37">
        <v>204</v>
      </c>
      <c r="F57" s="38">
        <v>180</v>
      </c>
      <c r="G57" s="39">
        <v>163</v>
      </c>
      <c r="H57" s="40">
        <v>228</v>
      </c>
      <c r="I57" s="41">
        <v>238</v>
      </c>
      <c r="J57" s="41">
        <v>168</v>
      </c>
      <c r="K57" s="41">
        <v>217</v>
      </c>
      <c r="L57" s="42">
        <v>190</v>
      </c>
      <c r="M57" s="42">
        <v>272</v>
      </c>
      <c r="N57" s="42">
        <v>380</v>
      </c>
      <c r="O57" s="41">
        <v>366</v>
      </c>
      <c r="P57" s="39">
        <v>334</v>
      </c>
      <c r="Q57" s="41">
        <v>492</v>
      </c>
      <c r="R57" s="41">
        <v>104</v>
      </c>
      <c r="S57" s="41">
        <v>122</v>
      </c>
      <c r="T57" s="41">
        <v>165</v>
      </c>
      <c r="U57" s="41">
        <v>177</v>
      </c>
      <c r="V57" s="41">
        <v>4</v>
      </c>
      <c r="W57" s="41">
        <v>52</v>
      </c>
      <c r="X57" s="41">
        <v>210</v>
      </c>
      <c r="Y57" s="41">
        <v>446</v>
      </c>
      <c r="Z57" s="41">
        <v>394</v>
      </c>
      <c r="AA57" s="44">
        <v>408</v>
      </c>
      <c r="AB57" s="41">
        <v>251</v>
      </c>
      <c r="AC57" s="41">
        <v>104</v>
      </c>
      <c r="AD57" s="41">
        <v>172</v>
      </c>
      <c r="AE57" s="41">
        <v>186</v>
      </c>
      <c r="AF57" s="41">
        <v>365</v>
      </c>
      <c r="AG57" s="41">
        <v>439</v>
      </c>
      <c r="AH57" s="41">
        <v>122</v>
      </c>
      <c r="AI57" s="41">
        <v>105</v>
      </c>
      <c r="AJ57" s="41">
        <v>151</v>
      </c>
      <c r="AK57" s="41">
        <v>451</v>
      </c>
      <c r="AL57" s="39">
        <v>336</v>
      </c>
      <c r="AM57" s="41">
        <v>326</v>
      </c>
      <c r="AN57" s="41">
        <v>402</v>
      </c>
      <c r="AO57" s="41">
        <v>414</v>
      </c>
      <c r="AP57" s="41">
        <v>30</v>
      </c>
      <c r="AQ57" s="41">
        <v>357</v>
      </c>
      <c r="AR57" s="41">
        <v>350</v>
      </c>
      <c r="AS57" s="41">
        <v>368</v>
      </c>
      <c r="AT57" s="39">
        <v>328</v>
      </c>
      <c r="AU57" s="41">
        <v>321</v>
      </c>
      <c r="AV57" s="41">
        <v>160</v>
      </c>
      <c r="AW57" s="41">
        <v>387</v>
      </c>
      <c r="AX57" s="41">
        <v>392</v>
      </c>
      <c r="AY57" s="41">
        <v>441</v>
      </c>
      <c r="AZ57" s="41">
        <v>185</v>
      </c>
      <c r="BA57" s="39">
        <v>173</v>
      </c>
      <c r="BB57" s="41">
        <v>167</v>
      </c>
      <c r="BC57" s="41">
        <v>163</v>
      </c>
      <c r="BD57" s="41">
        <v>167</v>
      </c>
      <c r="BE57" s="41">
        <v>165</v>
      </c>
      <c r="BF57" s="41">
        <v>54</v>
      </c>
      <c r="BG57" s="39">
        <v>27</v>
      </c>
      <c r="BH57" s="41">
        <v>20</v>
      </c>
      <c r="BI57" s="41">
        <v>19</v>
      </c>
      <c r="BJ57" s="41">
        <v>18</v>
      </c>
      <c r="BK57" s="44">
        <v>19</v>
      </c>
      <c r="BL57" s="39">
        <v>87</v>
      </c>
      <c r="BM57" s="41">
        <v>150</v>
      </c>
      <c r="BN57" s="41">
        <v>188</v>
      </c>
      <c r="BO57" s="41">
        <v>171</v>
      </c>
      <c r="BP57" s="41">
        <v>171</v>
      </c>
      <c r="BQ57" s="39">
        <v>132</v>
      </c>
      <c r="BR57" s="41">
        <v>180</v>
      </c>
      <c r="BS57" s="41">
        <v>186</v>
      </c>
      <c r="BT57" s="67" t="s">
        <v>29</v>
      </c>
      <c r="BY57" s="23"/>
      <c r="BZ57" s="23"/>
      <c r="CA57" s="23"/>
      <c r="CB57" s="23"/>
    </row>
    <row r="58" spans="1:80" ht="23.25" customHeight="1" x14ac:dyDescent="0.4">
      <c r="A58" s="36" t="s">
        <v>30</v>
      </c>
      <c r="B58" s="36"/>
      <c r="C58" s="37">
        <v>151</v>
      </c>
      <c r="D58" s="37">
        <v>170</v>
      </c>
      <c r="E58" s="37">
        <v>203</v>
      </c>
      <c r="F58" s="38">
        <v>147</v>
      </c>
      <c r="G58" s="39">
        <v>179</v>
      </c>
      <c r="H58" s="40">
        <v>202</v>
      </c>
      <c r="I58" s="41">
        <v>241</v>
      </c>
      <c r="J58" s="41">
        <v>204</v>
      </c>
      <c r="K58" s="41">
        <v>226</v>
      </c>
      <c r="L58" s="42">
        <v>354</v>
      </c>
      <c r="M58" s="42">
        <v>282</v>
      </c>
      <c r="N58" s="42">
        <v>390</v>
      </c>
      <c r="O58" s="41">
        <v>374</v>
      </c>
      <c r="P58" s="39">
        <v>334</v>
      </c>
      <c r="Q58" s="41">
        <v>458</v>
      </c>
      <c r="R58" s="41">
        <v>142</v>
      </c>
      <c r="S58" s="41">
        <v>129</v>
      </c>
      <c r="T58" s="41">
        <v>199</v>
      </c>
      <c r="U58" s="41">
        <v>160</v>
      </c>
      <c r="V58" s="41">
        <v>144</v>
      </c>
      <c r="W58" s="41">
        <v>84</v>
      </c>
      <c r="X58" s="41">
        <v>253</v>
      </c>
      <c r="Y58" s="41">
        <v>410</v>
      </c>
      <c r="Z58" s="41">
        <v>390</v>
      </c>
      <c r="AA58" s="44">
        <v>348</v>
      </c>
      <c r="AB58" s="41">
        <v>224</v>
      </c>
      <c r="AC58" s="41">
        <v>162</v>
      </c>
      <c r="AD58" s="41">
        <v>177</v>
      </c>
      <c r="AE58" s="41">
        <v>275</v>
      </c>
      <c r="AF58" s="41">
        <v>325</v>
      </c>
      <c r="AG58" s="41">
        <v>415</v>
      </c>
      <c r="AH58" s="41">
        <v>133</v>
      </c>
      <c r="AI58" s="41">
        <v>148</v>
      </c>
      <c r="AJ58" s="41">
        <v>173</v>
      </c>
      <c r="AK58" s="41">
        <v>375</v>
      </c>
      <c r="AL58" s="39">
        <v>304</v>
      </c>
      <c r="AM58" s="41">
        <v>298</v>
      </c>
      <c r="AN58" s="41">
        <v>365</v>
      </c>
      <c r="AO58" s="41">
        <v>383</v>
      </c>
      <c r="AP58" s="41">
        <v>49</v>
      </c>
      <c r="AQ58" s="41">
        <v>365</v>
      </c>
      <c r="AR58" s="41">
        <v>349</v>
      </c>
      <c r="AS58" s="41">
        <v>309</v>
      </c>
      <c r="AT58" s="39">
        <v>319</v>
      </c>
      <c r="AU58" s="41">
        <v>324</v>
      </c>
      <c r="AV58" s="41">
        <v>159</v>
      </c>
      <c r="AW58" s="41">
        <v>370</v>
      </c>
      <c r="AX58" s="41">
        <v>379</v>
      </c>
      <c r="AY58" s="41">
        <v>374</v>
      </c>
      <c r="AZ58" s="41">
        <v>169</v>
      </c>
      <c r="BA58" s="39">
        <v>164</v>
      </c>
      <c r="BB58" s="41">
        <v>160</v>
      </c>
      <c r="BC58" s="41">
        <v>170</v>
      </c>
      <c r="BD58" s="41">
        <v>159</v>
      </c>
      <c r="BE58" s="41">
        <v>177</v>
      </c>
      <c r="BF58" s="41">
        <v>50</v>
      </c>
      <c r="BG58" s="39">
        <v>30</v>
      </c>
      <c r="BH58" s="41">
        <v>22</v>
      </c>
      <c r="BI58" s="41">
        <v>21</v>
      </c>
      <c r="BJ58" s="41">
        <v>24</v>
      </c>
      <c r="BK58" s="44">
        <v>17</v>
      </c>
      <c r="BL58" s="39">
        <v>127</v>
      </c>
      <c r="BM58" s="41">
        <v>132</v>
      </c>
      <c r="BN58" s="41">
        <v>164</v>
      </c>
      <c r="BO58" s="41">
        <v>156</v>
      </c>
      <c r="BP58" s="41">
        <v>168</v>
      </c>
      <c r="BQ58" s="39">
        <v>178</v>
      </c>
      <c r="BR58" s="41">
        <v>175</v>
      </c>
      <c r="BS58" s="41">
        <v>210</v>
      </c>
      <c r="BT58" s="67" t="s">
        <v>31</v>
      </c>
    </row>
    <row r="59" spans="1:80" ht="23.25" customHeight="1" x14ac:dyDescent="0.4">
      <c r="A59" s="45" t="s">
        <v>32</v>
      </c>
      <c r="B59" s="45"/>
      <c r="C59" s="46">
        <v>134</v>
      </c>
      <c r="D59" s="46">
        <v>174</v>
      </c>
      <c r="E59" s="46">
        <v>220</v>
      </c>
      <c r="F59" s="47">
        <v>162</v>
      </c>
      <c r="G59" s="48">
        <v>199</v>
      </c>
      <c r="H59" s="49">
        <v>181</v>
      </c>
      <c r="I59" s="50">
        <v>267</v>
      </c>
      <c r="J59" s="50">
        <v>212</v>
      </c>
      <c r="K59" s="50">
        <v>205</v>
      </c>
      <c r="L59" s="51">
        <v>330</v>
      </c>
      <c r="M59" s="51">
        <v>368</v>
      </c>
      <c r="N59" s="51">
        <v>371</v>
      </c>
      <c r="O59" s="50">
        <v>398</v>
      </c>
      <c r="P59" s="48">
        <v>406</v>
      </c>
      <c r="Q59" s="50">
        <v>458</v>
      </c>
      <c r="R59" s="50">
        <v>121</v>
      </c>
      <c r="S59" s="50">
        <v>105</v>
      </c>
      <c r="T59" s="50">
        <v>170</v>
      </c>
      <c r="U59" s="50">
        <v>162</v>
      </c>
      <c r="V59" s="50">
        <v>114</v>
      </c>
      <c r="W59" s="50">
        <v>82</v>
      </c>
      <c r="X59" s="50">
        <v>222</v>
      </c>
      <c r="Y59" s="50">
        <v>418</v>
      </c>
      <c r="Z59" s="50">
        <v>390</v>
      </c>
      <c r="AA59" s="52">
        <v>412</v>
      </c>
      <c r="AB59" s="50">
        <v>220</v>
      </c>
      <c r="AC59" s="50">
        <v>216</v>
      </c>
      <c r="AD59" s="50">
        <v>195</v>
      </c>
      <c r="AE59" s="50">
        <v>308</v>
      </c>
      <c r="AF59" s="50">
        <v>350</v>
      </c>
      <c r="AG59" s="50">
        <v>405</v>
      </c>
      <c r="AH59" s="50">
        <v>167</v>
      </c>
      <c r="AI59" s="50">
        <v>268</v>
      </c>
      <c r="AJ59" s="50">
        <v>217</v>
      </c>
      <c r="AK59" s="50">
        <v>394</v>
      </c>
      <c r="AL59" s="48">
        <v>314</v>
      </c>
      <c r="AM59" s="50">
        <v>316</v>
      </c>
      <c r="AN59" s="50">
        <v>399</v>
      </c>
      <c r="AO59" s="50">
        <v>410</v>
      </c>
      <c r="AP59" s="50">
        <v>94</v>
      </c>
      <c r="AQ59" s="50">
        <v>369</v>
      </c>
      <c r="AR59" s="50">
        <v>346</v>
      </c>
      <c r="AS59" s="50">
        <v>329</v>
      </c>
      <c r="AT59" s="48">
        <v>327</v>
      </c>
      <c r="AU59" s="50">
        <v>329</v>
      </c>
      <c r="AV59" s="50">
        <v>170</v>
      </c>
      <c r="AW59" s="50">
        <v>385</v>
      </c>
      <c r="AX59" s="50">
        <v>387</v>
      </c>
      <c r="AY59" s="50">
        <v>453</v>
      </c>
      <c r="AZ59" s="50">
        <v>178</v>
      </c>
      <c r="BA59" s="48">
        <v>178</v>
      </c>
      <c r="BB59" s="50">
        <v>169</v>
      </c>
      <c r="BC59" s="50">
        <v>180</v>
      </c>
      <c r="BD59" s="50">
        <v>171</v>
      </c>
      <c r="BE59" s="50">
        <v>255</v>
      </c>
      <c r="BF59" s="50">
        <v>39</v>
      </c>
      <c r="BG59" s="48">
        <v>30</v>
      </c>
      <c r="BH59" s="50">
        <v>24</v>
      </c>
      <c r="BI59" s="50">
        <v>23</v>
      </c>
      <c r="BJ59" s="50">
        <v>22</v>
      </c>
      <c r="BK59" s="52">
        <v>15</v>
      </c>
      <c r="BL59" s="48">
        <v>124</v>
      </c>
      <c r="BM59" s="50">
        <v>131</v>
      </c>
      <c r="BN59" s="50">
        <v>169</v>
      </c>
      <c r="BO59" s="50">
        <v>158</v>
      </c>
      <c r="BP59" s="50">
        <v>161</v>
      </c>
      <c r="BQ59" s="48">
        <v>178</v>
      </c>
      <c r="BR59" s="50">
        <v>171</v>
      </c>
      <c r="BS59" s="50">
        <v>212</v>
      </c>
      <c r="BT59" s="68" t="s">
        <v>33</v>
      </c>
    </row>
    <row r="60" spans="1:80" ht="18.75" x14ac:dyDescent="0.25">
      <c r="A60" s="6" t="s">
        <v>6</v>
      </c>
      <c r="B60" s="6"/>
      <c r="C60" s="7"/>
      <c r="D60" s="7"/>
      <c r="E60" s="7"/>
      <c r="F60" s="7"/>
      <c r="G60" s="7"/>
      <c r="H60" s="7"/>
      <c r="I60" s="7"/>
      <c r="J60" s="7"/>
      <c r="K60" s="7"/>
      <c r="BT60" s="8" t="s">
        <v>7</v>
      </c>
      <c r="BX60" s="16"/>
      <c r="BY60" s="23"/>
      <c r="BZ60" s="23"/>
      <c r="CA60" s="23"/>
      <c r="CB60" s="23"/>
    </row>
  </sheetData>
  <mergeCells count="42">
    <mergeCell ref="BT44:BT46"/>
    <mergeCell ref="G45:K45"/>
    <mergeCell ref="P45:AA45"/>
    <mergeCell ref="AC45:AJ45"/>
    <mergeCell ref="AL45:AR45"/>
    <mergeCell ref="AT45:AX45"/>
    <mergeCell ref="BA45:BE45"/>
    <mergeCell ref="BG45:BK45"/>
    <mergeCell ref="BL45:BP45"/>
    <mergeCell ref="BQ45:BS45"/>
    <mergeCell ref="AT44:AX44"/>
    <mergeCell ref="BA44:BE44"/>
    <mergeCell ref="BG44:BK44"/>
    <mergeCell ref="BL44:BP44"/>
    <mergeCell ref="BQ44:BS44"/>
    <mergeCell ref="A44:A46"/>
    <mergeCell ref="G44:K44"/>
    <mergeCell ref="P44:AA44"/>
    <mergeCell ref="AC44:AJ44"/>
    <mergeCell ref="AL44:AR44"/>
    <mergeCell ref="A1:AB1"/>
    <mergeCell ref="A2:AB2"/>
    <mergeCell ref="A4:A7"/>
    <mergeCell ref="B4:C4"/>
    <mergeCell ref="E4:F4"/>
    <mergeCell ref="H4:I4"/>
    <mergeCell ref="K4:L4"/>
    <mergeCell ref="N4:O4"/>
    <mergeCell ref="Q4:R4"/>
    <mergeCell ref="T4:U4"/>
    <mergeCell ref="B5:C5"/>
    <mergeCell ref="E5:F5"/>
    <mergeCell ref="H5:I5"/>
    <mergeCell ref="K5:L5"/>
    <mergeCell ref="AB4:AB7"/>
    <mergeCell ref="N5:O5"/>
    <mergeCell ref="W5:X5"/>
    <mergeCell ref="Z5:AA5"/>
    <mergeCell ref="W4:X4"/>
    <mergeCell ref="Z4:AA4"/>
    <mergeCell ref="Q5:R5"/>
    <mergeCell ref="T5:U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</sheetPr>
  <dimension ref="A1:EA54"/>
  <sheetViews>
    <sheetView tabSelected="1" zoomScale="98" zoomScaleNormal="98" workbookViewId="0">
      <selection activeCell="AB35" sqref="AB35"/>
    </sheetView>
  </sheetViews>
  <sheetFormatPr defaultColWidth="9.140625" defaultRowHeight="15" x14ac:dyDescent="0.25"/>
  <cols>
    <col min="1" max="1" width="10.85546875" style="1" customWidth="1"/>
    <col min="2" max="2" width="2.5703125" style="1" customWidth="1"/>
    <col min="3" max="4" width="8.28515625" style="1" hidden="1" customWidth="1"/>
    <col min="5" max="6" width="8.140625" style="1" hidden="1" customWidth="1"/>
    <col min="7" max="15" width="8.140625" style="1" customWidth="1"/>
    <col min="16" max="19" width="8.28515625" style="1" hidden="1" customWidth="1"/>
    <col min="20" max="28" width="8.28515625" style="1" customWidth="1"/>
    <col min="29" max="31" width="8.28515625" style="1" hidden="1" customWidth="1"/>
    <col min="32" max="32" width="7.85546875" style="1" hidden="1" customWidth="1"/>
    <col min="33" max="34" width="7.85546875" style="1" customWidth="1"/>
    <col min="35" max="36" width="7.7109375" style="1" customWidth="1"/>
    <col min="37" max="37" width="7.140625" style="1" customWidth="1"/>
    <col min="38" max="41" width="7.7109375" style="1" customWidth="1"/>
    <col min="42" max="45" width="7.7109375" style="1" hidden="1" customWidth="1"/>
    <col min="46" max="54" width="7.7109375" style="1" customWidth="1"/>
    <col min="55" max="57" width="7" style="1" hidden="1" customWidth="1"/>
    <col min="58" max="66" width="7" style="1" customWidth="1"/>
    <col min="67" max="67" width="8.28515625" style="1" hidden="1" customWidth="1"/>
    <col min="68" max="76" width="8.28515625" style="1" customWidth="1"/>
    <col min="77" max="77" width="8.28515625" style="1" hidden="1" customWidth="1"/>
    <col min="78" max="95" width="8.28515625" style="1" customWidth="1"/>
    <col min="96" max="121" width="9.85546875" style="1" customWidth="1"/>
    <col min="122" max="122" width="14.7109375" style="1" bestFit="1" customWidth="1"/>
    <col min="123" max="123" width="12.28515625" style="1" customWidth="1"/>
    <col min="124" max="124" width="19" style="1" customWidth="1"/>
    <col min="125" max="125" width="45.28515625" style="1" customWidth="1"/>
    <col min="126" max="16384" width="9.140625" style="1"/>
  </cols>
  <sheetData>
    <row r="1" spans="1:131" ht="19.5" x14ac:dyDescent="0.25">
      <c r="A1" s="164" t="s">
        <v>76</v>
      </c>
      <c r="B1" s="164"/>
      <c r="C1" s="164"/>
      <c r="D1" s="164"/>
      <c r="E1" s="164"/>
      <c r="F1" s="164"/>
      <c r="G1" s="164"/>
      <c r="H1" s="164"/>
      <c r="I1" s="164"/>
      <c r="J1" s="164"/>
      <c r="K1" s="164"/>
      <c r="L1" s="164"/>
      <c r="M1" s="164"/>
      <c r="N1" s="164"/>
      <c r="O1" s="164"/>
      <c r="P1" s="164"/>
      <c r="Q1" s="164"/>
      <c r="R1" s="164"/>
      <c r="S1" s="164"/>
      <c r="T1" s="164"/>
      <c r="U1" s="164"/>
      <c r="V1" s="164"/>
      <c r="W1" s="164"/>
      <c r="X1" s="164"/>
      <c r="Y1" s="164"/>
      <c r="Z1" s="164"/>
      <c r="AA1" s="164"/>
      <c r="AB1" s="164"/>
      <c r="AC1" s="164"/>
      <c r="AD1" s="164"/>
      <c r="AE1" s="164"/>
      <c r="AF1" s="164"/>
      <c r="AG1" s="164"/>
      <c r="AH1" s="164"/>
      <c r="AI1" s="164"/>
      <c r="AJ1" s="164"/>
      <c r="AK1" s="164"/>
      <c r="AL1" s="164"/>
      <c r="AM1" s="164"/>
      <c r="AN1" s="164"/>
      <c r="AO1" s="164"/>
      <c r="AP1" s="164"/>
      <c r="AQ1" s="164"/>
      <c r="AR1" s="164"/>
      <c r="AS1" s="164"/>
      <c r="AT1" s="164"/>
      <c r="AU1" s="164"/>
      <c r="AV1" s="164"/>
      <c r="AW1" s="164"/>
      <c r="AX1" s="164"/>
      <c r="AY1" s="164"/>
      <c r="AZ1" s="164"/>
      <c r="BA1" s="164"/>
      <c r="BB1" s="164"/>
      <c r="BC1" s="164"/>
      <c r="BD1" s="164"/>
      <c r="BE1" s="164"/>
      <c r="BF1" s="164"/>
      <c r="BG1" s="164"/>
      <c r="BH1" s="164"/>
      <c r="BI1" s="164"/>
      <c r="BJ1" s="164"/>
      <c r="BK1" s="164"/>
      <c r="BL1" s="164"/>
      <c r="BM1" s="164"/>
      <c r="BN1" s="164"/>
      <c r="BO1" s="164"/>
      <c r="BP1" s="164"/>
      <c r="BQ1" s="164"/>
      <c r="BR1" s="164"/>
      <c r="BS1" s="164"/>
      <c r="BT1" s="164"/>
      <c r="BU1" s="164"/>
      <c r="BV1" s="164"/>
      <c r="BW1" s="164"/>
      <c r="BX1" s="164"/>
      <c r="BY1" s="164"/>
      <c r="BZ1" s="164"/>
      <c r="CA1" s="164"/>
      <c r="CB1" s="164"/>
      <c r="CC1" s="164"/>
      <c r="CD1" s="164"/>
      <c r="CE1" s="164"/>
      <c r="CF1" s="164"/>
      <c r="CG1" s="164"/>
      <c r="CH1" s="164"/>
      <c r="CI1" s="164"/>
      <c r="CJ1" s="164"/>
      <c r="CK1" s="164"/>
      <c r="CL1" s="164"/>
      <c r="CM1" s="164"/>
      <c r="CN1" s="164"/>
      <c r="CO1" s="164"/>
      <c r="CP1" s="164"/>
      <c r="CQ1" s="164"/>
      <c r="CR1" s="164"/>
      <c r="CS1" s="164"/>
      <c r="CT1" s="164"/>
      <c r="CU1" s="164"/>
      <c r="CV1" s="164"/>
      <c r="CW1" s="164"/>
      <c r="CX1" s="164"/>
      <c r="CY1" s="164"/>
      <c r="CZ1" s="164"/>
      <c r="DA1" s="164"/>
      <c r="DB1" s="164"/>
      <c r="DC1" s="164"/>
      <c r="DD1" s="164"/>
      <c r="DE1" s="164"/>
      <c r="DF1" s="164"/>
      <c r="DG1" s="164"/>
      <c r="DH1" s="164"/>
      <c r="DI1" s="164"/>
      <c r="DJ1" s="164"/>
      <c r="DK1" s="164"/>
      <c r="DL1" s="164"/>
      <c r="DM1" s="164"/>
      <c r="DN1" s="164"/>
      <c r="DO1" s="164"/>
      <c r="DP1" s="164"/>
      <c r="DQ1" s="164"/>
      <c r="DR1" s="164"/>
      <c r="DS1" s="164"/>
      <c r="DT1" s="21"/>
      <c r="DU1" s="21"/>
    </row>
    <row r="2" spans="1:131" ht="15" customHeight="1" x14ac:dyDescent="0.25">
      <c r="A2" s="165" t="s">
        <v>75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P2" s="165"/>
      <c r="Q2" s="165"/>
      <c r="R2" s="165"/>
      <c r="S2" s="165"/>
      <c r="T2" s="165"/>
      <c r="U2" s="165"/>
      <c r="V2" s="165"/>
      <c r="W2" s="165"/>
      <c r="X2" s="165"/>
      <c r="Y2" s="165"/>
      <c r="Z2" s="165"/>
      <c r="AA2" s="165"/>
      <c r="AB2" s="165"/>
      <c r="AC2" s="165"/>
      <c r="AD2" s="165"/>
      <c r="AE2" s="165"/>
      <c r="AF2" s="165"/>
      <c r="AG2" s="165"/>
      <c r="AH2" s="165"/>
      <c r="AI2" s="165"/>
      <c r="AJ2" s="165"/>
      <c r="AK2" s="165"/>
      <c r="AL2" s="165"/>
      <c r="AM2" s="165"/>
      <c r="AN2" s="165"/>
      <c r="AO2" s="165"/>
      <c r="AP2" s="165"/>
      <c r="AQ2" s="165"/>
      <c r="AR2" s="165"/>
      <c r="AS2" s="165"/>
      <c r="AT2" s="165"/>
      <c r="AU2" s="165"/>
      <c r="AV2" s="165"/>
      <c r="AW2" s="165"/>
      <c r="AX2" s="165"/>
      <c r="AY2" s="165"/>
      <c r="AZ2" s="165"/>
      <c r="BA2" s="165"/>
      <c r="BB2" s="165"/>
      <c r="BC2" s="165"/>
      <c r="BD2" s="165"/>
      <c r="BE2" s="165"/>
      <c r="BF2" s="165"/>
      <c r="BG2" s="165"/>
      <c r="BH2" s="165"/>
      <c r="BI2" s="165"/>
      <c r="BJ2" s="165"/>
      <c r="BK2" s="165"/>
      <c r="BL2" s="165"/>
      <c r="BM2" s="165"/>
      <c r="BN2" s="165"/>
      <c r="BO2" s="165"/>
      <c r="BP2" s="165"/>
      <c r="BQ2" s="165"/>
      <c r="BR2" s="165"/>
      <c r="BS2" s="165"/>
      <c r="BT2" s="165"/>
      <c r="BU2" s="165"/>
      <c r="BV2" s="165"/>
      <c r="BW2" s="165"/>
      <c r="BX2" s="165"/>
      <c r="BY2" s="165"/>
      <c r="BZ2" s="165"/>
      <c r="CA2" s="165"/>
      <c r="CB2" s="165"/>
      <c r="CC2" s="165"/>
      <c r="CD2" s="165"/>
      <c r="CE2" s="165"/>
      <c r="CF2" s="165"/>
      <c r="CG2" s="165"/>
      <c r="CH2" s="165"/>
      <c r="CI2" s="165"/>
      <c r="CJ2" s="165"/>
      <c r="CK2" s="165"/>
      <c r="CL2" s="165"/>
      <c r="CM2" s="165"/>
      <c r="CN2" s="165"/>
      <c r="CO2" s="165"/>
      <c r="CP2" s="165"/>
      <c r="CQ2" s="165"/>
      <c r="CR2" s="165"/>
      <c r="CS2" s="165"/>
      <c r="CT2" s="165"/>
      <c r="CU2" s="165"/>
      <c r="CV2" s="165"/>
      <c r="CW2" s="165"/>
      <c r="CX2" s="165"/>
      <c r="CY2" s="165"/>
      <c r="CZ2" s="165"/>
      <c r="DA2" s="165"/>
      <c r="DB2" s="165"/>
      <c r="DC2" s="165"/>
      <c r="DD2" s="165"/>
      <c r="DE2" s="165"/>
      <c r="DF2" s="165"/>
      <c r="DG2" s="165"/>
      <c r="DH2" s="165"/>
      <c r="DI2" s="165"/>
      <c r="DJ2" s="165"/>
      <c r="DK2" s="165"/>
      <c r="DL2" s="165"/>
      <c r="DM2" s="165"/>
      <c r="DN2" s="165"/>
      <c r="DO2" s="165"/>
      <c r="DP2" s="165"/>
      <c r="DQ2" s="165"/>
      <c r="DR2" s="165"/>
      <c r="DS2" s="165"/>
      <c r="DT2" s="3"/>
      <c r="DU2" s="3"/>
    </row>
    <row r="3" spans="1:131" ht="7.5" customHeight="1" x14ac:dyDescent="0.25">
      <c r="A3" s="22"/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</row>
    <row r="4" spans="1:131" s="75" customFormat="1" ht="21.75" customHeight="1" x14ac:dyDescent="0.55000000000000004">
      <c r="A4" s="131" t="s">
        <v>8</v>
      </c>
      <c r="B4" s="74"/>
      <c r="C4" s="174" t="s">
        <v>34</v>
      </c>
      <c r="D4" s="161"/>
      <c r="E4" s="161"/>
      <c r="F4" s="161"/>
      <c r="G4" s="161"/>
      <c r="H4" s="161"/>
      <c r="I4" s="161"/>
      <c r="J4" s="161"/>
      <c r="K4" s="161"/>
      <c r="L4" s="161"/>
      <c r="M4" s="161"/>
      <c r="N4" s="161"/>
      <c r="O4" s="162"/>
      <c r="P4" s="161" t="s">
        <v>35</v>
      </c>
      <c r="Q4" s="161"/>
      <c r="R4" s="161"/>
      <c r="S4" s="161"/>
      <c r="T4" s="161"/>
      <c r="U4" s="161"/>
      <c r="V4" s="161"/>
      <c r="W4" s="161"/>
      <c r="X4" s="161"/>
      <c r="Y4" s="161"/>
      <c r="Z4" s="161"/>
      <c r="AA4" s="161"/>
      <c r="AB4" s="162"/>
      <c r="AC4" s="168" t="s">
        <v>36</v>
      </c>
      <c r="AD4" s="140"/>
      <c r="AE4" s="140"/>
      <c r="AF4" s="140"/>
      <c r="AG4" s="140"/>
      <c r="AH4" s="140"/>
      <c r="AI4" s="140"/>
      <c r="AJ4" s="140"/>
      <c r="AK4" s="140"/>
      <c r="AL4" s="140"/>
      <c r="AM4" s="140"/>
      <c r="AN4" s="140"/>
      <c r="AO4" s="169"/>
      <c r="AP4" s="168" t="s">
        <v>37</v>
      </c>
      <c r="AQ4" s="140"/>
      <c r="AR4" s="140"/>
      <c r="AS4" s="140"/>
      <c r="AT4" s="140"/>
      <c r="AU4" s="140"/>
      <c r="AV4" s="140"/>
      <c r="AW4" s="140"/>
      <c r="AX4" s="140"/>
      <c r="AY4" s="140"/>
      <c r="AZ4" s="140"/>
      <c r="BA4" s="140"/>
      <c r="BB4" s="140"/>
      <c r="BC4" s="139" t="s">
        <v>38</v>
      </c>
      <c r="BD4" s="140"/>
      <c r="BE4" s="140"/>
      <c r="BF4" s="140"/>
      <c r="BG4" s="140"/>
      <c r="BH4" s="140"/>
      <c r="BI4" s="140"/>
      <c r="BJ4" s="140"/>
      <c r="BK4" s="140"/>
      <c r="BL4" s="140"/>
      <c r="BM4" s="140"/>
      <c r="BN4" s="140"/>
      <c r="BO4" s="139" t="s">
        <v>39</v>
      </c>
      <c r="BP4" s="140"/>
      <c r="BQ4" s="140"/>
      <c r="BR4" s="140"/>
      <c r="BS4" s="140"/>
      <c r="BT4" s="140"/>
      <c r="BU4" s="140"/>
      <c r="BV4" s="140"/>
      <c r="BW4" s="140"/>
      <c r="BX4" s="157"/>
      <c r="BY4" s="71"/>
      <c r="BZ4" s="139" t="s">
        <v>40</v>
      </c>
      <c r="CA4" s="140"/>
      <c r="CB4" s="140"/>
      <c r="CC4" s="140"/>
      <c r="CD4" s="140"/>
      <c r="CE4" s="140"/>
      <c r="CF4" s="140"/>
      <c r="CG4" s="140"/>
      <c r="CH4" s="157"/>
      <c r="CI4" s="139" t="s">
        <v>41</v>
      </c>
      <c r="CJ4" s="140"/>
      <c r="CK4" s="140"/>
      <c r="CL4" s="140"/>
      <c r="CM4" s="140"/>
      <c r="CN4" s="140"/>
      <c r="CO4" s="140"/>
      <c r="CP4" s="140"/>
      <c r="CQ4" s="157"/>
      <c r="CR4" s="139" t="s">
        <v>42</v>
      </c>
      <c r="CS4" s="140"/>
      <c r="CT4" s="140"/>
      <c r="CU4" s="140"/>
      <c r="CV4" s="140"/>
      <c r="CW4" s="140"/>
      <c r="CX4" s="140"/>
      <c r="CY4" s="139"/>
      <c r="CZ4" s="140"/>
      <c r="DA4" s="140"/>
      <c r="DB4" s="140"/>
      <c r="DC4" s="139"/>
      <c r="DD4" s="140"/>
      <c r="DE4" s="140"/>
      <c r="DF4" s="140"/>
      <c r="DG4" s="139"/>
      <c r="DH4" s="140"/>
      <c r="DI4" s="140"/>
      <c r="DJ4" s="140"/>
      <c r="DK4" s="157"/>
      <c r="DL4" s="140"/>
      <c r="DM4" s="140"/>
      <c r="DN4" s="140"/>
      <c r="DO4" s="119"/>
      <c r="DP4" s="84"/>
      <c r="DQ4" s="84"/>
      <c r="DR4" s="84"/>
      <c r="DS4" s="141" t="s">
        <v>9</v>
      </c>
    </row>
    <row r="5" spans="1:131" s="76" customFormat="1" ht="16.5" customHeight="1" x14ac:dyDescent="0.25">
      <c r="A5" s="132"/>
      <c r="B5" s="114"/>
      <c r="C5" s="173" t="s">
        <v>43</v>
      </c>
      <c r="D5" s="152"/>
      <c r="E5" s="152"/>
      <c r="F5" s="152"/>
      <c r="G5" s="152"/>
      <c r="H5" s="152"/>
      <c r="I5" s="152"/>
      <c r="J5" s="152"/>
      <c r="K5" s="152"/>
      <c r="L5" s="152"/>
      <c r="M5" s="152"/>
      <c r="N5" s="152"/>
      <c r="O5" s="163"/>
      <c r="P5" s="152" t="s">
        <v>44</v>
      </c>
      <c r="Q5" s="152"/>
      <c r="R5" s="152"/>
      <c r="S5" s="152"/>
      <c r="T5" s="152"/>
      <c r="U5" s="152"/>
      <c r="V5" s="152"/>
      <c r="W5" s="152"/>
      <c r="X5" s="152"/>
      <c r="Y5" s="152"/>
      <c r="Z5" s="152"/>
      <c r="AA5" s="152"/>
      <c r="AB5" s="163"/>
      <c r="AC5" s="170" t="s">
        <v>61</v>
      </c>
      <c r="AD5" s="150"/>
      <c r="AE5" s="150"/>
      <c r="AF5" s="150"/>
      <c r="AG5" s="150"/>
      <c r="AH5" s="150"/>
      <c r="AI5" s="150"/>
      <c r="AJ5" s="150"/>
      <c r="AK5" s="150"/>
      <c r="AL5" s="150"/>
      <c r="AM5" s="150"/>
      <c r="AN5" s="150"/>
      <c r="AO5" s="171"/>
      <c r="AP5" s="172" t="s">
        <v>62</v>
      </c>
      <c r="AQ5" s="152"/>
      <c r="AR5" s="152"/>
      <c r="AS5" s="152"/>
      <c r="AT5" s="152"/>
      <c r="AU5" s="152"/>
      <c r="AV5" s="152"/>
      <c r="AW5" s="152"/>
      <c r="AX5" s="152"/>
      <c r="AY5" s="152"/>
      <c r="AZ5" s="152"/>
      <c r="BA5" s="152"/>
      <c r="BB5" s="152"/>
      <c r="BC5" s="151" t="s">
        <v>63</v>
      </c>
      <c r="BD5" s="152"/>
      <c r="BE5" s="152"/>
      <c r="BF5" s="152"/>
      <c r="BG5" s="152"/>
      <c r="BH5" s="152"/>
      <c r="BI5" s="152"/>
      <c r="BJ5" s="152"/>
      <c r="BK5" s="152"/>
      <c r="BL5" s="152"/>
      <c r="BM5" s="152"/>
      <c r="BN5" s="152"/>
      <c r="BO5" s="151" t="s">
        <v>64</v>
      </c>
      <c r="BP5" s="152"/>
      <c r="BQ5" s="152"/>
      <c r="BR5" s="152"/>
      <c r="BS5" s="152"/>
      <c r="BT5" s="152"/>
      <c r="BU5" s="152"/>
      <c r="BV5" s="152"/>
      <c r="BW5" s="152"/>
      <c r="BX5" s="153"/>
      <c r="BZ5" s="151" t="s">
        <v>65</v>
      </c>
      <c r="CA5" s="152"/>
      <c r="CB5" s="152"/>
      <c r="CC5" s="152"/>
      <c r="CD5" s="152"/>
      <c r="CE5" s="152"/>
      <c r="CF5" s="152"/>
      <c r="CG5" s="152"/>
      <c r="CH5" s="153"/>
      <c r="CI5" s="151" t="s">
        <v>66</v>
      </c>
      <c r="CJ5" s="152"/>
      <c r="CK5" s="152"/>
      <c r="CL5" s="152"/>
      <c r="CM5" s="152"/>
      <c r="CN5" s="152"/>
      <c r="CO5" s="152"/>
      <c r="CP5" s="152"/>
      <c r="CQ5" s="153"/>
      <c r="CR5" s="151" t="s">
        <v>67</v>
      </c>
      <c r="CS5" s="152"/>
      <c r="CT5" s="152"/>
      <c r="CU5" s="152"/>
      <c r="CV5" s="152"/>
      <c r="CW5" s="152"/>
      <c r="CX5" s="152"/>
      <c r="CY5" s="151" t="s">
        <v>70</v>
      </c>
      <c r="CZ5" s="152"/>
      <c r="DA5" s="152"/>
      <c r="DB5" s="152"/>
      <c r="DC5" s="151" t="s">
        <v>71</v>
      </c>
      <c r="DD5" s="152"/>
      <c r="DE5" s="152"/>
      <c r="DF5" s="152"/>
      <c r="DG5" s="151" t="s">
        <v>72</v>
      </c>
      <c r="DH5" s="152"/>
      <c r="DI5" s="152"/>
      <c r="DJ5" s="152"/>
      <c r="DK5" s="153"/>
      <c r="DL5" s="152" t="s">
        <v>73</v>
      </c>
      <c r="DM5" s="152"/>
      <c r="DN5" s="152"/>
      <c r="DO5" s="118"/>
      <c r="DP5" s="115" t="s">
        <v>74</v>
      </c>
      <c r="DQ5" s="115" t="s">
        <v>74</v>
      </c>
      <c r="DR5" s="115" t="s">
        <v>77</v>
      </c>
      <c r="DS5" s="142"/>
    </row>
    <row r="6" spans="1:131" ht="23.25" customHeight="1" x14ac:dyDescent="0.25">
      <c r="A6" s="133"/>
      <c r="B6" s="111"/>
      <c r="C6" s="104">
        <v>2011</v>
      </c>
      <c r="D6" s="64">
        <v>2012</v>
      </c>
      <c r="E6" s="25">
        <v>2013</v>
      </c>
      <c r="F6" s="25">
        <v>2014</v>
      </c>
      <c r="G6" s="25">
        <v>2015</v>
      </c>
      <c r="H6" s="25">
        <v>2016</v>
      </c>
      <c r="I6" s="25">
        <v>2017</v>
      </c>
      <c r="J6" s="25">
        <v>2018</v>
      </c>
      <c r="K6" s="25">
        <v>2019</v>
      </c>
      <c r="L6" s="25">
        <v>2020</v>
      </c>
      <c r="M6" s="25">
        <v>2021</v>
      </c>
      <c r="N6" s="25">
        <v>2022</v>
      </c>
      <c r="O6" s="100">
        <v>2023</v>
      </c>
      <c r="P6" s="64">
        <v>2011</v>
      </c>
      <c r="Q6" s="64">
        <v>2012</v>
      </c>
      <c r="R6" s="25">
        <v>2013</v>
      </c>
      <c r="S6" s="25">
        <v>2014</v>
      </c>
      <c r="T6" s="25">
        <v>2015</v>
      </c>
      <c r="U6" s="25">
        <v>2016</v>
      </c>
      <c r="V6" s="25">
        <v>2017</v>
      </c>
      <c r="W6" s="25">
        <v>2018</v>
      </c>
      <c r="X6" s="25">
        <v>2019</v>
      </c>
      <c r="Y6" s="25">
        <v>2020</v>
      </c>
      <c r="Z6" s="25">
        <v>2021</v>
      </c>
      <c r="AA6" s="25">
        <v>2022</v>
      </c>
      <c r="AB6" s="100">
        <v>2023</v>
      </c>
      <c r="AC6" s="102">
        <v>2011</v>
      </c>
      <c r="AD6" s="25">
        <v>2012</v>
      </c>
      <c r="AE6" s="25">
        <v>2013</v>
      </c>
      <c r="AF6" s="25">
        <v>2014</v>
      </c>
      <c r="AG6" s="25">
        <v>2015</v>
      </c>
      <c r="AH6" s="25">
        <v>2016</v>
      </c>
      <c r="AI6" s="25">
        <v>2017</v>
      </c>
      <c r="AJ6" s="25">
        <v>2018</v>
      </c>
      <c r="AK6" s="25">
        <v>2019</v>
      </c>
      <c r="AL6" s="25">
        <v>2020</v>
      </c>
      <c r="AM6" s="25">
        <v>2021</v>
      </c>
      <c r="AN6" s="25">
        <v>2022</v>
      </c>
      <c r="AO6" s="100">
        <v>2023</v>
      </c>
      <c r="AP6" s="102">
        <v>2011</v>
      </c>
      <c r="AQ6" s="25">
        <v>2012</v>
      </c>
      <c r="AR6" s="25">
        <v>2013</v>
      </c>
      <c r="AS6" s="25">
        <v>2014</v>
      </c>
      <c r="AT6" s="25">
        <v>2015</v>
      </c>
      <c r="AU6" s="25">
        <v>2016</v>
      </c>
      <c r="AV6" s="25">
        <v>2017</v>
      </c>
      <c r="AW6" s="25">
        <v>2018</v>
      </c>
      <c r="AX6" s="25">
        <v>2019</v>
      </c>
      <c r="AY6" s="25">
        <v>2020</v>
      </c>
      <c r="AZ6" s="25">
        <v>2021</v>
      </c>
      <c r="BA6" s="25">
        <v>2022</v>
      </c>
      <c r="BB6" s="100">
        <v>2023</v>
      </c>
      <c r="BC6" s="102">
        <v>2012</v>
      </c>
      <c r="BD6" s="25">
        <v>2013</v>
      </c>
      <c r="BE6" s="25">
        <v>2014</v>
      </c>
      <c r="BF6" s="25">
        <v>2015</v>
      </c>
      <c r="BG6" s="25">
        <v>2016</v>
      </c>
      <c r="BH6" s="25">
        <v>2017</v>
      </c>
      <c r="BI6" s="25">
        <v>2018</v>
      </c>
      <c r="BJ6" s="25">
        <v>2019</v>
      </c>
      <c r="BK6" s="25">
        <v>2020</v>
      </c>
      <c r="BL6" s="25">
        <v>2021</v>
      </c>
      <c r="BM6" s="100">
        <v>2022</v>
      </c>
      <c r="BN6" s="100">
        <v>2023</v>
      </c>
      <c r="BO6" s="64">
        <v>2014</v>
      </c>
      <c r="BP6" s="64">
        <v>2015</v>
      </c>
      <c r="BQ6" s="64">
        <v>2016</v>
      </c>
      <c r="BR6" s="64">
        <v>2017</v>
      </c>
      <c r="BS6" s="64">
        <v>2018</v>
      </c>
      <c r="BT6" s="64">
        <v>2019</v>
      </c>
      <c r="BU6" s="64">
        <v>2020</v>
      </c>
      <c r="BV6" s="25">
        <v>2021</v>
      </c>
      <c r="BW6" s="100">
        <v>2022</v>
      </c>
      <c r="BX6" s="100">
        <v>2023</v>
      </c>
      <c r="BY6" s="64">
        <v>2014</v>
      </c>
      <c r="BZ6" s="24">
        <v>2015</v>
      </c>
      <c r="CA6" s="25">
        <v>2016</v>
      </c>
      <c r="CB6" s="25">
        <v>2017</v>
      </c>
      <c r="CC6" s="25">
        <v>2018</v>
      </c>
      <c r="CD6" s="25">
        <v>2019</v>
      </c>
      <c r="CE6" s="25">
        <v>2020</v>
      </c>
      <c r="CF6" s="25">
        <v>2021</v>
      </c>
      <c r="CG6" s="26">
        <v>2022</v>
      </c>
      <c r="CH6" s="100">
        <v>2023</v>
      </c>
      <c r="CI6" s="27">
        <v>2015</v>
      </c>
      <c r="CJ6" s="25">
        <v>2016</v>
      </c>
      <c r="CK6" s="25">
        <v>2017</v>
      </c>
      <c r="CL6" s="25">
        <v>2018</v>
      </c>
      <c r="CM6" s="25">
        <v>2019</v>
      </c>
      <c r="CN6" s="25">
        <v>2020</v>
      </c>
      <c r="CO6" s="25">
        <v>2021</v>
      </c>
      <c r="CP6" s="100">
        <v>2022</v>
      </c>
      <c r="CQ6" s="100">
        <v>2023</v>
      </c>
      <c r="CR6" s="27">
        <v>2017</v>
      </c>
      <c r="CS6" s="64">
        <v>2018</v>
      </c>
      <c r="CT6" s="64">
        <v>2019</v>
      </c>
      <c r="CU6" s="64">
        <v>2020</v>
      </c>
      <c r="CV6" s="64">
        <v>2021</v>
      </c>
      <c r="CW6" s="25">
        <v>2022</v>
      </c>
      <c r="CX6" s="100">
        <v>2023</v>
      </c>
      <c r="CY6" s="27">
        <v>2020</v>
      </c>
      <c r="CZ6" s="64">
        <v>2021</v>
      </c>
      <c r="DA6" s="64">
        <v>2022</v>
      </c>
      <c r="DB6" s="100">
        <v>2023</v>
      </c>
      <c r="DC6" s="27">
        <v>2020</v>
      </c>
      <c r="DD6" s="64">
        <v>2021</v>
      </c>
      <c r="DE6" s="64">
        <v>2022</v>
      </c>
      <c r="DF6" s="25">
        <v>2023</v>
      </c>
      <c r="DG6" s="27">
        <v>2019</v>
      </c>
      <c r="DH6" s="64">
        <v>2020</v>
      </c>
      <c r="DI6" s="64">
        <v>2021</v>
      </c>
      <c r="DJ6" s="25">
        <v>2022</v>
      </c>
      <c r="DK6" s="26">
        <v>2023</v>
      </c>
      <c r="DL6" s="64">
        <v>2020</v>
      </c>
      <c r="DM6" s="64">
        <v>2021</v>
      </c>
      <c r="DN6" s="25">
        <v>2022</v>
      </c>
      <c r="DO6" s="26">
        <v>2023</v>
      </c>
      <c r="DP6" s="25">
        <v>2022</v>
      </c>
      <c r="DQ6" s="25">
        <v>2023</v>
      </c>
      <c r="DR6" s="25">
        <v>2023</v>
      </c>
      <c r="DS6" s="143"/>
      <c r="DT6" s="2"/>
    </row>
    <row r="7" spans="1:131" ht="23.25" customHeight="1" x14ac:dyDescent="0.4">
      <c r="A7" s="28" t="s">
        <v>4</v>
      </c>
      <c r="B7" s="28"/>
      <c r="C7" s="30">
        <f t="shared" ref="C7:BO7" si="0">SUM(C8:C19)</f>
        <v>1542</v>
      </c>
      <c r="D7" s="33">
        <f t="shared" si="0"/>
        <v>1816</v>
      </c>
      <c r="E7" s="33">
        <f t="shared" si="0"/>
        <v>2310</v>
      </c>
      <c r="F7" s="33">
        <f t="shared" si="0"/>
        <v>2220</v>
      </c>
      <c r="G7" s="33">
        <f t="shared" si="0"/>
        <v>2088</v>
      </c>
      <c r="H7" s="33">
        <f t="shared" si="0"/>
        <v>2392</v>
      </c>
      <c r="I7" s="33">
        <f t="shared" si="0"/>
        <v>2619</v>
      </c>
      <c r="J7" s="33">
        <f t="shared" si="0"/>
        <v>2559</v>
      </c>
      <c r="K7" s="33">
        <f t="shared" si="0"/>
        <v>2583</v>
      </c>
      <c r="L7" s="33">
        <f t="shared" si="0"/>
        <v>1196</v>
      </c>
      <c r="M7" s="33">
        <f t="shared" si="0"/>
        <v>2044</v>
      </c>
      <c r="N7" s="33">
        <f t="shared" si="0"/>
        <v>2801</v>
      </c>
      <c r="O7" s="101">
        <f t="shared" si="0"/>
        <v>1808</v>
      </c>
      <c r="P7" s="33">
        <f t="shared" si="0"/>
        <v>3226</v>
      </c>
      <c r="Q7" s="33">
        <f t="shared" si="0"/>
        <v>3982</v>
      </c>
      <c r="R7" s="33">
        <f t="shared" si="0"/>
        <v>4121</v>
      </c>
      <c r="S7" s="33">
        <f t="shared" si="0"/>
        <v>4410</v>
      </c>
      <c r="T7" s="33">
        <f>SUM(T8:T19)</f>
        <v>4290</v>
      </c>
      <c r="U7" s="33">
        <f t="shared" ref="U7" si="1">SUM(U8:U19)</f>
        <v>4978</v>
      </c>
      <c r="V7" s="33">
        <f>SUM(V8:V19)</f>
        <v>5182</v>
      </c>
      <c r="W7" s="33">
        <f>SUM(W8:W19)</f>
        <v>4726</v>
      </c>
      <c r="X7" s="33">
        <f>SUM(X8:X19)</f>
        <v>4794</v>
      </c>
      <c r="Y7" s="33">
        <f t="shared" ref="Y7:AB7" si="2">SUM(Y8:Y19)</f>
        <v>1742</v>
      </c>
      <c r="Z7" s="33">
        <f t="shared" si="2"/>
        <v>3472</v>
      </c>
      <c r="AA7" s="33">
        <f t="shared" si="2"/>
        <v>4430</v>
      </c>
      <c r="AB7" s="101">
        <f t="shared" si="2"/>
        <v>3812</v>
      </c>
      <c r="AC7" s="103">
        <f>SUM(AC8:AC19)</f>
        <v>262</v>
      </c>
      <c r="AD7" s="33">
        <f>SUM(AD8:AD19)</f>
        <v>710</v>
      </c>
      <c r="AE7" s="33">
        <f>SUM(AE8:AE19)</f>
        <v>2432</v>
      </c>
      <c r="AF7" s="33">
        <f t="shared" ref="AF7" si="3">SUM(AF8:AF19)</f>
        <v>2774</v>
      </c>
      <c r="AG7" s="33">
        <f>SUM(AG8:AG19)</f>
        <v>2155</v>
      </c>
      <c r="AH7" s="33">
        <f t="shared" ref="AH7:AS7" si="4">SUM(AH8:AH19)</f>
        <v>1998</v>
      </c>
      <c r="AI7" s="33">
        <f t="shared" si="4"/>
        <v>1845</v>
      </c>
      <c r="AJ7" s="33">
        <f t="shared" si="4"/>
        <v>1835</v>
      </c>
      <c r="AK7" s="33">
        <f t="shared" si="4"/>
        <v>2485</v>
      </c>
      <c r="AL7" s="33">
        <f t="shared" si="4"/>
        <v>1438</v>
      </c>
      <c r="AM7" s="33">
        <f t="shared" si="4"/>
        <v>2201</v>
      </c>
      <c r="AN7" s="33">
        <f t="shared" si="4"/>
        <v>1805</v>
      </c>
      <c r="AO7" s="101">
        <f t="shared" si="4"/>
        <v>1710</v>
      </c>
      <c r="AP7" s="103">
        <f t="shared" si="4"/>
        <v>769</v>
      </c>
      <c r="AQ7" s="33">
        <f t="shared" si="4"/>
        <v>3315</v>
      </c>
      <c r="AR7" s="33">
        <f t="shared" si="4"/>
        <v>4519</v>
      </c>
      <c r="AS7" s="55">
        <f t="shared" si="4"/>
        <v>0</v>
      </c>
      <c r="AT7" s="55">
        <f>SUM(AT8:AT19)</f>
        <v>0</v>
      </c>
      <c r="AU7" s="55">
        <f t="shared" ref="AU7" si="5">SUM(AU8:AU19)</f>
        <v>0</v>
      </c>
      <c r="AV7" s="55">
        <f>SUM(AV8:AV19)</f>
        <v>0</v>
      </c>
      <c r="AW7" s="33">
        <f>SUM(AW8:AW19)</f>
        <v>4824</v>
      </c>
      <c r="AX7" s="33">
        <f>SUM(AX8:AX19)</f>
        <v>4798</v>
      </c>
      <c r="AY7" s="33">
        <f>SUM(AY8:AY19)</f>
        <v>1229</v>
      </c>
      <c r="AZ7" s="33">
        <f t="shared" ref="AZ7:BB7" si="6">SUM(AZ8:AZ19)</f>
        <v>2500</v>
      </c>
      <c r="BA7" s="33">
        <f t="shared" si="6"/>
        <v>3185</v>
      </c>
      <c r="BB7" s="101">
        <f t="shared" si="6"/>
        <v>2710</v>
      </c>
      <c r="BC7" s="103">
        <f t="shared" si="0"/>
        <v>173</v>
      </c>
      <c r="BD7" s="33">
        <f t="shared" si="0"/>
        <v>3515</v>
      </c>
      <c r="BE7" s="55">
        <f t="shared" si="0"/>
        <v>4248</v>
      </c>
      <c r="BF7" s="55">
        <f>SUM(BF8:BF19)</f>
        <v>3934</v>
      </c>
      <c r="BG7" s="55">
        <f t="shared" ref="BG7:BN7" si="7">SUM(BG8:BG19)</f>
        <v>3870</v>
      </c>
      <c r="BH7" s="55">
        <f t="shared" si="0"/>
        <v>4198</v>
      </c>
      <c r="BI7" s="33">
        <f t="shared" si="7"/>
        <v>4532</v>
      </c>
      <c r="BJ7" s="33">
        <f t="shared" si="7"/>
        <v>5159</v>
      </c>
      <c r="BK7" s="33">
        <f t="shared" si="7"/>
        <v>1350</v>
      </c>
      <c r="BL7" s="33">
        <f t="shared" si="7"/>
        <v>1553</v>
      </c>
      <c r="BM7" s="101">
        <f t="shared" si="7"/>
        <v>2138</v>
      </c>
      <c r="BN7" s="101">
        <f t="shared" si="7"/>
        <v>2462</v>
      </c>
      <c r="BO7" s="33">
        <f t="shared" si="0"/>
        <v>2076</v>
      </c>
      <c r="BP7" s="33">
        <f>SUM(BP8:BP19)</f>
        <v>1988</v>
      </c>
      <c r="BQ7" s="33">
        <f t="shared" ref="BQ7:BY7" si="8">SUM(BQ8:BQ19)</f>
        <v>1916</v>
      </c>
      <c r="BR7" s="33">
        <f t="shared" si="8"/>
        <v>1916</v>
      </c>
      <c r="BS7" s="33">
        <f t="shared" si="8"/>
        <v>1975</v>
      </c>
      <c r="BT7" s="33">
        <f t="shared" si="8"/>
        <v>2043</v>
      </c>
      <c r="BU7" s="33">
        <f>SUM(BU8:BU19)</f>
        <v>1082</v>
      </c>
      <c r="BV7" s="33">
        <f t="shared" ref="BV7:BX7" si="9">SUM(BV8:BV19)</f>
        <v>1833</v>
      </c>
      <c r="BW7" s="101">
        <f t="shared" si="9"/>
        <v>2592</v>
      </c>
      <c r="BX7" s="101">
        <f t="shared" si="9"/>
        <v>2146</v>
      </c>
      <c r="BY7" s="33">
        <f t="shared" si="8"/>
        <v>826</v>
      </c>
      <c r="BZ7" s="31">
        <f>SUM(BZ8:BZ19)</f>
        <v>331</v>
      </c>
      <c r="CA7" s="33">
        <f t="shared" ref="CA7:CH7" si="10">SUM(CA8:CA19)</f>
        <v>269</v>
      </c>
      <c r="CB7" s="33">
        <f t="shared" si="10"/>
        <v>245</v>
      </c>
      <c r="CC7" s="33">
        <f t="shared" si="10"/>
        <v>246</v>
      </c>
      <c r="CD7" s="33">
        <f t="shared" si="10"/>
        <v>241</v>
      </c>
      <c r="CE7" s="33">
        <f t="shared" si="10"/>
        <v>172</v>
      </c>
      <c r="CF7" s="33">
        <f t="shared" si="10"/>
        <v>146</v>
      </c>
      <c r="CG7" s="34">
        <f t="shared" si="10"/>
        <v>244</v>
      </c>
      <c r="CH7" s="101">
        <f t="shared" si="10"/>
        <v>254</v>
      </c>
      <c r="CI7" s="31">
        <f>SUM(CI8:CI19)</f>
        <v>552</v>
      </c>
      <c r="CJ7" s="33">
        <f t="shared" ref="CJ7:DR7" si="11">SUM(CJ8:CJ19)</f>
        <v>1475</v>
      </c>
      <c r="CK7" s="33">
        <f t="shared" si="11"/>
        <v>1911</v>
      </c>
      <c r="CL7" s="33">
        <f t="shared" si="11"/>
        <v>1898</v>
      </c>
      <c r="CM7" s="33">
        <f t="shared" si="11"/>
        <v>1940</v>
      </c>
      <c r="CN7" s="33">
        <f t="shared" si="11"/>
        <v>474</v>
      </c>
      <c r="CO7" s="33">
        <f t="shared" si="11"/>
        <v>469</v>
      </c>
      <c r="CP7" s="101">
        <f t="shared" si="11"/>
        <v>839</v>
      </c>
      <c r="CQ7" s="101">
        <f t="shared" si="11"/>
        <v>690</v>
      </c>
      <c r="CR7" s="31">
        <f t="shared" si="11"/>
        <v>488</v>
      </c>
      <c r="CS7" s="35">
        <f t="shared" si="11"/>
        <v>1941</v>
      </c>
      <c r="CT7" s="35">
        <f t="shared" si="11"/>
        <v>2224</v>
      </c>
      <c r="CU7" s="35">
        <f t="shared" si="11"/>
        <v>896</v>
      </c>
      <c r="CV7" s="33">
        <f t="shared" si="11"/>
        <v>3524</v>
      </c>
      <c r="CW7" s="33">
        <f t="shared" si="11"/>
        <v>3054</v>
      </c>
      <c r="CX7" s="101">
        <f t="shared" si="11"/>
        <v>4628</v>
      </c>
      <c r="CY7" s="35">
        <f t="shared" si="11"/>
        <v>206</v>
      </c>
      <c r="CZ7" s="35">
        <f t="shared" si="11"/>
        <v>843</v>
      </c>
      <c r="DA7" s="35">
        <f t="shared" si="11"/>
        <v>735</v>
      </c>
      <c r="DB7" s="101">
        <f t="shared" si="11"/>
        <v>297</v>
      </c>
      <c r="DC7" s="35">
        <f t="shared" si="11"/>
        <v>172</v>
      </c>
      <c r="DD7" s="35">
        <f t="shared" si="11"/>
        <v>198</v>
      </c>
      <c r="DE7" s="35">
        <f t="shared" si="11"/>
        <v>304</v>
      </c>
      <c r="DF7" s="33">
        <f t="shared" si="11"/>
        <v>326</v>
      </c>
      <c r="DG7" s="120">
        <f t="shared" si="11"/>
        <v>208</v>
      </c>
      <c r="DH7" s="35">
        <f t="shared" si="11"/>
        <v>199</v>
      </c>
      <c r="DI7" s="33">
        <f t="shared" si="11"/>
        <v>550</v>
      </c>
      <c r="DJ7" s="33">
        <f t="shared" si="11"/>
        <v>734</v>
      </c>
      <c r="DK7" s="34">
        <f t="shared" si="11"/>
        <v>1724</v>
      </c>
      <c r="DL7" s="35">
        <f t="shared" si="11"/>
        <v>44</v>
      </c>
      <c r="DM7" s="33">
        <f t="shared" si="11"/>
        <v>307</v>
      </c>
      <c r="DN7" s="33">
        <f t="shared" si="11"/>
        <v>599</v>
      </c>
      <c r="DO7" s="34">
        <f t="shared" si="11"/>
        <v>917</v>
      </c>
      <c r="DP7" s="33">
        <f t="shared" si="11"/>
        <v>785</v>
      </c>
      <c r="DQ7" s="33">
        <f t="shared" si="11"/>
        <v>963</v>
      </c>
      <c r="DR7" s="33">
        <f t="shared" si="11"/>
        <v>197</v>
      </c>
      <c r="DS7" s="69" t="s">
        <v>5</v>
      </c>
    </row>
    <row r="8" spans="1:131" ht="23.25" customHeight="1" x14ac:dyDescent="0.4">
      <c r="A8" s="58" t="s">
        <v>10</v>
      </c>
      <c r="B8" s="36"/>
      <c r="C8" s="105">
        <v>87</v>
      </c>
      <c r="D8" s="42">
        <v>140</v>
      </c>
      <c r="E8" s="42">
        <v>189</v>
      </c>
      <c r="F8" s="41">
        <v>215</v>
      </c>
      <c r="G8" s="41">
        <v>166</v>
      </c>
      <c r="H8" s="41">
        <v>174</v>
      </c>
      <c r="I8" s="41">
        <v>199</v>
      </c>
      <c r="J8" s="41">
        <v>264</v>
      </c>
      <c r="K8" s="41">
        <v>232</v>
      </c>
      <c r="L8" s="41">
        <v>217</v>
      </c>
      <c r="M8" s="41">
        <v>176</v>
      </c>
      <c r="N8" s="41">
        <v>244</v>
      </c>
      <c r="O8" s="116">
        <v>233</v>
      </c>
      <c r="P8" s="42">
        <v>290</v>
      </c>
      <c r="Q8" s="42">
        <v>428</v>
      </c>
      <c r="R8" s="42">
        <v>290</v>
      </c>
      <c r="S8" s="41">
        <v>356</v>
      </c>
      <c r="T8" s="41">
        <v>376</v>
      </c>
      <c r="U8" s="41">
        <v>400</v>
      </c>
      <c r="V8" s="41">
        <v>496</v>
      </c>
      <c r="W8" s="41">
        <v>406</v>
      </c>
      <c r="X8" s="41">
        <v>408</v>
      </c>
      <c r="Y8" s="41">
        <v>440</v>
      </c>
      <c r="Z8" s="41">
        <v>332</v>
      </c>
      <c r="AA8" s="41">
        <v>420</v>
      </c>
      <c r="AB8" s="116">
        <v>388</v>
      </c>
      <c r="AC8" s="107" t="s">
        <v>53</v>
      </c>
      <c r="AD8" s="42">
        <f>24*2</f>
        <v>48</v>
      </c>
      <c r="AE8" s="42">
        <v>115</v>
      </c>
      <c r="AF8" s="41">
        <v>228</v>
      </c>
      <c r="AG8" s="41">
        <v>234</v>
      </c>
      <c r="AH8" s="41">
        <v>166</v>
      </c>
      <c r="AI8" s="41">
        <f>108+49</f>
        <v>157</v>
      </c>
      <c r="AJ8" s="41">
        <v>117</v>
      </c>
      <c r="AK8" s="41">
        <v>261</v>
      </c>
      <c r="AL8" s="41">
        <v>192</v>
      </c>
      <c r="AM8" s="41">
        <v>212</v>
      </c>
      <c r="AN8" s="41">
        <v>228</v>
      </c>
      <c r="AO8" s="116">
        <v>142</v>
      </c>
      <c r="AP8" s="107" t="s">
        <v>53</v>
      </c>
      <c r="AQ8" s="42">
        <v>351</v>
      </c>
      <c r="AR8" s="42">
        <v>339</v>
      </c>
      <c r="AS8" s="109" t="s">
        <v>53</v>
      </c>
      <c r="AT8" s="109" t="s">
        <v>53</v>
      </c>
      <c r="AU8" s="109" t="s">
        <v>53</v>
      </c>
      <c r="AV8" s="109" t="s">
        <v>53</v>
      </c>
      <c r="AW8" s="41">
        <v>400</v>
      </c>
      <c r="AX8" s="41">
        <v>441</v>
      </c>
      <c r="AY8" s="41">
        <v>346</v>
      </c>
      <c r="AZ8" s="41">
        <v>219</v>
      </c>
      <c r="BA8" s="41">
        <v>247</v>
      </c>
      <c r="BB8" s="116">
        <v>246</v>
      </c>
      <c r="BC8" s="107" t="s">
        <v>53</v>
      </c>
      <c r="BD8" s="42">
        <v>191</v>
      </c>
      <c r="BE8" s="109">
        <v>361</v>
      </c>
      <c r="BF8" s="109">
        <v>331</v>
      </c>
      <c r="BG8" s="109">
        <v>342</v>
      </c>
      <c r="BH8" s="109">
        <v>351</v>
      </c>
      <c r="BI8" s="41">
        <v>415</v>
      </c>
      <c r="BJ8" s="41">
        <v>414</v>
      </c>
      <c r="BK8" s="41">
        <v>456</v>
      </c>
      <c r="BL8" s="41">
        <v>108</v>
      </c>
      <c r="BM8" s="116">
        <v>180</v>
      </c>
      <c r="BN8" s="116">
        <v>191</v>
      </c>
      <c r="BO8" s="41">
        <v>174</v>
      </c>
      <c r="BP8" s="41">
        <v>181</v>
      </c>
      <c r="BQ8" s="41">
        <v>164</v>
      </c>
      <c r="BR8" s="41">
        <v>155</v>
      </c>
      <c r="BS8" s="41">
        <v>179</v>
      </c>
      <c r="BT8" s="41">
        <v>169</v>
      </c>
      <c r="BU8" s="41">
        <v>211</v>
      </c>
      <c r="BV8" s="41">
        <v>161</v>
      </c>
      <c r="BW8" s="116">
        <v>206</v>
      </c>
      <c r="BX8" s="116">
        <v>207</v>
      </c>
      <c r="BY8" s="41">
        <v>57</v>
      </c>
      <c r="BZ8" s="39">
        <v>30</v>
      </c>
      <c r="CA8" s="41">
        <v>29</v>
      </c>
      <c r="CB8" s="41">
        <v>19</v>
      </c>
      <c r="CC8" s="41">
        <v>23</v>
      </c>
      <c r="CD8" s="41">
        <v>24</v>
      </c>
      <c r="CE8" s="41">
        <v>38</v>
      </c>
      <c r="CF8" s="41">
        <v>18</v>
      </c>
      <c r="CG8" s="44">
        <v>18</v>
      </c>
      <c r="CH8" s="116">
        <v>30</v>
      </c>
      <c r="CI8" s="39" t="s">
        <v>54</v>
      </c>
      <c r="CJ8" s="41">
        <v>124</v>
      </c>
      <c r="CK8" s="41">
        <v>142</v>
      </c>
      <c r="CL8" s="41">
        <v>178</v>
      </c>
      <c r="CM8" s="41">
        <v>156</v>
      </c>
      <c r="CN8" s="41">
        <v>155</v>
      </c>
      <c r="CO8" s="41">
        <v>36</v>
      </c>
      <c r="CP8" s="116">
        <v>88</v>
      </c>
      <c r="CQ8" s="116">
        <v>65</v>
      </c>
      <c r="CR8" s="39" t="s">
        <v>54</v>
      </c>
      <c r="CS8" s="41">
        <v>171</v>
      </c>
      <c r="CT8" s="41">
        <v>176</v>
      </c>
      <c r="CU8" s="41">
        <v>214</v>
      </c>
      <c r="CV8" s="41">
        <v>352</v>
      </c>
      <c r="CW8" s="41">
        <v>307</v>
      </c>
      <c r="CX8" s="116">
        <v>328</v>
      </c>
      <c r="CY8" s="41" t="s">
        <v>54</v>
      </c>
      <c r="CZ8" s="41">
        <v>100</v>
      </c>
      <c r="DA8" s="41">
        <v>48</v>
      </c>
      <c r="DB8" s="116">
        <v>68</v>
      </c>
      <c r="DC8" s="41" t="s">
        <v>54</v>
      </c>
      <c r="DD8" s="41">
        <v>18</v>
      </c>
      <c r="DE8" s="41">
        <v>24</v>
      </c>
      <c r="DF8" s="41">
        <v>34</v>
      </c>
      <c r="DG8" s="39" t="s">
        <v>54</v>
      </c>
      <c r="DH8" s="41">
        <v>33</v>
      </c>
      <c r="DI8" s="41">
        <v>50</v>
      </c>
      <c r="DJ8" s="41">
        <v>52</v>
      </c>
      <c r="DK8" s="44">
        <v>70</v>
      </c>
      <c r="DL8" s="41" t="s">
        <v>54</v>
      </c>
      <c r="DM8" s="41">
        <v>58</v>
      </c>
      <c r="DN8" s="41">
        <v>14</v>
      </c>
      <c r="DO8" s="44">
        <v>78</v>
      </c>
      <c r="DP8" s="41" t="s">
        <v>54</v>
      </c>
      <c r="DQ8" s="41">
        <v>114</v>
      </c>
      <c r="DR8" s="41" t="s">
        <v>54</v>
      </c>
      <c r="DS8" s="67" t="s">
        <v>11</v>
      </c>
      <c r="DX8" s="23"/>
      <c r="DY8" s="23"/>
      <c r="DZ8" s="23"/>
      <c r="EA8" s="23"/>
    </row>
    <row r="9" spans="1:131" ht="23.25" customHeight="1" x14ac:dyDescent="0.4">
      <c r="A9" s="58" t="s">
        <v>12</v>
      </c>
      <c r="B9" s="36"/>
      <c r="C9" s="105">
        <v>69</v>
      </c>
      <c r="D9" s="42">
        <v>128</v>
      </c>
      <c r="E9" s="42">
        <v>161</v>
      </c>
      <c r="F9" s="41">
        <v>192</v>
      </c>
      <c r="G9" s="41">
        <v>161</v>
      </c>
      <c r="H9" s="41">
        <v>195</v>
      </c>
      <c r="I9" s="41">
        <v>195</v>
      </c>
      <c r="J9" s="41">
        <v>213</v>
      </c>
      <c r="K9" s="41">
        <v>223</v>
      </c>
      <c r="L9" s="41">
        <v>196</v>
      </c>
      <c r="M9" s="41">
        <v>144</v>
      </c>
      <c r="N9" s="41">
        <v>191</v>
      </c>
      <c r="O9" s="116">
        <v>195</v>
      </c>
      <c r="P9" s="42">
        <v>268</v>
      </c>
      <c r="Q9" s="42">
        <v>332</v>
      </c>
      <c r="R9" s="42">
        <v>314</v>
      </c>
      <c r="S9" s="41">
        <v>360</v>
      </c>
      <c r="T9" s="41">
        <v>336</v>
      </c>
      <c r="U9" s="41">
        <v>428</v>
      </c>
      <c r="V9" s="41">
        <v>462</v>
      </c>
      <c r="W9" s="41">
        <v>408</v>
      </c>
      <c r="X9" s="41">
        <v>356</v>
      </c>
      <c r="Y9" s="41">
        <v>360</v>
      </c>
      <c r="Z9" s="41">
        <v>278</v>
      </c>
      <c r="AA9" s="41">
        <v>334</v>
      </c>
      <c r="AB9" s="116">
        <v>376</v>
      </c>
      <c r="AC9" s="107" t="s">
        <v>53</v>
      </c>
      <c r="AD9" s="42">
        <f>20*2</f>
        <v>40</v>
      </c>
      <c r="AE9" s="42">
        <v>83</v>
      </c>
      <c r="AF9" s="41">
        <f>168+5+39</f>
        <v>212</v>
      </c>
      <c r="AG9" s="41">
        <f>4+3+4+3+4+3+4+3+3+4+3+4+3+4+3+4+3+4+4+4+4+3+3+3+4+3+4+4+3+4+3+4+4+3+4+4+4+4+4+4+4+4+4+3+4+3+4+3+4+4+3+4+3+4+4</f>
        <v>199</v>
      </c>
      <c r="AH9" s="41">
        <v>120</v>
      </c>
      <c r="AI9" s="41">
        <f>78+24</f>
        <v>102</v>
      </c>
      <c r="AJ9" s="41">
        <v>89</v>
      </c>
      <c r="AK9" s="41">
        <v>221</v>
      </c>
      <c r="AL9" s="41">
        <v>182</v>
      </c>
      <c r="AM9" s="41">
        <v>88</v>
      </c>
      <c r="AN9" s="41">
        <v>229</v>
      </c>
      <c r="AO9" s="116">
        <v>136</v>
      </c>
      <c r="AP9" s="107" t="s">
        <v>53</v>
      </c>
      <c r="AQ9" s="42">
        <v>351</v>
      </c>
      <c r="AR9" s="42">
        <v>427</v>
      </c>
      <c r="AS9" s="109" t="s">
        <v>53</v>
      </c>
      <c r="AT9" s="109" t="s">
        <v>53</v>
      </c>
      <c r="AU9" s="109" t="s">
        <v>53</v>
      </c>
      <c r="AV9" s="109" t="s">
        <v>53</v>
      </c>
      <c r="AW9" s="41">
        <v>373</v>
      </c>
      <c r="AX9" s="41">
        <v>375</v>
      </c>
      <c r="AY9" s="41">
        <v>286</v>
      </c>
      <c r="AZ9" s="41">
        <v>208</v>
      </c>
      <c r="BA9" s="41">
        <v>258</v>
      </c>
      <c r="BB9" s="116">
        <v>225</v>
      </c>
      <c r="BC9" s="107" t="s">
        <v>53</v>
      </c>
      <c r="BD9" s="42">
        <v>213</v>
      </c>
      <c r="BE9" s="109">
        <v>356</v>
      </c>
      <c r="BF9" s="109">
        <v>304</v>
      </c>
      <c r="BG9" s="109">
        <v>320</v>
      </c>
      <c r="BH9" s="109">
        <v>308</v>
      </c>
      <c r="BI9" s="41">
        <v>365</v>
      </c>
      <c r="BJ9" s="41">
        <v>376</v>
      </c>
      <c r="BK9" s="41">
        <v>441</v>
      </c>
      <c r="BL9" s="41">
        <v>105</v>
      </c>
      <c r="BM9" s="116">
        <v>160</v>
      </c>
      <c r="BN9" s="116">
        <v>171</v>
      </c>
      <c r="BO9" s="41">
        <v>159</v>
      </c>
      <c r="BP9" s="41">
        <v>169</v>
      </c>
      <c r="BQ9" s="41">
        <v>159</v>
      </c>
      <c r="BR9" s="41">
        <v>161</v>
      </c>
      <c r="BS9" s="41">
        <v>164</v>
      </c>
      <c r="BT9" s="41">
        <v>164</v>
      </c>
      <c r="BU9" s="41">
        <v>258</v>
      </c>
      <c r="BV9" s="41">
        <v>141</v>
      </c>
      <c r="BW9" s="116">
        <v>198</v>
      </c>
      <c r="BX9" s="116">
        <v>175</v>
      </c>
      <c r="BY9" s="41">
        <v>83</v>
      </c>
      <c r="BZ9" s="39">
        <v>23</v>
      </c>
      <c r="CA9" s="41">
        <v>23</v>
      </c>
      <c r="CB9" s="41">
        <v>17</v>
      </c>
      <c r="CC9" s="41">
        <v>15</v>
      </c>
      <c r="CD9" s="41">
        <v>19</v>
      </c>
      <c r="CE9" s="41">
        <v>34</v>
      </c>
      <c r="CF9" s="41">
        <v>8</v>
      </c>
      <c r="CG9" s="44">
        <v>14</v>
      </c>
      <c r="CH9" s="116">
        <v>20</v>
      </c>
      <c r="CI9" s="39" t="s">
        <v>54</v>
      </c>
      <c r="CJ9" s="41">
        <v>143</v>
      </c>
      <c r="CK9" s="41">
        <v>136</v>
      </c>
      <c r="CL9" s="41">
        <v>180</v>
      </c>
      <c r="CM9" s="41">
        <v>161</v>
      </c>
      <c r="CN9" s="41">
        <v>130</v>
      </c>
      <c r="CO9" s="41">
        <v>29</v>
      </c>
      <c r="CP9" s="116">
        <v>56</v>
      </c>
      <c r="CQ9" s="116">
        <v>53</v>
      </c>
      <c r="CR9" s="39" t="s">
        <v>54</v>
      </c>
      <c r="CS9" s="41">
        <v>168</v>
      </c>
      <c r="CT9" s="41">
        <v>181</v>
      </c>
      <c r="CU9" s="41">
        <v>192</v>
      </c>
      <c r="CV9" s="41">
        <v>284</v>
      </c>
      <c r="CW9" s="41">
        <v>230</v>
      </c>
      <c r="CX9" s="116">
        <v>298</v>
      </c>
      <c r="CY9" s="41" t="s">
        <v>54</v>
      </c>
      <c r="CZ9" s="41">
        <v>70</v>
      </c>
      <c r="DA9" s="41">
        <v>30</v>
      </c>
      <c r="DB9" s="116">
        <v>33</v>
      </c>
      <c r="DC9" s="41">
        <v>26</v>
      </c>
      <c r="DD9" s="41">
        <v>16</v>
      </c>
      <c r="DE9" s="41">
        <v>26</v>
      </c>
      <c r="DF9" s="116">
        <v>24</v>
      </c>
      <c r="DG9" s="41" t="s">
        <v>54</v>
      </c>
      <c r="DH9" s="41">
        <v>29</v>
      </c>
      <c r="DI9" s="41">
        <v>42</v>
      </c>
      <c r="DJ9" s="41">
        <v>46</v>
      </c>
      <c r="DK9" s="116">
        <v>56</v>
      </c>
      <c r="DL9" s="41" t="s">
        <v>54</v>
      </c>
      <c r="DM9" s="41">
        <v>40</v>
      </c>
      <c r="DN9" s="41">
        <v>12</v>
      </c>
      <c r="DO9" s="44">
        <v>65</v>
      </c>
      <c r="DP9" s="41">
        <v>12</v>
      </c>
      <c r="DQ9" s="41">
        <v>103</v>
      </c>
      <c r="DR9" s="41" t="s">
        <v>54</v>
      </c>
      <c r="DS9" s="67" t="s">
        <v>13</v>
      </c>
    </row>
    <row r="10" spans="1:131" ht="23.25" customHeight="1" x14ac:dyDescent="0.4">
      <c r="A10" s="58" t="s">
        <v>14</v>
      </c>
      <c r="B10" s="36"/>
      <c r="C10" s="105">
        <v>80</v>
      </c>
      <c r="D10" s="42">
        <v>161</v>
      </c>
      <c r="E10" s="42">
        <v>184</v>
      </c>
      <c r="F10" s="41">
        <v>214</v>
      </c>
      <c r="G10" s="41">
        <v>173</v>
      </c>
      <c r="H10" s="41">
        <v>201</v>
      </c>
      <c r="I10" s="41">
        <v>193</v>
      </c>
      <c r="J10" s="41">
        <v>258</v>
      </c>
      <c r="K10" s="41">
        <v>218</v>
      </c>
      <c r="L10" s="41">
        <v>137</v>
      </c>
      <c r="M10" s="41">
        <v>180</v>
      </c>
      <c r="N10" s="41">
        <v>246</v>
      </c>
      <c r="O10" s="116">
        <v>172</v>
      </c>
      <c r="P10" s="42">
        <v>202</v>
      </c>
      <c r="Q10" s="42">
        <v>320</v>
      </c>
      <c r="R10" s="42">
        <v>358</v>
      </c>
      <c r="S10" s="41">
        <v>388</v>
      </c>
      <c r="T10" s="41">
        <v>396</v>
      </c>
      <c r="U10" s="41">
        <v>402</v>
      </c>
      <c r="V10" s="41">
        <v>446</v>
      </c>
      <c r="W10" s="41">
        <v>388</v>
      </c>
      <c r="X10" s="41">
        <v>400</v>
      </c>
      <c r="Y10" s="41">
        <v>262</v>
      </c>
      <c r="Z10" s="41">
        <v>292</v>
      </c>
      <c r="AA10" s="41">
        <v>366</v>
      </c>
      <c r="AB10" s="116">
        <v>332</v>
      </c>
      <c r="AC10" s="107" t="s">
        <v>53</v>
      </c>
      <c r="AD10" s="42">
        <f>28*2</f>
        <v>56</v>
      </c>
      <c r="AE10" s="42">
        <f>116+81</f>
        <v>197</v>
      </c>
      <c r="AF10" s="41">
        <f>90+156</f>
        <v>246</v>
      </c>
      <c r="AG10" s="41">
        <v>235</v>
      </c>
      <c r="AH10" s="41">
        <v>168</v>
      </c>
      <c r="AI10" s="41">
        <f>99+84</f>
        <v>183</v>
      </c>
      <c r="AJ10" s="41">
        <v>149</v>
      </c>
      <c r="AK10" s="41">
        <v>277</v>
      </c>
      <c r="AL10" s="41">
        <v>175</v>
      </c>
      <c r="AM10" s="41">
        <v>190</v>
      </c>
      <c r="AN10" s="41">
        <v>136</v>
      </c>
      <c r="AO10" s="116">
        <v>142</v>
      </c>
      <c r="AP10" s="107" t="s">
        <v>53</v>
      </c>
      <c r="AQ10" s="42">
        <v>233</v>
      </c>
      <c r="AR10" s="42">
        <v>348</v>
      </c>
      <c r="AS10" s="109" t="s">
        <v>53</v>
      </c>
      <c r="AT10" s="109" t="s">
        <v>53</v>
      </c>
      <c r="AU10" s="109" t="s">
        <v>53</v>
      </c>
      <c r="AV10" s="109" t="s">
        <v>53</v>
      </c>
      <c r="AW10" s="41">
        <v>369</v>
      </c>
      <c r="AX10" s="41">
        <v>436</v>
      </c>
      <c r="AY10" s="41">
        <v>178</v>
      </c>
      <c r="AZ10" s="41">
        <v>194</v>
      </c>
      <c r="BA10" s="41">
        <v>266</v>
      </c>
      <c r="BB10" s="116">
        <v>242</v>
      </c>
      <c r="BC10" s="107" t="s">
        <v>53</v>
      </c>
      <c r="BD10" s="42">
        <v>231</v>
      </c>
      <c r="BE10" s="109">
        <v>393</v>
      </c>
      <c r="BF10" s="109">
        <v>356</v>
      </c>
      <c r="BG10" s="109">
        <v>343</v>
      </c>
      <c r="BH10" s="109">
        <v>327</v>
      </c>
      <c r="BI10" s="41">
        <v>397</v>
      </c>
      <c r="BJ10" s="41">
        <v>414</v>
      </c>
      <c r="BK10" s="41">
        <v>241</v>
      </c>
      <c r="BL10" s="41">
        <v>112</v>
      </c>
      <c r="BM10" s="116">
        <v>175</v>
      </c>
      <c r="BN10" s="116">
        <v>171</v>
      </c>
      <c r="BO10" s="41">
        <v>176</v>
      </c>
      <c r="BP10" s="41">
        <v>170</v>
      </c>
      <c r="BQ10" s="41">
        <v>163</v>
      </c>
      <c r="BR10" s="41">
        <v>174</v>
      </c>
      <c r="BS10" s="41">
        <v>169</v>
      </c>
      <c r="BT10" s="41">
        <v>178</v>
      </c>
      <c r="BU10" s="41">
        <v>169</v>
      </c>
      <c r="BV10" s="41">
        <v>159</v>
      </c>
      <c r="BW10" s="116">
        <v>230</v>
      </c>
      <c r="BX10" s="116">
        <v>186</v>
      </c>
      <c r="BY10" s="41">
        <v>108</v>
      </c>
      <c r="BZ10" s="39">
        <v>25</v>
      </c>
      <c r="CA10" s="41">
        <v>23</v>
      </c>
      <c r="CB10" s="41">
        <v>20</v>
      </c>
      <c r="CC10" s="41">
        <v>19</v>
      </c>
      <c r="CD10" s="41">
        <v>17</v>
      </c>
      <c r="CE10" s="41">
        <v>24</v>
      </c>
      <c r="CF10" s="41">
        <v>6</v>
      </c>
      <c r="CG10" s="44">
        <v>18</v>
      </c>
      <c r="CH10" s="116">
        <v>20</v>
      </c>
      <c r="CI10" s="39" t="s">
        <v>54</v>
      </c>
      <c r="CJ10" s="41">
        <v>114</v>
      </c>
      <c r="CK10" s="41">
        <v>148</v>
      </c>
      <c r="CL10" s="41">
        <v>156</v>
      </c>
      <c r="CM10" s="41">
        <v>160</v>
      </c>
      <c r="CN10" s="41">
        <v>77</v>
      </c>
      <c r="CO10" s="41">
        <v>30</v>
      </c>
      <c r="CP10" s="116">
        <v>48</v>
      </c>
      <c r="CQ10" s="116">
        <v>52</v>
      </c>
      <c r="CR10" s="39" t="s">
        <v>54</v>
      </c>
      <c r="CS10" s="41">
        <v>150</v>
      </c>
      <c r="CT10" s="41">
        <v>202</v>
      </c>
      <c r="CU10" s="41">
        <v>147</v>
      </c>
      <c r="CV10" s="41">
        <v>340</v>
      </c>
      <c r="CW10" s="41">
        <v>251</v>
      </c>
      <c r="CX10" s="116">
        <v>326</v>
      </c>
      <c r="CY10" s="41" t="s">
        <v>54</v>
      </c>
      <c r="CZ10" s="41">
        <v>98</v>
      </c>
      <c r="DA10" s="41">
        <v>27</v>
      </c>
      <c r="DB10" s="116">
        <v>26</v>
      </c>
      <c r="DC10" s="41">
        <v>28</v>
      </c>
      <c r="DD10" s="41">
        <v>18</v>
      </c>
      <c r="DE10" s="41">
        <v>18</v>
      </c>
      <c r="DF10" s="116">
        <v>24</v>
      </c>
      <c r="DG10" s="41" t="s">
        <v>54</v>
      </c>
      <c r="DH10" s="41">
        <v>32</v>
      </c>
      <c r="DI10" s="41">
        <v>54</v>
      </c>
      <c r="DJ10" s="41">
        <v>58</v>
      </c>
      <c r="DK10" s="116">
        <v>60</v>
      </c>
      <c r="DL10" s="41" t="s">
        <v>54</v>
      </c>
      <c r="DM10" s="41">
        <v>40</v>
      </c>
      <c r="DN10" s="41">
        <v>14</v>
      </c>
      <c r="DO10" s="44">
        <v>71</v>
      </c>
      <c r="DP10" s="41">
        <v>31</v>
      </c>
      <c r="DQ10" s="41">
        <v>110</v>
      </c>
      <c r="DR10" s="41">
        <v>20</v>
      </c>
      <c r="DS10" s="67" t="s">
        <v>15</v>
      </c>
    </row>
    <row r="11" spans="1:131" ht="23.25" customHeight="1" x14ac:dyDescent="0.4">
      <c r="A11" s="58" t="s">
        <v>16</v>
      </c>
      <c r="B11" s="36"/>
      <c r="C11" s="105">
        <v>147</v>
      </c>
      <c r="D11" s="42">
        <v>149</v>
      </c>
      <c r="E11" s="42">
        <v>190</v>
      </c>
      <c r="F11" s="41">
        <v>192</v>
      </c>
      <c r="G11" s="41">
        <v>173</v>
      </c>
      <c r="H11" s="41">
        <v>192</v>
      </c>
      <c r="I11" s="41">
        <v>211</v>
      </c>
      <c r="J11" s="41">
        <v>245</v>
      </c>
      <c r="K11" s="41">
        <v>213</v>
      </c>
      <c r="L11" s="41">
        <v>18</v>
      </c>
      <c r="M11" s="41">
        <v>168</v>
      </c>
      <c r="N11" s="41">
        <v>206</v>
      </c>
      <c r="O11" s="116">
        <v>133</v>
      </c>
      <c r="P11" s="42">
        <v>192</v>
      </c>
      <c r="Q11" s="42">
        <v>358</v>
      </c>
      <c r="R11" s="42">
        <v>268</v>
      </c>
      <c r="S11" s="41">
        <v>354</v>
      </c>
      <c r="T11" s="41">
        <v>390</v>
      </c>
      <c r="U11" s="41">
        <v>368</v>
      </c>
      <c r="V11" s="41">
        <v>436</v>
      </c>
      <c r="W11" s="41">
        <v>438</v>
      </c>
      <c r="X11" s="41">
        <v>412</v>
      </c>
      <c r="Y11" s="41">
        <v>28</v>
      </c>
      <c r="Z11" s="41">
        <v>280</v>
      </c>
      <c r="AA11" s="41">
        <v>362</v>
      </c>
      <c r="AB11" s="116">
        <v>286</v>
      </c>
      <c r="AC11" s="107" t="s">
        <v>53</v>
      </c>
      <c r="AD11" s="42">
        <f>21*2</f>
        <v>42</v>
      </c>
      <c r="AE11" s="42">
        <f>192+39+10</f>
        <v>241</v>
      </c>
      <c r="AF11" s="41">
        <v>230</v>
      </c>
      <c r="AG11" s="41">
        <v>229</v>
      </c>
      <c r="AH11" s="41">
        <v>139</v>
      </c>
      <c r="AI11" s="41">
        <f>78+60</f>
        <v>138</v>
      </c>
      <c r="AJ11" s="41">
        <v>120</v>
      </c>
      <c r="AK11" s="41">
        <v>278</v>
      </c>
      <c r="AL11" s="41">
        <v>88</v>
      </c>
      <c r="AM11" s="41">
        <v>170</v>
      </c>
      <c r="AN11" s="41">
        <v>118</v>
      </c>
      <c r="AO11" s="116">
        <v>126</v>
      </c>
      <c r="AP11" s="107" t="s">
        <v>53</v>
      </c>
      <c r="AQ11" s="42">
        <v>226</v>
      </c>
      <c r="AR11" s="42">
        <v>284</v>
      </c>
      <c r="AS11" s="109" t="s">
        <v>53</v>
      </c>
      <c r="AT11" s="109" t="s">
        <v>53</v>
      </c>
      <c r="AU11" s="109" t="s">
        <v>53</v>
      </c>
      <c r="AV11" s="109" t="s">
        <v>53</v>
      </c>
      <c r="AW11" s="41">
        <v>346</v>
      </c>
      <c r="AX11" s="41">
        <v>437</v>
      </c>
      <c r="AY11" s="41">
        <v>2</v>
      </c>
      <c r="AZ11" s="41">
        <v>203</v>
      </c>
      <c r="BA11" s="41">
        <v>250</v>
      </c>
      <c r="BB11" s="116">
        <v>222</v>
      </c>
      <c r="BC11" s="107" t="s">
        <v>53</v>
      </c>
      <c r="BD11" s="42">
        <v>239</v>
      </c>
      <c r="BE11" s="109">
        <v>358</v>
      </c>
      <c r="BF11" s="109">
        <v>341</v>
      </c>
      <c r="BG11" s="109">
        <v>328</v>
      </c>
      <c r="BH11" s="109">
        <v>316</v>
      </c>
      <c r="BI11" s="41">
        <v>353</v>
      </c>
      <c r="BJ11" s="41">
        <v>471</v>
      </c>
      <c r="BK11" s="41">
        <v>3</v>
      </c>
      <c r="BL11" s="41">
        <v>101</v>
      </c>
      <c r="BM11" s="116">
        <v>177</v>
      </c>
      <c r="BN11" s="116">
        <v>197</v>
      </c>
      <c r="BO11" s="41">
        <v>175</v>
      </c>
      <c r="BP11" s="41">
        <v>175</v>
      </c>
      <c r="BQ11" s="41">
        <v>154</v>
      </c>
      <c r="BR11" s="41">
        <v>158</v>
      </c>
      <c r="BS11" s="41">
        <v>164</v>
      </c>
      <c r="BT11" s="41">
        <v>165</v>
      </c>
      <c r="BU11" s="41">
        <v>11</v>
      </c>
      <c r="BV11" s="41">
        <v>148</v>
      </c>
      <c r="BW11" s="116">
        <v>227</v>
      </c>
      <c r="BX11" s="116">
        <v>169</v>
      </c>
      <c r="BY11" s="41">
        <v>112</v>
      </c>
      <c r="BZ11" s="39">
        <v>26</v>
      </c>
      <c r="CA11" s="41">
        <v>21</v>
      </c>
      <c r="CB11" s="41">
        <v>22</v>
      </c>
      <c r="CC11" s="41">
        <v>21</v>
      </c>
      <c r="CD11" s="41">
        <v>21</v>
      </c>
      <c r="CE11" s="41">
        <v>8</v>
      </c>
      <c r="CF11" s="41">
        <v>10</v>
      </c>
      <c r="CG11" s="44">
        <v>18</v>
      </c>
      <c r="CH11" s="116">
        <v>20</v>
      </c>
      <c r="CI11" s="39" t="s">
        <v>54</v>
      </c>
      <c r="CJ11" s="41">
        <v>106</v>
      </c>
      <c r="CK11" s="41">
        <v>156</v>
      </c>
      <c r="CL11" s="41">
        <v>146</v>
      </c>
      <c r="CM11" s="41">
        <v>156</v>
      </c>
      <c r="CN11" s="41">
        <v>7</v>
      </c>
      <c r="CO11" s="41">
        <v>31</v>
      </c>
      <c r="CP11" s="116">
        <v>56</v>
      </c>
      <c r="CQ11" s="116">
        <v>55</v>
      </c>
      <c r="CR11" s="39" t="s">
        <v>54</v>
      </c>
      <c r="CS11" s="41">
        <v>161</v>
      </c>
      <c r="CT11" s="41">
        <v>181</v>
      </c>
      <c r="CU11" s="41">
        <v>9</v>
      </c>
      <c r="CV11" s="41">
        <v>270</v>
      </c>
      <c r="CW11" s="41">
        <v>221</v>
      </c>
      <c r="CX11" s="116">
        <v>254</v>
      </c>
      <c r="CY11" s="41" t="s">
        <v>54</v>
      </c>
      <c r="CZ11" s="41">
        <v>70</v>
      </c>
      <c r="DA11" s="41">
        <v>62</v>
      </c>
      <c r="DB11" s="116">
        <v>12</v>
      </c>
      <c r="DC11" s="41">
        <v>14</v>
      </c>
      <c r="DD11" s="41">
        <v>14</v>
      </c>
      <c r="DE11" s="41">
        <v>20</v>
      </c>
      <c r="DF11" s="116">
        <v>18</v>
      </c>
      <c r="DG11" s="41" t="s">
        <v>54</v>
      </c>
      <c r="DH11" s="41">
        <v>6</v>
      </c>
      <c r="DI11" s="41">
        <v>42</v>
      </c>
      <c r="DJ11" s="41">
        <v>46</v>
      </c>
      <c r="DK11" s="116">
        <v>94</v>
      </c>
      <c r="DL11" s="41" t="s">
        <v>54</v>
      </c>
      <c r="DM11" s="41">
        <v>26</v>
      </c>
      <c r="DN11" s="41">
        <v>17</v>
      </c>
      <c r="DO11" s="44">
        <v>71</v>
      </c>
      <c r="DP11" s="41">
        <v>27</v>
      </c>
      <c r="DQ11" s="41">
        <v>56</v>
      </c>
      <c r="DR11" s="41">
        <v>20</v>
      </c>
      <c r="DS11" s="67" t="s">
        <v>17</v>
      </c>
      <c r="DX11" s="23"/>
      <c r="DY11" s="23"/>
      <c r="DZ11" s="23"/>
      <c r="EA11" s="23"/>
    </row>
    <row r="12" spans="1:131" ht="23.25" customHeight="1" x14ac:dyDescent="0.4">
      <c r="A12" s="58" t="s">
        <v>18</v>
      </c>
      <c r="B12" s="36"/>
      <c r="C12" s="105">
        <v>128</v>
      </c>
      <c r="D12" s="42">
        <v>139</v>
      </c>
      <c r="E12" s="42">
        <v>178</v>
      </c>
      <c r="F12" s="41">
        <v>186</v>
      </c>
      <c r="G12" s="41">
        <v>182</v>
      </c>
      <c r="H12" s="41">
        <v>194</v>
      </c>
      <c r="I12" s="41">
        <v>209</v>
      </c>
      <c r="J12" s="41">
        <v>200</v>
      </c>
      <c r="K12" s="41">
        <v>220</v>
      </c>
      <c r="L12" s="41">
        <v>21</v>
      </c>
      <c r="M12" s="41">
        <v>140</v>
      </c>
      <c r="N12" s="41">
        <v>229</v>
      </c>
      <c r="O12" s="116">
        <v>131</v>
      </c>
      <c r="P12" s="42">
        <v>274</v>
      </c>
      <c r="Q12" s="42">
        <v>284</v>
      </c>
      <c r="R12" s="42">
        <v>274</v>
      </c>
      <c r="S12" s="41">
        <v>368</v>
      </c>
      <c r="T12" s="41">
        <v>356</v>
      </c>
      <c r="U12" s="41">
        <v>364</v>
      </c>
      <c r="V12" s="41">
        <v>380</v>
      </c>
      <c r="W12" s="41">
        <v>372</v>
      </c>
      <c r="X12" s="41">
        <v>426</v>
      </c>
      <c r="Y12" s="41">
        <v>26</v>
      </c>
      <c r="Z12" s="41">
        <v>240</v>
      </c>
      <c r="AA12" s="41">
        <v>380</v>
      </c>
      <c r="AB12" s="116">
        <v>276</v>
      </c>
      <c r="AC12" s="107" t="s">
        <v>53</v>
      </c>
      <c r="AD12" s="42">
        <f>34*2</f>
        <v>68</v>
      </c>
      <c r="AE12" s="42">
        <f>180+48+5</f>
        <v>233</v>
      </c>
      <c r="AF12" s="41">
        <v>236</v>
      </c>
      <c r="AG12" s="41">
        <v>222</v>
      </c>
      <c r="AH12" s="41">
        <f>52+84</f>
        <v>136</v>
      </c>
      <c r="AI12" s="41">
        <f>72+96</f>
        <v>168</v>
      </c>
      <c r="AJ12" s="41">
        <v>147</v>
      </c>
      <c r="AK12" s="41">
        <v>211</v>
      </c>
      <c r="AL12" s="41">
        <v>29</v>
      </c>
      <c r="AM12" s="41">
        <v>152</v>
      </c>
      <c r="AN12" s="41">
        <v>154</v>
      </c>
      <c r="AO12" s="116">
        <v>132</v>
      </c>
      <c r="AP12" s="107" t="s">
        <v>53</v>
      </c>
      <c r="AQ12" s="42">
        <v>180</v>
      </c>
      <c r="AR12" s="42">
        <v>382</v>
      </c>
      <c r="AS12" s="109" t="s">
        <v>53</v>
      </c>
      <c r="AT12" s="109" t="s">
        <v>53</v>
      </c>
      <c r="AU12" s="109" t="s">
        <v>53</v>
      </c>
      <c r="AV12" s="109" t="s">
        <v>53</v>
      </c>
      <c r="AW12" s="41">
        <v>527</v>
      </c>
      <c r="AX12" s="41">
        <v>454</v>
      </c>
      <c r="AY12" s="41">
        <v>0</v>
      </c>
      <c r="AZ12" s="41">
        <v>180</v>
      </c>
      <c r="BA12" s="41">
        <v>274</v>
      </c>
      <c r="BB12" s="116">
        <v>215</v>
      </c>
      <c r="BC12" s="107" t="s">
        <v>53</v>
      </c>
      <c r="BD12" s="42">
        <v>288</v>
      </c>
      <c r="BE12" s="109">
        <v>370</v>
      </c>
      <c r="BF12" s="109">
        <v>341</v>
      </c>
      <c r="BG12" s="109">
        <v>321</v>
      </c>
      <c r="BH12" s="109">
        <v>319</v>
      </c>
      <c r="BI12" s="41">
        <v>336</v>
      </c>
      <c r="BJ12" s="41">
        <v>428</v>
      </c>
      <c r="BK12" s="41">
        <v>0</v>
      </c>
      <c r="BL12" s="41">
        <v>101</v>
      </c>
      <c r="BM12" s="116">
        <v>179</v>
      </c>
      <c r="BN12" s="116">
        <v>176</v>
      </c>
      <c r="BO12" s="41">
        <v>181</v>
      </c>
      <c r="BP12" s="41">
        <v>166</v>
      </c>
      <c r="BQ12" s="41">
        <v>163</v>
      </c>
      <c r="BR12" s="41">
        <v>142</v>
      </c>
      <c r="BS12" s="41">
        <v>158</v>
      </c>
      <c r="BT12" s="41">
        <v>149</v>
      </c>
      <c r="BU12" s="41">
        <v>13</v>
      </c>
      <c r="BV12" s="41">
        <v>111</v>
      </c>
      <c r="BW12" s="116">
        <v>232</v>
      </c>
      <c r="BX12" s="116">
        <v>170</v>
      </c>
      <c r="BY12" s="41">
        <v>91</v>
      </c>
      <c r="BZ12" s="39">
        <v>28</v>
      </c>
      <c r="CA12" s="41">
        <v>21</v>
      </c>
      <c r="CB12" s="41">
        <v>20</v>
      </c>
      <c r="CC12" s="41">
        <v>16</v>
      </c>
      <c r="CD12" s="41">
        <v>15</v>
      </c>
      <c r="CE12" s="41">
        <v>2</v>
      </c>
      <c r="CF12" s="41">
        <v>6</v>
      </c>
      <c r="CG12" s="44">
        <v>16</v>
      </c>
      <c r="CH12" s="116">
        <v>16</v>
      </c>
      <c r="CI12" s="39">
        <v>9</v>
      </c>
      <c r="CJ12" s="41">
        <v>90</v>
      </c>
      <c r="CK12" s="41">
        <v>160</v>
      </c>
      <c r="CL12" s="41">
        <v>146</v>
      </c>
      <c r="CM12" s="41">
        <v>182</v>
      </c>
      <c r="CN12" s="41">
        <v>3</v>
      </c>
      <c r="CO12" s="41">
        <v>15</v>
      </c>
      <c r="CP12" s="116">
        <v>80</v>
      </c>
      <c r="CQ12" s="116">
        <v>53</v>
      </c>
      <c r="CR12" s="39" t="s">
        <v>54</v>
      </c>
      <c r="CS12" s="41">
        <v>148</v>
      </c>
      <c r="CT12" s="41">
        <v>184</v>
      </c>
      <c r="CU12" s="41">
        <v>0</v>
      </c>
      <c r="CV12" s="41">
        <v>321</v>
      </c>
      <c r="CW12" s="41">
        <v>188</v>
      </c>
      <c r="CX12" s="116">
        <v>392</v>
      </c>
      <c r="CY12" s="41" t="s">
        <v>54</v>
      </c>
      <c r="CZ12" s="41">
        <v>36</v>
      </c>
      <c r="DA12" s="41">
        <v>80</v>
      </c>
      <c r="DB12" s="116">
        <v>18</v>
      </c>
      <c r="DC12" s="41">
        <v>2</v>
      </c>
      <c r="DD12" s="41">
        <v>10</v>
      </c>
      <c r="DE12" s="41">
        <v>20</v>
      </c>
      <c r="DF12" s="116">
        <v>16</v>
      </c>
      <c r="DG12" s="41" t="s">
        <v>54</v>
      </c>
      <c r="DH12" s="41">
        <v>6</v>
      </c>
      <c r="DI12" s="41">
        <v>20</v>
      </c>
      <c r="DJ12" s="41">
        <v>66</v>
      </c>
      <c r="DK12" s="116">
        <v>126</v>
      </c>
      <c r="DL12" s="41" t="s">
        <v>54</v>
      </c>
      <c r="DM12" s="41">
        <v>2</v>
      </c>
      <c r="DN12" s="41">
        <v>18</v>
      </c>
      <c r="DO12" s="44">
        <v>67</v>
      </c>
      <c r="DP12" s="41">
        <v>35</v>
      </c>
      <c r="DQ12" s="41">
        <v>56</v>
      </c>
      <c r="DR12" s="41">
        <v>18</v>
      </c>
      <c r="DS12" s="67" t="s">
        <v>19</v>
      </c>
    </row>
    <row r="13" spans="1:131" ht="23.25" customHeight="1" x14ac:dyDescent="0.4">
      <c r="A13" s="58" t="s">
        <v>20</v>
      </c>
      <c r="B13" s="36"/>
      <c r="C13" s="105">
        <v>137</v>
      </c>
      <c r="D13" s="42">
        <v>136</v>
      </c>
      <c r="E13" s="42">
        <v>192</v>
      </c>
      <c r="F13" s="41">
        <v>180</v>
      </c>
      <c r="G13" s="41">
        <v>174</v>
      </c>
      <c r="H13" s="41">
        <v>185</v>
      </c>
      <c r="I13" s="41">
        <v>192</v>
      </c>
      <c r="J13" s="41">
        <v>175</v>
      </c>
      <c r="K13" s="41">
        <v>185</v>
      </c>
      <c r="L13" s="41">
        <v>32</v>
      </c>
      <c r="M13" s="41">
        <v>127</v>
      </c>
      <c r="N13" s="41">
        <v>215</v>
      </c>
      <c r="O13" s="116">
        <v>126</v>
      </c>
      <c r="P13" s="42">
        <v>278</v>
      </c>
      <c r="Q13" s="42">
        <v>318</v>
      </c>
      <c r="R13" s="42">
        <v>328</v>
      </c>
      <c r="S13" s="41">
        <v>346</v>
      </c>
      <c r="T13" s="41">
        <v>340</v>
      </c>
      <c r="U13" s="41">
        <v>336</v>
      </c>
      <c r="V13" s="41">
        <v>376</v>
      </c>
      <c r="W13" s="41">
        <v>356</v>
      </c>
      <c r="X13" s="41">
        <v>406</v>
      </c>
      <c r="Y13" s="41">
        <v>60</v>
      </c>
      <c r="Z13" s="41">
        <v>172</v>
      </c>
      <c r="AA13" s="41">
        <v>346</v>
      </c>
      <c r="AB13" s="116">
        <v>284</v>
      </c>
      <c r="AC13" s="107" t="s">
        <v>53</v>
      </c>
      <c r="AD13" s="42">
        <f>29*2</f>
        <v>58</v>
      </c>
      <c r="AE13" s="42">
        <f>144+81</f>
        <v>225</v>
      </c>
      <c r="AF13" s="41">
        <v>231</v>
      </c>
      <c r="AG13" s="41">
        <v>138</v>
      </c>
      <c r="AH13" s="41">
        <f>75+123</f>
        <v>198</v>
      </c>
      <c r="AI13" s="41">
        <f>84+84</f>
        <v>168</v>
      </c>
      <c r="AJ13" s="41">
        <v>137</v>
      </c>
      <c r="AK13" s="41">
        <v>190</v>
      </c>
      <c r="AL13" s="41">
        <v>73</v>
      </c>
      <c r="AM13" s="41">
        <v>147</v>
      </c>
      <c r="AN13" s="41">
        <v>120</v>
      </c>
      <c r="AO13" s="116">
        <v>148</v>
      </c>
      <c r="AP13" s="107" t="s">
        <v>53</v>
      </c>
      <c r="AQ13" s="42">
        <v>150</v>
      </c>
      <c r="AR13" s="42">
        <v>354</v>
      </c>
      <c r="AS13" s="109" t="s">
        <v>53</v>
      </c>
      <c r="AT13" s="109" t="s">
        <v>53</v>
      </c>
      <c r="AU13" s="109" t="s">
        <v>53</v>
      </c>
      <c r="AV13" s="109" t="s">
        <v>53</v>
      </c>
      <c r="AW13" s="41">
        <v>374</v>
      </c>
      <c r="AX13" s="41">
        <v>442</v>
      </c>
      <c r="AY13" s="41">
        <v>0</v>
      </c>
      <c r="AZ13" s="41">
        <v>156</v>
      </c>
      <c r="BA13" s="41">
        <v>267</v>
      </c>
      <c r="BB13" s="116">
        <v>221</v>
      </c>
      <c r="BC13" s="107" t="s">
        <v>53</v>
      </c>
      <c r="BD13" s="42">
        <v>292</v>
      </c>
      <c r="BE13" s="109">
        <v>331</v>
      </c>
      <c r="BF13" s="109">
        <v>302</v>
      </c>
      <c r="BG13" s="109">
        <v>286</v>
      </c>
      <c r="BH13" s="109">
        <v>310</v>
      </c>
      <c r="BI13" s="41">
        <v>340</v>
      </c>
      <c r="BJ13" s="41">
        <v>450</v>
      </c>
      <c r="BK13" s="41">
        <v>4</v>
      </c>
      <c r="BL13" s="41">
        <v>80</v>
      </c>
      <c r="BM13" s="116">
        <v>154</v>
      </c>
      <c r="BN13" s="116">
        <v>210</v>
      </c>
      <c r="BO13" s="41">
        <v>168</v>
      </c>
      <c r="BP13" s="41">
        <v>146</v>
      </c>
      <c r="BQ13" s="41">
        <v>144</v>
      </c>
      <c r="BR13" s="41">
        <v>145</v>
      </c>
      <c r="BS13" s="41">
        <v>155</v>
      </c>
      <c r="BT13" s="41">
        <v>153</v>
      </c>
      <c r="BU13" s="41">
        <v>21</v>
      </c>
      <c r="BV13" s="41">
        <v>89</v>
      </c>
      <c r="BW13" s="116">
        <v>212</v>
      </c>
      <c r="BX13" s="116">
        <v>162</v>
      </c>
      <c r="BY13" s="41">
        <v>68</v>
      </c>
      <c r="BZ13" s="39">
        <v>28</v>
      </c>
      <c r="CA13" s="41">
        <v>18</v>
      </c>
      <c r="CB13" s="41">
        <v>20</v>
      </c>
      <c r="CC13" s="41">
        <v>19</v>
      </c>
      <c r="CD13" s="41">
        <v>20</v>
      </c>
      <c r="CE13" s="41">
        <v>14</v>
      </c>
      <c r="CF13" s="41">
        <v>8</v>
      </c>
      <c r="CG13" s="44">
        <v>20</v>
      </c>
      <c r="CH13" s="116">
        <v>26</v>
      </c>
      <c r="CI13" s="39">
        <v>43</v>
      </c>
      <c r="CJ13" s="41">
        <v>86</v>
      </c>
      <c r="CK13" s="41">
        <v>147</v>
      </c>
      <c r="CL13" s="41">
        <v>150</v>
      </c>
      <c r="CM13" s="41">
        <v>151</v>
      </c>
      <c r="CN13" s="41">
        <v>10</v>
      </c>
      <c r="CO13" s="41">
        <v>14</v>
      </c>
      <c r="CP13" s="116">
        <v>67</v>
      </c>
      <c r="CQ13" s="116">
        <v>57</v>
      </c>
      <c r="CR13" s="39" t="s">
        <v>54</v>
      </c>
      <c r="CS13" s="41">
        <v>123</v>
      </c>
      <c r="CT13" s="41">
        <v>166</v>
      </c>
      <c r="CU13" s="41">
        <v>0</v>
      </c>
      <c r="CV13" s="41">
        <v>226</v>
      </c>
      <c r="CW13" s="41">
        <v>171</v>
      </c>
      <c r="CX13" s="116">
        <v>436</v>
      </c>
      <c r="CY13" s="41" t="s">
        <v>54</v>
      </c>
      <c r="CZ13" s="41">
        <v>42</v>
      </c>
      <c r="DA13" s="41">
        <v>72</v>
      </c>
      <c r="DB13" s="116">
        <v>22</v>
      </c>
      <c r="DC13" s="41">
        <v>6</v>
      </c>
      <c r="DD13" s="41">
        <v>6</v>
      </c>
      <c r="DE13" s="41">
        <v>26</v>
      </c>
      <c r="DF13" s="116">
        <v>28</v>
      </c>
      <c r="DG13" s="41" t="s">
        <v>54</v>
      </c>
      <c r="DH13" s="41">
        <v>8</v>
      </c>
      <c r="DI13" s="41">
        <v>30</v>
      </c>
      <c r="DJ13" s="41">
        <v>58</v>
      </c>
      <c r="DK13" s="116">
        <v>158</v>
      </c>
      <c r="DL13" s="41" t="s">
        <v>54</v>
      </c>
      <c r="DM13" s="41">
        <v>12</v>
      </c>
      <c r="DN13" s="41">
        <v>20</v>
      </c>
      <c r="DO13" s="44">
        <v>72</v>
      </c>
      <c r="DP13" s="41">
        <v>59</v>
      </c>
      <c r="DQ13" s="41">
        <v>57</v>
      </c>
      <c r="DR13" s="41">
        <v>13</v>
      </c>
      <c r="DS13" s="67" t="s">
        <v>21</v>
      </c>
    </row>
    <row r="14" spans="1:131" ht="23.25" customHeight="1" x14ac:dyDescent="0.4">
      <c r="A14" s="58" t="s">
        <v>22</v>
      </c>
      <c r="B14" s="36"/>
      <c r="C14" s="105">
        <v>178</v>
      </c>
      <c r="D14" s="42">
        <v>154</v>
      </c>
      <c r="E14" s="42">
        <v>189</v>
      </c>
      <c r="F14" s="41">
        <v>178</v>
      </c>
      <c r="G14" s="41">
        <v>168</v>
      </c>
      <c r="H14" s="41">
        <v>193</v>
      </c>
      <c r="I14" s="41">
        <v>215</v>
      </c>
      <c r="J14" s="41">
        <v>195</v>
      </c>
      <c r="K14" s="41">
        <v>195</v>
      </c>
      <c r="L14" s="41">
        <v>34</v>
      </c>
      <c r="M14" s="41">
        <v>139</v>
      </c>
      <c r="N14" s="41">
        <v>224</v>
      </c>
      <c r="O14" s="116">
        <v>142</v>
      </c>
      <c r="P14" s="42">
        <v>322</v>
      </c>
      <c r="Q14" s="42">
        <v>372</v>
      </c>
      <c r="R14" s="42">
        <v>308</v>
      </c>
      <c r="S14" s="41">
        <v>362</v>
      </c>
      <c r="T14" s="41">
        <v>356</v>
      </c>
      <c r="U14" s="41">
        <v>402</v>
      </c>
      <c r="V14" s="41">
        <v>442</v>
      </c>
      <c r="W14" s="41">
        <v>370</v>
      </c>
      <c r="X14" s="41">
        <v>402</v>
      </c>
      <c r="Y14" s="41">
        <v>48</v>
      </c>
      <c r="Z14" s="41">
        <v>264</v>
      </c>
      <c r="AA14" s="41">
        <v>386</v>
      </c>
      <c r="AB14" s="116">
        <v>322</v>
      </c>
      <c r="AC14" s="107" t="s">
        <v>53</v>
      </c>
      <c r="AD14" s="42">
        <f>30*2</f>
        <v>60</v>
      </c>
      <c r="AE14" s="42">
        <f>180+48</f>
        <v>228</v>
      </c>
      <c r="AF14" s="41">
        <v>247</v>
      </c>
      <c r="AG14" s="41">
        <f>87+40+5</f>
        <v>132</v>
      </c>
      <c r="AH14" s="41">
        <f>88+123</f>
        <v>211</v>
      </c>
      <c r="AI14" s="41">
        <f>93+96</f>
        <v>189</v>
      </c>
      <c r="AJ14" s="41">
        <v>148</v>
      </c>
      <c r="AK14" s="41">
        <v>151</v>
      </c>
      <c r="AL14" s="41">
        <v>98</v>
      </c>
      <c r="AM14" s="41">
        <v>202</v>
      </c>
      <c r="AN14" s="41">
        <v>142</v>
      </c>
      <c r="AO14" s="116">
        <v>174</v>
      </c>
      <c r="AP14" s="107" t="s">
        <v>53</v>
      </c>
      <c r="AQ14" s="42">
        <v>226</v>
      </c>
      <c r="AR14" s="42">
        <v>337</v>
      </c>
      <c r="AS14" s="109" t="s">
        <v>53</v>
      </c>
      <c r="AT14" s="109" t="s">
        <v>53</v>
      </c>
      <c r="AU14" s="109" t="s">
        <v>53</v>
      </c>
      <c r="AV14" s="109" t="s">
        <v>53</v>
      </c>
      <c r="AW14" s="41">
        <v>403</v>
      </c>
      <c r="AX14" s="41">
        <v>430</v>
      </c>
      <c r="AY14" s="41">
        <v>0</v>
      </c>
      <c r="AZ14" s="41">
        <v>204</v>
      </c>
      <c r="BA14" s="41">
        <v>281</v>
      </c>
      <c r="BB14" s="116">
        <v>215</v>
      </c>
      <c r="BC14" s="107" t="s">
        <v>53</v>
      </c>
      <c r="BD14" s="42">
        <v>302</v>
      </c>
      <c r="BE14" s="109">
        <v>346</v>
      </c>
      <c r="BF14" s="109">
        <v>330</v>
      </c>
      <c r="BG14" s="109">
        <v>296</v>
      </c>
      <c r="BH14" s="109">
        <v>366</v>
      </c>
      <c r="BI14" s="41">
        <v>378</v>
      </c>
      <c r="BJ14" s="41">
        <v>478</v>
      </c>
      <c r="BK14" s="41">
        <v>11</v>
      </c>
      <c r="BL14" s="41">
        <v>135</v>
      </c>
      <c r="BM14" s="116">
        <v>199</v>
      </c>
      <c r="BN14" s="116">
        <v>211</v>
      </c>
      <c r="BO14" s="41">
        <v>173</v>
      </c>
      <c r="BP14" s="41">
        <v>152</v>
      </c>
      <c r="BQ14" s="41">
        <v>162</v>
      </c>
      <c r="BR14" s="41">
        <v>154</v>
      </c>
      <c r="BS14" s="41">
        <v>166</v>
      </c>
      <c r="BT14" s="41">
        <v>153</v>
      </c>
      <c r="BU14" s="41">
        <v>16</v>
      </c>
      <c r="BV14" s="41">
        <v>152</v>
      </c>
      <c r="BW14" s="116">
        <v>215</v>
      </c>
      <c r="BX14" s="116">
        <v>170</v>
      </c>
      <c r="BY14" s="41">
        <v>58</v>
      </c>
      <c r="BZ14" s="39">
        <v>26</v>
      </c>
      <c r="CA14" s="41">
        <v>25</v>
      </c>
      <c r="CB14" s="41">
        <v>21</v>
      </c>
      <c r="CC14" s="41">
        <v>19</v>
      </c>
      <c r="CD14" s="41">
        <v>23</v>
      </c>
      <c r="CE14" s="41">
        <v>14</v>
      </c>
      <c r="CF14" s="41">
        <v>14</v>
      </c>
      <c r="CG14" s="44">
        <v>34</v>
      </c>
      <c r="CH14" s="116">
        <v>22</v>
      </c>
      <c r="CI14" s="39">
        <v>39</v>
      </c>
      <c r="CJ14" s="41">
        <v>120</v>
      </c>
      <c r="CK14" s="41">
        <v>155</v>
      </c>
      <c r="CL14" s="41">
        <v>169</v>
      </c>
      <c r="CM14" s="41">
        <v>165</v>
      </c>
      <c r="CN14" s="41">
        <v>8</v>
      </c>
      <c r="CO14" s="41">
        <v>37</v>
      </c>
      <c r="CP14" s="116">
        <v>97</v>
      </c>
      <c r="CQ14" s="116">
        <v>57</v>
      </c>
      <c r="CR14" s="39" t="s">
        <v>54</v>
      </c>
      <c r="CS14" s="41">
        <v>157</v>
      </c>
      <c r="CT14" s="41">
        <v>176</v>
      </c>
      <c r="CU14" s="41">
        <v>1</v>
      </c>
      <c r="CV14" s="41">
        <v>288</v>
      </c>
      <c r="CW14" s="41">
        <v>248</v>
      </c>
      <c r="CX14" s="116">
        <v>588</v>
      </c>
      <c r="CY14" s="41">
        <v>14</v>
      </c>
      <c r="CZ14" s="41">
        <v>104</v>
      </c>
      <c r="DA14" s="41">
        <v>84</v>
      </c>
      <c r="DB14" s="116">
        <v>22</v>
      </c>
      <c r="DC14" s="41">
        <v>18</v>
      </c>
      <c r="DD14" s="41">
        <v>20</v>
      </c>
      <c r="DE14" s="41">
        <v>42</v>
      </c>
      <c r="DF14" s="116">
        <v>40</v>
      </c>
      <c r="DG14" s="41" t="s">
        <v>54</v>
      </c>
      <c r="DH14" s="41">
        <v>17</v>
      </c>
      <c r="DI14" s="41">
        <v>50</v>
      </c>
      <c r="DJ14" s="41">
        <v>90</v>
      </c>
      <c r="DK14" s="116">
        <v>202</v>
      </c>
      <c r="DL14" s="41" t="s">
        <v>54</v>
      </c>
      <c r="DM14" s="41">
        <v>44</v>
      </c>
      <c r="DN14" s="41">
        <v>29</v>
      </c>
      <c r="DO14" s="44">
        <v>80</v>
      </c>
      <c r="DP14" s="41">
        <v>84</v>
      </c>
      <c r="DQ14" s="41">
        <v>66</v>
      </c>
      <c r="DR14" s="41">
        <v>14</v>
      </c>
      <c r="DS14" s="67" t="s">
        <v>23</v>
      </c>
      <c r="DX14" s="23"/>
      <c r="DY14" s="23"/>
      <c r="DZ14" s="23"/>
      <c r="EA14" s="23"/>
    </row>
    <row r="15" spans="1:131" ht="23.25" customHeight="1" x14ac:dyDescent="0.4">
      <c r="A15" s="58" t="s">
        <v>24</v>
      </c>
      <c r="B15" s="36"/>
      <c r="C15" s="105">
        <v>139</v>
      </c>
      <c r="D15" s="42">
        <v>153</v>
      </c>
      <c r="E15" s="42">
        <v>200</v>
      </c>
      <c r="F15" s="41">
        <v>189</v>
      </c>
      <c r="G15" s="41">
        <v>173</v>
      </c>
      <c r="H15" s="41">
        <v>214</v>
      </c>
      <c r="I15" s="41">
        <v>217</v>
      </c>
      <c r="J15" s="41">
        <v>210</v>
      </c>
      <c r="K15" s="41">
        <v>221</v>
      </c>
      <c r="L15" s="41">
        <v>84</v>
      </c>
      <c r="M15" s="41">
        <v>181</v>
      </c>
      <c r="N15" s="41">
        <v>248</v>
      </c>
      <c r="O15" s="116">
        <v>160</v>
      </c>
      <c r="P15" s="42">
        <v>254</v>
      </c>
      <c r="Q15" s="42">
        <v>362</v>
      </c>
      <c r="R15" s="42">
        <v>464</v>
      </c>
      <c r="S15" s="41">
        <v>392</v>
      </c>
      <c r="T15" s="41">
        <v>346</v>
      </c>
      <c r="U15" s="41">
        <v>438</v>
      </c>
      <c r="V15" s="41">
        <v>436</v>
      </c>
      <c r="W15" s="41">
        <v>412</v>
      </c>
      <c r="X15" s="41">
        <v>424</v>
      </c>
      <c r="Y15" s="41">
        <v>34</v>
      </c>
      <c r="Z15" s="41">
        <v>292</v>
      </c>
      <c r="AA15" s="41">
        <v>374</v>
      </c>
      <c r="AB15" s="116">
        <v>306</v>
      </c>
      <c r="AC15" s="107" t="s">
        <v>53</v>
      </c>
      <c r="AD15" s="42">
        <f>33*2</f>
        <v>66</v>
      </c>
      <c r="AE15" s="42">
        <f>136+90</f>
        <v>226</v>
      </c>
      <c r="AF15" s="41">
        <v>226</v>
      </c>
      <c r="AG15" s="41">
        <f>87+12</f>
        <v>99</v>
      </c>
      <c r="AH15" s="41">
        <v>149</v>
      </c>
      <c r="AI15" s="41">
        <f>68+78</f>
        <v>146</v>
      </c>
      <c r="AJ15" s="41">
        <v>180</v>
      </c>
      <c r="AK15" s="41">
        <v>177</v>
      </c>
      <c r="AL15" s="41">
        <v>84</v>
      </c>
      <c r="AM15" s="41">
        <v>236</v>
      </c>
      <c r="AN15" s="41">
        <v>138</v>
      </c>
      <c r="AO15" s="116">
        <v>138</v>
      </c>
      <c r="AP15" s="107" t="s">
        <v>53</v>
      </c>
      <c r="AQ15" s="42">
        <v>250</v>
      </c>
      <c r="AR15" s="42">
        <v>402</v>
      </c>
      <c r="AS15" s="109" t="s">
        <v>53</v>
      </c>
      <c r="AT15" s="109" t="s">
        <v>53</v>
      </c>
      <c r="AU15" s="109" t="s">
        <v>53</v>
      </c>
      <c r="AV15" s="109" t="s">
        <v>53</v>
      </c>
      <c r="AW15" s="41">
        <v>450</v>
      </c>
      <c r="AX15" s="41">
        <v>420</v>
      </c>
      <c r="AY15" s="41">
        <v>0</v>
      </c>
      <c r="AZ15" s="41">
        <v>202</v>
      </c>
      <c r="BA15" s="41">
        <v>269</v>
      </c>
      <c r="BB15" s="116">
        <v>235</v>
      </c>
      <c r="BC15" s="107" t="s">
        <v>53</v>
      </c>
      <c r="BD15" s="42">
        <v>333</v>
      </c>
      <c r="BE15" s="109">
        <v>370</v>
      </c>
      <c r="BF15" s="109">
        <v>341</v>
      </c>
      <c r="BG15" s="109">
        <v>329</v>
      </c>
      <c r="BH15" s="109">
        <v>397</v>
      </c>
      <c r="BI15" s="41">
        <v>430</v>
      </c>
      <c r="BJ15" s="41">
        <v>480</v>
      </c>
      <c r="BK15" s="41">
        <v>6</v>
      </c>
      <c r="BL15" s="41">
        <v>138</v>
      </c>
      <c r="BM15" s="116">
        <v>186</v>
      </c>
      <c r="BN15" s="116">
        <v>255</v>
      </c>
      <c r="BO15" s="41">
        <v>172</v>
      </c>
      <c r="BP15" s="41">
        <v>163</v>
      </c>
      <c r="BQ15" s="41">
        <v>156</v>
      </c>
      <c r="BR15" s="41">
        <v>148</v>
      </c>
      <c r="BS15" s="41">
        <v>165</v>
      </c>
      <c r="BT15" s="41">
        <v>161</v>
      </c>
      <c r="BU15" s="41">
        <v>45</v>
      </c>
      <c r="BV15" s="41">
        <v>156</v>
      </c>
      <c r="BW15" s="116">
        <v>215</v>
      </c>
      <c r="BX15" s="116">
        <v>172</v>
      </c>
      <c r="BY15" s="41">
        <v>60</v>
      </c>
      <c r="BZ15" s="39">
        <v>26</v>
      </c>
      <c r="CA15" s="41">
        <v>19</v>
      </c>
      <c r="CB15" s="41">
        <v>22</v>
      </c>
      <c r="CC15" s="41">
        <v>27</v>
      </c>
      <c r="CD15" s="41">
        <v>30</v>
      </c>
      <c r="CE15" s="41">
        <v>8</v>
      </c>
      <c r="CF15" s="41">
        <v>14</v>
      </c>
      <c r="CG15" s="44">
        <v>22</v>
      </c>
      <c r="CH15" s="116">
        <v>26</v>
      </c>
      <c r="CI15" s="39">
        <v>54</v>
      </c>
      <c r="CJ15" s="41">
        <v>149</v>
      </c>
      <c r="CK15" s="41">
        <v>173</v>
      </c>
      <c r="CL15" s="41">
        <v>147</v>
      </c>
      <c r="CM15" s="41">
        <v>155</v>
      </c>
      <c r="CN15" s="41">
        <v>6</v>
      </c>
      <c r="CO15" s="41">
        <v>30</v>
      </c>
      <c r="CP15" s="116">
        <v>69</v>
      </c>
      <c r="CQ15" s="116">
        <v>58</v>
      </c>
      <c r="CR15" s="39" t="s">
        <v>54</v>
      </c>
      <c r="CS15" s="41">
        <v>172</v>
      </c>
      <c r="CT15" s="41">
        <v>189</v>
      </c>
      <c r="CU15" s="41">
        <v>4</v>
      </c>
      <c r="CV15" s="41">
        <v>265</v>
      </c>
      <c r="CW15" s="41">
        <v>268</v>
      </c>
      <c r="CX15" s="116">
        <v>530</v>
      </c>
      <c r="CY15" s="41">
        <v>12</v>
      </c>
      <c r="CZ15" s="41">
        <v>97</v>
      </c>
      <c r="DA15" s="41">
        <v>70</v>
      </c>
      <c r="DB15" s="116">
        <v>21</v>
      </c>
      <c r="DC15" s="41">
        <v>18</v>
      </c>
      <c r="DD15" s="41">
        <v>20</v>
      </c>
      <c r="DE15" s="41">
        <v>36</v>
      </c>
      <c r="DF15" s="116">
        <v>28</v>
      </c>
      <c r="DG15" s="41">
        <v>24</v>
      </c>
      <c r="DH15" s="41">
        <v>17</v>
      </c>
      <c r="DI15" s="41">
        <v>44</v>
      </c>
      <c r="DJ15" s="41">
        <v>64</v>
      </c>
      <c r="DK15" s="116">
        <v>190</v>
      </c>
      <c r="DL15" s="41" t="s">
        <v>54</v>
      </c>
      <c r="DM15" s="41">
        <v>27</v>
      </c>
      <c r="DN15" s="41">
        <v>24</v>
      </c>
      <c r="DO15" s="44">
        <v>150</v>
      </c>
      <c r="DP15" s="41">
        <v>98</v>
      </c>
      <c r="DQ15" s="41">
        <v>84</v>
      </c>
      <c r="DR15" s="41">
        <v>20</v>
      </c>
      <c r="DS15" s="67" t="s">
        <v>25</v>
      </c>
    </row>
    <row r="16" spans="1:131" ht="23.25" customHeight="1" x14ac:dyDescent="0.4">
      <c r="A16" s="58" t="s">
        <v>26</v>
      </c>
      <c r="B16" s="36"/>
      <c r="C16" s="105">
        <v>148</v>
      </c>
      <c r="D16" s="42">
        <v>155</v>
      </c>
      <c r="E16" s="42">
        <v>200</v>
      </c>
      <c r="F16" s="41">
        <v>185</v>
      </c>
      <c r="G16" s="41">
        <v>177</v>
      </c>
      <c r="H16" s="41">
        <v>233</v>
      </c>
      <c r="I16" s="41">
        <v>242</v>
      </c>
      <c r="J16" s="41">
        <v>215</v>
      </c>
      <c r="K16" s="41">
        <v>228</v>
      </c>
      <c r="L16" s="41">
        <v>54</v>
      </c>
      <c r="M16" s="41">
        <v>169</v>
      </c>
      <c r="N16" s="41">
        <v>266</v>
      </c>
      <c r="O16" s="116">
        <v>159</v>
      </c>
      <c r="P16" s="42">
        <v>272</v>
      </c>
      <c r="Q16" s="42">
        <v>286</v>
      </c>
      <c r="R16" s="42">
        <v>376</v>
      </c>
      <c r="S16" s="41">
        <v>346</v>
      </c>
      <c r="T16" s="41">
        <v>320</v>
      </c>
      <c r="U16" s="41">
        <v>432</v>
      </c>
      <c r="V16" s="41">
        <v>434</v>
      </c>
      <c r="W16" s="41">
        <v>402</v>
      </c>
      <c r="X16" s="41">
        <v>392</v>
      </c>
      <c r="Y16" s="41">
        <v>30</v>
      </c>
      <c r="Z16" s="41">
        <v>276</v>
      </c>
      <c r="AA16" s="41">
        <v>344</v>
      </c>
      <c r="AB16" s="116">
        <v>330</v>
      </c>
      <c r="AC16" s="107" t="s">
        <v>53</v>
      </c>
      <c r="AD16" s="42">
        <f>27*2</f>
        <v>54</v>
      </c>
      <c r="AE16" s="42">
        <f>148+51</f>
        <v>199</v>
      </c>
      <c r="AF16" s="41">
        <v>223</v>
      </c>
      <c r="AG16" s="41">
        <v>185</v>
      </c>
      <c r="AH16" s="41">
        <f>123+44</f>
        <v>167</v>
      </c>
      <c r="AI16" s="41">
        <f>96+76</f>
        <v>172</v>
      </c>
      <c r="AJ16" s="41">
        <v>191</v>
      </c>
      <c r="AK16" s="41">
        <f>102+76</f>
        <v>178</v>
      </c>
      <c r="AL16" s="41">
        <v>64</v>
      </c>
      <c r="AM16" s="41">
        <v>202</v>
      </c>
      <c r="AN16" s="41">
        <v>128</v>
      </c>
      <c r="AO16" s="116">
        <v>154</v>
      </c>
      <c r="AP16" s="107" t="s">
        <v>53</v>
      </c>
      <c r="AQ16" s="42">
        <v>308</v>
      </c>
      <c r="AR16" s="42">
        <v>387</v>
      </c>
      <c r="AS16" s="109" t="s">
        <v>53</v>
      </c>
      <c r="AT16" s="109" t="s">
        <v>53</v>
      </c>
      <c r="AU16" s="109" t="s">
        <v>53</v>
      </c>
      <c r="AV16" s="109" t="s">
        <v>53</v>
      </c>
      <c r="AW16" s="41">
        <v>375</v>
      </c>
      <c r="AX16" s="41">
        <v>318</v>
      </c>
      <c r="AY16" s="41">
        <v>0</v>
      </c>
      <c r="AZ16" s="41">
        <v>205</v>
      </c>
      <c r="BA16" s="41">
        <v>272</v>
      </c>
      <c r="BB16" s="116">
        <v>237</v>
      </c>
      <c r="BC16" s="107" t="s">
        <v>53</v>
      </c>
      <c r="BD16" s="42">
        <v>335</v>
      </c>
      <c r="BE16" s="109">
        <v>357</v>
      </c>
      <c r="BF16" s="109">
        <v>314</v>
      </c>
      <c r="BG16" s="109">
        <v>331</v>
      </c>
      <c r="BH16" s="109">
        <v>362</v>
      </c>
      <c r="BI16" s="41">
        <v>360</v>
      </c>
      <c r="BJ16" s="41">
        <v>380</v>
      </c>
      <c r="BK16" s="41">
        <v>7</v>
      </c>
      <c r="BL16" s="41">
        <v>135</v>
      </c>
      <c r="BM16" s="116">
        <v>172</v>
      </c>
      <c r="BN16" s="116">
        <v>198</v>
      </c>
      <c r="BO16" s="41">
        <v>166</v>
      </c>
      <c r="BP16" s="41">
        <v>151</v>
      </c>
      <c r="BQ16" s="41">
        <v>155</v>
      </c>
      <c r="BR16" s="41">
        <v>166</v>
      </c>
      <c r="BS16" s="41">
        <v>158</v>
      </c>
      <c r="BT16" s="41">
        <v>154</v>
      </c>
      <c r="BU16" s="41">
        <v>46</v>
      </c>
      <c r="BV16" s="41">
        <v>160</v>
      </c>
      <c r="BW16" s="116">
        <v>218</v>
      </c>
      <c r="BX16" s="116">
        <v>174</v>
      </c>
      <c r="BY16" s="41">
        <v>46</v>
      </c>
      <c r="BZ16" s="39">
        <v>32</v>
      </c>
      <c r="CA16" s="41">
        <v>24</v>
      </c>
      <c r="CB16" s="41">
        <v>21</v>
      </c>
      <c r="CC16" s="41">
        <v>23</v>
      </c>
      <c r="CD16" s="41">
        <v>21</v>
      </c>
      <c r="CE16" s="41">
        <v>6</v>
      </c>
      <c r="CF16" s="41">
        <v>10</v>
      </c>
      <c r="CG16" s="44">
        <v>18</v>
      </c>
      <c r="CH16" s="116">
        <v>20</v>
      </c>
      <c r="CI16" s="39">
        <v>69</v>
      </c>
      <c r="CJ16" s="41">
        <v>130</v>
      </c>
      <c r="CK16" s="41">
        <v>173</v>
      </c>
      <c r="CL16" s="41">
        <v>141</v>
      </c>
      <c r="CM16" s="41">
        <v>154</v>
      </c>
      <c r="CN16" s="41">
        <v>9</v>
      </c>
      <c r="CO16" s="41">
        <v>32</v>
      </c>
      <c r="CP16" s="116">
        <v>63</v>
      </c>
      <c r="CQ16" s="116">
        <v>60</v>
      </c>
      <c r="CR16" s="39" t="s">
        <v>54</v>
      </c>
      <c r="CS16" s="41">
        <v>165</v>
      </c>
      <c r="CT16" s="41">
        <v>161</v>
      </c>
      <c r="CU16" s="41">
        <v>10</v>
      </c>
      <c r="CV16" s="41">
        <v>217</v>
      </c>
      <c r="CW16" s="41">
        <v>214</v>
      </c>
      <c r="CX16" s="116">
        <v>428</v>
      </c>
      <c r="CY16" s="41">
        <v>14</v>
      </c>
      <c r="CZ16" s="41">
        <v>70</v>
      </c>
      <c r="DA16" s="41">
        <v>56</v>
      </c>
      <c r="DB16" s="116">
        <v>18</v>
      </c>
      <c r="DC16" s="41">
        <v>12</v>
      </c>
      <c r="DD16" s="41">
        <v>20</v>
      </c>
      <c r="DE16" s="41">
        <v>18</v>
      </c>
      <c r="DF16" s="116">
        <v>30</v>
      </c>
      <c r="DG16" s="41">
        <v>26</v>
      </c>
      <c r="DH16" s="41">
        <v>10</v>
      </c>
      <c r="DI16" s="41">
        <v>52</v>
      </c>
      <c r="DJ16" s="41">
        <v>60</v>
      </c>
      <c r="DK16" s="116">
        <v>198</v>
      </c>
      <c r="DL16" s="41" t="s">
        <v>54</v>
      </c>
      <c r="DM16" s="41">
        <v>13</v>
      </c>
      <c r="DN16" s="41">
        <v>60</v>
      </c>
      <c r="DO16" s="44">
        <v>78</v>
      </c>
      <c r="DP16" s="41">
        <v>96</v>
      </c>
      <c r="DQ16" s="41">
        <v>76</v>
      </c>
      <c r="DR16" s="41">
        <v>32</v>
      </c>
      <c r="DS16" s="67" t="s">
        <v>27</v>
      </c>
    </row>
    <row r="17" spans="1:131" ht="23.25" customHeight="1" x14ac:dyDescent="0.4">
      <c r="A17" s="58" t="s">
        <v>28</v>
      </c>
      <c r="B17" s="36"/>
      <c r="C17" s="105">
        <v>144</v>
      </c>
      <c r="D17" s="42">
        <v>157</v>
      </c>
      <c r="E17" s="42">
        <v>204</v>
      </c>
      <c r="F17" s="41">
        <v>180</v>
      </c>
      <c r="G17" s="41">
        <v>163</v>
      </c>
      <c r="H17" s="41">
        <v>228</v>
      </c>
      <c r="I17" s="41">
        <v>238</v>
      </c>
      <c r="J17" s="41">
        <v>168</v>
      </c>
      <c r="K17" s="41">
        <v>217</v>
      </c>
      <c r="L17" s="41">
        <v>74</v>
      </c>
      <c r="M17" s="41">
        <v>203</v>
      </c>
      <c r="N17" s="41">
        <v>258</v>
      </c>
      <c r="O17" s="116">
        <v>136</v>
      </c>
      <c r="P17" s="42">
        <v>190</v>
      </c>
      <c r="Q17" s="42">
        <v>272</v>
      </c>
      <c r="R17" s="42">
        <v>380</v>
      </c>
      <c r="S17" s="41">
        <v>366</v>
      </c>
      <c r="T17" s="41">
        <v>334</v>
      </c>
      <c r="U17" s="41">
        <v>492</v>
      </c>
      <c r="V17" s="41">
        <v>446</v>
      </c>
      <c r="W17" s="41">
        <v>394</v>
      </c>
      <c r="X17" s="41">
        <v>408</v>
      </c>
      <c r="Y17" s="41">
        <v>54</v>
      </c>
      <c r="Z17" s="41">
        <v>340</v>
      </c>
      <c r="AA17" s="41">
        <v>360</v>
      </c>
      <c r="AB17" s="116">
        <v>318</v>
      </c>
      <c r="AC17" s="107">
        <v>4</v>
      </c>
      <c r="AD17" s="42">
        <f>26*2</f>
        <v>52</v>
      </c>
      <c r="AE17" s="42">
        <f>54+156</f>
        <v>210</v>
      </c>
      <c r="AF17" s="41">
        <v>251</v>
      </c>
      <c r="AG17" s="41">
        <f>84+20</f>
        <v>104</v>
      </c>
      <c r="AH17" s="41">
        <v>172</v>
      </c>
      <c r="AI17" s="41">
        <f>78+44</f>
        <v>122</v>
      </c>
      <c r="AJ17" s="41">
        <v>105</v>
      </c>
      <c r="AK17" s="41">
        <f>76+75</f>
        <v>151</v>
      </c>
      <c r="AL17" s="41">
        <v>55</v>
      </c>
      <c r="AM17" s="41">
        <v>224</v>
      </c>
      <c r="AN17" s="41">
        <v>136</v>
      </c>
      <c r="AO17" s="116">
        <v>136</v>
      </c>
      <c r="AP17" s="107">
        <v>186</v>
      </c>
      <c r="AQ17" s="42">
        <v>365</v>
      </c>
      <c r="AR17" s="42">
        <v>439</v>
      </c>
      <c r="AS17" s="109" t="s">
        <v>53</v>
      </c>
      <c r="AT17" s="109" t="s">
        <v>53</v>
      </c>
      <c r="AU17" s="109" t="s">
        <v>53</v>
      </c>
      <c r="AV17" s="109" t="s">
        <v>53</v>
      </c>
      <c r="AW17" s="41">
        <v>414</v>
      </c>
      <c r="AX17" s="41">
        <v>350</v>
      </c>
      <c r="AY17" s="41">
        <v>102</v>
      </c>
      <c r="AZ17" s="41">
        <v>224</v>
      </c>
      <c r="BA17" s="41">
        <v>276</v>
      </c>
      <c r="BB17" s="116">
        <v>240</v>
      </c>
      <c r="BC17" s="107">
        <v>30</v>
      </c>
      <c r="BD17" s="42">
        <v>357</v>
      </c>
      <c r="BE17" s="109">
        <v>368</v>
      </c>
      <c r="BF17" s="109">
        <v>328</v>
      </c>
      <c r="BG17" s="109">
        <v>321</v>
      </c>
      <c r="BH17" s="109">
        <v>387</v>
      </c>
      <c r="BI17" s="41">
        <v>392</v>
      </c>
      <c r="BJ17" s="41">
        <v>441</v>
      </c>
      <c r="BK17" s="41">
        <v>9</v>
      </c>
      <c r="BL17" s="41">
        <v>160</v>
      </c>
      <c r="BM17" s="116">
        <v>200</v>
      </c>
      <c r="BN17" s="116">
        <v>235</v>
      </c>
      <c r="BO17" s="41">
        <v>185</v>
      </c>
      <c r="BP17" s="41">
        <v>173</v>
      </c>
      <c r="BQ17" s="41">
        <v>167</v>
      </c>
      <c r="BR17" s="41">
        <v>163</v>
      </c>
      <c r="BS17" s="41">
        <v>167</v>
      </c>
      <c r="BT17" s="41">
        <v>165</v>
      </c>
      <c r="BU17" s="41">
        <v>62</v>
      </c>
      <c r="BV17" s="41">
        <v>169</v>
      </c>
      <c r="BW17" s="116">
        <v>227</v>
      </c>
      <c r="BX17" s="116">
        <v>178</v>
      </c>
      <c r="BY17" s="41">
        <v>54</v>
      </c>
      <c r="BZ17" s="39">
        <v>27</v>
      </c>
      <c r="CA17" s="41">
        <v>20</v>
      </c>
      <c r="CB17" s="41">
        <v>19</v>
      </c>
      <c r="CC17" s="41">
        <v>18</v>
      </c>
      <c r="CD17" s="41">
        <v>19</v>
      </c>
      <c r="CE17" s="41">
        <v>10</v>
      </c>
      <c r="CF17" s="41">
        <v>22</v>
      </c>
      <c r="CG17" s="44">
        <v>18</v>
      </c>
      <c r="CH17" s="116">
        <v>16</v>
      </c>
      <c r="CI17" s="39">
        <v>87</v>
      </c>
      <c r="CJ17" s="41">
        <v>150</v>
      </c>
      <c r="CK17" s="41">
        <v>188</v>
      </c>
      <c r="CL17" s="41">
        <v>171</v>
      </c>
      <c r="CM17" s="41">
        <v>171</v>
      </c>
      <c r="CN17" s="41">
        <v>15</v>
      </c>
      <c r="CO17" s="41">
        <v>48</v>
      </c>
      <c r="CP17" s="116">
        <v>82</v>
      </c>
      <c r="CQ17" s="116">
        <v>59</v>
      </c>
      <c r="CR17" s="39">
        <v>132</v>
      </c>
      <c r="CS17" s="41">
        <v>180</v>
      </c>
      <c r="CT17" s="41">
        <v>186</v>
      </c>
      <c r="CU17" s="41">
        <v>21</v>
      </c>
      <c r="CV17" s="41">
        <v>302</v>
      </c>
      <c r="CW17" s="41">
        <v>301</v>
      </c>
      <c r="CX17" s="116">
        <v>470</v>
      </c>
      <c r="CY17" s="41">
        <v>18</v>
      </c>
      <c r="CZ17" s="41">
        <v>47</v>
      </c>
      <c r="DA17" s="41">
        <v>66</v>
      </c>
      <c r="DB17" s="116">
        <v>18</v>
      </c>
      <c r="DC17" s="41">
        <v>6</v>
      </c>
      <c r="DD17" s="41">
        <v>22</v>
      </c>
      <c r="DE17" s="41">
        <v>22</v>
      </c>
      <c r="DF17" s="116">
        <v>26</v>
      </c>
      <c r="DG17" s="41">
        <v>30</v>
      </c>
      <c r="DH17" s="41">
        <v>4</v>
      </c>
      <c r="DI17" s="41">
        <v>64</v>
      </c>
      <c r="DJ17" s="41">
        <v>56</v>
      </c>
      <c r="DK17" s="116">
        <v>202</v>
      </c>
      <c r="DL17" s="41" t="s">
        <v>54</v>
      </c>
      <c r="DM17" s="41">
        <v>16</v>
      </c>
      <c r="DN17" s="41">
        <v>79</v>
      </c>
      <c r="DO17" s="44">
        <v>57</v>
      </c>
      <c r="DP17" s="41">
        <v>96</v>
      </c>
      <c r="DQ17" s="41">
        <v>88</v>
      </c>
      <c r="DR17" s="41">
        <v>20</v>
      </c>
      <c r="DS17" s="67" t="s">
        <v>29</v>
      </c>
      <c r="DX17" s="23"/>
      <c r="DY17" s="23"/>
      <c r="DZ17" s="23"/>
      <c r="EA17" s="23"/>
    </row>
    <row r="18" spans="1:131" ht="23.25" customHeight="1" x14ac:dyDescent="0.4">
      <c r="A18" s="58" t="s">
        <v>30</v>
      </c>
      <c r="B18" s="36"/>
      <c r="C18" s="105">
        <v>151</v>
      </c>
      <c r="D18" s="42">
        <v>170</v>
      </c>
      <c r="E18" s="42">
        <v>203</v>
      </c>
      <c r="F18" s="41">
        <v>147</v>
      </c>
      <c r="G18" s="41">
        <v>179</v>
      </c>
      <c r="H18" s="41">
        <v>202</v>
      </c>
      <c r="I18" s="41">
        <v>241</v>
      </c>
      <c r="J18" s="41">
        <v>204</v>
      </c>
      <c r="K18" s="41">
        <v>226</v>
      </c>
      <c r="L18" s="41">
        <v>128</v>
      </c>
      <c r="M18" s="41">
        <v>183</v>
      </c>
      <c r="N18" s="41">
        <v>244</v>
      </c>
      <c r="O18" s="116">
        <v>99</v>
      </c>
      <c r="P18" s="42">
        <v>354</v>
      </c>
      <c r="Q18" s="42">
        <v>282</v>
      </c>
      <c r="R18" s="42">
        <v>390</v>
      </c>
      <c r="S18" s="41">
        <v>374</v>
      </c>
      <c r="T18" s="41">
        <v>334</v>
      </c>
      <c r="U18" s="41">
        <v>458</v>
      </c>
      <c r="V18" s="41">
        <v>410</v>
      </c>
      <c r="W18" s="41">
        <v>390</v>
      </c>
      <c r="X18" s="41">
        <v>348</v>
      </c>
      <c r="Y18" s="41">
        <v>152</v>
      </c>
      <c r="Z18" s="41">
        <v>314</v>
      </c>
      <c r="AA18" s="41">
        <v>360</v>
      </c>
      <c r="AB18" s="116">
        <v>290</v>
      </c>
      <c r="AC18" s="107">
        <v>144</v>
      </c>
      <c r="AD18" s="42">
        <f>42*2</f>
        <v>84</v>
      </c>
      <c r="AE18" s="42">
        <v>253</v>
      </c>
      <c r="AF18" s="41">
        <v>220</v>
      </c>
      <c r="AG18" s="41">
        <v>162</v>
      </c>
      <c r="AH18" s="41">
        <f>48+129</f>
        <v>177</v>
      </c>
      <c r="AI18" s="41">
        <v>133</v>
      </c>
      <c r="AJ18" s="41">
        <v>184</v>
      </c>
      <c r="AK18" s="41">
        <f>56+117</f>
        <v>173</v>
      </c>
      <c r="AL18" s="41">
        <v>153</v>
      </c>
      <c r="AM18" s="41">
        <v>241</v>
      </c>
      <c r="AN18" s="41">
        <v>124</v>
      </c>
      <c r="AO18" s="116">
        <v>132</v>
      </c>
      <c r="AP18" s="107">
        <v>275</v>
      </c>
      <c r="AQ18" s="42">
        <v>325</v>
      </c>
      <c r="AR18" s="42">
        <v>415</v>
      </c>
      <c r="AS18" s="109" t="s">
        <v>53</v>
      </c>
      <c r="AT18" s="109" t="s">
        <v>53</v>
      </c>
      <c r="AU18" s="109" t="s">
        <v>53</v>
      </c>
      <c r="AV18" s="109" t="s">
        <v>53</v>
      </c>
      <c r="AW18" s="41">
        <v>383</v>
      </c>
      <c r="AX18" s="41">
        <v>349</v>
      </c>
      <c r="AY18" s="41">
        <v>125</v>
      </c>
      <c r="AZ18" s="41">
        <v>234</v>
      </c>
      <c r="BA18" s="41">
        <v>270</v>
      </c>
      <c r="BB18" s="116">
        <v>208</v>
      </c>
      <c r="BC18" s="107">
        <v>49</v>
      </c>
      <c r="BD18" s="42">
        <v>365</v>
      </c>
      <c r="BE18" s="109">
        <v>309</v>
      </c>
      <c r="BF18" s="109">
        <v>319</v>
      </c>
      <c r="BG18" s="109">
        <v>324</v>
      </c>
      <c r="BH18" s="109">
        <v>370</v>
      </c>
      <c r="BI18" s="41">
        <v>379</v>
      </c>
      <c r="BJ18" s="41">
        <v>374</v>
      </c>
      <c r="BK18" s="41">
        <v>67</v>
      </c>
      <c r="BL18" s="41">
        <v>182</v>
      </c>
      <c r="BM18" s="116">
        <v>183</v>
      </c>
      <c r="BN18" s="116">
        <v>226</v>
      </c>
      <c r="BO18" s="41">
        <v>169</v>
      </c>
      <c r="BP18" s="41">
        <v>164</v>
      </c>
      <c r="BQ18" s="41">
        <v>160</v>
      </c>
      <c r="BR18" s="41">
        <v>170</v>
      </c>
      <c r="BS18" s="41">
        <v>159</v>
      </c>
      <c r="BT18" s="41">
        <v>177</v>
      </c>
      <c r="BU18" s="41">
        <v>89</v>
      </c>
      <c r="BV18" s="41">
        <v>171</v>
      </c>
      <c r="BW18" s="116">
        <v>202</v>
      </c>
      <c r="BX18" s="116">
        <v>190</v>
      </c>
      <c r="BY18" s="41">
        <v>50</v>
      </c>
      <c r="BZ18" s="39">
        <v>30</v>
      </c>
      <c r="CA18" s="41">
        <v>22</v>
      </c>
      <c r="CB18" s="41">
        <v>21</v>
      </c>
      <c r="CC18" s="41">
        <v>24</v>
      </c>
      <c r="CD18" s="41">
        <v>17</v>
      </c>
      <c r="CE18" s="41">
        <v>7</v>
      </c>
      <c r="CF18" s="41">
        <v>12</v>
      </c>
      <c r="CG18" s="44">
        <v>32</v>
      </c>
      <c r="CH18" s="116">
        <v>20</v>
      </c>
      <c r="CI18" s="39">
        <v>127</v>
      </c>
      <c r="CJ18" s="41">
        <v>132</v>
      </c>
      <c r="CK18" s="41">
        <v>164</v>
      </c>
      <c r="CL18" s="41">
        <v>156</v>
      </c>
      <c r="CM18" s="41">
        <v>168</v>
      </c>
      <c r="CN18" s="41">
        <v>20</v>
      </c>
      <c r="CO18" s="41">
        <v>71</v>
      </c>
      <c r="CP18" s="116">
        <v>63</v>
      </c>
      <c r="CQ18" s="116">
        <v>57</v>
      </c>
      <c r="CR18" s="39">
        <v>178</v>
      </c>
      <c r="CS18" s="41">
        <v>175</v>
      </c>
      <c r="CT18" s="41">
        <v>210</v>
      </c>
      <c r="CU18" s="41">
        <v>54</v>
      </c>
      <c r="CV18" s="41">
        <v>325</v>
      </c>
      <c r="CW18" s="41">
        <v>322</v>
      </c>
      <c r="CX18" s="116">
        <v>271</v>
      </c>
      <c r="CY18" s="41">
        <v>56</v>
      </c>
      <c r="CZ18" s="41">
        <v>45</v>
      </c>
      <c r="DA18" s="41">
        <v>64</v>
      </c>
      <c r="DB18" s="116">
        <v>18</v>
      </c>
      <c r="DC18" s="41">
        <v>20</v>
      </c>
      <c r="DD18" s="41">
        <v>16</v>
      </c>
      <c r="DE18" s="41">
        <v>18</v>
      </c>
      <c r="DF18" s="116">
        <v>26</v>
      </c>
      <c r="DG18" s="41">
        <v>62</v>
      </c>
      <c r="DH18" s="41">
        <v>18</v>
      </c>
      <c r="DI18" s="41">
        <v>50</v>
      </c>
      <c r="DJ18" s="41">
        <v>60</v>
      </c>
      <c r="DK18" s="116">
        <v>176</v>
      </c>
      <c r="DL18" s="41">
        <v>12</v>
      </c>
      <c r="DM18" s="41">
        <v>15</v>
      </c>
      <c r="DN18" s="41">
        <v>150</v>
      </c>
      <c r="DO18" s="44">
        <v>59</v>
      </c>
      <c r="DP18" s="41">
        <v>123</v>
      </c>
      <c r="DQ18" s="41">
        <v>73</v>
      </c>
      <c r="DR18" s="41">
        <v>20</v>
      </c>
      <c r="DS18" s="67" t="s">
        <v>31</v>
      </c>
    </row>
    <row r="19" spans="1:131" ht="23.25" customHeight="1" x14ac:dyDescent="0.4">
      <c r="A19" s="59" t="s">
        <v>32</v>
      </c>
      <c r="B19" s="45"/>
      <c r="C19" s="106">
        <v>134</v>
      </c>
      <c r="D19" s="51">
        <v>174</v>
      </c>
      <c r="E19" s="51">
        <v>220</v>
      </c>
      <c r="F19" s="50">
        <v>162</v>
      </c>
      <c r="G19" s="50">
        <v>199</v>
      </c>
      <c r="H19" s="50">
        <v>181</v>
      </c>
      <c r="I19" s="50">
        <v>267</v>
      </c>
      <c r="J19" s="50">
        <v>212</v>
      </c>
      <c r="K19" s="50">
        <v>205</v>
      </c>
      <c r="L19" s="50">
        <v>201</v>
      </c>
      <c r="M19" s="50">
        <v>234</v>
      </c>
      <c r="N19" s="50">
        <v>230</v>
      </c>
      <c r="O19" s="117">
        <v>122</v>
      </c>
      <c r="P19" s="51">
        <v>330</v>
      </c>
      <c r="Q19" s="51">
        <v>368</v>
      </c>
      <c r="R19" s="51">
        <v>371</v>
      </c>
      <c r="S19" s="50">
        <v>398</v>
      </c>
      <c r="T19" s="50">
        <v>406</v>
      </c>
      <c r="U19" s="50">
        <v>458</v>
      </c>
      <c r="V19" s="50">
        <v>418</v>
      </c>
      <c r="W19" s="50">
        <v>390</v>
      </c>
      <c r="X19" s="50">
        <v>412</v>
      </c>
      <c r="Y19" s="50">
        <v>248</v>
      </c>
      <c r="Z19" s="50">
        <v>392</v>
      </c>
      <c r="AA19" s="50">
        <v>398</v>
      </c>
      <c r="AB19" s="117">
        <v>304</v>
      </c>
      <c r="AC19" s="108">
        <v>114</v>
      </c>
      <c r="AD19" s="51">
        <f>41*2</f>
        <v>82</v>
      </c>
      <c r="AE19" s="51">
        <v>222</v>
      </c>
      <c r="AF19" s="50">
        <v>224</v>
      </c>
      <c r="AG19" s="50">
        <v>216</v>
      </c>
      <c r="AH19" s="50">
        <f>147+48</f>
        <v>195</v>
      </c>
      <c r="AI19" s="50">
        <v>167</v>
      </c>
      <c r="AJ19" s="50">
        <v>268</v>
      </c>
      <c r="AK19" s="50">
        <v>217</v>
      </c>
      <c r="AL19" s="50">
        <v>245</v>
      </c>
      <c r="AM19" s="50">
        <v>137</v>
      </c>
      <c r="AN19" s="50">
        <v>152</v>
      </c>
      <c r="AO19" s="117">
        <v>150</v>
      </c>
      <c r="AP19" s="108">
        <v>308</v>
      </c>
      <c r="AQ19" s="51">
        <v>350</v>
      </c>
      <c r="AR19" s="51">
        <v>405</v>
      </c>
      <c r="AS19" s="110" t="s">
        <v>53</v>
      </c>
      <c r="AT19" s="110" t="s">
        <v>53</v>
      </c>
      <c r="AU19" s="110" t="s">
        <v>53</v>
      </c>
      <c r="AV19" s="110" t="s">
        <v>53</v>
      </c>
      <c r="AW19" s="50">
        <v>410</v>
      </c>
      <c r="AX19" s="50">
        <v>346</v>
      </c>
      <c r="AY19" s="50">
        <v>190</v>
      </c>
      <c r="AZ19" s="50">
        <v>271</v>
      </c>
      <c r="BA19" s="50">
        <v>255</v>
      </c>
      <c r="BB19" s="117">
        <v>204</v>
      </c>
      <c r="BC19" s="108">
        <v>94</v>
      </c>
      <c r="BD19" s="51">
        <v>369</v>
      </c>
      <c r="BE19" s="110">
        <v>329</v>
      </c>
      <c r="BF19" s="110">
        <v>327</v>
      </c>
      <c r="BG19" s="110">
        <v>329</v>
      </c>
      <c r="BH19" s="110">
        <v>385</v>
      </c>
      <c r="BI19" s="50">
        <v>387</v>
      </c>
      <c r="BJ19" s="50">
        <v>453</v>
      </c>
      <c r="BK19" s="50">
        <v>105</v>
      </c>
      <c r="BL19" s="50">
        <v>196</v>
      </c>
      <c r="BM19" s="117">
        <v>173</v>
      </c>
      <c r="BN19" s="117">
        <v>221</v>
      </c>
      <c r="BO19" s="50">
        <v>178</v>
      </c>
      <c r="BP19" s="50">
        <v>178</v>
      </c>
      <c r="BQ19" s="50">
        <v>169</v>
      </c>
      <c r="BR19" s="50">
        <v>180</v>
      </c>
      <c r="BS19" s="50">
        <v>171</v>
      </c>
      <c r="BT19" s="50">
        <v>255</v>
      </c>
      <c r="BU19" s="50">
        <v>141</v>
      </c>
      <c r="BV19" s="50">
        <v>216</v>
      </c>
      <c r="BW19" s="117">
        <v>210</v>
      </c>
      <c r="BX19" s="117">
        <v>193</v>
      </c>
      <c r="BY19" s="50">
        <v>39</v>
      </c>
      <c r="BZ19" s="48">
        <v>30</v>
      </c>
      <c r="CA19" s="50">
        <v>24</v>
      </c>
      <c r="CB19" s="50">
        <v>23</v>
      </c>
      <c r="CC19" s="50">
        <v>22</v>
      </c>
      <c r="CD19" s="50">
        <v>15</v>
      </c>
      <c r="CE19" s="50">
        <v>7</v>
      </c>
      <c r="CF19" s="50">
        <v>18</v>
      </c>
      <c r="CG19" s="52">
        <v>16</v>
      </c>
      <c r="CH19" s="117">
        <v>18</v>
      </c>
      <c r="CI19" s="48">
        <v>124</v>
      </c>
      <c r="CJ19" s="50">
        <v>131</v>
      </c>
      <c r="CK19" s="50">
        <v>169</v>
      </c>
      <c r="CL19" s="50">
        <v>158</v>
      </c>
      <c r="CM19" s="50">
        <v>161</v>
      </c>
      <c r="CN19" s="50">
        <v>34</v>
      </c>
      <c r="CO19" s="50">
        <v>96</v>
      </c>
      <c r="CP19" s="117">
        <v>70</v>
      </c>
      <c r="CQ19" s="117">
        <v>64</v>
      </c>
      <c r="CR19" s="48">
        <v>178</v>
      </c>
      <c r="CS19" s="50">
        <v>171</v>
      </c>
      <c r="CT19" s="50">
        <v>212</v>
      </c>
      <c r="CU19" s="50">
        <v>244</v>
      </c>
      <c r="CV19" s="50">
        <v>334</v>
      </c>
      <c r="CW19" s="50">
        <v>333</v>
      </c>
      <c r="CX19" s="117">
        <v>307</v>
      </c>
      <c r="CY19" s="50">
        <v>92</v>
      </c>
      <c r="CZ19" s="50">
        <v>64</v>
      </c>
      <c r="DA19" s="50">
        <v>76</v>
      </c>
      <c r="DB19" s="117">
        <v>21</v>
      </c>
      <c r="DC19" s="50">
        <v>22</v>
      </c>
      <c r="DD19" s="50">
        <v>18</v>
      </c>
      <c r="DE19" s="50">
        <v>34</v>
      </c>
      <c r="DF19" s="117">
        <v>32</v>
      </c>
      <c r="DG19" s="50">
        <v>66</v>
      </c>
      <c r="DH19" s="50">
        <v>19</v>
      </c>
      <c r="DI19" s="50">
        <v>52</v>
      </c>
      <c r="DJ19" s="50">
        <v>78</v>
      </c>
      <c r="DK19" s="117">
        <v>192</v>
      </c>
      <c r="DL19" s="50">
        <v>32</v>
      </c>
      <c r="DM19" s="50">
        <v>14</v>
      </c>
      <c r="DN19" s="50">
        <v>162</v>
      </c>
      <c r="DO19" s="52">
        <v>69</v>
      </c>
      <c r="DP19" s="50">
        <v>124</v>
      </c>
      <c r="DQ19" s="50">
        <v>80</v>
      </c>
      <c r="DR19" s="50">
        <v>20</v>
      </c>
      <c r="DS19" s="68" t="s">
        <v>33</v>
      </c>
    </row>
    <row r="20" spans="1:131" ht="18.75" x14ac:dyDescent="0.25">
      <c r="A20" s="6" t="s">
        <v>6</v>
      </c>
      <c r="B20" s="6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DS20" s="10" t="s">
        <v>7</v>
      </c>
      <c r="DW20" s="16"/>
      <c r="DX20" s="23"/>
      <c r="DY20" s="23"/>
      <c r="DZ20" s="23"/>
      <c r="EA20" s="23"/>
    </row>
    <row r="21" spans="1:131" x14ac:dyDescent="0.25">
      <c r="A21" s="6" t="s">
        <v>55</v>
      </c>
      <c r="B21" s="6"/>
      <c r="C21" s="53"/>
      <c r="D21" s="53"/>
      <c r="E21" s="53"/>
      <c r="F21" s="53"/>
      <c r="G21" s="53"/>
      <c r="H21" s="53"/>
      <c r="I21" s="53"/>
      <c r="J21" s="53"/>
      <c r="K21" s="53"/>
      <c r="L21" s="53"/>
      <c r="M21" s="53"/>
      <c r="N21" s="53"/>
      <c r="O21" s="53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  <c r="AA21" s="53"/>
      <c r="AB21" s="53"/>
      <c r="AC21" s="53"/>
      <c r="AD21" s="53"/>
      <c r="AE21" s="53"/>
      <c r="AF21" s="53"/>
      <c r="AG21" s="53"/>
      <c r="AH21" s="53"/>
      <c r="AI21" s="53"/>
      <c r="AJ21" s="53"/>
      <c r="AK21" s="53"/>
      <c r="AL21" s="53"/>
      <c r="AM21" s="53"/>
      <c r="AN21" s="53"/>
      <c r="AO21" s="53"/>
      <c r="AP21" s="53"/>
      <c r="AQ21" s="53"/>
      <c r="AR21" s="53"/>
      <c r="AS21" s="53"/>
      <c r="AT21" s="53"/>
      <c r="AU21" s="53"/>
      <c r="AV21" s="53"/>
      <c r="AW21" s="53"/>
      <c r="AX21" s="53"/>
      <c r="AY21" s="53"/>
      <c r="AZ21" s="53"/>
      <c r="BA21" s="53"/>
      <c r="BB21" s="53"/>
      <c r="BC21" s="53"/>
      <c r="BD21" s="53"/>
      <c r="BE21" s="53"/>
      <c r="BF21" s="53"/>
      <c r="BG21" s="53"/>
      <c r="BH21" s="53"/>
      <c r="BI21" s="53"/>
      <c r="BJ21" s="53"/>
      <c r="BK21" s="53"/>
      <c r="BL21" s="53"/>
      <c r="BM21" s="53"/>
      <c r="BN21" s="53"/>
      <c r="BO21" s="53"/>
      <c r="BP21" s="53"/>
      <c r="BQ21" s="53"/>
      <c r="BR21" s="53"/>
      <c r="BS21" s="53"/>
      <c r="BT21" s="53"/>
      <c r="BU21" s="53"/>
      <c r="BV21" s="53"/>
      <c r="BW21" s="53"/>
      <c r="BX21" s="53"/>
      <c r="BY21" s="53"/>
      <c r="BZ21" s="53"/>
      <c r="CA21" s="53"/>
      <c r="CB21" s="53"/>
      <c r="CC21" s="53"/>
      <c r="CD21" s="53"/>
      <c r="CE21" s="53"/>
      <c r="CF21" s="53"/>
      <c r="CG21" s="53"/>
      <c r="CH21" s="53"/>
      <c r="CI21" s="53"/>
      <c r="CJ21" s="53"/>
      <c r="CK21" s="53"/>
      <c r="CL21" s="53"/>
      <c r="CM21" s="53"/>
      <c r="CN21" s="53"/>
      <c r="CO21" s="53"/>
      <c r="CP21" s="53"/>
      <c r="CQ21" s="53"/>
      <c r="CR21" s="53"/>
      <c r="CS21" s="53"/>
      <c r="CT21" s="53"/>
      <c r="CU21" s="53"/>
      <c r="CV21" s="53"/>
      <c r="CW21" s="53"/>
      <c r="CX21" s="53"/>
      <c r="CY21" s="53"/>
      <c r="CZ21" s="53"/>
      <c r="DA21" s="53"/>
      <c r="DB21" s="53"/>
      <c r="DC21" s="53"/>
      <c r="DD21" s="53"/>
      <c r="DE21" s="53"/>
      <c r="DF21" s="53"/>
      <c r="DG21" s="53"/>
      <c r="DH21" s="53"/>
      <c r="DI21" s="53"/>
      <c r="DJ21" s="53"/>
      <c r="DK21" s="53"/>
      <c r="DL21" s="53"/>
      <c r="DM21" s="53"/>
      <c r="DN21" s="53"/>
      <c r="DO21" s="53"/>
      <c r="DP21" s="53"/>
      <c r="DQ21" s="53"/>
      <c r="DR21" s="53"/>
      <c r="DS21" s="53"/>
      <c r="DT21" s="53"/>
      <c r="DW21" s="16"/>
    </row>
    <row r="22" spans="1:131" x14ac:dyDescent="0.25">
      <c r="A22" s="6" t="s">
        <v>56</v>
      </c>
    </row>
    <row r="23" spans="1:131" x14ac:dyDescent="0.25">
      <c r="A23" s="6" t="s">
        <v>57</v>
      </c>
      <c r="DW23" s="9"/>
      <c r="DX23" s="23"/>
      <c r="DY23" s="23"/>
      <c r="DZ23" s="23"/>
      <c r="EA23" s="23"/>
    </row>
    <row r="24" spans="1:131" x14ac:dyDescent="0.25">
      <c r="A24" s="6" t="s">
        <v>58</v>
      </c>
    </row>
    <row r="25" spans="1:131" x14ac:dyDescent="0.25">
      <c r="A25" s="6" t="s">
        <v>59</v>
      </c>
    </row>
    <row r="26" spans="1:131" x14ac:dyDescent="0.25">
      <c r="A26" s="6" t="s">
        <v>60</v>
      </c>
    </row>
    <row r="27" spans="1:131" ht="15" customHeight="1" x14ac:dyDescent="0.25">
      <c r="A27" s="6"/>
    </row>
    <row r="39" spans="3:31" ht="18.75" x14ac:dyDescent="0.25">
      <c r="C39" s="167"/>
      <c r="D39" s="167"/>
      <c r="E39" s="167"/>
      <c r="F39" s="113"/>
      <c r="G39" s="113"/>
      <c r="H39" s="113"/>
      <c r="I39" s="113"/>
      <c r="J39" s="113"/>
      <c r="K39" s="113"/>
      <c r="L39" s="113"/>
      <c r="M39" s="113"/>
      <c r="N39" s="113"/>
      <c r="O39" s="113"/>
      <c r="P39" s="167"/>
      <c r="Q39" s="167"/>
      <c r="R39" s="167"/>
      <c r="S39" s="113"/>
      <c r="T39" s="113"/>
      <c r="U39" s="113"/>
      <c r="V39" s="113"/>
      <c r="W39" s="113"/>
      <c r="X39" s="113"/>
      <c r="Y39" s="113"/>
      <c r="Z39" s="113"/>
      <c r="AA39" s="113"/>
      <c r="AB39" s="113"/>
      <c r="AC39" s="113"/>
      <c r="AD39" s="113"/>
      <c r="AE39" s="113"/>
    </row>
    <row r="40" spans="3:31" x14ac:dyDescent="0.25">
      <c r="C40" s="166"/>
      <c r="D40" s="166"/>
      <c r="E40" s="166"/>
      <c r="F40" s="112"/>
      <c r="G40" s="112"/>
      <c r="H40" s="112"/>
      <c r="I40" s="112"/>
      <c r="J40" s="112"/>
      <c r="K40" s="112"/>
      <c r="L40" s="112"/>
      <c r="M40" s="112"/>
      <c r="N40" s="112"/>
      <c r="O40" s="112"/>
      <c r="P40" s="166"/>
      <c r="Q40" s="166"/>
      <c r="R40" s="166"/>
      <c r="S40" s="112"/>
      <c r="T40" s="112"/>
      <c r="U40" s="112"/>
      <c r="V40" s="112"/>
      <c r="W40" s="112"/>
      <c r="X40" s="112"/>
      <c r="Y40" s="112"/>
      <c r="Z40" s="112"/>
      <c r="AA40" s="112"/>
      <c r="AB40" s="112"/>
      <c r="AC40" s="112"/>
      <c r="AD40" s="112"/>
      <c r="AE40" s="112"/>
    </row>
    <row r="41" spans="3:31" x14ac:dyDescent="0.25"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  <c r="AA41" s="54"/>
      <c r="AB41" s="54"/>
      <c r="AC41" s="54"/>
      <c r="AD41" s="54"/>
      <c r="AE41" s="54"/>
    </row>
    <row r="42" spans="3:31" x14ac:dyDescent="0.25">
      <c r="C42" s="55"/>
      <c r="D42" s="55"/>
      <c r="E42" s="55"/>
      <c r="F42" s="55"/>
      <c r="G42" s="55"/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55"/>
      <c r="AC42" s="55"/>
      <c r="AD42" s="55"/>
      <c r="AE42" s="55"/>
    </row>
    <row r="43" spans="3:31" x14ac:dyDescent="0.25">
      <c r="C43" s="56"/>
      <c r="D43" s="57"/>
      <c r="E43" s="57"/>
      <c r="F43" s="57"/>
      <c r="G43" s="57"/>
      <c r="H43" s="57"/>
      <c r="I43" s="57"/>
      <c r="J43" s="57"/>
      <c r="K43" s="57"/>
      <c r="L43" s="57"/>
      <c r="M43" s="57"/>
      <c r="N43" s="57"/>
      <c r="O43" s="57"/>
      <c r="P43" s="56"/>
      <c r="Q43" s="57"/>
      <c r="R43" s="57"/>
      <c r="S43" s="57"/>
      <c r="T43" s="57"/>
      <c r="U43" s="57"/>
      <c r="V43" s="57"/>
      <c r="W43" s="57"/>
      <c r="X43" s="57"/>
      <c r="Y43" s="57"/>
      <c r="Z43" s="57"/>
      <c r="AA43" s="57"/>
      <c r="AB43" s="57"/>
      <c r="AC43" s="57"/>
      <c r="AD43" s="57"/>
      <c r="AE43" s="57"/>
    </row>
    <row r="44" spans="3:31" x14ac:dyDescent="0.25">
      <c r="C44" s="56"/>
      <c r="D44" s="57"/>
      <c r="E44" s="57"/>
      <c r="F44" s="57"/>
      <c r="G44" s="57"/>
      <c r="H44" s="57"/>
      <c r="I44" s="57"/>
      <c r="J44" s="57"/>
      <c r="K44" s="57"/>
      <c r="L44" s="57"/>
      <c r="M44" s="57"/>
      <c r="N44" s="57"/>
      <c r="O44" s="57"/>
      <c r="P44" s="56"/>
      <c r="Q44" s="57"/>
      <c r="R44" s="57"/>
      <c r="S44" s="57"/>
      <c r="T44" s="57"/>
      <c r="U44" s="57"/>
      <c r="V44" s="57"/>
      <c r="W44" s="57"/>
      <c r="X44" s="57"/>
      <c r="Y44" s="57"/>
      <c r="Z44" s="57"/>
      <c r="AA44" s="57"/>
      <c r="AB44" s="57"/>
      <c r="AC44" s="57"/>
      <c r="AD44" s="57"/>
      <c r="AE44" s="57"/>
    </row>
    <row r="45" spans="3:31" x14ac:dyDescent="0.25">
      <c r="C45" s="56"/>
      <c r="D45" s="57"/>
      <c r="E45" s="57"/>
      <c r="F45" s="57"/>
      <c r="G45" s="57"/>
      <c r="H45" s="57"/>
      <c r="I45" s="57"/>
      <c r="J45" s="57"/>
      <c r="K45" s="57"/>
      <c r="L45" s="57"/>
      <c r="M45" s="57"/>
      <c r="N45" s="57"/>
      <c r="O45" s="57"/>
      <c r="P45" s="56"/>
      <c r="Q45" s="57"/>
      <c r="R45" s="57"/>
      <c r="S45" s="57"/>
      <c r="T45" s="57"/>
      <c r="U45" s="57"/>
      <c r="V45" s="57"/>
      <c r="W45" s="57"/>
      <c r="X45" s="57"/>
      <c r="Y45" s="57"/>
      <c r="Z45" s="57"/>
      <c r="AA45" s="57"/>
      <c r="AB45" s="57"/>
      <c r="AC45" s="57"/>
      <c r="AD45" s="57"/>
      <c r="AE45" s="57"/>
    </row>
    <row r="46" spans="3:31" x14ac:dyDescent="0.25">
      <c r="C46" s="56"/>
      <c r="D46" s="57"/>
      <c r="E46" s="57"/>
      <c r="F46" s="57"/>
      <c r="G46" s="57"/>
      <c r="H46" s="57"/>
      <c r="I46" s="57"/>
      <c r="J46" s="57"/>
      <c r="K46" s="57"/>
      <c r="L46" s="57"/>
      <c r="M46" s="57"/>
      <c r="N46" s="57"/>
      <c r="O46" s="57"/>
      <c r="P46" s="56"/>
      <c r="Q46" s="57"/>
      <c r="R46" s="57"/>
      <c r="S46" s="57"/>
      <c r="T46" s="57"/>
      <c r="U46" s="57"/>
      <c r="V46" s="57"/>
      <c r="W46" s="57"/>
      <c r="X46" s="57"/>
      <c r="Y46" s="57"/>
      <c r="Z46" s="57"/>
      <c r="AA46" s="57"/>
      <c r="AB46" s="57"/>
      <c r="AC46" s="57"/>
      <c r="AD46" s="57"/>
      <c r="AE46" s="57"/>
    </row>
    <row r="47" spans="3:31" x14ac:dyDescent="0.25">
      <c r="C47" s="56"/>
      <c r="D47" s="57"/>
      <c r="E47" s="57"/>
      <c r="F47" s="57"/>
      <c r="G47" s="57"/>
      <c r="H47" s="57"/>
      <c r="I47" s="57"/>
      <c r="J47" s="57"/>
      <c r="K47" s="57"/>
      <c r="L47" s="57"/>
      <c r="M47" s="57"/>
      <c r="N47" s="57"/>
      <c r="O47" s="57"/>
      <c r="P47" s="56"/>
      <c r="Q47" s="57"/>
      <c r="R47" s="57"/>
      <c r="S47" s="57"/>
      <c r="T47" s="57"/>
      <c r="U47" s="57"/>
      <c r="V47" s="57"/>
      <c r="W47" s="57"/>
      <c r="X47" s="57"/>
      <c r="Y47" s="57"/>
      <c r="Z47" s="57"/>
      <c r="AA47" s="57"/>
      <c r="AB47" s="57"/>
      <c r="AC47" s="57"/>
      <c r="AD47" s="57"/>
      <c r="AE47" s="57"/>
    </row>
    <row r="48" spans="3:31" x14ac:dyDescent="0.25">
      <c r="C48" s="56"/>
      <c r="D48" s="57"/>
      <c r="E48" s="57"/>
      <c r="F48" s="57"/>
      <c r="G48" s="57"/>
      <c r="H48" s="57"/>
      <c r="I48" s="57"/>
      <c r="J48" s="57"/>
      <c r="K48" s="57"/>
      <c r="L48" s="57"/>
      <c r="M48" s="57"/>
      <c r="N48" s="57"/>
      <c r="O48" s="57"/>
      <c r="P48" s="56"/>
      <c r="Q48" s="57"/>
      <c r="R48" s="57"/>
      <c r="S48" s="57"/>
      <c r="T48" s="57"/>
      <c r="U48" s="57"/>
      <c r="V48" s="57"/>
      <c r="W48" s="57"/>
      <c r="X48" s="57"/>
      <c r="Y48" s="57"/>
      <c r="Z48" s="57"/>
      <c r="AA48" s="57"/>
      <c r="AB48" s="57"/>
      <c r="AC48" s="57"/>
      <c r="AD48" s="57"/>
      <c r="AE48" s="57"/>
    </row>
    <row r="49" spans="3:31" x14ac:dyDescent="0.25">
      <c r="C49" s="56"/>
      <c r="D49" s="57"/>
      <c r="E49" s="57"/>
      <c r="F49" s="57"/>
      <c r="G49" s="57"/>
      <c r="H49" s="57"/>
      <c r="I49" s="57"/>
      <c r="J49" s="57"/>
      <c r="K49" s="57"/>
      <c r="L49" s="57"/>
      <c r="M49" s="57"/>
      <c r="N49" s="57"/>
      <c r="O49" s="57"/>
      <c r="P49" s="56"/>
      <c r="Q49" s="57"/>
      <c r="R49" s="57"/>
      <c r="S49" s="57"/>
      <c r="T49" s="57"/>
      <c r="U49" s="57"/>
      <c r="V49" s="57"/>
      <c r="W49" s="57"/>
      <c r="X49" s="57"/>
      <c r="Y49" s="57"/>
      <c r="Z49" s="57"/>
      <c r="AA49" s="57"/>
      <c r="AB49" s="57"/>
      <c r="AC49" s="57"/>
      <c r="AD49" s="57"/>
      <c r="AE49" s="57"/>
    </row>
    <row r="50" spans="3:31" x14ac:dyDescent="0.25">
      <c r="C50" s="56"/>
      <c r="D50" s="57"/>
      <c r="E50" s="57"/>
      <c r="F50" s="57"/>
      <c r="G50" s="57"/>
      <c r="H50" s="57"/>
      <c r="I50" s="57"/>
      <c r="J50" s="57"/>
      <c r="K50" s="57"/>
      <c r="L50" s="57"/>
      <c r="M50" s="57"/>
      <c r="N50" s="57"/>
      <c r="O50" s="57"/>
      <c r="P50" s="56"/>
      <c r="Q50" s="57"/>
      <c r="R50" s="57"/>
      <c r="S50" s="57"/>
      <c r="T50" s="57"/>
      <c r="U50" s="57"/>
      <c r="V50" s="57"/>
      <c r="W50" s="57"/>
      <c r="X50" s="57"/>
      <c r="Y50" s="57"/>
      <c r="Z50" s="57"/>
      <c r="AA50" s="57"/>
      <c r="AB50" s="57"/>
      <c r="AC50" s="57"/>
      <c r="AD50" s="57"/>
      <c r="AE50" s="57"/>
    </row>
    <row r="51" spans="3:31" x14ac:dyDescent="0.25">
      <c r="C51" s="56"/>
      <c r="D51" s="57"/>
      <c r="E51" s="57"/>
      <c r="F51" s="57"/>
      <c r="G51" s="57"/>
      <c r="H51" s="57"/>
      <c r="I51" s="57"/>
      <c r="J51" s="57"/>
      <c r="K51" s="57"/>
      <c r="L51" s="57"/>
      <c r="M51" s="57"/>
      <c r="N51" s="57"/>
      <c r="O51" s="57"/>
      <c r="P51" s="56"/>
      <c r="Q51" s="57"/>
      <c r="R51" s="57"/>
      <c r="S51" s="57"/>
      <c r="T51" s="57"/>
      <c r="U51" s="57"/>
      <c r="V51" s="57"/>
      <c r="W51" s="57"/>
      <c r="X51" s="57"/>
      <c r="Y51" s="57"/>
      <c r="Z51" s="57"/>
      <c r="AA51" s="57"/>
      <c r="AB51" s="57"/>
      <c r="AC51" s="57"/>
      <c r="AD51" s="57"/>
      <c r="AE51" s="57"/>
    </row>
    <row r="52" spans="3:31" x14ac:dyDescent="0.25">
      <c r="C52" s="57"/>
      <c r="D52" s="57"/>
      <c r="E52" s="57"/>
      <c r="F52" s="57"/>
      <c r="G52" s="57"/>
      <c r="H52" s="57"/>
      <c r="I52" s="57"/>
      <c r="J52" s="57"/>
      <c r="K52" s="57"/>
      <c r="L52" s="57"/>
      <c r="M52" s="57"/>
      <c r="N52" s="57"/>
      <c r="O52" s="57"/>
      <c r="P52" s="57"/>
      <c r="Q52" s="57"/>
      <c r="R52" s="57"/>
      <c r="S52" s="57"/>
      <c r="T52" s="57"/>
      <c r="U52" s="57"/>
      <c r="V52" s="57"/>
      <c r="W52" s="57"/>
      <c r="X52" s="57"/>
      <c r="Y52" s="57"/>
      <c r="Z52" s="57"/>
      <c r="AA52" s="57"/>
      <c r="AB52" s="57"/>
      <c r="AC52" s="57"/>
      <c r="AD52" s="57"/>
      <c r="AE52" s="57"/>
    </row>
    <row r="53" spans="3:31" x14ac:dyDescent="0.25">
      <c r="C53" s="57"/>
      <c r="D53" s="57"/>
      <c r="E53" s="57"/>
      <c r="F53" s="57"/>
      <c r="G53" s="57"/>
      <c r="H53" s="57"/>
      <c r="I53" s="57"/>
      <c r="J53" s="57"/>
      <c r="K53" s="57"/>
      <c r="L53" s="57"/>
      <c r="M53" s="57"/>
      <c r="N53" s="57"/>
      <c r="O53" s="57"/>
      <c r="P53" s="57"/>
      <c r="Q53" s="57"/>
      <c r="R53" s="57"/>
      <c r="S53" s="57"/>
      <c r="T53" s="57"/>
      <c r="U53" s="57"/>
      <c r="V53" s="57"/>
      <c r="W53" s="57"/>
      <c r="X53" s="57"/>
      <c r="Y53" s="57"/>
      <c r="Z53" s="57"/>
      <c r="AA53" s="57"/>
      <c r="AB53" s="57"/>
      <c r="AC53" s="57"/>
      <c r="AD53" s="57"/>
      <c r="AE53" s="57"/>
    </row>
    <row r="54" spans="3:31" x14ac:dyDescent="0.25">
      <c r="C54" s="57"/>
      <c r="D54" s="57"/>
      <c r="E54" s="57"/>
      <c r="F54" s="57"/>
      <c r="G54" s="57"/>
      <c r="H54" s="57"/>
      <c r="I54" s="57"/>
      <c r="J54" s="57"/>
      <c r="K54" s="57"/>
      <c r="L54" s="57"/>
      <c r="M54" s="57"/>
      <c r="N54" s="57"/>
      <c r="O54" s="57"/>
      <c r="P54" s="57"/>
      <c r="Q54" s="57"/>
      <c r="R54" s="57"/>
      <c r="S54" s="57"/>
      <c r="T54" s="57"/>
      <c r="U54" s="57"/>
      <c r="V54" s="57"/>
      <c r="W54" s="57"/>
      <c r="X54" s="57"/>
      <c r="Y54" s="57"/>
      <c r="Z54" s="57"/>
      <c r="AA54" s="57"/>
      <c r="AB54" s="57"/>
      <c r="AC54" s="57"/>
      <c r="AD54" s="57"/>
      <c r="AE54" s="57"/>
    </row>
  </sheetData>
  <mergeCells count="34">
    <mergeCell ref="C5:O5"/>
    <mergeCell ref="C4:O4"/>
    <mergeCell ref="CI5:CQ5"/>
    <mergeCell ref="CR4:CX4"/>
    <mergeCell ref="DL4:DN4"/>
    <mergeCell ref="DL5:DN5"/>
    <mergeCell ref="C40:E40"/>
    <mergeCell ref="P40:R40"/>
    <mergeCell ref="C39:E39"/>
    <mergeCell ref="BO4:BX4"/>
    <mergeCell ref="BO5:BX5"/>
    <mergeCell ref="AC4:AO4"/>
    <mergeCell ref="AC5:AO5"/>
    <mergeCell ref="AP4:BB4"/>
    <mergeCell ref="AP5:BB5"/>
    <mergeCell ref="BC4:BN4"/>
    <mergeCell ref="BC5:BN5"/>
    <mergeCell ref="P39:R39"/>
    <mergeCell ref="CR5:CX5"/>
    <mergeCell ref="CY5:DB5"/>
    <mergeCell ref="P4:AB4"/>
    <mergeCell ref="P5:AB5"/>
    <mergeCell ref="A1:DS1"/>
    <mergeCell ref="A2:DS2"/>
    <mergeCell ref="DS4:DS6"/>
    <mergeCell ref="CY4:DB4"/>
    <mergeCell ref="DC4:DF4"/>
    <mergeCell ref="DC5:DF5"/>
    <mergeCell ref="DG4:DK4"/>
    <mergeCell ref="DG5:DK5"/>
    <mergeCell ref="A4:A6"/>
    <mergeCell ref="BZ5:CH5"/>
    <mergeCell ref="BZ4:CH4"/>
    <mergeCell ref="CI4:CQ4"/>
  </mergeCells>
  <pageMargins left="0.7" right="0.7" top="0.75" bottom="0.75" header="0.3" footer="0.3"/>
  <pageSetup paperSize="9" scale="15" orientation="landscape" r:id="rId1"/>
  <colBreaks count="1" manualBreakCount="1">
    <brk id="123" max="27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11.15</vt:lpstr>
      <vt:lpstr>11.17</vt:lpstr>
      <vt:lpstr>'11.17'!Print_Area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2024-09-25T08:43:11Z</cp:lastPrinted>
  <dcterms:created xsi:type="dcterms:W3CDTF">2019-03-24T03:32:16Z</dcterms:created>
  <dcterms:modified xsi:type="dcterms:W3CDTF">2024-09-25T08:43:18Z</dcterms:modified>
</cp:coreProperties>
</file>