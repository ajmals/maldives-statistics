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32ECE92F-97EC-4459-8724-614F86357057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 11.24" sheetId="8" r:id="rId2"/>
  </sheets>
  <definedNames>
    <definedName name="_xlnm.Print_Area" localSheetId="1">' 11.24'!$A$1:$H$21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F6" i="8"/>
  <c r="E6" i="8"/>
  <c r="D6" i="8"/>
  <c r="C6" i="8"/>
  <c r="B6" i="8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<sst xmlns="http://schemas.openxmlformats.org/spreadsheetml/2006/main" count="217" uniqueCount="72">
  <si>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</si>
  <si>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</si>
  <si>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</si>
  <si>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</si>
  <si>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</si>
  <si>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</si>
  <si>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</si>
  <si>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</si>
  <si>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</si>
  <si>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</si>
  <si>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</si>
  <si>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</si>
  <si>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</si>
  <si>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</si>
  <si>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</si>
  <si>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</si>
  <si>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</si>
  <si>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</si>
  <si>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</si>
  <si>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</si>
  <si>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</si>
  <si>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</si>
  <si>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</si>
  <si>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</si>
  <si>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</si>
  <si>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</si>
  <si>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</si>
  <si>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</si>
  <si>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</si>
  <si>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</si>
  <si>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</si>
  <si>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</si>
  <si>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</si>
  <si>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</si>
  <si>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</si>
  <si>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</si>
  <si>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</si>
  <si>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</si>
  <si>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</si>
  <si>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</si>
  <si>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</si>
  <si>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</si>
  <si>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</si>
  <si>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</si>
  <si>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</si>
  <si>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</si>
  <si>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</si>
  <si>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</si>
  <si>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</si>
  <si>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</si>
  <si>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</si>
  <si>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</si>
  <si>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</si>
  <si>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</si>
  <si>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</si>
  <si>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</si>
  <si>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</si>
  <si>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Inward</t>
  </si>
  <si>
    <t>Outward</t>
  </si>
  <si>
    <t xml:space="preserve"> Total </t>
  </si>
  <si>
    <t xml:space="preserve">(in Kg)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</si>
  <si>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</si>
  <si>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</si>
  <si>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</si>
  <si>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</si>
  <si>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</si>
  <si>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</si>
  <si>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</si>
  <si>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</si>
  <si>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</si>
  <si>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11.24: މަސްމަހުގެ ގޮތުން އިބްރާހީމް ނާސިރު އިންޓަރނޭޝަނަލް އެއަރޕޯޓުން އުފުލުނު މެއިލް، 2023</t>
  </si>
  <si>
    <t>Table  11.24 :  MAIL HANDLED AT IBRAHIM NASIR INTERNATIONAL AIRPORT  BY MONTH,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</si>
</sst>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3" xfId="0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5" fillId="2" borderId="9" xfId="2" applyFont="1" applyFill="1" applyBorder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9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4" xfId="2" applyNumberFormat="1" applyFont="1" applyFill="1" applyBorder="1" applyAlignment="1">
      <alignment horizontal="center" vertical="center"/>
    </xf>
    <xf numFmtId="0" fontId="5" fillId="2" borderId="18" xfId="2" applyNumberFormat="1" applyFont="1" applyFill="1" applyBorder="1" applyAlignment="1">
      <alignment horizontal="center" vertical="center"/>
    </xf>
    <xf numFmtId="164" fontId="8" fillId="2" borderId="3" xfId="2" applyFont="1" applyFill="1" applyBorder="1" applyAlignment="1">
      <alignment horizontal="left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20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3" fontId="14" fillId="2" borderId="8" xfId="3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164" fontId="14" fillId="2" borderId="6" xfId="2" applyFont="1" applyFill="1" applyBorder="1" applyAlignment="1">
      <alignment horizontal="left" vertical="center"/>
    </xf>
    <xf numFmtId="3" fontId="14" fillId="2" borderId="6" xfId="3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3" fontId="14" fillId="2" borderId="24" xfId="3" applyNumberFormat="1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164" fontId="10" fillId="2" borderId="0" xfId="0" applyNumberFormat="1" applyFont="1" applyFill="1"/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 wrapText="1"/>
    </xf>
    <xf numFmtId="164" fontId="5" fillId="2" borderId="44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6" fontId="5" fillId="2" borderId="11" xfId="3" applyNumberFormat="1" applyFont="1" applyFill="1" applyBorder="1" applyAlignment="1" applyProtection="1">
      <alignment horizontal="right" vertical="center"/>
    </xf>
    <xf numFmtId="166" fontId="5" fillId="2" borderId="19" xfId="3" applyNumberFormat="1" applyFont="1" applyFill="1" applyBorder="1" applyAlignment="1" applyProtection="1">
      <alignment horizontal="right" vertical="center"/>
    </xf>
    <xf numFmtId="166" fontId="5" fillId="2" borderId="12" xfId="3" applyNumberFormat="1" applyFont="1" applyFill="1" applyBorder="1" applyAlignment="1" applyProtection="1">
      <alignment horizontal="right" vertical="center"/>
    </xf>
    <xf numFmtId="166" fontId="5" fillId="2" borderId="42" xfId="3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 applyProtection="1">
      <alignment horizontal="right" vertical="center"/>
    </xf>
    <xf numFmtId="166" fontId="5" fillId="2" borderId="13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  <protection locked="0"/>
    </xf>
    <xf numFmtId="166" fontId="5" fillId="2" borderId="46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164" fontId="24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51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14" fillId="2" borderId="51" xfId="2" applyFont="1" applyFill="1" applyBorder="1" applyAlignment="1">
      <alignment horizontal="left" vertical="center"/>
    </xf>
    <xf numFmtId="164" fontId="18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0" fontId="33" fillId="2" borderId="51" xfId="5" applyFont="1" applyFill="1" applyBorder="1" applyAlignment="1">
      <alignment horizontal="right"/>
    </xf>
    <xf numFmtId="166" fontId="5" fillId="2" borderId="52" xfId="3" applyNumberFormat="1" applyFont="1" applyFill="1" applyBorder="1" applyAlignment="1" applyProtection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3" xfId="5" applyFont="1" applyFill="1" applyBorder="1" applyAlignment="1">
      <alignment horizontal="right"/>
    </xf>
    <xf numFmtId="0" fontId="33" fillId="2" borderId="14" xfId="5" applyFont="1" applyFill="1" applyBorder="1" applyAlignment="1">
      <alignment horizontal="right"/>
    </xf>
    <xf numFmtId="0" fontId="28" fillId="2" borderId="15" xfId="5" applyFont="1" applyFill="1" applyBorder="1" applyAlignment="1">
      <alignment horizontal="right"/>
    </xf>
    <xf numFmtId="164" fontId="34" fillId="2" borderId="9" xfId="2" applyFont="1" applyFill="1" applyBorder="1" applyAlignment="1">
      <alignment horizontal="center" vertical="center"/>
    </xf>
    <xf numFmtId="164" fontId="36" fillId="2" borderId="9" xfId="0" applyNumberFormat="1" applyFont="1" applyFill="1" applyBorder="1"/>
    <xf numFmtId="164" fontId="35" fillId="2" borderId="20" xfId="2" applyFont="1" applyFill="1" applyBorder="1" applyAlignment="1">
      <alignment vertical="center"/>
    </xf>
    <xf numFmtId="164" fontId="37" fillId="2" borderId="9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4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6" xfId="2" applyNumberFormat="1" applyFont="1" applyFill="1" applyBorder="1" applyAlignment="1">
      <alignment horizontal="right" vertical="center"/>
    </xf>
    <xf numFmtId="3" fontId="10" fillId="3" borderId="6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5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40" fillId="2" borderId="19" xfId="2" applyFont="1" applyFill="1" applyBorder="1" applyAlignment="1">
      <alignment horizontal="left" vertical="center"/>
    </xf>
    <xf numFmtId="164" fontId="40" fillId="2" borderId="20" xfId="2" applyFont="1" applyFill="1" applyBorder="1" applyAlignment="1">
      <alignment vertical="center"/>
    </xf>
    <xf numFmtId="164" fontId="32" fillId="2" borderId="20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4" xfId="2" applyFont="1" applyFill="1" applyBorder="1" applyAlignment="1">
      <alignment vertical="center" wrapText="1"/>
    </xf>
    <xf numFmtId="164" fontId="26" fillId="2" borderId="6" xfId="2" applyFont="1" applyFill="1" applyBorder="1" applyAlignment="1">
      <alignment horizontal="left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51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8" fillId="2" borderId="9" xfId="5" applyFont="1" applyFill="1" applyBorder="1" applyAlignment="1">
      <alignment horizontal="right" vertical="center"/>
    </xf>
    <xf numFmtId="164" fontId="8" fillId="2" borderId="51" xfId="2" applyFont="1" applyFill="1" applyBorder="1" applyAlignment="1">
      <alignment horizontal="left" vertical="center"/>
    </xf>
    <xf numFmtId="0" fontId="28" fillId="2" borderId="51" xfId="5" applyFont="1" applyFill="1" applyBorder="1" applyAlignment="1">
      <alignment horizontal="right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3" xfId="5" applyFont="1" applyFill="1" applyBorder="1" applyAlignment="1">
      <alignment horizontal="right" vertical="center"/>
    </xf>
    <xf numFmtId="0" fontId="28" fillId="2" borderId="14" xfId="5" applyFont="1" applyFill="1" applyBorder="1" applyAlignment="1">
      <alignment horizontal="right" vertical="center"/>
    </xf>
    <xf numFmtId="164" fontId="25" fillId="2" borderId="7" xfId="2" applyFont="1" applyFill="1" applyBorder="1" applyAlignment="1">
      <alignment horizontal="center" vertical="center" wrapText="1"/>
    </xf>
    <xf numFmtId="164" fontId="25" fillId="2" borderId="24" xfId="2" applyFont="1" applyFill="1" applyBorder="1" applyAlignment="1">
      <alignment horizontal="center" vertical="center" wrapText="1"/>
    </xf>
    <xf numFmtId="164" fontId="25" fillId="2" borderId="25" xfId="2" applyFont="1" applyFill="1" applyBorder="1" applyAlignment="1">
      <alignment horizontal="center" vertical="center" wrapText="1"/>
    </xf>
    <xf numFmtId="164" fontId="25" fillId="2" borderId="16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51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35" fillId="2" borderId="17" xfId="2" applyFont="1" applyFill="1" applyBorder="1" applyAlignment="1">
      <alignment horizontal="center" vertical="center"/>
    </xf>
    <xf numFmtId="164" fontId="35" fillId="2" borderId="9" xfId="2" applyFont="1" applyFill="1" applyBorder="1" applyAlignment="1">
      <alignment horizontal="center" vertical="center"/>
    </xf>
    <xf numFmtId="164" fontId="35" fillId="2" borderId="23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8" fillId="2" borderId="19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6" xfId="2" applyFont="1" applyFill="1" applyBorder="1" applyAlignment="1">
      <alignment horizontal="left" vertical="center"/>
    </xf>
    <xf numFmtId="164" fontId="32" fillId="2" borderId="12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21" xfId="2" applyFont="1" applyFill="1" applyBorder="1" applyAlignment="1">
      <alignment horizontal="center" vertical="center"/>
    </xf>
    <xf numFmtId="164" fontId="32" fillId="2" borderId="17" xfId="2" applyFont="1" applyFill="1" applyBorder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164" fontId="18" fillId="2" borderId="51" xfId="2" applyFont="1" applyFill="1" applyBorder="1" applyAlignment="1">
      <alignment horizontal="center" vertical="center" wrapText="1"/>
    </xf>
    <xf numFmtId="164" fontId="28" fillId="2" borderId="9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51" xfId="2" applyFont="1" applyFill="1" applyBorder="1" applyAlignment="1">
      <alignment horizontal="right" vertical="center"/>
    </xf>
    <xf numFmtId="164" fontId="5" fillId="2" borderId="51" xfId="2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164" fontId="5" fillId="2" borderId="0" xfId="2" applyFont="1" applyFill="1" applyAlignment="1">
      <alignment horizontal="center" vertical="center"/>
    </xf>
    <xf numFmtId="164" fontId="5" fillId="2" borderId="9" xfId="2" applyFont="1" applyFill="1" applyBorder="1" applyAlignment="1">
      <alignment horizontal="center" vertical="center" wrapText="1"/>
    </xf>
    <xf numFmtId="164" fontId="5" fillId="2" borderId="43" xfId="2" applyFont="1" applyFill="1" applyBorder="1" applyAlignment="1">
      <alignment horizontal="center" vertical="center" wrapText="1"/>
    </xf>
    <xf numFmtId="164" fontId="5" fillId="2" borderId="10" xfId="2" applyFont="1" applyFill="1" applyBorder="1" applyAlignment="1">
      <alignment horizontal="center" vertical="center" wrapText="1"/>
    </xf>
    <xf numFmtId="166" fontId="14" fillId="2" borderId="1" xfId="3" applyNumberFormat="1" applyFont="1" applyFill="1" applyBorder="1" applyAlignment="1">
      <alignment horizontal="right"/>
    </xf>
    <xf numFmtId="166" fontId="14" fillId="2" borderId="5" xfId="3" applyNumberFormat="1" applyFont="1" applyFill="1" applyBorder="1" applyAlignment="1">
      <alignment horizontal="right"/>
    </xf>
    <xf numFmtId="166" fontId="14" fillId="2" borderId="40" xfId="3" applyNumberFormat="1" applyFont="1" applyFill="1" applyBorder="1" applyAlignment="1" applyProtection="1">
      <alignment horizontal="right" vertical="center"/>
      <protection locked="0"/>
    </xf>
    <xf numFmtId="166" fontId="14" fillId="2" borderId="5" xfId="3" applyNumberFormat="1" applyFont="1" applyFill="1" applyBorder="1" applyAlignment="1" applyProtection="1">
      <alignment horizontal="right" vertical="center"/>
      <protection locked="0"/>
    </xf>
    <xf numFmtId="166" fontId="14" fillId="2" borderId="2" xfId="3" applyNumberFormat="1" applyFont="1" applyFill="1" applyBorder="1" applyAlignment="1">
      <alignment horizontal="right"/>
    </xf>
    <xf numFmtId="166" fontId="14" fillId="2" borderId="47" xfId="3" applyNumberFormat="1" applyFont="1" applyFill="1" applyBorder="1" applyAlignment="1">
      <alignment horizontal="right"/>
    </xf>
    <xf numFmtId="166" fontId="14" fillId="2" borderId="48" xfId="3" applyNumberFormat="1" applyFont="1" applyFill="1" applyBorder="1" applyAlignment="1" applyProtection="1">
      <alignment horizontal="right" vertical="center"/>
      <protection locked="0"/>
    </xf>
    <xf numFmtId="166" fontId="14" fillId="2" borderId="47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>
      <alignment horizontal="right"/>
    </xf>
    <xf numFmtId="166" fontId="14" fillId="2" borderId="41" xfId="3" applyNumberFormat="1" applyFont="1" applyFill="1" applyBorder="1" applyAlignment="1" applyProtection="1">
      <alignment horizontal="right" vertical="center"/>
      <protection locked="0"/>
    </xf>
    <xf numFmtId="166" fontId="14" fillId="2" borderId="28" xfId="3" applyNumberFormat="1" applyFont="1" applyFill="1" applyBorder="1" applyAlignment="1">
      <alignment horizontal="right"/>
    </xf>
    <xf numFmtId="166" fontId="14" fillId="2" borderId="49" xfId="3" applyNumberFormat="1" applyFont="1" applyFill="1" applyBorder="1" applyAlignment="1">
      <alignment horizontal="right"/>
    </xf>
    <xf numFmtId="166" fontId="14" fillId="2" borderId="50" xfId="3" applyNumberFormat="1" applyFont="1" applyFill="1" applyBorder="1" applyAlignment="1" applyProtection="1">
      <alignment horizontal="right" vertical="center"/>
    </xf>
    <xf numFmtId="166" fontId="14" fillId="2" borderId="49" xfId="3" applyNumberFormat="1" applyFont="1" applyFill="1" applyBorder="1" applyAlignment="1" applyProtection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7" t="s">
        <v>68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9" ht="15.75" x14ac:dyDescent="0.25">
      <c r="A2" s="120" t="s">
        <v>69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4" spans="1:29" s="11" customFormat="1" ht="19.5" x14ac:dyDescent="0.15">
      <c r="A4" s="122" t="s">
        <v>9</v>
      </c>
      <c r="B4" s="158" t="s">
        <v>36</v>
      </c>
      <c r="C4" s="158"/>
      <c r="D4" s="89"/>
      <c r="E4" s="158" t="s">
        <v>37</v>
      </c>
      <c r="F4" s="158"/>
      <c r="G4" s="89"/>
      <c r="H4" s="158" t="s">
        <v>38</v>
      </c>
      <c r="I4" s="158"/>
      <c r="J4" s="89"/>
      <c r="K4" s="158" t="s">
        <v>39</v>
      </c>
      <c r="L4" s="158"/>
      <c r="M4" s="89"/>
      <c r="N4" s="158" t="s">
        <v>40</v>
      </c>
      <c r="O4" s="158"/>
      <c r="P4" s="89"/>
      <c r="Q4" s="158" t="s">
        <v>41</v>
      </c>
      <c r="R4" s="158"/>
      <c r="S4" s="89"/>
      <c r="T4" s="158" t="s">
        <v>42</v>
      </c>
      <c r="U4" s="158"/>
      <c r="V4" s="89"/>
      <c r="W4" s="158" t="s">
        <v>43</v>
      </c>
      <c r="X4" s="158"/>
      <c r="Y4" s="89"/>
      <c r="Z4" s="158" t="s">
        <v>44</v>
      </c>
      <c r="AA4" s="158"/>
      <c r="AB4" s="160" t="s">
        <v>11</v>
      </c>
    </row>
    <row r="5" spans="1:29" s="17" customFormat="1" ht="15" customHeight="1" x14ac:dyDescent="0.25">
      <c r="A5" s="123"/>
      <c r="B5" s="159" t="s">
        <v>45</v>
      </c>
      <c r="C5" s="159"/>
      <c r="D5" s="16"/>
      <c r="E5" s="159" t="s">
        <v>46</v>
      </c>
      <c r="F5" s="159"/>
      <c r="G5" s="16"/>
      <c r="H5" s="159" t="s">
        <v>47</v>
      </c>
      <c r="I5" s="159"/>
      <c r="J5" s="16"/>
      <c r="K5" s="159" t="s">
        <v>48</v>
      </c>
      <c r="L5" s="159"/>
      <c r="M5" s="16"/>
      <c r="N5" s="159" t="s">
        <v>49</v>
      </c>
      <c r="O5" s="159"/>
      <c r="P5" s="16"/>
      <c r="Q5" s="159" t="s">
        <v>50</v>
      </c>
      <c r="R5" s="159"/>
      <c r="S5" s="16"/>
      <c r="T5" s="159" t="s">
        <v>51</v>
      </c>
      <c r="U5" s="159"/>
      <c r="V5" s="16"/>
      <c r="W5" s="159" t="s">
        <v>52</v>
      </c>
      <c r="X5" s="159"/>
      <c r="Y5" s="16"/>
      <c r="Z5" s="159" t="s">
        <v>53</v>
      </c>
      <c r="AA5" s="159"/>
      <c r="AB5" s="161"/>
      <c r="AC5" s="2"/>
    </row>
    <row r="6" spans="1:29" s="85" customFormat="1" ht="14.25" x14ac:dyDescent="0.2">
      <c r="A6" s="123"/>
      <c r="B6" s="75" t="s">
        <v>0</v>
      </c>
      <c r="C6" s="75" t="s">
        <v>1</v>
      </c>
      <c r="D6" s="75"/>
      <c r="E6" s="75" t="s">
        <v>0</v>
      </c>
      <c r="F6" s="75" t="s">
        <v>1</v>
      </c>
      <c r="G6" s="75"/>
      <c r="H6" s="75" t="s">
        <v>0</v>
      </c>
      <c r="I6" s="75" t="s">
        <v>1</v>
      </c>
      <c r="J6" s="75"/>
      <c r="K6" s="75" t="s">
        <v>0</v>
      </c>
      <c r="L6" s="75" t="s">
        <v>1</v>
      </c>
      <c r="M6" s="75"/>
      <c r="N6" s="75" t="s">
        <v>0</v>
      </c>
      <c r="O6" s="75" t="s">
        <v>1</v>
      </c>
      <c r="P6" s="75"/>
      <c r="Q6" s="75" t="s">
        <v>0</v>
      </c>
      <c r="R6" s="75" t="s">
        <v>1</v>
      </c>
      <c r="S6" s="75"/>
      <c r="T6" s="75" t="s">
        <v>0</v>
      </c>
      <c r="U6" s="75" t="s">
        <v>1</v>
      </c>
      <c r="V6" s="75"/>
      <c r="W6" s="75" t="s">
        <v>0</v>
      </c>
      <c r="X6" s="75" t="s">
        <v>1</v>
      </c>
      <c r="Y6" s="75"/>
      <c r="Z6" s="75" t="s">
        <v>0</v>
      </c>
      <c r="AA6" s="75" t="s">
        <v>1</v>
      </c>
      <c r="AB6" s="161"/>
    </row>
    <row r="7" spans="1:29" s="17" customFormat="1" ht="14.25" x14ac:dyDescent="0.2">
      <c r="A7" s="125"/>
      <c r="B7" s="78" t="s">
        <v>2</v>
      </c>
      <c r="C7" s="78" t="s">
        <v>3</v>
      </c>
      <c r="D7" s="78"/>
      <c r="E7" s="78" t="s">
        <v>2</v>
      </c>
      <c r="F7" s="78" t="s">
        <v>3</v>
      </c>
      <c r="G7" s="78"/>
      <c r="H7" s="78" t="s">
        <v>2</v>
      </c>
      <c r="I7" s="78" t="s">
        <v>3</v>
      </c>
      <c r="J7" s="78"/>
      <c r="K7" s="78" t="s">
        <v>2</v>
      </c>
      <c r="L7" s="78" t="s">
        <v>3</v>
      </c>
      <c r="M7" s="78"/>
      <c r="N7" s="78" t="s">
        <v>2</v>
      </c>
      <c r="O7" s="78" t="s">
        <v>3</v>
      </c>
      <c r="P7" s="78"/>
      <c r="Q7" s="78" t="s">
        <v>2</v>
      </c>
      <c r="R7" s="78" t="s">
        <v>3</v>
      </c>
      <c r="S7" s="78"/>
      <c r="T7" s="78" t="s">
        <v>2</v>
      </c>
      <c r="U7" s="78" t="s">
        <v>3</v>
      </c>
      <c r="V7" s="78"/>
      <c r="W7" s="78" t="s">
        <v>2</v>
      </c>
      <c r="X7" s="78" t="s">
        <v>3</v>
      </c>
      <c r="Y7" s="78"/>
      <c r="Z7" s="78" t="s">
        <v>2</v>
      </c>
      <c r="AA7" s="78" t="s">
        <v>3</v>
      </c>
      <c r="AB7" s="162"/>
    </row>
    <row r="8" spans="1:29" s="11" customFormat="1" ht="15.75" x14ac:dyDescent="0.15">
      <c r="A8" s="4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84" t="s">
        <v>5</v>
      </c>
    </row>
    <row r="9" spans="1:29" s="11" customFormat="1" ht="15.75" x14ac:dyDescent="0.4">
      <c r="A9" s="5" t="s">
        <v>12</v>
      </c>
      <c r="B9" s="96"/>
      <c r="C9" s="96"/>
      <c r="D9" s="96"/>
      <c r="E9" s="97"/>
      <c r="F9" s="97"/>
      <c r="G9" s="97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8"/>
      <c r="Z9" s="98"/>
      <c r="AA9" s="98"/>
      <c r="AB9" s="86" t="s">
        <v>13</v>
      </c>
    </row>
    <row r="10" spans="1:29" s="11" customFormat="1" ht="15.75" x14ac:dyDescent="0.4">
      <c r="A10" s="5" t="s">
        <v>14</v>
      </c>
      <c r="B10" s="96"/>
      <c r="C10" s="96"/>
      <c r="D10" s="96"/>
      <c r="E10" s="97"/>
      <c r="F10" s="97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8"/>
      <c r="Z10" s="98"/>
      <c r="AA10" s="98"/>
      <c r="AB10" s="86" t="s">
        <v>15</v>
      </c>
    </row>
    <row r="11" spans="1:29" s="11" customFormat="1" ht="15.75" x14ac:dyDescent="0.4">
      <c r="A11" s="5" t="s">
        <v>16</v>
      </c>
      <c r="B11" s="96"/>
      <c r="C11" s="96"/>
      <c r="D11" s="96"/>
      <c r="E11" s="97"/>
      <c r="F11" s="97"/>
      <c r="G11" s="97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8"/>
      <c r="Z11" s="98"/>
      <c r="AA11" s="98"/>
      <c r="AB11" s="86" t="s">
        <v>17</v>
      </c>
    </row>
    <row r="12" spans="1:29" s="11" customFormat="1" ht="15.75" x14ac:dyDescent="0.4">
      <c r="A12" s="5" t="s">
        <v>18</v>
      </c>
      <c r="B12" s="96"/>
      <c r="C12" s="96"/>
      <c r="D12" s="96"/>
      <c r="E12" s="97"/>
      <c r="F12" s="97"/>
      <c r="G12" s="97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8"/>
      <c r="Z12" s="98"/>
      <c r="AA12" s="98"/>
      <c r="AB12" s="86" t="s">
        <v>19</v>
      </c>
    </row>
    <row r="13" spans="1:29" s="11" customFormat="1" ht="15.75" x14ac:dyDescent="0.4">
      <c r="A13" s="5" t="s">
        <v>20</v>
      </c>
      <c r="B13" s="96"/>
      <c r="C13" s="96"/>
      <c r="D13" s="96"/>
      <c r="E13" s="97"/>
      <c r="F13" s="97"/>
      <c r="G13" s="97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8"/>
      <c r="Z13" s="98"/>
      <c r="AA13" s="98"/>
      <c r="AB13" s="86" t="s">
        <v>21</v>
      </c>
    </row>
    <row r="14" spans="1:29" s="11" customFormat="1" ht="15.75" x14ac:dyDescent="0.4">
      <c r="A14" s="5" t="s">
        <v>22</v>
      </c>
      <c r="B14" s="96"/>
      <c r="C14" s="96"/>
      <c r="D14" s="96"/>
      <c r="E14" s="97"/>
      <c r="F14" s="97"/>
      <c r="G14" s="97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8"/>
      <c r="Z14" s="98"/>
      <c r="AA14" s="98"/>
      <c r="AB14" s="86" t="s">
        <v>23</v>
      </c>
    </row>
    <row r="15" spans="1:29" s="11" customFormat="1" ht="15.75" x14ac:dyDescent="0.4">
      <c r="A15" s="5" t="s">
        <v>24</v>
      </c>
      <c r="B15" s="96"/>
      <c r="C15" s="96"/>
      <c r="D15" s="96"/>
      <c r="E15" s="97"/>
      <c r="F15" s="97"/>
      <c r="G15" s="97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86" t="s">
        <v>25</v>
      </c>
    </row>
    <row r="16" spans="1:29" s="11" customFormat="1" ht="15.75" x14ac:dyDescent="0.4">
      <c r="A16" s="5" t="s">
        <v>26</v>
      </c>
      <c r="B16" s="96"/>
      <c r="C16" s="96"/>
      <c r="D16" s="96"/>
      <c r="E16" s="97"/>
      <c r="F16" s="97"/>
      <c r="G16" s="97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8"/>
      <c r="Z16" s="98"/>
      <c r="AA16" s="98"/>
      <c r="AB16" s="86" t="s">
        <v>27</v>
      </c>
    </row>
    <row r="17" spans="1:44" s="11" customFormat="1" ht="15.75" x14ac:dyDescent="0.4">
      <c r="A17" s="5" t="s">
        <v>28</v>
      </c>
      <c r="B17" s="96"/>
      <c r="C17" s="96"/>
      <c r="D17" s="96"/>
      <c r="E17" s="97"/>
      <c r="F17" s="97"/>
      <c r="G17" s="97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8"/>
      <c r="Z17" s="98"/>
      <c r="AA17" s="98"/>
      <c r="AB17" s="86" t="s">
        <v>29</v>
      </c>
    </row>
    <row r="18" spans="1:44" s="11" customFormat="1" ht="15.75" x14ac:dyDescent="0.4">
      <c r="A18" s="5" t="s">
        <v>30</v>
      </c>
      <c r="B18" s="96"/>
      <c r="C18" s="96"/>
      <c r="D18" s="96"/>
      <c r="E18" s="97"/>
      <c r="F18" s="97"/>
      <c r="G18" s="97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8"/>
      <c r="Z18" s="98"/>
      <c r="AA18" s="98"/>
      <c r="AB18" s="86" t="s">
        <v>31</v>
      </c>
    </row>
    <row r="19" spans="1:44" s="11" customFormat="1" ht="15.75" x14ac:dyDescent="0.4">
      <c r="A19" s="5" t="s">
        <v>32</v>
      </c>
      <c r="B19" s="96"/>
      <c r="C19" s="96"/>
      <c r="D19" s="96"/>
      <c r="E19" s="97"/>
      <c r="F19" s="97"/>
      <c r="G19" s="97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8"/>
      <c r="Z19" s="98"/>
      <c r="AA19" s="98"/>
      <c r="AB19" s="86" t="s">
        <v>33</v>
      </c>
    </row>
    <row r="20" spans="1:44" s="11" customFormat="1" ht="15.75" x14ac:dyDescent="0.4">
      <c r="A20" s="76" t="s">
        <v>34</v>
      </c>
      <c r="B20" s="99"/>
      <c r="C20" s="99"/>
      <c r="D20" s="99"/>
      <c r="E20" s="100"/>
      <c r="F20" s="100"/>
      <c r="G20" s="100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101"/>
      <c r="Z20" s="101"/>
      <c r="AA20" s="101"/>
      <c r="AB20" s="87" t="s">
        <v>35</v>
      </c>
    </row>
    <row r="21" spans="1:44" ht="18.75" x14ac:dyDescent="0.25">
      <c r="A21" s="6" t="s">
        <v>7</v>
      </c>
      <c r="AB21" s="9" t="s">
        <v>8</v>
      </c>
      <c r="AO21" s="11"/>
      <c r="AP21" s="74" t="s">
        <v>2</v>
      </c>
      <c r="AQ21" s="74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5"/>
      <c r="T24" s="15"/>
      <c r="W24" s="15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3" customFormat="1" ht="21.75" customHeight="1" x14ac:dyDescent="0.55000000000000004">
      <c r="A44" s="149" t="s">
        <v>9</v>
      </c>
      <c r="B44" s="104"/>
      <c r="D44" s="105"/>
      <c r="F44" s="105"/>
      <c r="G44" s="152" t="s">
        <v>36</v>
      </c>
      <c r="H44" s="153"/>
      <c r="I44" s="153"/>
      <c r="J44" s="153"/>
      <c r="K44" s="154"/>
      <c r="L44" s="92"/>
      <c r="M44" s="106"/>
      <c r="N44" s="92"/>
      <c r="O44" s="106"/>
      <c r="P44" s="155" t="s">
        <v>37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05"/>
      <c r="AC44" s="143" t="s">
        <v>38</v>
      </c>
      <c r="AD44" s="144"/>
      <c r="AE44" s="144"/>
      <c r="AF44" s="144"/>
      <c r="AG44" s="144"/>
      <c r="AH44" s="144"/>
      <c r="AI44" s="144"/>
      <c r="AJ44" s="144"/>
      <c r="AK44" s="91"/>
      <c r="AL44" s="143" t="s">
        <v>39</v>
      </c>
      <c r="AM44" s="144"/>
      <c r="AN44" s="144"/>
      <c r="AO44" s="144"/>
      <c r="AP44" s="144"/>
      <c r="AQ44" s="144"/>
      <c r="AR44" s="144"/>
      <c r="AS44" s="91"/>
      <c r="AT44" s="143" t="s">
        <v>40</v>
      </c>
      <c r="AU44" s="144"/>
      <c r="AV44" s="144"/>
      <c r="AW44" s="144"/>
      <c r="AX44" s="144"/>
      <c r="AY44" s="102"/>
      <c r="AZ44" s="91"/>
      <c r="BA44" s="143" t="s">
        <v>41</v>
      </c>
      <c r="BB44" s="144"/>
      <c r="BC44" s="144"/>
      <c r="BD44" s="144"/>
      <c r="BE44" s="145"/>
      <c r="BF44" s="90"/>
      <c r="BG44" s="146" t="s">
        <v>42</v>
      </c>
      <c r="BH44" s="147"/>
      <c r="BI44" s="147"/>
      <c r="BJ44" s="147"/>
      <c r="BK44" s="148"/>
      <c r="BL44" s="143" t="s">
        <v>43</v>
      </c>
      <c r="BM44" s="144"/>
      <c r="BN44" s="144"/>
      <c r="BO44" s="144"/>
      <c r="BP44" s="145"/>
      <c r="BQ44" s="143" t="s">
        <v>44</v>
      </c>
      <c r="BR44" s="144"/>
      <c r="BS44" s="144"/>
      <c r="BT44" s="127" t="s">
        <v>11</v>
      </c>
    </row>
    <row r="45" spans="1:80" s="94" customFormat="1" ht="16.5" customHeight="1" x14ac:dyDescent="0.25">
      <c r="A45" s="150"/>
      <c r="B45" s="107"/>
      <c r="D45" s="108"/>
      <c r="F45" s="108"/>
      <c r="G45" s="130" t="s">
        <v>45</v>
      </c>
      <c r="H45" s="131"/>
      <c r="I45" s="131"/>
      <c r="J45" s="131"/>
      <c r="K45" s="132"/>
      <c r="M45" s="108"/>
      <c r="O45" s="108"/>
      <c r="P45" s="133" t="s">
        <v>46</v>
      </c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08"/>
      <c r="AC45" s="135" t="s">
        <v>61</v>
      </c>
      <c r="AD45" s="136"/>
      <c r="AE45" s="136"/>
      <c r="AF45" s="136"/>
      <c r="AG45" s="136"/>
      <c r="AH45" s="136"/>
      <c r="AI45" s="136"/>
      <c r="AJ45" s="136"/>
      <c r="AK45" s="95"/>
      <c r="AL45" s="135" t="s">
        <v>62</v>
      </c>
      <c r="AM45" s="136"/>
      <c r="AN45" s="136"/>
      <c r="AO45" s="136"/>
      <c r="AP45" s="136"/>
      <c r="AQ45" s="136"/>
      <c r="AR45" s="136"/>
      <c r="AS45" s="95"/>
      <c r="AT45" s="135" t="s">
        <v>63</v>
      </c>
      <c r="AU45" s="136"/>
      <c r="AV45" s="136"/>
      <c r="AW45" s="136"/>
      <c r="AX45" s="136"/>
      <c r="AY45" s="103"/>
      <c r="AZ45" s="95"/>
      <c r="BA45" s="137" t="s">
        <v>64</v>
      </c>
      <c r="BB45" s="138"/>
      <c r="BC45" s="138"/>
      <c r="BD45" s="138"/>
      <c r="BE45" s="139"/>
      <c r="BG45" s="140" t="s">
        <v>65</v>
      </c>
      <c r="BH45" s="141"/>
      <c r="BI45" s="141"/>
      <c r="BJ45" s="141"/>
      <c r="BK45" s="142"/>
      <c r="BL45" s="137" t="s">
        <v>66</v>
      </c>
      <c r="BM45" s="138"/>
      <c r="BN45" s="138"/>
      <c r="BO45" s="138"/>
      <c r="BP45" s="139"/>
      <c r="BQ45" s="137" t="s">
        <v>67</v>
      </c>
      <c r="BR45" s="138"/>
      <c r="BS45" s="138"/>
      <c r="BT45" s="128"/>
    </row>
    <row r="46" spans="1:80" ht="23.25" customHeight="1" x14ac:dyDescent="0.25">
      <c r="A46" s="151"/>
      <c r="B46" s="109"/>
      <c r="C46" s="110">
        <v>2011</v>
      </c>
      <c r="D46" s="110">
        <v>2012</v>
      </c>
      <c r="E46" s="111">
        <v>2013</v>
      </c>
      <c r="F46" s="112">
        <v>2014</v>
      </c>
      <c r="G46" s="113">
        <v>2015</v>
      </c>
      <c r="H46" s="114">
        <v>2016</v>
      </c>
      <c r="I46" s="115">
        <v>2017</v>
      </c>
      <c r="J46" s="115">
        <v>2018</v>
      </c>
      <c r="K46" s="115">
        <v>2019</v>
      </c>
      <c r="L46" s="116">
        <v>2011</v>
      </c>
      <c r="M46" s="116">
        <v>2012</v>
      </c>
      <c r="N46" s="116">
        <v>2013</v>
      </c>
      <c r="O46" s="115">
        <v>2014</v>
      </c>
      <c r="P46" s="113">
        <v>2015</v>
      </c>
      <c r="Q46" s="115">
        <v>2016</v>
      </c>
      <c r="R46" s="116">
        <v>2011</v>
      </c>
      <c r="S46" s="116">
        <v>2012</v>
      </c>
      <c r="T46" s="115">
        <v>2013</v>
      </c>
      <c r="U46" s="115">
        <v>2014</v>
      </c>
      <c r="V46" s="116">
        <v>2011</v>
      </c>
      <c r="W46" s="116">
        <v>2012</v>
      </c>
      <c r="X46" s="115">
        <v>2013</v>
      </c>
      <c r="Y46" s="115">
        <v>2017</v>
      </c>
      <c r="Z46" s="115">
        <v>2018</v>
      </c>
      <c r="AA46" s="117">
        <v>2019</v>
      </c>
      <c r="AB46" s="115">
        <v>2014</v>
      </c>
      <c r="AC46" s="27">
        <v>2015</v>
      </c>
      <c r="AD46" s="27">
        <v>2016</v>
      </c>
      <c r="AE46" s="79">
        <v>2011</v>
      </c>
      <c r="AF46" s="79">
        <v>2012</v>
      </c>
      <c r="AG46" s="79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9">
        <v>2012</v>
      </c>
      <c r="AQ46" s="79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9">
        <v>2013</v>
      </c>
      <c r="AW46" s="27">
        <v>2017</v>
      </c>
      <c r="AX46" s="27">
        <v>2018</v>
      </c>
      <c r="AY46" s="27">
        <v>2019</v>
      </c>
      <c r="AZ46" s="79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9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29"/>
      <c r="BU46" s="2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8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86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86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86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86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86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86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86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86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86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86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86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7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8</v>
      </c>
      <c r="BX60" s="20"/>
      <c r="BY60" s="25"/>
      <c r="BZ60" s="25"/>
      <c r="CA60" s="25"/>
      <c r="CB60" s="25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L21"/>
  <sheetViews>
    <sheetView tabSelected="1" zoomScale="142" zoomScaleNormal="142" workbookViewId="0">
      <selection activeCell="K14" sqref="K14"/>
    </sheetView>
  </sheetViews>
  <sheetFormatPr defaultColWidth="9.140625" defaultRowHeight="15" x14ac:dyDescent="0.25"/>
  <cols>
    <col min="1" max="1" width="12.140625" style="10" customWidth="1"/>
    <col min="2" max="10" width="14.5703125" style="10" customWidth="1"/>
    <col min="11" max="11" width="9.140625" style="10"/>
    <col min="12" max="12" width="8.85546875" style="10" customWidth="1"/>
    <col min="13" max="16384" width="9.140625" style="10"/>
  </cols>
  <sheetData>
    <row r="1" spans="1:12" ht="23.25" customHeight="1" x14ac:dyDescent="0.55000000000000004">
      <c r="A1" s="164" t="s">
        <v>70</v>
      </c>
      <c r="B1" s="164"/>
      <c r="C1" s="164"/>
      <c r="D1" s="164"/>
      <c r="E1" s="164"/>
      <c r="F1" s="164"/>
      <c r="G1" s="164"/>
      <c r="H1" s="57"/>
      <c r="I1" s="57"/>
      <c r="J1" s="57"/>
      <c r="K1" s="55"/>
      <c r="L1" s="3"/>
    </row>
    <row r="2" spans="1:12" ht="15" customHeight="1" x14ac:dyDescent="0.25">
      <c r="A2" s="121" t="s">
        <v>71</v>
      </c>
      <c r="B2" s="121"/>
      <c r="C2" s="121"/>
      <c r="D2" s="121"/>
      <c r="E2" s="121"/>
      <c r="F2" s="121"/>
      <c r="G2" s="121"/>
      <c r="H2" s="58"/>
      <c r="I2" s="58"/>
      <c r="J2" s="58"/>
      <c r="K2" s="55"/>
      <c r="L2" s="3"/>
    </row>
    <row r="3" spans="1:12" x14ac:dyDescent="0.25">
      <c r="A3" s="163" t="s">
        <v>60</v>
      </c>
      <c r="B3" s="163"/>
      <c r="C3" s="163"/>
      <c r="D3" s="163"/>
      <c r="E3" s="163"/>
      <c r="F3" s="163"/>
      <c r="G3" s="163"/>
      <c r="H3" s="165"/>
      <c r="I3" s="165"/>
      <c r="J3" s="165"/>
      <c r="K3" s="55"/>
      <c r="L3" s="3"/>
    </row>
    <row r="4" spans="1:12" ht="15" customHeight="1" x14ac:dyDescent="0.25">
      <c r="A4" s="118"/>
      <c r="B4" s="118"/>
      <c r="C4" s="166" t="s">
        <v>6</v>
      </c>
      <c r="D4" s="166"/>
      <c r="E4" s="167" t="s">
        <v>10</v>
      </c>
      <c r="F4" s="168"/>
      <c r="G4" s="124" t="s">
        <v>11</v>
      </c>
      <c r="H4" s="59"/>
      <c r="I4" s="59"/>
      <c r="K4" s="55"/>
      <c r="L4" s="3"/>
    </row>
    <row r="5" spans="1:12" ht="15" customHeight="1" x14ac:dyDescent="0.25">
      <c r="A5" s="4" t="s">
        <v>9</v>
      </c>
      <c r="B5" s="119" t="s">
        <v>59</v>
      </c>
      <c r="C5" s="60" t="s">
        <v>57</v>
      </c>
      <c r="D5" s="60" t="s">
        <v>58</v>
      </c>
      <c r="E5" s="61" t="s">
        <v>57</v>
      </c>
      <c r="F5" s="60" t="s">
        <v>58</v>
      </c>
      <c r="G5" s="126"/>
      <c r="H5" s="12"/>
      <c r="K5" s="55"/>
      <c r="L5" s="3"/>
    </row>
    <row r="6" spans="1:12" ht="17.25" x14ac:dyDescent="0.4">
      <c r="A6" s="14" t="s">
        <v>4</v>
      </c>
      <c r="B6" s="62">
        <f t="shared" ref="B6:B18" si="0">SUM(C6:H6)</f>
        <v>485937.70000000007</v>
      </c>
      <c r="C6" s="63">
        <f>SUM(C7:C18)</f>
        <v>466095.10000000009</v>
      </c>
      <c r="D6" s="64">
        <f>SUM(D7:D18)</f>
        <v>9038.4000000000015</v>
      </c>
      <c r="E6" s="65">
        <f>SUM(E7:E18)</f>
        <v>1196.0999999999997</v>
      </c>
      <c r="F6" s="64">
        <f>SUM(F7:F18)</f>
        <v>9608.1000000000022</v>
      </c>
      <c r="G6" s="80" t="s">
        <v>5</v>
      </c>
      <c r="H6" s="66"/>
      <c r="K6" s="55"/>
      <c r="L6" s="3"/>
    </row>
    <row r="7" spans="1:12" ht="17.25" x14ac:dyDescent="0.4">
      <c r="A7" s="13" t="s">
        <v>12</v>
      </c>
      <c r="B7" s="67">
        <f t="shared" si="0"/>
        <v>26470.600000000006</v>
      </c>
      <c r="C7" s="169">
        <v>24322.80000000001</v>
      </c>
      <c r="D7" s="170">
        <v>897.6</v>
      </c>
      <c r="E7" s="171">
        <v>80.600000000000009</v>
      </c>
      <c r="F7" s="172">
        <v>1169.6000000000004</v>
      </c>
      <c r="G7" s="81" t="s">
        <v>13</v>
      </c>
      <c r="H7" s="68"/>
      <c r="K7" s="55"/>
      <c r="L7" s="3"/>
    </row>
    <row r="8" spans="1:12" ht="17.25" x14ac:dyDescent="0.4">
      <c r="A8" s="13" t="s">
        <v>14</v>
      </c>
      <c r="B8" s="67">
        <f t="shared" si="0"/>
        <v>31582.100000000009</v>
      </c>
      <c r="C8" s="169">
        <v>29558.800000000007</v>
      </c>
      <c r="D8" s="170">
        <v>935.40000000000009</v>
      </c>
      <c r="E8" s="171">
        <v>83.899999999999991</v>
      </c>
      <c r="F8" s="172">
        <v>1004.0000000000002</v>
      </c>
      <c r="G8" s="81" t="s">
        <v>15</v>
      </c>
      <c r="H8" s="68"/>
      <c r="K8" s="55"/>
      <c r="L8" s="3"/>
    </row>
    <row r="9" spans="1:12" ht="17.25" x14ac:dyDescent="0.4">
      <c r="A9" s="13" t="s">
        <v>16</v>
      </c>
      <c r="B9" s="67">
        <f t="shared" si="0"/>
        <v>41510.200000000004</v>
      </c>
      <c r="C9" s="169">
        <v>39093.900000000009</v>
      </c>
      <c r="D9" s="170">
        <v>931.69999999999993</v>
      </c>
      <c r="E9" s="171">
        <v>120.90000000000002</v>
      </c>
      <c r="F9" s="172">
        <v>1363.7</v>
      </c>
      <c r="G9" s="81" t="s">
        <v>17</v>
      </c>
      <c r="H9" s="68"/>
      <c r="K9" s="55"/>
      <c r="L9" s="3"/>
    </row>
    <row r="10" spans="1:12" ht="17.25" x14ac:dyDescent="0.4">
      <c r="A10" s="13" t="s">
        <v>18</v>
      </c>
      <c r="B10" s="67">
        <f t="shared" si="0"/>
        <v>39554.200000000012</v>
      </c>
      <c r="C10" s="169">
        <v>37107.000000000007</v>
      </c>
      <c r="D10" s="170">
        <v>1632.9</v>
      </c>
      <c r="E10" s="171">
        <v>183.99999999999991</v>
      </c>
      <c r="F10" s="172">
        <v>630.29999999999984</v>
      </c>
      <c r="G10" s="81" t="s">
        <v>19</v>
      </c>
      <c r="H10" s="68"/>
      <c r="K10" s="55"/>
      <c r="L10" s="3"/>
    </row>
    <row r="11" spans="1:12" ht="17.25" x14ac:dyDescent="0.4">
      <c r="A11" s="13" t="s">
        <v>20</v>
      </c>
      <c r="B11" s="67">
        <f t="shared" si="0"/>
        <v>34482.199999999997</v>
      </c>
      <c r="C11" s="169">
        <v>32601.5</v>
      </c>
      <c r="D11" s="170">
        <v>812.1</v>
      </c>
      <c r="E11" s="171">
        <v>91</v>
      </c>
      <c r="F11" s="172">
        <v>977.6</v>
      </c>
      <c r="G11" s="81" t="s">
        <v>21</v>
      </c>
      <c r="H11" s="68"/>
      <c r="K11" s="55"/>
      <c r="L11" s="55"/>
    </row>
    <row r="12" spans="1:12" ht="17.25" x14ac:dyDescent="0.4">
      <c r="A12" s="13" t="s">
        <v>22</v>
      </c>
      <c r="B12" s="67">
        <f t="shared" si="0"/>
        <v>34218.800000000003</v>
      </c>
      <c r="C12" s="169">
        <v>31957.000000000004</v>
      </c>
      <c r="D12" s="170">
        <v>654.30000000000007</v>
      </c>
      <c r="E12" s="171">
        <v>50.000000000000007</v>
      </c>
      <c r="F12" s="172">
        <v>1557.4999999999998</v>
      </c>
      <c r="G12" s="81" t="s">
        <v>23</v>
      </c>
      <c r="H12" s="68"/>
      <c r="K12" s="55"/>
      <c r="L12" s="55"/>
    </row>
    <row r="13" spans="1:12" ht="17.25" x14ac:dyDescent="0.4">
      <c r="A13" s="13" t="s">
        <v>24</v>
      </c>
      <c r="B13" s="67">
        <f t="shared" si="0"/>
        <v>33048.1</v>
      </c>
      <c r="C13" s="169">
        <v>31466.799999999999</v>
      </c>
      <c r="D13" s="170">
        <v>448.8</v>
      </c>
      <c r="E13" s="171">
        <v>51.399999999999991</v>
      </c>
      <c r="F13" s="172">
        <v>1081.1000000000001</v>
      </c>
      <c r="G13" s="81" t="s">
        <v>25</v>
      </c>
      <c r="H13" s="68"/>
      <c r="K13" s="55"/>
      <c r="L13" s="55"/>
    </row>
    <row r="14" spans="1:12" ht="17.25" x14ac:dyDescent="0.4">
      <c r="A14" s="13" t="s">
        <v>26</v>
      </c>
      <c r="B14" s="67">
        <f t="shared" si="0"/>
        <v>31306.000000000004</v>
      </c>
      <c r="C14" s="169">
        <v>29929.200000000001</v>
      </c>
      <c r="D14" s="170">
        <v>606.20000000000005</v>
      </c>
      <c r="E14" s="171">
        <v>92.9</v>
      </c>
      <c r="F14" s="172">
        <v>677.70000000000027</v>
      </c>
      <c r="G14" s="81" t="s">
        <v>27</v>
      </c>
      <c r="H14" s="68"/>
      <c r="K14" s="55"/>
      <c r="L14" s="55"/>
    </row>
    <row r="15" spans="1:12" ht="17.25" x14ac:dyDescent="0.4">
      <c r="A15" s="13" t="s">
        <v>28</v>
      </c>
      <c r="B15" s="67">
        <f t="shared" si="0"/>
        <v>34778.899999999994</v>
      </c>
      <c r="C15" s="169">
        <v>34036.1</v>
      </c>
      <c r="D15" s="170">
        <v>404.20000000000005</v>
      </c>
      <c r="E15" s="171">
        <v>103.69999999999999</v>
      </c>
      <c r="F15" s="172">
        <v>234.9</v>
      </c>
      <c r="G15" s="81" t="s">
        <v>29</v>
      </c>
      <c r="H15" s="68"/>
      <c r="K15" s="55"/>
      <c r="L15" s="55"/>
    </row>
    <row r="16" spans="1:12" ht="17.25" x14ac:dyDescent="0.4">
      <c r="A16" s="13" t="s">
        <v>30</v>
      </c>
      <c r="B16" s="69">
        <f t="shared" si="0"/>
        <v>36482.800000000003</v>
      </c>
      <c r="C16" s="173">
        <v>35553</v>
      </c>
      <c r="D16" s="174">
        <v>637.60000000000014</v>
      </c>
      <c r="E16" s="175">
        <v>83.9</v>
      </c>
      <c r="F16" s="176">
        <v>208.29999999999998</v>
      </c>
      <c r="G16" s="81" t="s">
        <v>31</v>
      </c>
      <c r="H16" s="68"/>
      <c r="K16" s="55"/>
      <c r="L16" s="55"/>
    </row>
    <row r="17" spans="1:12" ht="17.25" x14ac:dyDescent="0.4">
      <c r="A17" s="13" t="s">
        <v>32</v>
      </c>
      <c r="B17" s="66">
        <f t="shared" si="0"/>
        <v>101253.60000000003</v>
      </c>
      <c r="C17" s="177">
        <v>100347.80000000003</v>
      </c>
      <c r="D17" s="177">
        <v>477.1</v>
      </c>
      <c r="E17" s="178">
        <v>152.99999999999997</v>
      </c>
      <c r="F17" s="68">
        <v>275.7</v>
      </c>
      <c r="G17" s="81" t="s">
        <v>33</v>
      </c>
      <c r="H17" s="68"/>
      <c r="K17" s="55"/>
      <c r="L17" s="55"/>
    </row>
    <row r="18" spans="1:12" ht="17.25" x14ac:dyDescent="0.4">
      <c r="A18" s="77" t="s">
        <v>34</v>
      </c>
      <c r="B18" s="83">
        <f t="shared" si="0"/>
        <v>41250.199999999997</v>
      </c>
      <c r="C18" s="179">
        <v>40121.199999999997</v>
      </c>
      <c r="D18" s="180">
        <v>600.5</v>
      </c>
      <c r="E18" s="181">
        <v>100.8</v>
      </c>
      <c r="F18" s="182">
        <v>427.70000000000005</v>
      </c>
      <c r="G18" s="82" t="s">
        <v>35</v>
      </c>
      <c r="H18" s="70"/>
      <c r="K18" s="55"/>
      <c r="L18" s="55"/>
    </row>
    <row r="19" spans="1:12" ht="18.75" x14ac:dyDescent="0.25">
      <c r="A19" s="6" t="s">
        <v>7</v>
      </c>
      <c r="B19" s="6"/>
      <c r="C19" s="7"/>
      <c r="D19" s="7"/>
      <c r="E19" s="7"/>
      <c r="F19" s="7"/>
      <c r="G19" s="71" t="s">
        <v>8</v>
      </c>
      <c r="H19" s="7"/>
      <c r="I19" s="15"/>
      <c r="K19" s="55"/>
      <c r="L19" s="55"/>
    </row>
    <row r="20" spans="1:12" x14ac:dyDescent="0.25">
      <c r="A20" s="72"/>
      <c r="B20" s="73"/>
      <c r="C20" s="73"/>
      <c r="D20" s="73"/>
      <c r="E20" s="73"/>
      <c r="F20" s="73"/>
      <c r="G20" s="73"/>
      <c r="H20" s="73"/>
      <c r="I20" s="73"/>
    </row>
    <row r="21" spans="1:12" ht="17.25" x14ac:dyDescent="0.25">
      <c r="A21" s="73"/>
      <c r="B21" s="73"/>
      <c r="C21" s="73"/>
      <c r="D21" s="73"/>
      <c r="E21" s="73"/>
      <c r="F21" s="73"/>
      <c r="G21" s="73"/>
      <c r="H21" s="73"/>
      <c r="I21" s="73"/>
      <c r="J21" s="56"/>
    </row>
  </sheetData>
  <mergeCells count="6">
    <mergeCell ref="A1:G1"/>
    <mergeCell ref="A2:G2"/>
    <mergeCell ref="A3:J3"/>
    <mergeCell ref="C4:D4"/>
    <mergeCell ref="E4:F4"/>
    <mergeCell ref="G4:G5"/>
  </mergeCells>
  <pageMargins left="0.7" right="0.7" top="0.75" bottom="0.75" header="0.3" footer="0.3"/>
  <pageSetup scale="7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 11.24</vt:lpstr>
      <vt:lpstr>' 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2024-09-25T09:02:14Z</cp:lastPrinted>
  <dcterms:created xsi:type="dcterms:W3CDTF">2019-03-24T03:32:16Z</dcterms:created>
  <dcterms:modified xsi:type="dcterms:W3CDTF">2024-09-25T09:02:45Z</dcterms:modified>
</cp:coreProperties>
</file>