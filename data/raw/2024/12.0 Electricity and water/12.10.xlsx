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Electricity and Water\"/>
    </mc:Choice>
  </mc:AlternateContent>
  <xr:revisionPtr revIDLastSave="0" documentId="13_ncr:1_{4BBDA2C9-3762-493B-8051-34337494FEC7}" xr6:coauthVersionLast="47" xr6:coauthVersionMax="47" xr10:uidLastSave="{00000000-0000-0000-0000-000000000000}"/>
  <bookViews>
    <workbookView xWindow="-120" yWindow="-120" windowWidth="29040" windowHeight="15720" tabRatio="754" xr2:uid="{00000000-000D-0000-FFFF-FFFF00000000}"/>
  </bookViews>
  <sheets>
    <sheet name="12.10" sheetId="10" r:id="rId1"/>
  </sheets>
  <definedNames>
    <definedName name="Male">#REF!</definedName>
    <definedName name="_xlnm.Print_Area" localSheetId="0">'12.10'!$A$1:$U$22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10" l="1"/>
  <c r="E18" i="10"/>
  <c r="F17" i="10"/>
  <c r="E17" i="10"/>
  <c r="F16" i="10"/>
  <c r="E16" i="10"/>
  <c r="F15" i="10"/>
  <c r="E15" i="10"/>
  <c r="F14" i="10"/>
  <c r="E14" i="10"/>
  <c r="F13" i="10"/>
  <c r="E13" i="10"/>
  <c r="F12" i="10"/>
  <c r="E12" i="10"/>
  <c r="F11" i="10"/>
  <c r="E11" i="10"/>
  <c r="F10" i="10"/>
  <c r="E10" i="10"/>
  <c r="F9" i="10"/>
  <c r="E9" i="10"/>
  <c r="F8" i="10"/>
  <c r="E8" i="10"/>
  <c r="F7" i="10"/>
  <c r="E7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D6" i="10"/>
  <c r="E6" i="10" l="1"/>
  <c r="F6" i="10"/>
</calcChain>
</file>

<file path=xl/sharedStrings.xml><?xml version="1.0" encoding="utf-8"?>
<sst xmlns="http://schemas.openxmlformats.org/spreadsheetml/2006/main" count="33" uniqueCount="33">
  <si>
    <t>cDeTimil Inepcmok cjErevcs cDcnea rwTOv ElWm :ctWrwf ivcaedutWmUluawm</t>
  </si>
  <si>
    <t>Source: Male' Water &amp; Sewerage Company Private Limited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</si>
  <si>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</si>
  <si>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>Month</t>
  </si>
  <si>
    <t>cswm</t>
  </si>
  <si>
    <t xml:space="preserve"> Total</t>
  </si>
  <si>
    <t>wlcmuj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</si>
  <si>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</si>
  <si>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</si>
  <si>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</si>
  <si>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</si>
  <si>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</si>
  <si>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</si>
  <si>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</si>
  <si>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</si>
  <si>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 xml:space="preserve">May 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</si>
  <si>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</si>
  <si>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</si>
  <si>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</si>
  <si>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</si>
  <si>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</si>
  <si>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</si>
  <si>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</si>
  <si>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</si>
  <si>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</si>
  <si>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</si>
  <si>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</si>
  <si>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</si>
  <si>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</si>
  <si>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</si>
  <si>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</si>
  <si>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2023- 2010 ,urwvcnimunuverukcnunEb cnef iawgIligniliv cnutog eguhwmcswm  : 12.10 ulwvWt</t>
  </si>
  <si>
    <t>Table 12.10 : WATER DISTRIBUTION  IN VILIMALE' BY MONTH,  2010 - 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</si>
</sst>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.0"/>
  </numFmts>
  <fonts count="17">
    <font>
      <sz val="11"/>
      <color theme="1"/>
      <name val="Calibri"/>
      <charset val="134"/>
      <scheme val="minor"/>
    </font>
    <font>
      <i/>
      <sz val="9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sz val="9"/>
      <name val="A_Faseyha"/>
    </font>
    <font>
      <b/>
      <sz val="10"/>
      <name val="Calibri"/>
      <family val="2"/>
      <scheme val="minor"/>
    </font>
    <font>
      <b/>
      <sz val="10"/>
      <name val="A_Faseyha"/>
    </font>
    <font>
      <sz val="10"/>
      <name val="A_Faseyha"/>
    </font>
    <font>
      <b/>
      <sz val="10"/>
      <name val="Arial"/>
      <family val="2"/>
    </font>
    <font>
      <b/>
      <sz val="10"/>
      <name val="A_Randhoo"/>
    </font>
    <font>
      <sz val="10"/>
      <name val="Garamond"/>
      <family val="1"/>
    </font>
    <font>
      <sz val="14"/>
      <name val="A_Utheem"/>
    </font>
    <font>
      <b/>
      <sz val="9"/>
      <name val="Arial"/>
      <family val="2"/>
    </font>
    <font>
      <sz val="10"/>
      <name val="Arial"/>
      <family val="2"/>
    </font>
    <font>
      <b/>
      <sz val="10"/>
      <name val="A_Randhoo A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5" fillId="0" borderId="0"/>
    <xf numFmtId="0" fontId="2" fillId="0" borderId="0"/>
    <xf numFmtId="0" fontId="12" fillId="0" borderId="0"/>
  </cellStyleXfs>
  <cellXfs count="28">
    <xf numFmtId="0" fontId="0" fillId="0" borderId="0" xfId="0"/>
    <xf numFmtId="0" fontId="3" fillId="2" borderId="0" xfId="4" applyFont="1" applyFill="1"/>
    <xf numFmtId="0" fontId="1" fillId="2" borderId="0" xfId="8" applyFont="1" applyFill="1"/>
    <xf numFmtId="0" fontId="5" fillId="2" borderId="0" xfId="8" applyFont="1" applyFill="1" applyAlignment="1">
      <alignment horizontal="left" vertical="center" indent="1"/>
    </xf>
    <xf numFmtId="0" fontId="5" fillId="2" borderId="2" xfId="8" applyFont="1" applyFill="1" applyBorder="1" applyAlignment="1">
      <alignment horizontal="left" vertical="center" indent="1"/>
    </xf>
    <xf numFmtId="0" fontId="11" fillId="2" borderId="0" xfId="4" applyFont="1" applyFill="1" applyAlignment="1">
      <alignment vertical="center"/>
    </xf>
    <xf numFmtId="0" fontId="8" fillId="2" borderId="1" xfId="8" applyFont="1" applyFill="1" applyBorder="1" applyAlignment="1">
      <alignment horizontal="right"/>
    </xf>
    <xf numFmtId="0" fontId="8" fillId="2" borderId="0" xfId="8" applyFont="1" applyFill="1" applyAlignment="1">
      <alignment horizontal="right"/>
    </xf>
    <xf numFmtId="0" fontId="6" fillId="2" borderId="0" xfId="8" applyFont="1" applyFill="1" applyAlignment="1">
      <alignment horizontal="right"/>
    </xf>
    <xf numFmtId="0" fontId="12" fillId="2" borderId="0" xfId="8" applyFill="1"/>
    <xf numFmtId="0" fontId="10" fillId="2" borderId="2" xfId="4" applyFont="1" applyFill="1" applyBorder="1" applyAlignment="1">
      <alignment horizontal="center" vertical="center"/>
    </xf>
    <xf numFmtId="0" fontId="7" fillId="2" borderId="1" xfId="8" applyFont="1" applyFill="1" applyBorder="1"/>
    <xf numFmtId="0" fontId="7" fillId="2" borderId="1" xfId="8" applyFont="1" applyFill="1" applyBorder="1" applyAlignment="1">
      <alignment horizontal="center" vertical="center"/>
    </xf>
    <xf numFmtId="0" fontId="7" fillId="2" borderId="0" xfId="8" applyFont="1" applyFill="1"/>
    <xf numFmtId="165" fontId="7" fillId="2" borderId="0" xfId="8" applyNumberFormat="1" applyFont="1" applyFill="1" applyAlignment="1">
      <alignment horizontal="center"/>
    </xf>
    <xf numFmtId="165" fontId="5" fillId="2" borderId="0" xfId="4" applyNumberFormat="1" applyFont="1" applyFill="1" applyAlignment="1">
      <alignment horizontal="center" vertical="center"/>
    </xf>
    <xf numFmtId="165" fontId="5" fillId="2" borderId="0" xfId="3" applyNumberFormat="1" applyFont="1" applyFill="1" applyAlignment="1">
      <alignment horizontal="center" vertical="center"/>
    </xf>
    <xf numFmtId="165" fontId="5" fillId="2" borderId="2" xfId="4" applyNumberFormat="1" applyFont="1" applyFill="1" applyBorder="1" applyAlignment="1">
      <alignment horizontal="center" vertical="center"/>
    </xf>
    <xf numFmtId="165" fontId="5" fillId="2" borderId="2" xfId="3" applyNumberFormat="1" applyFont="1" applyFill="1" applyBorder="1" applyAlignment="1">
      <alignment horizontal="center" vertical="center"/>
    </xf>
    <xf numFmtId="4" fontId="4" fillId="2" borderId="0" xfId="8" applyNumberFormat="1" applyFont="1" applyFill="1" applyAlignment="1">
      <alignment horizontal="center"/>
    </xf>
    <xf numFmtId="165" fontId="3" fillId="2" borderId="0" xfId="8" applyNumberFormat="1" applyFont="1" applyFill="1" applyAlignment="1">
      <alignment horizontal="center"/>
    </xf>
    <xf numFmtId="165" fontId="3" fillId="2" borderId="2" xfId="8" applyNumberFormat="1" applyFont="1" applyFill="1" applyBorder="1" applyAlignment="1">
      <alignment horizontal="center"/>
    </xf>
    <xf numFmtId="0" fontId="13" fillId="2" borderId="0" xfId="4" applyFont="1" applyFill="1" applyAlignment="1">
      <alignment horizontal="center" vertical="center"/>
    </xf>
    <xf numFmtId="0" fontId="9" fillId="2" borderId="0" xfId="8" applyFont="1" applyFill="1" applyAlignment="1">
      <alignment horizontal="right" indent="1"/>
    </xf>
    <xf numFmtId="0" fontId="9" fillId="2" borderId="2" xfId="8" applyFont="1" applyFill="1" applyBorder="1" applyAlignment="1">
      <alignment horizontal="right" indent="1"/>
    </xf>
    <xf numFmtId="0" fontId="8" fillId="2" borderId="0" xfId="4" applyFont="1" applyFill="1" applyAlignment="1">
      <alignment horizontal="center" vertical="center"/>
    </xf>
    <xf numFmtId="0" fontId="10" fillId="2" borderId="0" xfId="4" applyFont="1" applyFill="1" applyAlignment="1">
      <alignment horizontal="center" vertical="center"/>
    </xf>
    <xf numFmtId="0" fontId="7" fillId="2" borderId="0" xfId="8" applyFont="1" applyFill="1" applyAlignment="1">
      <alignment horizontal="center"/>
    </xf>
  </cellXfs>
  <cellStyles count="9">
    <cellStyle name="Comma 2" xfId="1" xr:uid="{00000000-0005-0000-0000-000001000000}"/>
    <cellStyle name="Comma 2 2" xfId="2" xr:uid="{00000000-0005-0000-0000-000002000000}"/>
    <cellStyle name="Comma 4" xfId="3" xr:uid="{00000000-0005-0000-0000-000003000000}"/>
    <cellStyle name="Normal" xfId="0" builtinId="0"/>
    <cellStyle name="Normal 2" xfId="4" xr:uid="{00000000-0005-0000-0000-000005000000}"/>
    <cellStyle name="Normal 2 2" xfId="5" xr:uid="{00000000-0005-0000-0000-000006000000}"/>
    <cellStyle name="Normal 4" xfId="6" xr:uid="{00000000-0005-0000-0000-000007000000}"/>
    <cellStyle name="Normal 5" xfId="7" xr:uid="{00000000-0005-0000-0000-000008000000}"/>
    <cellStyle name="Normal_X-5 (Electricity)" xfId="8" xr:uid="{00000000-0005-0000-0000-000009000000}"/>
  </cellStyles>
  <dxfs count="0"/>
  <tableStyles count="0" defaultTableStyle="TableStyleMedium2" defaultPivotStyle="PivotStyleLight16"/>
  <colors>
    <mruColors>
      <color rgb="FF33CCCC"/>
      <color rgb="FF249390"/>
      <color rgb="FF196563"/>
      <color rgb="FFEAFAFA"/>
      <color rgb="FFC7F2F1"/>
      <color rgb="FFFF9933"/>
      <color rgb="FFFF9900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V22"/>
  <sheetViews>
    <sheetView tabSelected="1" topLeftCell="J1" zoomScale="112" zoomScaleNormal="112" workbookViewId="0">
      <selection activeCell="AC16" sqref="AC16"/>
    </sheetView>
  </sheetViews>
  <sheetFormatPr defaultColWidth="11.28515625" defaultRowHeight="12.75"/>
  <cols>
    <col min="1" max="1" width="11.28515625" style="1"/>
    <col min="2" max="5" width="11.28515625" style="1" hidden="1" customWidth="1"/>
    <col min="6" max="19" width="11.28515625" style="1"/>
    <col min="20" max="20" width="13.42578125" style="1" customWidth="1"/>
    <col min="21" max="21" width="3.7109375" style="1" customWidth="1"/>
    <col min="22" max="22" width="24.5703125" style="1" customWidth="1"/>
    <col min="23" max="16384" width="11.28515625" style="1"/>
  </cols>
  <sheetData>
    <row r="1" spans="1:20" ht="15.75">
      <c r="A1" s="25" t="s">
        <v>31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>
      <c r="A2" s="27" t="s">
        <v>32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</row>
    <row r="3" spans="1:20" ht="15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</row>
    <row r="4" spans="1:2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0" ht="15.75">
      <c r="A5" s="11" t="s">
        <v>3</v>
      </c>
      <c r="B5" s="12">
        <v>2006</v>
      </c>
      <c r="C5" s="12">
        <v>2007</v>
      </c>
      <c r="D5" s="12">
        <v>2008</v>
      </c>
      <c r="E5" s="12">
        <v>2009</v>
      </c>
      <c r="F5" s="12">
        <v>2010</v>
      </c>
      <c r="G5" s="12">
        <v>2011</v>
      </c>
      <c r="H5" s="12">
        <v>2012</v>
      </c>
      <c r="I5" s="12">
        <v>2013</v>
      </c>
      <c r="J5" s="12">
        <v>2014</v>
      </c>
      <c r="K5" s="12">
        <v>2015</v>
      </c>
      <c r="L5" s="12">
        <v>2016</v>
      </c>
      <c r="M5" s="12">
        <v>2017</v>
      </c>
      <c r="N5" s="12">
        <v>2018</v>
      </c>
      <c r="O5" s="12">
        <v>2019</v>
      </c>
      <c r="P5" s="12">
        <v>2020</v>
      </c>
      <c r="Q5" s="12">
        <v>2021</v>
      </c>
      <c r="R5" s="12">
        <v>2022</v>
      </c>
      <c r="S5" s="12">
        <v>2023</v>
      </c>
      <c r="T5" s="6" t="s">
        <v>4</v>
      </c>
    </row>
    <row r="6" spans="1:20" ht="15.75">
      <c r="A6" s="13" t="s">
        <v>5</v>
      </c>
      <c r="B6" s="14">
        <v>87.61</v>
      </c>
      <c r="C6" s="14">
        <v>94.46</v>
      </c>
      <c r="D6" s="14">
        <f t="shared" ref="D6:S6" si="0">SUM(D7:D18)</f>
        <v>132.75242999999998</v>
      </c>
      <c r="E6" s="14">
        <f t="shared" si="0"/>
        <v>153.44110999999998</v>
      </c>
      <c r="F6" s="14">
        <f t="shared" si="0"/>
        <v>149.21519999999998</v>
      </c>
      <c r="G6" s="14">
        <f t="shared" si="0"/>
        <v>162.01300000000001</v>
      </c>
      <c r="H6" s="14">
        <f t="shared" si="0"/>
        <v>200.73650000000004</v>
      </c>
      <c r="I6" s="14">
        <f t="shared" si="0"/>
        <v>199.63330000000002</v>
      </c>
      <c r="J6" s="14">
        <f t="shared" si="0"/>
        <v>200.12200000000001</v>
      </c>
      <c r="K6" s="14">
        <f t="shared" si="0"/>
        <v>220.3561</v>
      </c>
      <c r="L6" s="14">
        <f t="shared" si="0"/>
        <v>265.65300000000002</v>
      </c>
      <c r="M6" s="14">
        <f t="shared" si="0"/>
        <v>278.57499999999999</v>
      </c>
      <c r="N6" s="14">
        <f t="shared" si="0"/>
        <v>274.12400000000002</v>
      </c>
      <c r="O6" s="14">
        <f t="shared" si="0"/>
        <v>284.36799999999999</v>
      </c>
      <c r="P6" s="14">
        <f t="shared" si="0"/>
        <v>287.35700000000003</v>
      </c>
      <c r="Q6" s="14">
        <f t="shared" si="0"/>
        <v>280.11510000000004</v>
      </c>
      <c r="R6" s="14">
        <f t="shared" si="0"/>
        <v>265.63080000000002</v>
      </c>
      <c r="S6" s="14">
        <f t="shared" si="0"/>
        <v>302.56500000000005</v>
      </c>
      <c r="T6" s="7" t="s">
        <v>6</v>
      </c>
    </row>
    <row r="7" spans="1:20" ht="15.75">
      <c r="A7" s="3" t="s">
        <v>7</v>
      </c>
      <c r="B7" s="15">
        <v>6.71</v>
      </c>
      <c r="C7" s="15">
        <v>6.7370000000000001</v>
      </c>
      <c r="D7" s="15">
        <v>8.5228099999999998</v>
      </c>
      <c r="E7" s="15">
        <f>13824.72/1000</f>
        <v>13.824719999999999</v>
      </c>
      <c r="F7" s="15">
        <f>12006/1000</f>
        <v>12.006</v>
      </c>
      <c r="G7" s="15">
        <v>12.16</v>
      </c>
      <c r="H7" s="16">
        <v>14.749700000000001</v>
      </c>
      <c r="I7" s="16">
        <v>17.2361</v>
      </c>
      <c r="J7" s="16">
        <v>15.821999999999999</v>
      </c>
      <c r="K7" s="16">
        <v>17.667999999999999</v>
      </c>
      <c r="L7" s="16">
        <v>20.492000000000001</v>
      </c>
      <c r="M7" s="16">
        <v>23.09</v>
      </c>
      <c r="N7" s="16">
        <v>23.341999999999999</v>
      </c>
      <c r="O7" s="16">
        <v>23.353000000000002</v>
      </c>
      <c r="P7" s="20">
        <v>24.768999999999998</v>
      </c>
      <c r="Q7" s="20">
        <v>23.582899999999999</v>
      </c>
      <c r="R7" s="20">
        <v>22.273700000000002</v>
      </c>
      <c r="S7" s="20">
        <v>23.689</v>
      </c>
      <c r="T7" s="23" t="s">
        <v>8</v>
      </c>
    </row>
    <row r="8" spans="1:20" ht="15.75">
      <c r="A8" s="3" t="s">
        <v>9</v>
      </c>
      <c r="B8" s="15">
        <v>6.8</v>
      </c>
      <c r="C8" s="15">
        <v>6.7859999999999996</v>
      </c>
      <c r="D8" s="15">
        <v>9.0252599999999994</v>
      </c>
      <c r="E8" s="15">
        <f>13500.1/1000</f>
        <v>13.5001</v>
      </c>
      <c r="F8" s="15">
        <f>11311.6/1000</f>
        <v>11.3116</v>
      </c>
      <c r="G8" s="15">
        <v>11.271000000000001</v>
      </c>
      <c r="H8" s="16">
        <v>14.404999999999999</v>
      </c>
      <c r="I8" s="16">
        <v>15.4262</v>
      </c>
      <c r="J8" s="16">
        <v>15.07</v>
      </c>
      <c r="K8" s="16">
        <v>16.524000000000001</v>
      </c>
      <c r="L8" s="16">
        <v>20.562000000000001</v>
      </c>
      <c r="M8" s="16">
        <v>21.858000000000001</v>
      </c>
      <c r="N8" s="16">
        <v>20.917999999999999</v>
      </c>
      <c r="O8" s="16">
        <v>21.32</v>
      </c>
      <c r="P8" s="20">
        <v>22.794</v>
      </c>
      <c r="Q8" s="20">
        <v>21.942</v>
      </c>
      <c r="R8" s="20">
        <v>20.21</v>
      </c>
      <c r="S8" s="20">
        <v>22.206</v>
      </c>
      <c r="T8" s="23" t="s">
        <v>10</v>
      </c>
    </row>
    <row r="9" spans="1:20" ht="15.75">
      <c r="A9" s="3" t="s">
        <v>11</v>
      </c>
      <c r="B9" s="15">
        <v>8.01</v>
      </c>
      <c r="C9" s="15">
        <v>8.09</v>
      </c>
      <c r="D9" s="15">
        <v>10.10816</v>
      </c>
      <c r="E9" s="15">
        <f>14762.62/1000</f>
        <v>14.76262</v>
      </c>
      <c r="F9" s="15">
        <f>13626.5/1000</f>
        <v>13.6265</v>
      </c>
      <c r="G9" s="15">
        <v>13.747</v>
      </c>
      <c r="H9" s="16">
        <v>17.776900000000001</v>
      </c>
      <c r="I9" s="16">
        <v>18.164000000000001</v>
      </c>
      <c r="J9" s="16">
        <v>16.978999999999999</v>
      </c>
      <c r="K9" s="16">
        <v>18.923999999999999</v>
      </c>
      <c r="L9" s="16">
        <v>22.641999999999999</v>
      </c>
      <c r="M9" s="16">
        <v>25.994</v>
      </c>
      <c r="N9" s="16">
        <v>24.95</v>
      </c>
      <c r="O9" s="16">
        <v>24.286000000000001</v>
      </c>
      <c r="P9" s="20">
        <v>24.481000000000002</v>
      </c>
      <c r="Q9" s="20">
        <v>23.861000000000001</v>
      </c>
      <c r="R9" s="20">
        <v>23.1281</v>
      </c>
      <c r="S9" s="20">
        <v>25.242000000000001</v>
      </c>
      <c r="T9" s="23" t="s">
        <v>12</v>
      </c>
    </row>
    <row r="10" spans="1:20" ht="15.75">
      <c r="A10" s="3" t="s">
        <v>13</v>
      </c>
      <c r="B10" s="15">
        <v>7.92</v>
      </c>
      <c r="C10" s="15">
        <v>8.1809999999999992</v>
      </c>
      <c r="D10" s="15">
        <v>9.9809400000000004</v>
      </c>
      <c r="E10" s="15">
        <f>12907.64/1000</f>
        <v>12.907639999999999</v>
      </c>
      <c r="F10" s="15">
        <f>13789.6/1000</f>
        <v>13.7896</v>
      </c>
      <c r="G10" s="15">
        <v>13.391</v>
      </c>
      <c r="H10" s="16">
        <v>17.472999999999999</v>
      </c>
      <c r="I10" s="16">
        <v>18.198</v>
      </c>
      <c r="J10" s="16">
        <v>17.344999999999999</v>
      </c>
      <c r="K10" s="16">
        <v>19.065999999999999</v>
      </c>
      <c r="L10" s="16">
        <v>25.564</v>
      </c>
      <c r="M10" s="16">
        <v>23.817</v>
      </c>
      <c r="N10" s="16">
        <v>24.603999999999999</v>
      </c>
      <c r="O10" s="16">
        <v>23.306000000000001</v>
      </c>
      <c r="P10" s="20">
        <v>23.547000000000001</v>
      </c>
      <c r="Q10" s="20">
        <v>25.12</v>
      </c>
      <c r="R10" s="20">
        <v>23.1921</v>
      </c>
      <c r="S10" s="20">
        <v>24.861000000000001</v>
      </c>
      <c r="T10" s="23" t="s">
        <v>14</v>
      </c>
    </row>
    <row r="11" spans="1:20" ht="15.75">
      <c r="A11" s="3" t="s">
        <v>15</v>
      </c>
      <c r="B11" s="15">
        <v>8.1199999999999992</v>
      </c>
      <c r="C11" s="15">
        <v>7.9779999999999998</v>
      </c>
      <c r="D11" s="15">
        <v>10.215210000000001</v>
      </c>
      <c r="E11" s="15">
        <f>13803.1/1000</f>
        <v>13.803100000000001</v>
      </c>
      <c r="F11" s="15">
        <f>13121.2/1000</f>
        <v>13.1212</v>
      </c>
      <c r="G11" s="15">
        <v>13.359</v>
      </c>
      <c r="H11" s="16">
        <v>18.638200000000001</v>
      </c>
      <c r="I11" s="16">
        <v>17.337</v>
      </c>
      <c r="J11" s="16">
        <v>17.195</v>
      </c>
      <c r="K11" s="16">
        <v>19.175999999999998</v>
      </c>
      <c r="L11" s="16">
        <v>21.483000000000001</v>
      </c>
      <c r="M11" s="16">
        <v>22.988</v>
      </c>
      <c r="N11" s="16">
        <v>24.978999999999999</v>
      </c>
      <c r="O11" s="16">
        <v>24.55</v>
      </c>
      <c r="P11" s="20">
        <v>24.971</v>
      </c>
      <c r="Q11" s="20">
        <v>24.2761</v>
      </c>
      <c r="R11" s="20">
        <v>22.256599999999999</v>
      </c>
      <c r="S11" s="20">
        <v>24.974</v>
      </c>
      <c r="T11" s="23" t="s">
        <v>16</v>
      </c>
    </row>
    <row r="12" spans="1:20" ht="15.75">
      <c r="A12" s="3" t="s">
        <v>17</v>
      </c>
      <c r="B12" s="15">
        <v>7.65</v>
      </c>
      <c r="C12" s="15">
        <v>7.6760000000000002</v>
      </c>
      <c r="D12" s="15">
        <v>9.6870700000000003</v>
      </c>
      <c r="E12" s="15">
        <f>12592.47/1000</f>
        <v>12.592469999999999</v>
      </c>
      <c r="F12" s="15">
        <f>13092.5/1000</f>
        <v>13.092499999999999</v>
      </c>
      <c r="G12" s="15">
        <v>14.221</v>
      </c>
      <c r="H12" s="16">
        <v>18.327999999999999</v>
      </c>
      <c r="I12" s="16">
        <v>16.536999999999999</v>
      </c>
      <c r="J12" s="16">
        <v>17.471</v>
      </c>
      <c r="K12" s="16">
        <v>19.530999999999999</v>
      </c>
      <c r="L12" s="16">
        <v>23.012</v>
      </c>
      <c r="M12" s="16">
        <v>23.068999999999999</v>
      </c>
      <c r="N12" s="16">
        <v>23.183</v>
      </c>
      <c r="O12" s="16">
        <v>23.292999999999999</v>
      </c>
      <c r="P12" s="20">
        <v>23.472000000000001</v>
      </c>
      <c r="Q12" s="20">
        <v>22.518999999999998</v>
      </c>
      <c r="R12" s="20">
        <v>21.321999999999999</v>
      </c>
      <c r="S12" s="20">
        <v>24.087</v>
      </c>
      <c r="T12" s="23" t="s">
        <v>18</v>
      </c>
    </row>
    <row r="13" spans="1:20" ht="15.75">
      <c r="A13" s="3" t="s">
        <v>19</v>
      </c>
      <c r="B13" s="15">
        <v>7.9</v>
      </c>
      <c r="C13" s="15">
        <v>7.85</v>
      </c>
      <c r="D13" s="15">
        <v>10.169180000000001</v>
      </c>
      <c r="E13" s="15">
        <f>13764.36/1000</f>
        <v>13.76436</v>
      </c>
      <c r="F13" s="15">
        <f>12070.9/1000</f>
        <v>12.0709</v>
      </c>
      <c r="G13" s="15">
        <v>14.153</v>
      </c>
      <c r="H13" s="16">
        <v>19.847000000000001</v>
      </c>
      <c r="I13" s="16">
        <v>18.916</v>
      </c>
      <c r="J13" s="16">
        <v>17.753</v>
      </c>
      <c r="K13" s="16">
        <v>19.111999999999998</v>
      </c>
      <c r="L13" s="16">
        <v>21.681000000000001</v>
      </c>
      <c r="M13" s="16">
        <v>24.292000000000002</v>
      </c>
      <c r="N13" s="16">
        <v>23.437000000000001</v>
      </c>
      <c r="O13" s="16">
        <v>24.111999999999998</v>
      </c>
      <c r="P13" s="20">
        <v>25.038</v>
      </c>
      <c r="Q13" s="20">
        <v>22.538900000000002</v>
      </c>
      <c r="R13" s="20">
        <v>20.2622</v>
      </c>
      <c r="S13" s="20">
        <v>25.303000000000001</v>
      </c>
      <c r="T13" s="23" t="s">
        <v>20</v>
      </c>
    </row>
    <row r="14" spans="1:20" ht="15.75">
      <c r="A14" s="3" t="s">
        <v>21</v>
      </c>
      <c r="B14" s="15">
        <v>7.66</v>
      </c>
      <c r="C14" s="15">
        <v>8.452</v>
      </c>
      <c r="D14" s="15">
        <v>12.06822</v>
      </c>
      <c r="E14" s="15">
        <f>12202.4/1000</f>
        <v>12.202399999999999</v>
      </c>
      <c r="F14" s="15">
        <f>13026/1000</f>
        <v>13.026</v>
      </c>
      <c r="G14" s="15">
        <v>14.708</v>
      </c>
      <c r="H14" s="16">
        <v>17.097999999999999</v>
      </c>
      <c r="I14" s="16">
        <v>16.727</v>
      </c>
      <c r="J14" s="16">
        <v>16.989999999999998</v>
      </c>
      <c r="K14" s="16">
        <v>19.004000000000001</v>
      </c>
      <c r="L14" s="16">
        <v>22.388000000000002</v>
      </c>
      <c r="M14" s="16">
        <v>23.457999999999998</v>
      </c>
      <c r="N14" s="16">
        <v>23.779</v>
      </c>
      <c r="O14" s="16">
        <v>24.201000000000001</v>
      </c>
      <c r="P14" s="20">
        <v>24.821999999999999</v>
      </c>
      <c r="Q14" s="20">
        <v>24.055099999999999</v>
      </c>
      <c r="R14" s="20">
        <v>22.592300000000002</v>
      </c>
      <c r="S14" s="20">
        <v>28.77</v>
      </c>
      <c r="T14" s="23" t="s">
        <v>22</v>
      </c>
    </row>
    <row r="15" spans="1:20" ht="15.75">
      <c r="A15" s="3" t="s">
        <v>23</v>
      </c>
      <c r="B15" s="15">
        <v>7.06</v>
      </c>
      <c r="C15" s="15">
        <v>8.1349999999999998</v>
      </c>
      <c r="D15" s="15">
        <v>14.287599999999999</v>
      </c>
      <c r="E15" s="15">
        <f>12123.8/1000</f>
        <v>12.123799999999999</v>
      </c>
      <c r="F15" s="15">
        <f>12008.3/1000</f>
        <v>12.008299999999998</v>
      </c>
      <c r="G15" s="15">
        <v>13.673999999999999</v>
      </c>
      <c r="H15" s="16">
        <v>15.651999999999999</v>
      </c>
      <c r="I15" s="16">
        <v>15.872999999999999</v>
      </c>
      <c r="J15" s="16">
        <v>16.288</v>
      </c>
      <c r="K15" s="16">
        <v>17.05</v>
      </c>
      <c r="L15" s="16">
        <v>21.81</v>
      </c>
      <c r="M15" s="16">
        <v>21.858000000000001</v>
      </c>
      <c r="N15" s="16">
        <v>21.460999999999999</v>
      </c>
      <c r="O15" s="16">
        <v>24.637</v>
      </c>
      <c r="P15" s="20">
        <v>23.756</v>
      </c>
      <c r="Q15" s="20">
        <v>23.55</v>
      </c>
      <c r="R15" s="20">
        <v>22.7818</v>
      </c>
      <c r="S15" s="20">
        <v>25.774000000000001</v>
      </c>
      <c r="T15" s="23" t="s">
        <v>24</v>
      </c>
    </row>
    <row r="16" spans="1:20" ht="15.75">
      <c r="A16" s="3" t="s">
        <v>25</v>
      </c>
      <c r="B16" s="15">
        <v>7.59</v>
      </c>
      <c r="C16" s="15">
        <v>8.34</v>
      </c>
      <c r="D16" s="15">
        <v>13.223739999999999</v>
      </c>
      <c r="E16" s="15">
        <f>13207/1000</f>
        <v>13.207000000000001</v>
      </c>
      <c r="F16" s="15">
        <f>12610/1000</f>
        <v>12.61</v>
      </c>
      <c r="G16" s="15">
        <v>14.371</v>
      </c>
      <c r="H16" s="16">
        <v>15.882999999999999</v>
      </c>
      <c r="I16" s="16">
        <v>15.507999999999999</v>
      </c>
      <c r="J16" s="16">
        <v>16.818999999999999</v>
      </c>
      <c r="K16" s="16">
        <v>18.559999999999999</v>
      </c>
      <c r="L16" s="16">
        <v>22.596</v>
      </c>
      <c r="M16" s="16">
        <v>23.952000000000002</v>
      </c>
      <c r="N16" s="16">
        <v>21.268999999999998</v>
      </c>
      <c r="O16" s="16">
        <v>24.573</v>
      </c>
      <c r="P16" s="20">
        <v>24.04</v>
      </c>
      <c r="Q16" s="20">
        <v>23.867000000000001</v>
      </c>
      <c r="R16" s="20">
        <v>22.658999999999999</v>
      </c>
      <c r="S16" s="20">
        <v>26.43</v>
      </c>
      <c r="T16" s="23" t="s">
        <v>26</v>
      </c>
    </row>
    <row r="17" spans="1:22" ht="15.75">
      <c r="A17" s="3" t="s">
        <v>27</v>
      </c>
      <c r="B17" s="15">
        <v>6.28</v>
      </c>
      <c r="C17" s="15">
        <v>8.6669999999999998</v>
      </c>
      <c r="D17" s="15">
        <v>13.751749999999999</v>
      </c>
      <c r="E17" s="15">
        <f>10242.9/1000</f>
        <v>10.242899999999999</v>
      </c>
      <c r="F17" s="15">
        <f>11198.2/1000</f>
        <v>11.1982</v>
      </c>
      <c r="G17" s="15">
        <v>13.012</v>
      </c>
      <c r="H17" s="16">
        <v>15.821999999999999</v>
      </c>
      <c r="I17" s="16">
        <v>15.173</v>
      </c>
      <c r="J17" s="16">
        <v>16.071999999999999</v>
      </c>
      <c r="K17" s="16">
        <v>17.791</v>
      </c>
      <c r="L17" s="16">
        <v>21.888000000000002</v>
      </c>
      <c r="M17" s="16">
        <v>21.905000000000001</v>
      </c>
      <c r="N17" s="16">
        <v>21.149000000000001</v>
      </c>
      <c r="O17" s="16">
        <v>23.739000000000001</v>
      </c>
      <c r="P17" s="20">
        <v>22.966000000000001</v>
      </c>
      <c r="Q17" s="20">
        <v>22.21</v>
      </c>
      <c r="R17" s="20">
        <v>22.06</v>
      </c>
      <c r="S17" s="20">
        <v>25.242000000000001</v>
      </c>
      <c r="T17" s="23" t="s">
        <v>28</v>
      </c>
    </row>
    <row r="18" spans="1:22" ht="15.75">
      <c r="A18" s="4" t="s">
        <v>29</v>
      </c>
      <c r="B18" s="17">
        <v>5.91</v>
      </c>
      <c r="C18" s="17">
        <v>7.5679999999999996</v>
      </c>
      <c r="D18" s="17">
        <v>11.712490000000001</v>
      </c>
      <c r="E18" s="17">
        <f>10510/1000</f>
        <v>10.51</v>
      </c>
      <c r="F18" s="17">
        <f>11354.4/1000</f>
        <v>11.3544</v>
      </c>
      <c r="G18" s="17">
        <v>13.946</v>
      </c>
      <c r="H18" s="18">
        <v>15.063700000000001</v>
      </c>
      <c r="I18" s="18">
        <v>14.538</v>
      </c>
      <c r="J18" s="18">
        <v>16.318000000000001</v>
      </c>
      <c r="K18" s="18">
        <v>17.950099999999999</v>
      </c>
      <c r="L18" s="18">
        <v>21.535</v>
      </c>
      <c r="M18" s="18">
        <v>22.294</v>
      </c>
      <c r="N18" s="18">
        <v>21.053000000000001</v>
      </c>
      <c r="O18" s="18">
        <v>22.998000000000001</v>
      </c>
      <c r="P18" s="21">
        <v>22.701000000000001</v>
      </c>
      <c r="Q18" s="21">
        <v>22.5931</v>
      </c>
      <c r="R18" s="21">
        <v>22.893000000000001</v>
      </c>
      <c r="S18" s="21">
        <v>25.986999999999998</v>
      </c>
      <c r="T18" s="24" t="s">
        <v>30</v>
      </c>
    </row>
    <row r="19" spans="1:22" ht="15">
      <c r="A19" s="2" t="s">
        <v>1</v>
      </c>
      <c r="T19" s="8" t="s">
        <v>0</v>
      </c>
    </row>
    <row r="20" spans="1:22">
      <c r="B20" s="19"/>
      <c r="C20" s="19"/>
      <c r="D20" s="19"/>
      <c r="E20" s="19"/>
    </row>
    <row r="22" spans="1:22" s="9" customFormat="1" ht="21.75">
      <c r="J22" s="5"/>
      <c r="K22" s="5"/>
      <c r="L22" s="5"/>
      <c r="M22" s="5"/>
      <c r="N22" s="22"/>
      <c r="O22" s="22"/>
      <c r="P22" s="22"/>
      <c r="Q22" s="22"/>
      <c r="R22" s="22"/>
      <c r="S22" s="22"/>
      <c r="T22" s="22"/>
      <c r="U22" s="22"/>
      <c r="V22" s="1"/>
    </row>
  </sheetData>
  <mergeCells count="3">
    <mergeCell ref="A1:T1"/>
    <mergeCell ref="A2:T2"/>
    <mergeCell ref="A3:T3"/>
  </mergeCells>
  <pageMargins left="0.7" right="0.7" top="0.75" bottom="0.75" header="0.3" footer="0.3"/>
  <pageSetup paperSize="9" scale="45" orientation="portrait" r:id="rId1"/>
  <colBreaks count="1" manualBreakCount="1">
    <brk id="2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12.10</vt:lpstr>
      <vt:lpstr>'12.10'!Print_Area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2024-09-24T10:16:08Z</cp:lastPrinted>
  <dcterms:created xsi:type="dcterms:W3CDTF">2019-05-21T05:57:00Z</dcterms:created>
  <dcterms:modified xsi:type="dcterms:W3CDTF">2024-09-24T10:16:18Z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