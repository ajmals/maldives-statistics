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Electricity and Water\"/>
    </mc:Choice>
  </mc:AlternateContent>
  <xr:revisionPtr revIDLastSave="0" documentId="13_ncr:1_{BD8FF225-EC68-4DA5-98F6-5A2DB49D421A}" xr6:coauthVersionLast="47" xr6:coauthVersionMax="47" xr10:uidLastSave="{00000000-0000-0000-0000-000000000000}"/>
  <bookViews>
    <workbookView xWindow="-120" yWindow="-120" windowWidth="29040" windowHeight="15720" tabRatio="754" xr2:uid="{00000000-000D-0000-FFFF-FFFF00000000}"/>
  </bookViews>
  <sheets>
    <sheet name="12.8" sheetId="8" r:id="rId1"/>
  </sheets>
  <definedNames>
    <definedName name="Male">#REF!</definedName>
    <definedName name="_xlnm.Print_Area" localSheetId="0">'12.8'!$A$1:$T$40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8" i="8" l="1"/>
  <c r="Q18" i="8"/>
  <c r="P18" i="8"/>
  <c r="O18" i="8"/>
  <c r="N18" i="8"/>
  <c r="M18" i="8"/>
  <c r="L18" i="8"/>
  <c r="K18" i="8"/>
  <c r="J18" i="8"/>
  <c r="I18" i="8"/>
  <c r="H18" i="8"/>
  <c r="G18" i="8"/>
  <c r="C18" i="8"/>
  <c r="R17" i="8"/>
  <c r="Q17" i="8"/>
  <c r="P17" i="8"/>
  <c r="O17" i="8"/>
  <c r="N17" i="8"/>
  <c r="M17" i="8"/>
  <c r="L17" i="8"/>
  <c r="K17" i="8"/>
  <c r="J17" i="8"/>
  <c r="I17" i="8"/>
  <c r="H17" i="8"/>
  <c r="G17" i="8"/>
  <c r="R16" i="8"/>
  <c r="Q16" i="8"/>
  <c r="P16" i="8"/>
  <c r="O16" i="8"/>
  <c r="N16" i="8"/>
  <c r="M16" i="8"/>
  <c r="L16" i="8"/>
  <c r="K16" i="8"/>
  <c r="J16" i="8"/>
  <c r="I16" i="8"/>
  <c r="H16" i="8"/>
  <c r="G16" i="8"/>
  <c r="O15" i="8"/>
  <c r="I13" i="8"/>
  <c r="Q12" i="8"/>
  <c r="M12" i="8"/>
  <c r="F12" i="8"/>
  <c r="I11" i="8"/>
  <c r="E8" i="8"/>
  <c r="D8" i="8"/>
  <c r="D18" i="8" s="1"/>
  <c r="C8" i="8"/>
  <c r="E7" i="8"/>
  <c r="D7" i="8"/>
  <c r="D17" i="8" s="1"/>
  <c r="C7" i="8"/>
  <c r="E6" i="8"/>
  <c r="E16" i="8" s="1"/>
  <c r="D6" i="8"/>
  <c r="C6" i="8"/>
  <c r="C5" i="8" s="1"/>
  <c r="C15" i="8" s="1"/>
  <c r="R5" i="8"/>
  <c r="R15" i="8" s="1"/>
  <c r="Q5" i="8"/>
  <c r="Q13" i="8" s="1"/>
  <c r="P5" i="8"/>
  <c r="P13" i="8" s="1"/>
  <c r="O5" i="8"/>
  <c r="O13" i="8" s="1"/>
  <c r="N5" i="8"/>
  <c r="N15" i="8" s="1"/>
  <c r="M5" i="8"/>
  <c r="M13" i="8" s="1"/>
  <c r="L5" i="8"/>
  <c r="L13" i="8" s="1"/>
  <c r="K5" i="8"/>
  <c r="K13" i="8" s="1"/>
  <c r="J5" i="8"/>
  <c r="J13" i="8" s="1"/>
  <c r="I5" i="8"/>
  <c r="I15" i="8" s="1"/>
  <c r="H5" i="8"/>
  <c r="H13" i="8" s="1"/>
  <c r="G5" i="8"/>
  <c r="G13" i="8" s="1"/>
  <c r="F5" i="8"/>
  <c r="F13" i="8" s="1"/>
  <c r="B5" i="8"/>
  <c r="B13" i="8" s="1"/>
  <c r="C12" i="8" l="1"/>
  <c r="F11" i="8"/>
  <c r="F10" i="8" s="1"/>
  <c r="L11" i="8"/>
  <c r="L15" i="8"/>
  <c r="C13" i="8"/>
  <c r="M11" i="8"/>
  <c r="M10" i="8" s="1"/>
  <c r="N11" i="8"/>
  <c r="N13" i="8"/>
  <c r="Q11" i="8"/>
  <c r="Q10" i="8" s="1"/>
  <c r="G15" i="8"/>
  <c r="Q15" i="8"/>
  <c r="I12" i="8"/>
  <c r="I10" i="8" s="1"/>
  <c r="J15" i="8"/>
  <c r="L12" i="8"/>
  <c r="M15" i="8"/>
  <c r="C11" i="8"/>
  <c r="C10" i="8" s="1"/>
  <c r="D16" i="8"/>
  <c r="N12" i="8"/>
  <c r="F16" i="8"/>
  <c r="E13" i="8"/>
  <c r="C16" i="8"/>
  <c r="D5" i="8"/>
  <c r="B11" i="8"/>
  <c r="J11" i="8"/>
  <c r="B12" i="8"/>
  <c r="J12" i="8"/>
  <c r="K15" i="8"/>
  <c r="C17" i="8"/>
  <c r="E5" i="8"/>
  <c r="K11" i="8"/>
  <c r="K10" i="8" s="1"/>
  <c r="K12" i="8"/>
  <c r="E17" i="8"/>
  <c r="E18" i="8"/>
  <c r="F17" i="8"/>
  <c r="F18" i="8"/>
  <c r="G11" i="8"/>
  <c r="O11" i="8"/>
  <c r="G12" i="8"/>
  <c r="O12" i="8"/>
  <c r="H15" i="8"/>
  <c r="P15" i="8"/>
  <c r="H11" i="8"/>
  <c r="P11" i="8"/>
  <c r="P10" i="8" s="1"/>
  <c r="H12" i="8"/>
  <c r="P12" i="8"/>
  <c r="R11" i="8"/>
  <c r="R12" i="8"/>
  <c r="R13" i="8"/>
  <c r="L10" i="8" l="1"/>
  <c r="O10" i="8"/>
  <c r="B10" i="8"/>
  <c r="N10" i="8"/>
  <c r="H10" i="8"/>
  <c r="G10" i="8"/>
  <c r="D13" i="8"/>
  <c r="D12" i="8"/>
  <c r="D11" i="8"/>
  <c r="D15" i="8"/>
  <c r="E11" i="8"/>
  <c r="E15" i="8"/>
  <c r="F15" i="8"/>
  <c r="E12" i="8"/>
  <c r="J10" i="8"/>
  <c r="R10" i="8"/>
  <c r="D10" i="8" l="1"/>
  <c r="E10" i="8"/>
</calcChain>
</file>

<file path=xl/sharedStrings.xml><?xml version="1.0" encoding="utf-8"?>
<sst xmlns="http://schemas.openxmlformats.org/spreadsheetml/2006/main" count="36" uniqueCount="22">
  <si>
    <t>(In '000 metric tons)</t>
  </si>
  <si>
    <t>Type</t>
  </si>
  <si>
    <t>cnwt</t>
  </si>
  <si>
    <t>Total (In '000 metric tons)</t>
  </si>
  <si>
    <t>( cnunwT ckircTem '000 ) wlcmuj</t>
  </si>
  <si>
    <t>Residential</t>
  </si>
  <si>
    <t>cniaegEg ELuairid</t>
  </si>
  <si>
    <t>Institution</t>
  </si>
  <si>
    <t xml:space="preserve"> cnwxuaiTiTcscnia</t>
  </si>
  <si>
    <t>Commercial</t>
  </si>
  <si>
    <t>cnwtcnwtELug iaWairWfwyiv</t>
  </si>
  <si>
    <t>Percentage  share</t>
  </si>
  <si>
    <t xml:space="preserve"> % cnutogWviawfiheb</t>
  </si>
  <si>
    <t>% change over previous year</t>
  </si>
  <si>
    <t xml:space="preserve"> % urwvcnim ivurutia eruvcSwrwhwa Iruk</t>
  </si>
  <si>
    <t>cDeTimil Inepcmok cjErevcs cDcnea rwTOv ElWm :ctWrwf ivcaedutWmUluawm</t>
  </si>
  <si>
    <t>Source: Male' Water &amp; Sewerage Company Private Limited</t>
  </si>
  <si>
    <t>2023 - 2010  ,urwvcnim unuverukcnunEb iawgElWmuLuh cnef Everukclib :12.8 ulwvWt</t>
  </si>
  <si>
    <t xml:space="preserve"> Table 12.8 : BILLED WATER CONSUMPTION IN HULHUMALE', 2010 - 2023</t>
  </si>
  <si>
    <t xml:space="preserve">Total </t>
  </si>
  <si>
    <t>ޖުމްލަ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</si>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</sst>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8">
    <font>
      <sz val="11"/>
      <color theme="1"/>
      <name val="Calibri"/>
      <charset val="134"/>
      <scheme val="minor"/>
    </font>
    <font>
      <i/>
      <sz val="9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name val="A_Faseyha"/>
    </font>
    <font>
      <sz val="10"/>
      <name val="A_Faseyha"/>
    </font>
    <font>
      <b/>
      <sz val="10"/>
      <name val="Arial"/>
      <family val="2"/>
    </font>
    <font>
      <b/>
      <sz val="12"/>
      <name val="Calibri"/>
      <family val="2"/>
      <scheme val="minor"/>
    </font>
    <font>
      <sz val="10"/>
      <name val="Garamond"/>
      <family val="1"/>
    </font>
    <font>
      <b/>
      <sz val="11"/>
      <color theme="1"/>
      <name val="A_Faseyha"/>
    </font>
    <font>
      <b/>
      <sz val="12"/>
      <color theme="1"/>
      <name val="A_Randhoo"/>
    </font>
    <font>
      <b/>
      <sz val="10"/>
      <name val="Faruma"/>
      <charset val="1"/>
    </font>
    <font>
      <sz val="9"/>
      <color theme="1"/>
      <name val="A_Faseyha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theme="1"/>
      </bottom>
      <diagonal/>
    </border>
  </borders>
  <cellStyleXfs count="10">
    <xf numFmtId="0" fontId="0" fillId="0" borderId="0"/>
    <xf numFmtId="43" fontId="17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16" fillId="0" borderId="0"/>
    <xf numFmtId="0" fontId="2" fillId="0" borderId="0"/>
    <xf numFmtId="0" fontId="11" fillId="0" borderId="0"/>
  </cellStyleXfs>
  <cellXfs count="44">
    <xf numFmtId="0" fontId="0" fillId="0" borderId="0" xfId="0"/>
    <xf numFmtId="0" fontId="0" fillId="2" borderId="0" xfId="0" applyFill="1"/>
    <xf numFmtId="0" fontId="1" fillId="2" borderId="0" xfId="9" applyFont="1" applyFill="1" applyAlignment="1">
      <alignment vertical="center"/>
    </xf>
    <xf numFmtId="0" fontId="2" fillId="2" borderId="0" xfId="5" applyFill="1"/>
    <xf numFmtId="0" fontId="3" fillId="2" borderId="0" xfId="5" applyFont="1" applyFill="1"/>
    <xf numFmtId="0" fontId="4" fillId="2" borderId="1" xfId="5" applyFont="1" applyFill="1" applyBorder="1" applyAlignment="1">
      <alignment vertical="center"/>
    </xf>
    <xf numFmtId="0" fontId="4" fillId="2" borderId="0" xfId="5" applyFont="1" applyFill="1" applyAlignment="1">
      <alignment horizontal="left" vertical="center"/>
    </xf>
    <xf numFmtId="164" fontId="4" fillId="2" borderId="0" xfId="1" applyNumberFormat="1" applyFont="1" applyFill="1" applyBorder="1" applyAlignment="1">
      <alignment horizontal="right" vertical="center"/>
    </xf>
    <xf numFmtId="164" fontId="5" fillId="2" borderId="0" xfId="1" applyNumberFormat="1" applyFont="1" applyFill="1" applyBorder="1" applyAlignment="1">
      <alignment horizontal="right" vertical="center"/>
    </xf>
    <xf numFmtId="1" fontId="5" fillId="2" borderId="0" xfId="5" applyNumberFormat="1" applyFont="1" applyFill="1"/>
    <xf numFmtId="0" fontId="6" fillId="2" borderId="1" xfId="5" applyFont="1" applyFill="1" applyBorder="1" applyAlignment="1">
      <alignment horizontal="right" vertical="center"/>
    </xf>
    <xf numFmtId="0" fontId="4" fillId="2" borderId="0" xfId="5" applyFont="1" applyFill="1" applyAlignment="1">
      <alignment horizontal="right" vertical="center"/>
    </xf>
    <xf numFmtId="0" fontId="5" fillId="2" borderId="0" xfId="5" applyFont="1" applyFill="1"/>
    <xf numFmtId="0" fontId="7" fillId="2" borderId="1" xfId="0" applyFont="1" applyFill="1" applyBorder="1" applyAlignment="1">
      <alignment horizontal="right" vertical="center"/>
    </xf>
    <xf numFmtId="0" fontId="7" fillId="2" borderId="0" xfId="0" applyFont="1" applyFill="1" applyAlignment="1">
      <alignment horizontal="right" vertical="center"/>
    </xf>
    <xf numFmtId="0" fontId="10" fillId="2" borderId="0" xfId="5" applyFont="1" applyFill="1" applyAlignment="1">
      <alignment vertical="center" wrapText="1"/>
    </xf>
    <xf numFmtId="0" fontId="10" fillId="2" borderId="0" xfId="5" applyFont="1" applyFill="1" applyAlignment="1">
      <alignment horizontal="center" vertical="center" wrapText="1"/>
    </xf>
    <xf numFmtId="0" fontId="9" fillId="2" borderId="2" xfId="5" applyFont="1" applyFill="1" applyBorder="1"/>
    <xf numFmtId="0" fontId="6" fillId="2" borderId="0" xfId="0" applyFont="1" applyFill="1" applyAlignment="1">
      <alignment horizontal="left" vertical="center"/>
    </xf>
    <xf numFmtId="1" fontId="4" fillId="2" borderId="0" xfId="5" applyNumberFormat="1" applyFont="1" applyFill="1" applyAlignment="1">
      <alignment horizontal="right" vertical="center"/>
    </xf>
    <xf numFmtId="0" fontId="5" fillId="2" borderId="0" xfId="5" applyFont="1" applyFill="1" applyAlignment="1">
      <alignment horizontal="left" vertical="center"/>
    </xf>
    <xf numFmtId="1" fontId="5" fillId="2" borderId="0" xfId="5" applyNumberFormat="1" applyFont="1" applyFill="1" applyAlignment="1">
      <alignment horizontal="right" vertical="center"/>
    </xf>
    <xf numFmtId="0" fontId="5" fillId="2" borderId="4" xfId="5" applyFont="1" applyFill="1" applyBorder="1" applyAlignment="1">
      <alignment horizontal="left" vertical="center"/>
    </xf>
    <xf numFmtId="1" fontId="5" fillId="2" borderId="4" xfId="5" applyNumberFormat="1" applyFont="1" applyFill="1" applyBorder="1" applyAlignment="1">
      <alignment horizontal="right" vertical="center"/>
    </xf>
    <xf numFmtId="164" fontId="5" fillId="2" borderId="4" xfId="1" applyNumberFormat="1" applyFont="1" applyFill="1" applyBorder="1" applyAlignment="1">
      <alignment horizontal="right" vertical="center"/>
    </xf>
    <xf numFmtId="0" fontId="2" fillId="2" borderId="0" xfId="5" applyFill="1" applyAlignment="1">
      <alignment horizontal="right" vertical="center"/>
    </xf>
    <xf numFmtId="0" fontId="5" fillId="2" borderId="2" xfId="5" applyFont="1" applyFill="1" applyBorder="1" applyAlignment="1">
      <alignment horizontal="left" vertical="center"/>
    </xf>
    <xf numFmtId="1" fontId="5" fillId="2" borderId="2" xfId="5" applyNumberFormat="1" applyFont="1" applyFill="1" applyBorder="1" applyAlignment="1">
      <alignment horizontal="right" vertical="center"/>
    </xf>
    <xf numFmtId="164" fontId="5" fillId="2" borderId="3" xfId="1" applyNumberFormat="1" applyFont="1" applyFill="1" applyBorder="1" applyAlignment="1">
      <alignment horizontal="right" vertical="center"/>
    </xf>
    <xf numFmtId="0" fontId="13" fillId="2" borderId="0" xfId="0" applyFont="1" applyFill="1" applyAlignment="1">
      <alignment vertical="center"/>
    </xf>
    <xf numFmtId="0" fontId="8" fillId="2" borderId="0" xfId="0" applyFont="1" applyFill="1" applyAlignment="1">
      <alignment horizontal="right" vertical="center"/>
    </xf>
    <xf numFmtId="0" fontId="8" fillId="2" borderId="4" xfId="0" applyFont="1" applyFill="1" applyBorder="1" applyAlignment="1">
      <alignment horizontal="right" vertical="center"/>
    </xf>
    <xf numFmtId="0" fontId="14" fillId="2" borderId="0" xfId="5" applyFont="1" applyFill="1"/>
    <xf numFmtId="0" fontId="14" fillId="2" borderId="0" xfId="5" applyFont="1" applyFill="1" applyAlignment="1">
      <alignment vertical="center"/>
    </xf>
    <xf numFmtId="0" fontId="8" fillId="2" borderId="2" xfId="0" applyFont="1" applyFill="1" applyBorder="1" applyAlignment="1">
      <alignment horizontal="right" vertical="center"/>
    </xf>
    <xf numFmtId="0" fontId="15" fillId="2" borderId="0" xfId="9" applyFont="1" applyFill="1" applyAlignment="1">
      <alignment horizontal="right"/>
    </xf>
    <xf numFmtId="43" fontId="3" fillId="2" borderId="0" xfId="1" applyFont="1" applyFill="1"/>
    <xf numFmtId="43" fontId="13" fillId="2" borderId="0" xfId="1" applyFont="1" applyFill="1" applyAlignment="1">
      <alignment vertical="center"/>
    </xf>
    <xf numFmtId="43" fontId="10" fillId="2" borderId="0" xfId="1" applyFont="1" applyFill="1" applyAlignment="1">
      <alignment vertical="center" wrapText="1"/>
    </xf>
    <xf numFmtId="43" fontId="2" fillId="2" borderId="0" xfId="1" applyFont="1" applyFill="1"/>
    <xf numFmtId="43" fontId="5" fillId="2" borderId="0" xfId="1" applyFont="1" applyFill="1"/>
    <xf numFmtId="0" fontId="12" fillId="2" borderId="0" xfId="0" applyFont="1" applyFill="1" applyAlignment="1">
      <alignment horizontal="center" vertical="center"/>
    </xf>
    <xf numFmtId="0" fontId="9" fillId="2" borderId="2" xfId="5" applyFont="1" applyFill="1" applyBorder="1" applyAlignment="1">
      <alignment horizontal="center" vertical="center"/>
    </xf>
    <xf numFmtId="0" fontId="4" fillId="2" borderId="0" xfId="5" applyFont="1" applyFill="1" applyAlignment="1">
      <alignment horizontal="center" vertical="center" wrapText="1"/>
    </xf>
  </cellXfs>
  <cellStyles count="10">
    <cellStyle name="Comma" xfId="1" builtinId="3"/>
    <cellStyle name="Comma 2" xfId="2" xr:uid="{00000000-0005-0000-0000-000001000000}"/>
    <cellStyle name="Comma 2 2" xfId="3" xr:uid="{00000000-0005-0000-0000-000002000000}"/>
    <cellStyle name="Comma 4" xfId="4" xr:uid="{00000000-0005-0000-0000-000003000000}"/>
    <cellStyle name="Normal" xfId="0" builtinId="0"/>
    <cellStyle name="Normal 2" xfId="5" xr:uid="{00000000-0005-0000-0000-000005000000}"/>
    <cellStyle name="Normal 2 2" xfId="6" xr:uid="{00000000-0005-0000-0000-000006000000}"/>
    <cellStyle name="Normal 4" xfId="7" xr:uid="{00000000-0005-0000-0000-000007000000}"/>
    <cellStyle name="Normal 5" xfId="8" xr:uid="{00000000-0005-0000-0000-000008000000}"/>
    <cellStyle name="Normal_X-5 (Electricity)" xfId="9" xr:uid="{00000000-0005-0000-0000-000009000000}"/>
  </cellStyles>
  <dxfs count="0"/>
  <tableStyles count="0" defaultTableStyle="TableStyleMedium2" defaultPivotStyle="PivotStyleLight16"/>
  <colors>
    <mruColors>
      <color rgb="FFEAFAFA"/>
      <color rgb="FFC7F2F1"/>
      <color rgb="FF33CCCC"/>
      <color rgb="FF249390"/>
      <color rgb="FF196563"/>
      <color rgb="FFFF9933"/>
      <color rgb="FFFF9900"/>
      <color rgb="FFF5EADF"/>
      <color rgb="FFDAB48E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ndara" panose="020E0502030303020204" pitchFamily="34" charset="0"/>
                <a:ea typeface="+mn-ea"/>
                <a:cs typeface="+mn-cs"/>
              </a:defRPr>
            </a:pPr>
            <a:r>
              <a:rPr lang="en-US" sz="1200" b="1">
                <a:latin typeface="Candara" panose="020E0502030303020204" pitchFamily="34" charset="0"/>
              </a:rPr>
              <a:t>Figure 12.7: Water</a:t>
            </a:r>
            <a:r>
              <a:rPr lang="en-US" sz="1200" b="1" baseline="0">
                <a:latin typeface="Candara" panose="020E0502030303020204" pitchFamily="34" charset="0"/>
              </a:rPr>
              <a:t> Consumption in Hulhumale' by type, 2010 - 2023</a:t>
            </a:r>
            <a:endParaRPr lang="en-US" sz="1200" b="1">
              <a:latin typeface="Candara" panose="020E0502030303020204" pitchFamily="34" charset="0"/>
            </a:endParaRPr>
          </a:p>
        </c:rich>
      </c:tx>
      <c:layout>
        <c:manualLayout>
          <c:xMode val="edge"/>
          <c:yMode val="edge"/>
          <c:x val="0.26547269706811499"/>
          <c:y val="5.07209465690533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ndara" panose="020E0502030303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562965999847304E-2"/>
          <c:y val="0.17171296296296301"/>
          <c:w val="0.91097659500066297"/>
          <c:h val="0.712206547098279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'12.8'!$A$6</c:f>
              <c:strCache>
                <c:ptCount val="1"/>
                <c:pt idx="0">
                  <c:v>Residential</c:v>
                </c:pt>
              </c:strCache>
            </c:strRef>
          </c:tx>
          <c:spPr>
            <a:solidFill>
              <a:srgbClr val="249390"/>
            </a:solidFill>
            <a:ln>
              <a:noFill/>
            </a:ln>
            <a:effectLst/>
          </c:spPr>
          <c:invertIfNegative val="0"/>
          <c:cat>
            <c:numRef>
              <c:f>'12.8'!$E$4:$R$4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'12.8'!$E$6:$R$6</c:f>
              <c:numCache>
                <c:formatCode>_(* #,##0_);_(* \(#,##0\);_(* "-"??_);_(@_)</c:formatCode>
                <c:ptCount val="14"/>
                <c:pt idx="0">
                  <c:v>158.77364</c:v>
                </c:pt>
                <c:pt idx="1">
                  <c:v>184.73041000000001</c:v>
                </c:pt>
                <c:pt idx="2">
                  <c:v>240.75650999999999</c:v>
                </c:pt>
                <c:pt idx="3">
                  <c:v>285.77677</c:v>
                </c:pt>
                <c:pt idx="4">
                  <c:v>424.86273</c:v>
                </c:pt>
                <c:pt idx="5">
                  <c:v>525.21663999999998</c:v>
                </c:pt>
                <c:pt idx="6">
                  <c:v>644.99778000000003</c:v>
                </c:pt>
                <c:pt idx="7">
                  <c:v>769.67976999999996</c:v>
                </c:pt>
                <c:pt idx="8">
                  <c:v>997.42200000000003</c:v>
                </c:pt>
                <c:pt idx="9">
                  <c:v>1145.6076800000001</c:v>
                </c:pt>
                <c:pt idx="10">
                  <c:v>1217.7949599999999</c:v>
                </c:pt>
                <c:pt idx="11">
                  <c:v>1578.4848099999999</c:v>
                </c:pt>
                <c:pt idx="12">
                  <c:v>2340.6484099999998</c:v>
                </c:pt>
                <c:pt idx="13">
                  <c:v>2673.52999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3E-4827-8A40-1FDA91CDA08D}"/>
            </c:ext>
          </c:extLst>
        </c:ser>
        <c:ser>
          <c:idx val="1"/>
          <c:order val="1"/>
          <c:tx>
            <c:strRef>
              <c:f>'12.8'!$A$7</c:f>
              <c:strCache>
                <c:ptCount val="1"/>
                <c:pt idx="0">
                  <c:v>Institution</c:v>
                </c:pt>
              </c:strCache>
            </c:strRef>
          </c:tx>
          <c:spPr>
            <a:solidFill>
              <a:srgbClr val="C7F2F1"/>
            </a:solidFill>
            <a:ln>
              <a:noFill/>
            </a:ln>
            <a:effectLst/>
          </c:spPr>
          <c:invertIfNegative val="0"/>
          <c:cat>
            <c:numRef>
              <c:f>'12.8'!$E$4:$R$4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'12.8'!$E$7:$R$7</c:f>
              <c:numCache>
                <c:formatCode>_(* #,##0_);_(* \(#,##0\);_(* "-"??_);_(@_)</c:formatCode>
                <c:ptCount val="14"/>
                <c:pt idx="0">
                  <c:v>9.9232900000000015</c:v>
                </c:pt>
                <c:pt idx="1">
                  <c:v>14.06274</c:v>
                </c:pt>
                <c:pt idx="2">
                  <c:v>8.3097899999999996</c:v>
                </c:pt>
                <c:pt idx="3">
                  <c:v>11.96561</c:v>
                </c:pt>
                <c:pt idx="4">
                  <c:v>20.232130000000002</c:v>
                </c:pt>
                <c:pt idx="5">
                  <c:v>35.181170000000002</c:v>
                </c:pt>
                <c:pt idx="6">
                  <c:v>48.41854</c:v>
                </c:pt>
                <c:pt idx="7">
                  <c:v>64.825460000000007</c:v>
                </c:pt>
                <c:pt idx="8">
                  <c:v>76.388000000000005</c:v>
                </c:pt>
                <c:pt idx="9">
                  <c:v>71.535790000000006</c:v>
                </c:pt>
                <c:pt idx="10">
                  <c:v>85.033379999999994</c:v>
                </c:pt>
                <c:pt idx="11">
                  <c:v>97.860110000000006</c:v>
                </c:pt>
                <c:pt idx="12">
                  <c:v>102.76467</c:v>
                </c:pt>
                <c:pt idx="13">
                  <c:v>125.08502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3E-4827-8A40-1FDA91CDA08D}"/>
            </c:ext>
          </c:extLst>
        </c:ser>
        <c:ser>
          <c:idx val="2"/>
          <c:order val="2"/>
          <c:tx>
            <c:strRef>
              <c:f>'12.8'!$A$8</c:f>
              <c:strCache>
                <c:ptCount val="1"/>
                <c:pt idx="0">
                  <c:v>Commercial</c:v>
                </c:pt>
              </c:strCache>
            </c:strRef>
          </c:tx>
          <c:spPr>
            <a:solidFill>
              <a:srgbClr val="33CCCC"/>
            </a:solidFill>
            <a:ln>
              <a:noFill/>
            </a:ln>
            <a:effectLst/>
          </c:spPr>
          <c:invertIfNegative val="0"/>
          <c:cat>
            <c:numRef>
              <c:f>'12.8'!$E$4:$R$4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'12.8'!$E$8:$R$8</c:f>
              <c:numCache>
                <c:formatCode>_(* #,##0_);_(* \(#,##0\);_(* "-"??_);_(@_)</c:formatCode>
                <c:ptCount val="14"/>
                <c:pt idx="0">
                  <c:v>20.149429999999999</c:v>
                </c:pt>
                <c:pt idx="1">
                  <c:v>53.090980000000002</c:v>
                </c:pt>
                <c:pt idx="2">
                  <c:v>128.11154999999999</c:v>
                </c:pt>
                <c:pt idx="3">
                  <c:v>56.58381</c:v>
                </c:pt>
                <c:pt idx="4">
                  <c:v>78.476320000000001</c:v>
                </c:pt>
                <c:pt idx="5">
                  <c:v>120.41551</c:v>
                </c:pt>
                <c:pt idx="6">
                  <c:v>174.34361999999999</c:v>
                </c:pt>
                <c:pt idx="7">
                  <c:v>214.52274</c:v>
                </c:pt>
                <c:pt idx="8">
                  <c:v>338.73</c:v>
                </c:pt>
                <c:pt idx="9">
                  <c:v>450.01436000000001</c:v>
                </c:pt>
                <c:pt idx="10">
                  <c:v>466.77154000000002</c:v>
                </c:pt>
                <c:pt idx="11">
                  <c:v>510.10626999999999</c:v>
                </c:pt>
                <c:pt idx="12">
                  <c:v>707.86243999999999</c:v>
                </c:pt>
                <c:pt idx="13">
                  <c:v>960.26358000000005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3E-4827-8A40-1FDA91CDA0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3"/>
        <c:axId val="463365680"/>
        <c:axId val="463361760"/>
      </c:barChart>
      <c:catAx>
        <c:axId val="463365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361760"/>
        <c:crosses val="autoZero"/>
        <c:auto val="1"/>
        <c:lblAlgn val="ctr"/>
        <c:lblOffset val="100"/>
        <c:noMultiLvlLbl val="0"/>
      </c:catAx>
      <c:valAx>
        <c:axId val="463361760"/>
        <c:scaling>
          <c:orientation val="minMax"/>
          <c:max val="300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365680"/>
        <c:crosses val="autoZero"/>
        <c:crossBetween val="between"/>
      </c:valAx>
      <c:spPr>
        <a:solidFill>
          <a:srgbClr val="EAFAFA"/>
        </a:solidFill>
        <a:ln>
          <a:solidFill>
            <a:schemeClr val="tx1">
              <a:lumMod val="50000"/>
              <a:lumOff val="5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92407664202771"/>
          <c:y val="0.28298556430446198"/>
          <c:w val="0.44273562743432598"/>
          <c:h val="7.81255468066491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1247775</xdr:colOff>
      <xdr:row>19</xdr:row>
      <xdr:rowOff>180975</xdr:rowOff>
    </xdr:from>
    <xdr:to>
      <xdr:col>18</xdr:col>
      <xdr:colOff>704850</xdr:colOff>
      <xdr:row>38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AC25"/>
  <sheetViews>
    <sheetView tabSelected="1" zoomScale="91" zoomScaleNormal="91" workbookViewId="0">
      <selection activeCell="AA24" sqref="AA24"/>
    </sheetView>
  </sheetViews>
  <sheetFormatPr defaultColWidth="9.140625" defaultRowHeight="15"/>
  <cols>
    <col min="1" max="1" width="22" style="3" customWidth="1"/>
    <col min="2" max="2" width="6.7109375" style="3" hidden="1" customWidth="1"/>
    <col min="3" max="4" width="9.140625" style="3" hidden="1" customWidth="1"/>
    <col min="5" max="11" width="9.28515625" style="3" customWidth="1"/>
    <col min="12" max="18" width="9.5703125" style="3" customWidth="1"/>
    <col min="19" max="19" width="32.140625" style="3" customWidth="1"/>
    <col min="20" max="20" width="7.85546875" style="1" customWidth="1"/>
    <col min="21" max="21" width="13.7109375" style="39" bestFit="1" customWidth="1"/>
    <col min="22" max="22" width="9.85546875" style="39" bestFit="1" customWidth="1"/>
    <col min="23" max="29" width="7.42578125" style="3" customWidth="1"/>
    <col min="30" max="16384" width="9.140625" style="3"/>
  </cols>
  <sheetData>
    <row r="1" spans="1:29" ht="19.5">
      <c r="A1" s="41" t="s">
        <v>17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29"/>
      <c r="U1" s="37"/>
      <c r="V1" s="37"/>
      <c r="W1" s="29"/>
      <c r="X1" s="29"/>
    </row>
    <row r="2" spans="1:29" ht="15.75">
      <c r="A2" s="43" t="s">
        <v>18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U2" s="38"/>
      <c r="V2" s="38"/>
      <c r="W2" s="15"/>
      <c r="X2" s="15"/>
      <c r="Y2" s="15"/>
      <c r="Z2" s="15"/>
      <c r="AA2" s="15"/>
      <c r="AB2" s="15"/>
      <c r="AC2" s="16"/>
    </row>
    <row r="3" spans="1:29" ht="16.5" customHeight="1">
      <c r="B3" s="17"/>
      <c r="C3" s="17"/>
      <c r="D3" s="17"/>
      <c r="E3" s="42" t="s">
        <v>0</v>
      </c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U3" s="38"/>
      <c r="V3" s="38"/>
      <c r="W3" s="15"/>
      <c r="X3" s="15"/>
      <c r="Y3" s="15"/>
      <c r="Z3" s="15"/>
      <c r="AA3" s="15"/>
      <c r="AB3" s="15"/>
      <c r="AC3" s="16"/>
    </row>
    <row r="4" spans="1:29" ht="19.5" customHeight="1">
      <c r="A4" s="5" t="s">
        <v>1</v>
      </c>
      <c r="B4" s="5">
        <v>2007</v>
      </c>
      <c r="C4" s="5">
        <v>2008</v>
      </c>
      <c r="D4" s="5">
        <v>2009</v>
      </c>
      <c r="E4" s="5">
        <v>2010</v>
      </c>
      <c r="F4" s="5">
        <v>2011</v>
      </c>
      <c r="G4" s="5">
        <v>2012</v>
      </c>
      <c r="H4" s="5">
        <v>2013</v>
      </c>
      <c r="I4" s="5">
        <v>2014</v>
      </c>
      <c r="J4" s="5">
        <v>2015</v>
      </c>
      <c r="K4" s="5">
        <v>2016</v>
      </c>
      <c r="L4" s="5">
        <v>2017</v>
      </c>
      <c r="M4" s="10">
        <v>2018</v>
      </c>
      <c r="N4" s="10">
        <v>2019</v>
      </c>
      <c r="O4" s="10">
        <v>2020</v>
      </c>
      <c r="P4" s="10">
        <v>2021</v>
      </c>
      <c r="Q4" s="10">
        <v>2022</v>
      </c>
      <c r="R4" s="10">
        <v>2023</v>
      </c>
      <c r="S4" s="13" t="s">
        <v>2</v>
      </c>
    </row>
    <row r="5" spans="1:29" ht="21.75" customHeight="1">
      <c r="A5" s="18" t="s">
        <v>3</v>
      </c>
      <c r="B5" s="19">
        <f>SUM(B6:B8)</f>
        <v>72.960000000000008</v>
      </c>
      <c r="C5" s="19">
        <f>SUM(C6:C8)</f>
        <v>107.78069000000001</v>
      </c>
      <c r="D5" s="19">
        <f>SUM(D6:D8)</f>
        <v>122.2706</v>
      </c>
      <c r="E5" s="7">
        <f>SUM(E6:E8)</f>
        <v>188.84636</v>
      </c>
      <c r="F5" s="7">
        <f>SUM(F6:F8)</f>
        <v>251.88413</v>
      </c>
      <c r="G5" s="7">
        <f t="shared" ref="G5:R5" si="0">SUM(G6:G8)</f>
        <v>377.17784999999998</v>
      </c>
      <c r="H5" s="7">
        <f t="shared" si="0"/>
        <v>354.32619</v>
      </c>
      <c r="I5" s="7">
        <f t="shared" si="0"/>
        <v>523.57118000000003</v>
      </c>
      <c r="J5" s="7">
        <f t="shared" si="0"/>
        <v>680.81331999999998</v>
      </c>
      <c r="K5" s="7">
        <f t="shared" si="0"/>
        <v>867.75994000000003</v>
      </c>
      <c r="L5" s="7">
        <f t="shared" si="0"/>
        <v>1049.0279700000001</v>
      </c>
      <c r="M5" s="7">
        <f t="shared" si="0"/>
        <v>1412.54</v>
      </c>
      <c r="N5" s="7">
        <f t="shared" si="0"/>
        <v>1667.1578300000001</v>
      </c>
      <c r="O5" s="7">
        <f t="shared" si="0"/>
        <v>1769.59988</v>
      </c>
      <c r="P5" s="7">
        <f t="shared" si="0"/>
        <v>2186.4511899999998</v>
      </c>
      <c r="Q5" s="7">
        <f t="shared" si="0"/>
        <v>3151.2755199999997</v>
      </c>
      <c r="R5" s="7">
        <f t="shared" si="0"/>
        <v>3758.8785900000003</v>
      </c>
      <c r="S5" s="14" t="s">
        <v>4</v>
      </c>
    </row>
    <row r="6" spans="1:29" ht="21.75" customHeight="1">
      <c r="A6" s="20" t="s">
        <v>5</v>
      </c>
      <c r="B6" s="21">
        <v>50.837000000000003</v>
      </c>
      <c r="C6" s="21">
        <f>67273.08/1000</f>
        <v>67.273080000000007</v>
      </c>
      <c r="D6" s="21">
        <f>97095.04/1000</f>
        <v>97.095039999999997</v>
      </c>
      <c r="E6" s="8">
        <f>158773.64/1000</f>
        <v>158.77364</v>
      </c>
      <c r="F6" s="8">
        <v>184.73041000000001</v>
      </c>
      <c r="G6" s="8">
        <v>240.75650999999999</v>
      </c>
      <c r="H6" s="8">
        <v>285.77677</v>
      </c>
      <c r="I6" s="8">
        <v>424.86273</v>
      </c>
      <c r="J6" s="8">
        <v>525.21663999999998</v>
      </c>
      <c r="K6" s="8">
        <v>644.99778000000003</v>
      </c>
      <c r="L6" s="8">
        <v>769.67976999999996</v>
      </c>
      <c r="M6" s="8">
        <v>997.42200000000003</v>
      </c>
      <c r="N6" s="8">
        <v>1145.6076800000001</v>
      </c>
      <c r="O6" s="8">
        <v>1217.7949599999999</v>
      </c>
      <c r="P6" s="8">
        <v>1578.4848099999999</v>
      </c>
      <c r="Q6" s="8">
        <v>2340.6484099999998</v>
      </c>
      <c r="R6" s="8">
        <v>2673.52999</v>
      </c>
      <c r="S6" s="30" t="s">
        <v>6</v>
      </c>
    </row>
    <row r="7" spans="1:29" ht="21.75" customHeight="1">
      <c r="A7" s="20" t="s">
        <v>7</v>
      </c>
      <c r="B7" s="21">
        <v>12.263</v>
      </c>
      <c r="C7" s="21">
        <f>9060.07/1000</f>
        <v>9.0600699999999996</v>
      </c>
      <c r="D7" s="21">
        <f>8291.15/1000</f>
        <v>8.29115</v>
      </c>
      <c r="E7" s="8">
        <f>9923.29/1000</f>
        <v>9.9232900000000015</v>
      </c>
      <c r="F7" s="8">
        <v>14.06274</v>
      </c>
      <c r="G7" s="8">
        <v>8.3097899999999996</v>
      </c>
      <c r="H7" s="8">
        <v>11.96561</v>
      </c>
      <c r="I7" s="8">
        <v>20.232130000000002</v>
      </c>
      <c r="J7" s="8">
        <v>35.181170000000002</v>
      </c>
      <c r="K7" s="8">
        <v>48.41854</v>
      </c>
      <c r="L7" s="8">
        <v>64.825460000000007</v>
      </c>
      <c r="M7" s="8">
        <v>76.388000000000005</v>
      </c>
      <c r="N7" s="8">
        <v>71.535790000000006</v>
      </c>
      <c r="O7" s="8">
        <v>85.033379999999994</v>
      </c>
      <c r="P7" s="8">
        <v>97.860110000000006</v>
      </c>
      <c r="Q7" s="8">
        <v>102.76467</v>
      </c>
      <c r="R7" s="8">
        <v>125.08502</v>
      </c>
      <c r="S7" s="30" t="s">
        <v>8</v>
      </c>
    </row>
    <row r="8" spans="1:29" ht="21.75" customHeight="1">
      <c r="A8" s="22" t="s">
        <v>9</v>
      </c>
      <c r="B8" s="23">
        <v>9.86</v>
      </c>
      <c r="C8" s="23">
        <f>31447.54/1000</f>
        <v>31.44754</v>
      </c>
      <c r="D8" s="23">
        <f>16884.41/1000</f>
        <v>16.884409999999999</v>
      </c>
      <c r="E8" s="24">
        <f>20149.43/1000</f>
        <v>20.149429999999999</v>
      </c>
      <c r="F8" s="24">
        <v>53.090980000000002</v>
      </c>
      <c r="G8" s="24">
        <v>128.11154999999999</v>
      </c>
      <c r="H8" s="24">
        <v>56.58381</v>
      </c>
      <c r="I8" s="24">
        <v>78.476320000000001</v>
      </c>
      <c r="J8" s="24">
        <v>120.41551</v>
      </c>
      <c r="K8" s="24">
        <v>174.34361999999999</v>
      </c>
      <c r="L8" s="24">
        <v>214.52274</v>
      </c>
      <c r="M8" s="24">
        <v>338.73</v>
      </c>
      <c r="N8" s="28">
        <v>450.01436000000001</v>
      </c>
      <c r="O8" s="28">
        <v>466.77154000000002</v>
      </c>
      <c r="P8" s="28">
        <v>510.10626999999999</v>
      </c>
      <c r="Q8" s="28">
        <v>707.86243999999999</v>
      </c>
      <c r="R8" s="28">
        <v>960.26358000000005</v>
      </c>
      <c r="S8" s="31" t="s">
        <v>10</v>
      </c>
      <c r="T8" s="3"/>
    </row>
    <row r="9" spans="1:29" ht="21.75" customHeight="1">
      <c r="A9" s="18" t="s">
        <v>11</v>
      </c>
      <c r="B9" s="25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4" t="s">
        <v>12</v>
      </c>
      <c r="T9" s="3"/>
      <c r="U9" s="40"/>
      <c r="V9" s="40"/>
      <c r="W9" s="9"/>
      <c r="X9" s="9"/>
      <c r="Y9" s="9"/>
      <c r="Z9" s="9"/>
      <c r="AA9" s="9"/>
      <c r="AB9" s="9"/>
      <c r="AC9" s="9"/>
    </row>
    <row r="10" spans="1:29" ht="18.75">
      <c r="A10" s="6" t="s">
        <v>19</v>
      </c>
      <c r="B10" s="19">
        <f t="shared" ref="B10:R10" si="1">SUM(B11:B13)</f>
        <v>100</v>
      </c>
      <c r="C10" s="19">
        <f t="shared" si="1"/>
        <v>100</v>
      </c>
      <c r="D10" s="19">
        <f t="shared" si="1"/>
        <v>100</v>
      </c>
      <c r="E10" s="19">
        <f t="shared" si="1"/>
        <v>100</v>
      </c>
      <c r="F10" s="19">
        <f t="shared" si="1"/>
        <v>100.00000000000001</v>
      </c>
      <c r="G10" s="19">
        <f t="shared" si="1"/>
        <v>100</v>
      </c>
      <c r="H10" s="19">
        <f t="shared" si="1"/>
        <v>100</v>
      </c>
      <c r="I10" s="19">
        <f t="shared" si="1"/>
        <v>100</v>
      </c>
      <c r="J10" s="19">
        <f t="shared" si="1"/>
        <v>100</v>
      </c>
      <c r="K10" s="19">
        <f t="shared" si="1"/>
        <v>100</v>
      </c>
      <c r="L10" s="19">
        <f t="shared" si="1"/>
        <v>99.999999999999986</v>
      </c>
      <c r="M10" s="19">
        <f t="shared" si="1"/>
        <v>99.999999999999986</v>
      </c>
      <c r="N10" s="19">
        <f t="shared" si="1"/>
        <v>100</v>
      </c>
      <c r="O10" s="19">
        <f t="shared" si="1"/>
        <v>100</v>
      </c>
      <c r="P10" s="19">
        <f t="shared" si="1"/>
        <v>100.00000000000001</v>
      </c>
      <c r="Q10" s="19">
        <f t="shared" si="1"/>
        <v>100</v>
      </c>
      <c r="R10" s="19">
        <f t="shared" si="1"/>
        <v>100</v>
      </c>
      <c r="S10" s="32" t="s">
        <v>20</v>
      </c>
      <c r="T10" s="3"/>
      <c r="U10" s="40"/>
      <c r="V10" s="40"/>
      <c r="W10" s="9"/>
      <c r="X10" s="9"/>
      <c r="Y10" s="9"/>
      <c r="Z10" s="9"/>
      <c r="AA10" s="9"/>
      <c r="AB10" s="9"/>
      <c r="AC10" s="9"/>
    </row>
    <row r="11" spans="1:29" ht="21.75" customHeight="1">
      <c r="A11" s="20" t="s">
        <v>5</v>
      </c>
      <c r="B11" s="21">
        <f t="shared" ref="B11:R11" si="2">B6/B5*100</f>
        <v>69.677905701754383</v>
      </c>
      <c r="C11" s="21">
        <f t="shared" si="2"/>
        <v>62.416635113395543</v>
      </c>
      <c r="D11" s="21">
        <f t="shared" si="2"/>
        <v>79.409964455887177</v>
      </c>
      <c r="E11" s="21">
        <f t="shared" si="2"/>
        <v>84.075562801422279</v>
      </c>
      <c r="F11" s="21">
        <f t="shared" si="2"/>
        <v>73.339439844820717</v>
      </c>
      <c r="G11" s="21">
        <f t="shared" si="2"/>
        <v>63.831030904916609</v>
      </c>
      <c r="H11" s="21">
        <f t="shared" si="2"/>
        <v>80.653583637156487</v>
      </c>
      <c r="I11" s="21">
        <f t="shared" si="2"/>
        <v>81.147081090292247</v>
      </c>
      <c r="J11" s="21">
        <f t="shared" si="2"/>
        <v>77.145470655597634</v>
      </c>
      <c r="K11" s="21">
        <f t="shared" si="2"/>
        <v>74.329056950935069</v>
      </c>
      <c r="L11" s="21">
        <f t="shared" si="2"/>
        <v>73.370757692952637</v>
      </c>
      <c r="M11" s="21">
        <f t="shared" si="2"/>
        <v>70.611947272289626</v>
      </c>
      <c r="N11" s="21">
        <f t="shared" si="2"/>
        <v>68.716210270265776</v>
      </c>
      <c r="O11" s="21">
        <f t="shared" si="2"/>
        <v>68.817531791423946</v>
      </c>
      <c r="P11" s="21">
        <f t="shared" si="2"/>
        <v>72.1939194078236</v>
      </c>
      <c r="Q11" s="21">
        <f t="shared" si="2"/>
        <v>74.276222283477139</v>
      </c>
      <c r="R11" s="21">
        <f t="shared" si="2"/>
        <v>71.125734071660986</v>
      </c>
      <c r="S11" s="30" t="s">
        <v>6</v>
      </c>
      <c r="T11" s="3"/>
      <c r="U11" s="40"/>
      <c r="V11" s="40"/>
      <c r="W11" s="9"/>
      <c r="X11" s="9"/>
      <c r="Y11" s="9"/>
      <c r="Z11" s="9"/>
      <c r="AA11" s="9"/>
      <c r="AB11" s="9"/>
      <c r="AC11" s="9"/>
    </row>
    <row r="12" spans="1:29" ht="21.75" customHeight="1">
      <c r="A12" s="20" t="s">
        <v>7</v>
      </c>
      <c r="B12" s="21">
        <f t="shared" ref="B12:R12" si="3">B7/B5*100</f>
        <v>16.807839912280702</v>
      </c>
      <c r="C12" s="21">
        <f t="shared" si="3"/>
        <v>8.4060233795126003</v>
      </c>
      <c r="D12" s="21">
        <f t="shared" si="3"/>
        <v>6.7809841450029689</v>
      </c>
      <c r="E12" s="21">
        <f t="shared" si="3"/>
        <v>5.2546895794020072</v>
      </c>
      <c r="F12" s="21">
        <f t="shared" si="3"/>
        <v>5.5830194621630191</v>
      </c>
      <c r="G12" s="21">
        <f t="shared" si="3"/>
        <v>2.2031489919145568</v>
      </c>
      <c r="H12" s="21">
        <f t="shared" si="3"/>
        <v>3.3770041102521944</v>
      </c>
      <c r="I12" s="21">
        <f t="shared" si="3"/>
        <v>3.8642558591555782</v>
      </c>
      <c r="J12" s="21">
        <f t="shared" si="3"/>
        <v>5.1675208117255993</v>
      </c>
      <c r="K12" s="21">
        <f t="shared" si="3"/>
        <v>5.5797159753652608</v>
      </c>
      <c r="L12" s="21">
        <f t="shared" si="3"/>
        <v>6.1795740298516542</v>
      </c>
      <c r="M12" s="21">
        <f t="shared" si="3"/>
        <v>5.4078468574341256</v>
      </c>
      <c r="N12" s="21">
        <f t="shared" si="3"/>
        <v>4.2908828853954395</v>
      </c>
      <c r="O12" s="21">
        <f t="shared" si="3"/>
        <v>4.8052320166296569</v>
      </c>
      <c r="P12" s="21">
        <f t="shared" si="3"/>
        <v>4.4757509542209366</v>
      </c>
      <c r="Q12" s="21">
        <f t="shared" si="3"/>
        <v>3.2610499890533218</v>
      </c>
      <c r="R12" s="21">
        <f t="shared" si="3"/>
        <v>3.3277217394776244</v>
      </c>
      <c r="S12" s="30" t="s">
        <v>8</v>
      </c>
      <c r="T12" s="3"/>
      <c r="U12" s="40"/>
      <c r="V12" s="40"/>
      <c r="W12" s="9"/>
      <c r="X12" s="9"/>
      <c r="Y12" s="9"/>
      <c r="Z12" s="9"/>
      <c r="AA12" s="9"/>
      <c r="AB12" s="9"/>
      <c r="AC12" s="9"/>
    </row>
    <row r="13" spans="1:29" ht="21.75" customHeight="1">
      <c r="A13" s="22" t="s">
        <v>9</v>
      </c>
      <c r="B13" s="23">
        <f t="shared" ref="B13:R13" si="4">B8/B5*100</f>
        <v>13.514254385964911</v>
      </c>
      <c r="C13" s="23">
        <f t="shared" si="4"/>
        <v>29.177341507091853</v>
      </c>
      <c r="D13" s="23">
        <f t="shared" si="4"/>
        <v>13.809051399109842</v>
      </c>
      <c r="E13" s="23">
        <f t="shared" si="4"/>
        <v>10.669747619175714</v>
      </c>
      <c r="F13" s="23">
        <f t="shared" si="4"/>
        <v>21.077540693016271</v>
      </c>
      <c r="G13" s="23">
        <f t="shared" si="4"/>
        <v>33.965820103168838</v>
      </c>
      <c r="H13" s="23">
        <f t="shared" si="4"/>
        <v>15.969412252591319</v>
      </c>
      <c r="I13" s="23">
        <f t="shared" si="4"/>
        <v>14.988663050552169</v>
      </c>
      <c r="J13" s="23">
        <f t="shared" si="4"/>
        <v>17.687008532676771</v>
      </c>
      <c r="K13" s="23">
        <f t="shared" si="4"/>
        <v>20.091227073699667</v>
      </c>
      <c r="L13" s="23">
        <f t="shared" si="4"/>
        <v>20.449668277195695</v>
      </c>
      <c r="M13" s="23">
        <f t="shared" si="4"/>
        <v>23.98020587027624</v>
      </c>
      <c r="N13" s="23">
        <f t="shared" si="4"/>
        <v>26.992906844338787</v>
      </c>
      <c r="O13" s="23">
        <f t="shared" si="4"/>
        <v>26.377236191946395</v>
      </c>
      <c r="P13" s="23">
        <f t="shared" si="4"/>
        <v>23.330329637955469</v>
      </c>
      <c r="Q13" s="23">
        <f t="shared" si="4"/>
        <v>22.462727727469545</v>
      </c>
      <c r="R13" s="23">
        <f t="shared" si="4"/>
        <v>25.546544188861393</v>
      </c>
      <c r="S13" s="31" t="s">
        <v>10</v>
      </c>
      <c r="T13" s="3"/>
      <c r="U13" s="40"/>
      <c r="V13" s="40"/>
      <c r="W13" s="9" t="s">
        <v>21</v>
      </c>
      <c r="X13" s="9"/>
      <c r="Y13" s="9"/>
      <c r="Z13" s="9"/>
      <c r="AA13" s="9"/>
      <c r="AB13" s="9"/>
      <c r="AC13" s="9"/>
    </row>
    <row r="14" spans="1:29" ht="21.75" customHeight="1">
      <c r="A14" s="18" t="s">
        <v>13</v>
      </c>
      <c r="B14" s="21"/>
      <c r="C14" s="25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4" t="s">
        <v>14</v>
      </c>
      <c r="T14" s="3"/>
      <c r="U14" s="40"/>
      <c r="V14" s="40"/>
      <c r="W14" s="9"/>
      <c r="X14" s="9"/>
      <c r="Y14" s="9"/>
      <c r="Z14" s="9"/>
      <c r="AA14" s="9"/>
      <c r="AB14" s="9"/>
      <c r="AC14" s="9"/>
    </row>
    <row r="15" spans="1:29" ht="21.75" customHeight="1">
      <c r="A15" s="6" t="s">
        <v>19</v>
      </c>
      <c r="B15" s="21"/>
      <c r="C15" s="19">
        <f t="shared" ref="C15:R18" si="5">(C5-B5)/B5*100</f>
        <v>47.725726425438594</v>
      </c>
      <c r="D15" s="19">
        <f t="shared" si="5"/>
        <v>13.443883129714603</v>
      </c>
      <c r="E15" s="19">
        <f t="shared" si="5"/>
        <v>54.449524251946087</v>
      </c>
      <c r="F15" s="19">
        <f t="shared" si="5"/>
        <v>33.380452765941584</v>
      </c>
      <c r="G15" s="19">
        <f t="shared" si="5"/>
        <v>49.74260188603386</v>
      </c>
      <c r="H15" s="19">
        <f t="shared" si="5"/>
        <v>-6.0585901319496847</v>
      </c>
      <c r="I15" s="19">
        <f t="shared" si="5"/>
        <v>47.765306312807425</v>
      </c>
      <c r="J15" s="19">
        <f t="shared" si="5"/>
        <v>30.032619442498714</v>
      </c>
      <c r="K15" s="19">
        <f t="shared" si="5"/>
        <v>27.459307053510656</v>
      </c>
      <c r="L15" s="19">
        <f t="shared" ref="L15:R16" si="6">(L5-K5)/K5*100</f>
        <v>20.889190851562017</v>
      </c>
      <c r="M15" s="19">
        <f t="shared" si="6"/>
        <v>34.652272427016392</v>
      </c>
      <c r="N15" s="19">
        <f t="shared" si="6"/>
        <v>18.02553060444307</v>
      </c>
      <c r="O15" s="19">
        <f t="shared" si="6"/>
        <v>6.1447121656142105</v>
      </c>
      <c r="P15" s="19">
        <f t="shared" si="6"/>
        <v>23.556246511499527</v>
      </c>
      <c r="Q15" s="19">
        <f t="shared" si="6"/>
        <v>44.127412238276406</v>
      </c>
      <c r="R15" s="19">
        <f t="shared" si="6"/>
        <v>19.281178879592243</v>
      </c>
      <c r="S15" s="33" t="s">
        <v>20</v>
      </c>
      <c r="T15" s="3"/>
      <c r="U15" s="40"/>
      <c r="V15" s="40"/>
      <c r="W15" s="9"/>
      <c r="X15" s="9"/>
      <c r="Y15" s="9"/>
      <c r="Z15" s="9"/>
      <c r="AA15" s="9"/>
      <c r="AB15" s="9"/>
      <c r="AC15" s="9"/>
    </row>
    <row r="16" spans="1:29" ht="21.75" customHeight="1">
      <c r="A16" s="20" t="s">
        <v>5</v>
      </c>
      <c r="B16" s="21"/>
      <c r="C16" s="21">
        <f>(C6-B6)/B6*100</f>
        <v>32.330940063339696</v>
      </c>
      <c r="D16" s="21">
        <f>(D6-C6)/C6*100</f>
        <v>44.329708109098007</v>
      </c>
      <c r="E16" s="21">
        <f t="shared" si="5"/>
        <v>63.523945198436508</v>
      </c>
      <c r="F16" s="21">
        <f>(F6-E6)/E6*100</f>
        <v>16.348286781105482</v>
      </c>
      <c r="G16" s="21">
        <f t="shared" si="5"/>
        <v>30.328574488629123</v>
      </c>
      <c r="H16" s="21">
        <f t="shared" si="5"/>
        <v>18.69949850992607</v>
      </c>
      <c r="I16" s="21">
        <f t="shared" si="5"/>
        <v>48.669442236330127</v>
      </c>
      <c r="J16" s="21">
        <f t="shared" si="5"/>
        <v>23.620313789350263</v>
      </c>
      <c r="K16" s="21">
        <f t="shared" si="5"/>
        <v>22.806044378182698</v>
      </c>
      <c r="L16" s="21">
        <f t="shared" si="6"/>
        <v>19.330607618525434</v>
      </c>
      <c r="M16" s="21">
        <f t="shared" si="6"/>
        <v>29.589218643488586</v>
      </c>
      <c r="N16" s="21">
        <f t="shared" si="6"/>
        <v>14.856869008303411</v>
      </c>
      <c r="O16" s="21">
        <f t="shared" si="6"/>
        <v>6.3012217236532369</v>
      </c>
      <c r="P16" s="21">
        <f t="shared" si="6"/>
        <v>29.618274163328774</v>
      </c>
      <c r="Q16" s="21">
        <f t="shared" si="6"/>
        <v>48.284506456542964</v>
      </c>
      <c r="R16" s="21">
        <f t="shared" si="6"/>
        <v>14.221767719484202</v>
      </c>
      <c r="S16" s="30" t="s">
        <v>6</v>
      </c>
      <c r="T16" s="3"/>
      <c r="U16" s="40"/>
      <c r="V16" s="40"/>
      <c r="W16" s="9"/>
      <c r="X16" s="9"/>
      <c r="Y16" s="9"/>
      <c r="Z16" s="9"/>
      <c r="AA16" s="9"/>
      <c r="AB16" s="9"/>
      <c r="AC16" s="9"/>
    </row>
    <row r="17" spans="1:29" ht="21.75" customHeight="1">
      <c r="A17" s="20" t="s">
        <v>7</v>
      </c>
      <c r="B17" s="21"/>
      <c r="C17" s="21">
        <f>(C7-B7)/B7*100</f>
        <v>-26.118649596346739</v>
      </c>
      <c r="D17" s="21">
        <f t="shared" si="5"/>
        <v>-8.4869101452858491</v>
      </c>
      <c r="E17" s="21">
        <f t="shared" si="5"/>
        <v>19.685327125911382</v>
      </c>
      <c r="F17" s="21">
        <f t="shared" si="5"/>
        <v>41.714491867112599</v>
      </c>
      <c r="G17" s="21">
        <f t="shared" si="5"/>
        <v>-40.909168483524553</v>
      </c>
      <c r="H17" s="21">
        <f t="shared" si="5"/>
        <v>43.994132222354601</v>
      </c>
      <c r="I17" s="21">
        <f t="shared" si="5"/>
        <v>69.085654638585098</v>
      </c>
      <c r="J17" s="21">
        <f t="shared" si="5"/>
        <v>73.887623300166609</v>
      </c>
      <c r="K17" s="21">
        <f t="shared" si="5"/>
        <v>37.626292701465012</v>
      </c>
      <c r="L17" s="21">
        <f t="shared" si="5"/>
        <v>33.885614890494445</v>
      </c>
      <c r="M17" s="21">
        <f t="shared" si="5"/>
        <v>17.836417975283165</v>
      </c>
      <c r="N17" s="21">
        <f t="shared" si="5"/>
        <v>-6.3520579148557355</v>
      </c>
      <c r="O17" s="21">
        <f t="shared" si="5"/>
        <v>18.868303544281805</v>
      </c>
      <c r="P17" s="21">
        <f t="shared" si="5"/>
        <v>15.08434687648546</v>
      </c>
      <c r="Q17" s="21">
        <f t="shared" si="5"/>
        <v>5.0118071602412755</v>
      </c>
      <c r="R17" s="21">
        <f t="shared" si="5"/>
        <v>21.719867343514075</v>
      </c>
      <c r="S17" s="30" t="s">
        <v>8</v>
      </c>
      <c r="T17" s="3"/>
      <c r="U17" s="40"/>
      <c r="V17" s="40"/>
      <c r="W17" s="9"/>
      <c r="X17" s="9"/>
      <c r="Y17" s="9"/>
      <c r="Z17" s="9"/>
      <c r="AA17" s="9"/>
      <c r="AB17" s="9"/>
      <c r="AC17" s="9"/>
    </row>
    <row r="18" spans="1:29" ht="21.75" customHeight="1">
      <c r="A18" s="26" t="s">
        <v>9</v>
      </c>
      <c r="B18" s="27"/>
      <c r="C18" s="27">
        <f>(C8-B8)/B8*100</f>
        <v>218.94056795131846</v>
      </c>
      <c r="D18" s="27">
        <f t="shared" si="5"/>
        <v>-46.30928206149035</v>
      </c>
      <c r="E18" s="27">
        <f t="shared" si="5"/>
        <v>19.3374835128974</v>
      </c>
      <c r="F18" s="27">
        <f>(F8-E8)/E8*100</f>
        <v>163.48626239054906</v>
      </c>
      <c r="G18" s="27">
        <f>(G8-F8)/F8*100</f>
        <v>141.30567942049666</v>
      </c>
      <c r="H18" s="27">
        <f t="shared" si="5"/>
        <v>-55.832389819653258</v>
      </c>
      <c r="I18" s="27">
        <f t="shared" si="5"/>
        <v>38.690413388564679</v>
      </c>
      <c r="J18" s="27">
        <f t="shared" si="5"/>
        <v>53.441840799874406</v>
      </c>
      <c r="K18" s="27">
        <f t="shared" si="5"/>
        <v>44.785019803512014</v>
      </c>
      <c r="L18" s="27">
        <f t="shared" si="5"/>
        <v>23.045936524663198</v>
      </c>
      <c r="M18" s="27">
        <f t="shared" si="5"/>
        <v>57.899344377197501</v>
      </c>
      <c r="N18" s="27">
        <f t="shared" si="5"/>
        <v>32.853411271514183</v>
      </c>
      <c r="O18" s="27">
        <f t="shared" si="5"/>
        <v>3.7236989504068276</v>
      </c>
      <c r="P18" s="27">
        <f t="shared" si="5"/>
        <v>9.283927207729926</v>
      </c>
      <c r="Q18" s="27">
        <f t="shared" si="5"/>
        <v>38.767641495565229</v>
      </c>
      <c r="R18" s="27">
        <f t="shared" si="5"/>
        <v>35.656806426966241</v>
      </c>
      <c r="S18" s="34" t="s">
        <v>10</v>
      </c>
      <c r="T18" s="3"/>
      <c r="U18" s="40"/>
      <c r="V18" s="40"/>
      <c r="W18" s="9"/>
      <c r="X18" s="9"/>
      <c r="Y18" s="9"/>
      <c r="Z18" s="9"/>
      <c r="AA18" s="9"/>
      <c r="AB18" s="9"/>
      <c r="AC18" s="9"/>
    </row>
    <row r="19" spans="1:29" ht="16.5">
      <c r="A19" s="2" t="s">
        <v>16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35" t="s">
        <v>15</v>
      </c>
      <c r="T19" s="3"/>
      <c r="U19" s="40"/>
      <c r="V19" s="40"/>
      <c r="W19" s="9"/>
      <c r="X19" s="9"/>
      <c r="Y19" s="9"/>
      <c r="Z19" s="9"/>
      <c r="AA19" s="9"/>
      <c r="AB19" s="9"/>
      <c r="AC19" s="9"/>
    </row>
    <row r="20" spans="1:29">
      <c r="A20" s="12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T20" s="3"/>
      <c r="U20" s="40"/>
      <c r="V20" s="40"/>
      <c r="W20" s="9"/>
      <c r="X20" s="9"/>
      <c r="Y20" s="9"/>
      <c r="Z20" s="9"/>
      <c r="AA20" s="9"/>
      <c r="AB20" s="9"/>
      <c r="AC20" s="9"/>
    </row>
    <row r="21" spans="1:29">
      <c r="A21" s="12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3"/>
      <c r="U21" s="40"/>
      <c r="V21" s="40"/>
      <c r="W21" s="9"/>
      <c r="X21" s="9"/>
      <c r="Y21" s="9"/>
      <c r="Z21" s="9"/>
      <c r="AA21" s="9"/>
      <c r="AB21" s="9"/>
      <c r="AC21" s="9"/>
    </row>
    <row r="22" spans="1:29">
      <c r="A22" s="12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3"/>
      <c r="U22" s="40"/>
      <c r="V22" s="40"/>
      <c r="W22" s="9"/>
      <c r="X22" s="9"/>
      <c r="Y22" s="9"/>
      <c r="Z22" s="9"/>
      <c r="AA22" s="9"/>
      <c r="AB22" s="9"/>
      <c r="AC22" s="9"/>
    </row>
    <row r="23" spans="1:29" ht="12.75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3"/>
      <c r="U23" s="36"/>
      <c r="V23" s="36"/>
      <c r="W23" s="4"/>
      <c r="X23" s="4"/>
      <c r="Y23" s="4"/>
      <c r="Z23" s="4"/>
      <c r="AA23" s="4"/>
      <c r="AB23" s="4"/>
      <c r="AC23" s="4"/>
    </row>
    <row r="24" spans="1:29" ht="12.75">
      <c r="T24" s="3"/>
    </row>
    <row r="25" spans="1:29" ht="12.75">
      <c r="T25" s="3"/>
    </row>
  </sheetData>
  <mergeCells count="3">
    <mergeCell ref="A1:S1"/>
    <mergeCell ref="A2:S2"/>
    <mergeCell ref="E3:S3"/>
  </mergeCells>
  <pageMargins left="0.7" right="0.7" top="0.75" bottom="0.75" header="0.3" footer="0.3"/>
  <pageSetup paperSize="9" scale="45" orientation="portrait" r:id="rId1"/>
  <colBreaks count="1" manualBreakCount="1">
    <brk id="20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12.8</vt:lpstr>
      <vt:lpstr>'12.8'!Print_Area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2024-09-24T10:12:51Z</cp:lastPrinted>
  <dcterms:created xsi:type="dcterms:W3CDTF">2019-05-21T05:57:00Z</dcterms:created>
  <dcterms:modified xsi:type="dcterms:W3CDTF">2024-09-24T10:13:02Z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1FFA511C9209493481C69AEC409D6FFC_12</vt:lpwstr>
  </property>
  <property fmtid="{D5CDD505-2E9C-101B-9397-08002B2CF9AE}" pid="3" name="KSOProductBuildVer">
    <vt:lpwstr>1033-12.2.0.17562</vt:lpwstr>
  </property>
</Properties>
</file>