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53A16AD0-3297-4CB5-B484-DCC7D6743D1C}" xr6:coauthVersionLast="47" xr6:coauthVersionMax="47" xr10:uidLastSave="{00000000-0000-0000-0000-000000000000}"/>
  <bookViews>
    <workbookView xWindow="-120" yWindow="-120" windowWidth="29040" windowHeight="15720" tabRatio="741" xr2:uid="{00000000-000D-0000-FFFF-FFFF00000000}"/>
  </bookViews>
  <sheets>
    <sheet name="12.5" sheetId="37" r:id="rId1"/>
  </sheets>
  <definedNames>
    <definedName name="Male">#REF!</definedName>
    <definedName name="_xlnm.Print_Area" localSheetId="0">'12.5'!$A$1:$H$71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37" l="1"/>
  <c r="E68" i="37" s="1"/>
  <c r="D68" i="37"/>
  <c r="D69" i="37" s="1"/>
  <c r="F68" i="37" s="1"/>
  <c r="C66" i="37"/>
  <c r="E60" i="37" s="1"/>
  <c r="D65" i="37"/>
  <c r="D64" i="37"/>
  <c r="D63" i="37"/>
  <c r="D62" i="37"/>
  <c r="D61" i="37"/>
  <c r="D60" i="37"/>
  <c r="D59" i="37"/>
  <c r="C57" i="37"/>
  <c r="E56" i="37" s="1"/>
  <c r="D56" i="37"/>
  <c r="D55" i="37"/>
  <c r="D54" i="37"/>
  <c r="D53" i="37"/>
  <c r="D52" i="37"/>
  <c r="C50" i="37"/>
  <c r="E46" i="37" s="1"/>
  <c r="D49" i="37"/>
  <c r="D48" i="37"/>
  <c r="D47" i="37"/>
  <c r="D46" i="37"/>
  <c r="D45" i="37"/>
  <c r="D44" i="37"/>
  <c r="E43" i="37"/>
  <c r="D43" i="37"/>
  <c r="D50" i="37" s="1"/>
  <c r="C32" i="37"/>
  <c r="D31" i="37"/>
  <c r="C29" i="37"/>
  <c r="E29" i="37" s="1"/>
  <c r="D28" i="37"/>
  <c r="D27" i="37"/>
  <c r="E26" i="37"/>
  <c r="D26" i="37"/>
  <c r="D25" i="37"/>
  <c r="D24" i="37"/>
  <c r="E23" i="37"/>
  <c r="D23" i="37"/>
  <c r="E22" i="37"/>
  <c r="D22" i="37"/>
  <c r="C20" i="37"/>
  <c r="E17" i="37" s="1"/>
  <c r="D19" i="37"/>
  <c r="D18" i="37"/>
  <c r="D17" i="37"/>
  <c r="E16" i="37"/>
  <c r="D16" i="37"/>
  <c r="D15" i="37"/>
  <c r="C13" i="37"/>
  <c r="D12" i="37"/>
  <c r="D11" i="37"/>
  <c r="D10" i="37"/>
  <c r="D9" i="37"/>
  <c r="D8" i="37"/>
  <c r="D7" i="37"/>
  <c r="D6" i="37"/>
  <c r="E24" i="37" l="1"/>
  <c r="E49" i="37"/>
  <c r="E50" i="37"/>
  <c r="E44" i="37"/>
  <c r="E45" i="37"/>
  <c r="E27" i="37"/>
  <c r="F46" i="37"/>
  <c r="E53" i="37"/>
  <c r="E61" i="37"/>
  <c r="F47" i="37"/>
  <c r="F44" i="37"/>
  <c r="D29" i="37"/>
  <c r="F25" i="37" s="1"/>
  <c r="E28" i="37"/>
  <c r="E47" i="37"/>
  <c r="E54" i="37"/>
  <c r="E63" i="37"/>
  <c r="E48" i="37"/>
  <c r="E55" i="37"/>
  <c r="F50" i="37"/>
  <c r="F45" i="37"/>
  <c r="F49" i="37"/>
  <c r="F48" i="37"/>
  <c r="D57" i="37"/>
  <c r="F54" i="37" s="1"/>
  <c r="D13" i="37"/>
  <c r="F12" i="37" s="1"/>
  <c r="E19" i="37"/>
  <c r="E25" i="37"/>
  <c r="E31" i="37"/>
  <c r="F43" i="37"/>
  <c r="E52" i="37"/>
  <c r="E57" i="37"/>
  <c r="D66" i="37"/>
  <c r="F63" i="37" s="1"/>
  <c r="E69" i="37"/>
  <c r="E10" i="37"/>
  <c r="E8" i="37"/>
  <c r="F69" i="37"/>
  <c r="E11" i="37"/>
  <c r="E64" i="37"/>
  <c r="E66" i="37"/>
  <c r="E6" i="37"/>
  <c r="E18" i="37"/>
  <c r="D20" i="37"/>
  <c r="F19" i="37" s="1"/>
  <c r="D32" i="37"/>
  <c r="F31" i="37" s="1"/>
  <c r="E59" i="37"/>
  <c r="E9" i="37"/>
  <c r="E15" i="37"/>
  <c r="E20" i="37"/>
  <c r="E32" i="37"/>
  <c r="E62" i="37"/>
  <c r="E12" i="37"/>
  <c r="E65" i="37"/>
  <c r="E13" i="37"/>
  <c r="E7" i="37"/>
  <c r="F27" i="37" l="1"/>
  <c r="F24" i="37"/>
  <c r="F22" i="37"/>
  <c r="F23" i="37"/>
  <c r="F26" i="37"/>
  <c r="F28" i="37"/>
  <c r="F29" i="37"/>
  <c r="F59" i="37"/>
  <c r="F64" i="37"/>
  <c r="F55" i="37"/>
  <c r="F32" i="37"/>
  <c r="F20" i="37"/>
  <c r="F16" i="37"/>
  <c r="F17" i="37"/>
  <c r="F9" i="37"/>
  <c r="F7" i="37"/>
  <c r="F13" i="37"/>
  <c r="F8" i="37"/>
  <c r="F15" i="37"/>
  <c r="F11" i="37"/>
  <c r="F6" i="37"/>
  <c r="F65" i="37"/>
  <c r="F62" i="37"/>
  <c r="F66" i="37"/>
  <c r="F61" i="37"/>
  <c r="F60" i="37"/>
  <c r="F18" i="37"/>
  <c r="F53" i="37"/>
  <c r="F56" i="37"/>
  <c r="F57" i="37"/>
  <c r="F52" i="37"/>
  <c r="F10" i="37"/>
</calcChain>
</file>

<file path=xl/sharedStrings.xml><?xml version="1.0" encoding="utf-8"?>
<sst xmlns="http://schemas.openxmlformats.org/spreadsheetml/2006/main" count="140" uniqueCount="50">
  <si>
    <t xml:space="preserve"> % cnutogWviawfiheb</t>
  </si>
  <si>
    <t>ޖުމްލަ</t>
  </si>
  <si>
    <t>Domestic</t>
  </si>
  <si>
    <t>Business</t>
  </si>
  <si>
    <t>Government</t>
  </si>
  <si>
    <t>Source: State Electric Company Limited</t>
  </si>
  <si>
    <t>2023 ,urwvcnim unuverukcnunEb cTcnwrwk iawgElWm :12.5 ulwvWt</t>
  </si>
  <si>
    <t>TABLE 12.5 ELECTRICITY CONSUMPTION IN MALE',  2023</t>
  </si>
  <si>
    <t>Bands</t>
  </si>
  <si>
    <t>ރޭޓް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</si>
  <si>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</si>
  <si>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</si>
  <si>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</si>
  <si>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</si>
  <si>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</si>
  <si>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</si>
  <si>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</si>
  <si>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</si>
  <si>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</si>
  <si>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</si>
  <si>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</si>
  <si>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</si>
  <si>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</si>
  <si>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</si>
  <si>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</si>
  <si>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</si>
  <si>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</si>
  <si>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</si>
  <si>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</si>
  <si>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</si>
  <si>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</si>
  <si>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</si>
  <si>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</si>
  <si>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</si>
  <si>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އޮފީސް އަދި އެހެނިހެން</t>
  </si>
  <si>
    <t>101-300</t>
  </si>
  <si>
    <t>300 - 101</t>
  </si>
  <si>
    <t>301 -500</t>
  </si>
  <si>
    <t>500 - 301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</si>
  <si>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</si>
  <si>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</si>
  <si>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</si>
  <si>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</si>
  <si>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</si>
  <si>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</si>
  <si>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</si>
  <si>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</si>
  <si>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cDeTimil Inepcmok ckircTckeliacTETcs :ctWrwfivcaedutWmUluAwm</t>
  </si>
  <si>
    <t>2022 ,urwvcnim unuverukcnunEb cTcnwrwk iawgElWm :12.5 ulwvWt</t>
  </si>
  <si>
    <t>TABLE 12.5 ELECTRICITY CONSUMPTION IN MALE',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</si>
</sst>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_(* #,##0.0_);_(* \(#,##0.0\);_(* &quot;-&quot;??_);_(@_)"/>
    <numFmt numFmtId="169" formatCode="General_)"/>
    <numFmt numFmtId="170" formatCode="#,##0.0_);\(#,##0.0\)"/>
  </numFmts>
  <fonts count="19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sz val="11"/>
      <name val="Arial"/>
      <family val="2"/>
    </font>
    <font>
      <b/>
      <sz val="11"/>
      <name val="A_Randhoo"/>
    </font>
    <font>
      <b/>
      <sz val="10"/>
      <name val="A_Faseyha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Faruma"/>
    </font>
    <font>
      <b/>
      <u/>
      <sz val="11"/>
      <color theme="1"/>
      <name val="Calibri"/>
      <family val="2"/>
      <scheme val="minor"/>
    </font>
    <font>
      <sz val="11"/>
      <name val="Faruma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9">
    <xf numFmtId="0" fontId="0" fillId="0" borderId="0"/>
    <xf numFmtId="43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</cellStyleXfs>
  <cellXfs count="58">
    <xf numFmtId="0" fontId="0" fillId="0" borderId="0" xfId="0"/>
    <xf numFmtId="164" fontId="4" fillId="2" borderId="4" xfId="4" applyNumberFormat="1" applyFont="1" applyFill="1" applyBorder="1" applyAlignment="1">
      <alignment horizontal="right" vertical="center"/>
    </xf>
    <xf numFmtId="0" fontId="8" fillId="2" borderId="13" xfId="5" applyFont="1" applyFill="1" applyBorder="1" applyAlignment="1">
      <alignment vertical="center"/>
    </xf>
    <xf numFmtId="0" fontId="5" fillId="2" borderId="4" xfId="0" applyFont="1" applyFill="1" applyBorder="1"/>
    <xf numFmtId="0" fontId="3" fillId="2" borderId="4" xfId="0" applyFont="1" applyFill="1" applyBorder="1"/>
    <xf numFmtId="169" fontId="15" fillId="2" borderId="15" xfId="5" applyNumberFormat="1" applyFont="1" applyFill="1" applyBorder="1" applyAlignment="1">
      <alignment vertical="top" wrapText="1"/>
    </xf>
    <xf numFmtId="169" fontId="15" fillId="2" borderId="16" xfId="5" applyNumberFormat="1" applyFont="1" applyFill="1" applyBorder="1" applyAlignment="1">
      <alignment vertical="top" wrapText="1"/>
    </xf>
    <xf numFmtId="169" fontId="9" fillId="2" borderId="16" xfId="5" applyNumberFormat="1" applyFont="1" applyFill="1" applyBorder="1" applyAlignment="1">
      <alignment horizontal="right" vertical="top" wrapText="1"/>
    </xf>
    <xf numFmtId="169" fontId="4" fillId="2" borderId="18" xfId="5" applyNumberFormat="1" applyFont="1" applyFill="1" applyBorder="1" applyAlignment="1">
      <alignment horizontal="right" vertical="center"/>
    </xf>
    <xf numFmtId="169" fontId="16" fillId="2" borderId="3" xfId="0" applyNumberFormat="1" applyFont="1" applyFill="1" applyBorder="1"/>
    <xf numFmtId="43" fontId="5" fillId="2" borderId="4" xfId="4" applyFont="1" applyFill="1" applyBorder="1"/>
    <xf numFmtId="164" fontId="5" fillId="2" borderId="4" xfId="4" applyNumberFormat="1" applyFont="1" applyFill="1" applyBorder="1"/>
    <xf numFmtId="43" fontId="5" fillId="2" borderId="19" xfId="4" applyFont="1" applyFill="1" applyBorder="1"/>
    <xf numFmtId="43" fontId="7" fillId="2" borderId="19" xfId="4" applyFont="1" applyFill="1" applyBorder="1" applyAlignment="1">
      <alignment vertical="center" textRotation="90"/>
    </xf>
    <xf numFmtId="164" fontId="15" fillId="2" borderId="4" xfId="4" applyNumberFormat="1" applyFont="1" applyFill="1" applyBorder="1" applyAlignment="1">
      <alignment horizontal="right" vertical="center"/>
    </xf>
    <xf numFmtId="169" fontId="5" fillId="2" borderId="4" xfId="5" applyNumberFormat="1" applyFont="1" applyFill="1" applyBorder="1" applyAlignment="1">
      <alignment horizontal="left" vertical="center"/>
    </xf>
    <xf numFmtId="43" fontId="5" fillId="2" borderId="4" xfId="4" applyFont="1" applyFill="1" applyBorder="1" applyAlignment="1" applyProtection="1">
      <alignment horizontal="right" vertical="center"/>
    </xf>
    <xf numFmtId="170" fontId="5" fillId="2" borderId="4" xfId="4" applyNumberFormat="1" applyFont="1" applyFill="1" applyBorder="1" applyAlignment="1">
      <alignment horizontal="right" vertical="center" indent="3"/>
    </xf>
    <xf numFmtId="164" fontId="17" fillId="2" borderId="4" xfId="4" applyNumberFormat="1" applyFont="1" applyFill="1" applyBorder="1" applyAlignment="1">
      <alignment horizontal="right" vertical="center"/>
    </xf>
    <xf numFmtId="0" fontId="3" fillId="2" borderId="9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169" fontId="4" fillId="2" borderId="4" xfId="5" applyNumberFormat="1" applyFont="1" applyFill="1" applyBorder="1" applyAlignment="1">
      <alignment horizontal="left" vertical="center"/>
    </xf>
    <xf numFmtId="43" fontId="11" fillId="2" borderId="4" xfId="4" applyFont="1" applyFill="1" applyBorder="1" applyAlignment="1">
      <alignment horizontal="right" vertical="center"/>
    </xf>
    <xf numFmtId="170" fontId="4" fillId="2" borderId="4" xfId="4" applyNumberFormat="1" applyFont="1" applyFill="1" applyBorder="1" applyAlignment="1">
      <alignment horizontal="right" vertical="center" indent="3"/>
    </xf>
    <xf numFmtId="164" fontId="3" fillId="2" borderId="4" xfId="0" applyNumberFormat="1" applyFont="1" applyFill="1" applyBorder="1"/>
    <xf numFmtId="169" fontId="18" fillId="2" borderId="4" xfId="5" applyNumberFormat="1" applyFont="1" applyFill="1" applyBorder="1" applyAlignment="1">
      <alignment horizontal="left" vertical="center"/>
    </xf>
    <xf numFmtId="43" fontId="5" fillId="2" borderId="4" xfId="4" applyFont="1" applyFill="1" applyBorder="1" applyAlignment="1">
      <alignment horizontal="right" vertical="center"/>
    </xf>
    <xf numFmtId="164" fontId="5" fillId="2" borderId="4" xfId="4" applyNumberFormat="1" applyFont="1" applyFill="1" applyBorder="1" applyAlignment="1">
      <alignment horizontal="right" vertical="center"/>
    </xf>
    <xf numFmtId="167" fontId="5" fillId="2" borderId="19" xfId="4" applyNumberFormat="1" applyFont="1" applyFill="1" applyBorder="1" applyAlignment="1">
      <alignment horizontal="left" vertical="center" indent="7"/>
    </xf>
    <xf numFmtId="167" fontId="7" fillId="2" borderId="19" xfId="4" applyNumberFormat="1" applyFont="1" applyFill="1" applyBorder="1" applyAlignment="1">
      <alignment horizontal="left" vertical="center" indent="7"/>
    </xf>
    <xf numFmtId="43" fontId="3" fillId="2" borderId="4" xfId="1" applyFont="1" applyFill="1" applyBorder="1"/>
    <xf numFmtId="164" fontId="5" fillId="2" borderId="19" xfId="4" applyNumberFormat="1" applyFont="1" applyFill="1" applyBorder="1" applyAlignment="1">
      <alignment horizontal="left" vertical="center" indent="7"/>
    </xf>
    <xf numFmtId="164" fontId="7" fillId="2" borderId="19" xfId="4" applyNumberFormat="1" applyFont="1" applyFill="1" applyBorder="1" applyAlignment="1">
      <alignment horizontal="left" vertical="center" indent="7"/>
    </xf>
    <xf numFmtId="169" fontId="18" fillId="2" borderId="1" xfId="5" applyNumberFormat="1" applyFont="1" applyFill="1" applyBorder="1" applyAlignment="1">
      <alignment horizontal="left" vertical="center"/>
    </xf>
    <xf numFmtId="43" fontId="5" fillId="2" borderId="1" xfId="4" applyFont="1" applyFill="1" applyBorder="1" applyAlignment="1">
      <alignment horizontal="right" vertical="center"/>
    </xf>
    <xf numFmtId="164" fontId="15" fillId="2" borderId="1" xfId="4" applyNumberFormat="1" applyFont="1" applyFill="1" applyBorder="1" applyAlignment="1">
      <alignment horizontal="right" vertical="center"/>
    </xf>
    <xf numFmtId="169" fontId="4" fillId="2" borderId="8" xfId="5" applyNumberFormat="1" applyFont="1" applyFill="1" applyBorder="1" applyAlignment="1">
      <alignment horizontal="left" vertical="center"/>
    </xf>
    <xf numFmtId="43" fontId="11" fillId="2" borderId="8" xfId="4" applyFont="1" applyFill="1" applyBorder="1" applyAlignment="1">
      <alignment horizontal="right" vertical="center"/>
    </xf>
    <xf numFmtId="164" fontId="4" fillId="2" borderId="8" xfId="4" applyNumberFormat="1" applyFont="1" applyFill="1" applyBorder="1" applyAlignment="1">
      <alignment horizontal="right" vertical="center"/>
    </xf>
    <xf numFmtId="170" fontId="4" fillId="2" borderId="8" xfId="4" applyNumberFormat="1" applyFont="1" applyFill="1" applyBorder="1" applyAlignment="1">
      <alignment horizontal="right" vertical="center" indent="3"/>
    </xf>
    <xf numFmtId="164" fontId="15" fillId="2" borderId="8" xfId="4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top"/>
    </xf>
    <xf numFmtId="43" fontId="11" fillId="2" borderId="0" xfId="4" applyFont="1" applyFill="1" applyBorder="1"/>
    <xf numFmtId="43" fontId="4" fillId="2" borderId="0" xfId="4" applyFont="1" applyFill="1" applyBorder="1"/>
    <xf numFmtId="0" fontId="6" fillId="2" borderId="0" xfId="0" applyFont="1" applyFill="1" applyAlignment="1">
      <alignment horizontal="right" vertical="top"/>
    </xf>
    <xf numFmtId="0" fontId="3" fillId="2" borderId="13" xfId="0" applyFont="1" applyFill="1" applyBorder="1"/>
    <xf numFmtId="43" fontId="3" fillId="2" borderId="4" xfId="4" applyFont="1" applyFill="1" applyBorder="1"/>
    <xf numFmtId="0" fontId="1" fillId="2" borderId="13" xfId="0" applyFont="1" applyFill="1" applyBorder="1" applyAlignment="1">
      <alignment horizontal="left" vertical="top"/>
    </xf>
    <xf numFmtId="164" fontId="5" fillId="2" borderId="1" xfId="4" applyNumberFormat="1" applyFont="1" applyFill="1" applyBorder="1" applyAlignment="1">
      <alignment horizontal="right" vertical="center"/>
    </xf>
    <xf numFmtId="169" fontId="4" fillId="2" borderId="14" xfId="5" applyNumberFormat="1" applyFont="1" applyFill="1" applyBorder="1" applyAlignment="1">
      <alignment horizontal="left" vertical="center"/>
    </xf>
    <xf numFmtId="169" fontId="4" fillId="2" borderId="18" xfId="5" applyNumberFormat="1" applyFont="1" applyFill="1" applyBorder="1" applyAlignment="1">
      <alignment horizontal="left" vertical="center"/>
    </xf>
    <xf numFmtId="169" fontId="15" fillId="2" borderId="17" xfId="5" applyNumberFormat="1" applyFont="1" applyFill="1" applyBorder="1" applyAlignment="1">
      <alignment horizontal="right" vertical="center" wrapText="1"/>
    </xf>
    <xf numFmtId="169" fontId="15" fillId="2" borderId="2" xfId="5" applyNumberFormat="1" applyFont="1" applyFill="1" applyBorder="1" applyAlignment="1">
      <alignment horizontal="right" vertical="center" wrapText="1"/>
    </xf>
    <xf numFmtId="0" fontId="14" fillId="2" borderId="13" xfId="5" applyFont="1" applyFill="1" applyBorder="1" applyAlignment="1">
      <alignment horizontal="center" vertical="center"/>
    </xf>
    <xf numFmtId="169" fontId="10" fillId="2" borderId="10" xfId="5" applyNumberFormat="1" applyFont="1" applyFill="1" applyBorder="1" applyAlignment="1">
      <alignment horizontal="center" vertical="top" wrapText="1"/>
    </xf>
    <xf numFmtId="169" fontId="10" fillId="2" borderId="12" xfId="5" applyNumberFormat="1" applyFont="1" applyFill="1" applyBorder="1" applyAlignment="1">
      <alignment horizontal="center" vertical="top" wrapText="1"/>
    </xf>
    <xf numFmtId="169" fontId="10" fillId="2" borderId="7" xfId="5" applyNumberFormat="1" applyFont="1" applyFill="1" applyBorder="1" applyAlignment="1">
      <alignment horizontal="center" vertical="top" wrapText="1"/>
    </xf>
  </cellXfs>
  <cellStyles count="9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60DF-C023-4B7F-B295-4665E3592470}">
  <sheetPr>
    <tabColor rgb="FF92D050"/>
  </sheetPr>
  <dimension ref="A1:V71"/>
  <sheetViews>
    <sheetView tabSelected="1" zoomScale="93" zoomScaleNormal="93" workbookViewId="0">
      <selection activeCell="O67" sqref="O67"/>
    </sheetView>
  </sheetViews>
  <sheetFormatPr defaultColWidth="9.140625" defaultRowHeight="12.75"/>
  <cols>
    <col min="1" max="1" width="15" style="4" bestFit="1" customWidth="1"/>
    <col min="2" max="2" width="12.85546875" style="4" customWidth="1"/>
    <col min="3" max="3" width="15.7109375" style="4" customWidth="1"/>
    <col min="4" max="4" width="16.5703125" style="4" customWidth="1"/>
    <col min="5" max="5" width="18.7109375" style="4" customWidth="1"/>
    <col min="6" max="6" width="18.5703125" style="4" customWidth="1"/>
    <col min="7" max="7" width="19.28515625" style="4" customWidth="1"/>
    <col min="8" max="8" width="2" style="4" customWidth="1"/>
    <col min="9" max="9" width="12.28515625" style="4" bestFit="1" customWidth="1"/>
    <col min="10" max="10" width="18.5703125" style="4" customWidth="1"/>
    <col min="11" max="11" width="13.5703125" style="4" bestFit="1" customWidth="1"/>
    <col min="12" max="12" width="14.5703125" style="4" bestFit="1" customWidth="1"/>
    <col min="13" max="13" width="15" style="4" bestFit="1" customWidth="1"/>
    <col min="14" max="16" width="15" style="4" customWidth="1"/>
    <col min="17" max="19" width="13.5703125" style="4" bestFit="1" customWidth="1"/>
    <col min="20" max="16384" width="9.140625" style="4"/>
  </cols>
  <sheetData>
    <row r="1" spans="1:22" s="3" customFormat="1" ht="18">
      <c r="A1" s="54" t="s">
        <v>6</v>
      </c>
      <c r="B1" s="54"/>
      <c r="C1" s="54"/>
      <c r="D1" s="54"/>
      <c r="E1" s="54"/>
      <c r="F1" s="54"/>
      <c r="G1" s="54"/>
      <c r="H1" s="2"/>
    </row>
    <row r="2" spans="1:22" ht="15.75" customHeight="1">
      <c r="A2" s="55" t="s">
        <v>7</v>
      </c>
      <c r="B2" s="56"/>
      <c r="C2" s="56"/>
      <c r="D2" s="56"/>
      <c r="E2" s="56"/>
      <c r="F2" s="56"/>
      <c r="G2" s="57"/>
      <c r="T2" s="3"/>
      <c r="U2" s="3"/>
      <c r="V2" s="3"/>
    </row>
    <row r="3" spans="1:22" ht="21">
      <c r="A3" s="50" t="s">
        <v>8</v>
      </c>
      <c r="B3" s="5" t="s">
        <v>9</v>
      </c>
      <c r="C3" s="6" t="s">
        <v>1</v>
      </c>
      <c r="D3" s="6" t="s">
        <v>10</v>
      </c>
      <c r="E3" s="7" t="s">
        <v>0</v>
      </c>
      <c r="F3" s="7" t="s">
        <v>0</v>
      </c>
      <c r="G3" s="52" t="s">
        <v>11</v>
      </c>
      <c r="T3" s="3"/>
      <c r="U3" s="3"/>
      <c r="V3" s="3"/>
    </row>
    <row r="4" spans="1:22" ht="15" customHeight="1">
      <c r="A4" s="51"/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53"/>
      <c r="T4" s="3"/>
      <c r="U4" s="3"/>
      <c r="V4" s="3"/>
    </row>
    <row r="5" spans="1:22" ht="21">
      <c r="A5" s="9" t="s">
        <v>2</v>
      </c>
      <c r="B5" s="10"/>
      <c r="C5" s="11"/>
      <c r="D5" s="11"/>
      <c r="E5" s="12"/>
      <c r="F5" s="13"/>
      <c r="G5" s="14" t="s">
        <v>17</v>
      </c>
      <c r="T5" s="3"/>
      <c r="U5" s="3"/>
      <c r="V5" s="3"/>
    </row>
    <row r="6" spans="1:22" ht="21">
      <c r="A6" s="15" t="s">
        <v>18</v>
      </c>
      <c r="B6" s="16">
        <v>1.5</v>
      </c>
      <c r="C6" s="28">
        <v>39070335.790000007</v>
      </c>
      <c r="D6" s="28">
        <f>B6*C6</f>
        <v>58605503.68500001</v>
      </c>
      <c r="E6" s="17">
        <f>(C6/C13)*100</f>
        <v>18.342296024189167</v>
      </c>
      <c r="F6" s="17">
        <f>(D6/D13)*100</f>
        <v>10.470438258553381</v>
      </c>
      <c r="G6" s="18" t="s">
        <v>19</v>
      </c>
      <c r="H6" s="19"/>
      <c r="I6" s="20"/>
      <c r="T6" s="3"/>
      <c r="U6" s="3"/>
      <c r="V6" s="3"/>
    </row>
    <row r="7" spans="1:22" ht="21">
      <c r="A7" s="15" t="s">
        <v>20</v>
      </c>
      <c r="B7" s="16">
        <v>1.75</v>
      </c>
      <c r="C7" s="28">
        <v>35628160.570000008</v>
      </c>
      <c r="D7" s="28">
        <f t="shared" ref="D7:D12" si="0">B7*C7</f>
        <v>62349280.997500017</v>
      </c>
      <c r="E7" s="17">
        <f>(C7/C13)*100</f>
        <v>16.726302826901922</v>
      </c>
      <c r="F7" s="17">
        <f>(D7/D13)*100</f>
        <v>11.139300169799734</v>
      </c>
      <c r="G7" s="18" t="s">
        <v>21</v>
      </c>
      <c r="H7" s="21"/>
      <c r="I7" s="20"/>
      <c r="T7" s="3"/>
      <c r="U7" s="3"/>
      <c r="V7" s="3"/>
    </row>
    <row r="8" spans="1:22" ht="21">
      <c r="A8" s="15" t="s">
        <v>22</v>
      </c>
      <c r="B8" s="16">
        <v>2.15</v>
      </c>
      <c r="C8" s="28">
        <v>31149233.02</v>
      </c>
      <c r="D8" s="28">
        <f t="shared" si="0"/>
        <v>66970850.992999993</v>
      </c>
      <c r="E8" s="17">
        <f>(C8/C13)*100</f>
        <v>14.623586959944268</v>
      </c>
      <c r="F8" s="17">
        <f>(D8/D13)*100</f>
        <v>11.964988206806582</v>
      </c>
      <c r="G8" s="18" t="s">
        <v>23</v>
      </c>
      <c r="H8" s="21"/>
      <c r="I8" s="20"/>
      <c r="T8" s="3"/>
      <c r="U8" s="3"/>
      <c r="V8" s="3"/>
    </row>
    <row r="9" spans="1:22" ht="21">
      <c r="A9" s="15" t="s">
        <v>24</v>
      </c>
      <c r="B9" s="16">
        <v>2.5</v>
      </c>
      <c r="C9" s="28">
        <v>25984133.900000006</v>
      </c>
      <c r="D9" s="28">
        <f t="shared" si="0"/>
        <v>64960334.750000015</v>
      </c>
      <c r="E9" s="17">
        <f>(C9/C13)*100</f>
        <v>12.198735083509476</v>
      </c>
      <c r="F9" s="17">
        <f>(D9/D13)*100</f>
        <v>11.60579009627933</v>
      </c>
      <c r="G9" s="18" t="s">
        <v>25</v>
      </c>
      <c r="H9" s="21"/>
      <c r="I9" s="20"/>
      <c r="T9" s="3"/>
      <c r="U9" s="3"/>
      <c r="V9" s="3"/>
    </row>
    <row r="10" spans="1:22" ht="21">
      <c r="A10" s="15" t="s">
        <v>26</v>
      </c>
      <c r="B10" s="16">
        <v>2.95</v>
      </c>
      <c r="C10" s="28">
        <v>20734016.219999999</v>
      </c>
      <c r="D10" s="28">
        <f t="shared" si="0"/>
        <v>61165347.848999999</v>
      </c>
      <c r="E10" s="17">
        <f>(C10/C13)*100</f>
        <v>9.7339696623472403</v>
      </c>
      <c r="F10" s="17">
        <f>(D10/D13)*100</f>
        <v>10.927779098327447</v>
      </c>
      <c r="G10" s="18" t="s">
        <v>27</v>
      </c>
      <c r="H10" s="21"/>
      <c r="I10" s="20"/>
      <c r="T10" s="3"/>
      <c r="U10" s="3"/>
      <c r="V10" s="3"/>
    </row>
    <row r="11" spans="1:22" ht="21">
      <c r="A11" s="15" t="s">
        <v>28</v>
      </c>
      <c r="B11" s="16">
        <v>3.55</v>
      </c>
      <c r="C11" s="28">
        <v>16002402.500000002</v>
      </c>
      <c r="D11" s="28">
        <f t="shared" si="0"/>
        <v>56808528.875000007</v>
      </c>
      <c r="E11" s="17">
        <f>(C11/C13)*100</f>
        <v>7.5126255717605321</v>
      </c>
      <c r="F11" s="17">
        <f>(D11/D13)*100</f>
        <v>10.14939138381939</v>
      </c>
      <c r="G11" s="18" t="s">
        <v>29</v>
      </c>
      <c r="H11" s="20"/>
    </row>
    <row r="12" spans="1:22" ht="21">
      <c r="A12" s="15" t="s">
        <v>30</v>
      </c>
      <c r="B12" s="16">
        <v>4.25</v>
      </c>
      <c r="C12" s="28">
        <v>44438506.999999993</v>
      </c>
      <c r="D12" s="28">
        <f t="shared" si="0"/>
        <v>188863654.74999997</v>
      </c>
      <c r="E12" s="17">
        <f>(C12/C13)*100</f>
        <v>20.862483871347401</v>
      </c>
      <c r="F12" s="17">
        <f>(D12/D13)*100</f>
        <v>33.742312786414139</v>
      </c>
      <c r="G12" s="18" t="s">
        <v>31</v>
      </c>
      <c r="H12" s="20"/>
    </row>
    <row r="13" spans="1:22" ht="21">
      <c r="A13" s="22" t="s">
        <v>32</v>
      </c>
      <c r="B13" s="23"/>
      <c r="C13" s="1">
        <f>SUM(C6:C12)</f>
        <v>213006789</v>
      </c>
      <c r="D13" s="1">
        <f>SUM(D6:D12)</f>
        <v>559723501.89950001</v>
      </c>
      <c r="E13" s="24">
        <f>(C13/C13)*100</f>
        <v>100</v>
      </c>
      <c r="F13" s="24">
        <f>(D13/D13)*100</f>
        <v>100</v>
      </c>
      <c r="G13" s="14" t="s">
        <v>33</v>
      </c>
      <c r="H13" s="20"/>
      <c r="J13" s="25"/>
    </row>
    <row r="14" spans="1:22" ht="21">
      <c r="A14" s="26" t="s">
        <v>4</v>
      </c>
      <c r="B14" s="27"/>
      <c r="C14" s="28"/>
      <c r="D14" s="28"/>
      <c r="E14" s="29"/>
      <c r="F14" s="30"/>
      <c r="G14" s="14" t="s">
        <v>34</v>
      </c>
      <c r="H14" s="20"/>
      <c r="J14" s="25"/>
    </row>
    <row r="15" spans="1:22" ht="21">
      <c r="A15" s="15" t="s">
        <v>18</v>
      </c>
      <c r="B15" s="16">
        <v>3.3</v>
      </c>
      <c r="C15" s="28">
        <v>754533.30999999994</v>
      </c>
      <c r="D15" s="28">
        <f>B15*C15</f>
        <v>2489959.9229999995</v>
      </c>
      <c r="E15" s="17">
        <f>(C15/C20)*100</f>
        <v>2.0880767804932368</v>
      </c>
      <c r="F15" s="17">
        <f>(D15/D20)*100</f>
        <v>1.6171631786665073</v>
      </c>
      <c r="G15" s="18" t="s">
        <v>19</v>
      </c>
      <c r="H15" s="20"/>
      <c r="K15" s="31"/>
      <c r="L15" s="31"/>
      <c r="M15" s="31"/>
      <c r="N15" s="31"/>
      <c r="O15" s="31"/>
      <c r="P15" s="31"/>
      <c r="Q15" s="31"/>
      <c r="R15" s="31"/>
      <c r="S15" s="31"/>
    </row>
    <row r="16" spans="1:22" ht="21">
      <c r="A16" s="15" t="s">
        <v>35</v>
      </c>
      <c r="B16" s="16">
        <v>3.35</v>
      </c>
      <c r="C16" s="28">
        <v>1367650.69</v>
      </c>
      <c r="D16" s="28">
        <f t="shared" ref="D16:D19" si="1">B16*C16</f>
        <v>4581629.8114999998</v>
      </c>
      <c r="E16" s="17">
        <f>(C16/C20)*100</f>
        <v>3.7848026213906372</v>
      </c>
      <c r="F16" s="17">
        <f>(D16/D20)*100</f>
        <v>2.9756475038006354</v>
      </c>
      <c r="G16" s="18" t="s">
        <v>36</v>
      </c>
      <c r="H16" s="20"/>
    </row>
    <row r="17" spans="1:10" ht="21">
      <c r="A17" s="15" t="s">
        <v>37</v>
      </c>
      <c r="B17" s="16">
        <v>3.65</v>
      </c>
      <c r="C17" s="28">
        <v>1226720.3500000001</v>
      </c>
      <c r="D17" s="28">
        <f t="shared" si="1"/>
        <v>4477529.2774999999</v>
      </c>
      <c r="E17" s="17">
        <f>(C17/C20)*100</f>
        <v>3.394795491525135</v>
      </c>
      <c r="F17" s="17">
        <f>(D17/D20)*100</f>
        <v>2.9080369575788754</v>
      </c>
      <c r="G17" s="18" t="s">
        <v>38</v>
      </c>
      <c r="H17" s="20"/>
    </row>
    <row r="18" spans="1:10" ht="21">
      <c r="A18" s="15" t="s">
        <v>28</v>
      </c>
      <c r="B18" s="16">
        <v>4</v>
      </c>
      <c r="C18" s="28">
        <v>569121.65</v>
      </c>
      <c r="D18" s="28">
        <f t="shared" si="1"/>
        <v>2276486.6</v>
      </c>
      <c r="E18" s="17">
        <f>(C18/C20)*100</f>
        <v>1.5749731481582954</v>
      </c>
      <c r="F18" s="17">
        <f>(D18/D20)*100</f>
        <v>1.4785178959073995</v>
      </c>
      <c r="G18" s="18" t="s">
        <v>29</v>
      </c>
      <c r="H18" s="20"/>
    </row>
    <row r="19" spans="1:10" ht="21">
      <c r="A19" s="15" t="s">
        <v>30</v>
      </c>
      <c r="B19" s="16">
        <v>4.3499999999999996</v>
      </c>
      <c r="C19" s="28">
        <v>32217298</v>
      </c>
      <c r="D19" s="28">
        <f t="shared" si="1"/>
        <v>140145246.29999998</v>
      </c>
      <c r="E19" s="17">
        <f>(C19/C20)*100</f>
        <v>89.157351958432699</v>
      </c>
      <c r="F19" s="17">
        <f>(D19/D20)*100</f>
        <v>91.020634464046594</v>
      </c>
      <c r="G19" s="18" t="s">
        <v>31</v>
      </c>
      <c r="H19" s="20"/>
    </row>
    <row r="20" spans="1:10" ht="21">
      <c r="A20" s="22" t="s">
        <v>32</v>
      </c>
      <c r="B20" s="23"/>
      <c r="C20" s="1">
        <f>SUM(C15:C19)</f>
        <v>36135324</v>
      </c>
      <c r="D20" s="1">
        <f>SUM(D15:D19)</f>
        <v>153970851.91199997</v>
      </c>
      <c r="E20" s="24">
        <f>(C20/C20)*100</f>
        <v>100</v>
      </c>
      <c r="F20" s="24">
        <f>(D20/D20)*100</f>
        <v>100</v>
      </c>
      <c r="G20" s="14" t="s">
        <v>33</v>
      </c>
      <c r="H20" s="20"/>
    </row>
    <row r="21" spans="1:10" ht="21">
      <c r="A21" s="26" t="s">
        <v>3</v>
      </c>
      <c r="B21" s="27"/>
      <c r="C21" s="28"/>
      <c r="D21" s="28"/>
      <c r="E21" s="29"/>
      <c r="F21" s="30"/>
      <c r="G21" s="14" t="s">
        <v>34</v>
      </c>
      <c r="H21" s="20"/>
    </row>
    <row r="22" spans="1:10" ht="21">
      <c r="A22" s="15" t="s">
        <v>18</v>
      </c>
      <c r="B22" s="16">
        <v>3.3</v>
      </c>
      <c r="C22" s="28">
        <v>10166402.1</v>
      </c>
      <c r="D22" s="28">
        <f>B22*C22</f>
        <v>33549126.929999996</v>
      </c>
      <c r="E22" s="17">
        <f>(C22/C29)*100</f>
        <v>7.9835219117766822</v>
      </c>
      <c r="F22" s="17">
        <f>(D22/D29)*100</f>
        <v>5.7997177939355309</v>
      </c>
      <c r="G22" s="18" t="s">
        <v>19</v>
      </c>
      <c r="H22" s="20"/>
    </row>
    <row r="23" spans="1:10" ht="21">
      <c r="A23" s="15" t="s">
        <v>35</v>
      </c>
      <c r="B23" s="16">
        <v>3.35</v>
      </c>
      <c r="C23" s="28">
        <v>16480871.899999999</v>
      </c>
      <c r="D23" s="28">
        <f t="shared" ref="D23:D28" si="2">B23*C23</f>
        <v>55210920.864999995</v>
      </c>
      <c r="E23" s="17">
        <f>(C23/C29)*100</f>
        <v>12.942179607359282</v>
      </c>
      <c r="F23" s="17">
        <f>(D23/D29)*100</f>
        <v>9.544443908433685</v>
      </c>
      <c r="G23" s="18" t="s">
        <v>36</v>
      </c>
      <c r="H23" s="20"/>
    </row>
    <row r="24" spans="1:10" ht="21">
      <c r="A24" s="15" t="s">
        <v>37</v>
      </c>
      <c r="B24" s="16">
        <v>3.65</v>
      </c>
      <c r="C24" s="28">
        <v>12944132.870000001</v>
      </c>
      <c r="D24" s="28">
        <f t="shared" si="2"/>
        <v>47246084.975500003</v>
      </c>
      <c r="E24" s="17">
        <f>(C24/C29)*100</f>
        <v>10.164831902192203</v>
      </c>
      <c r="F24" s="17">
        <f>(D24/D29)*100</f>
        <v>8.1675436829675352</v>
      </c>
      <c r="G24" s="18" t="s">
        <v>38</v>
      </c>
      <c r="H24" s="20"/>
    </row>
    <row r="25" spans="1:10" ht="21">
      <c r="A25" s="15" t="s">
        <v>28</v>
      </c>
      <c r="B25" s="16">
        <v>4</v>
      </c>
      <c r="C25" s="28">
        <v>5380321.1299999999</v>
      </c>
      <c r="D25" s="28">
        <f t="shared" si="2"/>
        <v>21521284.52</v>
      </c>
      <c r="E25" s="17">
        <f>(C25/C29)*100</f>
        <v>4.2250848639707144</v>
      </c>
      <c r="F25" s="17">
        <f>(D25/D29)*100</f>
        <v>3.7204359159457057</v>
      </c>
      <c r="G25" s="18" t="s">
        <v>39</v>
      </c>
      <c r="H25" s="20"/>
    </row>
    <row r="26" spans="1:10" ht="21">
      <c r="A26" s="15" t="s">
        <v>40</v>
      </c>
      <c r="B26" s="16">
        <v>4.3499999999999996</v>
      </c>
      <c r="C26" s="28">
        <v>47526891</v>
      </c>
      <c r="D26" s="28">
        <f t="shared" si="2"/>
        <v>206741975.84999999</v>
      </c>
      <c r="E26" s="17">
        <f>(C26/C29)*100</f>
        <v>37.322149169874166</v>
      </c>
      <c r="F26" s="17">
        <f>(D26/D29)*100</f>
        <v>35.739979719664042</v>
      </c>
      <c r="G26" s="18" t="s">
        <v>40</v>
      </c>
      <c r="H26" s="20"/>
    </row>
    <row r="27" spans="1:10" ht="21">
      <c r="A27" s="15" t="s">
        <v>41</v>
      </c>
      <c r="B27" s="16">
        <v>5.75</v>
      </c>
      <c r="C27" s="28">
        <v>19465158.629999999</v>
      </c>
      <c r="D27" s="28">
        <f t="shared" si="2"/>
        <v>111924662.12249999</v>
      </c>
      <c r="E27" s="17">
        <f>(C27/C29)*100</f>
        <v>15.285694871228236</v>
      </c>
      <c r="F27" s="17">
        <f>(D27/D29)*100</f>
        <v>19.34868397161253</v>
      </c>
      <c r="G27" s="18" t="s">
        <v>42</v>
      </c>
      <c r="H27" s="20"/>
    </row>
    <row r="28" spans="1:10" ht="21">
      <c r="A28" s="15" t="s">
        <v>43</v>
      </c>
      <c r="B28" s="16">
        <v>6.65</v>
      </c>
      <c r="C28" s="28">
        <v>15378543.370000001</v>
      </c>
      <c r="D28" s="28">
        <f t="shared" si="2"/>
        <v>102267313.41050002</v>
      </c>
      <c r="E28" s="17">
        <f>(C28/C29)*100</f>
        <v>12.076537673598709</v>
      </c>
      <c r="F28" s="17">
        <f>(D28/D29)*100</f>
        <v>17.679195007440953</v>
      </c>
      <c r="G28" s="18" t="s">
        <v>44</v>
      </c>
      <c r="H28" s="20"/>
    </row>
    <row r="29" spans="1:10" ht="21">
      <c r="A29" s="22" t="s">
        <v>32</v>
      </c>
      <c r="B29" s="23"/>
      <c r="C29" s="1">
        <f>SUM(C22:C28)</f>
        <v>127342321</v>
      </c>
      <c r="D29" s="1">
        <f>SUM(D22:D28)</f>
        <v>578461368.67350006</v>
      </c>
      <c r="E29" s="24">
        <f>(C29/C29)*100</f>
        <v>100</v>
      </c>
      <c r="F29" s="24">
        <f>(D29/D29)*100</f>
        <v>100</v>
      </c>
      <c r="G29" s="14" t="s">
        <v>33</v>
      </c>
      <c r="H29" s="20"/>
    </row>
    <row r="30" spans="1:10" ht="21">
      <c r="A30" s="26" t="s">
        <v>45</v>
      </c>
      <c r="C30" s="28"/>
      <c r="D30" s="28"/>
      <c r="E30" s="32"/>
      <c r="F30" s="33"/>
      <c r="G30" s="14" t="s">
        <v>46</v>
      </c>
      <c r="H30" s="20"/>
      <c r="J30" s="25"/>
    </row>
    <row r="31" spans="1:10" ht="21">
      <c r="A31" s="34"/>
      <c r="B31" s="35">
        <v>4.25</v>
      </c>
      <c r="C31" s="28">
        <v>12535719</v>
      </c>
      <c r="D31" s="28">
        <f>B31*C31</f>
        <v>53276805.75</v>
      </c>
      <c r="E31" s="17">
        <f>(C31/C32)*100</f>
        <v>100</v>
      </c>
      <c r="F31" s="17">
        <f>(D31/D32)*100</f>
        <v>100</v>
      </c>
      <c r="G31" s="36"/>
      <c r="H31" s="20"/>
      <c r="J31" s="25"/>
    </row>
    <row r="32" spans="1:10" ht="21">
      <c r="A32" s="37" t="s">
        <v>32</v>
      </c>
      <c r="B32" s="38"/>
      <c r="C32" s="39">
        <f>SUM(C31)</f>
        <v>12535719</v>
      </c>
      <c r="D32" s="39">
        <f>SUM(D31)</f>
        <v>53276805.75</v>
      </c>
      <c r="E32" s="40">
        <f>(C32/C32)*100</f>
        <v>100</v>
      </c>
      <c r="F32" s="40">
        <f>(D32/D32)*100</f>
        <v>100</v>
      </c>
      <c r="G32" s="41" t="s">
        <v>33</v>
      </c>
    </row>
    <row r="33" spans="1:22" ht="21.75" customHeight="1">
      <c r="A33" s="42" t="s">
        <v>5</v>
      </c>
      <c r="B33" s="43"/>
      <c r="C33" s="43"/>
      <c r="D33" s="43"/>
      <c r="E33" s="44"/>
      <c r="F33" s="44"/>
      <c r="G33" s="45" t="s">
        <v>47</v>
      </c>
      <c r="H33" s="46"/>
      <c r="M33" s="47"/>
      <c r="N33" s="47"/>
      <c r="O33" s="47"/>
      <c r="P33" s="47"/>
    </row>
    <row r="34" spans="1:22" ht="21.75" customHeight="1">
      <c r="A34" s="48"/>
      <c r="B34" s="43"/>
      <c r="C34" s="43"/>
      <c r="D34" s="43"/>
      <c r="E34" s="44"/>
      <c r="F34" s="44"/>
      <c r="G34" s="45"/>
      <c r="H34" s="46"/>
      <c r="M34" s="47"/>
      <c r="N34" s="47"/>
      <c r="O34" s="47"/>
      <c r="P34" s="47"/>
    </row>
    <row r="35" spans="1:22" ht="21.75" customHeight="1">
      <c r="A35" s="48"/>
      <c r="B35" s="43"/>
      <c r="C35" s="43"/>
      <c r="D35" s="43"/>
      <c r="E35" s="44"/>
      <c r="F35" s="44"/>
      <c r="G35" s="45"/>
      <c r="H35" s="46"/>
      <c r="M35" s="47"/>
      <c r="N35" s="47"/>
      <c r="O35" s="47"/>
      <c r="P35" s="47"/>
    </row>
    <row r="36" spans="1:22" ht="21.75" customHeight="1">
      <c r="A36" s="48"/>
      <c r="B36" s="43"/>
      <c r="C36" s="43"/>
      <c r="D36" s="43"/>
      <c r="E36" s="44"/>
      <c r="F36" s="44"/>
      <c r="G36" s="45"/>
      <c r="H36" s="46"/>
      <c r="M36" s="47"/>
      <c r="N36" s="47"/>
      <c r="O36" s="47"/>
      <c r="P36" s="47"/>
    </row>
    <row r="37" spans="1:22" ht="21.75" customHeight="1">
      <c r="A37" s="48"/>
      <c r="B37" s="43"/>
      <c r="C37" s="43"/>
      <c r="D37" s="43"/>
      <c r="E37" s="44"/>
      <c r="F37" s="44"/>
      <c r="G37" s="45"/>
      <c r="H37" s="46"/>
      <c r="M37" s="47"/>
      <c r="N37" s="47"/>
      <c r="O37" s="47"/>
      <c r="P37" s="47"/>
    </row>
    <row r="38" spans="1:22" s="3" customFormat="1" ht="18">
      <c r="A38" s="54" t="s">
        <v>48</v>
      </c>
      <c r="B38" s="54"/>
      <c r="C38" s="54"/>
      <c r="D38" s="54"/>
      <c r="E38" s="54"/>
      <c r="F38" s="54"/>
      <c r="G38" s="54"/>
      <c r="H38" s="2"/>
    </row>
    <row r="39" spans="1:22" ht="15.75" customHeight="1">
      <c r="A39" s="55" t="s">
        <v>49</v>
      </c>
      <c r="B39" s="56"/>
      <c r="C39" s="56"/>
      <c r="D39" s="56"/>
      <c r="E39" s="56"/>
      <c r="F39" s="56"/>
      <c r="G39" s="57"/>
      <c r="T39" s="3"/>
      <c r="U39" s="3"/>
      <c r="V39" s="3"/>
    </row>
    <row r="40" spans="1:22" ht="21">
      <c r="A40" s="50" t="s">
        <v>8</v>
      </c>
      <c r="B40" s="5" t="s">
        <v>9</v>
      </c>
      <c r="C40" s="6" t="s">
        <v>1</v>
      </c>
      <c r="D40" s="6" t="s">
        <v>10</v>
      </c>
      <c r="E40" s="7" t="s">
        <v>0</v>
      </c>
      <c r="F40" s="7" t="s">
        <v>0</v>
      </c>
      <c r="G40" s="52" t="s">
        <v>11</v>
      </c>
      <c r="T40" s="3"/>
      <c r="U40" s="3"/>
      <c r="V40" s="3"/>
    </row>
    <row r="41" spans="1:22" ht="15" customHeight="1">
      <c r="A41" s="51"/>
      <c r="B41" s="8" t="s">
        <v>12</v>
      </c>
      <c r="C41" s="8" t="s">
        <v>13</v>
      </c>
      <c r="D41" s="8" t="s">
        <v>14</v>
      </c>
      <c r="E41" s="8" t="s">
        <v>15</v>
      </c>
      <c r="F41" s="8" t="s">
        <v>16</v>
      </c>
      <c r="G41" s="53"/>
      <c r="T41" s="3"/>
      <c r="U41" s="3"/>
      <c r="V41" s="3"/>
    </row>
    <row r="42" spans="1:22" ht="21">
      <c r="A42" s="9" t="s">
        <v>2</v>
      </c>
      <c r="B42" s="10"/>
      <c r="C42" s="11"/>
      <c r="D42" s="11"/>
      <c r="E42" s="12"/>
      <c r="F42" s="13"/>
      <c r="G42" s="14" t="s">
        <v>17</v>
      </c>
      <c r="T42" s="3"/>
      <c r="U42" s="3"/>
      <c r="V42" s="3"/>
    </row>
    <row r="43" spans="1:22" ht="21">
      <c r="A43" s="15" t="s">
        <v>18</v>
      </c>
      <c r="B43" s="16">
        <v>1.5</v>
      </c>
      <c r="C43" s="28">
        <v>39805508.639999993</v>
      </c>
      <c r="D43" s="28">
        <f>C43*B43</f>
        <v>59708262.959999993</v>
      </c>
      <c r="E43" s="17">
        <f>(C43/C50)*100</f>
        <v>19.455629517229813</v>
      </c>
      <c r="F43" s="17">
        <f>(D43/D50)*100</f>
        <v>11.368270128855441</v>
      </c>
      <c r="G43" s="18" t="s">
        <v>19</v>
      </c>
      <c r="H43" s="19"/>
      <c r="I43" s="20"/>
      <c r="T43" s="3"/>
      <c r="U43" s="3"/>
      <c r="V43" s="3"/>
    </row>
    <row r="44" spans="1:22" ht="21">
      <c r="A44" s="15" t="s">
        <v>20</v>
      </c>
      <c r="B44" s="16">
        <v>1.75</v>
      </c>
      <c r="C44" s="28">
        <v>35928774.140000001</v>
      </c>
      <c r="D44" s="28">
        <f t="shared" ref="D44:D49" si="3">C44*B44</f>
        <v>62875354.745000005</v>
      </c>
      <c r="E44" s="17">
        <f>(C44/C50)*100</f>
        <v>17.560808605611811</v>
      </c>
      <c r="F44" s="17">
        <f>(D44/D50)*100</f>
        <v>11.971274690533601</v>
      </c>
      <c r="G44" s="18" t="s">
        <v>21</v>
      </c>
      <c r="H44" s="21"/>
      <c r="I44" s="20"/>
      <c r="T44" s="3"/>
      <c r="U44" s="3"/>
      <c r="V44" s="3"/>
    </row>
    <row r="45" spans="1:22" ht="21">
      <c r="A45" s="15" t="s">
        <v>22</v>
      </c>
      <c r="B45" s="16">
        <v>2.15</v>
      </c>
      <c r="C45" s="28">
        <v>30981619.949999996</v>
      </c>
      <c r="D45" s="28">
        <f t="shared" si="3"/>
        <v>66610482.892499991</v>
      </c>
      <c r="E45" s="17">
        <f>(C45/C50)*100</f>
        <v>15.142801591664728</v>
      </c>
      <c r="F45" s="17">
        <f>(D45/D50)*100</f>
        <v>12.682431633335934</v>
      </c>
      <c r="G45" s="18" t="s">
        <v>23</v>
      </c>
      <c r="H45" s="21"/>
      <c r="I45" s="20"/>
      <c r="T45" s="3"/>
      <c r="U45" s="3"/>
      <c r="V45" s="3"/>
    </row>
    <row r="46" spans="1:22" ht="21">
      <c r="A46" s="15" t="s">
        <v>24</v>
      </c>
      <c r="B46" s="16">
        <v>2.5</v>
      </c>
      <c r="C46" s="28">
        <v>25237260.109999999</v>
      </c>
      <c r="D46" s="28">
        <f t="shared" si="3"/>
        <v>63093150.274999999</v>
      </c>
      <c r="E46" s="17">
        <f>(C46/C50)*100</f>
        <v>12.335146553980138</v>
      </c>
      <c r="F46" s="17">
        <f>(D46/D50)*100</f>
        <v>12.012742291417517</v>
      </c>
      <c r="G46" s="18" t="s">
        <v>25</v>
      </c>
      <c r="H46" s="21"/>
      <c r="I46" s="20"/>
      <c r="T46" s="3"/>
      <c r="U46" s="3"/>
      <c r="V46" s="3"/>
    </row>
    <row r="47" spans="1:22" ht="21">
      <c r="A47" s="15" t="s">
        <v>26</v>
      </c>
      <c r="B47" s="16">
        <v>2.95</v>
      </c>
      <c r="C47" s="28">
        <v>19599866.609999999</v>
      </c>
      <c r="D47" s="28">
        <f t="shared" si="3"/>
        <v>57819606.499499999</v>
      </c>
      <c r="E47" s="17">
        <f>(C47/C50)*100</f>
        <v>9.5797731615491077</v>
      </c>
      <c r="F47" s="17">
        <f>(D47/D50)*100</f>
        <v>11.00867573171219</v>
      </c>
      <c r="G47" s="18" t="s">
        <v>27</v>
      </c>
      <c r="H47" s="21"/>
      <c r="I47" s="20"/>
      <c r="T47" s="3"/>
      <c r="U47" s="3"/>
      <c r="V47" s="3"/>
    </row>
    <row r="48" spans="1:22" ht="21">
      <c r="A48" s="15" t="s">
        <v>28</v>
      </c>
      <c r="B48" s="16">
        <v>3.55</v>
      </c>
      <c r="C48" s="28">
        <v>14746345.329999998</v>
      </c>
      <c r="D48" s="28">
        <f t="shared" si="3"/>
        <v>52349525.92149999</v>
      </c>
      <c r="E48" s="17">
        <f>(C48/C50)*100</f>
        <v>7.207530848765761</v>
      </c>
      <c r="F48" s="17">
        <f>(D48/D50)*100</f>
        <v>9.9671891676336255</v>
      </c>
      <c r="G48" s="18" t="s">
        <v>29</v>
      </c>
      <c r="H48" s="20"/>
    </row>
    <row r="49" spans="1:19" ht="21">
      <c r="A49" s="15" t="s">
        <v>30</v>
      </c>
      <c r="B49" s="16">
        <v>4.25</v>
      </c>
      <c r="C49" s="28">
        <v>38296979.219999999</v>
      </c>
      <c r="D49" s="28">
        <f t="shared" si="3"/>
        <v>162762161.685</v>
      </c>
      <c r="E49" s="17">
        <f>(C49/C50)*100</f>
        <v>18.718309721198651</v>
      </c>
      <c r="F49" s="17">
        <f>(D49/D50)*100</f>
        <v>30.989416356511697</v>
      </c>
      <c r="G49" s="18" t="s">
        <v>31</v>
      </c>
      <c r="H49" s="20"/>
    </row>
    <row r="50" spans="1:19" ht="21">
      <c r="A50" s="22" t="s">
        <v>32</v>
      </c>
      <c r="B50" s="23"/>
      <c r="C50" s="1">
        <f>SUM(C43:C49)</f>
        <v>204596353.99999997</v>
      </c>
      <c r="D50" s="1">
        <f>SUM(D43:D49)</f>
        <v>525218544.97849995</v>
      </c>
      <c r="E50" s="24">
        <f>(C50/C50)*100</f>
        <v>100</v>
      </c>
      <c r="F50" s="24">
        <f>(D50/D50)*100</f>
        <v>100</v>
      </c>
      <c r="G50" s="14" t="s">
        <v>33</v>
      </c>
      <c r="H50" s="20"/>
      <c r="J50" s="25"/>
    </row>
    <row r="51" spans="1:19" ht="21">
      <c r="A51" s="26" t="s">
        <v>4</v>
      </c>
      <c r="B51" s="27"/>
      <c r="C51" s="28"/>
      <c r="D51" s="28"/>
      <c r="E51" s="29"/>
      <c r="F51" s="30"/>
      <c r="G51" s="14" t="s">
        <v>34</v>
      </c>
      <c r="H51" s="20"/>
      <c r="J51" s="25"/>
    </row>
    <row r="52" spans="1:19" ht="21">
      <c r="A52" s="15" t="s">
        <v>18</v>
      </c>
      <c r="B52" s="16">
        <v>3.3</v>
      </c>
      <c r="C52" s="28">
        <v>940342.64</v>
      </c>
      <c r="D52" s="28">
        <f>C52*B52</f>
        <v>3103130.7119999998</v>
      </c>
      <c r="E52" s="17">
        <f>(C52/C57)*100</f>
        <v>2.2326460302252804</v>
      </c>
      <c r="F52" s="17">
        <f>(D52/D57)*100</f>
        <v>1.7311938515991183</v>
      </c>
      <c r="G52" s="18" t="s">
        <v>19</v>
      </c>
      <c r="H52" s="20"/>
      <c r="K52" s="31"/>
      <c r="L52" s="31"/>
      <c r="M52" s="31"/>
      <c r="N52" s="31"/>
      <c r="O52" s="31"/>
      <c r="P52" s="31"/>
      <c r="Q52" s="31"/>
      <c r="R52" s="31"/>
      <c r="S52" s="31"/>
    </row>
    <row r="53" spans="1:19" ht="21">
      <c r="A53" s="15" t="s">
        <v>35</v>
      </c>
      <c r="B53" s="16">
        <v>3.35</v>
      </c>
      <c r="C53" s="28">
        <v>1690042.3600000003</v>
      </c>
      <c r="D53" s="28">
        <f>C53*B53</f>
        <v>5661641.9060000014</v>
      </c>
      <c r="E53" s="17">
        <f>(C53/C57)*100</f>
        <v>4.0126505014880163</v>
      </c>
      <c r="F53" s="17">
        <f>(D53/D57)*100</f>
        <v>3.1585519809785945</v>
      </c>
      <c r="G53" s="18" t="s">
        <v>36</v>
      </c>
      <c r="H53" s="20"/>
    </row>
    <row r="54" spans="1:19" ht="21">
      <c r="A54" s="15" t="s">
        <v>37</v>
      </c>
      <c r="B54" s="16">
        <v>3.65</v>
      </c>
      <c r="C54" s="28">
        <v>1497845.58</v>
      </c>
      <c r="D54" s="28">
        <f>C54*B54</f>
        <v>5467136.3670000006</v>
      </c>
      <c r="E54" s="17">
        <f>(C54/C57)*100</f>
        <v>3.5563196284255305</v>
      </c>
      <c r="F54" s="17">
        <f>(D54/D57)*100</f>
        <v>3.050040021776673</v>
      </c>
      <c r="G54" s="18" t="s">
        <v>38</v>
      </c>
      <c r="H54" s="20"/>
    </row>
    <row r="55" spans="1:19" ht="21">
      <c r="A55" s="15" t="s">
        <v>28</v>
      </c>
      <c r="B55" s="16">
        <v>4</v>
      </c>
      <c r="C55" s="28">
        <v>682168.42</v>
      </c>
      <c r="D55" s="28">
        <f>C55*B55</f>
        <v>2728673.68</v>
      </c>
      <c r="E55" s="17">
        <f>(C55/C57)*100</f>
        <v>1.6196655879159663</v>
      </c>
      <c r="F55" s="17">
        <f>(D55/D57)*100</f>
        <v>1.5222894348500589</v>
      </c>
      <c r="G55" s="18" t="s">
        <v>29</v>
      </c>
      <c r="H55" s="20"/>
    </row>
    <row r="56" spans="1:19" ht="21">
      <c r="A56" s="15" t="s">
        <v>30</v>
      </c>
      <c r="B56" s="16">
        <v>4.3499999999999996</v>
      </c>
      <c r="C56" s="28">
        <v>37307457</v>
      </c>
      <c r="D56" s="28">
        <f>C56*B56</f>
        <v>162287437.94999999</v>
      </c>
      <c r="E56" s="17">
        <f>(C56/C57)*100</f>
        <v>88.578718251945205</v>
      </c>
      <c r="F56" s="17">
        <f>(D56/D57)*100</f>
        <v>90.537924710795565</v>
      </c>
      <c r="G56" s="18" t="s">
        <v>31</v>
      </c>
      <c r="H56" s="20"/>
    </row>
    <row r="57" spans="1:19" ht="21">
      <c r="A57" s="22" t="s">
        <v>32</v>
      </c>
      <c r="B57" s="23"/>
      <c r="C57" s="1">
        <f>SUM(C52:C56)</f>
        <v>42117856</v>
      </c>
      <c r="D57" s="1">
        <f>SUM(D52:D56)</f>
        <v>179248020.61499998</v>
      </c>
      <c r="E57" s="24">
        <f>(C57/C57)*100</f>
        <v>100</v>
      </c>
      <c r="F57" s="24">
        <f>(D57/D57)*100</f>
        <v>100</v>
      </c>
      <c r="G57" s="14" t="s">
        <v>33</v>
      </c>
      <c r="H57" s="20"/>
    </row>
    <row r="58" spans="1:19" ht="21">
      <c r="A58" s="26" t="s">
        <v>3</v>
      </c>
      <c r="B58" s="27"/>
      <c r="C58" s="28"/>
      <c r="D58" s="28"/>
      <c r="E58" s="29"/>
      <c r="F58" s="30"/>
      <c r="G58" s="14" t="s">
        <v>34</v>
      </c>
      <c r="H58" s="20"/>
    </row>
    <row r="59" spans="1:19" ht="21">
      <c r="A59" s="15" t="s">
        <v>18</v>
      </c>
      <c r="B59" s="16">
        <v>3.3</v>
      </c>
      <c r="C59" s="28">
        <v>10305918.85</v>
      </c>
      <c r="D59" s="28">
        <f>C59*B59</f>
        <v>34009532.204999998</v>
      </c>
      <c r="E59" s="17">
        <f>(C59/C66)*100</f>
        <v>8.3587225785854873</v>
      </c>
      <c r="F59" s="17">
        <f>(D59/D66)*100</f>
        <v>6.1055842987556739</v>
      </c>
      <c r="G59" s="18" t="s">
        <v>19</v>
      </c>
      <c r="H59" s="20"/>
    </row>
    <row r="60" spans="1:19" ht="21">
      <c r="A60" s="15" t="s">
        <v>35</v>
      </c>
      <c r="B60" s="16">
        <v>3.35</v>
      </c>
      <c r="C60" s="28">
        <v>16482045.15</v>
      </c>
      <c r="D60" s="28">
        <f t="shared" ref="D60:D65" si="4">C60*B60</f>
        <v>55214851.252500005</v>
      </c>
      <c r="E60" s="17">
        <f>(C60/C66)*100</f>
        <v>13.367933994218323</v>
      </c>
      <c r="F60" s="17">
        <f>(D60/D66)*100</f>
        <v>9.9124835600012062</v>
      </c>
      <c r="G60" s="18" t="s">
        <v>36</v>
      </c>
      <c r="H60" s="20"/>
    </row>
    <row r="61" spans="1:19" ht="21">
      <c r="A61" s="15" t="s">
        <v>37</v>
      </c>
      <c r="B61" s="16">
        <v>3.65</v>
      </c>
      <c r="C61" s="28">
        <v>12783470.980000002</v>
      </c>
      <c r="D61" s="28">
        <f t="shared" si="4"/>
        <v>46659669.077000007</v>
      </c>
      <c r="E61" s="17">
        <f>(C61/C66)*100</f>
        <v>10.368166979426425</v>
      </c>
      <c r="F61" s="17">
        <f>(D61/D66)*100</f>
        <v>8.3766086867782281</v>
      </c>
      <c r="G61" s="18" t="s">
        <v>38</v>
      </c>
      <c r="H61" s="20"/>
    </row>
    <row r="62" spans="1:19" ht="21">
      <c r="A62" s="15" t="s">
        <v>28</v>
      </c>
      <c r="B62" s="16">
        <v>4</v>
      </c>
      <c r="C62" s="28">
        <v>5278300.0200000005</v>
      </c>
      <c r="D62" s="28">
        <f t="shared" si="4"/>
        <v>21113200.080000002</v>
      </c>
      <c r="E62" s="17">
        <f>(C62/C66)*100</f>
        <v>4.2810200813605501</v>
      </c>
      <c r="F62" s="17">
        <f>(D62/D66)*100</f>
        <v>3.7903615412264697</v>
      </c>
      <c r="G62" s="18" t="s">
        <v>39</v>
      </c>
      <c r="H62" s="20"/>
    </row>
    <row r="63" spans="1:19" ht="21">
      <c r="A63" s="15" t="s">
        <v>40</v>
      </c>
      <c r="B63" s="16">
        <v>4.3499999999999996</v>
      </c>
      <c r="C63" s="28">
        <v>45602195</v>
      </c>
      <c r="D63" s="28">
        <f t="shared" si="4"/>
        <v>198369548.24999997</v>
      </c>
      <c r="E63" s="17">
        <f>(C63/C66)*100</f>
        <v>36.986134135876512</v>
      </c>
      <c r="F63" s="17">
        <f>(D63/D66)*100</f>
        <v>35.612427476094297</v>
      </c>
      <c r="G63" s="18" t="s">
        <v>40</v>
      </c>
      <c r="H63" s="20"/>
    </row>
    <row r="64" spans="1:19" ht="21">
      <c r="A64" s="15" t="s">
        <v>41</v>
      </c>
      <c r="B64" s="16">
        <v>5.75</v>
      </c>
      <c r="C64" s="28">
        <v>18613741.269999996</v>
      </c>
      <c r="D64" s="28">
        <f t="shared" si="4"/>
        <v>107029012.30249998</v>
      </c>
      <c r="E64" s="17">
        <f>(C64/C66)*100</f>
        <v>15.096868284141152</v>
      </c>
      <c r="F64" s="17">
        <f>(D64/D66)*100</f>
        <v>19.214455908611395</v>
      </c>
      <c r="G64" s="18" t="s">
        <v>42</v>
      </c>
      <c r="H64" s="20"/>
    </row>
    <row r="65" spans="1:16" ht="21">
      <c r="A65" s="15" t="s">
        <v>43</v>
      </c>
      <c r="B65" s="16">
        <v>6.65</v>
      </c>
      <c r="C65" s="28">
        <v>14229709.73</v>
      </c>
      <c r="D65" s="28">
        <f t="shared" si="4"/>
        <v>94627569.704500005</v>
      </c>
      <c r="E65" s="17">
        <f>(C65/C66)*100</f>
        <v>11.541153946391553</v>
      </c>
      <c r="F65" s="17">
        <f>(D65/D66)*100</f>
        <v>16.988078528532743</v>
      </c>
      <c r="G65" s="18" t="s">
        <v>44</v>
      </c>
      <c r="H65" s="20"/>
    </row>
    <row r="66" spans="1:16" ht="21">
      <c r="A66" s="22" t="s">
        <v>32</v>
      </c>
      <c r="B66" s="23"/>
      <c r="C66" s="1">
        <f>SUM(C59:C65)</f>
        <v>123295381</v>
      </c>
      <c r="D66" s="1">
        <f>SUM(D59:D65)</f>
        <v>557023382.8714999</v>
      </c>
      <c r="E66" s="24">
        <f>(C66/C66)*100</f>
        <v>100</v>
      </c>
      <c r="F66" s="24">
        <f>(D66/D66)*100</f>
        <v>100</v>
      </c>
      <c r="G66" s="14" t="s">
        <v>33</v>
      </c>
      <c r="H66" s="20"/>
    </row>
    <row r="67" spans="1:16" ht="21">
      <c r="A67" s="26" t="s">
        <v>45</v>
      </c>
      <c r="C67" s="28"/>
      <c r="D67" s="28"/>
      <c r="E67" s="32"/>
      <c r="F67" s="33"/>
      <c r="G67" s="14" t="s">
        <v>46</v>
      </c>
      <c r="H67" s="20"/>
      <c r="J67" s="25"/>
    </row>
    <row r="68" spans="1:16" ht="21">
      <c r="A68" s="34"/>
      <c r="B68" s="35">
        <v>4.25</v>
      </c>
      <c r="C68" s="28">
        <v>14799455</v>
      </c>
      <c r="D68" s="49">
        <f>C68*B68</f>
        <v>62897683.75</v>
      </c>
      <c r="E68" s="17">
        <f>(C68/C69)*100</f>
        <v>100</v>
      </c>
      <c r="F68" s="17">
        <f>(D68/D69)*100</f>
        <v>100</v>
      </c>
      <c r="G68" s="36"/>
      <c r="H68" s="20"/>
      <c r="J68" s="25"/>
    </row>
    <row r="69" spans="1:16" ht="21">
      <c r="A69" s="37" t="s">
        <v>32</v>
      </c>
      <c r="B69" s="38"/>
      <c r="C69" s="39">
        <f>SUM(C68)</f>
        <v>14799455</v>
      </c>
      <c r="D69" s="39">
        <f>SUM(D68)</f>
        <v>62897683.75</v>
      </c>
      <c r="E69" s="40">
        <f>(C69/C69)*100</f>
        <v>100</v>
      </c>
      <c r="F69" s="40">
        <f>(D69/D69)*100</f>
        <v>100</v>
      </c>
      <c r="G69" s="41" t="s">
        <v>33</v>
      </c>
    </row>
    <row r="70" spans="1:16" ht="21.75" customHeight="1">
      <c r="A70" s="42" t="s">
        <v>5</v>
      </c>
      <c r="B70" s="43"/>
      <c r="C70" s="43"/>
      <c r="D70" s="43"/>
      <c r="E70" s="44"/>
      <c r="F70" s="44"/>
      <c r="G70" s="45" t="s">
        <v>47</v>
      </c>
      <c r="H70" s="46"/>
      <c r="M70" s="47"/>
      <c r="N70" s="47"/>
      <c r="O70" s="47"/>
      <c r="P70" s="47"/>
    </row>
    <row r="71" spans="1:16" ht="21.75" customHeight="1">
      <c r="A71" s="48"/>
      <c r="B71" s="43"/>
      <c r="C71" s="43"/>
      <c r="D71" s="43"/>
      <c r="E71" s="44"/>
      <c r="F71" s="44"/>
      <c r="G71" s="45"/>
      <c r="H71" s="46"/>
      <c r="M71" s="47"/>
      <c r="N71" s="47"/>
      <c r="O71" s="47"/>
      <c r="P71" s="47"/>
    </row>
  </sheetData>
  <mergeCells count="8">
    <mergeCell ref="A39:G39"/>
    <mergeCell ref="A1:G1"/>
    <mergeCell ref="A2:G2"/>
    <mergeCell ref="A3:A4"/>
    <mergeCell ref="G3:G4"/>
    <mergeCell ref="A38:G38"/>
    <mergeCell ref="A40:A41"/>
    <mergeCell ref="G40:G41"/>
  </mergeCells>
  <pageMargins left="0.7" right="0.7" top="0.75" bottom="0.75" header="0.3" footer="0.3"/>
  <pageSetup scale="76" orientation="portrait" r:id="rId1"/>
  <rowBreaks count="1" manualBreakCount="1">
    <brk id="35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2024-09-24T10:01:49Z</cp:lastPrinted>
  <dcterms:created xsi:type="dcterms:W3CDTF">2019-05-21T05:57:00Z</dcterms:created>
  <dcterms:modified xsi:type="dcterms:W3CDTF">2024-09-24T10:02:07Z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