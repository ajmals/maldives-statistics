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F51232F0-CC39-44CE-A1D6-1531E1A45B23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7" sheetId="7" r:id="rId1"/>
  </sheets>
  <definedNames>
    <definedName name="Male">#REF!</definedName>
    <definedName name="_xlnm.Print_Area" localSheetId="0">'12.7'!$A$1:$S$40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" i="7" l="1"/>
  <c r="P16" i="7"/>
  <c r="O16" i="7"/>
  <c r="N16" i="7"/>
  <c r="M16" i="7"/>
  <c r="L16" i="7"/>
  <c r="K16" i="7"/>
  <c r="J16" i="7"/>
  <c r="I16" i="7"/>
  <c r="H16" i="7"/>
  <c r="G16" i="7"/>
  <c r="F16" i="7"/>
  <c r="C16" i="7"/>
  <c r="B16" i="7"/>
  <c r="Q15" i="7"/>
  <c r="P15" i="7"/>
  <c r="O15" i="7"/>
  <c r="N15" i="7"/>
  <c r="M15" i="7"/>
  <c r="L15" i="7"/>
  <c r="K15" i="7"/>
  <c r="J15" i="7"/>
  <c r="I15" i="7"/>
  <c r="H15" i="7"/>
  <c r="G15" i="7"/>
  <c r="F15" i="7"/>
  <c r="C15" i="7"/>
  <c r="B15" i="7"/>
  <c r="Q14" i="7"/>
  <c r="P14" i="7"/>
  <c r="O14" i="7"/>
  <c r="N14" i="7"/>
  <c r="M14" i="7"/>
  <c r="L14" i="7"/>
  <c r="K14" i="7"/>
  <c r="J14" i="7"/>
  <c r="I14" i="7"/>
  <c r="H14" i="7"/>
  <c r="G14" i="7"/>
  <c r="F14" i="7"/>
  <c r="C14" i="7"/>
  <c r="B14" i="7"/>
  <c r="P13" i="7"/>
  <c r="P12" i="7"/>
  <c r="O12" i="7"/>
  <c r="G12" i="7"/>
  <c r="B12" i="7"/>
  <c r="H11" i="7"/>
  <c r="G11" i="7"/>
  <c r="P10" i="7"/>
  <c r="O10" i="7"/>
  <c r="O9" i="7" s="1"/>
  <c r="G10" i="7"/>
  <c r="G9" i="7" s="1"/>
  <c r="B10" i="7"/>
  <c r="D8" i="7"/>
  <c r="E16" i="7" s="1"/>
  <c r="D7" i="7"/>
  <c r="D6" i="7"/>
  <c r="Q5" i="7"/>
  <c r="P5" i="7"/>
  <c r="P11" i="7" s="1"/>
  <c r="O5" i="7"/>
  <c r="O11" i="7" s="1"/>
  <c r="N5" i="7"/>
  <c r="O13" i="7" s="1"/>
  <c r="M5" i="7"/>
  <c r="M13" i="7" s="1"/>
  <c r="L5" i="7"/>
  <c r="K5" i="7"/>
  <c r="J5" i="7"/>
  <c r="J12" i="7" s="1"/>
  <c r="I5" i="7"/>
  <c r="H5" i="7"/>
  <c r="H13" i="7" s="1"/>
  <c r="G5" i="7"/>
  <c r="F5" i="7"/>
  <c r="E5" i="7"/>
  <c r="C5" i="7"/>
  <c r="B5" i="7"/>
  <c r="B13" i="7" s="1"/>
  <c r="J11" i="7" l="1"/>
  <c r="H10" i="7"/>
  <c r="H12" i="7"/>
  <c r="J10" i="7"/>
  <c r="J9" i="7" s="1"/>
  <c r="P9" i="7"/>
  <c r="D5" i="7"/>
  <c r="D13" i="7" s="1"/>
  <c r="B11" i="7"/>
  <c r="B9" i="7" s="1"/>
  <c r="C13" i="7"/>
  <c r="C12" i="7"/>
  <c r="C11" i="7"/>
  <c r="C10" i="7"/>
  <c r="L13" i="7"/>
  <c r="E13" i="7"/>
  <c r="K13" i="7"/>
  <c r="K12" i="7"/>
  <c r="K11" i="7"/>
  <c r="K10" i="7"/>
  <c r="G13" i="7"/>
  <c r="F13" i="7"/>
  <c r="F12" i="7"/>
  <c r="F11" i="7"/>
  <c r="F10" i="7"/>
  <c r="E15" i="7"/>
  <c r="D15" i="7"/>
  <c r="D11" i="7"/>
  <c r="J13" i="7"/>
  <c r="I13" i="7"/>
  <c r="I12" i="7"/>
  <c r="I11" i="7"/>
  <c r="I10" i="7"/>
  <c r="Q13" i="7"/>
  <c r="Q12" i="7"/>
  <c r="Q11" i="7"/>
  <c r="Q10" i="7"/>
  <c r="D10" i="7"/>
  <c r="L10" i="7"/>
  <c r="L11" i="7"/>
  <c r="D12" i="7"/>
  <c r="L12" i="7"/>
  <c r="D14" i="7"/>
  <c r="D16" i="7"/>
  <c r="E10" i="7"/>
  <c r="M10" i="7"/>
  <c r="E11" i="7"/>
  <c r="M11" i="7"/>
  <c r="E12" i="7"/>
  <c r="M12" i="7"/>
  <c r="E14" i="7"/>
  <c r="N10" i="7"/>
  <c r="N11" i="7"/>
  <c r="N12" i="7"/>
  <c r="N13" i="7"/>
  <c r="D9" i="7" l="1"/>
  <c r="C9" i="7"/>
  <c r="Q9" i="7"/>
  <c r="K9" i="7"/>
  <c r="H9" i="7"/>
  <c r="N9" i="7"/>
  <c r="M9" i="7"/>
  <c r="E9" i="7"/>
  <c r="F9" i="7"/>
  <c r="L9" i="7"/>
  <c r="I9" i="7"/>
</calcChain>
</file>

<file path=xl/sharedStrings.xml><?xml version="1.0" encoding="utf-8"?>
<sst xmlns="http://schemas.openxmlformats.org/spreadsheetml/2006/main" count="31" uniqueCount="19">
  <si>
    <t>(In '000 metric tons)</t>
  </si>
  <si>
    <t>Type</t>
  </si>
  <si>
    <t>cnwt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</si>
  <si>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</si>
  <si>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</si>
  <si>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</si>
  <si>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</si>
  <si>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</si>
  <si>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</si>
  <si>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</si>
  <si>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</si>
  <si>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</si>
  <si>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 xml:space="preserve"> % cnutogWviawfiheb</t>
  </si>
  <si>
    <t>% change over previous year</t>
  </si>
  <si>
    <t xml:space="preserve"> % urwvcnim ivurutia eruvcSwrwhwa Iruk</t>
  </si>
  <si>
    <t>cDeTimil Inepcmok cjErevcs cDcnea rwTOv ElWm :ctWrwf ivcaedutWmUluawm</t>
  </si>
  <si>
    <t>2023 - 2010  ,urwvcnim unuverukcnunEb ވިލިމާލޭގައި cnef Everukclib   :12.7 ulwvWt</t>
  </si>
  <si>
    <t>Table 12.7 : BILLED WATER CONSUMPTION IN VILIMALE', 2010 - 2023</t>
  </si>
  <si>
    <t>Source: Male' Water &amp; Sewerage Company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</si>
</sst>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>
    <font>
      <sz val="11"/>
      <color theme="1"/>
      <name val="Calibri"/>
      <charset val="134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b/>
      <sz val="10"/>
      <name val="A_Funa"/>
    </font>
    <font>
      <b/>
      <sz val="12"/>
      <name val="Calibri"/>
      <family val="2"/>
      <scheme val="minor"/>
    </font>
    <font>
      <sz val="10"/>
      <name val="Garamond"/>
      <family val="1"/>
    </font>
    <font>
      <b/>
      <sz val="11"/>
      <color theme="1"/>
      <name val="A_Faseyha"/>
    </font>
    <font>
      <b/>
      <sz val="12"/>
      <color theme="1"/>
      <name val="A_Randhoo"/>
    </font>
    <font>
      <sz val="9"/>
      <color theme="1"/>
      <name val="A_Faseyha"/>
    </font>
    <font>
      <sz val="9"/>
      <color theme="1"/>
      <name val="A_Randhoo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1"/>
      </bottom>
      <diagonal/>
    </border>
  </borders>
  <cellStyleXfs count="10">
    <xf numFmtId="0" fontId="0" fillId="0" borderId="0"/>
    <xf numFmtId="43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7" fillId="0" borderId="0"/>
    <xf numFmtId="0" fontId="2" fillId="0" borderId="0"/>
    <xf numFmtId="0" fontId="11" fillId="0" borderId="0"/>
  </cellStyleXfs>
  <cellXfs count="42">
    <xf numFmtId="0" fontId="0" fillId="0" borderId="0" xfId="0"/>
    <xf numFmtId="0" fontId="0" fillId="2" borderId="0" xfId="0" applyFill="1"/>
    <xf numFmtId="0" fontId="2" fillId="2" borderId="0" xfId="5" applyFill="1"/>
    <xf numFmtId="0" fontId="3" fillId="2" borderId="0" xfId="5" applyFont="1" applyFill="1"/>
    <xf numFmtId="0" fontId="1" fillId="2" borderId="0" xfId="9" applyFont="1" applyFill="1"/>
    <xf numFmtId="0" fontId="5" fillId="2" borderId="1" xfId="5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5" applyFont="1" applyFill="1" applyAlignment="1">
      <alignment vertical="center"/>
    </xf>
    <xf numFmtId="0" fontId="10" fillId="2" borderId="0" xfId="5" applyFont="1" applyFill="1" applyAlignment="1">
      <alignment vertical="center" wrapText="1"/>
    </xf>
    <xf numFmtId="0" fontId="10" fillId="2" borderId="0" xfId="5" applyFont="1" applyFill="1" applyAlignment="1">
      <alignment horizontal="center" vertical="center" wrapText="1"/>
    </xf>
    <xf numFmtId="0" fontId="8" fillId="2" borderId="2" xfId="5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14" fillId="2" borderId="0" xfId="9" applyFont="1" applyFill="1" applyAlignment="1">
      <alignment horizontal="right"/>
    </xf>
    <xf numFmtId="0" fontId="8" fillId="2" borderId="2" xfId="5" applyFont="1" applyFill="1" applyBorder="1" applyAlignment="1">
      <alignment vertical="center"/>
    </xf>
    <xf numFmtId="0" fontId="5" fillId="2" borderId="1" xfId="5" applyFont="1" applyFill="1" applyBorder="1" applyAlignment="1">
      <alignment vertical="center"/>
    </xf>
    <xf numFmtId="0" fontId="5" fillId="2" borderId="2" xfId="5" applyFont="1" applyFill="1" applyBorder="1" applyAlignment="1">
      <alignment horizontal="right" vertical="center"/>
    </xf>
    <xf numFmtId="0" fontId="5" fillId="2" borderId="0" xfId="5" applyFont="1" applyFill="1" applyAlignment="1">
      <alignment vertical="center"/>
    </xf>
    <xf numFmtId="3" fontId="5" fillId="2" borderId="0" xfId="5" applyNumberFormat="1" applyFont="1" applyFill="1" applyAlignment="1">
      <alignment horizontal="right" vertical="center" readingOrder="2"/>
    </xf>
    <xf numFmtId="3" fontId="5" fillId="2" borderId="0" xfId="5" applyNumberFormat="1" applyFont="1" applyFill="1" applyAlignment="1">
      <alignment horizontal="right" vertical="center"/>
    </xf>
    <xf numFmtId="3" fontId="3" fillId="2" borderId="0" xfId="5" applyNumberFormat="1" applyFont="1" applyFill="1" applyAlignment="1">
      <alignment horizontal="right" vertical="center" readingOrder="2"/>
    </xf>
    <xf numFmtId="0" fontId="3" fillId="2" borderId="4" xfId="5" applyFont="1" applyFill="1" applyBorder="1" applyAlignment="1">
      <alignment vertical="center"/>
    </xf>
    <xf numFmtId="3" fontId="3" fillId="2" borderId="4" xfId="5" applyNumberFormat="1" applyFont="1" applyFill="1" applyBorder="1" applyAlignment="1">
      <alignment horizontal="right" vertical="center" readingOrder="2"/>
    </xf>
    <xf numFmtId="3" fontId="5" fillId="2" borderId="0" xfId="5" applyNumberFormat="1" applyFont="1" applyFill="1" applyAlignment="1">
      <alignment horizontal="right" vertical="center" readingOrder="1"/>
    </xf>
    <xf numFmtId="3" fontId="3" fillId="2" borderId="0" xfId="5" applyNumberFormat="1" applyFont="1" applyFill="1" applyAlignment="1">
      <alignment horizontal="right" vertical="center" readingOrder="1"/>
    </xf>
    <xf numFmtId="3" fontId="3" fillId="2" borderId="0" xfId="0" applyNumberFormat="1" applyFont="1" applyFill="1" applyAlignment="1">
      <alignment horizontal="right" vertical="center"/>
    </xf>
    <xf numFmtId="0" fontId="3" fillId="2" borderId="2" xfId="5" applyFont="1" applyFill="1" applyBorder="1" applyAlignment="1">
      <alignment vertical="center"/>
    </xf>
    <xf numFmtId="3" fontId="3" fillId="2" borderId="2" xfId="5" applyNumberFormat="1" applyFont="1" applyFill="1" applyBorder="1" applyAlignment="1">
      <alignment horizontal="right" vertical="center" readingOrder="2"/>
    </xf>
    <xf numFmtId="3" fontId="3" fillId="2" borderId="2" xfId="0" applyNumberFormat="1" applyFont="1" applyFill="1" applyBorder="1" applyAlignment="1">
      <alignment horizontal="right" vertical="center"/>
    </xf>
    <xf numFmtId="0" fontId="15" fillId="2" borderId="0" xfId="9" applyFont="1" applyFill="1" applyAlignment="1">
      <alignment horizontal="right"/>
    </xf>
    <xf numFmtId="164" fontId="16" fillId="2" borderId="0" xfId="1" applyNumberFormat="1" applyFont="1" applyFill="1" applyAlignment="1">
      <alignment vertical="center"/>
    </xf>
    <xf numFmtId="164" fontId="16" fillId="2" borderId="3" xfId="1" applyNumberFormat="1" applyFont="1" applyFill="1" applyBorder="1" applyAlignment="1">
      <alignment vertical="center"/>
    </xf>
    <xf numFmtId="0" fontId="9" fillId="2" borderId="2" xfId="5" applyFont="1" applyFill="1" applyBorder="1" applyAlignment="1">
      <alignment vertical="center" wrapText="1"/>
    </xf>
    <xf numFmtId="3" fontId="3" fillId="2" borderId="0" xfId="5" applyNumberFormat="1" applyFont="1" applyFill="1"/>
    <xf numFmtId="43" fontId="3" fillId="2" borderId="0" xfId="1" applyFont="1" applyFill="1"/>
    <xf numFmtId="0" fontId="12" fillId="2" borderId="0" xfId="0" applyFont="1" applyFill="1" applyAlignment="1">
      <alignment horizontal="center" vertical="center"/>
    </xf>
    <xf numFmtId="0" fontId="4" fillId="2" borderId="0" xfId="5" applyFont="1" applyFill="1" applyAlignment="1">
      <alignment horizontal="center" vertical="center"/>
    </xf>
    <xf numFmtId="0" fontId="8" fillId="2" borderId="2" xfId="5" applyFont="1" applyFill="1" applyBorder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C7F2F1"/>
      <color rgb="FF33CCCC"/>
      <color rgb="FF249390"/>
      <color rgb="FF196563"/>
      <color rgb="FFEAFAFA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</a:rPr>
              <a:t>Figure 12.6: Percentage share of water consumption in </a:t>
            </a:r>
            <a:r>
              <a:rPr lang="en-US" sz="1200" b="1" i="0" baseline="0">
                <a:effectLst/>
              </a:rPr>
              <a:t>Villimale', 2023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249390"/>
            </a:solidFill>
          </c:spPr>
          <c:dPt>
            <c:idx val="0"/>
            <c:bubble3D val="0"/>
            <c:spPr>
              <a:solidFill>
                <a:srgbClr val="24939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55-44B6-A2F6-AA2D43226170}"/>
              </c:ext>
            </c:extLst>
          </c:dPt>
          <c:dPt>
            <c:idx val="1"/>
            <c:bubble3D val="0"/>
            <c:spPr>
              <a:solidFill>
                <a:srgbClr val="C7F2F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55-44B6-A2F6-AA2D43226170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55-44B6-A2F6-AA2D43226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'12.7'!$A$10:$A$12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'12.7'!$Q$10:$Q$12</c:f>
              <c:numCache>
                <c:formatCode>#,##0</c:formatCode>
                <c:ptCount val="3"/>
                <c:pt idx="0">
                  <c:v>78.326312413446146</c:v>
                </c:pt>
                <c:pt idx="1">
                  <c:v>9.4880898937257285</c:v>
                </c:pt>
                <c:pt idx="2">
                  <c:v>12.185597692828129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55-44B6-A2F6-AA2D43226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1562099</xdr:colOff>
      <xdr:row>18</xdr:row>
      <xdr:rowOff>31749</xdr:rowOff>
    </xdr:from>
    <xdr:to>
      <xdr:col>14</xdr:col>
      <xdr:colOff>235565</xdr:colOff>
      <xdr:row>39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18"/>
  <sheetViews>
    <sheetView tabSelected="1" zoomScale="84" zoomScaleNormal="84" zoomScaleSheetLayoutView="93" workbookViewId="0">
      <selection activeCell="Q25" sqref="Q25"/>
    </sheetView>
  </sheetViews>
  <sheetFormatPr defaultColWidth="9.140625" defaultRowHeight="12.75"/>
  <cols>
    <col min="1" max="1" width="24.5703125" style="3" customWidth="1"/>
    <col min="2" max="3" width="9.140625" style="3" hidden="1" customWidth="1"/>
    <col min="4" max="17" width="9.140625" style="3"/>
    <col min="18" max="18" width="32" style="3" customWidth="1"/>
    <col min="19" max="19" width="2.28515625" style="3" customWidth="1"/>
    <col min="20" max="20" width="11" style="3" bestFit="1" customWidth="1"/>
    <col min="21" max="21" width="9.28515625" style="3" bestFit="1" customWidth="1"/>
    <col min="22" max="16384" width="9.140625" style="3"/>
  </cols>
  <sheetData>
    <row r="1" spans="1:28" ht="19.5">
      <c r="A1" s="39" t="s">
        <v>16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13"/>
      <c r="T1" s="13"/>
      <c r="U1" s="13"/>
      <c r="V1" s="13"/>
      <c r="W1" s="13"/>
    </row>
    <row r="2" spans="1:28" ht="15">
      <c r="A2" s="40" t="s">
        <v>17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28" s="2" customFormat="1" ht="16.5" customHeight="1">
      <c r="B3" s="18"/>
      <c r="C3" s="18"/>
      <c r="D3" s="41" t="s">
        <v>0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11"/>
      <c r="R3" s="36"/>
      <c r="S3" s="1"/>
      <c r="T3" s="9"/>
      <c r="U3" s="9"/>
      <c r="V3" s="9"/>
      <c r="W3" s="9"/>
      <c r="X3" s="9"/>
      <c r="Y3" s="9"/>
      <c r="Z3" s="9"/>
      <c r="AA3" s="9"/>
      <c r="AB3" s="10"/>
    </row>
    <row r="4" spans="1:28" ht="15.75">
      <c r="A4" s="19" t="s">
        <v>1</v>
      </c>
      <c r="B4" s="20">
        <v>2008</v>
      </c>
      <c r="C4" s="5">
        <v>2009</v>
      </c>
      <c r="D4" s="5">
        <v>2010</v>
      </c>
      <c r="E4" s="5">
        <v>2011</v>
      </c>
      <c r="F4" s="5">
        <v>2012</v>
      </c>
      <c r="G4" s="5">
        <v>2013</v>
      </c>
      <c r="H4" s="5">
        <v>2014</v>
      </c>
      <c r="I4" s="5">
        <v>2015</v>
      </c>
      <c r="J4" s="5">
        <v>2016</v>
      </c>
      <c r="K4" s="5">
        <v>2017</v>
      </c>
      <c r="L4" s="5">
        <v>2018</v>
      </c>
      <c r="M4" s="5">
        <v>2019</v>
      </c>
      <c r="N4" s="5">
        <v>2020</v>
      </c>
      <c r="O4" s="5">
        <v>2021</v>
      </c>
      <c r="P4" s="5">
        <v>2022</v>
      </c>
      <c r="Q4" s="5">
        <v>2023</v>
      </c>
      <c r="R4" s="6" t="s">
        <v>2</v>
      </c>
    </row>
    <row r="5" spans="1:28" ht="15.75">
      <c r="A5" s="21" t="s">
        <v>3</v>
      </c>
      <c r="B5" s="22">
        <f t="shared" ref="B5:Q5" si="0">SUM(B6:B8)</f>
        <v>106.88800000000001</v>
      </c>
      <c r="C5" s="22">
        <f t="shared" si="0"/>
        <v>124.364</v>
      </c>
      <c r="D5" s="22">
        <f t="shared" si="0"/>
        <v>128.46899999999999</v>
      </c>
      <c r="E5" s="22">
        <f t="shared" si="0"/>
        <v>141.505</v>
      </c>
      <c r="F5" s="22">
        <f t="shared" si="0"/>
        <v>172.8</v>
      </c>
      <c r="G5" s="23">
        <f t="shared" si="0"/>
        <v>191.95517000000001</v>
      </c>
      <c r="H5" s="23">
        <f t="shared" si="0"/>
        <v>191.79549</v>
      </c>
      <c r="I5" s="23">
        <f t="shared" si="0"/>
        <v>207.66131999999999</v>
      </c>
      <c r="J5" s="23">
        <f t="shared" si="0"/>
        <v>232.48755999999997</v>
      </c>
      <c r="K5" s="23">
        <f t="shared" si="0"/>
        <v>249.613</v>
      </c>
      <c r="L5" s="23">
        <f t="shared" si="0"/>
        <v>259.83600000000001</v>
      </c>
      <c r="M5" s="23">
        <f t="shared" si="0"/>
        <v>272.19952000000001</v>
      </c>
      <c r="N5" s="23">
        <f t="shared" si="0"/>
        <v>278.79802000000001</v>
      </c>
      <c r="O5" s="23">
        <f t="shared" si="0"/>
        <v>273.11684000000002</v>
      </c>
      <c r="P5" s="23">
        <f t="shared" si="0"/>
        <v>254.17609000000002</v>
      </c>
      <c r="Q5" s="23">
        <f t="shared" si="0"/>
        <v>283.60955999999999</v>
      </c>
      <c r="R5" s="7" t="s">
        <v>4</v>
      </c>
    </row>
    <row r="6" spans="1:28" ht="15.75">
      <c r="A6" s="8" t="s">
        <v>5</v>
      </c>
      <c r="B6" s="24">
        <v>80.188000000000002</v>
      </c>
      <c r="C6" s="24">
        <v>96.51</v>
      </c>
      <c r="D6" s="24">
        <f>103588/1000</f>
        <v>103.58799999999999</v>
      </c>
      <c r="E6" s="24">
        <v>120.59399999999999</v>
      </c>
      <c r="F6" s="24">
        <v>147</v>
      </c>
      <c r="G6" s="24">
        <v>158.7182</v>
      </c>
      <c r="H6" s="24">
        <v>162.911</v>
      </c>
      <c r="I6" s="24">
        <v>175.81640999999999</v>
      </c>
      <c r="J6" s="24">
        <v>191.31120999999999</v>
      </c>
      <c r="K6" s="24">
        <v>202.28</v>
      </c>
      <c r="L6" s="24">
        <v>207.833</v>
      </c>
      <c r="M6" s="34">
        <v>214.04016999999999</v>
      </c>
      <c r="N6" s="34">
        <v>227.43129999999999</v>
      </c>
      <c r="O6" s="34">
        <v>223.64519999999999</v>
      </c>
      <c r="P6" s="34">
        <v>205.43807000000001</v>
      </c>
      <c r="Q6" s="34">
        <v>222.14090999999996</v>
      </c>
      <c r="R6" s="14" t="s">
        <v>6</v>
      </c>
      <c r="T6" s="38"/>
      <c r="U6" s="38"/>
    </row>
    <row r="7" spans="1:28" ht="15.75">
      <c r="A7" s="8" t="s">
        <v>7</v>
      </c>
      <c r="B7" s="24">
        <v>20.242000000000001</v>
      </c>
      <c r="C7" s="24">
        <v>20.561</v>
      </c>
      <c r="D7" s="24">
        <f>18390/1000</f>
        <v>18.39</v>
      </c>
      <c r="E7" s="24">
        <v>14.449</v>
      </c>
      <c r="F7" s="24">
        <v>19</v>
      </c>
      <c r="G7" s="24">
        <v>23.31082</v>
      </c>
      <c r="H7" s="24">
        <v>16.90738</v>
      </c>
      <c r="I7" s="24">
        <v>18.244800000000001</v>
      </c>
      <c r="J7" s="24">
        <v>23.895499999999998</v>
      </c>
      <c r="K7" s="24">
        <v>27.135999999999999</v>
      </c>
      <c r="L7" s="24">
        <v>27.835000000000001</v>
      </c>
      <c r="M7" s="34">
        <v>35.595269999999999</v>
      </c>
      <c r="N7" s="34">
        <v>31.042159999999999</v>
      </c>
      <c r="O7" s="34">
        <v>28.88776</v>
      </c>
      <c r="P7" s="34">
        <v>26.82816</v>
      </c>
      <c r="Q7" s="34">
        <v>26.909130000000001</v>
      </c>
      <c r="R7" s="14" t="s">
        <v>8</v>
      </c>
      <c r="T7" s="38"/>
      <c r="U7" s="38"/>
    </row>
    <row r="8" spans="1:28" ht="15.75">
      <c r="A8" s="25" t="s">
        <v>9</v>
      </c>
      <c r="B8" s="26">
        <v>6.4580000000000002</v>
      </c>
      <c r="C8" s="26">
        <v>7.2930000000000001</v>
      </c>
      <c r="D8" s="26">
        <f>6491/1000</f>
        <v>6.4909999999999997</v>
      </c>
      <c r="E8" s="26">
        <v>6.4619999999999997</v>
      </c>
      <c r="F8" s="26">
        <v>6.8</v>
      </c>
      <c r="G8" s="26">
        <v>9.9261499999999998</v>
      </c>
      <c r="H8" s="26">
        <v>11.97711</v>
      </c>
      <c r="I8" s="26">
        <v>13.600110000000001</v>
      </c>
      <c r="J8" s="26">
        <v>17.280850000000001</v>
      </c>
      <c r="K8" s="26">
        <v>20.196999999999999</v>
      </c>
      <c r="L8" s="26">
        <v>24.167999999999999</v>
      </c>
      <c r="M8" s="35">
        <v>22.564080000000001</v>
      </c>
      <c r="N8" s="35">
        <v>20.324560000000002</v>
      </c>
      <c r="O8" s="35">
        <v>20.583880000000001</v>
      </c>
      <c r="P8" s="35">
        <v>21.909859999999998</v>
      </c>
      <c r="Q8" s="35">
        <v>34.559520000000006</v>
      </c>
      <c r="R8" s="15" t="s">
        <v>10</v>
      </c>
      <c r="T8" s="38"/>
      <c r="U8" s="38"/>
    </row>
    <row r="9" spans="1:28" ht="15.75">
      <c r="A9" s="12" t="s">
        <v>11</v>
      </c>
      <c r="B9" s="23">
        <f t="shared" ref="B9:I9" si="1">SUM(B10:B12)</f>
        <v>100</v>
      </c>
      <c r="C9" s="23">
        <f t="shared" si="1"/>
        <v>100</v>
      </c>
      <c r="D9" s="23">
        <f t="shared" si="1"/>
        <v>99.999999999999986</v>
      </c>
      <c r="E9" s="23">
        <f t="shared" si="1"/>
        <v>100</v>
      </c>
      <c r="F9" s="23">
        <f t="shared" si="1"/>
        <v>100</v>
      </c>
      <c r="G9" s="23">
        <f t="shared" si="1"/>
        <v>99.999999999999986</v>
      </c>
      <c r="H9" s="23">
        <f t="shared" si="1"/>
        <v>100</v>
      </c>
      <c r="I9" s="23">
        <f t="shared" si="1"/>
        <v>100</v>
      </c>
      <c r="J9" s="23">
        <f t="shared" ref="J9:P9" si="2">SUM(J10:J12)</f>
        <v>100.00000000000001</v>
      </c>
      <c r="K9" s="23">
        <f t="shared" si="2"/>
        <v>100</v>
      </c>
      <c r="L9" s="23">
        <f t="shared" si="2"/>
        <v>100</v>
      </c>
      <c r="M9" s="23">
        <f t="shared" si="2"/>
        <v>99.999999999999986</v>
      </c>
      <c r="N9" s="23">
        <f t="shared" si="2"/>
        <v>100</v>
      </c>
      <c r="O9" s="23">
        <f t="shared" si="2"/>
        <v>99.999999999999986</v>
      </c>
      <c r="P9" s="23">
        <f t="shared" si="2"/>
        <v>100</v>
      </c>
      <c r="Q9" s="23">
        <f t="shared" ref="Q9" si="3">SUM(Q10:Q12)</f>
        <v>100</v>
      </c>
      <c r="R9" s="7" t="s">
        <v>12</v>
      </c>
    </row>
    <row r="10" spans="1:28" ht="15.75">
      <c r="A10" s="8" t="s">
        <v>5</v>
      </c>
      <c r="B10" s="24">
        <f t="shared" ref="B10:Q10" si="4">B6/B5*100</f>
        <v>75.020582291744631</v>
      </c>
      <c r="C10" s="24">
        <f t="shared" si="4"/>
        <v>77.602843266540162</v>
      </c>
      <c r="D10" s="24">
        <f t="shared" si="4"/>
        <v>80.632681814289825</v>
      </c>
      <c r="E10" s="24">
        <f t="shared" si="4"/>
        <v>85.22243030281615</v>
      </c>
      <c r="F10" s="24">
        <f t="shared" si="4"/>
        <v>85.069444444444443</v>
      </c>
      <c r="G10" s="24">
        <f t="shared" si="4"/>
        <v>82.685035261097667</v>
      </c>
      <c r="H10" s="24">
        <f t="shared" si="4"/>
        <v>84.939953489000189</v>
      </c>
      <c r="I10" s="24">
        <f t="shared" si="4"/>
        <v>84.664977570209032</v>
      </c>
      <c r="J10" s="24">
        <f t="shared" si="4"/>
        <v>82.288794290756897</v>
      </c>
      <c r="K10" s="24">
        <f t="shared" si="4"/>
        <v>81.037445966355918</v>
      </c>
      <c r="L10" s="24">
        <f t="shared" si="4"/>
        <v>79.986222078541843</v>
      </c>
      <c r="M10" s="24">
        <f t="shared" si="4"/>
        <v>78.63355894235228</v>
      </c>
      <c r="N10" s="24">
        <f t="shared" si="4"/>
        <v>81.575651075283815</v>
      </c>
      <c r="O10" s="24">
        <f t="shared" si="4"/>
        <v>81.886272556463368</v>
      </c>
      <c r="P10" s="24">
        <f t="shared" si="4"/>
        <v>80.825096491176652</v>
      </c>
      <c r="Q10" s="24">
        <f t="shared" si="4"/>
        <v>78.326312413446146</v>
      </c>
      <c r="R10" s="14" t="s">
        <v>6</v>
      </c>
      <c r="V10" s="37"/>
    </row>
    <row r="11" spans="1:28" ht="15.75">
      <c r="A11" s="8" t="s">
        <v>7</v>
      </c>
      <c r="B11" s="24">
        <f t="shared" ref="B11:Q11" si="5">B7/B5*100</f>
        <v>18.937579522490832</v>
      </c>
      <c r="C11" s="24">
        <f t="shared" si="5"/>
        <v>16.532919494387443</v>
      </c>
      <c r="D11" s="24">
        <f t="shared" si="5"/>
        <v>14.31473740746795</v>
      </c>
      <c r="E11" s="24">
        <f t="shared" si="5"/>
        <v>10.210946609660436</v>
      </c>
      <c r="F11" s="24">
        <f t="shared" si="5"/>
        <v>10.995370370370368</v>
      </c>
      <c r="G11" s="24">
        <f t="shared" si="5"/>
        <v>12.143887554578498</v>
      </c>
      <c r="H11" s="24">
        <f t="shared" si="5"/>
        <v>8.8153167730899185</v>
      </c>
      <c r="I11" s="24">
        <f t="shared" si="5"/>
        <v>8.7858441812851815</v>
      </c>
      <c r="J11" s="24">
        <f t="shared" si="5"/>
        <v>10.278184346723757</v>
      </c>
      <c r="K11" s="24">
        <f t="shared" si="5"/>
        <v>10.871228661968727</v>
      </c>
      <c r="L11" s="24">
        <f t="shared" si="5"/>
        <v>10.712526362782677</v>
      </c>
      <c r="M11" s="24">
        <f t="shared" si="5"/>
        <v>13.076904029808723</v>
      </c>
      <c r="N11" s="24">
        <f t="shared" si="5"/>
        <v>11.134282804447462</v>
      </c>
      <c r="O11" s="24">
        <f t="shared" si="5"/>
        <v>10.577070238510375</v>
      </c>
      <c r="P11" s="24">
        <f t="shared" si="5"/>
        <v>10.554950310235711</v>
      </c>
      <c r="Q11" s="24">
        <f t="shared" si="5"/>
        <v>9.4880898937257285</v>
      </c>
      <c r="R11" s="14" t="s">
        <v>8</v>
      </c>
    </row>
    <row r="12" spans="1:28" ht="15.75">
      <c r="A12" s="25" t="s">
        <v>9</v>
      </c>
      <c r="B12" s="26">
        <f t="shared" ref="B12:Q12" si="6">B8/B5*100</f>
        <v>6.0418381857645382</v>
      </c>
      <c r="C12" s="26">
        <f t="shared" si="6"/>
        <v>5.8642372390724002</v>
      </c>
      <c r="D12" s="26">
        <f t="shared" si="6"/>
        <v>5.0525807782422216</v>
      </c>
      <c r="E12" s="26">
        <f t="shared" si="6"/>
        <v>4.5666230875234088</v>
      </c>
      <c r="F12" s="26">
        <f t="shared" si="6"/>
        <v>3.9351851851851847</v>
      </c>
      <c r="G12" s="26">
        <f t="shared" si="6"/>
        <v>5.1710771843238179</v>
      </c>
      <c r="H12" s="26">
        <f t="shared" si="6"/>
        <v>6.2447297379098954</v>
      </c>
      <c r="I12" s="26">
        <f t="shared" si="6"/>
        <v>6.5491782485057897</v>
      </c>
      <c r="J12" s="26">
        <f t="shared" si="6"/>
        <v>7.433021362519356</v>
      </c>
      <c r="K12" s="26">
        <f t="shared" si="6"/>
        <v>8.091325371675353</v>
      </c>
      <c r="L12" s="26">
        <f t="shared" si="6"/>
        <v>9.3012515586754709</v>
      </c>
      <c r="M12" s="26">
        <f t="shared" si="6"/>
        <v>8.2895370278389908</v>
      </c>
      <c r="N12" s="26">
        <f t="shared" si="6"/>
        <v>7.2900661202687163</v>
      </c>
      <c r="O12" s="26">
        <f t="shared" si="6"/>
        <v>7.5366572050262439</v>
      </c>
      <c r="P12" s="26">
        <f t="shared" si="6"/>
        <v>8.6199531985876394</v>
      </c>
      <c r="Q12" s="26">
        <f t="shared" si="6"/>
        <v>12.185597692828129</v>
      </c>
      <c r="R12" s="15" t="s">
        <v>10</v>
      </c>
    </row>
    <row r="13" spans="1:28" ht="15.75">
      <c r="A13" s="21" t="s">
        <v>13</v>
      </c>
      <c r="B13" s="22" t="e">
        <f>(B5-#REF!)/#REF!*100</f>
        <v>#REF!</v>
      </c>
      <c r="C13" s="22">
        <f t="shared" ref="C13:Q16" si="7">(C5-B5)/B5*100</f>
        <v>16.349824114961454</v>
      </c>
      <c r="D13" s="22">
        <f t="shared" si="7"/>
        <v>3.3007944421215059</v>
      </c>
      <c r="E13" s="22">
        <f t="shared" si="7"/>
        <v>10.147195043162165</v>
      </c>
      <c r="F13" s="27">
        <f t="shared" si="7"/>
        <v>22.115826295890617</v>
      </c>
      <c r="G13" s="27">
        <f t="shared" si="7"/>
        <v>11.085167824074073</v>
      </c>
      <c r="H13" s="27">
        <f t="shared" si="7"/>
        <v>-8.3186089752106535E-2</v>
      </c>
      <c r="I13" s="27">
        <f t="shared" si="7"/>
        <v>8.2722643791050494</v>
      </c>
      <c r="J13" s="27">
        <f t="shared" ref="J13:Q13" si="8">(J5-I5)/I5*100</f>
        <v>11.955158524466658</v>
      </c>
      <c r="K13" s="27">
        <f t="shared" si="8"/>
        <v>7.3661747751148612</v>
      </c>
      <c r="L13" s="27">
        <f t="shared" si="8"/>
        <v>4.0955398957586393</v>
      </c>
      <c r="M13" s="27">
        <f t="shared" si="8"/>
        <v>4.7582013269908687</v>
      </c>
      <c r="N13" s="27">
        <f t="shared" si="8"/>
        <v>2.4241409389700617</v>
      </c>
      <c r="O13" s="27">
        <f t="shared" si="8"/>
        <v>-2.0377404401939381</v>
      </c>
      <c r="P13" s="27">
        <f t="shared" si="8"/>
        <v>-6.935035569392209</v>
      </c>
      <c r="Q13" s="27">
        <f t="shared" si="8"/>
        <v>11.579952307866554</v>
      </c>
      <c r="R13" s="7" t="s">
        <v>14</v>
      </c>
    </row>
    <row r="14" spans="1:28" ht="15.75">
      <c r="A14" s="8" t="s">
        <v>5</v>
      </c>
      <c r="B14" s="24" t="e">
        <f>(B6-#REF!)/#REF!*100</f>
        <v>#REF!</v>
      </c>
      <c r="C14" s="24">
        <f>(C6-B6)/B6*100</f>
        <v>20.354666533645936</v>
      </c>
      <c r="D14" s="24">
        <f t="shared" si="7"/>
        <v>7.3339550305667691</v>
      </c>
      <c r="E14" s="24">
        <f t="shared" si="7"/>
        <v>16.416959493377611</v>
      </c>
      <c r="F14" s="28">
        <f t="shared" si="7"/>
        <v>21.896611771729944</v>
      </c>
      <c r="G14" s="28">
        <f t="shared" si="7"/>
        <v>7.9715646258503376</v>
      </c>
      <c r="H14" s="28">
        <f t="shared" si="7"/>
        <v>2.641663022892148</v>
      </c>
      <c r="I14" s="28">
        <f t="shared" si="7"/>
        <v>7.9217548231856592</v>
      </c>
      <c r="J14" s="28">
        <f t="shared" si="7"/>
        <v>8.813056756192438</v>
      </c>
      <c r="K14" s="28">
        <f t="shared" si="7"/>
        <v>5.7334800192837694</v>
      </c>
      <c r="L14" s="28">
        <f t="shared" si="7"/>
        <v>2.7452046667984957</v>
      </c>
      <c r="M14" s="28">
        <f t="shared" si="7"/>
        <v>2.986614252789495</v>
      </c>
      <c r="N14" s="28">
        <f t="shared" si="7"/>
        <v>6.2563629995248116</v>
      </c>
      <c r="O14" s="28">
        <f t="shared" si="7"/>
        <v>-1.664722489824402</v>
      </c>
      <c r="P14" s="28">
        <f t="shared" si="7"/>
        <v>-8.1410779216365832</v>
      </c>
      <c r="Q14" s="28">
        <f t="shared" si="7"/>
        <v>8.130352860110083</v>
      </c>
      <c r="R14" s="14" t="s">
        <v>6</v>
      </c>
    </row>
    <row r="15" spans="1:28" ht="15.75">
      <c r="A15" s="8" t="s">
        <v>7</v>
      </c>
      <c r="B15" s="24" t="e">
        <f>(B7-#REF!)/#REF!*100</f>
        <v>#REF!</v>
      </c>
      <c r="C15" s="24">
        <f>(C7-B7)/B7*100</f>
        <v>1.5759312320916861</v>
      </c>
      <c r="D15" s="29">
        <f t="shared" si="7"/>
        <v>-10.558824959875489</v>
      </c>
      <c r="E15" s="29">
        <f t="shared" si="7"/>
        <v>-21.43012506797173</v>
      </c>
      <c r="F15" s="29">
        <f t="shared" si="7"/>
        <v>31.496989411031905</v>
      </c>
      <c r="G15" s="29">
        <f t="shared" si="7"/>
        <v>22.688526315789474</v>
      </c>
      <c r="H15" s="29">
        <f t="shared" si="7"/>
        <v>-27.469818736535224</v>
      </c>
      <c r="I15" s="29">
        <f t="shared" si="7"/>
        <v>7.9102735018672421</v>
      </c>
      <c r="J15" s="29">
        <f t="shared" si="7"/>
        <v>30.971564500570004</v>
      </c>
      <c r="K15" s="29">
        <f t="shared" si="7"/>
        <v>13.561130756837066</v>
      </c>
      <c r="L15" s="29">
        <f t="shared" si="7"/>
        <v>2.5759139150943455</v>
      </c>
      <c r="M15" s="29">
        <f t="shared" si="7"/>
        <v>27.879540147296559</v>
      </c>
      <c r="N15" s="29">
        <f t="shared" si="7"/>
        <v>-12.791334354255495</v>
      </c>
      <c r="O15" s="29">
        <f t="shared" si="7"/>
        <v>-6.9402386947300023</v>
      </c>
      <c r="P15" s="29">
        <f t="shared" si="7"/>
        <v>-7.1296632206858526</v>
      </c>
      <c r="Q15" s="29">
        <f t="shared" si="7"/>
        <v>0.30180974021327084</v>
      </c>
      <c r="R15" s="14" t="s">
        <v>8</v>
      </c>
    </row>
    <row r="16" spans="1:28" ht="15.75">
      <c r="A16" s="30" t="s">
        <v>9</v>
      </c>
      <c r="B16" s="31" t="e">
        <f>(B8-#REF!)/#REF!*100</f>
        <v>#REF!</v>
      </c>
      <c r="C16" s="32">
        <f>(C8-B8)/B8*100</f>
        <v>12.929699597398574</v>
      </c>
      <c r="D16" s="32">
        <f t="shared" si="7"/>
        <v>-10.996846290963944</v>
      </c>
      <c r="E16" s="32">
        <f t="shared" si="7"/>
        <v>-0.44677245416730726</v>
      </c>
      <c r="F16" s="32">
        <f t="shared" si="7"/>
        <v>5.2305787681832268</v>
      </c>
      <c r="G16" s="32">
        <f t="shared" si="7"/>
        <v>45.972794117647062</v>
      </c>
      <c r="H16" s="32">
        <f t="shared" si="7"/>
        <v>20.662190275182223</v>
      </c>
      <c r="I16" s="32">
        <f t="shared" si="7"/>
        <v>13.550848243023578</v>
      </c>
      <c r="J16" s="32">
        <f t="shared" si="7"/>
        <v>27.064045805511867</v>
      </c>
      <c r="K16" s="32">
        <f t="shared" si="7"/>
        <v>16.875037975562535</v>
      </c>
      <c r="L16" s="32">
        <f t="shared" si="7"/>
        <v>19.661335841956728</v>
      </c>
      <c r="M16" s="32">
        <f t="shared" si="7"/>
        <v>-6.6365441906653375</v>
      </c>
      <c r="N16" s="32">
        <f t="shared" si="7"/>
        <v>-9.9251553797008292</v>
      </c>
      <c r="O16" s="32">
        <f t="shared" si="7"/>
        <v>1.2758947795179765</v>
      </c>
      <c r="P16" s="32">
        <f t="shared" si="7"/>
        <v>6.4418370103206861</v>
      </c>
      <c r="Q16" s="32">
        <f t="shared" si="7"/>
        <v>57.735010629917348</v>
      </c>
      <c r="R16" s="16" t="s">
        <v>10</v>
      </c>
    </row>
    <row r="17" spans="1:18" ht="15">
      <c r="A17" s="4" t="s">
        <v>18</v>
      </c>
      <c r="R17" s="17" t="s">
        <v>15</v>
      </c>
    </row>
    <row r="18" spans="1:18" ht="15.75"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</row>
  </sheetData>
  <mergeCells count="3">
    <mergeCell ref="A1:R1"/>
    <mergeCell ref="A2:R2"/>
    <mergeCell ref="D3:P3"/>
  </mergeCells>
  <pageMargins left="0.7" right="0.7" top="0.75" bottom="0.75" header="0.3" footer="0.3"/>
  <pageSetup paperSize="9" scale="46" orientation="portrait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12.7</vt:lpstr>
      <vt:lpstr>'12.7'!Print_Area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2024-09-24T10:09:54Z</cp:lastPrinted>
  <dcterms:created xsi:type="dcterms:W3CDTF">2019-05-21T05:57:00Z</dcterms:created>
  <dcterms:modified xsi:type="dcterms:W3CDTF">2024-09-24T10:10:01Z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