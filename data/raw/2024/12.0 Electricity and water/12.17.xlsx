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31645AE4-296A-4031-A648-41B5A4A3172C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17" sheetId="39" r:id="rId1"/>
  </sheets>
  <definedNames>
    <definedName name="Male">#REF!</definedName>
    <definedName name="_xlnm.Print_Area" localSheetId="0">'12.17'!$A$1:$D$151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0" i="39" l="1"/>
  <c r="B130" i="39"/>
  <c r="C103" i="39"/>
  <c r="B103" i="39"/>
  <c r="C74" i="39"/>
  <c r="B74" i="39"/>
  <c r="C49" i="39"/>
  <c r="B49" i="39"/>
  <c r="C25" i="39"/>
  <c r="B25" i="39"/>
  <c r="C5" i="39"/>
  <c r="B5" i="39"/>
</calcChain>
</file>

<file path=xl/sharedStrings.xml><?xml version="1.0" encoding="utf-8"?>
<sst xmlns="http://schemas.openxmlformats.org/spreadsheetml/2006/main" count="155" uniqueCount="39">
  <si>
    <t>Total</t>
  </si>
  <si>
    <t>Source:  Maldives Customs Service</t>
  </si>
  <si>
    <t>މައުލޫމާތު ދެއްވި ފަރާތް: މޯލްޑިވްސް ކަސްޓަމްސް ސަރވިސް</t>
  </si>
  <si>
    <t>Country Of Consignment</t>
  </si>
  <si>
    <t>Quantity (Ltr)</t>
  </si>
  <si>
    <t>CIF (MVR)</t>
  </si>
  <si>
    <t>Australia</t>
  </si>
  <si>
    <t>China</t>
  </si>
  <si>
    <t>Fiji</t>
  </si>
  <si>
    <t>France</t>
  </si>
  <si>
    <t>India</t>
  </si>
  <si>
    <t>Italy</t>
  </si>
  <si>
    <t>Korean Republic of</t>
  </si>
  <si>
    <t>Malaysia</t>
  </si>
  <si>
    <t>Singapore</t>
  </si>
  <si>
    <t>Sri Lanka</t>
  </si>
  <si>
    <t>Thailand</t>
  </si>
  <si>
    <t>U.A.E</t>
  </si>
  <si>
    <t>U.K</t>
  </si>
  <si>
    <t>U.S.A</t>
  </si>
  <si>
    <t>Others</t>
  </si>
  <si>
    <t>ތާވަލު 12.19: ރާއްޖޭން ބޭރުން ފުޅީގައި ބަންދުކުރި ފެން އެތެރެކުރެވުނު ޤައުމު، 2022</t>
  </si>
  <si>
    <t>TABLE 12.19: Imports of Mineral waterby Country, 2022</t>
  </si>
  <si>
    <t>ތާވަލު 12.21: ރާއްޖޭން ބޭރުން ފުޅީގައި ބަންދުކުރި ފެން އެތެރެކުރެވުނު ޤައުމު، 2021</t>
  </si>
  <si>
    <t>TABLE 12.21: Imports of Mineral waterby Country, 2021</t>
  </si>
  <si>
    <t>Germany</t>
  </si>
  <si>
    <t>ތާވަލު 12.21: ރާއްޖޭން ބޭރުން ފުޅީގައި ބަންދުކުރި ފެން އެތެރެކުރެވުނު ޤައުމު، 2020</t>
  </si>
  <si>
    <t>TABLE 12.21: Imports of Mineral waterby Country, 2020</t>
  </si>
  <si>
    <t>Belgium</t>
  </si>
  <si>
    <t>Poland</t>
  </si>
  <si>
    <t>-</t>
  </si>
  <si>
    <t>Qatar</t>
  </si>
  <si>
    <t>Switzerland</t>
  </si>
  <si>
    <t>ތާވަލު 12.21: ރާއްޖޭން ބޭރުން ފުޅީގައި ބަންދުކުރި ފެން އެތެރެކުރެވުނު ޤައުމު، 2019</t>
  </si>
  <si>
    <t>TABLE 12.21: Imports of Mineral waterby Country, 2019</t>
  </si>
  <si>
    <t>ތާވަލު 12.21: ރާއްޖޭން ބޭރުން ފުޅީގައި ބަންދުކުރި ފެން އެތެރެކުރެވުނު ޤައުމު، 2018</t>
  </si>
  <si>
    <t>TABLE 12.21: Imports of Mineral waterby Country, 2018</t>
  </si>
  <si>
    <t>TABLE 12.17: Imports of Mineral waterby Country, 2023</t>
  </si>
  <si>
    <t>ތާވަލު 12.17: ރާއްޖޭން ބޭރުން ފުޅީގައި ބަންދުކުރި ފެން އެތެރެކުރެވުނު ޤައުމު،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</si>
</sst>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Calibri"/>
      <charset val="134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name val="Faruma"/>
      <charset val="1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43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  <xf numFmtId="0" fontId="2" fillId="0" borderId="0"/>
  </cellStyleXfs>
  <cellXfs count="1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4" fillId="2" borderId="0" xfId="0" applyFont="1" applyFill="1"/>
    <xf numFmtId="0" fontId="9" fillId="2" borderId="0" xfId="0" applyFont="1" applyFill="1"/>
    <xf numFmtId="0" fontId="4" fillId="2" borderId="0" xfId="0" applyFont="1" applyFill="1" applyAlignment="1">
      <alignment horizontal="left"/>
    </xf>
    <xf numFmtId="43" fontId="4" fillId="2" borderId="0" xfId="1" applyFont="1" applyFill="1" applyBorder="1" applyAlignment="1">
      <alignment horizontal="center"/>
    </xf>
    <xf numFmtId="43" fontId="1" fillId="2" borderId="1" xfId="1" applyFont="1" applyFill="1" applyBorder="1" applyAlignment="1">
      <alignment horizontal="right" vertical="center"/>
    </xf>
    <xf numFmtId="0" fontId="1" fillId="2" borderId="0" xfId="0" applyFont="1" applyFill="1"/>
    <xf numFmtId="43" fontId="4" fillId="2" borderId="0" xfId="1" applyFont="1" applyFill="1" applyBorder="1" applyAlignment="1">
      <alignment horizontal="left"/>
    </xf>
    <xf numFmtId="43" fontId="4" fillId="2" borderId="2" xfId="1" applyFont="1" applyFill="1" applyBorder="1" applyAlignment="1">
      <alignment horizontal="left"/>
    </xf>
    <xf numFmtId="0" fontId="6" fillId="2" borderId="0" xfId="0" applyFont="1" applyFill="1" applyAlignment="1">
      <alignment vertical="center"/>
    </xf>
    <xf numFmtId="37" fontId="1" fillId="2" borderId="0" xfId="1" applyNumberFormat="1" applyFont="1" applyFill="1" applyBorder="1" applyAlignment="1">
      <alignment horizontal="right" vertical="center"/>
    </xf>
    <xf numFmtId="37" fontId="4" fillId="2" borderId="0" xfId="1" applyNumberFormat="1" applyFont="1" applyFill="1" applyBorder="1" applyAlignment="1">
      <alignment horizontal="right"/>
    </xf>
    <xf numFmtId="37" fontId="4" fillId="2" borderId="2" xfId="1" applyNumberFormat="1" applyFont="1" applyFill="1" applyBorder="1" applyAlignment="1">
      <alignment horizontal="right"/>
    </xf>
    <xf numFmtId="0" fontId="3" fillId="2" borderId="0" xfId="5" applyFont="1" applyFill="1" applyAlignment="1">
      <alignment horizontal="center" vertical="center"/>
    </xf>
    <xf numFmtId="0" fontId="5" fillId="2" borderId="0" xfId="0" applyFont="1" applyFill="1" applyAlignment="1">
      <alignment horizontal="center" vertical="top"/>
    </xf>
  </cellXfs>
  <cellStyles count="9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EAFAFA"/>
      <color rgb="FFC7F2F1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6913-BCDC-4DDC-8E7B-1C8EAD1BFA8C}">
  <dimension ref="A1:E154"/>
  <sheetViews>
    <sheetView tabSelected="1" zoomScaleNormal="100" workbookViewId="0">
      <selection activeCell="F8" sqref="F8"/>
    </sheetView>
  </sheetViews>
  <sheetFormatPr defaultColWidth="9.140625" defaultRowHeight="15"/>
  <cols>
    <col min="1" max="1" width="21.85546875" style="1" customWidth="1"/>
    <col min="2" max="3" width="24" style="1" customWidth="1"/>
    <col min="4" max="4" width="9.140625" style="1"/>
    <col min="5" max="5" width="18" style="1" customWidth="1"/>
    <col min="6" max="16384" width="9.140625" style="1"/>
  </cols>
  <sheetData>
    <row r="1" spans="1:3" ht="21">
      <c r="A1" s="15" t="s">
        <v>38</v>
      </c>
      <c r="B1" s="15"/>
      <c r="C1" s="15"/>
    </row>
    <row r="2" spans="1:3" ht="15.75">
      <c r="A2" s="16" t="s">
        <v>37</v>
      </c>
      <c r="B2" s="16"/>
      <c r="C2" s="16"/>
    </row>
    <row r="3" spans="1:3">
      <c r="A3" s="5"/>
      <c r="B3" s="6"/>
      <c r="C3" s="6"/>
    </row>
    <row r="4" spans="1:3" ht="25.5" customHeight="1">
      <c r="A4" s="2" t="s">
        <v>3</v>
      </c>
      <c r="B4" s="7" t="s">
        <v>4</v>
      </c>
      <c r="C4" s="7" t="s">
        <v>5</v>
      </c>
    </row>
    <row r="5" spans="1:3">
      <c r="A5" s="8" t="s">
        <v>0</v>
      </c>
      <c r="B5" s="12">
        <f>SUM(B6:B17)</f>
        <v>1969645.9450000001</v>
      </c>
      <c r="C5" s="12">
        <f>SUM(C6:C17)</f>
        <v>21971284.040000003</v>
      </c>
    </row>
    <row r="6" spans="1:3">
      <c r="A6" s="9" t="s">
        <v>6</v>
      </c>
      <c r="B6" s="13">
        <v>1409.5</v>
      </c>
      <c r="C6" s="13">
        <v>128097.05</v>
      </c>
    </row>
    <row r="7" spans="1:3">
      <c r="A7" s="9" t="s">
        <v>7</v>
      </c>
      <c r="B7" s="13">
        <v>4</v>
      </c>
      <c r="C7" s="13">
        <v>123.04</v>
      </c>
    </row>
    <row r="8" spans="1:3">
      <c r="A8" s="9" t="s">
        <v>8</v>
      </c>
      <c r="B8" s="13">
        <v>69600</v>
      </c>
      <c r="C8" s="13">
        <v>1291262.02</v>
      </c>
    </row>
    <row r="9" spans="1:3">
      <c r="A9" s="9" t="s">
        <v>9</v>
      </c>
      <c r="B9" s="13">
        <v>362041.32</v>
      </c>
      <c r="C9" s="13">
        <v>3697138.0100000002</v>
      </c>
    </row>
    <row r="10" spans="1:3">
      <c r="A10" s="9" t="s">
        <v>10</v>
      </c>
      <c r="B10" s="13">
        <v>188915</v>
      </c>
      <c r="C10" s="13">
        <v>1595463.5300000003</v>
      </c>
    </row>
    <row r="11" spans="1:3">
      <c r="A11" s="9" t="s">
        <v>11</v>
      </c>
      <c r="B11" s="13">
        <v>475760.4</v>
      </c>
      <c r="C11" s="13">
        <v>5843207.8600000003</v>
      </c>
    </row>
    <row r="12" spans="1:3">
      <c r="A12" s="9" t="s">
        <v>13</v>
      </c>
      <c r="B12" s="13">
        <v>2264.4</v>
      </c>
      <c r="C12" s="13">
        <v>5706.82</v>
      </c>
    </row>
    <row r="13" spans="1:3">
      <c r="A13" s="9" t="s">
        <v>14</v>
      </c>
      <c r="B13" s="13">
        <v>7778.76</v>
      </c>
      <c r="C13" s="13">
        <v>157488.16</v>
      </c>
    </row>
    <row r="14" spans="1:3">
      <c r="A14" s="9" t="s">
        <v>15</v>
      </c>
      <c r="B14" s="13">
        <v>539128.26</v>
      </c>
      <c r="C14" s="13">
        <v>3043956.6100000003</v>
      </c>
    </row>
    <row r="15" spans="1:3">
      <c r="A15" s="9" t="s">
        <v>16</v>
      </c>
      <c r="B15" s="13">
        <v>132222.78</v>
      </c>
      <c r="C15" s="13">
        <v>2675374.2800000003</v>
      </c>
    </row>
    <row r="16" spans="1:3">
      <c r="A16" s="9" t="s">
        <v>17</v>
      </c>
      <c r="B16" s="13">
        <v>114540.86499999999</v>
      </c>
      <c r="C16" s="13">
        <v>1981148.42</v>
      </c>
    </row>
    <row r="17" spans="1:4">
      <c r="A17" s="10" t="s">
        <v>20</v>
      </c>
      <c r="B17" s="14">
        <v>75980.660000000018</v>
      </c>
      <c r="C17" s="14">
        <v>1552318.24</v>
      </c>
      <c r="D17" s="3"/>
    </row>
    <row r="18" spans="1:4" ht="18">
      <c r="A18" s="11" t="s">
        <v>1</v>
      </c>
      <c r="B18" s="6"/>
      <c r="C18" s="4" t="s">
        <v>2</v>
      </c>
    </row>
    <row r="19" spans="1:4" ht="18">
      <c r="A19" s="11"/>
      <c r="B19" s="6"/>
      <c r="C19" s="4"/>
    </row>
    <row r="20" spans="1:4" ht="18">
      <c r="A20" s="11"/>
      <c r="B20" s="6"/>
      <c r="C20" s="4"/>
    </row>
    <row r="21" spans="1:4" ht="21">
      <c r="A21" s="15" t="s">
        <v>21</v>
      </c>
      <c r="B21" s="15"/>
      <c r="C21" s="15"/>
    </row>
    <row r="22" spans="1:4" ht="15.75">
      <c r="A22" s="16" t="s">
        <v>22</v>
      </c>
      <c r="B22" s="16"/>
      <c r="C22" s="16"/>
    </row>
    <row r="23" spans="1:4">
      <c r="A23" s="5"/>
      <c r="B23" s="6"/>
      <c r="C23" s="6"/>
    </row>
    <row r="24" spans="1:4" ht="25.5" customHeight="1">
      <c r="A24" s="2" t="s">
        <v>3</v>
      </c>
      <c r="B24" s="7" t="s">
        <v>4</v>
      </c>
      <c r="C24" s="7" t="s">
        <v>5</v>
      </c>
    </row>
    <row r="25" spans="1:4">
      <c r="A25" s="8" t="s">
        <v>0</v>
      </c>
      <c r="B25" s="12">
        <f>SUM(B26:B40)</f>
        <v>1620845.7119999996</v>
      </c>
      <c r="C25" s="12">
        <f>SUM(C26:C40)</f>
        <v>22367554.210000001</v>
      </c>
    </row>
    <row r="26" spans="1:4">
      <c r="A26" s="9" t="s">
        <v>6</v>
      </c>
      <c r="B26" s="13">
        <v>46.5</v>
      </c>
      <c r="C26" s="13">
        <v>1628.29</v>
      </c>
    </row>
    <row r="27" spans="1:4">
      <c r="A27" s="9" t="s">
        <v>7</v>
      </c>
      <c r="B27" s="13">
        <v>20384.5</v>
      </c>
      <c r="C27" s="13">
        <v>22991.809999999998</v>
      </c>
    </row>
    <row r="28" spans="1:4">
      <c r="A28" s="9" t="s">
        <v>8</v>
      </c>
      <c r="B28" s="13">
        <v>103584</v>
      </c>
      <c r="C28" s="13">
        <v>1882622.26</v>
      </c>
    </row>
    <row r="29" spans="1:4">
      <c r="A29" s="9" t="s">
        <v>9</v>
      </c>
      <c r="B29" s="13">
        <v>443507.6</v>
      </c>
      <c r="C29" s="13">
        <v>4246191.16</v>
      </c>
    </row>
    <row r="30" spans="1:4">
      <c r="A30" s="9" t="s">
        <v>10</v>
      </c>
      <c r="B30" s="13">
        <v>26100.720000000001</v>
      </c>
      <c r="C30" s="13">
        <v>354615.1</v>
      </c>
    </row>
    <row r="31" spans="1:4">
      <c r="A31" s="9" t="s">
        <v>11</v>
      </c>
      <c r="B31" s="13">
        <v>497401.5</v>
      </c>
      <c r="C31" s="13">
        <v>5643911.6100000003</v>
      </c>
    </row>
    <row r="32" spans="1:4">
      <c r="A32" s="9" t="s">
        <v>12</v>
      </c>
      <c r="B32" s="13">
        <v>5</v>
      </c>
      <c r="C32" s="13">
        <v>397.42</v>
      </c>
    </row>
    <row r="33" spans="1:4">
      <c r="A33" s="9" t="s">
        <v>13</v>
      </c>
      <c r="B33" s="13">
        <v>30869.4</v>
      </c>
      <c r="C33" s="13">
        <v>388915.83999999997</v>
      </c>
    </row>
    <row r="34" spans="1:4">
      <c r="A34" s="9" t="s">
        <v>14</v>
      </c>
      <c r="B34" s="13">
        <v>7576.5599999999995</v>
      </c>
      <c r="C34" s="13">
        <v>140391.32999999999</v>
      </c>
    </row>
    <row r="35" spans="1:4">
      <c r="A35" s="9" t="s">
        <v>15</v>
      </c>
      <c r="B35" s="13">
        <v>218745.9</v>
      </c>
      <c r="C35" s="13">
        <v>1970318.44</v>
      </c>
    </row>
    <row r="36" spans="1:4">
      <c r="A36" s="9" t="s">
        <v>16</v>
      </c>
      <c r="B36" s="13">
        <v>2269.08</v>
      </c>
      <c r="C36" s="13">
        <v>273097.90000000002</v>
      </c>
    </row>
    <row r="37" spans="1:4">
      <c r="A37" s="9" t="s">
        <v>17</v>
      </c>
      <c r="B37" s="13">
        <v>134923.402</v>
      </c>
      <c r="C37" s="13">
        <v>5044455.7700000005</v>
      </c>
    </row>
    <row r="38" spans="1:4">
      <c r="A38" s="9" t="s">
        <v>18</v>
      </c>
      <c r="B38" s="13">
        <v>59836.74</v>
      </c>
      <c r="C38" s="13">
        <v>1358587.5499999998</v>
      </c>
    </row>
    <row r="39" spans="1:4">
      <c r="A39" s="9" t="s">
        <v>19</v>
      </c>
      <c r="B39" s="13">
        <v>84</v>
      </c>
      <c r="C39" s="13">
        <v>1550.1</v>
      </c>
    </row>
    <row r="40" spans="1:4">
      <c r="A40" s="10" t="s">
        <v>20</v>
      </c>
      <c r="B40" s="14">
        <v>75510.809999999808</v>
      </c>
      <c r="C40" s="14">
        <v>1037879.63</v>
      </c>
      <c r="D40" s="3"/>
    </row>
    <row r="41" spans="1:4" ht="18">
      <c r="A41" s="11" t="s">
        <v>1</v>
      </c>
      <c r="B41" s="6"/>
      <c r="C41" s="4" t="s">
        <v>2</v>
      </c>
    </row>
    <row r="45" spans="1:4" ht="21">
      <c r="A45" s="15" t="s">
        <v>23</v>
      </c>
      <c r="B45" s="15"/>
      <c r="C45" s="15"/>
    </row>
    <row r="46" spans="1:4" ht="15.75">
      <c r="A46" s="16" t="s">
        <v>24</v>
      </c>
      <c r="B46" s="16"/>
      <c r="C46" s="16"/>
    </row>
    <row r="47" spans="1:4">
      <c r="A47" s="5"/>
      <c r="B47" s="6"/>
      <c r="C47" s="6"/>
    </row>
    <row r="48" spans="1:4" ht="25.5" customHeight="1">
      <c r="A48" s="2" t="s">
        <v>3</v>
      </c>
      <c r="B48" s="7" t="s">
        <v>4</v>
      </c>
      <c r="C48" s="7" t="s">
        <v>5</v>
      </c>
    </row>
    <row r="49" spans="1:3">
      <c r="A49" s="8" t="s">
        <v>0</v>
      </c>
      <c r="B49" s="12">
        <f>SUM(B50:B65)</f>
        <v>1182484.2030000002</v>
      </c>
      <c r="C49" s="12">
        <f>SUM(C50:C64)</f>
        <v>20677538.400000013</v>
      </c>
    </row>
    <row r="50" spans="1:3">
      <c r="A50" s="9" t="s">
        <v>6</v>
      </c>
      <c r="B50" s="13">
        <v>1154.2</v>
      </c>
      <c r="C50" s="13">
        <v>138641.48000000001</v>
      </c>
    </row>
    <row r="51" spans="1:3">
      <c r="A51" s="9" t="s">
        <v>7</v>
      </c>
      <c r="B51" s="13">
        <v>90</v>
      </c>
      <c r="C51" s="13">
        <v>4769.62</v>
      </c>
    </row>
    <row r="52" spans="1:3">
      <c r="A52" s="9" t="s">
        <v>8</v>
      </c>
      <c r="B52" s="13">
        <v>69600</v>
      </c>
      <c r="C52" s="13">
        <v>1271198.19</v>
      </c>
    </row>
    <row r="53" spans="1:3">
      <c r="A53" s="9" t="s">
        <v>9</v>
      </c>
      <c r="B53" s="13">
        <v>207456.91999999998</v>
      </c>
      <c r="C53" s="13">
        <v>2212590.5099999998</v>
      </c>
    </row>
    <row r="54" spans="1:3">
      <c r="A54" s="9" t="s">
        <v>25</v>
      </c>
      <c r="B54" s="13">
        <v>3252</v>
      </c>
      <c r="C54" s="13">
        <v>60612.149999999994</v>
      </c>
    </row>
    <row r="55" spans="1:3">
      <c r="A55" s="9" t="s">
        <v>10</v>
      </c>
      <c r="B55" s="13">
        <v>69507.92</v>
      </c>
      <c r="C55" s="13">
        <v>1567314.6099999999</v>
      </c>
    </row>
    <row r="56" spans="1:3">
      <c r="A56" s="9" t="s">
        <v>11</v>
      </c>
      <c r="B56" s="13">
        <v>262329.21000000002</v>
      </c>
      <c r="C56" s="13">
        <v>3489670.79</v>
      </c>
    </row>
    <row r="57" spans="1:3">
      <c r="A57" s="9" t="s">
        <v>12</v>
      </c>
      <c r="B57" s="13">
        <v>5</v>
      </c>
      <c r="C57" s="13">
        <v>397.42</v>
      </c>
    </row>
    <row r="58" spans="1:3">
      <c r="A58" s="9" t="s">
        <v>13</v>
      </c>
      <c r="B58" s="13">
        <v>16060.48</v>
      </c>
      <c r="C58" s="13">
        <v>168997.65</v>
      </c>
    </row>
    <row r="59" spans="1:3">
      <c r="A59" s="9" t="s">
        <v>14</v>
      </c>
      <c r="B59" s="13">
        <v>2738.04</v>
      </c>
      <c r="C59" s="13">
        <v>77437.650000000009</v>
      </c>
    </row>
    <row r="60" spans="1:3">
      <c r="A60" s="9" t="s">
        <v>15</v>
      </c>
      <c r="B60" s="13">
        <v>175090.98</v>
      </c>
      <c r="C60" s="13">
        <v>1517193.99</v>
      </c>
    </row>
    <row r="61" spans="1:3">
      <c r="A61" s="9" t="s">
        <v>16</v>
      </c>
      <c r="B61" s="13">
        <v>75</v>
      </c>
      <c r="C61" s="13">
        <v>1037.23</v>
      </c>
    </row>
    <row r="62" spans="1:3">
      <c r="A62" s="9" t="s">
        <v>17</v>
      </c>
      <c r="B62" s="13">
        <v>261135.905</v>
      </c>
      <c r="C62" s="13">
        <v>8376829.8200000105</v>
      </c>
    </row>
    <row r="63" spans="1:3">
      <c r="A63" s="9" t="s">
        <v>18</v>
      </c>
      <c r="B63" s="13">
        <v>44285.46</v>
      </c>
      <c r="C63" s="13">
        <v>1776227.69</v>
      </c>
    </row>
    <row r="64" spans="1:3">
      <c r="A64" s="9" t="s">
        <v>19</v>
      </c>
      <c r="B64" s="13">
        <v>683.05600000000004</v>
      </c>
      <c r="C64" s="13">
        <v>14619.6</v>
      </c>
    </row>
    <row r="65" spans="1:4">
      <c r="A65" s="10" t="s">
        <v>20</v>
      </c>
      <c r="B65" s="14">
        <v>69020.032000000007</v>
      </c>
      <c r="C65" s="14">
        <v>1595631.4000000001</v>
      </c>
      <c r="D65" s="3"/>
    </row>
    <row r="66" spans="1:4" ht="18">
      <c r="A66" s="11" t="s">
        <v>1</v>
      </c>
      <c r="B66" s="6"/>
      <c r="C66" s="4" t="s">
        <v>2</v>
      </c>
    </row>
    <row r="70" spans="1:4" ht="21">
      <c r="A70" s="15" t="s">
        <v>26</v>
      </c>
      <c r="B70" s="15"/>
      <c r="C70" s="15"/>
    </row>
    <row r="71" spans="1:4" ht="15.75">
      <c r="A71" s="16" t="s">
        <v>27</v>
      </c>
      <c r="B71" s="16"/>
      <c r="C71" s="16"/>
    </row>
    <row r="72" spans="1:4">
      <c r="A72" s="5"/>
      <c r="B72" s="6"/>
      <c r="C72" s="6"/>
    </row>
    <row r="73" spans="1:4" ht="25.5" customHeight="1">
      <c r="A73" s="2" t="s">
        <v>3</v>
      </c>
      <c r="B73" s="7" t="s">
        <v>4</v>
      </c>
      <c r="C73" s="7" t="s">
        <v>5</v>
      </c>
    </row>
    <row r="74" spans="1:4">
      <c r="A74" s="8" t="s">
        <v>0</v>
      </c>
      <c r="B74" s="12">
        <f>SUM(B75:B93)</f>
        <v>878607.46800000011</v>
      </c>
      <c r="C74" s="12">
        <f>SUM(C75:C93)</f>
        <v>9150475.9700000007</v>
      </c>
    </row>
    <row r="75" spans="1:4">
      <c r="A75" s="9" t="s">
        <v>6</v>
      </c>
      <c r="B75" s="13">
        <v>829.48</v>
      </c>
      <c r="C75" s="13">
        <v>66680.969999999987</v>
      </c>
    </row>
    <row r="76" spans="1:4">
      <c r="A76" s="9" t="s">
        <v>28</v>
      </c>
      <c r="B76" s="13">
        <v>7065.63</v>
      </c>
      <c r="C76" s="13">
        <v>140299.56</v>
      </c>
    </row>
    <row r="77" spans="1:4">
      <c r="A77" s="9" t="s">
        <v>7</v>
      </c>
      <c r="B77" s="13">
        <v>1630.6</v>
      </c>
      <c r="C77" s="13">
        <v>13990.43</v>
      </c>
    </row>
    <row r="78" spans="1:4">
      <c r="A78" s="9" t="s">
        <v>8</v>
      </c>
      <c r="B78" s="13">
        <v>16992</v>
      </c>
      <c r="C78" s="13">
        <v>289883.87</v>
      </c>
    </row>
    <row r="79" spans="1:4">
      <c r="A79" s="9" t="s">
        <v>9</v>
      </c>
      <c r="B79" s="13">
        <v>144588.52000000002</v>
      </c>
      <c r="C79" s="13">
        <v>1376943.7100000002</v>
      </c>
    </row>
    <row r="80" spans="1:4">
      <c r="A80" s="9" t="s">
        <v>25</v>
      </c>
      <c r="B80" s="13">
        <v>540</v>
      </c>
      <c r="C80" s="13">
        <v>7582.19</v>
      </c>
    </row>
    <row r="81" spans="1:4">
      <c r="A81" s="9" t="s">
        <v>10</v>
      </c>
      <c r="B81" s="13">
        <v>35833.159999999996</v>
      </c>
      <c r="C81" s="13">
        <v>269863.12</v>
      </c>
    </row>
    <row r="82" spans="1:4">
      <c r="A82" s="9" t="s">
        <v>11</v>
      </c>
      <c r="B82" s="13">
        <v>174811.2</v>
      </c>
      <c r="C82" s="13">
        <v>2237371.0699999998</v>
      </c>
    </row>
    <row r="83" spans="1:4">
      <c r="A83" s="9" t="s">
        <v>12</v>
      </c>
      <c r="B83" s="13">
        <v>1017.3600000000001</v>
      </c>
      <c r="C83" s="13">
        <v>72742.66</v>
      </c>
    </row>
    <row r="84" spans="1:4">
      <c r="A84" s="9" t="s">
        <v>13</v>
      </c>
      <c r="B84" s="13">
        <v>18609.96</v>
      </c>
      <c r="C84" s="13">
        <v>187463.62</v>
      </c>
    </row>
    <row r="85" spans="1:4">
      <c r="A85" s="9" t="s">
        <v>29</v>
      </c>
      <c r="B85" s="13" t="s">
        <v>30</v>
      </c>
      <c r="C85" s="13" t="s">
        <v>30</v>
      </c>
    </row>
    <row r="86" spans="1:4">
      <c r="A86" s="9" t="s">
        <v>31</v>
      </c>
      <c r="B86" s="13" t="s">
        <v>30</v>
      </c>
      <c r="C86" s="13" t="s">
        <v>30</v>
      </c>
    </row>
    <row r="87" spans="1:4">
      <c r="A87" s="9" t="s">
        <v>14</v>
      </c>
      <c r="B87" s="13">
        <v>14907</v>
      </c>
      <c r="C87" s="13">
        <v>180013.65</v>
      </c>
    </row>
    <row r="88" spans="1:4">
      <c r="A88" s="9" t="s">
        <v>15</v>
      </c>
      <c r="B88" s="13">
        <v>346278.2</v>
      </c>
      <c r="C88" s="13">
        <v>2015529.53</v>
      </c>
    </row>
    <row r="89" spans="1:4">
      <c r="A89" s="9" t="s">
        <v>32</v>
      </c>
      <c r="B89" s="13" t="s">
        <v>30</v>
      </c>
      <c r="C89" s="13" t="s">
        <v>30</v>
      </c>
    </row>
    <row r="90" spans="1:4">
      <c r="A90" s="9" t="s">
        <v>16</v>
      </c>
      <c r="B90" s="13">
        <v>26358.05</v>
      </c>
      <c r="C90" s="13">
        <v>88387.72</v>
      </c>
    </row>
    <row r="91" spans="1:4">
      <c r="A91" s="9" t="s">
        <v>17</v>
      </c>
      <c r="B91" s="13">
        <v>54824.438000000002</v>
      </c>
      <c r="C91" s="13">
        <v>873140.05</v>
      </c>
    </row>
    <row r="92" spans="1:4">
      <c r="A92" s="9" t="s">
        <v>18</v>
      </c>
      <c r="B92" s="13">
        <v>262.3</v>
      </c>
      <c r="C92" s="13">
        <v>69155.59</v>
      </c>
    </row>
    <row r="93" spans="1:4">
      <c r="A93" s="9" t="s">
        <v>19</v>
      </c>
      <c r="B93" s="13">
        <v>34059.57</v>
      </c>
      <c r="C93" s="13">
        <v>1261428.23</v>
      </c>
    </row>
    <row r="94" spans="1:4">
      <c r="A94" s="10" t="s">
        <v>20</v>
      </c>
      <c r="B94" s="14">
        <v>63351.900000000023</v>
      </c>
      <c r="C94" s="14">
        <v>975928.53999999911</v>
      </c>
      <c r="D94" s="3"/>
    </row>
    <row r="95" spans="1:4" ht="18">
      <c r="A95" s="11" t="s">
        <v>1</v>
      </c>
      <c r="B95" s="6"/>
      <c r="C95" s="4" t="s">
        <v>2</v>
      </c>
    </row>
    <row r="99" spans="1:3" ht="21">
      <c r="A99" s="15" t="s">
        <v>33</v>
      </c>
      <c r="B99" s="15"/>
      <c r="C99" s="15"/>
    </row>
    <row r="100" spans="1:3" ht="15.75">
      <c r="A100" s="16" t="s">
        <v>34</v>
      </c>
      <c r="B100" s="16"/>
      <c r="C100" s="16"/>
    </row>
    <row r="101" spans="1:3">
      <c r="A101" s="5"/>
      <c r="B101" s="6"/>
      <c r="C101" s="6"/>
    </row>
    <row r="102" spans="1:3" ht="25.5" customHeight="1">
      <c r="A102" s="2" t="s">
        <v>3</v>
      </c>
      <c r="B102" s="7" t="s">
        <v>4</v>
      </c>
      <c r="C102" s="7" t="s">
        <v>5</v>
      </c>
    </row>
    <row r="103" spans="1:3">
      <c r="A103" s="8" t="s">
        <v>0</v>
      </c>
      <c r="B103" s="12">
        <f>SUM(B104:B122)</f>
        <v>1805005.7072000005</v>
      </c>
      <c r="C103" s="12">
        <f>SUM(C104:C122)</f>
        <v>21637382.390000001</v>
      </c>
    </row>
    <row r="104" spans="1:3">
      <c r="A104" s="9" t="s">
        <v>6</v>
      </c>
      <c r="B104" s="13">
        <v>21669.399999999998</v>
      </c>
      <c r="C104" s="13">
        <v>315335.87999999995</v>
      </c>
    </row>
    <row r="105" spans="1:3">
      <c r="A105" s="9" t="s">
        <v>28</v>
      </c>
      <c r="B105" s="13">
        <v>7065.63</v>
      </c>
      <c r="C105" s="13">
        <v>139051.1</v>
      </c>
    </row>
    <row r="106" spans="1:3">
      <c r="A106" s="9" t="s">
        <v>7</v>
      </c>
      <c r="B106" s="13">
        <v>31.65</v>
      </c>
      <c r="C106" s="13">
        <v>4729.2</v>
      </c>
    </row>
    <row r="107" spans="1:3">
      <c r="A107" s="9" t="s">
        <v>8</v>
      </c>
      <c r="B107" s="13">
        <v>71124</v>
      </c>
      <c r="C107" s="13">
        <v>1448938.38</v>
      </c>
    </row>
    <row r="108" spans="1:3">
      <c r="A108" s="9" t="s">
        <v>9</v>
      </c>
      <c r="B108" s="13">
        <v>410475.92000000004</v>
      </c>
      <c r="C108" s="13">
        <v>4136535.8899999997</v>
      </c>
    </row>
    <row r="109" spans="1:3">
      <c r="A109" s="9" t="s">
        <v>25</v>
      </c>
      <c r="B109" s="13">
        <v>11601.51</v>
      </c>
      <c r="C109" s="13">
        <v>150000.54</v>
      </c>
    </row>
    <row r="110" spans="1:3">
      <c r="A110" s="9" t="s">
        <v>10</v>
      </c>
      <c r="B110" s="13">
        <v>51070</v>
      </c>
      <c r="C110" s="13">
        <v>455413.88</v>
      </c>
    </row>
    <row r="111" spans="1:3">
      <c r="A111" s="9" t="s">
        <v>11</v>
      </c>
      <c r="B111" s="13">
        <v>540757.75</v>
      </c>
      <c r="C111" s="13">
        <v>6237817.4099999992</v>
      </c>
    </row>
    <row r="112" spans="1:3">
      <c r="A112" s="9" t="s">
        <v>12</v>
      </c>
      <c r="B112" s="13">
        <v>3886.74</v>
      </c>
      <c r="C112" s="13">
        <v>143451.32999999999</v>
      </c>
    </row>
    <row r="113" spans="1:5">
      <c r="A113" s="9" t="s">
        <v>13</v>
      </c>
      <c r="B113" s="13">
        <v>47790</v>
      </c>
      <c r="C113" s="13">
        <v>181776.24000000002</v>
      </c>
    </row>
    <row r="114" spans="1:5">
      <c r="A114" s="9" t="s">
        <v>29</v>
      </c>
      <c r="B114" s="13">
        <v>33000</v>
      </c>
      <c r="C114" s="13">
        <v>697316.84</v>
      </c>
    </row>
    <row r="115" spans="1:5">
      <c r="A115" s="9" t="s">
        <v>31</v>
      </c>
      <c r="B115" s="13">
        <v>14040</v>
      </c>
      <c r="C115" s="13">
        <v>243551.43000000002</v>
      </c>
    </row>
    <row r="116" spans="1:5">
      <c r="A116" s="9" t="s">
        <v>14</v>
      </c>
      <c r="B116" s="13">
        <v>7400</v>
      </c>
      <c r="C116" s="13">
        <v>169074.43999999997</v>
      </c>
    </row>
    <row r="117" spans="1:5">
      <c r="A117" s="9" t="s">
        <v>15</v>
      </c>
      <c r="B117" s="13">
        <v>198168.30000000002</v>
      </c>
      <c r="C117" s="13">
        <v>1613353.8799999994</v>
      </c>
    </row>
    <row r="118" spans="1:5">
      <c r="A118" s="9" t="s">
        <v>32</v>
      </c>
      <c r="B118" s="13">
        <v>8439.6</v>
      </c>
      <c r="C118" s="13">
        <v>67810.91</v>
      </c>
    </row>
    <row r="119" spans="1:5">
      <c r="A119" s="9" t="s">
        <v>16</v>
      </c>
      <c r="B119" s="13">
        <v>72441.717199999999</v>
      </c>
      <c r="C119" s="13">
        <v>2250177.8699999996</v>
      </c>
    </row>
    <row r="120" spans="1:5">
      <c r="A120" s="9" t="s">
        <v>17</v>
      </c>
      <c r="B120" s="13">
        <v>235236.68</v>
      </c>
      <c r="C120" s="13">
        <v>2529484.8099999996</v>
      </c>
    </row>
    <row r="121" spans="1:5">
      <c r="A121" s="9" t="s">
        <v>18</v>
      </c>
      <c r="B121" s="13">
        <v>2016.3600000000001</v>
      </c>
      <c r="C121" s="13">
        <v>44337.120000000003</v>
      </c>
    </row>
    <row r="122" spans="1:5">
      <c r="A122" s="10" t="s">
        <v>19</v>
      </c>
      <c r="B122" s="14">
        <v>68790.450000000186</v>
      </c>
      <c r="C122" s="14">
        <v>809225.24000000581</v>
      </c>
    </row>
    <row r="123" spans="1:5" ht="18">
      <c r="A123" s="11" t="s">
        <v>1</v>
      </c>
      <c r="B123" s="6"/>
      <c r="C123" s="4" t="s">
        <v>2</v>
      </c>
      <c r="D123" s="3"/>
    </row>
    <row r="124" spans="1:5" ht="18">
      <c r="A124" s="11"/>
      <c r="B124" s="6"/>
      <c r="C124" s="4"/>
      <c r="D124" s="3"/>
    </row>
    <row r="126" spans="1:5" ht="21">
      <c r="A126" s="15" t="s">
        <v>35</v>
      </c>
      <c r="B126" s="15"/>
      <c r="C126" s="15"/>
      <c r="E126" s="9"/>
    </row>
    <row r="127" spans="1:5" ht="15.75">
      <c r="A127" s="16" t="s">
        <v>36</v>
      </c>
      <c r="B127" s="16"/>
      <c r="C127" s="16"/>
      <c r="E127" s="9"/>
    </row>
    <row r="128" spans="1:5">
      <c r="A128" s="5"/>
      <c r="B128" s="6"/>
      <c r="C128" s="6"/>
      <c r="E128" s="9"/>
    </row>
    <row r="129" spans="1:5">
      <c r="A129" s="2" t="s">
        <v>3</v>
      </c>
      <c r="B129" s="7" t="s">
        <v>4</v>
      </c>
      <c r="C129" s="7" t="s">
        <v>5</v>
      </c>
    </row>
    <row r="130" spans="1:5">
      <c r="A130" s="8" t="s">
        <v>0</v>
      </c>
      <c r="B130" s="12">
        <f>SUM(B131:B149)</f>
        <v>1510506.5059090909</v>
      </c>
      <c r="C130" s="12">
        <f>SUM(C131:C149)</f>
        <v>21301877.440000001</v>
      </c>
    </row>
    <row r="131" spans="1:5">
      <c r="A131" s="9" t="s">
        <v>6</v>
      </c>
      <c r="B131" s="13">
        <v>29477.64</v>
      </c>
      <c r="C131" s="13">
        <v>581663.65999999992</v>
      </c>
    </row>
    <row r="132" spans="1:5">
      <c r="A132" s="9" t="s">
        <v>28</v>
      </c>
      <c r="B132" s="13">
        <v>42.1</v>
      </c>
      <c r="C132" s="13">
        <v>583.35</v>
      </c>
    </row>
    <row r="133" spans="1:5" ht="25.5" customHeight="1">
      <c r="A133" s="9" t="s">
        <v>7</v>
      </c>
      <c r="B133" s="13">
        <v>1308</v>
      </c>
      <c r="C133" s="13">
        <v>27494.06</v>
      </c>
    </row>
    <row r="134" spans="1:5">
      <c r="A134" s="9" t="s">
        <v>8</v>
      </c>
      <c r="B134" s="13">
        <v>86592</v>
      </c>
      <c r="C134" s="13">
        <v>1473937.42</v>
      </c>
    </row>
    <row r="135" spans="1:5">
      <c r="A135" s="9" t="s">
        <v>9</v>
      </c>
      <c r="B135" s="13">
        <v>312153.08</v>
      </c>
      <c r="C135" s="13">
        <v>3185742.78</v>
      </c>
      <c r="E135" s="9"/>
    </row>
    <row r="136" spans="1:5">
      <c r="A136" s="9" t="s">
        <v>25</v>
      </c>
      <c r="B136" s="13">
        <v>30400.92</v>
      </c>
      <c r="C136" s="13">
        <v>449262.47</v>
      </c>
      <c r="E136" s="9"/>
    </row>
    <row r="137" spans="1:5">
      <c r="A137" s="9" t="s">
        <v>10</v>
      </c>
      <c r="B137" s="13">
        <v>34690.800000000003</v>
      </c>
      <c r="C137" s="13">
        <v>953024.39</v>
      </c>
      <c r="E137" s="9"/>
    </row>
    <row r="138" spans="1:5">
      <c r="A138" s="9" t="s">
        <v>11</v>
      </c>
      <c r="B138" s="13">
        <v>413037.9</v>
      </c>
      <c r="C138" s="13">
        <v>5038856.45</v>
      </c>
      <c r="E138" s="9"/>
    </row>
    <row r="139" spans="1:5">
      <c r="A139" s="9" t="s">
        <v>12</v>
      </c>
      <c r="B139" s="13">
        <v>15716.64</v>
      </c>
      <c r="C139" s="13">
        <v>149942.49</v>
      </c>
      <c r="E139" s="9"/>
    </row>
    <row r="140" spans="1:5">
      <c r="A140" s="9" t="s">
        <v>13</v>
      </c>
      <c r="B140" s="13">
        <v>63290</v>
      </c>
      <c r="C140" s="13">
        <v>435146.26</v>
      </c>
      <c r="E140" s="9"/>
    </row>
    <row r="141" spans="1:5">
      <c r="A141" s="9" t="s">
        <v>29</v>
      </c>
      <c r="B141" s="13">
        <v>548.92999999999995</v>
      </c>
      <c r="C141" s="13">
        <v>23874.16</v>
      </c>
      <c r="E141" s="9"/>
    </row>
    <row r="142" spans="1:5">
      <c r="A142" s="9" t="s">
        <v>31</v>
      </c>
      <c r="B142" s="13">
        <v>5400</v>
      </c>
      <c r="C142" s="13">
        <v>202297.22</v>
      </c>
      <c r="E142" s="9"/>
    </row>
    <row r="143" spans="1:5">
      <c r="A143" s="9" t="s">
        <v>14</v>
      </c>
      <c r="B143" s="13">
        <v>2212.44</v>
      </c>
      <c r="C143" s="13">
        <v>89870.66</v>
      </c>
      <c r="E143" s="9"/>
    </row>
    <row r="144" spans="1:5">
      <c r="A144" s="9" t="s">
        <v>15</v>
      </c>
      <c r="B144" s="13">
        <v>299738.56</v>
      </c>
      <c r="C144" s="13">
        <v>2079877.55</v>
      </c>
      <c r="E144" s="9"/>
    </row>
    <row r="145" spans="1:5">
      <c r="A145" s="9" t="s">
        <v>32</v>
      </c>
      <c r="B145" s="13">
        <v>3450</v>
      </c>
      <c r="C145" s="13">
        <v>13779.14</v>
      </c>
      <c r="E145" s="9"/>
    </row>
    <row r="146" spans="1:5">
      <c r="A146" s="9" t="s">
        <v>16</v>
      </c>
      <c r="B146" s="13">
        <v>2705.71</v>
      </c>
      <c r="C146" s="13">
        <v>37892.229999999996</v>
      </c>
      <c r="E146" s="9"/>
    </row>
    <row r="147" spans="1:5">
      <c r="A147" s="9" t="s">
        <v>17</v>
      </c>
      <c r="B147" s="13">
        <v>160108.93000000002</v>
      </c>
      <c r="C147" s="13">
        <v>4600547.38</v>
      </c>
      <c r="E147" s="9"/>
    </row>
    <row r="148" spans="1:5">
      <c r="A148" s="9" t="s">
        <v>18</v>
      </c>
      <c r="B148" s="13">
        <v>47002.714999999997</v>
      </c>
      <c r="C148" s="13">
        <v>1901931.88</v>
      </c>
      <c r="E148" s="9"/>
    </row>
    <row r="149" spans="1:5">
      <c r="A149" s="10" t="s">
        <v>19</v>
      </c>
      <c r="B149" s="14">
        <v>2630.1409090909083</v>
      </c>
      <c r="C149" s="14">
        <v>56153.89</v>
      </c>
      <c r="E149" s="9"/>
    </row>
    <row r="150" spans="1:5" ht="18">
      <c r="A150" s="11" t="s">
        <v>1</v>
      </c>
      <c r="B150" s="6"/>
      <c r="C150" s="4" t="s">
        <v>2</v>
      </c>
      <c r="E150" s="9"/>
    </row>
    <row r="151" spans="1:5">
      <c r="E151" s="9"/>
    </row>
    <row r="152" spans="1:5">
      <c r="E152" s="9"/>
    </row>
    <row r="153" spans="1:5">
      <c r="E153" s="9"/>
    </row>
    <row r="154" spans="1:5">
      <c r="E154" s="9"/>
    </row>
  </sheetData>
  <mergeCells count="12">
    <mergeCell ref="A127:C127"/>
    <mergeCell ref="A1:C1"/>
    <mergeCell ref="A2:C2"/>
    <mergeCell ref="A21:C21"/>
    <mergeCell ref="A22:C22"/>
    <mergeCell ref="A45:C45"/>
    <mergeCell ref="A46:C46"/>
    <mergeCell ref="A70:C70"/>
    <mergeCell ref="A71:C71"/>
    <mergeCell ref="A99:C99"/>
    <mergeCell ref="A100:C100"/>
    <mergeCell ref="A126:C126"/>
  </mergeCells>
  <pageMargins left="0.7" right="0.7" top="0.75" bottom="0.75" header="0.3" footer="0.3"/>
  <pageSetup scale="81" orientation="portrait" r:id="rId1"/>
  <rowBreaks count="2" manualBreakCount="2">
    <brk id="41" max="3" man="1"/>
    <brk id="96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12.17</vt:lpstr>
      <vt:lpstr>'12.17'!Print_Area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2024-09-24T10:42:39Z</cp:lastPrinted>
  <dcterms:created xsi:type="dcterms:W3CDTF">2019-05-21T05:57:00Z</dcterms:created>
  <dcterms:modified xsi:type="dcterms:W3CDTF">2024-09-24T10:42:44Z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