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lectricity and Water\"/>
    </mc:Choice>
  </mc:AlternateContent>
  <xr:revisionPtr revIDLastSave="0" documentId="13_ncr:1_{6F0B1A0B-C284-4A87-A91D-97623A421AD8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4" sheetId="36" r:id="rId1"/>
  </sheets>
  <definedNames>
    <definedName name="Male">#REF!</definedName>
    <definedName name="_xlnm.Print_Area" localSheetId="0">'12.4'!$A$1:$P$43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36" l="1"/>
  <c r="B40" i="36"/>
  <c r="B41" i="36" l="1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0" i="36"/>
  <c r="B16" i="36"/>
  <c r="B15" i="36"/>
  <c r="B14" i="36"/>
  <c r="B13" i="36"/>
  <c r="B12" i="36"/>
  <c r="B9" i="36"/>
  <c r="B8" i="36"/>
  <c r="B7" i="36"/>
</calcChain>
</file>

<file path=xl/sharedStrings.xml><?xml version="1.0" encoding="utf-8"?>
<sst xmlns="http://schemas.openxmlformats.org/spreadsheetml/2006/main" count="91" uniqueCount="91">
  <si>
    <t>cnwt</t>
  </si>
  <si>
    <t>Source: State Electric Company Limited</t>
  </si>
  <si>
    <t>cDeTimil Inepcmok ckircTckeliacTETcs :ctWrwf ivcaedutWmUluAwm</t>
  </si>
  <si>
    <t>Locality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</si>
  <si>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</si>
  <si>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</si>
  <si>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</si>
  <si>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</si>
  <si>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</si>
  <si>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</si>
  <si>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</si>
  <si>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</si>
  <si>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</si>
  <si>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</si>
  <si>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</si>
  <si>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</si>
  <si>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</si>
  <si>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</si>
  <si>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K.Vilimale'</t>
  </si>
  <si>
    <t>K.Hulhumale</t>
  </si>
  <si>
    <t>K.Kaashidhoo</t>
  </si>
  <si>
    <t>K.Gaafaru</t>
  </si>
  <si>
    <t>K.Dhiffushi</t>
  </si>
  <si>
    <t>K.Thulusdhoo</t>
  </si>
  <si>
    <t>K.Himmafushi</t>
  </si>
  <si>
    <t>K.Thilafushi</t>
  </si>
  <si>
    <t>K.Gulhifalhu</t>
  </si>
  <si>
    <t>K.Gulhi</t>
  </si>
  <si>
    <t>K.Maafushi</t>
  </si>
  <si>
    <t>K.Guraidhoo</t>
  </si>
  <si>
    <t>AA.Ukulhas</t>
  </si>
  <si>
    <t>AA.Mathiveri</t>
  </si>
  <si>
    <t>AA.Bodufolhudhoo</t>
  </si>
  <si>
    <t>AA.Feridhoo</t>
  </si>
  <si>
    <t>AA.Maalhos</t>
  </si>
  <si>
    <t>AA.Himandhoo</t>
  </si>
  <si>
    <t>AA.Rasdhoo</t>
  </si>
  <si>
    <t>AA.Thoddoo</t>
  </si>
  <si>
    <t>ADh.Omadhoo</t>
  </si>
  <si>
    <t>ADh.Kunburudhoo</t>
  </si>
  <si>
    <t>ADh.Dhigurah</t>
  </si>
  <si>
    <t>ADh.Fenfushi</t>
  </si>
  <si>
    <t>ADh.Hangnameedhoo</t>
  </si>
  <si>
    <t>ADh.Dhihdhoo</t>
  </si>
  <si>
    <t>ADh.Mandhoo</t>
  </si>
  <si>
    <t>ADh.Dhangethi</t>
  </si>
  <si>
    <t>V.Felidhoo</t>
  </si>
  <si>
    <t>V.Fulidhoo</t>
  </si>
  <si>
    <t>V.Thinadhoo</t>
  </si>
  <si>
    <t>V.Keyodhoo</t>
  </si>
  <si>
    <t>V.Rakeedhoo</t>
  </si>
  <si>
    <t>ކ. މާލެ</t>
  </si>
  <si>
    <t>ކ. ވިލިނގިލި</t>
  </si>
  <si>
    <t>ކ. ހުޅުމާލެ</t>
  </si>
  <si>
    <t>ކ. ކާށިދޫ</t>
  </si>
  <si>
    <t>ކ. ގާފަރު</t>
  </si>
  <si>
    <t>ކ. ދިއްފުށި</t>
  </si>
  <si>
    <t>ކ. ތުލުސްދޫ</t>
  </si>
  <si>
    <t>ކ. ހިންމަފުށި</t>
  </si>
  <si>
    <t>ކ. ތިލަފުށި</t>
  </si>
  <si>
    <t>ކ. ގުޅިފަޅު</t>
  </si>
  <si>
    <t>ކ. ގުޅި</t>
  </si>
  <si>
    <t>ކ. މާފުށި</t>
  </si>
  <si>
    <t>ކ. ގުރައިދޫ</t>
  </si>
  <si>
    <t>އއ.އުކުޅަސް</t>
  </si>
  <si>
    <t>އއ.މަތިވެރި</t>
  </si>
  <si>
    <t>އއ.ބޮޑުފުޅަދޫ</t>
  </si>
  <si>
    <t>އއ.ފެރިދޫ</t>
  </si>
  <si>
    <t>އއ.މާޅޮސް</t>
  </si>
  <si>
    <t>އއ.ހިމަންދޫ</t>
  </si>
  <si>
    <t>އއ.ރަސްދޫ</t>
  </si>
  <si>
    <t>އއ.ތޮއްޑޫ</t>
  </si>
  <si>
    <t>އދ.އޮމަދޫ</t>
  </si>
  <si>
    <t>އދ.ކުނބުރުދޫ</t>
  </si>
  <si>
    <t>އދ.ދިގުރަށް</t>
  </si>
  <si>
    <t>އދ.ފެންފުށި</t>
  </si>
  <si>
    <t>Adh.Mahibadhoo</t>
  </si>
  <si>
    <t>އދ.މަހިބަދޫ</t>
  </si>
  <si>
    <t>އދ.ހަންޏާމީދޫ</t>
  </si>
  <si>
    <t>އދ.ދިއްދޫ</t>
  </si>
  <si>
    <t>އދ.މަންދޫ</t>
  </si>
  <si>
    <t>އދ.ދަނގެތި</t>
  </si>
  <si>
    <t>ވ.ފެލިދޫ</t>
  </si>
  <si>
    <t>ވ.ފުލިދޫ</t>
  </si>
  <si>
    <t>ވ.ތިނަދޫ</t>
  </si>
  <si>
    <t>ވ.ކެޔޮދޫ</t>
  </si>
  <si>
    <t>ވ.ރަކީދޫ</t>
  </si>
  <si>
    <t>ތާވަލު 12.4: މާލެއާއި އަތޮޅުތަކުގައި ސަރުކާރުގެ ފަރާތުން ސަރުކާރުގެ ފަރާތުން އެކިމަސްމަހު ކަރަންޓް އުފެއްދުމަށްޓަކާ އަޑީތެޔޮ ބޭނުންކުރެވިފައިވާ މިންވަރު، 2023</t>
  </si>
  <si>
    <t>Table  12.4 :   MONTHLY CONSUMPTION OF LUBRICATION OIL FOR ELECTRICITY GENERATION IN SELECTED LOCALITIES BY PUBLIC SECTOR, 2023</t>
  </si>
  <si>
    <t>(In '000 litres)</t>
  </si>
  <si>
    <t>Greater Male'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</si>
</sst>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18">
    <font>
      <sz val="11"/>
      <color theme="1"/>
      <name val="Calibri"/>
      <charset val="134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A_Faseyha"/>
    </font>
    <font>
      <sz val="9"/>
      <color theme="1"/>
      <name val="A_Faseyha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Faruma"/>
    </font>
    <font>
      <sz val="12"/>
      <color theme="1"/>
      <name val="Arial"/>
      <family val="2"/>
    </font>
    <font>
      <sz val="11"/>
      <color theme="1"/>
      <name val="Faruma"/>
    </font>
    <font>
      <sz val="9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1" fillId="0" borderId="0"/>
    <xf numFmtId="0" fontId="2" fillId="0" borderId="0"/>
  </cellStyleXfs>
  <cellXfs count="41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2" borderId="2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 indent="1"/>
    </xf>
    <xf numFmtId="165" fontId="4" fillId="2" borderId="6" xfId="0" applyNumberFormat="1" applyFont="1" applyFill="1" applyBorder="1" applyAlignment="1">
      <alignment horizontal="right" vertical="center"/>
    </xf>
    <xf numFmtId="0" fontId="15" fillId="2" borderId="6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left" vertical="center" indent="1"/>
    </xf>
    <xf numFmtId="165" fontId="4" fillId="2" borderId="7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14" fillId="2" borderId="6" xfId="5" applyFont="1" applyFill="1" applyBorder="1" applyAlignment="1">
      <alignment vertical="center"/>
    </xf>
    <xf numFmtId="0" fontId="14" fillId="2" borderId="0" xfId="5" applyFont="1" applyFill="1" applyAlignment="1">
      <alignment vertical="center"/>
    </xf>
    <xf numFmtId="0" fontId="14" fillId="2" borderId="4" xfId="5" applyFont="1" applyFill="1" applyBorder="1" applyAlignment="1">
      <alignment vertical="center"/>
    </xf>
    <xf numFmtId="0" fontId="14" fillId="2" borderId="3" xfId="5" applyFont="1" applyFill="1" applyBorder="1" applyAlignment="1">
      <alignment vertical="center"/>
    </xf>
    <xf numFmtId="0" fontId="17" fillId="2" borderId="3" xfId="5" applyFont="1" applyFill="1" applyBorder="1" applyAlignment="1">
      <alignment vertical="center"/>
    </xf>
    <xf numFmtId="0" fontId="1" fillId="2" borderId="2" xfId="5" applyFont="1" applyFill="1" applyBorder="1" applyAlignment="1">
      <alignment vertical="center"/>
    </xf>
    <xf numFmtId="43" fontId="1" fillId="2" borderId="2" xfId="2" applyFont="1" applyFill="1" applyBorder="1" applyAlignment="1" applyProtection="1">
      <alignment horizontal="right" vertical="center"/>
    </xf>
    <xf numFmtId="0" fontId="10" fillId="2" borderId="1" xfId="5" applyFont="1" applyFill="1" applyBorder="1" applyAlignment="1">
      <alignment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/>
    </xf>
    <xf numFmtId="0" fontId="5" fillId="2" borderId="1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 indent="2"/>
    </xf>
    <xf numFmtId="0" fontId="15" fillId="2" borderId="7" xfId="0" applyFont="1" applyFill="1" applyBorder="1" applyAlignment="1">
      <alignment horizontal="right" vertical="center"/>
    </xf>
    <xf numFmtId="43" fontId="1" fillId="2" borderId="10" xfId="2" applyFont="1" applyFill="1" applyBorder="1" applyAlignment="1" applyProtection="1">
      <alignment horizontal="right" vertical="center"/>
    </xf>
    <xf numFmtId="0" fontId="13" fillId="2" borderId="6" xfId="5" applyFont="1" applyFill="1" applyBorder="1" applyAlignment="1">
      <alignment horizontal="center" vertical="center"/>
    </xf>
    <xf numFmtId="0" fontId="13" fillId="2" borderId="8" xfId="5" applyFont="1" applyFill="1" applyBorder="1" applyAlignment="1">
      <alignment horizontal="center" vertical="center"/>
    </xf>
    <xf numFmtId="0" fontId="13" fillId="2" borderId="4" xfId="5" applyFont="1" applyFill="1" applyBorder="1" applyAlignment="1">
      <alignment horizontal="center" vertical="center"/>
    </xf>
    <xf numFmtId="0" fontId="9" fillId="2" borderId="6" xfId="5" applyFont="1" applyFill="1" applyBorder="1" applyAlignment="1">
      <alignment horizontal="center" vertical="center"/>
    </xf>
    <xf numFmtId="0" fontId="9" fillId="2" borderId="8" xfId="5" applyFont="1" applyFill="1" applyBorder="1" applyAlignment="1">
      <alignment horizontal="center" vertical="center"/>
    </xf>
    <xf numFmtId="0" fontId="9" fillId="2" borderId="4" xfId="5" applyFont="1" applyFill="1" applyBorder="1" applyAlignment="1">
      <alignment horizontal="center" vertical="center"/>
    </xf>
    <xf numFmtId="0" fontId="12" fillId="2" borderId="7" xfId="5" applyFont="1" applyFill="1" applyBorder="1" applyAlignment="1">
      <alignment horizontal="center" vertical="center"/>
    </xf>
    <xf numFmtId="0" fontId="12" fillId="2" borderId="9" xfId="5" applyFont="1" applyFill="1" applyBorder="1" applyAlignment="1">
      <alignment horizontal="center" vertical="center"/>
    </xf>
    <xf numFmtId="0" fontId="12" fillId="2" borderId="5" xfId="5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vertical="center"/>
    </xf>
    <xf numFmtId="165" fontId="3" fillId="2" borderId="7" xfId="0" applyNumberFormat="1" applyFont="1" applyFill="1" applyBorder="1" applyAlignment="1">
      <alignment vertical="center"/>
    </xf>
  </cellXfs>
  <cellStyles count="8">
    <cellStyle name="Comma 2" xfId="1" xr:uid="{00000000-0005-0000-0000-000001000000}"/>
    <cellStyle name="Comma 2 2" xfId="2" xr:uid="{00000000-0005-0000-0000-000002000000}"/>
    <cellStyle name="Comma 4" xfId="3" xr:uid="{00000000-0005-0000-0000-000003000000}"/>
    <cellStyle name="Normal" xfId="0" builtinId="0"/>
    <cellStyle name="Normal 2" xfId="4" xr:uid="{00000000-0005-0000-0000-000005000000}"/>
    <cellStyle name="Normal 2 2" xfId="5" xr:uid="{00000000-0005-0000-0000-000006000000}"/>
    <cellStyle name="Normal 4" xfId="6" xr:uid="{00000000-0005-0000-0000-000007000000}"/>
    <cellStyle name="Normal 5" xfId="7" xr:uid="{00000000-0005-0000-0000-000008000000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EAFAFA"/>
      <color rgb="FFC7F2F1"/>
      <color rgb="FFFF9933"/>
      <color rgb="FFFF9900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8627-706A-469C-A26E-984A27DF3631}">
  <sheetPr>
    <tabColor rgb="FF92D050"/>
  </sheetPr>
  <dimension ref="A1:FY42"/>
  <sheetViews>
    <sheetView tabSelected="1" zoomScaleNormal="100" workbookViewId="0">
      <selection activeCell="S7" sqref="S7"/>
    </sheetView>
  </sheetViews>
  <sheetFormatPr defaultColWidth="9.140625" defaultRowHeight="15"/>
  <cols>
    <col min="1" max="1" width="20.140625" style="2" customWidth="1"/>
    <col min="2" max="2" width="8.85546875" style="23" customWidth="1"/>
    <col min="3" max="3" width="8.7109375" style="24" customWidth="1"/>
    <col min="4" max="14" width="8.7109375" style="25" customWidth="1"/>
    <col min="15" max="15" width="16.85546875" style="25" customWidth="1"/>
    <col min="16" max="16" width="2.42578125" style="1" customWidth="1"/>
    <col min="17" max="16384" width="9.140625" style="1"/>
  </cols>
  <sheetData>
    <row r="1" spans="1:181">
      <c r="A1" s="4"/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81" s="18" customFormat="1" ht="21.75">
      <c r="A2" s="30" t="s">
        <v>87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2"/>
      <c r="P2" s="15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7"/>
    </row>
    <row r="3" spans="1:181" s="19" customFormat="1" ht="15.75">
      <c r="A3" s="33" t="s">
        <v>88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5"/>
      <c r="P3" s="15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7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</row>
    <row r="4" spans="1:181" s="19" customFormat="1" ht="15.75">
      <c r="A4" s="36" t="s">
        <v>89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8"/>
      <c r="P4" s="15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7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</row>
    <row r="5" spans="1:181" ht="15.75">
      <c r="A5" s="20" t="s">
        <v>3</v>
      </c>
      <c r="B5" s="21" t="s">
        <v>4</v>
      </c>
      <c r="C5" s="21" t="s">
        <v>5</v>
      </c>
      <c r="D5" s="21" t="s">
        <v>6</v>
      </c>
      <c r="E5" s="21" t="s">
        <v>7</v>
      </c>
      <c r="F5" s="21" t="s">
        <v>8</v>
      </c>
      <c r="G5" s="21" t="s">
        <v>9</v>
      </c>
      <c r="H5" s="21" t="s">
        <v>10</v>
      </c>
      <c r="I5" s="21" t="s">
        <v>11</v>
      </c>
      <c r="J5" s="21" t="s">
        <v>12</v>
      </c>
      <c r="K5" s="21" t="s">
        <v>13</v>
      </c>
      <c r="L5" s="21" t="s">
        <v>14</v>
      </c>
      <c r="M5" s="21" t="s">
        <v>15</v>
      </c>
      <c r="N5" s="21" t="s">
        <v>16</v>
      </c>
      <c r="O5" s="5" t="s">
        <v>0</v>
      </c>
    </row>
    <row r="6" spans="1:181" ht="15.75">
      <c r="A6" s="3" t="s">
        <v>90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6"/>
    </row>
    <row r="7" spans="1:181" ht="21">
      <c r="A7" s="27" t="s">
        <v>17</v>
      </c>
      <c r="B7" s="7">
        <f>SUM(C7:N7)</f>
        <v>250.40300000000002</v>
      </c>
      <c r="C7" s="39">
        <v>13.792</v>
      </c>
      <c r="D7" s="39">
        <v>17.346</v>
      </c>
      <c r="E7" s="39">
        <v>21.423999999999999</v>
      </c>
      <c r="F7" s="39">
        <v>21.538</v>
      </c>
      <c r="G7" s="39">
        <v>19.228999999999999</v>
      </c>
      <c r="H7" s="39">
        <v>29.584</v>
      </c>
      <c r="I7" s="39">
        <v>20.059999999999999</v>
      </c>
      <c r="J7" s="39">
        <v>23.617000000000001</v>
      </c>
      <c r="K7" s="39">
        <v>16.199000000000002</v>
      </c>
      <c r="L7" s="39">
        <v>19.021000000000001</v>
      </c>
      <c r="M7" s="39">
        <v>28.423999999999999</v>
      </c>
      <c r="N7" s="39">
        <v>20.169</v>
      </c>
      <c r="O7" s="8" t="s">
        <v>51</v>
      </c>
    </row>
    <row r="8" spans="1:181" ht="21">
      <c r="A8" s="27" t="s">
        <v>18</v>
      </c>
      <c r="B8" s="7">
        <f>SUM(C8:N8)</f>
        <v>14.375</v>
      </c>
      <c r="C8" s="39">
        <v>1.1319999999999999</v>
      </c>
      <c r="D8" s="39">
        <v>1.1419999999999999</v>
      </c>
      <c r="E8" s="39">
        <v>1.1399999999999999</v>
      </c>
      <c r="F8" s="39">
        <v>1.355</v>
      </c>
      <c r="G8" s="39">
        <v>1.3080000000000001</v>
      </c>
      <c r="H8" s="39">
        <v>1.18</v>
      </c>
      <c r="I8" s="39">
        <v>1.1599999999999999</v>
      </c>
      <c r="J8" s="39">
        <v>1.335</v>
      </c>
      <c r="K8" s="39">
        <v>1.21</v>
      </c>
      <c r="L8" s="39">
        <v>1.141</v>
      </c>
      <c r="M8" s="39">
        <v>1.0469999999999999</v>
      </c>
      <c r="N8" s="39">
        <v>1.2250000000000001</v>
      </c>
      <c r="O8" s="8" t="s">
        <v>52</v>
      </c>
    </row>
    <row r="9" spans="1:181" ht="21">
      <c r="A9" s="27" t="s">
        <v>19</v>
      </c>
      <c r="B9" s="7">
        <f>SUM(C9:N9)</f>
        <v>134.334</v>
      </c>
      <c r="C9" s="39">
        <v>9.6140000000000008</v>
      </c>
      <c r="D9" s="39">
        <v>8.9870000000000001</v>
      </c>
      <c r="E9" s="39">
        <v>14.869</v>
      </c>
      <c r="F9" s="39">
        <v>9.2159999999999993</v>
      </c>
      <c r="G9" s="39">
        <v>10.351000000000001</v>
      </c>
      <c r="H9" s="39">
        <v>12.505000000000001</v>
      </c>
      <c r="I9" s="39">
        <v>11.234</v>
      </c>
      <c r="J9" s="39">
        <v>9.7289999999999992</v>
      </c>
      <c r="K9" s="39">
        <v>8.798</v>
      </c>
      <c r="L9" s="39">
        <v>14.595000000000001</v>
      </c>
      <c r="M9" s="39">
        <v>9.4209999999999994</v>
      </c>
      <c r="N9" s="39">
        <v>15.015000000000001</v>
      </c>
      <c r="O9" s="8" t="s">
        <v>53</v>
      </c>
    </row>
    <row r="10" spans="1:181" ht="21">
      <c r="A10" s="27" t="s">
        <v>25</v>
      </c>
      <c r="B10" s="7">
        <f>SUM(C11:N11)</f>
        <v>1.113</v>
      </c>
      <c r="C10" s="39">
        <v>0.56100000000000005</v>
      </c>
      <c r="D10" s="39">
        <v>0.64500000000000002</v>
      </c>
      <c r="E10" s="39">
        <v>0.753</v>
      </c>
      <c r="F10" s="39">
        <v>0.62</v>
      </c>
      <c r="G10" s="39">
        <v>0.39200000000000002</v>
      </c>
      <c r="H10" s="39">
        <v>0.67100000000000004</v>
      </c>
      <c r="I10" s="39">
        <v>0.623</v>
      </c>
      <c r="J10" s="39">
        <v>0.61099999999999999</v>
      </c>
      <c r="K10" s="39">
        <v>0.64700000000000002</v>
      </c>
      <c r="L10" s="39">
        <v>0.78100000000000003</v>
      </c>
      <c r="M10" s="39">
        <v>0.63200000000000001</v>
      </c>
      <c r="N10" s="39">
        <v>0.81100000000000005</v>
      </c>
      <c r="O10" s="8" t="s">
        <v>59</v>
      </c>
    </row>
    <row r="11" spans="1:181" ht="21">
      <c r="A11" s="27" t="s">
        <v>26</v>
      </c>
      <c r="B11" s="7">
        <f>SUM(C12:N12)</f>
        <v>4.6260000000000012</v>
      </c>
      <c r="C11" s="39">
        <v>5.6000000000000001E-2</v>
      </c>
      <c r="D11" s="39">
        <v>0.05</v>
      </c>
      <c r="E11" s="39">
        <v>5.5E-2</v>
      </c>
      <c r="F11" s="39">
        <v>7.3999999999999996E-2</v>
      </c>
      <c r="G11" s="39">
        <v>0.10199999999999999</v>
      </c>
      <c r="H11" s="39">
        <v>0.124</v>
      </c>
      <c r="I11" s="39">
        <v>6.7000000000000004E-2</v>
      </c>
      <c r="J11" s="39">
        <v>0.109</v>
      </c>
      <c r="K11" s="39">
        <v>0.16200000000000001</v>
      </c>
      <c r="L11" s="39">
        <v>6.2E-2</v>
      </c>
      <c r="M11" s="39">
        <v>0.17499999999999999</v>
      </c>
      <c r="N11" s="39">
        <v>7.6999999999999999E-2</v>
      </c>
      <c r="O11" s="8" t="s">
        <v>60</v>
      </c>
    </row>
    <row r="12" spans="1:181" ht="21">
      <c r="A12" s="6" t="s">
        <v>20</v>
      </c>
      <c r="B12" s="7">
        <f t="shared" ref="B12:B40" si="0">SUM(C12:N12)</f>
        <v>4.6260000000000012</v>
      </c>
      <c r="C12" s="39">
        <v>0.35199999999999998</v>
      </c>
      <c r="D12" s="39">
        <v>0.248</v>
      </c>
      <c r="E12" s="39">
        <v>0.36399999999999999</v>
      </c>
      <c r="F12" s="39">
        <v>0.51100000000000001</v>
      </c>
      <c r="G12" s="39">
        <v>0.42899999999999999</v>
      </c>
      <c r="H12" s="39">
        <v>0.55200000000000005</v>
      </c>
      <c r="I12" s="39">
        <v>0.4</v>
      </c>
      <c r="J12" s="39">
        <v>0.379</v>
      </c>
      <c r="K12" s="39">
        <v>0.28100000000000003</v>
      </c>
      <c r="L12" s="39">
        <v>0.36199999999999999</v>
      </c>
      <c r="M12" s="39">
        <v>0.46800000000000003</v>
      </c>
      <c r="N12" s="39">
        <v>0.28000000000000003</v>
      </c>
      <c r="O12" s="8" t="s">
        <v>54</v>
      </c>
    </row>
    <row r="13" spans="1:181" ht="21">
      <c r="A13" s="6" t="s">
        <v>21</v>
      </c>
      <c r="B13" s="7">
        <f t="shared" si="0"/>
        <v>1.8760000000000003</v>
      </c>
      <c r="C13" s="39">
        <v>0.13800000000000001</v>
      </c>
      <c r="D13" s="39">
        <v>0.182</v>
      </c>
      <c r="E13" s="39">
        <v>0.123</v>
      </c>
      <c r="F13" s="39">
        <v>0.24399999999999999</v>
      </c>
      <c r="G13" s="39">
        <v>0.185</v>
      </c>
      <c r="H13" s="39">
        <v>0.11899999999999999</v>
      </c>
      <c r="I13" s="39">
        <v>0.127</v>
      </c>
      <c r="J13" s="39">
        <v>0.217</v>
      </c>
      <c r="K13" s="39">
        <v>0.10100000000000001</v>
      </c>
      <c r="L13" s="39">
        <v>0.126</v>
      </c>
      <c r="M13" s="39">
        <v>0.214</v>
      </c>
      <c r="N13" s="39">
        <v>0.1</v>
      </c>
      <c r="O13" s="8" t="s">
        <v>55</v>
      </c>
    </row>
    <row r="14" spans="1:181" ht="21">
      <c r="A14" s="6" t="s">
        <v>22</v>
      </c>
      <c r="B14" s="7">
        <f t="shared" si="0"/>
        <v>3.2740000000000005</v>
      </c>
      <c r="C14" s="39">
        <v>0.17699999999999999</v>
      </c>
      <c r="D14" s="39">
        <v>0.17699999999999999</v>
      </c>
      <c r="E14" s="39">
        <v>0.35599999999999998</v>
      </c>
      <c r="F14" s="39">
        <v>0.41399999999999998</v>
      </c>
      <c r="G14" s="39">
        <v>0.316</v>
      </c>
      <c r="H14" s="39">
        <v>0.27600000000000002</v>
      </c>
      <c r="I14" s="39">
        <v>0.223</v>
      </c>
      <c r="J14" s="39">
        <v>0.13100000000000001</v>
      </c>
      <c r="K14" s="39">
        <v>0.184</v>
      </c>
      <c r="L14" s="39">
        <v>0.33700000000000002</v>
      </c>
      <c r="M14" s="39">
        <v>0.28299999999999997</v>
      </c>
      <c r="N14" s="39">
        <v>0.4</v>
      </c>
      <c r="O14" s="8" t="s">
        <v>56</v>
      </c>
    </row>
    <row r="15" spans="1:181" ht="21">
      <c r="A15" s="6" t="s">
        <v>23</v>
      </c>
      <c r="B15" s="7">
        <f t="shared" si="0"/>
        <v>2.9259999999999997</v>
      </c>
      <c r="C15" s="39">
        <v>0.29699999999999999</v>
      </c>
      <c r="D15" s="39">
        <v>0.27200000000000002</v>
      </c>
      <c r="E15" s="39">
        <v>0.23100000000000001</v>
      </c>
      <c r="F15" s="39">
        <v>0.27900000000000003</v>
      </c>
      <c r="G15" s="39">
        <v>0.34</v>
      </c>
      <c r="H15" s="39">
        <v>3.4000000000000002E-2</v>
      </c>
      <c r="I15" s="39">
        <v>0.312</v>
      </c>
      <c r="J15" s="39">
        <v>0.34799999999999998</v>
      </c>
      <c r="K15" s="39">
        <v>0.14699999999999999</v>
      </c>
      <c r="L15" s="39">
        <v>0.152</v>
      </c>
      <c r="M15" s="39">
        <v>0.46400000000000002</v>
      </c>
      <c r="N15" s="39">
        <v>0.05</v>
      </c>
      <c r="O15" s="8" t="s">
        <v>57</v>
      </c>
    </row>
    <row r="16" spans="1:181" ht="21">
      <c r="A16" s="6" t="s">
        <v>24</v>
      </c>
      <c r="B16" s="7">
        <f t="shared" si="0"/>
        <v>4.5600000000000005</v>
      </c>
      <c r="C16" s="39">
        <v>0.38200000000000001</v>
      </c>
      <c r="D16" s="39">
        <v>0.39100000000000001</v>
      </c>
      <c r="E16" s="39">
        <v>0.52800000000000002</v>
      </c>
      <c r="F16" s="39">
        <v>0.441</v>
      </c>
      <c r="G16" s="39">
        <v>0.315</v>
      </c>
      <c r="H16" s="39">
        <v>0.312</v>
      </c>
      <c r="I16" s="39">
        <v>0.27</v>
      </c>
      <c r="J16" s="39">
        <v>0.58299999999999996</v>
      </c>
      <c r="K16" s="39">
        <v>0.27600000000000002</v>
      </c>
      <c r="L16" s="39">
        <v>0.46600000000000003</v>
      </c>
      <c r="M16" s="39">
        <v>0.27500000000000002</v>
      </c>
      <c r="N16" s="39">
        <v>0.32100000000000001</v>
      </c>
      <c r="O16" s="8" t="s">
        <v>58</v>
      </c>
    </row>
    <row r="17" spans="1:15" ht="21">
      <c r="A17" s="6" t="s">
        <v>27</v>
      </c>
      <c r="B17" s="7">
        <f t="shared" si="0"/>
        <v>1.55</v>
      </c>
      <c r="C17" s="39">
        <v>0.16400000000000001</v>
      </c>
      <c r="D17" s="39">
        <v>9.6000000000000002E-2</v>
      </c>
      <c r="E17" s="39">
        <v>0.13400000000000001</v>
      </c>
      <c r="F17" s="39">
        <v>0.13</v>
      </c>
      <c r="G17" s="39">
        <v>0.14000000000000001</v>
      </c>
      <c r="H17" s="39">
        <v>0.17100000000000001</v>
      </c>
      <c r="I17" s="39">
        <v>9.6000000000000002E-2</v>
      </c>
      <c r="J17" s="39">
        <v>0.17</v>
      </c>
      <c r="K17" s="39">
        <v>0.13</v>
      </c>
      <c r="L17" s="39">
        <v>0.09</v>
      </c>
      <c r="M17" s="39">
        <v>0.13300000000000001</v>
      </c>
      <c r="N17" s="39">
        <v>9.6000000000000002E-2</v>
      </c>
      <c r="O17" s="8" t="s">
        <v>61</v>
      </c>
    </row>
    <row r="18" spans="1:15" ht="21">
      <c r="A18" s="6" t="s">
        <v>28</v>
      </c>
      <c r="B18" s="7">
        <f t="shared" si="0"/>
        <v>20.741</v>
      </c>
      <c r="C18" s="39">
        <v>1.381</v>
      </c>
      <c r="D18" s="39">
        <v>1.83</v>
      </c>
      <c r="E18" s="39">
        <v>2.2410000000000001</v>
      </c>
      <c r="F18" s="39">
        <v>1.7310000000000001</v>
      </c>
      <c r="G18" s="39">
        <v>1.4039999999999999</v>
      </c>
      <c r="H18" s="39">
        <v>1.538</v>
      </c>
      <c r="I18" s="39">
        <v>1.95</v>
      </c>
      <c r="J18" s="39">
        <v>2.129</v>
      </c>
      <c r="K18" s="39">
        <v>1.411</v>
      </c>
      <c r="L18" s="39">
        <v>1.9370000000000001</v>
      </c>
      <c r="M18" s="39">
        <v>1.2549999999999999</v>
      </c>
      <c r="N18" s="39">
        <v>1.9339999999999999</v>
      </c>
      <c r="O18" s="8" t="s">
        <v>62</v>
      </c>
    </row>
    <row r="19" spans="1:15" ht="21">
      <c r="A19" s="6" t="s">
        <v>29</v>
      </c>
      <c r="B19" s="7">
        <f t="shared" si="0"/>
        <v>4.1670000000000007</v>
      </c>
      <c r="C19" s="39">
        <v>0.32700000000000001</v>
      </c>
      <c r="D19" s="39">
        <v>0.26500000000000001</v>
      </c>
      <c r="E19" s="39">
        <v>0.36899999999999999</v>
      </c>
      <c r="F19" s="39">
        <v>0.40300000000000002</v>
      </c>
      <c r="G19" s="39">
        <v>0.40699999999999997</v>
      </c>
      <c r="H19" s="39">
        <v>0.22600000000000001</v>
      </c>
      <c r="I19" s="39">
        <v>0.4</v>
      </c>
      <c r="J19" s="39">
        <v>0.379</v>
      </c>
      <c r="K19" s="39">
        <v>0.28100000000000003</v>
      </c>
      <c r="L19" s="39">
        <v>0.36199999999999999</v>
      </c>
      <c r="M19" s="39">
        <v>0.46800000000000003</v>
      </c>
      <c r="N19" s="39">
        <v>0.28000000000000003</v>
      </c>
      <c r="O19" s="8" t="s">
        <v>63</v>
      </c>
    </row>
    <row r="20" spans="1:15" ht="21">
      <c r="A20" s="6" t="s">
        <v>30</v>
      </c>
      <c r="B20" s="7">
        <f t="shared" si="0"/>
        <v>2.9735</v>
      </c>
      <c r="C20" s="39">
        <v>0.16450000000000001</v>
      </c>
      <c r="D20" s="39">
        <v>0.219</v>
      </c>
      <c r="E20" s="39">
        <v>0.28100000000000003</v>
      </c>
      <c r="F20" s="39">
        <v>0.27</v>
      </c>
      <c r="G20" s="39">
        <v>0.28999999999999998</v>
      </c>
      <c r="H20" s="39">
        <v>0.222</v>
      </c>
      <c r="I20" s="39">
        <v>0.19</v>
      </c>
      <c r="J20" s="39">
        <v>0.32700000000000001</v>
      </c>
      <c r="K20" s="39">
        <v>0.13</v>
      </c>
      <c r="L20" s="39">
        <v>0.432</v>
      </c>
      <c r="M20" s="39">
        <v>0.161</v>
      </c>
      <c r="N20" s="39">
        <v>0.28699999999999998</v>
      </c>
      <c r="O20" s="8" t="s">
        <v>64</v>
      </c>
    </row>
    <row r="21" spans="1:15" ht="21">
      <c r="A21" s="6" t="s">
        <v>31</v>
      </c>
      <c r="B21" s="7">
        <f t="shared" si="0"/>
        <v>1.9013099999999998</v>
      </c>
      <c r="C21" s="39">
        <v>0.21234999999999998</v>
      </c>
      <c r="D21" s="39">
        <v>8.3780000000000007E-2</v>
      </c>
      <c r="E21" s="39">
        <v>0.17646999999999999</v>
      </c>
      <c r="F21" s="39">
        <v>0.11824999999999999</v>
      </c>
      <c r="G21" s="39">
        <v>0.18350999999999998</v>
      </c>
      <c r="H21" s="39">
        <v>0.18256999999999998</v>
      </c>
      <c r="I21" s="39">
        <v>0.11536</v>
      </c>
      <c r="J21" s="39">
        <v>0.17838999999999999</v>
      </c>
      <c r="K21" s="39">
        <v>0.18051</v>
      </c>
      <c r="L21" s="39">
        <v>0.16891</v>
      </c>
      <c r="M21" s="39">
        <v>9.375E-2</v>
      </c>
      <c r="N21" s="39">
        <v>0.20746000000000001</v>
      </c>
      <c r="O21" s="8" t="s">
        <v>65</v>
      </c>
    </row>
    <row r="22" spans="1:15" ht="21">
      <c r="A22" s="6" t="s">
        <v>32</v>
      </c>
      <c r="B22" s="7">
        <f t="shared" si="0"/>
        <v>1.2400000000000002</v>
      </c>
      <c r="C22" s="39">
        <v>7.6999999999999999E-2</v>
      </c>
      <c r="D22" s="39">
        <v>7.0000000000000007E-2</v>
      </c>
      <c r="E22" s="39">
        <v>7.6999999999999999E-2</v>
      </c>
      <c r="F22" s="39">
        <v>0.11799999999999999</v>
      </c>
      <c r="G22" s="39">
        <v>0.111</v>
      </c>
      <c r="H22" s="39">
        <v>0.113</v>
      </c>
      <c r="I22" s="39">
        <v>0.114</v>
      </c>
      <c r="J22" s="39">
        <v>0.1585</v>
      </c>
      <c r="K22" s="39">
        <v>7.3499999999999996E-2</v>
      </c>
      <c r="L22" s="39">
        <v>0.10299999999999999</v>
      </c>
      <c r="M22" s="39">
        <v>8.5000000000000006E-2</v>
      </c>
      <c r="N22" s="39">
        <v>0.14000000000000001</v>
      </c>
      <c r="O22" s="8" t="s">
        <v>66</v>
      </c>
    </row>
    <row r="23" spans="1:15" ht="21">
      <c r="A23" s="6" t="s">
        <v>33</v>
      </c>
      <c r="B23" s="7">
        <f t="shared" si="0"/>
        <v>1.5430000000000001</v>
      </c>
      <c r="C23" s="39">
        <v>0.10100000000000001</v>
      </c>
      <c r="D23" s="39">
        <v>0.111</v>
      </c>
      <c r="E23" s="39">
        <v>0.17799999999999999</v>
      </c>
      <c r="F23" s="39">
        <v>0.14399999999999999</v>
      </c>
      <c r="G23" s="39">
        <v>0.106</v>
      </c>
      <c r="H23" s="39">
        <v>0.155</v>
      </c>
      <c r="I23" s="39">
        <v>0.13100000000000001</v>
      </c>
      <c r="J23" s="39">
        <v>0.16200000000000001</v>
      </c>
      <c r="K23" s="39">
        <v>0.10299999999999999</v>
      </c>
      <c r="L23" s="39">
        <v>0.15</v>
      </c>
      <c r="M23" s="39">
        <v>0.122</v>
      </c>
      <c r="N23" s="39">
        <v>0.08</v>
      </c>
      <c r="O23" s="8" t="s">
        <v>67</v>
      </c>
    </row>
    <row r="24" spans="1:15" ht="21">
      <c r="A24" s="6" t="s">
        <v>34</v>
      </c>
      <c r="B24" s="7">
        <f t="shared" si="0"/>
        <v>1.248</v>
      </c>
      <c r="C24" s="39">
        <v>0.113</v>
      </c>
      <c r="D24" s="39">
        <v>0.14599999999999999</v>
      </c>
      <c r="E24" s="39">
        <v>9.7000000000000003E-2</v>
      </c>
      <c r="F24" s="39">
        <v>8.1000000000000003E-2</v>
      </c>
      <c r="G24" s="39">
        <v>0.14000000000000001</v>
      </c>
      <c r="H24" s="39">
        <v>0.10100000000000001</v>
      </c>
      <c r="I24" s="39">
        <v>0.11899999999999999</v>
      </c>
      <c r="J24" s="39">
        <v>0.115</v>
      </c>
      <c r="K24" s="39">
        <v>7.5999999999999998E-2</v>
      </c>
      <c r="L24" s="39">
        <v>7.6999999999999999E-2</v>
      </c>
      <c r="M24" s="39">
        <v>0.111</v>
      </c>
      <c r="N24" s="39">
        <v>7.1999999999999995E-2</v>
      </c>
      <c r="O24" s="8" t="s">
        <v>68</v>
      </c>
    </row>
    <row r="25" spans="1:15" ht="21">
      <c r="A25" s="6" t="s">
        <v>35</v>
      </c>
      <c r="B25" s="7">
        <f t="shared" si="0"/>
        <v>1.8555000000000001</v>
      </c>
      <c r="C25" s="39">
        <v>0.16500000000000001</v>
      </c>
      <c r="D25" s="39">
        <v>0.10100000000000001</v>
      </c>
      <c r="E25" s="39">
        <v>0.126</v>
      </c>
      <c r="F25" s="39">
        <v>0.1835</v>
      </c>
      <c r="G25" s="39">
        <v>0.11799999999999999</v>
      </c>
      <c r="H25" s="39">
        <v>0.11</v>
      </c>
      <c r="I25" s="39">
        <v>0.17199999999999999</v>
      </c>
      <c r="J25" s="39">
        <v>0.14849999999999999</v>
      </c>
      <c r="K25" s="39">
        <v>0.1865</v>
      </c>
      <c r="L25" s="39">
        <v>0.2</v>
      </c>
      <c r="M25" s="39">
        <v>0.13100000000000001</v>
      </c>
      <c r="N25" s="39">
        <v>0.214</v>
      </c>
      <c r="O25" s="8" t="s">
        <v>69</v>
      </c>
    </row>
    <row r="26" spans="1:15" ht="21">
      <c r="A26" s="6" t="s">
        <v>36</v>
      </c>
      <c r="B26" s="7">
        <f t="shared" si="0"/>
        <v>3.9330000000000003</v>
      </c>
      <c r="C26" s="39">
        <v>0.215</v>
      </c>
      <c r="D26" s="39">
        <v>0.33400000000000002</v>
      </c>
      <c r="E26" s="39">
        <v>0.34200000000000003</v>
      </c>
      <c r="F26" s="39">
        <v>0.47</v>
      </c>
      <c r="G26" s="39">
        <v>0.28100000000000003</v>
      </c>
      <c r="H26" s="39">
        <v>0.33</v>
      </c>
      <c r="I26" s="39">
        <v>0.314</v>
      </c>
      <c r="J26" s="39">
        <v>0.32600000000000001</v>
      </c>
      <c r="K26" s="39">
        <v>0.39400000000000002</v>
      </c>
      <c r="L26" s="39">
        <v>0.379</v>
      </c>
      <c r="M26" s="39">
        <v>0.32700000000000001</v>
      </c>
      <c r="N26" s="39">
        <v>0.221</v>
      </c>
      <c r="O26" s="8" t="s">
        <v>70</v>
      </c>
    </row>
    <row r="27" spans="1:15" ht="21">
      <c r="A27" s="6" t="s">
        <v>37</v>
      </c>
      <c r="B27" s="7">
        <f t="shared" si="0"/>
        <v>4.8540000000000001</v>
      </c>
      <c r="C27" s="39">
        <v>0.4</v>
      </c>
      <c r="D27" s="39">
        <v>0.105</v>
      </c>
      <c r="E27" s="39">
        <v>0.47799999999999998</v>
      </c>
      <c r="F27" s="39">
        <v>0.495</v>
      </c>
      <c r="G27" s="39">
        <v>0.46600000000000003</v>
      </c>
      <c r="H27" s="39">
        <v>0.43</v>
      </c>
      <c r="I27" s="39">
        <v>0.26</v>
      </c>
      <c r="J27" s="39">
        <v>0.54500000000000004</v>
      </c>
      <c r="K27" s="39">
        <v>0.26500000000000001</v>
      </c>
      <c r="L27" s="39">
        <v>0.375</v>
      </c>
      <c r="M27" s="39">
        <v>0.51100000000000001</v>
      </c>
      <c r="N27" s="39">
        <v>0.52400000000000002</v>
      </c>
      <c r="O27" s="8" t="s">
        <v>71</v>
      </c>
    </row>
    <row r="28" spans="1:15" ht="21">
      <c r="A28" s="6" t="s">
        <v>38</v>
      </c>
      <c r="B28" s="7">
        <f t="shared" si="0"/>
        <v>1.7110000000000003</v>
      </c>
      <c r="C28" s="39">
        <v>0.13</v>
      </c>
      <c r="D28" s="39">
        <v>0.17</v>
      </c>
      <c r="E28" s="39">
        <v>0.16</v>
      </c>
      <c r="F28" s="39">
        <v>0.16</v>
      </c>
      <c r="G28" s="39">
        <v>0.14000000000000001</v>
      </c>
      <c r="H28" s="39">
        <v>0.16500000000000001</v>
      </c>
      <c r="I28" s="39">
        <v>0.1</v>
      </c>
      <c r="J28" s="39">
        <v>0.113</v>
      </c>
      <c r="K28" s="39">
        <v>0.13</v>
      </c>
      <c r="L28" s="39">
        <v>0.16500000000000001</v>
      </c>
      <c r="M28" s="39">
        <v>0.12</v>
      </c>
      <c r="N28" s="39">
        <v>0.158</v>
      </c>
      <c r="O28" s="8" t="s">
        <v>72</v>
      </c>
    </row>
    <row r="29" spans="1:15" ht="21">
      <c r="A29" s="6" t="s">
        <v>39</v>
      </c>
      <c r="B29" s="7">
        <f t="shared" si="0"/>
        <v>4.8540000000000001</v>
      </c>
      <c r="C29" s="39">
        <v>0.4</v>
      </c>
      <c r="D29" s="39">
        <v>0.105</v>
      </c>
      <c r="E29" s="39">
        <v>0.47799999999999998</v>
      </c>
      <c r="F29" s="39">
        <v>0.495</v>
      </c>
      <c r="G29" s="39">
        <v>0.46600000000000003</v>
      </c>
      <c r="H29" s="39">
        <v>0.43</v>
      </c>
      <c r="I29" s="39">
        <v>0.26</v>
      </c>
      <c r="J29" s="39">
        <v>0.54500000000000004</v>
      </c>
      <c r="K29" s="39">
        <v>0.26500000000000001</v>
      </c>
      <c r="L29" s="39">
        <v>0.375</v>
      </c>
      <c r="M29" s="39">
        <v>0.51100000000000001</v>
      </c>
      <c r="N29" s="39">
        <v>0.52400000000000002</v>
      </c>
      <c r="O29" s="8" t="s">
        <v>73</v>
      </c>
    </row>
    <row r="30" spans="1:15" ht="21">
      <c r="A30" s="6" t="s">
        <v>40</v>
      </c>
      <c r="B30" s="7">
        <f t="shared" si="0"/>
        <v>3.0310000000000001</v>
      </c>
      <c r="C30" s="39">
        <v>0.26100000000000001</v>
      </c>
      <c r="D30" s="39">
        <v>0.161</v>
      </c>
      <c r="E30" s="39">
        <v>0.24199999999999999</v>
      </c>
      <c r="F30" s="39">
        <v>0.26600000000000001</v>
      </c>
      <c r="G30" s="39">
        <v>0.17899999999999999</v>
      </c>
      <c r="H30" s="39">
        <v>0.14099999999999999</v>
      </c>
      <c r="I30" s="39">
        <v>0.23200000000000001</v>
      </c>
      <c r="J30" s="39">
        <v>0.44900000000000001</v>
      </c>
      <c r="K30" s="39">
        <v>0.33100000000000002</v>
      </c>
      <c r="L30" s="39">
        <v>0.34499999999999997</v>
      </c>
      <c r="M30" s="39">
        <v>0.15</v>
      </c>
      <c r="N30" s="39">
        <v>0.27400000000000002</v>
      </c>
      <c r="O30" s="8" t="s">
        <v>74</v>
      </c>
    </row>
    <row r="31" spans="1:15" ht="21">
      <c r="A31" s="6" t="s">
        <v>41</v>
      </c>
      <c r="B31" s="7">
        <f t="shared" si="0"/>
        <v>1.8779999999999999</v>
      </c>
      <c r="C31" s="39">
        <v>0.126</v>
      </c>
      <c r="D31" s="39">
        <v>0.14099999999999999</v>
      </c>
      <c r="E31" s="39">
        <v>0.16300000000000001</v>
      </c>
      <c r="F31" s="39">
        <v>0.183</v>
      </c>
      <c r="G31" s="39">
        <v>0.17</v>
      </c>
      <c r="H31" s="39">
        <v>0.154</v>
      </c>
      <c r="I31" s="39">
        <v>0.17299999999999999</v>
      </c>
      <c r="J31" s="39">
        <v>0.24199999999999999</v>
      </c>
      <c r="K31" s="39">
        <v>0.107</v>
      </c>
      <c r="L31" s="39">
        <v>0.14399999999999999</v>
      </c>
      <c r="M31" s="39">
        <v>0.11700000000000001</v>
      </c>
      <c r="N31" s="39">
        <v>0.158</v>
      </c>
      <c r="O31" s="8" t="s">
        <v>75</v>
      </c>
    </row>
    <row r="32" spans="1:15" ht="21">
      <c r="A32" s="6" t="s">
        <v>76</v>
      </c>
      <c r="B32" s="7">
        <f t="shared" si="0"/>
        <v>6.625</v>
      </c>
      <c r="C32" s="39">
        <v>0.39900000000000002</v>
      </c>
      <c r="D32" s="39">
        <v>0.47499999999999998</v>
      </c>
      <c r="E32" s="39">
        <v>0.63400000000000001</v>
      </c>
      <c r="F32" s="39">
        <v>0.76500000000000001</v>
      </c>
      <c r="G32" s="39">
        <v>0.47</v>
      </c>
      <c r="H32" s="39">
        <v>0.46500000000000002</v>
      </c>
      <c r="I32" s="39">
        <v>0.442</v>
      </c>
      <c r="J32" s="39">
        <v>0.49099999999999999</v>
      </c>
      <c r="K32" s="39">
        <v>0.72599999999999998</v>
      </c>
      <c r="L32" s="39">
        <v>0.50800000000000001</v>
      </c>
      <c r="M32" s="39">
        <v>0.51100000000000001</v>
      </c>
      <c r="N32" s="39">
        <v>0.73899999999999999</v>
      </c>
      <c r="O32" s="8" t="s">
        <v>77</v>
      </c>
    </row>
    <row r="33" spans="1:15" ht="21">
      <c r="A33" s="6" t="s">
        <v>42</v>
      </c>
      <c r="B33" s="7">
        <f t="shared" si="0"/>
        <v>1.3539000000000003</v>
      </c>
      <c r="C33" s="39">
        <v>9.1999999999999998E-2</v>
      </c>
      <c r="D33" s="39">
        <v>9.4E-2</v>
      </c>
      <c r="E33" s="39">
        <v>0.13100000000000001</v>
      </c>
      <c r="F33" s="39">
        <v>0.13100000000000001</v>
      </c>
      <c r="G33" s="39">
        <v>6.8000000000000005E-2</v>
      </c>
      <c r="H33" s="39">
        <v>0.1065</v>
      </c>
      <c r="I33" s="39">
        <v>0.1305</v>
      </c>
      <c r="J33" s="39">
        <v>9.9500000000000005E-2</v>
      </c>
      <c r="K33" s="39">
        <v>9.2549999999999993E-2</v>
      </c>
      <c r="L33" s="39">
        <v>0.128</v>
      </c>
      <c r="M33" s="39">
        <v>0.17335</v>
      </c>
      <c r="N33" s="39">
        <v>0.1075</v>
      </c>
      <c r="O33" s="8" t="s">
        <v>78</v>
      </c>
    </row>
    <row r="34" spans="1:15" ht="21">
      <c r="A34" s="6" t="s">
        <v>43</v>
      </c>
      <c r="B34" s="7">
        <f t="shared" si="0"/>
        <v>0.5</v>
      </c>
      <c r="C34" s="39">
        <v>3.2000000000000001E-2</v>
      </c>
      <c r="D34" s="39">
        <v>3.3000000000000002E-2</v>
      </c>
      <c r="E34" s="39">
        <v>3.3000000000000002E-2</v>
      </c>
      <c r="F34" s="39">
        <v>5.1999999999999998E-2</v>
      </c>
      <c r="G34" s="39">
        <v>5.1999999999999998E-2</v>
      </c>
      <c r="H34" s="39">
        <v>5.2999999999999999E-2</v>
      </c>
      <c r="I34" s="39">
        <v>8.5000000000000006E-2</v>
      </c>
      <c r="J34" s="39">
        <v>3.2000000000000001E-2</v>
      </c>
      <c r="K34" s="39">
        <v>0</v>
      </c>
      <c r="L34" s="39">
        <v>3.6999999999999998E-2</v>
      </c>
      <c r="M34" s="39">
        <v>0.06</v>
      </c>
      <c r="N34" s="39">
        <v>3.1E-2</v>
      </c>
      <c r="O34" s="8" t="s">
        <v>79</v>
      </c>
    </row>
    <row r="35" spans="1:15" ht="21">
      <c r="A35" s="6" t="s">
        <v>44</v>
      </c>
      <c r="B35" s="7">
        <f t="shared" si="0"/>
        <v>0.84</v>
      </c>
      <c r="C35" s="39">
        <v>7.0000000000000007E-2</v>
      </c>
      <c r="D35" s="39">
        <v>0.09</v>
      </c>
      <c r="E35" s="39">
        <v>7.0999999999999994E-2</v>
      </c>
      <c r="F35" s="39">
        <v>2.5000000000000001E-2</v>
      </c>
      <c r="G35" s="39">
        <v>0.105</v>
      </c>
      <c r="H35" s="39">
        <v>5.5E-2</v>
      </c>
      <c r="I35" s="39">
        <v>9.5000000000000001E-2</v>
      </c>
      <c r="J35" s="39">
        <v>0.05</v>
      </c>
      <c r="K35" s="39">
        <v>7.4999999999999997E-2</v>
      </c>
      <c r="L35" s="39">
        <v>7.4999999999999997E-2</v>
      </c>
      <c r="M35" s="39">
        <v>4.4999999999999998E-2</v>
      </c>
      <c r="N35" s="39">
        <v>8.4000000000000005E-2</v>
      </c>
      <c r="O35" s="8" t="s">
        <v>80</v>
      </c>
    </row>
    <row r="36" spans="1:15" ht="21">
      <c r="A36" s="6" t="s">
        <v>45</v>
      </c>
      <c r="B36" s="7">
        <f t="shared" si="0"/>
        <v>1.7850000000000001</v>
      </c>
      <c r="C36" s="39">
        <v>0.13400000000000001</v>
      </c>
      <c r="D36" s="39">
        <v>0.11</v>
      </c>
      <c r="E36" s="39">
        <v>0.183</v>
      </c>
      <c r="F36" s="39">
        <v>0.20499999999999999</v>
      </c>
      <c r="G36" s="39">
        <v>0.17199999999999999</v>
      </c>
      <c r="H36" s="39">
        <v>0.14899999999999999</v>
      </c>
      <c r="I36" s="39">
        <v>0.13</v>
      </c>
      <c r="J36" s="39">
        <v>0.11600000000000001</v>
      </c>
      <c r="K36" s="39">
        <v>0.24</v>
      </c>
      <c r="L36" s="39">
        <v>0</v>
      </c>
      <c r="M36" s="39">
        <v>0.17399999999999999</v>
      </c>
      <c r="N36" s="39">
        <v>0.17199999999999999</v>
      </c>
      <c r="O36" s="8" t="s">
        <v>81</v>
      </c>
    </row>
    <row r="37" spans="1:15" ht="21">
      <c r="A37" s="6" t="s">
        <v>46</v>
      </c>
      <c r="B37" s="7">
        <f t="shared" si="0"/>
        <v>1.5570000000000002</v>
      </c>
      <c r="C37" s="39">
        <v>0.14000000000000001</v>
      </c>
      <c r="D37" s="39">
        <v>8.1500000000000003E-2</v>
      </c>
      <c r="E37" s="39">
        <v>0.184</v>
      </c>
      <c r="F37" s="39">
        <v>0.1095</v>
      </c>
      <c r="G37" s="39">
        <v>8.5500000000000007E-2</v>
      </c>
      <c r="H37" s="39">
        <v>0.17749999999999999</v>
      </c>
      <c r="I37" s="39">
        <v>0.1065</v>
      </c>
      <c r="J37" s="39">
        <v>0.183</v>
      </c>
      <c r="K37" s="39">
        <v>0.10299999999999999</v>
      </c>
      <c r="L37" s="39">
        <v>8.6499999999999994E-2</v>
      </c>
      <c r="M37" s="39">
        <v>0.14299999999999999</v>
      </c>
      <c r="N37" s="39">
        <v>0.157</v>
      </c>
      <c r="O37" s="8" t="s">
        <v>82</v>
      </c>
    </row>
    <row r="38" spans="1:15" ht="21">
      <c r="A38" s="6" t="s">
        <v>47</v>
      </c>
      <c r="B38" s="7">
        <f t="shared" si="0"/>
        <v>1.4300000000000002</v>
      </c>
      <c r="C38" s="39">
        <v>0.13100000000000001</v>
      </c>
      <c r="D38" s="39">
        <v>1.7000000000000001E-2</v>
      </c>
      <c r="E38" s="39">
        <v>0.19700000000000001</v>
      </c>
      <c r="F38" s="39">
        <v>0.17100000000000001</v>
      </c>
      <c r="G38" s="39">
        <v>5.9499999999999997E-2</v>
      </c>
      <c r="H38" s="39">
        <v>0.13600000000000001</v>
      </c>
      <c r="I38" s="39">
        <v>0.11550000000000001</v>
      </c>
      <c r="J38" s="39">
        <v>0.13250000000000001</v>
      </c>
      <c r="K38" s="39">
        <v>0.1225</v>
      </c>
      <c r="L38" s="39">
        <v>0.13450000000000001</v>
      </c>
      <c r="M38" s="39">
        <v>0.115</v>
      </c>
      <c r="N38" s="39">
        <v>9.8500000000000004E-2</v>
      </c>
      <c r="O38" s="8" t="s">
        <v>83</v>
      </c>
    </row>
    <row r="39" spans="1:15" ht="21">
      <c r="A39" s="6" t="s">
        <v>48</v>
      </c>
      <c r="B39" s="7">
        <f t="shared" si="0"/>
        <v>1.452</v>
      </c>
      <c r="C39" s="39">
        <v>0.11899999999999999</v>
      </c>
      <c r="D39" s="39">
        <v>0.13300000000000001</v>
      </c>
      <c r="E39" s="39">
        <v>0.107</v>
      </c>
      <c r="F39" s="39">
        <v>0.17100000000000001</v>
      </c>
      <c r="G39" s="39">
        <v>0.13700000000000001</v>
      </c>
      <c r="H39" s="39">
        <v>0.10299999999999999</v>
      </c>
      <c r="I39" s="39">
        <v>0.13400000000000001</v>
      </c>
      <c r="J39" s="39">
        <v>0.112</v>
      </c>
      <c r="K39" s="39">
        <v>0.105</v>
      </c>
      <c r="L39" s="39">
        <v>0.09</v>
      </c>
      <c r="M39" s="39">
        <v>0.10100000000000001</v>
      </c>
      <c r="N39" s="39">
        <v>0.14000000000000001</v>
      </c>
      <c r="O39" s="8" t="s">
        <v>84</v>
      </c>
    </row>
    <row r="40" spans="1:15" ht="21">
      <c r="A40" s="6" t="s">
        <v>49</v>
      </c>
      <c r="B40" s="7">
        <f t="shared" si="0"/>
        <v>1.9589999999999999</v>
      </c>
      <c r="C40" s="39">
        <v>0.182</v>
      </c>
      <c r="D40" s="39">
        <v>0.161</v>
      </c>
      <c r="E40" s="39">
        <v>0.19</v>
      </c>
      <c r="F40" s="39">
        <v>0.192</v>
      </c>
      <c r="G40" s="39">
        <v>0.16500000000000001</v>
      </c>
      <c r="H40" s="39">
        <v>0.20300000000000001</v>
      </c>
      <c r="I40" s="39">
        <v>0.128</v>
      </c>
      <c r="J40" s="39">
        <v>0.16900000000000001</v>
      </c>
      <c r="K40" s="39">
        <v>0.16400000000000001</v>
      </c>
      <c r="L40" s="39">
        <v>0.14199999999999999</v>
      </c>
      <c r="M40" s="39">
        <v>0.10100000000000001</v>
      </c>
      <c r="N40" s="39">
        <v>0.16200000000000001</v>
      </c>
      <c r="O40" s="8" t="s">
        <v>85</v>
      </c>
    </row>
    <row r="41" spans="1:15" ht="21">
      <c r="A41" s="9" t="s">
        <v>50</v>
      </c>
      <c r="B41" s="10">
        <f>SUM(C40:N40)</f>
        <v>1.9589999999999999</v>
      </c>
      <c r="C41" s="40">
        <v>2.4E-2</v>
      </c>
      <c r="D41" s="40">
        <v>2.7E-2</v>
      </c>
      <c r="E41" s="40">
        <v>1E-3</v>
      </c>
      <c r="F41" s="40">
        <v>3.1E-2</v>
      </c>
      <c r="G41" s="40">
        <v>2.4E-2</v>
      </c>
      <c r="H41" s="40">
        <v>2.1000000000000001E-2</v>
      </c>
      <c r="I41" s="40">
        <v>3.3000000000000002E-2</v>
      </c>
      <c r="J41" s="40">
        <v>2.1000000000000001E-2</v>
      </c>
      <c r="K41" s="40">
        <v>3.4000000000000002E-2</v>
      </c>
      <c r="L41" s="40">
        <v>0</v>
      </c>
      <c r="M41" s="40">
        <v>1.7999999999999999E-2</v>
      </c>
      <c r="N41" s="40">
        <v>3.3000000000000002E-2</v>
      </c>
      <c r="O41" s="28" t="s">
        <v>86</v>
      </c>
    </row>
    <row r="42" spans="1:15">
      <c r="A42" s="22" t="s">
        <v>1</v>
      </c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3"/>
      <c r="O42" s="14" t="s">
        <v>2</v>
      </c>
    </row>
  </sheetData>
  <mergeCells count="3">
    <mergeCell ref="A2:O2"/>
    <mergeCell ref="A3:O3"/>
    <mergeCell ref="A4:O4"/>
  </mergeCells>
  <pageMargins left="0.7" right="0.7" top="0.75" bottom="0.75" header="0.3" footer="0.3"/>
  <pageSetup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12.4</vt:lpstr>
      <vt:lpstr>'12.4'!Print_Area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2024-09-24T09:56:36Z</cp:lastPrinted>
  <dcterms:created xsi:type="dcterms:W3CDTF">2019-05-21T05:57:00Z</dcterms:created>
  <dcterms:modified xsi:type="dcterms:W3CDTF">2024-09-24T09:56:57Z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