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CC7DC43E-C202-46B9-864E-9CCAC285927A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2" sheetId="34" r:id="rId1"/>
  </sheets>
  <definedNames>
    <definedName name="Male">#REF!</definedName>
    <definedName name="_xlnm.Print_Area" localSheetId="0">'12.2'!$A$1:$O$199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3" i="34" l="1"/>
  <c r="B192" i="34"/>
  <c r="B191" i="34"/>
  <c r="B190" i="34"/>
  <c r="B189" i="34"/>
  <c r="B188" i="34"/>
  <c r="B187" i="34"/>
  <c r="B186" i="34"/>
  <c r="B185" i="34"/>
  <c r="B184" i="34"/>
  <c r="B183" i="34"/>
  <c r="B182" i="34"/>
  <c r="B181" i="34"/>
  <c r="B180" i="34"/>
  <c r="B179" i="34"/>
  <c r="B178" i="34"/>
  <c r="B177" i="34"/>
  <c r="B176" i="34"/>
  <c r="B175" i="34"/>
  <c r="B174" i="34"/>
  <c r="B173" i="34"/>
  <c r="B172" i="34"/>
  <c r="B171" i="34"/>
  <c r="B170" i="34"/>
  <c r="B169" i="34"/>
  <c r="B168" i="34"/>
  <c r="B167" i="34"/>
  <c r="B166" i="34"/>
  <c r="B165" i="34"/>
  <c r="B164" i="34"/>
  <c r="B163" i="34"/>
  <c r="B162" i="34"/>
  <c r="B161" i="34"/>
  <c r="B160" i="34"/>
  <c r="B159" i="34"/>
  <c r="B158" i="34"/>
  <c r="B157" i="34"/>
  <c r="B156" i="34"/>
  <c r="B155" i="34"/>
  <c r="B154" i="34"/>
  <c r="B153" i="34"/>
  <c r="B152" i="34"/>
  <c r="B151" i="34"/>
  <c r="B150" i="34"/>
  <c r="B149" i="34"/>
  <c r="B148" i="34"/>
  <c r="B147" i="34"/>
  <c r="B146" i="34"/>
  <c r="B145" i="34"/>
  <c r="B144" i="34"/>
  <c r="B143" i="34"/>
  <c r="B142" i="34"/>
  <c r="B141" i="34"/>
  <c r="B140" i="34"/>
  <c r="B139" i="34"/>
  <c r="B138" i="34"/>
  <c r="B137" i="34"/>
  <c r="B136" i="34"/>
  <c r="B135" i="34"/>
  <c r="B134" i="34"/>
  <c r="B133" i="34"/>
  <c r="B132" i="34"/>
  <c r="B131" i="34"/>
  <c r="B130" i="34"/>
  <c r="B129" i="34"/>
  <c r="B128" i="34"/>
  <c r="B127" i="34"/>
  <c r="B126" i="34"/>
  <c r="B125" i="34"/>
  <c r="B124" i="34"/>
  <c r="B123" i="34"/>
  <c r="B122" i="34"/>
  <c r="B121" i="34"/>
  <c r="B120" i="34"/>
  <c r="B119" i="34"/>
  <c r="B118" i="34"/>
  <c r="B117" i="34"/>
  <c r="B116" i="34"/>
  <c r="B115" i="34"/>
  <c r="B114" i="34"/>
  <c r="B113" i="34"/>
  <c r="B112" i="34"/>
  <c r="B111" i="34"/>
  <c r="B110" i="34"/>
  <c r="B109" i="34"/>
  <c r="B108" i="34"/>
  <c r="B107" i="34"/>
  <c r="B106" i="34"/>
  <c r="B105" i="34"/>
  <c r="B104" i="34"/>
  <c r="B12" i="34"/>
  <c r="B11" i="34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0" i="34"/>
  <c r="B9" i="34"/>
  <c r="B8" i="34"/>
</calcChain>
</file>

<file path=xl/sharedStrings.xml><?xml version="1.0" encoding="utf-8"?>
<sst xmlns="http://schemas.openxmlformats.org/spreadsheetml/2006/main" count="223" uniqueCount="223">
  <si>
    <t>wlcmuj</t>
  </si>
  <si>
    <t>cCrWm</t>
  </si>
  <si>
    <t>Em</t>
  </si>
  <si>
    <t>cnUj</t>
  </si>
  <si>
    <t>iawluj</t>
  </si>
  <si>
    <t>2023 ,urwvcnim idcaefua cTcnwrwk uhwmcswmikea cnukwtctWrwf egurWkurws : 12.2 ulwvWt</t>
  </si>
  <si>
    <t>Table  12.2 :  MONTHLY ELECTRICITY PRODUCTION BY PUBLIC SECTOR, 2023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</si>
  <si>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</si>
  <si>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</si>
  <si>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</si>
  <si>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</si>
  <si>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</si>
  <si>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</si>
  <si>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</si>
  <si>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</si>
  <si>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</si>
  <si>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</si>
  <si>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</si>
  <si>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</si>
  <si>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</si>
  <si>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</si>
  <si>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</si>
  <si>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</si>
  <si>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</si>
  <si>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</si>
  <si>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</si>
  <si>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</si>
  <si>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</si>
  <si>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</si>
  <si>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</si>
  <si>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</si>
  <si>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</si>
  <si>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</si>
  <si>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>Ha.Baarah</t>
  </si>
  <si>
    <t>Ha.Dhidhdhoo</t>
  </si>
  <si>
    <t>Ha.Filladhoo</t>
  </si>
  <si>
    <t>Ha.Hoarafushi</t>
  </si>
  <si>
    <t>Ha.Ihavandhoo</t>
  </si>
  <si>
    <t>Ha.Kela</t>
  </si>
  <si>
    <t>Ha.Maarandhoo</t>
  </si>
  <si>
    <t>Ha.Molhadhoo</t>
  </si>
  <si>
    <t>Ha.Muraidhoo</t>
  </si>
  <si>
    <t>Ha.Thakandhoo</t>
  </si>
  <si>
    <t>Ha.Thuraakunu</t>
  </si>
  <si>
    <t>Ha.Uligam</t>
  </si>
  <si>
    <t>Ha.Utheem</t>
  </si>
  <si>
    <t>Ha.Vashafaru</t>
  </si>
  <si>
    <t>Hdh.Finey</t>
  </si>
  <si>
    <t>Hdh.Hanimaadhoo</t>
  </si>
  <si>
    <t>Hdh.Hirimaradhoo</t>
  </si>
  <si>
    <t>Hdh.Kulhudhufushi</t>
  </si>
  <si>
    <t>Hdh.Kumundhoo</t>
  </si>
  <si>
    <t>Hdh.Kurin'bi</t>
  </si>
  <si>
    <t>Hdh.Makunudhoo</t>
  </si>
  <si>
    <t>Hdh.Naavaidhoo</t>
  </si>
  <si>
    <t>Hdh.Nellaidhoo</t>
  </si>
  <si>
    <t>Hdh.Neykurendhoo</t>
  </si>
  <si>
    <t>Hdh.Nolhivaram</t>
  </si>
  <si>
    <t>Hdh.Nolhivaramfaru</t>
  </si>
  <si>
    <t>Hdh.Vaikaradhoo</t>
  </si>
  <si>
    <t>Sh.Bilehfahi</t>
  </si>
  <si>
    <t>Sh.Feevah</t>
  </si>
  <si>
    <t>Sh.Feydhoo</t>
  </si>
  <si>
    <t>Sh.Foakaidhoo</t>
  </si>
  <si>
    <t>Sh.Funadhoo</t>
  </si>
  <si>
    <t>Sh.Goidhoo</t>
  </si>
  <si>
    <t>Sh.Kan'ditheem</t>
  </si>
  <si>
    <t>Sh.Komandoo</t>
  </si>
  <si>
    <t>Sh.Lhaimagu</t>
  </si>
  <si>
    <t>Sh.Maaun'goodhoo</t>
  </si>
  <si>
    <t>Sh.Maroshi</t>
  </si>
  <si>
    <t>Sh.Milandhoo</t>
  </si>
  <si>
    <t>Sh.Narudhoo</t>
  </si>
  <si>
    <t>Sh.Noomara</t>
  </si>
  <si>
    <t>N. Fohdhoo</t>
  </si>
  <si>
    <t>N. Henbadhoo</t>
  </si>
  <si>
    <t>N. Holhudhoo</t>
  </si>
  <si>
    <t>N. Kendhikulhudhoo</t>
  </si>
  <si>
    <t>N. Kudafari</t>
  </si>
  <si>
    <t>N. Landhoo</t>
  </si>
  <si>
    <t>N. Lhohi</t>
  </si>
  <si>
    <t>N. Maafaru</t>
  </si>
  <si>
    <t>N. Maalhendhoo</t>
  </si>
  <si>
    <t>N. Magoodhoo</t>
  </si>
  <si>
    <t>N. Manadhoo</t>
  </si>
  <si>
    <t>N. Miladhoo</t>
  </si>
  <si>
    <t>N. Velidhoo</t>
  </si>
  <si>
    <t>R. Alifushi</t>
  </si>
  <si>
    <t>R. Angolhitheemu</t>
  </si>
  <si>
    <t>R. Fainu</t>
  </si>
  <si>
    <t>R. Hulhudhuffaaru</t>
  </si>
  <si>
    <t>R. Inguraidhoo</t>
  </si>
  <si>
    <t>R. Innamaadhoo</t>
  </si>
  <si>
    <t>R. Kinolhas</t>
  </si>
  <si>
    <t>R. Maakurathu</t>
  </si>
  <si>
    <t>R. Maduvvari</t>
  </si>
  <si>
    <t>R. Meedhoo</t>
  </si>
  <si>
    <t>R. Rasgetheemu</t>
  </si>
  <si>
    <t>R. Rasmaadhoo</t>
  </si>
  <si>
    <t>R. Ungoofaaru</t>
  </si>
  <si>
    <t>R. Vaadhoo</t>
  </si>
  <si>
    <t>B. Dharavandhoo</t>
  </si>
  <si>
    <t>B. Dhonfanu</t>
  </si>
  <si>
    <t>B. Eydhafushi</t>
  </si>
  <si>
    <t>B. Fehendhoo</t>
  </si>
  <si>
    <t>B. Fulhadhoo</t>
  </si>
  <si>
    <t>B. Goidhoo</t>
  </si>
  <si>
    <t>B. Hithaadhoo</t>
  </si>
  <si>
    <t>B. Kamadhoo</t>
  </si>
  <si>
    <t>B. Kendhoo</t>
  </si>
  <si>
    <t>B. Kihaadhoo</t>
  </si>
  <si>
    <t>B. Kudarikilu</t>
  </si>
  <si>
    <t>B. Maalhos</t>
  </si>
  <si>
    <t>B. Thulhaadhoo</t>
  </si>
  <si>
    <t>Lh. Hinnavaru</t>
  </si>
  <si>
    <t>Lh. Kurendhoo</t>
  </si>
  <si>
    <t>Lh. Naifaru</t>
  </si>
  <si>
    <t>Lh. Olhuvelifushi</t>
  </si>
  <si>
    <t>K.Huraa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</si>
  <si>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</si>
  <si>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</si>
  <si>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</si>
  <si>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</si>
  <si>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</si>
  <si>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</si>
  <si>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</si>
  <si>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</si>
  <si>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</si>
  <si>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</si>
  <si>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</si>
  <si>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</si>
  <si>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</si>
  <si>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</si>
  <si>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</si>
  <si>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</si>
  <si>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</si>
  <si>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</si>
  <si>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</si>
  <si>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</si>
  <si>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</si>
  <si>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</si>
  <si>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</si>
  <si>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</si>
  <si>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</si>
  <si>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</si>
  <si>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</si>
  <si>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Maamigili</t>
  </si>
  <si>
    <t>V.Felidhoo</t>
  </si>
  <si>
    <t>V.Fulidhoo</t>
  </si>
  <si>
    <t>V.Thinadhoo</t>
  </si>
  <si>
    <t>V.Keyodhoo</t>
  </si>
  <si>
    <t>V.Rakeedhoo</t>
  </si>
  <si>
    <t>M.Veyvah</t>
  </si>
  <si>
    <t>M.Naalafushi</t>
  </si>
  <si>
    <t>M.Mulak</t>
  </si>
  <si>
    <t>M.Dhiggar</t>
  </si>
  <si>
    <t>M.Muli</t>
  </si>
  <si>
    <t>M.Maduvvaree</t>
  </si>
  <si>
    <t>M.Raiymandhoo</t>
  </si>
  <si>
    <t>M.Kolhufushi</t>
  </si>
  <si>
    <t>F.Bilehdhoo</t>
  </si>
  <si>
    <t>F.Feeali</t>
  </si>
  <si>
    <t>F.Dharaboodhoo</t>
  </si>
  <si>
    <t>F.Magoodhoo</t>
  </si>
  <si>
    <t>F.Nilandhoo</t>
  </si>
  <si>
    <t xml:space="preserve">Dh.Bandhidhoo </t>
  </si>
  <si>
    <t xml:space="preserve">Dh.Hulhudheli </t>
  </si>
  <si>
    <t>Dh.Kudahuvadhoo</t>
  </si>
  <si>
    <t>Dh.Meedhoo</t>
  </si>
  <si>
    <t>Dh.Maaenboodhoo</t>
  </si>
  <si>
    <t>Dh.Ribudhoo</t>
  </si>
  <si>
    <t xml:space="preserve">Th.Buruni </t>
  </si>
  <si>
    <t xml:space="preserve">Th.Dhiyamigili </t>
  </si>
  <si>
    <t xml:space="preserve">Th.Gaadhifushi </t>
  </si>
  <si>
    <t>TH.Guraidhoo</t>
  </si>
  <si>
    <t>TH.Hirilandhoo</t>
  </si>
  <si>
    <t xml:space="preserve">Th.Kandoodhoo </t>
  </si>
  <si>
    <t xml:space="preserve">Th.Kinbidhoo </t>
  </si>
  <si>
    <t xml:space="preserve">Th.Madifushi </t>
  </si>
  <si>
    <t>Th.Omadhoo</t>
  </si>
  <si>
    <t xml:space="preserve">Th.Thimarafushi </t>
  </si>
  <si>
    <t xml:space="preserve">Th.Vandhoo </t>
  </si>
  <si>
    <t>Th.Veymandoo</t>
  </si>
  <si>
    <t xml:space="preserve">Th.Vilufushi </t>
  </si>
  <si>
    <t>L.Dhabidhoo</t>
  </si>
  <si>
    <t>L.Fonadhoo</t>
  </si>
  <si>
    <t xml:space="preserve">L.Gan Mathimaradhoo </t>
  </si>
  <si>
    <t xml:space="preserve">L.Hithadhoo </t>
  </si>
  <si>
    <t>L.Isdhoo</t>
  </si>
  <si>
    <t>L.Kalaidhoo</t>
  </si>
  <si>
    <t xml:space="preserve">L.Kunahandhoo </t>
  </si>
  <si>
    <t>L.Maabaidhoo</t>
  </si>
  <si>
    <t>L.Maamendhoo</t>
  </si>
  <si>
    <t xml:space="preserve">L.Maavah </t>
  </si>
  <si>
    <t>L.Mundoo</t>
  </si>
  <si>
    <t>Ga.Dhaandhoo</t>
  </si>
  <si>
    <t>Ga.Dhevvadhoo</t>
  </si>
  <si>
    <t>Ga.Gemanafushi</t>
  </si>
  <si>
    <t>Ga.Kanduhulhudhoo</t>
  </si>
  <si>
    <t>Ga.Kolamaafushi</t>
  </si>
  <si>
    <t>Ga.Kondey</t>
  </si>
  <si>
    <t>Ga.Maamendhoo</t>
  </si>
  <si>
    <t>Ga.Vilingili</t>
  </si>
  <si>
    <t>Ga.Nilandhoo</t>
  </si>
  <si>
    <t>Gdh.Faresmathoda</t>
  </si>
  <si>
    <t>Gdh.Fiyoreee</t>
  </si>
  <si>
    <t>Gdh.Gaddhoo</t>
  </si>
  <si>
    <t>Gdh.Hoadehdhoo</t>
  </si>
  <si>
    <t>Gdh.Madaveli</t>
  </si>
  <si>
    <t>Gdh.Nadella</t>
  </si>
  <si>
    <t>Gdh.Rathafandhoo</t>
  </si>
  <si>
    <t>Gdh.Thinadhoo</t>
  </si>
  <si>
    <t>Gdh.Vaadhoo</t>
  </si>
  <si>
    <t>Gn.Fuvahmulah</t>
  </si>
  <si>
    <t>S.Hithadhoo</t>
  </si>
  <si>
    <t>S.Hulhumeedhoo</t>
  </si>
  <si>
    <t>NA: Data not available</t>
  </si>
  <si>
    <t>Source: State Electric Company Limited, Fenaka Corporation Limited</t>
  </si>
  <si>
    <t>Greater Male' Region</t>
  </si>
  <si>
    <t>PV - Photovoltaic system is an electrical system that produces energy from a renewable and inexhaustible source the sun.</t>
  </si>
  <si>
    <t>PPA: Solar power purchase agreement (solar PPA), you contract with a solar developer that pays for, installs, and maintains a solar system on your property. The developer owns the system but agrees to sell you electricity at a fixed price.</t>
  </si>
  <si>
    <t>Net metering: Net metering is a billing tool offered for customers with on-site solar panels which can send the excess energy generated by their renewable energy systems back to the STELCO electric grid which is then credited from there energy bills.</t>
  </si>
  <si>
    <r>
      <rPr>
        <b/>
        <sz val="11"/>
        <color rgb="FF000000"/>
        <rFont val="Calibri"/>
        <family val="2"/>
        <scheme val="minor"/>
      </rPr>
      <t>Note:</t>
    </r>
    <r>
      <rPr>
        <b/>
        <i/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2023 Monthly Electricity Production includes Fuel, Lub oil and monthly total generation which includes renewable energy STELCO PV, Power purchase agreement PV and Net Metering data respectively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</si>
</sst>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7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color theme="1"/>
      <name val="A_Faseyha"/>
    </font>
    <font>
      <sz val="10.5"/>
      <name val="A_Faseyha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2" fillId="0" borderId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right"/>
    </xf>
    <xf numFmtId="0" fontId="12" fillId="2" borderId="5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left" vertical="center"/>
    </xf>
    <xf numFmtId="165" fontId="1" fillId="2" borderId="7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1" fillId="2" borderId="8" xfId="0" applyNumberFormat="1" applyFont="1" applyFill="1" applyBorder="1" applyAlignment="1">
      <alignment horizontal="right" vertical="center"/>
    </xf>
    <xf numFmtId="165" fontId="1" fillId="2" borderId="9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165" fontId="1" fillId="2" borderId="1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8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74D0-221A-48C9-83A1-71F72C93DFD8}">
  <sheetPr>
    <tabColor rgb="FF92D050"/>
  </sheetPr>
  <dimension ref="A2:N199"/>
  <sheetViews>
    <sheetView tabSelected="1" zoomScale="86" zoomScaleNormal="86" workbookViewId="0">
      <selection activeCell="X109" sqref="X109"/>
    </sheetView>
  </sheetViews>
  <sheetFormatPr defaultColWidth="9.140625" defaultRowHeight="15"/>
  <cols>
    <col min="1" max="1" width="21.42578125" style="14" customWidth="1"/>
    <col min="2" max="2" width="12.28515625" style="1" customWidth="1"/>
    <col min="3" max="14" width="11.42578125" style="1" customWidth="1"/>
    <col min="15" max="15" width="3.5703125" style="1" customWidth="1"/>
    <col min="16" max="16384" width="9.140625" style="1"/>
  </cols>
  <sheetData>
    <row r="2" spans="1:14" ht="16.5">
      <c r="A2" s="22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5.75">
      <c r="A3" s="20" t="s">
        <v>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7.25">
      <c r="A4" s="23" t="s">
        <v>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7.25">
      <c r="A5" s="24" t="s">
        <v>8</v>
      </c>
      <c r="B5" s="5" t="s">
        <v>0</v>
      </c>
      <c r="C5" s="6" t="s">
        <v>9</v>
      </c>
      <c r="D5" s="6" t="s">
        <v>10</v>
      </c>
      <c r="E5" s="6" t="s">
        <v>1</v>
      </c>
      <c r="F5" s="6" t="s">
        <v>11</v>
      </c>
      <c r="G5" s="6" t="s">
        <v>2</v>
      </c>
      <c r="H5" s="6" t="s">
        <v>3</v>
      </c>
      <c r="I5" s="6" t="s">
        <v>4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</row>
    <row r="6" spans="1:14">
      <c r="A6" s="25"/>
      <c r="B6" s="7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8" t="s">
        <v>23</v>
      </c>
      <c r="I6" s="8" t="s">
        <v>24</v>
      </c>
      <c r="J6" s="8" t="s">
        <v>25</v>
      </c>
      <c r="K6" s="8" t="s">
        <v>26</v>
      </c>
      <c r="L6" s="8" t="s">
        <v>27</v>
      </c>
      <c r="M6" s="8" t="s">
        <v>28</v>
      </c>
      <c r="N6" s="8" t="s">
        <v>29</v>
      </c>
    </row>
    <row r="7" spans="1:14" s="2" customFormat="1" ht="12.75" customHeight="1">
      <c r="A7" s="9" t="s">
        <v>218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s="2" customFormat="1" ht="18.75" customHeight="1">
      <c r="A8" s="18" t="s">
        <v>30</v>
      </c>
      <c r="B8" s="12">
        <f>SUM(C8:N8)</f>
        <v>318905.58394999994</v>
      </c>
      <c r="C8" s="16">
        <v>22067.617200000001</v>
      </c>
      <c r="D8" s="16">
        <v>23655.916499999999</v>
      </c>
      <c r="E8" s="16">
        <v>28372.385699999999</v>
      </c>
      <c r="F8" s="16">
        <v>29358.453000000001</v>
      </c>
      <c r="G8" s="16">
        <v>28138.190600000002</v>
      </c>
      <c r="H8" s="16">
        <v>24782.786909999999</v>
      </c>
      <c r="I8" s="16">
        <v>26123.76584</v>
      </c>
      <c r="J8" s="16">
        <v>30019.14</v>
      </c>
      <c r="K8" s="16">
        <v>24581.592239999998</v>
      </c>
      <c r="L8" s="16">
        <v>28578.68721</v>
      </c>
      <c r="M8" s="16">
        <v>25497.545710000002</v>
      </c>
      <c r="N8" s="16">
        <v>27729.50304</v>
      </c>
    </row>
    <row r="9" spans="1:14" s="2" customFormat="1" ht="18.75" customHeight="1">
      <c r="A9" s="18" t="s">
        <v>31</v>
      </c>
      <c r="B9" s="12">
        <f>SUM(C9:N9)</f>
        <v>15133.002000000002</v>
      </c>
      <c r="C9" s="16">
        <v>1098.627</v>
      </c>
      <c r="D9" s="16">
        <v>1067.105</v>
      </c>
      <c r="E9" s="16">
        <v>1270.9390000000001</v>
      </c>
      <c r="F9" s="16">
        <v>1377.85</v>
      </c>
      <c r="G9" s="16">
        <v>1353.931</v>
      </c>
      <c r="H9" s="16">
        <v>1295.538</v>
      </c>
      <c r="I9" s="16">
        <v>1302.088</v>
      </c>
      <c r="J9" s="16">
        <v>1394.8989999999999</v>
      </c>
      <c r="K9" s="16">
        <v>1227.4590000000001</v>
      </c>
      <c r="L9" s="16">
        <v>1251.941</v>
      </c>
      <c r="M9" s="16">
        <v>1232.992</v>
      </c>
      <c r="N9" s="16">
        <v>1259.633</v>
      </c>
    </row>
    <row r="10" spans="1:14" s="2" customFormat="1" ht="18.75" customHeight="1">
      <c r="A10" s="18" t="s">
        <v>32</v>
      </c>
      <c r="B10" s="12">
        <f>SUM(C10:N10)</f>
        <v>346553.30336000002</v>
      </c>
      <c r="C10" s="16">
        <v>26782.103789999997</v>
      </c>
      <c r="D10" s="16">
        <v>24252.391660000001</v>
      </c>
      <c r="E10" s="16">
        <v>28321.89387</v>
      </c>
      <c r="F10" s="16">
        <v>29448.768789999998</v>
      </c>
      <c r="G10" s="16">
        <v>31814.513480000001</v>
      </c>
      <c r="H10" s="16">
        <v>31220.63407</v>
      </c>
      <c r="I10" s="16">
        <v>29963.9424</v>
      </c>
      <c r="J10" s="16">
        <v>30742.646639999999</v>
      </c>
      <c r="K10" s="16">
        <v>27855.499660000001</v>
      </c>
      <c r="L10" s="16">
        <v>27996.14</v>
      </c>
      <c r="M10" s="16">
        <v>29092</v>
      </c>
      <c r="N10" s="16">
        <v>29062.769</v>
      </c>
    </row>
    <row r="11" spans="1:14" s="2" customFormat="1" ht="18.75" customHeight="1">
      <c r="A11" s="18" t="s">
        <v>124</v>
      </c>
      <c r="B11" s="12">
        <f>SUM(C11:N11)</f>
        <v>8826.3260000000009</v>
      </c>
      <c r="C11" s="16">
        <v>824.19500000000005</v>
      </c>
      <c r="D11" s="16">
        <v>728.11599999999999</v>
      </c>
      <c r="E11" s="16">
        <v>768.46400000000006</v>
      </c>
      <c r="F11" s="16">
        <v>777.24099999999999</v>
      </c>
      <c r="G11" s="16">
        <v>715.005</v>
      </c>
      <c r="H11" s="16">
        <v>711.25900000000001</v>
      </c>
      <c r="I11" s="16">
        <v>745.32500000000005</v>
      </c>
      <c r="J11" s="16">
        <v>725.66499999999996</v>
      </c>
      <c r="K11" s="16">
        <v>712.84100000000001</v>
      </c>
      <c r="L11" s="16">
        <v>750.40200000000004</v>
      </c>
      <c r="M11" s="16">
        <v>689.11900000000003</v>
      </c>
      <c r="N11" s="16">
        <v>678.69399999999996</v>
      </c>
    </row>
    <row r="12" spans="1:14" s="2" customFormat="1" ht="18.75" customHeight="1">
      <c r="A12" s="18" t="s">
        <v>125</v>
      </c>
      <c r="B12" s="12">
        <f>SUM(C12:N12)</f>
        <v>1523.701</v>
      </c>
      <c r="C12" s="16">
        <v>128.17400000000001</v>
      </c>
      <c r="D12" s="16">
        <v>120.837</v>
      </c>
      <c r="E12" s="16">
        <v>139.316</v>
      </c>
      <c r="F12" s="16">
        <v>139.74100000000001</v>
      </c>
      <c r="G12" s="16">
        <v>130.19499999999999</v>
      </c>
      <c r="H12" s="16">
        <v>125.069</v>
      </c>
      <c r="I12" s="16">
        <v>124.08</v>
      </c>
      <c r="J12" s="16">
        <v>126.29300000000001</v>
      </c>
      <c r="K12" s="16">
        <v>120.925</v>
      </c>
      <c r="L12" s="16">
        <v>128.91300000000001</v>
      </c>
      <c r="M12" s="16">
        <v>120.151</v>
      </c>
      <c r="N12" s="16">
        <v>120.00700000000001</v>
      </c>
    </row>
    <row r="13" spans="1:14" s="2" customFormat="1" ht="18.75" hidden="1" customHeight="1">
      <c r="A13" s="3" t="s">
        <v>33</v>
      </c>
      <c r="B13" s="12">
        <f t="shared" ref="B13:B76" si="0">SUM(C13:N13)</f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s="2" customFormat="1" ht="18.75" hidden="1" customHeight="1">
      <c r="A14" s="3" t="s">
        <v>34</v>
      </c>
      <c r="B14" s="12">
        <f t="shared" si="0"/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s="2" customFormat="1" ht="18.75" hidden="1" customHeight="1">
      <c r="A15" s="3" t="s">
        <v>35</v>
      </c>
      <c r="B15" s="12">
        <f t="shared" si="0"/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s="2" customFormat="1" ht="18.75" hidden="1" customHeight="1">
      <c r="A16" s="3" t="s">
        <v>36</v>
      </c>
      <c r="B16" s="12">
        <f t="shared" si="0"/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</row>
    <row r="17" spans="1:14" s="2" customFormat="1" ht="18.75" hidden="1" customHeight="1">
      <c r="A17" s="3" t="s">
        <v>37</v>
      </c>
      <c r="B17" s="12">
        <f t="shared" si="0"/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</row>
    <row r="18" spans="1:14" s="2" customFormat="1" ht="18.75" hidden="1" customHeight="1">
      <c r="A18" s="3" t="s">
        <v>38</v>
      </c>
      <c r="B18" s="12">
        <f t="shared" si="0"/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s="2" customFormat="1" ht="18.75" hidden="1" customHeight="1">
      <c r="A19" s="3" t="s">
        <v>39</v>
      </c>
      <c r="B19" s="12">
        <f t="shared" si="0"/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</row>
    <row r="20" spans="1:14" s="2" customFormat="1" ht="18.75" hidden="1" customHeight="1">
      <c r="A20" s="3" t="s">
        <v>40</v>
      </c>
      <c r="B20" s="12">
        <f t="shared" si="0"/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</row>
    <row r="21" spans="1:14" s="2" customFormat="1" ht="18.75" hidden="1" customHeight="1">
      <c r="A21" s="3" t="s">
        <v>41</v>
      </c>
      <c r="B21" s="12">
        <f t="shared" si="0"/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</row>
    <row r="22" spans="1:14" s="2" customFormat="1" ht="18.75" hidden="1" customHeight="1">
      <c r="A22" s="3" t="s">
        <v>42</v>
      </c>
      <c r="B22" s="12">
        <f t="shared" si="0"/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</row>
    <row r="23" spans="1:14" s="2" customFormat="1" ht="18.75" hidden="1" customHeight="1">
      <c r="A23" s="3" t="s">
        <v>43</v>
      </c>
      <c r="B23" s="12">
        <f t="shared" si="0"/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s="2" customFormat="1" ht="18.75" hidden="1" customHeight="1">
      <c r="A24" s="3" t="s">
        <v>44</v>
      </c>
      <c r="B24" s="12">
        <f t="shared" si="0"/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</row>
    <row r="25" spans="1:14" s="2" customFormat="1" ht="18.75" hidden="1" customHeight="1">
      <c r="A25" s="3" t="s">
        <v>45</v>
      </c>
      <c r="B25" s="12">
        <f t="shared" si="0"/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</row>
    <row r="26" spans="1:14" s="2" customFormat="1" ht="18.75" hidden="1" customHeight="1">
      <c r="A26" s="3" t="s">
        <v>46</v>
      </c>
      <c r="B26" s="12">
        <f t="shared" si="0"/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</row>
    <row r="27" spans="1:14" s="2" customFormat="1" ht="18.75" hidden="1" customHeight="1">
      <c r="A27" s="3" t="s">
        <v>47</v>
      </c>
      <c r="B27" s="12">
        <f t="shared" si="0"/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</row>
    <row r="28" spans="1:14" s="2" customFormat="1" ht="18.75" hidden="1" customHeight="1">
      <c r="A28" s="3" t="s">
        <v>48</v>
      </c>
      <c r="B28" s="12">
        <f t="shared" si="0"/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</row>
    <row r="29" spans="1:14" s="2" customFormat="1" ht="18.75" hidden="1" customHeight="1">
      <c r="A29" s="3" t="s">
        <v>49</v>
      </c>
      <c r="B29" s="12">
        <f t="shared" si="0"/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</row>
    <row r="30" spans="1:14" s="2" customFormat="1" ht="18.75" hidden="1" customHeight="1">
      <c r="A30" s="3" t="s">
        <v>50</v>
      </c>
      <c r="B30" s="12">
        <f t="shared" si="0"/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</row>
    <row r="31" spans="1:14" s="2" customFormat="1" ht="18.75" hidden="1" customHeight="1">
      <c r="A31" s="3" t="s">
        <v>51</v>
      </c>
      <c r="B31" s="12">
        <f t="shared" si="0"/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</row>
    <row r="32" spans="1:14" s="2" customFormat="1" ht="18.75" hidden="1" customHeight="1">
      <c r="A32" s="3" t="s">
        <v>52</v>
      </c>
      <c r="B32" s="12">
        <f t="shared" si="0"/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</row>
    <row r="33" spans="1:14" s="2" customFormat="1" ht="18.75" hidden="1" customHeight="1">
      <c r="A33" s="3" t="s">
        <v>53</v>
      </c>
      <c r="B33" s="12">
        <f t="shared" si="0"/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</row>
    <row r="34" spans="1:14" s="2" customFormat="1" ht="18.75" hidden="1" customHeight="1">
      <c r="A34" s="3" t="s">
        <v>54</v>
      </c>
      <c r="B34" s="12">
        <f t="shared" si="0"/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</row>
    <row r="35" spans="1:14" s="2" customFormat="1" ht="18.75" hidden="1" customHeight="1">
      <c r="A35" s="3" t="s">
        <v>55</v>
      </c>
      <c r="B35" s="12">
        <f t="shared" si="0"/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</row>
    <row r="36" spans="1:14" s="2" customFormat="1" ht="18.75" hidden="1" customHeight="1">
      <c r="A36" s="3" t="s">
        <v>56</v>
      </c>
      <c r="B36" s="12">
        <f t="shared" si="0"/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</row>
    <row r="37" spans="1:14" s="2" customFormat="1" ht="18.75" hidden="1" customHeight="1">
      <c r="A37" s="3" t="s">
        <v>57</v>
      </c>
      <c r="B37" s="12">
        <f t="shared" si="0"/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</row>
    <row r="38" spans="1:14" s="2" customFormat="1" ht="18.75" hidden="1" customHeight="1">
      <c r="A38" s="3" t="s">
        <v>58</v>
      </c>
      <c r="B38" s="12">
        <f t="shared" si="0"/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</row>
    <row r="39" spans="1:14" s="2" customFormat="1" ht="18.75" hidden="1" customHeight="1">
      <c r="A39" s="3" t="s">
        <v>59</v>
      </c>
      <c r="B39" s="12">
        <f t="shared" si="0"/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</row>
    <row r="40" spans="1:14" s="2" customFormat="1" ht="18.75" hidden="1" customHeight="1">
      <c r="A40" s="3" t="s">
        <v>60</v>
      </c>
      <c r="B40" s="12">
        <f t="shared" si="0"/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</row>
    <row r="41" spans="1:14" s="2" customFormat="1" ht="18.75" hidden="1" customHeight="1">
      <c r="A41" s="3" t="s">
        <v>61</v>
      </c>
      <c r="B41" s="12">
        <f t="shared" si="0"/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</row>
    <row r="42" spans="1:14" s="2" customFormat="1" ht="18.75" hidden="1" customHeight="1">
      <c r="A42" s="3" t="s">
        <v>62</v>
      </c>
      <c r="B42" s="12">
        <f t="shared" si="0"/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</row>
    <row r="43" spans="1:14" s="2" customFormat="1" ht="18.75" hidden="1" customHeight="1">
      <c r="A43" s="3" t="s">
        <v>63</v>
      </c>
      <c r="B43" s="12">
        <f t="shared" si="0"/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14" s="2" customFormat="1" ht="18.75" hidden="1" customHeight="1">
      <c r="A44" s="3" t="s">
        <v>64</v>
      </c>
      <c r="B44" s="12">
        <f t="shared" si="0"/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</row>
    <row r="45" spans="1:14" s="2" customFormat="1" ht="18.75" hidden="1" customHeight="1">
      <c r="A45" s="3" t="s">
        <v>65</v>
      </c>
      <c r="B45" s="12">
        <f t="shared" si="0"/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</row>
    <row r="46" spans="1:14" s="2" customFormat="1" ht="18.75" hidden="1" customHeight="1">
      <c r="A46" s="3" t="s">
        <v>66</v>
      </c>
      <c r="B46" s="12">
        <f t="shared" si="0"/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</row>
    <row r="47" spans="1:14" s="2" customFormat="1" ht="18.75" hidden="1" customHeight="1">
      <c r="A47" s="3" t="s">
        <v>67</v>
      </c>
      <c r="B47" s="12">
        <f t="shared" si="0"/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</row>
    <row r="48" spans="1:14" s="2" customFormat="1" ht="18.75" hidden="1" customHeight="1">
      <c r="A48" s="3" t="s">
        <v>68</v>
      </c>
      <c r="B48" s="12">
        <f t="shared" si="0"/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</row>
    <row r="49" spans="1:14" s="2" customFormat="1" ht="18.75" hidden="1" customHeight="1">
      <c r="A49" s="3" t="s">
        <v>69</v>
      </c>
      <c r="B49" s="12">
        <f t="shared" si="0"/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</row>
    <row r="50" spans="1:14" s="2" customFormat="1" ht="18.75" hidden="1" customHeight="1">
      <c r="A50" s="3" t="s">
        <v>70</v>
      </c>
      <c r="B50" s="12">
        <f t="shared" si="0"/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</row>
    <row r="51" spans="1:14" s="2" customFormat="1" ht="18.75" hidden="1" customHeight="1">
      <c r="A51" s="3" t="s">
        <v>71</v>
      </c>
      <c r="B51" s="12">
        <f t="shared" si="0"/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</row>
    <row r="52" spans="1:14" s="2" customFormat="1" ht="18.75" hidden="1" customHeight="1">
      <c r="A52" s="3" t="s">
        <v>72</v>
      </c>
      <c r="B52" s="12">
        <f t="shared" si="0"/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</row>
    <row r="53" spans="1:14" s="2" customFormat="1" ht="18.75" hidden="1" customHeight="1">
      <c r="A53" s="3" t="s">
        <v>73</v>
      </c>
      <c r="B53" s="12">
        <f t="shared" si="0"/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</row>
    <row r="54" spans="1:14" s="2" customFormat="1" ht="18.75" hidden="1" customHeight="1">
      <c r="A54" s="3" t="s">
        <v>74</v>
      </c>
      <c r="B54" s="12">
        <f t="shared" si="0"/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</row>
    <row r="55" spans="1:14" s="2" customFormat="1" ht="18.75" hidden="1" customHeight="1">
      <c r="A55" s="3" t="s">
        <v>75</v>
      </c>
      <c r="B55" s="12">
        <f t="shared" si="0"/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</row>
    <row r="56" spans="1:14" s="2" customFormat="1" ht="18.75" hidden="1" customHeight="1">
      <c r="A56" s="3" t="s">
        <v>76</v>
      </c>
      <c r="B56" s="12">
        <f t="shared" si="0"/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</row>
    <row r="57" spans="1:14" s="2" customFormat="1" ht="18.75" hidden="1" customHeight="1">
      <c r="A57" s="3" t="s">
        <v>77</v>
      </c>
      <c r="B57" s="12">
        <f t="shared" si="0"/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</row>
    <row r="58" spans="1:14" s="2" customFormat="1" ht="18.75" hidden="1" customHeight="1">
      <c r="A58" s="3" t="s">
        <v>78</v>
      </c>
      <c r="B58" s="12">
        <f t="shared" si="0"/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</row>
    <row r="59" spans="1:14" s="2" customFormat="1" ht="18.75" hidden="1" customHeight="1">
      <c r="A59" s="3" t="s">
        <v>79</v>
      </c>
      <c r="B59" s="12">
        <f t="shared" si="0"/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</row>
    <row r="60" spans="1:14" s="2" customFormat="1" ht="18.75" hidden="1" customHeight="1">
      <c r="A60" s="3" t="s">
        <v>80</v>
      </c>
      <c r="B60" s="12">
        <f t="shared" si="0"/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</row>
    <row r="61" spans="1:14" s="2" customFormat="1" ht="18.75" hidden="1" customHeight="1">
      <c r="A61" s="3" t="s">
        <v>81</v>
      </c>
      <c r="B61" s="12">
        <f t="shared" si="0"/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</row>
    <row r="62" spans="1:14" s="2" customFormat="1" ht="18.75" hidden="1" customHeight="1">
      <c r="A62" s="3" t="s">
        <v>82</v>
      </c>
      <c r="B62" s="12">
        <f t="shared" si="0"/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</row>
    <row r="63" spans="1:14" s="2" customFormat="1" ht="18.75" hidden="1" customHeight="1">
      <c r="A63" s="3" t="s">
        <v>83</v>
      </c>
      <c r="B63" s="12">
        <f t="shared" si="0"/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</row>
    <row r="64" spans="1:14" s="2" customFormat="1" ht="18.75" hidden="1" customHeight="1">
      <c r="A64" s="3" t="s">
        <v>84</v>
      </c>
      <c r="B64" s="12">
        <f t="shared" si="0"/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</row>
    <row r="65" spans="1:14" s="2" customFormat="1" ht="18.75" hidden="1" customHeight="1">
      <c r="A65" s="3" t="s">
        <v>85</v>
      </c>
      <c r="B65" s="12">
        <f t="shared" si="0"/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</row>
    <row r="66" spans="1:14" s="2" customFormat="1" ht="18.75" hidden="1" customHeight="1">
      <c r="A66" s="3" t="s">
        <v>86</v>
      </c>
      <c r="B66" s="12">
        <f t="shared" si="0"/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</row>
    <row r="67" spans="1:14" s="2" customFormat="1" ht="18.75" hidden="1" customHeight="1">
      <c r="A67" s="3" t="s">
        <v>87</v>
      </c>
      <c r="B67" s="12">
        <f t="shared" si="0"/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</row>
    <row r="68" spans="1:14" s="2" customFormat="1" ht="18.75" hidden="1" customHeight="1">
      <c r="A68" s="3" t="s">
        <v>88</v>
      </c>
      <c r="B68" s="12">
        <f t="shared" si="0"/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</row>
    <row r="69" spans="1:14" s="2" customFormat="1" ht="18.75" hidden="1" customHeight="1">
      <c r="A69" s="3" t="s">
        <v>89</v>
      </c>
      <c r="B69" s="12">
        <f t="shared" si="0"/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</row>
    <row r="70" spans="1:14" s="2" customFormat="1" ht="18.75" hidden="1" customHeight="1">
      <c r="A70" s="3" t="s">
        <v>90</v>
      </c>
      <c r="B70" s="12">
        <f t="shared" si="0"/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</row>
    <row r="71" spans="1:14" s="2" customFormat="1" ht="18.75" hidden="1" customHeight="1">
      <c r="A71" s="3" t="s">
        <v>91</v>
      </c>
      <c r="B71" s="12">
        <f t="shared" si="0"/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</row>
    <row r="72" spans="1:14" s="2" customFormat="1" ht="18.75" hidden="1" customHeight="1">
      <c r="A72" s="3" t="s">
        <v>92</v>
      </c>
      <c r="B72" s="12">
        <f t="shared" si="0"/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</row>
    <row r="73" spans="1:14" s="2" customFormat="1" ht="18.75" hidden="1" customHeight="1">
      <c r="A73" s="3" t="s">
        <v>93</v>
      </c>
      <c r="B73" s="12">
        <f t="shared" si="0"/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</row>
    <row r="74" spans="1:14" s="2" customFormat="1" ht="18.75" hidden="1" customHeight="1">
      <c r="A74" s="3" t="s">
        <v>94</v>
      </c>
      <c r="B74" s="12">
        <f t="shared" si="0"/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</row>
    <row r="75" spans="1:14" s="2" customFormat="1" ht="18.75" hidden="1" customHeight="1">
      <c r="A75" s="3" t="s">
        <v>95</v>
      </c>
      <c r="B75" s="12">
        <f t="shared" si="0"/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</row>
    <row r="76" spans="1:14" s="2" customFormat="1" ht="18.75" hidden="1" customHeight="1">
      <c r="A76" s="3" t="s">
        <v>96</v>
      </c>
      <c r="B76" s="12">
        <f t="shared" si="0"/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</row>
    <row r="77" spans="1:14" s="2" customFormat="1" ht="18.75" hidden="1" customHeight="1">
      <c r="A77" s="3" t="s">
        <v>97</v>
      </c>
      <c r="B77" s="12">
        <f t="shared" ref="B77:B138" si="1">SUM(C77:N77)</f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</row>
    <row r="78" spans="1:14" s="2" customFormat="1" ht="18.75" hidden="1" customHeight="1">
      <c r="A78" s="3" t="s">
        <v>98</v>
      </c>
      <c r="B78" s="12">
        <f t="shared" si="1"/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</row>
    <row r="79" spans="1:14" s="2" customFormat="1" ht="18.75" hidden="1" customHeight="1">
      <c r="A79" s="3" t="s">
        <v>99</v>
      </c>
      <c r="B79" s="12">
        <f t="shared" si="1"/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</row>
    <row r="80" spans="1:14" s="2" customFormat="1" ht="18.75" hidden="1" customHeight="1">
      <c r="A80" s="3" t="s">
        <v>100</v>
      </c>
      <c r="B80" s="12">
        <f t="shared" si="1"/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</row>
    <row r="81" spans="1:14" s="2" customFormat="1" ht="18.75" hidden="1" customHeight="1">
      <c r="A81" s="3" t="s">
        <v>101</v>
      </c>
      <c r="B81" s="12">
        <f t="shared" si="1"/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</row>
    <row r="82" spans="1:14" s="2" customFormat="1" ht="18.75" hidden="1" customHeight="1">
      <c r="A82" s="3" t="s">
        <v>102</v>
      </c>
      <c r="B82" s="12">
        <f t="shared" si="1"/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</row>
    <row r="83" spans="1:14" s="2" customFormat="1" ht="18.75" hidden="1" customHeight="1">
      <c r="A83" s="3" t="s">
        <v>103</v>
      </c>
      <c r="B83" s="12">
        <f t="shared" si="1"/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</row>
    <row r="84" spans="1:14" s="2" customFormat="1" ht="18.75" hidden="1" customHeight="1">
      <c r="A84" s="3" t="s">
        <v>104</v>
      </c>
      <c r="B84" s="12">
        <f t="shared" si="1"/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</row>
    <row r="85" spans="1:14" s="2" customFormat="1" ht="18.75" hidden="1" customHeight="1">
      <c r="A85" s="3" t="s">
        <v>105</v>
      </c>
      <c r="B85" s="12">
        <f t="shared" si="1"/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</row>
    <row r="86" spans="1:14" s="2" customFormat="1" ht="18.75" hidden="1" customHeight="1">
      <c r="A86" s="3" t="s">
        <v>106</v>
      </c>
      <c r="B86" s="12">
        <f t="shared" si="1"/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</row>
    <row r="87" spans="1:14" s="2" customFormat="1" ht="18.75" hidden="1" customHeight="1">
      <c r="A87" s="3" t="s">
        <v>107</v>
      </c>
      <c r="B87" s="12">
        <f t="shared" si="1"/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</row>
    <row r="88" spans="1:14" s="2" customFormat="1" ht="18.75" hidden="1" customHeight="1">
      <c r="A88" s="3" t="s">
        <v>108</v>
      </c>
      <c r="B88" s="12">
        <f t="shared" si="1"/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</row>
    <row r="89" spans="1:14" s="2" customFormat="1" ht="18.75" hidden="1" customHeight="1">
      <c r="A89" s="3" t="s">
        <v>109</v>
      </c>
      <c r="B89" s="12">
        <f t="shared" si="1"/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</row>
    <row r="90" spans="1:14" s="2" customFormat="1" ht="18.75" hidden="1" customHeight="1">
      <c r="A90" s="3" t="s">
        <v>110</v>
      </c>
      <c r="B90" s="12">
        <f t="shared" si="1"/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</row>
    <row r="91" spans="1:14" s="2" customFormat="1" ht="18.75" hidden="1" customHeight="1">
      <c r="A91" s="3" t="s">
        <v>111</v>
      </c>
      <c r="B91" s="12">
        <f t="shared" si="1"/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</row>
    <row r="92" spans="1:14" s="2" customFormat="1" ht="18.75" hidden="1" customHeight="1">
      <c r="A92" s="3" t="s">
        <v>112</v>
      </c>
      <c r="B92" s="12">
        <f t="shared" si="1"/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</row>
    <row r="93" spans="1:14" s="2" customFormat="1" ht="18.75" hidden="1" customHeight="1">
      <c r="A93" s="3" t="s">
        <v>113</v>
      </c>
      <c r="B93" s="12">
        <f t="shared" si="1"/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s="2" customFormat="1" ht="18.75" hidden="1" customHeight="1">
      <c r="A94" s="3" t="s">
        <v>114</v>
      </c>
      <c r="B94" s="12">
        <f t="shared" si="1"/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</row>
    <row r="95" spans="1:14" s="2" customFormat="1" ht="18.75" hidden="1" customHeight="1">
      <c r="A95" s="3" t="s">
        <v>115</v>
      </c>
      <c r="B95" s="12">
        <f t="shared" si="1"/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</row>
    <row r="96" spans="1:14" s="2" customFormat="1" ht="18.75" hidden="1" customHeight="1">
      <c r="A96" s="3" t="s">
        <v>116</v>
      </c>
      <c r="B96" s="12">
        <f t="shared" si="1"/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</row>
    <row r="97" spans="1:14" s="2" customFormat="1" ht="18.75" hidden="1" customHeight="1">
      <c r="A97" s="3" t="s">
        <v>117</v>
      </c>
      <c r="B97" s="12">
        <f t="shared" si="1"/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</row>
    <row r="98" spans="1:14" s="2" customFormat="1" ht="18.75" hidden="1" customHeight="1">
      <c r="A98" s="3" t="s">
        <v>118</v>
      </c>
      <c r="B98" s="12">
        <f t="shared" si="1"/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</row>
    <row r="99" spans="1:14" s="2" customFormat="1" ht="18.75" customHeight="1">
      <c r="A99" s="3" t="s">
        <v>119</v>
      </c>
      <c r="B99" s="12">
        <f t="shared" si="1"/>
        <v>4643.2729999999992</v>
      </c>
      <c r="C99" s="16">
        <v>341.89699999999999</v>
      </c>
      <c r="D99" s="16">
        <v>333.31099999999998</v>
      </c>
      <c r="E99" s="16">
        <v>401.37700000000001</v>
      </c>
      <c r="F99" s="16">
        <v>468.52300000000002</v>
      </c>
      <c r="G99" s="16">
        <v>418.19099999999997</v>
      </c>
      <c r="H99" s="16">
        <v>392.44</v>
      </c>
      <c r="I99" s="16">
        <v>403.54599999999999</v>
      </c>
      <c r="J99" s="16">
        <v>428.18200000000002</v>
      </c>
      <c r="K99" s="16">
        <v>349.113</v>
      </c>
      <c r="L99" s="16">
        <v>354.35199999999998</v>
      </c>
      <c r="M99" s="16">
        <v>370.61599999999999</v>
      </c>
      <c r="N99" s="16">
        <v>381.72500000000002</v>
      </c>
    </row>
    <row r="100" spans="1:14" s="2" customFormat="1" ht="18.75" customHeight="1">
      <c r="A100" s="3" t="s">
        <v>120</v>
      </c>
      <c r="B100" s="12">
        <f t="shared" si="1"/>
        <v>2743.62345</v>
      </c>
      <c r="C100" s="16">
        <v>204.62899999999999</v>
      </c>
      <c r="D100" s="16">
        <v>200.608</v>
      </c>
      <c r="E100" s="16">
        <v>245.15</v>
      </c>
      <c r="F100" s="16">
        <v>285.16000000000003</v>
      </c>
      <c r="G100" s="16">
        <v>239.78899999999999</v>
      </c>
      <c r="H100" s="16">
        <v>236.69900000000001</v>
      </c>
      <c r="I100" s="16">
        <v>233.13300000000001</v>
      </c>
      <c r="J100" s="16">
        <v>241.649</v>
      </c>
      <c r="K100" s="16">
        <v>197.62045000000001</v>
      </c>
      <c r="L100" s="16">
        <v>213.53200000000001</v>
      </c>
      <c r="M100" s="16">
        <v>217.672</v>
      </c>
      <c r="N100" s="16">
        <v>227.982</v>
      </c>
    </row>
    <row r="101" spans="1:14" s="2" customFormat="1" ht="18.75" customHeight="1">
      <c r="A101" s="3" t="s">
        <v>121</v>
      </c>
      <c r="B101" s="12">
        <f t="shared" si="1"/>
        <v>3731.6489999999999</v>
      </c>
      <c r="C101" s="16">
        <v>273.13900000000001</v>
      </c>
      <c r="D101" s="16">
        <v>262.79599999999999</v>
      </c>
      <c r="E101" s="16">
        <v>320.15499999999997</v>
      </c>
      <c r="F101" s="16">
        <v>334.94799999999998</v>
      </c>
      <c r="G101" s="16">
        <v>312.52600000000001</v>
      </c>
      <c r="H101" s="16">
        <v>302.72899999999998</v>
      </c>
      <c r="I101" s="16">
        <v>325.36399999999998</v>
      </c>
      <c r="J101" s="16">
        <v>328.435</v>
      </c>
      <c r="K101" s="16">
        <v>278.29199999999997</v>
      </c>
      <c r="L101" s="16">
        <v>297.31900000000002</v>
      </c>
      <c r="M101" s="16">
        <v>324.67599999999999</v>
      </c>
      <c r="N101" s="16">
        <v>371.27</v>
      </c>
    </row>
    <row r="102" spans="1:14" s="2" customFormat="1" ht="18.75" customHeight="1">
      <c r="A102" s="3" t="s">
        <v>122</v>
      </c>
      <c r="B102" s="12">
        <f t="shared" si="1"/>
        <v>5214.4660000000003</v>
      </c>
      <c r="C102" s="16">
        <v>373.80399999999997</v>
      </c>
      <c r="D102" s="16">
        <v>372.899</v>
      </c>
      <c r="E102" s="16">
        <v>451.46</v>
      </c>
      <c r="F102" s="16">
        <v>485.29300000000001</v>
      </c>
      <c r="G102" s="16">
        <v>453.94299999999998</v>
      </c>
      <c r="H102" s="16">
        <v>427.07100000000003</v>
      </c>
      <c r="I102" s="16">
        <v>489.32299999999998</v>
      </c>
      <c r="J102" s="16">
        <v>491.72500000000002</v>
      </c>
      <c r="K102" s="16">
        <v>399.14100000000002</v>
      </c>
      <c r="L102" s="16">
        <v>413.68200000000002</v>
      </c>
      <c r="M102" s="16">
        <v>420.42899999999997</v>
      </c>
      <c r="N102" s="16">
        <v>435.69600000000003</v>
      </c>
    </row>
    <row r="103" spans="1:14" s="2" customFormat="1" ht="18.75" customHeight="1">
      <c r="A103" s="3" t="s">
        <v>123</v>
      </c>
      <c r="B103" s="12">
        <f t="shared" si="1"/>
        <v>4991.2080000000005</v>
      </c>
      <c r="C103" s="16">
        <v>352.15699999999998</v>
      </c>
      <c r="D103" s="16">
        <v>340.44900000000001</v>
      </c>
      <c r="E103" s="16">
        <v>409.37400000000002</v>
      </c>
      <c r="F103" s="16">
        <v>466.93200000000002</v>
      </c>
      <c r="G103" s="16">
        <v>441.08499999999998</v>
      </c>
      <c r="H103" s="16">
        <v>443.15100000000001</v>
      </c>
      <c r="I103" s="16">
        <v>439.10700000000003</v>
      </c>
      <c r="J103" s="16">
        <v>458.39400000000001</v>
      </c>
      <c r="K103" s="16">
        <v>403.63499999999999</v>
      </c>
      <c r="L103" s="16">
        <v>408.04</v>
      </c>
      <c r="M103" s="16">
        <v>400.13900000000001</v>
      </c>
      <c r="N103" s="16">
        <v>428.745</v>
      </c>
    </row>
    <row r="104" spans="1:14" s="2" customFormat="1" ht="18.75" customHeight="1">
      <c r="A104" s="3" t="s">
        <v>126</v>
      </c>
      <c r="B104" s="12">
        <f t="shared" si="1"/>
        <v>2378.17335</v>
      </c>
      <c r="C104" s="16">
        <v>181.74</v>
      </c>
      <c r="D104" s="16">
        <v>176.066</v>
      </c>
      <c r="E104" s="16">
        <v>208.35499999999999</v>
      </c>
      <c r="F104" s="16">
        <v>238.96799999999999</v>
      </c>
      <c r="G104" s="16">
        <v>202.28800000000001</v>
      </c>
      <c r="H104" s="16">
        <v>196.26900000000001</v>
      </c>
      <c r="I104" s="16">
        <v>202.482</v>
      </c>
      <c r="J104" s="16">
        <v>230.56299999999999</v>
      </c>
      <c r="K104" s="16">
        <v>177.80699999999999</v>
      </c>
      <c r="L104" s="16">
        <v>184.809</v>
      </c>
      <c r="M104" s="16">
        <v>183.50035</v>
      </c>
      <c r="N104" s="16">
        <v>195.32599999999999</v>
      </c>
    </row>
    <row r="105" spans="1:14" s="2" customFormat="1" ht="18.75" customHeight="1">
      <c r="A105" s="3" t="s">
        <v>127</v>
      </c>
      <c r="B105" s="12">
        <f t="shared" si="1"/>
        <v>15664.109999999999</v>
      </c>
      <c r="C105" s="16">
        <v>1220.0309999999999</v>
      </c>
      <c r="D105" s="16">
        <v>1160.9839999999999</v>
      </c>
      <c r="E105" s="16">
        <v>1357.396</v>
      </c>
      <c r="F105" s="16">
        <v>1437.605</v>
      </c>
      <c r="G105" s="16">
        <v>1342.808</v>
      </c>
      <c r="H105" s="16">
        <v>1288.9829999999999</v>
      </c>
      <c r="I105" s="16">
        <v>1337.1759999999999</v>
      </c>
      <c r="J105" s="16">
        <v>1431.0170000000001</v>
      </c>
      <c r="K105" s="16">
        <v>1221.0160000000001</v>
      </c>
      <c r="L105" s="16">
        <v>1267.7660000000001</v>
      </c>
      <c r="M105" s="16">
        <v>1266.347</v>
      </c>
      <c r="N105" s="16">
        <v>1332.981</v>
      </c>
    </row>
    <row r="106" spans="1:14" s="2" customFormat="1" ht="18.75" customHeight="1">
      <c r="A106" s="3" t="s">
        <v>128</v>
      </c>
      <c r="B106" s="12">
        <f t="shared" si="1"/>
        <v>4644.1302000000005</v>
      </c>
      <c r="C106" s="16">
        <v>346.75479999999999</v>
      </c>
      <c r="D106" s="16">
        <v>338.7328</v>
      </c>
      <c r="E106" s="16">
        <v>400.41250000000002</v>
      </c>
      <c r="F106" s="16">
        <v>458.90690000000001</v>
      </c>
      <c r="G106" s="16">
        <v>406.14779999999996</v>
      </c>
      <c r="H106" s="16">
        <v>380.58969999999999</v>
      </c>
      <c r="I106" s="16">
        <v>394.8252</v>
      </c>
      <c r="J106" s="16">
        <v>420.0838</v>
      </c>
      <c r="K106" s="16">
        <v>357.94970000000001</v>
      </c>
      <c r="L106" s="16">
        <v>383.0949</v>
      </c>
      <c r="M106" s="16">
        <v>368.80070000000001</v>
      </c>
      <c r="N106" s="16">
        <v>387.83140000000003</v>
      </c>
    </row>
    <row r="107" spans="1:14" s="2" customFormat="1" ht="18.75" customHeight="1">
      <c r="A107" s="3" t="s">
        <v>129</v>
      </c>
      <c r="B107" s="12">
        <f t="shared" si="1"/>
        <v>4185.7064999999993</v>
      </c>
      <c r="C107" s="16">
        <v>334.15199999999999</v>
      </c>
      <c r="D107" s="16">
        <v>336.25299999999999</v>
      </c>
      <c r="E107" s="16">
        <v>398.85399999999998</v>
      </c>
      <c r="F107" s="16">
        <v>437.89699999999999</v>
      </c>
      <c r="G107" s="16">
        <v>351.27199999999999</v>
      </c>
      <c r="H107" s="16">
        <v>328.74</v>
      </c>
      <c r="I107" s="16">
        <v>308.60000000000002</v>
      </c>
      <c r="J107" s="16">
        <v>367.87200000000001</v>
      </c>
      <c r="K107" s="16">
        <v>309.56</v>
      </c>
      <c r="L107" s="16">
        <v>310.46100000000001</v>
      </c>
      <c r="M107" s="16">
        <v>345.31650000000002</v>
      </c>
      <c r="N107" s="16">
        <v>356.72899999999998</v>
      </c>
    </row>
    <row r="108" spans="1:14" s="2" customFormat="1" ht="18.75" customHeight="1">
      <c r="A108" s="3" t="s">
        <v>130</v>
      </c>
      <c r="B108" s="12">
        <f t="shared" si="1"/>
        <v>2112.7149999999997</v>
      </c>
      <c r="C108" s="16">
        <v>146.476</v>
      </c>
      <c r="D108" s="16">
        <v>151.69399999999999</v>
      </c>
      <c r="E108" s="16">
        <v>197.369</v>
      </c>
      <c r="F108" s="16">
        <v>203.53</v>
      </c>
      <c r="G108" s="16">
        <v>182.649</v>
      </c>
      <c r="H108" s="16">
        <v>179.179</v>
      </c>
      <c r="I108" s="16">
        <v>172.10300000000001</v>
      </c>
      <c r="J108" s="16">
        <v>199.291</v>
      </c>
      <c r="K108" s="16">
        <v>172.40199999999999</v>
      </c>
      <c r="L108" s="16">
        <v>163.22399999999999</v>
      </c>
      <c r="M108" s="16">
        <v>167.76499999999999</v>
      </c>
      <c r="N108" s="16">
        <v>177.03299999999999</v>
      </c>
    </row>
    <row r="109" spans="1:14" s="2" customFormat="1" ht="18.75" customHeight="1">
      <c r="A109" s="3" t="s">
        <v>131</v>
      </c>
      <c r="B109" s="12">
        <f t="shared" si="1"/>
        <v>1518.6389999999999</v>
      </c>
      <c r="C109" s="16">
        <v>111.982</v>
      </c>
      <c r="D109" s="16">
        <v>112.596</v>
      </c>
      <c r="E109" s="16">
        <v>136.46700000000001</v>
      </c>
      <c r="F109" s="16">
        <v>157.35499999999999</v>
      </c>
      <c r="G109" s="16">
        <v>134.51900000000001</v>
      </c>
      <c r="H109" s="16">
        <v>123.642</v>
      </c>
      <c r="I109" s="16">
        <v>129.566</v>
      </c>
      <c r="J109" s="16">
        <v>137.637</v>
      </c>
      <c r="K109" s="16">
        <v>113.61499999999999</v>
      </c>
      <c r="L109" s="16">
        <v>114.163</v>
      </c>
      <c r="M109" s="16">
        <v>119.93600000000001</v>
      </c>
      <c r="N109" s="16">
        <v>127.161</v>
      </c>
    </row>
    <row r="110" spans="1:14" s="2" customFormat="1" ht="18.75" customHeight="1">
      <c r="A110" s="3" t="s">
        <v>132</v>
      </c>
      <c r="B110" s="12">
        <f t="shared" si="1"/>
        <v>1249.7287700000002</v>
      </c>
      <c r="C110" s="16">
        <v>96.240200000000002</v>
      </c>
      <c r="D110" s="16">
        <v>88.581800000000001</v>
      </c>
      <c r="E110" s="16">
        <v>106.81610000000001</v>
      </c>
      <c r="F110" s="16">
        <v>114.18839999999999</v>
      </c>
      <c r="G110" s="16">
        <v>106.004</v>
      </c>
      <c r="H110" s="16">
        <v>101.64755000000001</v>
      </c>
      <c r="I110" s="16">
        <v>109.6071</v>
      </c>
      <c r="J110" s="16">
        <v>112.44052000000001</v>
      </c>
      <c r="K110" s="16">
        <v>103.1095</v>
      </c>
      <c r="L110" s="16">
        <v>104.928</v>
      </c>
      <c r="M110" s="16">
        <v>102.3678</v>
      </c>
      <c r="N110" s="16">
        <v>103.79780000000001</v>
      </c>
    </row>
    <row r="111" spans="1:14" s="2" customFormat="1" ht="18.75" customHeight="1">
      <c r="A111" s="3" t="s">
        <v>133</v>
      </c>
      <c r="B111" s="12">
        <f t="shared" si="1"/>
        <v>1026.365</v>
      </c>
      <c r="C111" s="16">
        <v>76.05</v>
      </c>
      <c r="D111" s="16">
        <v>72.593999999999994</v>
      </c>
      <c r="E111" s="16">
        <v>81.004999999999995</v>
      </c>
      <c r="F111" s="16">
        <v>98.155000000000001</v>
      </c>
      <c r="G111" s="16">
        <v>89.125</v>
      </c>
      <c r="H111" s="16">
        <v>82.406999999999996</v>
      </c>
      <c r="I111" s="16">
        <v>87.13</v>
      </c>
      <c r="J111" s="16">
        <v>116.54300000000001</v>
      </c>
      <c r="K111" s="16">
        <v>80.289000000000001</v>
      </c>
      <c r="L111" s="16">
        <v>79.956000000000003</v>
      </c>
      <c r="M111" s="16">
        <v>80.399000000000001</v>
      </c>
      <c r="N111" s="16">
        <v>82.712000000000003</v>
      </c>
    </row>
    <row r="112" spans="1:14" s="2" customFormat="1" ht="18.75" customHeight="1">
      <c r="A112" s="3" t="s">
        <v>134</v>
      </c>
      <c r="B112" s="12">
        <f t="shared" si="1"/>
        <v>1680.846</v>
      </c>
      <c r="C112" s="16">
        <v>125.014</v>
      </c>
      <c r="D112" s="16">
        <v>125</v>
      </c>
      <c r="E112" s="16">
        <v>147.83000000000001</v>
      </c>
      <c r="F112" s="16">
        <v>165.56700000000001</v>
      </c>
      <c r="G112" s="16">
        <v>152.55699999999999</v>
      </c>
      <c r="H112" s="16">
        <v>136.024</v>
      </c>
      <c r="I112" s="16">
        <v>145.404</v>
      </c>
      <c r="J112" s="16">
        <v>158.83600000000001</v>
      </c>
      <c r="K112" s="16">
        <v>137.49299999999999</v>
      </c>
      <c r="L112" s="16">
        <v>132.57400000000001</v>
      </c>
      <c r="M112" s="16">
        <v>133.63900000000001</v>
      </c>
      <c r="N112" s="16">
        <v>120.908</v>
      </c>
    </row>
    <row r="113" spans="1:14" s="2" customFormat="1" ht="18.75" customHeight="1">
      <c r="A113" s="3" t="s">
        <v>135</v>
      </c>
      <c r="B113" s="12">
        <f t="shared" si="1"/>
        <v>4149.4630000000006</v>
      </c>
      <c r="C113" s="16">
        <v>327.12</v>
      </c>
      <c r="D113" s="16">
        <v>325.52300000000002</v>
      </c>
      <c r="E113" s="16">
        <v>391.09699999999998</v>
      </c>
      <c r="F113" s="16">
        <v>420.971</v>
      </c>
      <c r="G113" s="16">
        <v>363.58199999999999</v>
      </c>
      <c r="H113" s="16">
        <v>342.98399999999998</v>
      </c>
      <c r="I113" s="16">
        <v>344.68</v>
      </c>
      <c r="J113" s="16">
        <v>379.82</v>
      </c>
      <c r="K113" s="16">
        <v>319.24200000000002</v>
      </c>
      <c r="L113" s="16">
        <v>313.73</v>
      </c>
      <c r="M113" s="16">
        <v>319.27999999999997</v>
      </c>
      <c r="N113" s="16">
        <v>301.43400000000003</v>
      </c>
    </row>
    <row r="114" spans="1:14" s="2" customFormat="1" ht="18.75" customHeight="1">
      <c r="A114" s="3" t="s">
        <v>136</v>
      </c>
      <c r="B114" s="12">
        <f t="shared" si="1"/>
        <v>5351.2031199999992</v>
      </c>
      <c r="C114" s="16">
        <v>414.20600000000002</v>
      </c>
      <c r="D114" s="16">
        <v>451.58</v>
      </c>
      <c r="E114" s="16">
        <v>497.19</v>
      </c>
      <c r="F114" s="16">
        <v>528.70699999999999</v>
      </c>
      <c r="G114" s="16">
        <v>441.84300000000002</v>
      </c>
      <c r="H114" s="16">
        <v>417.45400000000001</v>
      </c>
      <c r="I114" s="16">
        <v>426.428</v>
      </c>
      <c r="J114" s="16">
        <v>464.81</v>
      </c>
      <c r="K114" s="16">
        <v>375.87112000000002</v>
      </c>
      <c r="L114" s="16">
        <v>400.29</v>
      </c>
      <c r="M114" s="16">
        <v>458.68299999999999</v>
      </c>
      <c r="N114" s="16">
        <v>474.14100000000002</v>
      </c>
    </row>
    <row r="115" spans="1:14" s="2" customFormat="1" ht="18.75" customHeight="1">
      <c r="A115" s="3" t="s">
        <v>137</v>
      </c>
      <c r="B115" s="12">
        <f t="shared" si="1"/>
        <v>1641.50126</v>
      </c>
      <c r="C115" s="16">
        <v>126.974</v>
      </c>
      <c r="D115" s="16">
        <v>128.386</v>
      </c>
      <c r="E115" s="16">
        <v>149.59299999999999</v>
      </c>
      <c r="F115" s="16">
        <v>160.20699999999999</v>
      </c>
      <c r="G115" s="16">
        <v>137.66200000000001</v>
      </c>
      <c r="H115" s="16">
        <v>133.453</v>
      </c>
      <c r="I115" s="16">
        <v>140.93899999999999</v>
      </c>
      <c r="J115" s="16">
        <v>143.85300000000001</v>
      </c>
      <c r="K115" s="16">
        <v>126.842</v>
      </c>
      <c r="L115" s="16">
        <v>131.905</v>
      </c>
      <c r="M115" s="16">
        <v>127.15325999999999</v>
      </c>
      <c r="N115" s="16">
        <v>134.53399999999999</v>
      </c>
    </row>
    <row r="116" spans="1:14" s="2" customFormat="1" ht="18.75" customHeight="1">
      <c r="A116" s="3" t="s">
        <v>138</v>
      </c>
      <c r="B116" s="12">
        <f t="shared" si="1"/>
        <v>1012.4727800000001</v>
      </c>
      <c r="C116" s="16">
        <v>72.033899999999988</v>
      </c>
      <c r="D116" s="16">
        <v>74.940699999999993</v>
      </c>
      <c r="E116" s="16">
        <v>87.711600000000004</v>
      </c>
      <c r="F116" s="16">
        <v>100.29169999999999</v>
      </c>
      <c r="G116" s="16">
        <v>111.1023</v>
      </c>
      <c r="H116" s="16">
        <v>85.190300000000008</v>
      </c>
      <c r="I116" s="16">
        <v>84.865300000000005</v>
      </c>
      <c r="J116" s="16">
        <v>88.513580000000005</v>
      </c>
      <c r="K116" s="16">
        <v>77.570399999999992</v>
      </c>
      <c r="L116" s="16">
        <v>78.313399999999987</v>
      </c>
      <c r="M116" s="16">
        <v>76.165700000000001</v>
      </c>
      <c r="N116" s="16">
        <v>75.773899999999998</v>
      </c>
    </row>
    <row r="117" spans="1:14" s="2" customFormat="1" ht="18.75" customHeight="1">
      <c r="A117" s="3" t="s">
        <v>139</v>
      </c>
      <c r="B117" s="12">
        <f t="shared" si="1"/>
        <v>3107.8549999999996</v>
      </c>
      <c r="C117" s="16">
        <v>238.14699999999999</v>
      </c>
      <c r="D117" s="16">
        <v>242.95599999999999</v>
      </c>
      <c r="E117" s="16">
        <v>289.33</v>
      </c>
      <c r="F117" s="16">
        <v>302.64</v>
      </c>
      <c r="G117" s="16">
        <v>258.25299999999999</v>
      </c>
      <c r="H117" s="16">
        <v>227.916</v>
      </c>
      <c r="I117" s="16">
        <v>250.749</v>
      </c>
      <c r="J117" s="16">
        <v>279.65100000000001</v>
      </c>
      <c r="K117" s="16">
        <v>229.428</v>
      </c>
      <c r="L117" s="16">
        <v>249.71199999999999</v>
      </c>
      <c r="M117" s="16">
        <v>257.19799999999998</v>
      </c>
      <c r="N117" s="16">
        <v>281.875</v>
      </c>
    </row>
    <row r="118" spans="1:14" s="2" customFormat="1" ht="18.75" customHeight="1">
      <c r="A118" s="3" t="s">
        <v>140</v>
      </c>
      <c r="B118" s="12">
        <f t="shared" si="1"/>
        <v>1515.742</v>
      </c>
      <c r="C118" s="16">
        <v>121.226</v>
      </c>
      <c r="D118" s="16">
        <v>106.884</v>
      </c>
      <c r="E118" s="16">
        <v>131.43100000000001</v>
      </c>
      <c r="F118" s="16">
        <v>141.08799999999999</v>
      </c>
      <c r="G118" s="16">
        <v>137.666</v>
      </c>
      <c r="H118" s="16">
        <v>129.96799999999999</v>
      </c>
      <c r="I118" s="16">
        <v>135.523</v>
      </c>
      <c r="J118" s="16">
        <v>138.01499999999999</v>
      </c>
      <c r="K118" s="16">
        <v>121.429</v>
      </c>
      <c r="L118" s="16">
        <v>120.663</v>
      </c>
      <c r="M118" s="16">
        <v>119.867</v>
      </c>
      <c r="N118" s="16">
        <v>111.982</v>
      </c>
    </row>
    <row r="119" spans="1:14" s="2" customFormat="1" ht="18.75" customHeight="1">
      <c r="A119" s="3" t="s">
        <v>141</v>
      </c>
      <c r="B119" s="12">
        <f t="shared" si="1"/>
        <v>5197.0329999999994</v>
      </c>
      <c r="C119" s="16">
        <v>367.18900000000002</v>
      </c>
      <c r="D119" s="16">
        <v>370.27199999999999</v>
      </c>
      <c r="E119" s="16">
        <v>445.11399999999998</v>
      </c>
      <c r="F119" s="16">
        <v>496.65600000000001</v>
      </c>
      <c r="G119" s="16">
        <v>467.54199999999997</v>
      </c>
      <c r="H119" s="16">
        <v>448.46600000000001</v>
      </c>
      <c r="I119" s="16">
        <v>486.31900000000002</v>
      </c>
      <c r="J119" s="16">
        <v>467.23700000000002</v>
      </c>
      <c r="K119" s="16">
        <v>403.86099999999999</v>
      </c>
      <c r="L119" s="16">
        <v>413.03800000000001</v>
      </c>
      <c r="M119" s="16">
        <v>412.21499999999997</v>
      </c>
      <c r="N119" s="16">
        <v>419.12400000000002</v>
      </c>
    </row>
    <row r="120" spans="1:14" s="2" customFormat="1" ht="18.75" customHeight="1">
      <c r="A120" s="3" t="s">
        <v>142</v>
      </c>
      <c r="B120" s="12">
        <f t="shared" si="1"/>
        <v>1165.1375</v>
      </c>
      <c r="C120" s="16">
        <v>88.029499999999999</v>
      </c>
      <c r="D120" s="16">
        <v>97.114999999999995</v>
      </c>
      <c r="E120" s="16">
        <v>101.892</v>
      </c>
      <c r="F120" s="16">
        <v>111.77800000000001</v>
      </c>
      <c r="G120" s="16">
        <v>96.432000000000002</v>
      </c>
      <c r="H120" s="16">
        <v>90.578000000000003</v>
      </c>
      <c r="I120" s="16">
        <v>89.33</v>
      </c>
      <c r="J120" s="16">
        <v>102.24299999999999</v>
      </c>
      <c r="K120" s="16">
        <v>88.542000000000002</v>
      </c>
      <c r="L120" s="16">
        <v>99.495000000000005</v>
      </c>
      <c r="M120" s="16">
        <v>96.36</v>
      </c>
      <c r="N120" s="16">
        <v>103.343</v>
      </c>
    </row>
    <row r="121" spans="1:14" s="2" customFormat="1" ht="18.75" customHeight="1">
      <c r="A121" s="3" t="s">
        <v>143</v>
      </c>
      <c r="B121" s="12">
        <f t="shared" si="1"/>
        <v>514.19100000000003</v>
      </c>
      <c r="C121" s="16">
        <v>32.749000000000002</v>
      </c>
      <c r="D121" s="16">
        <v>28.731999999999999</v>
      </c>
      <c r="E121" s="16">
        <v>38.731999999999999</v>
      </c>
      <c r="F121" s="16">
        <v>41.911999999999999</v>
      </c>
      <c r="G121" s="16">
        <v>37.155999999999999</v>
      </c>
      <c r="H121" s="16">
        <v>38.488999999999997</v>
      </c>
      <c r="I121" s="16">
        <v>44.798999999999999</v>
      </c>
      <c r="J121" s="16">
        <v>111.982</v>
      </c>
      <c r="K121" s="16">
        <v>39.237000000000002</v>
      </c>
      <c r="L121" s="16">
        <v>35.866999999999997</v>
      </c>
      <c r="M121" s="16">
        <v>36.021999999999998</v>
      </c>
      <c r="N121" s="16">
        <v>28.513999999999999</v>
      </c>
    </row>
    <row r="122" spans="1:14" s="2" customFormat="1" ht="18.75" customHeight="1">
      <c r="A122" s="3" t="s">
        <v>144</v>
      </c>
      <c r="B122" s="12">
        <f t="shared" si="1"/>
        <v>740.7639999999999</v>
      </c>
      <c r="C122" s="16">
        <v>34.024999999999999</v>
      </c>
      <c r="D122" s="16">
        <v>44.261000000000003</v>
      </c>
      <c r="E122" s="16">
        <v>55.716999999999999</v>
      </c>
      <c r="F122" s="16">
        <v>61.947000000000003</v>
      </c>
      <c r="G122" s="16">
        <v>58.783000000000001</v>
      </c>
      <c r="H122" s="16">
        <v>57.253</v>
      </c>
      <c r="I122" s="16">
        <v>70.697000000000003</v>
      </c>
      <c r="J122" s="16">
        <v>68.328000000000003</v>
      </c>
      <c r="K122" s="16">
        <v>111.982</v>
      </c>
      <c r="L122" s="16">
        <v>62.146000000000001</v>
      </c>
      <c r="M122" s="16">
        <v>55.777999999999999</v>
      </c>
      <c r="N122" s="16">
        <v>59.847000000000001</v>
      </c>
    </row>
    <row r="123" spans="1:14" s="2" customFormat="1" ht="18.75" customHeight="1">
      <c r="A123" s="3" t="s">
        <v>145</v>
      </c>
      <c r="B123" s="12">
        <f t="shared" si="1"/>
        <v>2644.7619999999997</v>
      </c>
      <c r="C123" s="16">
        <v>214.41</v>
      </c>
      <c r="D123" s="16">
        <v>206.7</v>
      </c>
      <c r="E123" s="16">
        <v>238.11699999999999</v>
      </c>
      <c r="F123" s="16">
        <v>261.73399999999998</v>
      </c>
      <c r="G123" s="16">
        <v>227.89699999999999</v>
      </c>
      <c r="H123" s="16">
        <v>207.131</v>
      </c>
      <c r="I123" s="16">
        <v>224.126</v>
      </c>
      <c r="J123" s="16">
        <v>237.113</v>
      </c>
      <c r="K123" s="16">
        <v>205.483</v>
      </c>
      <c r="L123" s="16">
        <v>196.12299999999999</v>
      </c>
      <c r="M123" s="16">
        <v>209.124</v>
      </c>
      <c r="N123" s="16">
        <v>216.804</v>
      </c>
    </row>
    <row r="124" spans="1:14" s="2" customFormat="1" ht="18.75" hidden="1" customHeight="1">
      <c r="A124" s="3" t="s">
        <v>146</v>
      </c>
      <c r="B124" s="12">
        <f t="shared" si="1"/>
        <v>0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</row>
    <row r="125" spans="1:14" s="2" customFormat="1" ht="18.75" customHeight="1">
      <c r="A125" s="3" t="s">
        <v>147</v>
      </c>
      <c r="B125" s="12">
        <f t="shared" si="1"/>
        <v>1622.6260399999999</v>
      </c>
      <c r="C125" s="16">
        <v>118.43839999999999</v>
      </c>
      <c r="D125" s="16">
        <v>118.5855</v>
      </c>
      <c r="E125" s="16">
        <v>141.99510000000001</v>
      </c>
      <c r="F125" s="16">
        <v>157.81710000000001</v>
      </c>
      <c r="G125" s="16">
        <v>137.18940000000001</v>
      </c>
      <c r="H125" s="16">
        <v>133.04</v>
      </c>
      <c r="I125" s="16">
        <v>134.52270000000001</v>
      </c>
      <c r="J125" s="16">
        <v>152.67983999999998</v>
      </c>
      <c r="K125" s="16">
        <v>128.4881</v>
      </c>
      <c r="L125" s="16">
        <v>134.8133</v>
      </c>
      <c r="M125" s="16">
        <v>129.92410000000001</v>
      </c>
      <c r="N125" s="16">
        <v>135.13249999999999</v>
      </c>
    </row>
    <row r="126" spans="1:14" s="2" customFormat="1" ht="18.75" customHeight="1">
      <c r="A126" s="3" t="s">
        <v>148</v>
      </c>
      <c r="B126" s="12">
        <f t="shared" si="1"/>
        <v>1560.9425000000001</v>
      </c>
      <c r="C126" s="16">
        <v>123.3565</v>
      </c>
      <c r="D126" s="16">
        <v>122.012</v>
      </c>
      <c r="E126" s="16">
        <v>141.99700000000001</v>
      </c>
      <c r="F126" s="16">
        <v>149.30000000000001</v>
      </c>
      <c r="G126" s="16">
        <v>126.44199999999999</v>
      </c>
      <c r="H126" s="16">
        <v>118.64100000000001</v>
      </c>
      <c r="I126" s="16">
        <v>134.17400000000001</v>
      </c>
      <c r="J126" s="16">
        <v>141.523</v>
      </c>
      <c r="K126" s="16">
        <v>114.79900000000001</v>
      </c>
      <c r="L126" s="16">
        <v>123.363</v>
      </c>
      <c r="M126" s="16">
        <v>125.17100000000001</v>
      </c>
      <c r="N126" s="16">
        <v>140.16399999999999</v>
      </c>
    </row>
    <row r="127" spans="1:14" s="2" customFormat="1" ht="18.75" customHeight="1">
      <c r="A127" s="3" t="s">
        <v>149</v>
      </c>
      <c r="B127" s="12">
        <f t="shared" si="1"/>
        <v>1830.8733000000002</v>
      </c>
      <c r="C127" s="16">
        <v>138.37010000000001</v>
      </c>
      <c r="D127" s="16">
        <v>138.893</v>
      </c>
      <c r="E127" s="16">
        <v>184.49889999999999</v>
      </c>
      <c r="F127" s="16">
        <v>192.49429999999998</v>
      </c>
      <c r="G127" s="16">
        <v>132.8546</v>
      </c>
      <c r="H127" s="16">
        <v>135.3758</v>
      </c>
      <c r="I127" s="16">
        <v>149.71860000000001</v>
      </c>
      <c r="J127" s="16">
        <v>159.6482</v>
      </c>
      <c r="K127" s="16">
        <v>125.6571</v>
      </c>
      <c r="L127" s="16">
        <v>136.9367</v>
      </c>
      <c r="M127" s="16">
        <v>158.178</v>
      </c>
      <c r="N127" s="16">
        <v>178.24799999999999</v>
      </c>
    </row>
    <row r="128" spans="1:14" s="2" customFormat="1" ht="18.75" customHeight="1">
      <c r="A128" s="3" t="s">
        <v>150</v>
      </c>
      <c r="B128" s="12">
        <f t="shared" si="1"/>
        <v>1571.3129999999999</v>
      </c>
      <c r="C128" s="16">
        <v>115.87</v>
      </c>
      <c r="D128" s="16">
        <v>111.845</v>
      </c>
      <c r="E128" s="16">
        <v>140.93199999999999</v>
      </c>
      <c r="F128" s="16">
        <v>156.09700000000001</v>
      </c>
      <c r="G128" s="16">
        <v>128.72999999999999</v>
      </c>
      <c r="H128" s="16">
        <v>125.39400000000001</v>
      </c>
      <c r="I128" s="16">
        <v>128.21299999999999</v>
      </c>
      <c r="J128" s="16">
        <v>161.32400000000001</v>
      </c>
      <c r="K128" s="16">
        <v>127.983</v>
      </c>
      <c r="L128" s="16">
        <v>127.913</v>
      </c>
      <c r="M128" s="16">
        <v>122.789</v>
      </c>
      <c r="N128" s="16">
        <v>124.223</v>
      </c>
    </row>
    <row r="129" spans="1:14" s="2" customFormat="1" ht="18.75" customHeight="1">
      <c r="A129" s="4" t="s">
        <v>151</v>
      </c>
      <c r="B129" s="13">
        <f t="shared" si="1"/>
        <v>365.66059999999993</v>
      </c>
      <c r="C129" s="17">
        <v>27.207999999999998</v>
      </c>
      <c r="D129" s="17">
        <v>26.396999999999998</v>
      </c>
      <c r="E129" s="17">
        <v>28.856999999999999</v>
      </c>
      <c r="F129" s="17">
        <v>36.865600000000001</v>
      </c>
      <c r="G129" s="17">
        <v>31.885000000000002</v>
      </c>
      <c r="H129" s="17">
        <v>29.812999999999999</v>
      </c>
      <c r="I129" s="17">
        <v>34.271000000000001</v>
      </c>
      <c r="J129" s="17">
        <v>29.917999999999999</v>
      </c>
      <c r="K129" s="17">
        <v>27.738</v>
      </c>
      <c r="L129" s="17">
        <v>29.039000000000001</v>
      </c>
      <c r="M129" s="17">
        <v>30.055</v>
      </c>
      <c r="N129" s="17">
        <v>33.613999999999997</v>
      </c>
    </row>
    <row r="130" spans="1:14" s="2" customFormat="1" ht="18.75" hidden="1" customHeight="1">
      <c r="A130" s="19" t="s">
        <v>152</v>
      </c>
      <c r="B130" s="15">
        <f t="shared" si="1"/>
        <v>0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s="2" customFormat="1" ht="18.75" hidden="1" customHeight="1">
      <c r="A131" s="3" t="s">
        <v>153</v>
      </c>
      <c r="B131" s="12">
        <f t="shared" si="1"/>
        <v>0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s="2" customFormat="1" ht="18.75" hidden="1" customHeight="1">
      <c r="A132" s="3" t="s">
        <v>154</v>
      </c>
      <c r="B132" s="12">
        <f t="shared" si="1"/>
        <v>0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s="2" customFormat="1" ht="18.75" hidden="1" customHeight="1">
      <c r="A133" s="3" t="s">
        <v>155</v>
      </c>
      <c r="B133" s="12">
        <f t="shared" si="1"/>
        <v>0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s="2" customFormat="1" ht="18.75" hidden="1" customHeight="1">
      <c r="A134" s="3" t="s">
        <v>156</v>
      </c>
      <c r="B134" s="12">
        <f t="shared" si="1"/>
        <v>0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s="2" customFormat="1" ht="18.75" hidden="1" customHeight="1">
      <c r="A135" s="3" t="s">
        <v>157</v>
      </c>
      <c r="B135" s="12">
        <f t="shared" si="1"/>
        <v>0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s="2" customFormat="1" ht="18.75" hidden="1" customHeight="1">
      <c r="A136" s="3" t="s">
        <v>158</v>
      </c>
      <c r="B136" s="12">
        <f t="shared" si="1"/>
        <v>0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s="2" customFormat="1" ht="18.75" hidden="1" customHeight="1">
      <c r="A137" s="3" t="s">
        <v>159</v>
      </c>
      <c r="B137" s="12">
        <f t="shared" si="1"/>
        <v>0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s="2" customFormat="1" ht="18.75" hidden="1" customHeight="1">
      <c r="A138" s="3" t="s">
        <v>160</v>
      </c>
      <c r="B138" s="12">
        <f t="shared" si="1"/>
        <v>0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s="2" customFormat="1" ht="18.75" hidden="1" customHeight="1">
      <c r="A139" s="3" t="s">
        <v>161</v>
      </c>
      <c r="B139" s="12">
        <f t="shared" ref="B139:B193" si="2">SUM(C139:N139)</f>
        <v>0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s="2" customFormat="1" ht="18.75" hidden="1" customHeight="1">
      <c r="A140" s="3" t="s">
        <v>162</v>
      </c>
      <c r="B140" s="12">
        <f t="shared" si="2"/>
        <v>0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s="2" customFormat="1" ht="18.75" hidden="1" customHeight="1">
      <c r="A141" s="3" t="s">
        <v>163</v>
      </c>
      <c r="B141" s="12">
        <f t="shared" si="2"/>
        <v>0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s="2" customFormat="1" ht="18.75" hidden="1" customHeight="1">
      <c r="A142" s="3" t="s">
        <v>164</v>
      </c>
      <c r="B142" s="12">
        <f t="shared" si="2"/>
        <v>0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s="2" customFormat="1" ht="18.75" hidden="1" customHeight="1">
      <c r="A143" s="3" t="s">
        <v>165</v>
      </c>
      <c r="B143" s="12">
        <f t="shared" si="2"/>
        <v>0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s="2" customFormat="1" ht="18.75" hidden="1" customHeight="1">
      <c r="A144" s="3" t="s">
        <v>166</v>
      </c>
      <c r="B144" s="12">
        <f t="shared" si="2"/>
        <v>0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s="2" customFormat="1" ht="18.75" hidden="1" customHeight="1">
      <c r="A145" s="3" t="s">
        <v>167</v>
      </c>
      <c r="B145" s="12">
        <f t="shared" si="2"/>
        <v>0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s="2" customFormat="1" ht="18.75" hidden="1" customHeight="1">
      <c r="A146" s="3" t="s">
        <v>168</v>
      </c>
      <c r="B146" s="12">
        <f t="shared" si="2"/>
        <v>0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s="2" customFormat="1" ht="18.75" hidden="1" customHeight="1">
      <c r="A147" s="3" t="s">
        <v>169</v>
      </c>
      <c r="B147" s="12">
        <f t="shared" si="2"/>
        <v>0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s="2" customFormat="1" ht="18.75" hidden="1" customHeight="1">
      <c r="A148" s="3" t="s">
        <v>170</v>
      </c>
      <c r="B148" s="12">
        <f t="shared" si="2"/>
        <v>0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s="2" customFormat="1" ht="18.75" hidden="1" customHeight="1">
      <c r="A149" s="3" t="s">
        <v>171</v>
      </c>
      <c r="B149" s="12">
        <f t="shared" si="2"/>
        <v>0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s="2" customFormat="1" ht="18.75" hidden="1" customHeight="1">
      <c r="A150" s="3" t="s">
        <v>172</v>
      </c>
      <c r="B150" s="12">
        <f t="shared" si="2"/>
        <v>0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s="2" customFormat="1" ht="18.75" hidden="1" customHeight="1">
      <c r="A151" s="3" t="s">
        <v>173</v>
      </c>
      <c r="B151" s="12">
        <f t="shared" si="2"/>
        <v>0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s="2" customFormat="1" ht="18.75" hidden="1" customHeight="1">
      <c r="A152" s="3" t="s">
        <v>174</v>
      </c>
      <c r="B152" s="12">
        <f t="shared" si="2"/>
        <v>0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s="2" customFormat="1" ht="18.75" hidden="1" customHeight="1">
      <c r="A153" s="3" t="s">
        <v>175</v>
      </c>
      <c r="B153" s="12">
        <f t="shared" si="2"/>
        <v>0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s="2" customFormat="1" ht="18.75" hidden="1" customHeight="1">
      <c r="A154" s="3" t="s">
        <v>176</v>
      </c>
      <c r="B154" s="12">
        <f t="shared" si="2"/>
        <v>0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s="2" customFormat="1" ht="18.75" hidden="1" customHeight="1">
      <c r="A155" s="3" t="s">
        <v>177</v>
      </c>
      <c r="B155" s="12">
        <f t="shared" si="2"/>
        <v>0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s="2" customFormat="1" ht="18.75" hidden="1" customHeight="1">
      <c r="A156" s="3" t="s">
        <v>178</v>
      </c>
      <c r="B156" s="12">
        <f t="shared" si="2"/>
        <v>0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s="2" customFormat="1" ht="18.75" hidden="1" customHeight="1">
      <c r="A157" s="3" t="s">
        <v>179</v>
      </c>
      <c r="B157" s="12">
        <f t="shared" si="2"/>
        <v>0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s="2" customFormat="1" ht="18.75" hidden="1" customHeight="1">
      <c r="A158" s="3" t="s">
        <v>180</v>
      </c>
      <c r="B158" s="12">
        <f t="shared" si="2"/>
        <v>0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s="2" customFormat="1" ht="18.75" hidden="1" customHeight="1">
      <c r="A159" s="3" t="s">
        <v>181</v>
      </c>
      <c r="B159" s="12">
        <f t="shared" si="2"/>
        <v>0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s="2" customFormat="1" ht="18.75" hidden="1" customHeight="1">
      <c r="A160" s="3" t="s">
        <v>182</v>
      </c>
      <c r="B160" s="12">
        <f t="shared" si="2"/>
        <v>0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s="2" customFormat="1" ht="18.75" hidden="1" customHeight="1">
      <c r="A161" s="3" t="s">
        <v>183</v>
      </c>
      <c r="B161" s="12">
        <f t="shared" si="2"/>
        <v>0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s="2" customFormat="1" ht="18.75" hidden="1" customHeight="1">
      <c r="A162" s="3" t="s">
        <v>184</v>
      </c>
      <c r="B162" s="12">
        <f t="shared" si="2"/>
        <v>0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s="2" customFormat="1" ht="18.75" hidden="1" customHeight="1">
      <c r="A163" s="3" t="s">
        <v>185</v>
      </c>
      <c r="B163" s="12">
        <f t="shared" si="2"/>
        <v>0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s="2" customFormat="1" ht="18.75" hidden="1" customHeight="1">
      <c r="A164" s="3" t="s">
        <v>186</v>
      </c>
      <c r="B164" s="12">
        <f t="shared" si="2"/>
        <v>0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s="2" customFormat="1" ht="18.75" hidden="1" customHeight="1">
      <c r="A165" s="3" t="s">
        <v>187</v>
      </c>
      <c r="B165" s="12">
        <f t="shared" si="2"/>
        <v>0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s="2" customFormat="1" ht="18.75" hidden="1" customHeight="1">
      <c r="A166" s="3" t="s">
        <v>188</v>
      </c>
      <c r="B166" s="12">
        <f t="shared" si="2"/>
        <v>0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s="2" customFormat="1" ht="18.75" hidden="1" customHeight="1">
      <c r="A167" s="3" t="s">
        <v>189</v>
      </c>
      <c r="B167" s="12">
        <f t="shared" si="2"/>
        <v>0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s="2" customFormat="1" ht="18.75" hidden="1" customHeight="1">
      <c r="A168" s="3" t="s">
        <v>190</v>
      </c>
      <c r="B168" s="12">
        <f t="shared" si="2"/>
        <v>0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s="2" customFormat="1" ht="18.75" hidden="1" customHeight="1">
      <c r="A169" s="3" t="s">
        <v>191</v>
      </c>
      <c r="B169" s="12">
        <f t="shared" si="2"/>
        <v>0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s="2" customFormat="1" ht="18.75" hidden="1" customHeight="1">
      <c r="A170" s="3" t="s">
        <v>192</v>
      </c>
      <c r="B170" s="12">
        <f t="shared" si="2"/>
        <v>0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s="2" customFormat="1" ht="18.75" hidden="1" customHeight="1">
      <c r="A171" s="3" t="s">
        <v>193</v>
      </c>
      <c r="B171" s="12">
        <f t="shared" si="2"/>
        <v>0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s="2" customFormat="1" ht="18.75" hidden="1" customHeight="1">
      <c r="A172" s="3" t="s">
        <v>194</v>
      </c>
      <c r="B172" s="12">
        <f t="shared" si="2"/>
        <v>0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s="2" customFormat="1" ht="18.75" hidden="1" customHeight="1">
      <c r="A173" s="3" t="s">
        <v>195</v>
      </c>
      <c r="B173" s="12">
        <f t="shared" si="2"/>
        <v>0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s="2" customFormat="1" ht="18.75" hidden="1" customHeight="1">
      <c r="A174" s="3" t="s">
        <v>196</v>
      </c>
      <c r="B174" s="12">
        <f t="shared" si="2"/>
        <v>0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s="2" customFormat="1" ht="18.75" hidden="1" customHeight="1">
      <c r="A175" s="3" t="s">
        <v>197</v>
      </c>
      <c r="B175" s="12">
        <f t="shared" si="2"/>
        <v>0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s="2" customFormat="1" ht="18.75" hidden="1" customHeight="1">
      <c r="A176" s="3" t="s">
        <v>198</v>
      </c>
      <c r="B176" s="12">
        <f t="shared" si="2"/>
        <v>0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s="2" customFormat="1" ht="18.75" hidden="1" customHeight="1">
      <c r="A177" s="3" t="s">
        <v>199</v>
      </c>
      <c r="B177" s="12">
        <f t="shared" si="2"/>
        <v>0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s="2" customFormat="1" ht="18.75" hidden="1" customHeight="1">
      <c r="A178" s="3" t="s">
        <v>200</v>
      </c>
      <c r="B178" s="12">
        <f t="shared" si="2"/>
        <v>0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s="2" customFormat="1" ht="18.75" hidden="1" customHeight="1">
      <c r="A179" s="3" t="s">
        <v>201</v>
      </c>
      <c r="B179" s="12">
        <f t="shared" si="2"/>
        <v>0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s="2" customFormat="1" ht="18.75" hidden="1" customHeight="1">
      <c r="A180" s="3" t="s">
        <v>202</v>
      </c>
      <c r="B180" s="12">
        <f t="shared" si="2"/>
        <v>0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s="2" customFormat="1" ht="18.75" hidden="1" customHeight="1">
      <c r="A181" s="3" t="s">
        <v>203</v>
      </c>
      <c r="B181" s="12">
        <f t="shared" si="2"/>
        <v>0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s="2" customFormat="1" ht="18.75" hidden="1" customHeight="1">
      <c r="A182" s="3" t="s">
        <v>204</v>
      </c>
      <c r="B182" s="12">
        <f t="shared" si="2"/>
        <v>0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s="2" customFormat="1" ht="18.75" hidden="1" customHeight="1">
      <c r="A183" s="3" t="s">
        <v>205</v>
      </c>
      <c r="B183" s="12">
        <f t="shared" si="2"/>
        <v>0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s="2" customFormat="1" ht="18.75" hidden="1" customHeight="1">
      <c r="A184" s="3" t="s">
        <v>206</v>
      </c>
      <c r="B184" s="12">
        <f t="shared" si="2"/>
        <v>0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s="2" customFormat="1" ht="18.75" hidden="1" customHeight="1">
      <c r="A185" s="3" t="s">
        <v>207</v>
      </c>
      <c r="B185" s="12">
        <f t="shared" si="2"/>
        <v>0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s="2" customFormat="1" ht="18.75" hidden="1" customHeight="1">
      <c r="A186" s="3" t="s">
        <v>208</v>
      </c>
      <c r="B186" s="12">
        <f t="shared" si="2"/>
        <v>0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s="2" customFormat="1" ht="18.75" hidden="1" customHeight="1">
      <c r="A187" s="3" t="s">
        <v>209</v>
      </c>
      <c r="B187" s="12">
        <f t="shared" si="2"/>
        <v>0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s="2" customFormat="1" ht="18.75" hidden="1" customHeight="1">
      <c r="A188" s="3" t="s">
        <v>210</v>
      </c>
      <c r="B188" s="12">
        <f t="shared" si="2"/>
        <v>0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s="2" customFormat="1" ht="18.75" hidden="1" customHeight="1">
      <c r="A189" s="3" t="s">
        <v>211</v>
      </c>
      <c r="B189" s="12">
        <f t="shared" si="2"/>
        <v>0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s="2" customFormat="1" ht="18.75" hidden="1" customHeight="1">
      <c r="A190" s="3" t="s">
        <v>212</v>
      </c>
      <c r="B190" s="12">
        <f t="shared" si="2"/>
        <v>0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s="2" customFormat="1" ht="18.75" hidden="1" customHeight="1">
      <c r="A191" s="3" t="s">
        <v>213</v>
      </c>
      <c r="B191" s="12">
        <f t="shared" si="2"/>
        <v>0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s="2" customFormat="1" ht="18.75" hidden="1" customHeight="1">
      <c r="A192" s="3" t="s">
        <v>214</v>
      </c>
      <c r="B192" s="12">
        <f t="shared" si="2"/>
        <v>0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s="2" customFormat="1" ht="18.75" hidden="1" customHeight="1">
      <c r="A193" s="4" t="s">
        <v>215</v>
      </c>
      <c r="B193" s="13">
        <f t="shared" si="2"/>
        <v>0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 spans="1:14" s="2" customFormat="1" ht="18.75" customHeight="1">
      <c r="A194" s="14" t="s">
        <v>216</v>
      </c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s="2" customFormat="1" ht="42.75" customHeight="1">
      <c r="A195" s="26" t="s">
        <v>222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</row>
    <row r="196" spans="1:14" s="2" customFormat="1" ht="18.75" customHeight="1">
      <c r="A196" s="21" t="s">
        <v>219</v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 spans="1:14" s="2" customFormat="1" ht="26.1" customHeight="1">
      <c r="A197" s="21" t="s">
        <v>221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 spans="1:14" s="2" customFormat="1" ht="30.6" customHeight="1">
      <c r="A198" s="21" t="s">
        <v>220</v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 spans="1:14" s="2" customFormat="1" ht="18.75" customHeight="1">
      <c r="A199" s="14" t="s">
        <v>217</v>
      </c>
      <c r="B199" s="12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</sheetData>
  <mergeCells count="8">
    <mergeCell ref="A196:N196"/>
    <mergeCell ref="A197:N197"/>
    <mergeCell ref="A198:N198"/>
    <mergeCell ref="A2:N2"/>
    <mergeCell ref="A3:N3"/>
    <mergeCell ref="A4:N4"/>
    <mergeCell ref="A5:A6"/>
    <mergeCell ref="A195:N195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2024-09-24T09:35:20Z</cp:lastPrinted>
  <dcterms:created xsi:type="dcterms:W3CDTF">2019-05-21T05:57:00Z</dcterms:created>
  <dcterms:modified xsi:type="dcterms:W3CDTF">2024-09-24T09:35:36Z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