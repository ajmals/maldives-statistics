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593D26E2-B292-4E72-987D-06067E7E88CF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6" sheetId="6" r:id="rId1"/>
  </sheets>
  <definedNames>
    <definedName name="Male">#REF!</definedName>
    <definedName name="_xlnm.Print_Area" localSheetId="0">'12.6'!$A$1:$S$56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" l="1"/>
  <c r="Q19" i="6"/>
  <c r="P19" i="6"/>
  <c r="O19" i="6"/>
  <c r="N19" i="6"/>
  <c r="M19" i="6"/>
  <c r="L19" i="6"/>
  <c r="K19" i="6"/>
  <c r="J19" i="6"/>
  <c r="I19" i="6"/>
  <c r="D19" i="6"/>
  <c r="Q18" i="6"/>
  <c r="P18" i="6"/>
  <c r="O18" i="6"/>
  <c r="N18" i="6"/>
  <c r="M18" i="6"/>
  <c r="L18" i="6"/>
  <c r="K18" i="6"/>
  <c r="J18" i="6"/>
  <c r="I18" i="6"/>
  <c r="F18" i="6"/>
  <c r="E18" i="6"/>
  <c r="D18" i="6"/>
  <c r="Q17" i="6"/>
  <c r="P17" i="6"/>
  <c r="O17" i="6"/>
  <c r="N17" i="6"/>
  <c r="M17" i="6"/>
  <c r="L17" i="6"/>
  <c r="K17" i="6"/>
  <c r="J17" i="6"/>
  <c r="I17" i="6"/>
  <c r="F17" i="6"/>
  <c r="E17" i="6"/>
  <c r="D17" i="6"/>
  <c r="B17" i="6"/>
  <c r="P15" i="6"/>
  <c r="O15" i="6"/>
  <c r="H15" i="6"/>
  <c r="J14" i="6"/>
  <c r="F13" i="6"/>
  <c r="D13" i="6"/>
  <c r="P12" i="6"/>
  <c r="H12" i="6"/>
  <c r="C12" i="6"/>
  <c r="G10" i="6"/>
  <c r="G20" i="6" s="1"/>
  <c r="E10" i="6"/>
  <c r="E20" i="6" s="1"/>
  <c r="B10" i="6"/>
  <c r="B20" i="6" s="1"/>
  <c r="G9" i="6"/>
  <c r="G19" i="6" s="1"/>
  <c r="E9" i="6"/>
  <c r="F19" i="6" s="1"/>
  <c r="B9" i="6"/>
  <c r="C19" i="6" s="1"/>
  <c r="G8" i="6"/>
  <c r="H18" i="6" s="1"/>
  <c r="B8" i="6"/>
  <c r="G7" i="6"/>
  <c r="G17" i="6" s="1"/>
  <c r="B7" i="6"/>
  <c r="C17" i="6" s="1"/>
  <c r="Q6" i="6"/>
  <c r="Q15" i="6" s="1"/>
  <c r="P6" i="6"/>
  <c r="P13" i="6" s="1"/>
  <c r="O6" i="6"/>
  <c r="O13" i="6" s="1"/>
  <c r="N6" i="6"/>
  <c r="N13" i="6" s="1"/>
  <c r="M6" i="6"/>
  <c r="M13" i="6" s="1"/>
  <c r="L6" i="6"/>
  <c r="K6" i="6"/>
  <c r="K13" i="6" s="1"/>
  <c r="J6" i="6"/>
  <c r="J15" i="6" s="1"/>
  <c r="I6" i="6"/>
  <c r="I13" i="6" s="1"/>
  <c r="H6" i="6"/>
  <c r="H13" i="6" s="1"/>
  <c r="F6" i="6"/>
  <c r="F15" i="6" s="1"/>
  <c r="D6" i="6"/>
  <c r="D16" i="6" s="1"/>
  <c r="C6" i="6"/>
  <c r="C13" i="6" s="1"/>
  <c r="M14" i="6" l="1"/>
  <c r="E6" i="6"/>
  <c r="C15" i="6"/>
  <c r="O14" i="6"/>
  <c r="H17" i="6"/>
  <c r="E19" i="6"/>
  <c r="K12" i="6"/>
  <c r="H19" i="6"/>
  <c r="H20" i="6"/>
  <c r="M12" i="6"/>
  <c r="K15" i="6"/>
  <c r="O12" i="6"/>
  <c r="O11" i="6" s="1"/>
  <c r="N15" i="6"/>
  <c r="K16" i="6"/>
  <c r="E15" i="6"/>
  <c r="E14" i="6"/>
  <c r="O16" i="6"/>
  <c r="C11" i="6"/>
  <c r="L12" i="6"/>
  <c r="L14" i="6"/>
  <c r="L15" i="6"/>
  <c r="C18" i="6"/>
  <c r="B13" i="6"/>
  <c r="B6" i="6"/>
  <c r="L13" i="6"/>
  <c r="B15" i="6"/>
  <c r="C20" i="6"/>
  <c r="I14" i="6"/>
  <c r="I15" i="6"/>
  <c r="I12" i="6"/>
  <c r="I11" i="6" s="1"/>
  <c r="J16" i="6"/>
  <c r="O20" i="6"/>
  <c r="D12" i="6"/>
  <c r="D14" i="6"/>
  <c r="D15" i="6"/>
  <c r="B14" i="6"/>
  <c r="I16" i="6"/>
  <c r="B19" i="6"/>
  <c r="N12" i="6"/>
  <c r="N11" i="6" s="1"/>
  <c r="N20" i="6" s="1"/>
  <c r="N14" i="6"/>
  <c r="N16" i="6"/>
  <c r="F12" i="6"/>
  <c r="F14" i="6"/>
  <c r="F16" i="6"/>
  <c r="L16" i="6"/>
  <c r="B18" i="6"/>
  <c r="J13" i="6"/>
  <c r="C14" i="6"/>
  <c r="K14" i="6"/>
  <c r="K11" i="6" s="1"/>
  <c r="K20" i="6" s="1"/>
  <c r="E16" i="6"/>
  <c r="M16" i="6"/>
  <c r="F20" i="6"/>
  <c r="B12" i="6"/>
  <c r="J12" i="6"/>
  <c r="J11" i="6" s="1"/>
  <c r="J20" i="6" s="1"/>
  <c r="M15" i="6"/>
  <c r="M11" i="6" s="1"/>
  <c r="G18" i="6"/>
  <c r="P16" i="6"/>
  <c r="G6" i="6"/>
  <c r="G13" i="6" s="1"/>
  <c r="H14" i="6"/>
  <c r="H11" i="6" s="1"/>
  <c r="P14" i="6"/>
  <c r="P11" i="6" s="1"/>
  <c r="P20" i="6" s="1"/>
  <c r="Q13" i="6"/>
  <c r="Q14" i="6"/>
  <c r="Q16" i="6"/>
  <c r="Q12" i="6"/>
  <c r="E13" i="6" l="1"/>
  <c r="E12" i="6"/>
  <c r="E11" i="6" s="1"/>
  <c r="F11" i="6"/>
  <c r="Q11" i="6"/>
  <c r="Q20" i="6" s="1"/>
  <c r="C16" i="6"/>
  <c r="B16" i="6"/>
  <c r="H16" i="6"/>
  <c r="D11" i="6"/>
  <c r="G12" i="6"/>
  <c r="G15" i="6"/>
  <c r="G14" i="6"/>
  <c r="G16" i="6"/>
  <c r="M20" i="6"/>
  <c r="I20" i="6"/>
  <c r="B11" i="6"/>
  <c r="L11" i="6"/>
  <c r="L20" i="6" s="1"/>
  <c r="G11" i="6" l="1"/>
</calcChain>
</file>

<file path=xl/sharedStrings.xml><?xml version="1.0" encoding="utf-8"?>
<sst xmlns="http://schemas.openxmlformats.org/spreadsheetml/2006/main" count="38" uniqueCount="23">
  <si>
    <t>2023 - 2010  ,urwvcnim unuverukcnunEb iawgElWm cnef Everukclib  : 12.6  ulwvWt</t>
  </si>
  <si>
    <t>Table 12.6 : BILLED WATER CONSUMPTION IN MALE',   2010 - 2023</t>
  </si>
  <si>
    <t>(In '000 metric tons)</t>
  </si>
  <si>
    <t>(cnunwT ckircTem '000)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</si>
  <si>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</si>
  <si>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</si>
  <si>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</si>
  <si>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</si>
  <si>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</si>
  <si>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</si>
  <si>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</si>
  <si>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</si>
  <si>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</si>
  <si>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</si>
  <si>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</si>
  <si>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</si>
  <si>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</si>
  <si>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% cnutogWviawfiheb</t>
  </si>
  <si>
    <t>% change over previous year</t>
  </si>
  <si>
    <t xml:space="preserve"> % urwvcnim ivurutia eruvcSwrwhwa Iruk</t>
  </si>
  <si>
    <t xml:space="preserve"> Commercial</t>
  </si>
  <si>
    <t>Source: Male' Water &amp; Sewerage Company  Limited</t>
  </si>
  <si>
    <t>cDeTimil Inepcmok cjErevcs cDcnea rwTOv ElWm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</si>
</sst>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0.0"/>
  </numFmts>
  <fonts count="23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_Faseyha"/>
    </font>
    <font>
      <sz val="9"/>
      <name val="A_Faseyha"/>
    </font>
    <font>
      <sz val="11"/>
      <name val="Arial"/>
      <family val="2"/>
    </font>
    <font>
      <b/>
      <sz val="10"/>
      <name val="Calibri"/>
      <family val="2"/>
      <scheme val="minor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name val="Garamond"/>
      <family val="1"/>
    </font>
    <font>
      <sz val="9"/>
      <name val="Garamond"/>
      <family val="1"/>
    </font>
    <font>
      <b/>
      <sz val="9"/>
      <name val="Arial"/>
      <family val="2"/>
    </font>
    <font>
      <sz val="9"/>
      <name val="Arial"/>
      <family val="2"/>
    </font>
    <font>
      <b/>
      <sz val="9"/>
      <name val="A_Funa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_Faseyha"/>
    </font>
    <font>
      <sz val="11"/>
      <name val="Calibri"/>
      <family val="2"/>
      <scheme val="minor"/>
    </font>
    <font>
      <b/>
      <sz val="11"/>
      <name val="A_Faseyha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43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7" fillId="0" borderId="0"/>
    <xf numFmtId="0" fontId="2" fillId="0" borderId="0"/>
    <xf numFmtId="0" fontId="12" fillId="0" borderId="0"/>
  </cellStyleXfs>
  <cellXfs count="53">
    <xf numFmtId="0" fontId="0" fillId="0" borderId="0" xfId="0"/>
    <xf numFmtId="0" fontId="2" fillId="2" borderId="0" xfId="5" applyFill="1"/>
    <xf numFmtId="164" fontId="4" fillId="2" borderId="0" xfId="1" applyNumberFormat="1" applyFont="1" applyFill="1" applyBorder="1" applyAlignment="1">
      <alignment horizontal="right" vertical="center"/>
    </xf>
    <xf numFmtId="0" fontId="1" fillId="2" borderId="0" xfId="9" applyFont="1" applyFill="1"/>
    <xf numFmtId="0" fontId="5" fillId="2" borderId="1" xfId="0" applyFont="1" applyFill="1" applyBorder="1" applyAlignment="1">
      <alignment horizontal="right" vertical="center"/>
    </xf>
    <xf numFmtId="0" fontId="6" fillId="2" borderId="0" xfId="9" applyFont="1" applyFill="1" applyAlignment="1">
      <alignment horizontal="right"/>
    </xf>
    <xf numFmtId="0" fontId="11" fillId="2" borderId="0" xfId="5" applyFont="1" applyFill="1" applyAlignment="1">
      <alignment vertical="center" wrapText="1"/>
    </xf>
    <xf numFmtId="0" fontId="11" fillId="2" borderId="0" xfId="5" applyFont="1" applyFill="1" applyAlignment="1">
      <alignment horizontal="center" vertical="center" wrapText="1"/>
    </xf>
    <xf numFmtId="0" fontId="13" fillId="2" borderId="0" xfId="9" applyFont="1" applyFill="1"/>
    <xf numFmtId="0" fontId="9" fillId="2" borderId="0" xfId="0" applyFont="1" applyFill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2" borderId="0" xfId="9" applyFont="1" applyFill="1" applyAlignment="1">
      <alignment horizontal="right"/>
    </xf>
    <xf numFmtId="0" fontId="20" fillId="2" borderId="0" xfId="0" applyFont="1" applyFill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14" fillId="2" borderId="0" xfId="0" applyFont="1" applyFill="1"/>
    <xf numFmtId="0" fontId="4" fillId="2" borderId="0" xfId="0" applyFont="1" applyFill="1" applyAlignment="1">
      <alignment vertical="center"/>
    </xf>
    <xf numFmtId="164" fontId="4" fillId="2" borderId="0" xfId="1" applyNumberFormat="1" applyFont="1" applyFill="1" applyAlignment="1">
      <alignment vertical="center"/>
    </xf>
    <xf numFmtId="164" fontId="4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2" fillId="2" borderId="0" xfId="0" applyFont="1" applyFill="1"/>
    <xf numFmtId="0" fontId="20" fillId="2" borderId="0" xfId="0" applyFont="1" applyFill="1" applyAlignment="1">
      <alignment vertical="center"/>
    </xf>
    <xf numFmtId="164" fontId="20" fillId="2" borderId="0" xfId="1" applyNumberFormat="1" applyFont="1" applyFill="1" applyAlignment="1">
      <alignment vertical="center"/>
    </xf>
    <xf numFmtId="164" fontId="20" fillId="2" borderId="0" xfId="1" applyNumberFormat="1" applyFont="1" applyFill="1" applyAlignment="1">
      <alignment horizontal="right" vertical="center"/>
    </xf>
    <xf numFmtId="0" fontId="7" fillId="2" borderId="0" xfId="0" applyFont="1" applyFill="1"/>
    <xf numFmtId="43" fontId="7" fillId="2" borderId="0" xfId="1" applyFont="1" applyFill="1"/>
    <xf numFmtId="166" fontId="7" fillId="2" borderId="0" xfId="0" applyNumberFormat="1" applyFont="1" applyFill="1"/>
    <xf numFmtId="43" fontId="7" fillId="2" borderId="0" xfId="0" applyNumberFormat="1" applyFont="1" applyFill="1"/>
    <xf numFmtId="0" fontId="20" fillId="2" borderId="4" xfId="0" applyFont="1" applyFill="1" applyBorder="1" applyAlignment="1">
      <alignment vertical="center"/>
    </xf>
    <xf numFmtId="164" fontId="20" fillId="2" borderId="4" xfId="1" applyNumberFormat="1" applyFont="1" applyFill="1" applyBorder="1" applyAlignment="1">
      <alignment vertical="center"/>
    </xf>
    <xf numFmtId="164" fontId="20" fillId="2" borderId="4" xfId="1" applyNumberFormat="1" applyFont="1" applyFill="1" applyBorder="1" applyAlignment="1">
      <alignment horizontal="right" vertical="center"/>
    </xf>
    <xf numFmtId="164" fontId="20" fillId="2" borderId="3" xfId="1" applyNumberFormat="1" applyFont="1" applyFill="1" applyBorder="1" applyAlignment="1">
      <alignment horizontal="right" vertical="center"/>
    </xf>
    <xf numFmtId="37" fontId="20" fillId="2" borderId="4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vertical="center"/>
    </xf>
    <xf numFmtId="3" fontId="4" fillId="2" borderId="0" xfId="1" applyNumberFormat="1" applyFont="1" applyFill="1" applyBorder="1" applyAlignment="1">
      <alignment horizontal="right" vertical="center"/>
    </xf>
    <xf numFmtId="3" fontId="20" fillId="2" borderId="0" xfId="1" applyNumberFormat="1" applyFont="1" applyFill="1" applyAlignment="1">
      <alignment vertical="center"/>
    </xf>
    <xf numFmtId="3" fontId="20" fillId="2" borderId="0" xfId="1" applyNumberFormat="1" applyFont="1" applyFill="1" applyAlignment="1">
      <alignment horizontal="right" vertical="center"/>
    </xf>
    <xf numFmtId="0" fontId="20" fillId="2" borderId="2" xfId="0" applyFont="1" applyFill="1" applyBorder="1" applyAlignment="1">
      <alignment vertical="center"/>
    </xf>
    <xf numFmtId="3" fontId="20" fillId="2" borderId="2" xfId="1" applyNumberFormat="1" applyFont="1" applyFill="1" applyBorder="1" applyAlignment="1">
      <alignment vertical="center"/>
    </xf>
    <xf numFmtId="3" fontId="20" fillId="2" borderId="2" xfId="1" applyNumberFormat="1" applyFont="1" applyFill="1" applyBorder="1" applyAlignment="1">
      <alignment horizontal="right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5" fillId="2" borderId="0" xfId="0" applyFont="1" applyFill="1"/>
    <xf numFmtId="0" fontId="13" fillId="2" borderId="0" xfId="9" applyFont="1" applyFill="1" applyAlignment="1">
      <alignment vertical="center"/>
    </xf>
    <xf numFmtId="0" fontId="10" fillId="2" borderId="0" xfId="0" applyFont="1" applyFill="1"/>
    <xf numFmtId="1" fontId="20" fillId="2" borderId="0" xfId="0" applyNumberFormat="1" applyFont="1" applyFill="1"/>
    <xf numFmtId="0" fontId="10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8" fillId="2" borderId="2" xfId="5" applyFont="1" applyFill="1" applyBorder="1" applyAlignment="1">
      <alignment horizontal="right" vertical="center" wrapText="1"/>
    </xf>
    <xf numFmtId="0" fontId="16" fillId="2" borderId="2" xfId="5" applyFont="1" applyFill="1" applyBorder="1" applyAlignment="1">
      <alignment horizontal="left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196563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2E-2"/>
          <c:y val="0.17376292539326499"/>
          <c:w val="0.87957481900865098"/>
          <c:h val="0.651440481022281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2991-449B-BD60-FDD138FD9787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2991-449B-BD60-FDD138FD97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2991-449B-BD60-FDD138FD9787}"/>
              </c:ext>
            </c:extLst>
          </c:dPt>
          <c:cat>
            <c:strLit>
              <c:ptCount val="3"/>
              <c:pt idx="0">
                <c:v>Residential</c:v>
              </c:pt>
              <c:pt idx="1">
                <c:v>Institution</c:v>
              </c:pt>
              <c:pt idx="2">
                <c:v>Commercial</c:v>
              </c:pt>
            </c:strLit>
          </c:cat>
          <c:val>
            <c:numLit>
              <c:formatCode>General</c:formatCode>
              <c:ptCount val="3"/>
              <c:pt idx="0">
                <c:v>4915.2939800000004</c:v>
              </c:pt>
              <c:pt idx="1">
                <c:v>616.09299999999996</c:v>
              </c:pt>
              <c:pt idx="2">
                <c:v>767.10302000000001</c:v>
              </c:pt>
            </c:numLit>
          </c:val>
          <c:extLst>
            <c:ext xmlns:c16="http://schemas.microsoft.com/office/drawing/2014/chart" uri="{C3380CC4-5D6E-409C-BE32-E72D297353CC}">
              <c16:uniqueId val="{00000006-2991-449B-BD60-FDD138FD9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2060312"/>
        <c:axId val="462061096"/>
      </c:barChart>
      <c:catAx>
        <c:axId val="462060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61096"/>
        <c:crosses val="autoZero"/>
        <c:auto val="1"/>
        <c:lblAlgn val="ctr"/>
        <c:lblOffset val="100"/>
        <c:noMultiLvlLbl val="0"/>
      </c:catAx>
      <c:valAx>
        <c:axId val="462061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60312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2E-2"/>
          <c:y val="0.17376292539326499"/>
          <c:w val="0.87957481900865098"/>
          <c:h val="0.651440481022281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081-40EC-BD9B-8742D4A3D8A3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C081-40EC-BD9B-8742D4A3D8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C081-40EC-BD9B-8742D4A3D8A3}"/>
              </c:ext>
            </c:extLst>
          </c:dPt>
          <c:cat>
            <c:strLit>
              <c:ptCount val="3"/>
              <c:pt idx="0">
                <c:v>Residential</c:v>
              </c:pt>
              <c:pt idx="1">
                <c:v>Institution</c:v>
              </c:pt>
              <c:pt idx="2">
                <c:v>Commercial</c:v>
              </c:pt>
            </c:strLit>
          </c:cat>
          <c:val>
            <c:numLit>
              <c:formatCode>General</c:formatCode>
              <c:ptCount val="3"/>
              <c:pt idx="0">
                <c:v>4915.2939800000004</c:v>
              </c:pt>
              <c:pt idx="1">
                <c:v>616.09299999999996</c:v>
              </c:pt>
              <c:pt idx="2">
                <c:v>767.10302000000001</c:v>
              </c:pt>
            </c:numLit>
          </c:val>
          <c:extLst>
            <c:ext xmlns:c16="http://schemas.microsoft.com/office/drawing/2014/chart" uri="{C3380CC4-5D6E-409C-BE32-E72D297353CC}">
              <c16:uniqueId val="{00000006-C081-40EC-BD9B-8742D4A3D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3355488"/>
        <c:axId val="463359800"/>
      </c:barChart>
      <c:catAx>
        <c:axId val="46335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59800"/>
        <c:crosses val="autoZero"/>
        <c:auto val="1"/>
        <c:lblAlgn val="ctr"/>
        <c:lblOffset val="100"/>
        <c:noMultiLvlLbl val="0"/>
      </c:catAx>
      <c:valAx>
        <c:axId val="463359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55488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401"/>
          <c:y val="0.17376292539326499"/>
          <c:w val="0.37864865079176302"/>
          <c:h val="0.78849002212974595"/>
        </c:manualLayout>
      </c:layout>
      <c:pieChart>
        <c:varyColors val="1"/>
        <c:ser>
          <c:idx val="0"/>
          <c:order val="0"/>
          <c:spPr>
            <a:solidFill>
              <a:srgbClr val="249390"/>
            </a:solidFill>
          </c:spPr>
          <c:explosion val="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B71-4D84-9B5B-17A7020F9FF1}"/>
              </c:ext>
            </c:extLst>
          </c:dPt>
          <c:dPt>
            <c:idx val="1"/>
            <c:bubble3D val="0"/>
            <c:spPr>
              <a:solidFill>
                <a:srgbClr val="C7F2F1"/>
              </a:solidFill>
            </c:spPr>
            <c:extLst>
              <c:ext xmlns:c16="http://schemas.microsoft.com/office/drawing/2014/chart" uri="{C3380CC4-5D6E-409C-BE32-E72D297353CC}">
                <c16:uniqueId val="{00000001-1B71-4D84-9B5B-17A7020F9FF1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2-1B71-4D84-9B5B-17A7020F9FF1}"/>
              </c:ext>
            </c:extLst>
          </c:dPt>
          <c:dLbls>
            <c:dLbl>
              <c:idx val="0"/>
              <c:layout>
                <c:manualLayout>
                  <c:x val="-0.113301957014735"/>
                  <c:y val="-0.2306397901374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71-4D84-9B5B-17A7020F9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'12.6'!$A$12:$A$14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'12.6'!$Q$12:$Q$14</c:f>
              <c:numCache>
                <c:formatCode>_(* #,##0_);_(* \(#,##0\);_(* "-"??_);_(@_)</c:formatCode>
                <c:ptCount val="3"/>
                <c:pt idx="0">
                  <c:v>77.471553351588312</c:v>
                </c:pt>
                <c:pt idx="1">
                  <c:v>9.249972501785205</c:v>
                </c:pt>
                <c:pt idx="2">
                  <c:v>13.27847414662647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1-4D84-9B5B-17A7020F9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12.5: Percentage share of </a:t>
            </a:r>
            <a:r>
              <a:rPr lang="en-US" sz="1050" b="1" i="0" baseline="0">
                <a:effectLst/>
              </a:rPr>
              <a:t>water</a:t>
            </a:r>
            <a:r>
              <a:rPr lang="en-US" sz="1200" b="1" i="0" baseline="0">
                <a:effectLst/>
              </a:rPr>
              <a:t> consumption in Male', 2010 - 2023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1605390131310401"/>
          <c:y val="2.51572327044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1275302915902E-2"/>
          <c:y val="0.120032362459547"/>
          <c:w val="0.93109740049617096"/>
          <c:h val="0.731673530662663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'12.6'!$A$12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'12.6'!$D$12:$P$12</c:f>
              <c:numCache>
                <c:formatCode>_(* #,##0_);_(* \(#,##0\);_(* "-"??_);_(@_)</c:formatCode>
                <c:ptCount val="13"/>
                <c:pt idx="0">
                  <c:v>80.356260074400723</c:v>
                </c:pt>
                <c:pt idx="1">
                  <c:v>79.909854988124479</c:v>
                </c:pt>
                <c:pt idx="2">
                  <c:v>81.575217913353299</c:v>
                </c:pt>
                <c:pt idx="3">
                  <c:v>81.434627477763883</c:v>
                </c:pt>
                <c:pt idx="4">
                  <c:v>81.622250460351708</c:v>
                </c:pt>
                <c:pt idx="5">
                  <c:v>80.455612260492032</c:v>
                </c:pt>
                <c:pt idx="6">
                  <c:v>79.666147431903866</c:v>
                </c:pt>
                <c:pt idx="7">
                  <c:v>78.03924400927842</c:v>
                </c:pt>
                <c:pt idx="8">
                  <c:v>77.366574155349696</c:v>
                </c:pt>
                <c:pt idx="9">
                  <c:v>77.465989037351562</c:v>
                </c:pt>
                <c:pt idx="10">
                  <c:v>79.607192626018104</c:v>
                </c:pt>
                <c:pt idx="11">
                  <c:v>79.203085990400993</c:v>
                </c:pt>
                <c:pt idx="12">
                  <c:v>77.373770964078915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D-425A-9B56-6EC3C9221C88}"/>
            </c:ext>
          </c:extLst>
        </c:ser>
        <c:ser>
          <c:idx val="1"/>
          <c:order val="1"/>
          <c:tx>
            <c:strRef>
              <c:f>'12.6'!$A$13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'12.6'!$D$13:$P$13</c:f>
              <c:numCache>
                <c:formatCode>_(* #,##0_);_(* \(#,##0\);_(* "-"??_);_(@_)</c:formatCode>
                <c:ptCount val="13"/>
                <c:pt idx="0">
                  <c:v>9.6012597792971413</c:v>
                </c:pt>
                <c:pt idx="1">
                  <c:v>8.2734249061250207</c:v>
                </c:pt>
                <c:pt idx="2">
                  <c:v>8.6585503819099223</c:v>
                </c:pt>
                <c:pt idx="3">
                  <c:v>8.6110823719206468</c:v>
                </c:pt>
                <c:pt idx="4">
                  <c:v>7.9657282579766413</c:v>
                </c:pt>
                <c:pt idx="5">
                  <c:v>8.9747584860563112</c:v>
                </c:pt>
                <c:pt idx="6">
                  <c:v>9.2327248667262634</c:v>
                </c:pt>
                <c:pt idx="7">
                  <c:v>9.7815984466118078</c:v>
                </c:pt>
                <c:pt idx="8">
                  <c:v>10.023382223811055</c:v>
                </c:pt>
                <c:pt idx="9">
                  <c:v>9.3947708160982106</c:v>
                </c:pt>
                <c:pt idx="10">
                  <c:v>9.0850920200925032</c:v>
                </c:pt>
                <c:pt idx="11">
                  <c:v>9.6831426034125734</c:v>
                </c:pt>
                <c:pt idx="12">
                  <c:v>10.468643360774825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D-425A-9B56-6EC3C9221C88}"/>
            </c:ext>
          </c:extLst>
        </c:ser>
        <c:ser>
          <c:idx val="2"/>
          <c:order val="2"/>
          <c:tx>
            <c:strRef>
              <c:f>'12.6'!$A$14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C7F2F1"/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'12.6'!$D$14:$P$14</c:f>
              <c:numCache>
                <c:formatCode>_(* #,##0_);_(* \(#,##0\);_(* "-"??_);_(@_)</c:formatCode>
                <c:ptCount val="13"/>
                <c:pt idx="0">
                  <c:v>9.5945295948963185</c:v>
                </c:pt>
                <c:pt idx="1">
                  <c:v>11.695455640524797</c:v>
                </c:pt>
                <c:pt idx="2">
                  <c:v>9.735177337275406</c:v>
                </c:pt>
                <c:pt idx="3">
                  <c:v>9.9011593689189166</c:v>
                </c:pt>
                <c:pt idx="4">
                  <c:v>10.346710397478317</c:v>
                </c:pt>
                <c:pt idx="5">
                  <c:v>10.569629253451657</c:v>
                </c:pt>
                <c:pt idx="6">
                  <c:v>11.101127701369871</c:v>
                </c:pt>
                <c:pt idx="7">
                  <c:v>12.179157544109779</c:v>
                </c:pt>
                <c:pt idx="8">
                  <c:v>12.610043620839242</c:v>
                </c:pt>
                <c:pt idx="9">
                  <c:v>13.139240146550236</c:v>
                </c:pt>
                <c:pt idx="10">
                  <c:v>11.307715353889378</c:v>
                </c:pt>
                <c:pt idx="11">
                  <c:v>11.113771406186441</c:v>
                </c:pt>
                <c:pt idx="12">
                  <c:v>12.157585675146256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D-425A-9B56-6EC3C9221C88}"/>
            </c:ext>
          </c:extLst>
        </c:ser>
        <c:ser>
          <c:idx val="3"/>
          <c:order val="3"/>
          <c:tx>
            <c:strRef>
              <c:f>'12.6'!$A$15</c:f>
              <c:strCache>
                <c:ptCount val="1"/>
                <c:pt idx="0">
                  <c:v>Tap Bays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'12.6'!$D$15:$N$15</c:f>
              <c:numCache>
                <c:formatCode>_(* #,##0_);_(* \(#,##0\);_(* "-"??_);_(@_)</c:formatCode>
                <c:ptCount val="11"/>
                <c:pt idx="0">
                  <c:v>0.44795055140582801</c:v>
                </c:pt>
                <c:pt idx="1">
                  <c:v>0.12126446522570183</c:v>
                </c:pt>
                <c:pt idx="2">
                  <c:v>3.1054367461371937E-2</c:v>
                </c:pt>
                <c:pt idx="3">
                  <c:v>5.3130781396563576E-2</c:v>
                </c:pt>
                <c:pt idx="4">
                  <c:v>6.5310884193338331E-2</c:v>
                </c:pt>
                <c:pt idx="5" formatCode="#,##0_);\(#,##0\)">
                  <c:v>0</c:v>
                </c:pt>
                <c:pt idx="6" formatCode="#,##0_);\(#,##0\)">
                  <c:v>0</c:v>
                </c:pt>
                <c:pt idx="7" formatCode="#,##0_);\(#,##0\)">
                  <c:v>0</c:v>
                </c:pt>
                <c:pt idx="8" formatCode="#,##0_);\(#,##0\)">
                  <c:v>0</c:v>
                </c:pt>
                <c:pt idx="9" formatCode="#,##0_);\(#,##0\)">
                  <c:v>0</c:v>
                </c:pt>
                <c:pt idx="10" formatCode="#,##0_);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3D-425A-9B56-6EC3C922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360584"/>
        <c:axId val="463361368"/>
      </c:barChart>
      <c:catAx>
        <c:axId val="4633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368"/>
        <c:crosses val="autoZero"/>
        <c:auto val="1"/>
        <c:lblAlgn val="ctr"/>
        <c:lblOffset val="100"/>
        <c:noMultiLvlLbl val="0"/>
      </c:catAx>
      <c:valAx>
        <c:axId val="463361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C7F2F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0584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97111730876983"/>
          <c:y val="0.926842779605066"/>
          <c:w val="0.400706640256276"/>
          <c:h val="7.07552122022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17</xdr:col>
      <xdr:colOff>600076</xdr:colOff>
      <xdr:row>38</xdr:row>
      <xdr:rowOff>66675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7425" y="4665980"/>
          <a:ext cx="5013960" cy="26162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>
        <a:xfrm flipV="1">
          <a:off x="1071245" y="4897755"/>
          <a:ext cx="4902835" cy="20955"/>
        </a:xfrm>
        <a:prstGeom prst="line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17</xdr:col>
      <xdr:colOff>600076</xdr:colOff>
      <xdr:row>38</xdr:row>
      <xdr:rowOff>66675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87425" y="4665980"/>
          <a:ext cx="5013960" cy="26162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>
        <a:xfrm flipV="1">
          <a:off x="1071245" y="4897755"/>
          <a:ext cx="4902835" cy="20955"/>
        </a:xfrm>
        <a:prstGeom prst="line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17</xdr:col>
      <xdr:colOff>600076</xdr:colOff>
      <xdr:row>38</xdr:row>
      <xdr:rowOff>66675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911804</xdr:colOff>
      <xdr:row>23</xdr:row>
      <xdr:rowOff>36978</xdr:rowOff>
    </xdr:from>
    <xdr:to>
      <xdr:col>17</xdr:col>
      <xdr:colOff>209550</xdr:colOff>
      <xdr:row>24</xdr:row>
      <xdr:rowOff>108177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11225" y="4723130"/>
          <a:ext cx="9032875" cy="26162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100" b="1" i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Figure 12.5: Percentage share of water consumption in Male', 2023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419099</xdr:colOff>
      <xdr:row>39</xdr:row>
      <xdr:rowOff>28575</xdr:rowOff>
    </xdr:from>
    <xdr:to>
      <xdr:col>17</xdr:col>
      <xdr:colOff>609600</xdr:colOff>
      <xdr:row>55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AH35"/>
  <sheetViews>
    <sheetView tabSelected="1" zoomScale="106" zoomScaleNormal="106" zoomScaleSheetLayoutView="106" workbookViewId="0">
      <selection activeCell="M18" sqref="M18"/>
    </sheetView>
  </sheetViews>
  <sheetFormatPr defaultColWidth="9.140625" defaultRowHeight="15"/>
  <cols>
    <col min="1" max="1" width="27.140625" style="14" customWidth="1"/>
    <col min="2" max="3" width="8.28515625" style="14" hidden="1" customWidth="1"/>
    <col min="4" max="4" width="7.42578125" style="23" customWidth="1"/>
    <col min="5" max="17" width="8.5703125" style="23" customWidth="1"/>
    <col min="18" max="18" width="37.42578125" style="14" customWidth="1"/>
    <col min="19" max="19" width="2.42578125" style="14" customWidth="1"/>
    <col min="20" max="20" width="15.28515625" style="14" bestFit="1" customWidth="1"/>
    <col min="21" max="21" width="11.42578125" style="14" bestFit="1" customWidth="1"/>
    <col min="22" max="16384" width="9.140625" style="14"/>
  </cols>
  <sheetData>
    <row r="2" spans="1:28" ht="18.7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28" ht="15.75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28" s="1" customFormat="1" ht="16.5" customHeight="1">
      <c r="A4" s="51" t="s">
        <v>2</v>
      </c>
      <c r="B4" s="51"/>
      <c r="C4" s="51"/>
      <c r="D4" s="51"/>
      <c r="E4" s="51"/>
      <c r="F4" s="51"/>
      <c r="G4" s="51"/>
      <c r="H4" s="51"/>
      <c r="I4" s="51"/>
      <c r="J4" s="52" t="s">
        <v>3</v>
      </c>
      <c r="K4" s="52"/>
      <c r="L4" s="52"/>
      <c r="M4" s="52"/>
      <c r="N4" s="52"/>
      <c r="O4" s="52"/>
      <c r="P4" s="52"/>
      <c r="Q4" s="52"/>
      <c r="R4" s="52"/>
      <c r="S4" s="6"/>
      <c r="T4" s="6"/>
      <c r="U4" s="6"/>
      <c r="V4" s="6"/>
      <c r="W4" s="7"/>
    </row>
    <row r="5" spans="1:28" s="17" customFormat="1" ht="18" customHeight="1">
      <c r="A5" s="15" t="s">
        <v>4</v>
      </c>
      <c r="B5" s="16">
        <v>2008</v>
      </c>
      <c r="C5" s="16">
        <v>2009</v>
      </c>
      <c r="D5" s="16">
        <v>2010</v>
      </c>
      <c r="E5" s="16">
        <v>2011</v>
      </c>
      <c r="F5" s="16">
        <v>2012</v>
      </c>
      <c r="G5" s="16">
        <v>2013</v>
      </c>
      <c r="H5" s="16">
        <v>2014</v>
      </c>
      <c r="I5" s="16">
        <v>2015</v>
      </c>
      <c r="J5" s="16">
        <v>2016</v>
      </c>
      <c r="K5" s="16">
        <v>2017</v>
      </c>
      <c r="L5" s="16">
        <v>2018</v>
      </c>
      <c r="M5" s="16">
        <v>2019</v>
      </c>
      <c r="N5" s="16">
        <v>2020</v>
      </c>
      <c r="O5" s="16">
        <v>2021</v>
      </c>
      <c r="P5" s="16">
        <v>2022</v>
      </c>
      <c r="Q5" s="16">
        <v>2023</v>
      </c>
      <c r="R5" s="4" t="s">
        <v>5</v>
      </c>
      <c r="U5" s="13"/>
      <c r="V5" s="13"/>
      <c r="W5" s="13"/>
      <c r="X5" s="13"/>
      <c r="Y5" s="13"/>
      <c r="Z5" s="13"/>
      <c r="AA5" s="13"/>
      <c r="AB5" s="13"/>
    </row>
    <row r="6" spans="1:28" s="22" customFormat="1" ht="18">
      <c r="A6" s="18" t="s">
        <v>6</v>
      </c>
      <c r="B6" s="19">
        <f t="shared" ref="B6:I6" si="0">SUM(B7:B10)</f>
        <v>2753.7502068822714</v>
      </c>
      <c r="C6" s="19">
        <f t="shared" si="0"/>
        <v>3122.326</v>
      </c>
      <c r="D6" s="20">
        <f t="shared" si="0"/>
        <v>3466.9183799999996</v>
      </c>
      <c r="E6" s="20">
        <f t="shared" si="0"/>
        <v>3852.5548200000003</v>
      </c>
      <c r="F6" s="20">
        <f t="shared" si="0"/>
        <v>4240.0155199999999</v>
      </c>
      <c r="G6" s="20">
        <f t="shared" si="0"/>
        <v>4509.2316299999993</v>
      </c>
      <c r="H6" s="20">
        <f t="shared" si="0"/>
        <v>4914.9541300000001</v>
      </c>
      <c r="I6" s="20">
        <f t="shared" si="0"/>
        <v>5700.0994600000004</v>
      </c>
      <c r="J6" s="20">
        <f t="shared" ref="J6:P6" si="1">SUM(J7:J10)</f>
        <v>5805.4536200000002</v>
      </c>
      <c r="K6" s="20">
        <f t="shared" si="1"/>
        <v>6298.49</v>
      </c>
      <c r="L6" s="20">
        <f t="shared" si="1"/>
        <v>6492.5390000000007</v>
      </c>
      <c r="M6" s="20">
        <f t="shared" si="1"/>
        <v>6812.9047799999998</v>
      </c>
      <c r="N6" s="20">
        <f t="shared" si="1"/>
        <v>6768.7456400000092</v>
      </c>
      <c r="O6" s="20">
        <f t="shared" si="1"/>
        <v>6761.7812400000103</v>
      </c>
      <c r="P6" s="20">
        <f t="shared" si="1"/>
        <v>6838.1849999999995</v>
      </c>
      <c r="Q6" s="20">
        <f t="shared" ref="Q6" si="2">SUM(Q7:Q10)</f>
        <v>7000.7271900000005</v>
      </c>
      <c r="R6" s="21" t="s">
        <v>7</v>
      </c>
    </row>
    <row r="7" spans="1:28" s="26" customFormat="1" ht="15.75">
      <c r="A7" s="23" t="s">
        <v>8</v>
      </c>
      <c r="B7" s="24">
        <f>2149319.989999/1000</f>
        <v>2149.319989999</v>
      </c>
      <c r="C7" s="24">
        <v>2463.373</v>
      </c>
      <c r="D7" s="25">
        <v>2785.8859499999999</v>
      </c>
      <c r="E7" s="25">
        <v>3078.5709700000002</v>
      </c>
      <c r="F7" s="25">
        <v>3458.8018999999999</v>
      </c>
      <c r="G7" s="25">
        <f>3672075.98/1000</f>
        <v>3672.0759800000001</v>
      </c>
      <c r="H7" s="25">
        <v>4011.6961700000002</v>
      </c>
      <c r="I7" s="25">
        <v>4586.0499200000004</v>
      </c>
      <c r="J7" s="25">
        <v>4624.9812400000001</v>
      </c>
      <c r="K7" s="25">
        <v>4915.2939800000004</v>
      </c>
      <c r="L7" s="25">
        <v>5023.0550000000003</v>
      </c>
      <c r="M7" s="25">
        <v>5277.6840700000002</v>
      </c>
      <c r="N7" s="25">
        <v>5388.4083800000099</v>
      </c>
      <c r="O7" s="25">
        <v>5355.5394100000103</v>
      </c>
      <c r="P7" s="25">
        <v>5290.9615999999996</v>
      </c>
      <c r="Q7" s="25">
        <v>5423.5721000000003</v>
      </c>
      <c r="R7" s="9" t="s">
        <v>9</v>
      </c>
      <c r="T7" s="27"/>
      <c r="U7" s="28"/>
      <c r="V7" s="28"/>
      <c r="W7" s="28"/>
      <c r="X7" s="28"/>
      <c r="Y7" s="28"/>
      <c r="Z7" s="28"/>
      <c r="AA7" s="28"/>
      <c r="AB7" s="28"/>
    </row>
    <row r="8" spans="1:28" s="26" customFormat="1" ht="15.75">
      <c r="A8" s="23" t="s">
        <v>10</v>
      </c>
      <c r="B8" s="24">
        <f>311353.83/1000</f>
        <v>311.35383000000002</v>
      </c>
      <c r="C8" s="24">
        <v>325.00799999999998</v>
      </c>
      <c r="D8" s="25">
        <v>332.86784</v>
      </c>
      <c r="E8" s="25">
        <v>318.73822999999999</v>
      </c>
      <c r="F8" s="25">
        <v>367.12387999999999</v>
      </c>
      <c r="G8" s="25">
        <f>388293.65/1000</f>
        <v>388.29365000000001</v>
      </c>
      <c r="H8" s="25">
        <v>391.51188999999999</v>
      </c>
      <c r="I8" s="25">
        <v>511.57015999999999</v>
      </c>
      <c r="J8" s="25">
        <v>536.00156000000004</v>
      </c>
      <c r="K8" s="25">
        <v>616.09299999999996</v>
      </c>
      <c r="L8" s="25">
        <v>650.77200000000005</v>
      </c>
      <c r="M8" s="25">
        <v>640.05678999999998</v>
      </c>
      <c r="N8" s="25">
        <v>614.94677000000001</v>
      </c>
      <c r="O8" s="25">
        <v>654.75292000000002</v>
      </c>
      <c r="P8" s="25">
        <v>715.86519999999996</v>
      </c>
      <c r="Q8" s="25">
        <v>647.56534000000011</v>
      </c>
      <c r="R8" s="9" t="s">
        <v>11</v>
      </c>
      <c r="T8" s="29"/>
      <c r="U8" s="28"/>
    </row>
    <row r="9" spans="1:28" s="26" customFormat="1" ht="15.75">
      <c r="A9" s="23" t="s">
        <v>12</v>
      </c>
      <c r="B9" s="24">
        <f>257761.626883271/1000</f>
        <v>257.76162688327099</v>
      </c>
      <c r="C9" s="24">
        <v>294.50900000000001</v>
      </c>
      <c r="D9" s="25">
        <v>332.63450999999998</v>
      </c>
      <c r="E9" s="25">
        <f>383.40205+67.17179</f>
        <v>450.57383999999996</v>
      </c>
      <c r="F9" s="25">
        <v>412.77303000000001</v>
      </c>
      <c r="G9" s="25">
        <f>446466.21/1000</f>
        <v>446.46621000000005</v>
      </c>
      <c r="H9" s="25">
        <v>508.53607</v>
      </c>
      <c r="I9" s="25">
        <v>602.47937999999999</v>
      </c>
      <c r="J9" s="25">
        <v>644.47082</v>
      </c>
      <c r="K9" s="25">
        <v>767.10302000000001</v>
      </c>
      <c r="L9" s="25">
        <v>818.71199999999999</v>
      </c>
      <c r="M9" s="25">
        <v>895.16391999999996</v>
      </c>
      <c r="N9" s="25">
        <v>765.39048999999898</v>
      </c>
      <c r="O9" s="25">
        <v>751.48891000000003</v>
      </c>
      <c r="P9" s="25">
        <v>831.35820000000001</v>
      </c>
      <c r="Q9" s="25">
        <v>929.58974999999987</v>
      </c>
      <c r="R9" s="9" t="s">
        <v>13</v>
      </c>
      <c r="U9" s="28"/>
    </row>
    <row r="10" spans="1:28" s="26" customFormat="1" ht="15.75">
      <c r="A10" s="30" t="s">
        <v>14</v>
      </c>
      <c r="B10" s="31">
        <f>35314.76/1000</f>
        <v>35.31476</v>
      </c>
      <c r="C10" s="31">
        <v>39.436</v>
      </c>
      <c r="D10" s="32">
        <v>15.53008</v>
      </c>
      <c r="E10" s="32">
        <f>4.67178</f>
        <v>4.67178</v>
      </c>
      <c r="F10" s="32">
        <v>1.31671</v>
      </c>
      <c r="G10" s="32">
        <f>2395.79/1000</f>
        <v>2.3957899999999999</v>
      </c>
      <c r="H10" s="33">
        <v>3.21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10" t="s">
        <v>15</v>
      </c>
      <c r="U10" s="28"/>
    </row>
    <row r="11" spans="1:28" s="22" customFormat="1" ht="18">
      <c r="A11" s="12" t="s">
        <v>16</v>
      </c>
      <c r="B11" s="2">
        <f>SUM(B12:B15)</f>
        <v>99.999999999999986</v>
      </c>
      <c r="C11" s="2">
        <f>SUM(C12:C15)</f>
        <v>100</v>
      </c>
      <c r="D11" s="2">
        <f t="shared" ref="D11:I11" si="3">SUM(D12:D15)</f>
        <v>100</v>
      </c>
      <c r="E11" s="2">
        <f t="shared" si="3"/>
        <v>100</v>
      </c>
      <c r="F11" s="2">
        <f t="shared" si="3"/>
        <v>99.999999999999986</v>
      </c>
      <c r="G11" s="2">
        <f t="shared" si="3"/>
        <v>100</v>
      </c>
      <c r="H11" s="2">
        <f t="shared" si="3"/>
        <v>100</v>
      </c>
      <c r="I11" s="2">
        <f t="shared" si="3"/>
        <v>100</v>
      </c>
      <c r="J11" s="2">
        <f t="shared" ref="J11:P11" si="4">SUM(J12:J15)</f>
        <v>100</v>
      </c>
      <c r="K11" s="2">
        <f t="shared" si="4"/>
        <v>100.00000000000001</v>
      </c>
      <c r="L11" s="2">
        <f t="shared" si="4"/>
        <v>100</v>
      </c>
      <c r="M11" s="2">
        <f t="shared" si="4"/>
        <v>100.00000000000001</v>
      </c>
      <c r="N11" s="2">
        <f t="shared" si="4"/>
        <v>99.999999999999986</v>
      </c>
      <c r="O11" s="2">
        <f t="shared" si="4"/>
        <v>100.00000000000001</v>
      </c>
      <c r="P11" s="2">
        <f t="shared" si="4"/>
        <v>99.999999999999986</v>
      </c>
      <c r="Q11" s="2">
        <f t="shared" ref="Q11" si="5">SUM(Q12:Q15)</f>
        <v>99.999999999999986</v>
      </c>
      <c r="R11" s="21" t="s">
        <v>17</v>
      </c>
      <c r="U11" s="28"/>
    </row>
    <row r="12" spans="1:28" s="26" customFormat="1" ht="15.75">
      <c r="A12" s="23" t="s">
        <v>8</v>
      </c>
      <c r="B12" s="25">
        <f t="shared" ref="B12:Q12" si="6">B7/B6*100</f>
        <v>78.050651966447148</v>
      </c>
      <c r="C12" s="25">
        <f t="shared" si="6"/>
        <v>78.895445254595458</v>
      </c>
      <c r="D12" s="25">
        <f t="shared" si="6"/>
        <v>80.356260074400723</v>
      </c>
      <c r="E12" s="25">
        <f t="shared" si="6"/>
        <v>79.909854988124479</v>
      </c>
      <c r="F12" s="25">
        <f t="shared" si="6"/>
        <v>81.575217913353299</v>
      </c>
      <c r="G12" s="25">
        <f t="shared" si="6"/>
        <v>81.434627477763883</v>
      </c>
      <c r="H12" s="25">
        <f t="shared" si="6"/>
        <v>81.622250460351708</v>
      </c>
      <c r="I12" s="25">
        <f t="shared" si="6"/>
        <v>80.455612260492032</v>
      </c>
      <c r="J12" s="25">
        <f t="shared" si="6"/>
        <v>79.666147431903866</v>
      </c>
      <c r="K12" s="25">
        <f t="shared" si="6"/>
        <v>78.03924400927842</v>
      </c>
      <c r="L12" s="25">
        <f t="shared" si="6"/>
        <v>77.366574155349696</v>
      </c>
      <c r="M12" s="25">
        <f t="shared" si="6"/>
        <v>77.465989037351562</v>
      </c>
      <c r="N12" s="25">
        <f t="shared" si="6"/>
        <v>79.607192626018104</v>
      </c>
      <c r="O12" s="25">
        <f t="shared" si="6"/>
        <v>79.203085990400993</v>
      </c>
      <c r="P12" s="25">
        <f t="shared" si="6"/>
        <v>77.373770964078915</v>
      </c>
      <c r="Q12" s="25">
        <f t="shared" si="6"/>
        <v>77.471553351588312</v>
      </c>
      <c r="R12" s="9" t="s">
        <v>9</v>
      </c>
      <c r="U12" s="28"/>
    </row>
    <row r="13" spans="1:28" s="26" customFormat="1" ht="15.75">
      <c r="A13" s="23" t="s">
        <v>10</v>
      </c>
      <c r="B13" s="25">
        <f t="shared" ref="B13:Q13" si="7">B8/B6*100</f>
        <v>11.306538596778072</v>
      </c>
      <c r="C13" s="25">
        <f t="shared" si="7"/>
        <v>10.409162912520985</v>
      </c>
      <c r="D13" s="25">
        <f t="shared" si="7"/>
        <v>9.6012597792971413</v>
      </c>
      <c r="E13" s="25">
        <f t="shared" si="7"/>
        <v>8.2734249061250207</v>
      </c>
      <c r="F13" s="25">
        <f t="shared" si="7"/>
        <v>8.6585503819099223</v>
      </c>
      <c r="G13" s="25">
        <f t="shared" si="7"/>
        <v>8.6110823719206468</v>
      </c>
      <c r="H13" s="25">
        <f t="shared" si="7"/>
        <v>7.9657282579766413</v>
      </c>
      <c r="I13" s="25">
        <f t="shared" si="7"/>
        <v>8.9747584860563112</v>
      </c>
      <c r="J13" s="25">
        <f t="shared" si="7"/>
        <v>9.2327248667262634</v>
      </c>
      <c r="K13" s="25">
        <f t="shared" si="7"/>
        <v>9.7815984466118078</v>
      </c>
      <c r="L13" s="25">
        <f t="shared" si="7"/>
        <v>10.023382223811055</v>
      </c>
      <c r="M13" s="25">
        <f t="shared" si="7"/>
        <v>9.3947708160982106</v>
      </c>
      <c r="N13" s="25">
        <f t="shared" si="7"/>
        <v>9.0850920200925032</v>
      </c>
      <c r="O13" s="25">
        <f t="shared" si="7"/>
        <v>9.6831426034125734</v>
      </c>
      <c r="P13" s="25">
        <f t="shared" si="7"/>
        <v>10.468643360774825</v>
      </c>
      <c r="Q13" s="25">
        <f t="shared" si="7"/>
        <v>9.249972501785205</v>
      </c>
      <c r="R13" s="9" t="s">
        <v>11</v>
      </c>
      <c r="U13" s="28"/>
    </row>
    <row r="14" spans="1:28" s="26" customFormat="1" ht="15.75">
      <c r="A14" s="23" t="s">
        <v>12</v>
      </c>
      <c r="B14" s="25">
        <f t="shared" ref="B14:H14" si="8">B9/B6*100</f>
        <v>9.3603852026615879</v>
      </c>
      <c r="C14" s="25">
        <f t="shared" si="8"/>
        <v>9.4323590810184452</v>
      </c>
      <c r="D14" s="25">
        <f t="shared" si="8"/>
        <v>9.5945295948963185</v>
      </c>
      <c r="E14" s="25">
        <f t="shared" si="8"/>
        <v>11.695455640524797</v>
      </c>
      <c r="F14" s="25">
        <f t="shared" si="8"/>
        <v>9.735177337275406</v>
      </c>
      <c r="G14" s="25">
        <f t="shared" si="8"/>
        <v>9.9011593689189166</v>
      </c>
      <c r="H14" s="25">
        <f t="shared" si="8"/>
        <v>10.346710397478317</v>
      </c>
      <c r="I14" s="25">
        <f t="shared" ref="I14:Q14" si="9">I9/I6*100</f>
        <v>10.569629253451657</v>
      </c>
      <c r="J14" s="25">
        <f t="shared" si="9"/>
        <v>11.101127701369871</v>
      </c>
      <c r="K14" s="25">
        <f t="shared" si="9"/>
        <v>12.179157544109779</v>
      </c>
      <c r="L14" s="25">
        <f t="shared" si="9"/>
        <v>12.610043620839242</v>
      </c>
      <c r="M14" s="25">
        <f t="shared" si="9"/>
        <v>13.139240146550236</v>
      </c>
      <c r="N14" s="25">
        <f t="shared" si="9"/>
        <v>11.307715353889378</v>
      </c>
      <c r="O14" s="25">
        <f t="shared" si="9"/>
        <v>11.113771406186441</v>
      </c>
      <c r="P14" s="25">
        <f t="shared" si="9"/>
        <v>12.157585675146256</v>
      </c>
      <c r="Q14" s="25">
        <f t="shared" si="9"/>
        <v>13.27847414662647</v>
      </c>
      <c r="R14" s="9" t="s">
        <v>13</v>
      </c>
      <c r="U14" s="28"/>
    </row>
    <row r="15" spans="1:28" s="26" customFormat="1" ht="15.75">
      <c r="A15" s="30" t="s">
        <v>14</v>
      </c>
      <c r="B15" s="32">
        <f t="shared" ref="B15:Q15" si="10">B10/B6*100</f>
        <v>1.2824242341131771</v>
      </c>
      <c r="C15" s="32">
        <f t="shared" si="10"/>
        <v>1.2630327518651159</v>
      </c>
      <c r="D15" s="32">
        <f t="shared" si="10"/>
        <v>0.44795055140582801</v>
      </c>
      <c r="E15" s="32">
        <f t="shared" si="10"/>
        <v>0.12126446522570183</v>
      </c>
      <c r="F15" s="32">
        <f t="shared" si="10"/>
        <v>3.1054367461371937E-2</v>
      </c>
      <c r="G15" s="32">
        <f t="shared" si="10"/>
        <v>5.3130781396563576E-2</v>
      </c>
      <c r="H15" s="32">
        <f t="shared" si="10"/>
        <v>6.5310884193338331E-2</v>
      </c>
      <c r="I15" s="34">
        <f t="shared" si="10"/>
        <v>0</v>
      </c>
      <c r="J15" s="34">
        <f t="shared" si="10"/>
        <v>0</v>
      </c>
      <c r="K15" s="34">
        <f t="shared" si="10"/>
        <v>0</v>
      </c>
      <c r="L15" s="34">
        <f t="shared" si="10"/>
        <v>0</v>
      </c>
      <c r="M15" s="34">
        <f t="shared" si="10"/>
        <v>0</v>
      </c>
      <c r="N15" s="34">
        <f t="shared" si="10"/>
        <v>0</v>
      </c>
      <c r="O15" s="34">
        <f t="shared" si="10"/>
        <v>0</v>
      </c>
      <c r="P15" s="34">
        <f t="shared" si="10"/>
        <v>0</v>
      </c>
      <c r="Q15" s="34">
        <f t="shared" si="10"/>
        <v>0</v>
      </c>
      <c r="R15" s="10" t="s">
        <v>15</v>
      </c>
      <c r="U15" s="28"/>
    </row>
    <row r="16" spans="1:28" s="22" customFormat="1" ht="18">
      <c r="A16" s="12" t="s">
        <v>18</v>
      </c>
      <c r="B16" s="35" t="e">
        <f>(B6-#REF!)/#REF!*100</f>
        <v>#REF!</v>
      </c>
      <c r="C16" s="35">
        <f>(C6-B6)/B6*100</f>
        <v>13.384503510760371</v>
      </c>
      <c r="D16" s="36">
        <f t="shared" ref="D16:L20" si="11">(D6-C6)/C6*100</f>
        <v>11.036399786569358</v>
      </c>
      <c r="E16" s="36">
        <f t="shared" si="11"/>
        <v>11.123320416905827</v>
      </c>
      <c r="F16" s="36">
        <f t="shared" si="11"/>
        <v>10.057240405472013</v>
      </c>
      <c r="G16" s="36">
        <f t="shared" si="11"/>
        <v>6.3494133153550196</v>
      </c>
      <c r="H16" s="36">
        <f t="shared" si="11"/>
        <v>8.9975972247848528</v>
      </c>
      <c r="I16" s="36">
        <f t="shared" si="11"/>
        <v>15.974621720426926</v>
      </c>
      <c r="J16" s="36">
        <f t="shared" ref="J16:Q16" si="12">(J6-I6)/I6*100</f>
        <v>1.8482863455158001</v>
      </c>
      <c r="K16" s="36">
        <f t="shared" si="12"/>
        <v>8.4926417860177406</v>
      </c>
      <c r="L16" s="36">
        <f t="shared" si="12"/>
        <v>3.0808812905950616</v>
      </c>
      <c r="M16" s="36">
        <f t="shared" si="12"/>
        <v>4.9343682032560627</v>
      </c>
      <c r="N16" s="36">
        <f t="shared" si="12"/>
        <v>-0.64816904721205659</v>
      </c>
      <c r="O16" s="36">
        <f t="shared" si="12"/>
        <v>-0.1028905556569108</v>
      </c>
      <c r="P16" s="36">
        <f t="shared" si="12"/>
        <v>1.1299354014592331</v>
      </c>
      <c r="Q16" s="36">
        <f t="shared" si="12"/>
        <v>2.3769785403583121</v>
      </c>
      <c r="R16" s="21" t="s">
        <v>19</v>
      </c>
      <c r="U16" s="28"/>
    </row>
    <row r="17" spans="1:34" s="26" customFormat="1" ht="15.75">
      <c r="A17" s="23" t="s">
        <v>8</v>
      </c>
      <c r="B17" s="37" t="e">
        <f>(B7-#REF!)/#REF!*100</f>
        <v>#REF!</v>
      </c>
      <c r="C17" s="37">
        <f>(C7-B7)/B7*100</f>
        <v>14.611738199166249</v>
      </c>
      <c r="D17" s="38">
        <f t="shared" si="11"/>
        <v>13.092331124843856</v>
      </c>
      <c r="E17" s="38">
        <f>(E7-D7)/D7*100</f>
        <v>10.505994331892889</v>
      </c>
      <c r="F17" s="38">
        <f t="shared" si="11"/>
        <v>12.350890517232406</v>
      </c>
      <c r="G17" s="38">
        <f t="shared" si="11"/>
        <v>6.1661259061989115</v>
      </c>
      <c r="H17" s="38">
        <f t="shared" si="11"/>
        <v>9.248724477645478</v>
      </c>
      <c r="I17" s="38">
        <f t="shared" si="11"/>
        <v>14.316980291157</v>
      </c>
      <c r="J17" s="38">
        <f t="shared" si="11"/>
        <v>0.8489074623941224</v>
      </c>
      <c r="K17" s="38">
        <f t="shared" si="11"/>
        <v>6.2770576773193625</v>
      </c>
      <c r="L17" s="38">
        <f t="shared" si="11"/>
        <v>2.1923616458847066</v>
      </c>
      <c r="M17" s="38">
        <f t="shared" ref="M17:Q19" si="13">(M7-L7)/L7*100</f>
        <v>5.0692072852079049</v>
      </c>
      <c r="N17" s="38">
        <f t="shared" si="13"/>
        <v>2.0979715445530562</v>
      </c>
      <c r="O17" s="38">
        <f t="shared" si="13"/>
        <v>-0.6099940405778872</v>
      </c>
      <c r="P17" s="38">
        <f t="shared" si="13"/>
        <v>-1.2058133654927312</v>
      </c>
      <c r="Q17" s="38">
        <f t="shared" si="13"/>
        <v>2.5063591465113015</v>
      </c>
      <c r="R17" s="9" t="s">
        <v>9</v>
      </c>
      <c r="U17" s="28"/>
    </row>
    <row r="18" spans="1:34" s="26" customFormat="1" ht="15.75">
      <c r="A18" s="23" t="s">
        <v>10</v>
      </c>
      <c r="B18" s="37" t="e">
        <f>(B8-#REF!)/#REF!*100</f>
        <v>#REF!</v>
      </c>
      <c r="C18" s="37">
        <f>(C8-B8)/B8*100</f>
        <v>4.3854189942034649</v>
      </c>
      <c r="D18" s="38">
        <f t="shared" si="11"/>
        <v>2.4183527790085231</v>
      </c>
      <c r="E18" s="38">
        <f t="shared" si="11"/>
        <v>-4.2448107933767387</v>
      </c>
      <c r="F18" s="38">
        <f>(F8-E8)/E8*100</f>
        <v>15.180372307394691</v>
      </c>
      <c r="G18" s="38">
        <f t="shared" si="11"/>
        <v>5.7663832709547602</v>
      </c>
      <c r="H18" s="38">
        <f t="shared" si="11"/>
        <v>0.82881602622138684</v>
      </c>
      <c r="I18" s="38">
        <f t="shared" si="11"/>
        <v>30.665293460180738</v>
      </c>
      <c r="J18" s="38">
        <f t="shared" si="11"/>
        <v>4.7757672183225175</v>
      </c>
      <c r="K18" s="38">
        <f t="shared" si="11"/>
        <v>14.942389346777258</v>
      </c>
      <c r="L18" s="38">
        <f t="shared" si="11"/>
        <v>5.6288579808568011</v>
      </c>
      <c r="M18" s="38">
        <f t="shared" si="13"/>
        <v>-1.646538265321813</v>
      </c>
      <c r="N18" s="38">
        <f t="shared" si="13"/>
        <v>-3.923092511837889</v>
      </c>
      <c r="O18" s="38">
        <f t="shared" si="13"/>
        <v>6.4731049811026731</v>
      </c>
      <c r="P18" s="38">
        <f t="shared" si="13"/>
        <v>9.3336399324496231</v>
      </c>
      <c r="Q18" s="38">
        <f t="shared" si="13"/>
        <v>-9.5408828366010603</v>
      </c>
      <c r="R18" s="9" t="s">
        <v>11</v>
      </c>
    </row>
    <row r="19" spans="1:34" s="26" customFormat="1" ht="15.75">
      <c r="A19" s="23" t="s">
        <v>20</v>
      </c>
      <c r="B19" s="37" t="e">
        <f>(B9-#REF!)/#REF!*100</f>
        <v>#REF!</v>
      </c>
      <c r="C19" s="37">
        <f>(C9-B9)/B9*100</f>
        <v>14.256339689138564</v>
      </c>
      <c r="D19" s="38">
        <f t="shared" si="11"/>
        <v>12.945448186642841</v>
      </c>
      <c r="E19" s="38">
        <f t="shared" si="11"/>
        <v>35.456131716459602</v>
      </c>
      <c r="F19" s="38">
        <f t="shared" si="11"/>
        <v>-8.389481732894204</v>
      </c>
      <c r="G19" s="38">
        <f t="shared" si="11"/>
        <v>8.1626408585851742</v>
      </c>
      <c r="H19" s="38">
        <f t="shared" si="11"/>
        <v>13.902476516643878</v>
      </c>
      <c r="I19" s="38">
        <f t="shared" si="11"/>
        <v>18.473283517529051</v>
      </c>
      <c r="J19" s="38">
        <f t="shared" si="11"/>
        <v>6.969772143903084</v>
      </c>
      <c r="K19" s="38">
        <f t="shared" si="11"/>
        <v>19.028355698090412</v>
      </c>
      <c r="L19" s="38">
        <f t="shared" si="11"/>
        <v>6.7277769288406617</v>
      </c>
      <c r="M19" s="38">
        <f t="shared" si="13"/>
        <v>9.3380724845855418</v>
      </c>
      <c r="N19" s="38">
        <f t="shared" si="13"/>
        <v>-14.497169412279373</v>
      </c>
      <c r="O19" s="38">
        <f t="shared" si="13"/>
        <v>-1.8162728935917354</v>
      </c>
      <c r="P19" s="38">
        <f t="shared" si="13"/>
        <v>10.628139542338685</v>
      </c>
      <c r="Q19" s="38">
        <f t="shared" si="13"/>
        <v>11.815791315945384</v>
      </c>
      <c r="R19" s="9" t="s">
        <v>13</v>
      </c>
    </row>
    <row r="20" spans="1:34" s="26" customFormat="1" ht="15.75">
      <c r="A20" s="39" t="s">
        <v>14</v>
      </c>
      <c r="B20" s="40" t="e">
        <f>(B10-#REF!)/#REF!*100</f>
        <v>#REF!</v>
      </c>
      <c r="C20" s="40">
        <f>(C10-B10)/B10*100</f>
        <v>11.670021260232266</v>
      </c>
      <c r="D20" s="41">
        <f t="shared" si="11"/>
        <v>-60.619535449842786</v>
      </c>
      <c r="E20" s="41">
        <f t="shared" si="11"/>
        <v>-69.917862625305219</v>
      </c>
      <c r="F20" s="41">
        <f t="shared" si="11"/>
        <v>-71.815667689831287</v>
      </c>
      <c r="G20" s="41">
        <f t="shared" si="11"/>
        <v>81.952745858997034</v>
      </c>
      <c r="H20" s="41">
        <f t="shared" si="11"/>
        <v>33.98503207710192</v>
      </c>
      <c r="I20" s="41">
        <f t="shared" ref="I20:P20" si="14">I15/I11*100</f>
        <v>0</v>
      </c>
      <c r="J20" s="41">
        <f t="shared" si="14"/>
        <v>0</v>
      </c>
      <c r="K20" s="41">
        <f t="shared" si="14"/>
        <v>0</v>
      </c>
      <c r="L20" s="41">
        <f t="shared" si="14"/>
        <v>0</v>
      </c>
      <c r="M20" s="41">
        <f t="shared" si="14"/>
        <v>0</v>
      </c>
      <c r="N20" s="41">
        <f t="shared" si="14"/>
        <v>0</v>
      </c>
      <c r="O20" s="41">
        <f t="shared" si="14"/>
        <v>0</v>
      </c>
      <c r="P20" s="41">
        <f t="shared" si="14"/>
        <v>0</v>
      </c>
      <c r="Q20" s="41">
        <f t="shared" ref="Q20" si="15">Q15/Q11*100</f>
        <v>0</v>
      </c>
      <c r="R20" s="11" t="s">
        <v>15</v>
      </c>
    </row>
    <row r="21" spans="1:34" s="44" customFormat="1">
      <c r="A21" s="3" t="s">
        <v>21</v>
      </c>
      <c r="B21" s="42"/>
      <c r="C21" s="42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5" t="s">
        <v>22</v>
      </c>
    </row>
    <row r="22" spans="1:34" s="8" customFormat="1" ht="12.75"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S22" s="46"/>
      <c r="T22" s="44"/>
      <c r="U22" s="44"/>
      <c r="V22" s="44"/>
      <c r="W22" s="44"/>
      <c r="X22" s="44"/>
      <c r="Y22" s="44"/>
      <c r="Z22" s="44"/>
      <c r="AC22" s="44"/>
      <c r="AD22" s="44"/>
      <c r="AE22" s="44"/>
      <c r="AF22" s="44"/>
      <c r="AG22" s="44"/>
      <c r="AH22" s="44"/>
    </row>
    <row r="23" spans="1:34" s="8" customFormat="1"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S23" s="14"/>
      <c r="T23" s="44"/>
      <c r="U23" s="44"/>
      <c r="V23" s="44"/>
      <c r="W23" s="44"/>
      <c r="X23" s="44"/>
      <c r="Y23" s="44"/>
      <c r="Z23" s="44"/>
      <c r="AC23" s="44"/>
      <c r="AD23" s="44"/>
      <c r="AE23" s="44"/>
      <c r="AF23" s="44"/>
      <c r="AG23" s="44"/>
      <c r="AH23" s="44"/>
    </row>
    <row r="24" spans="1:34" s="8" customFormat="1"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S24" s="14"/>
      <c r="T24" s="44"/>
      <c r="U24" s="44"/>
      <c r="V24" s="44"/>
      <c r="W24" s="44"/>
      <c r="X24" s="44"/>
      <c r="Y24" s="44"/>
      <c r="Z24" s="44"/>
      <c r="AC24" s="44"/>
      <c r="AD24" s="44"/>
      <c r="AE24" s="44"/>
      <c r="AF24" s="44"/>
      <c r="AG24" s="44"/>
      <c r="AH24" s="44"/>
    </row>
    <row r="25" spans="1:34">
      <c r="R25" s="8"/>
      <c r="T25" s="44"/>
      <c r="U25" s="44"/>
      <c r="V25" s="44"/>
      <c r="W25" s="44"/>
      <c r="X25" s="44"/>
      <c r="Y25" s="44"/>
      <c r="Z25" s="44"/>
      <c r="AC25" s="44"/>
      <c r="AD25" s="44"/>
      <c r="AE25" s="44"/>
      <c r="AF25" s="44"/>
      <c r="AG25" s="44"/>
      <c r="AH25" s="44"/>
    </row>
    <row r="26" spans="1:34">
      <c r="R26" s="8"/>
      <c r="T26" s="44"/>
      <c r="U26" s="44"/>
      <c r="V26" s="44"/>
      <c r="W26" s="44"/>
      <c r="X26" s="44"/>
      <c r="Y26" s="44"/>
      <c r="Z26" s="44"/>
    </row>
    <row r="27" spans="1:34">
      <c r="R27" s="8"/>
      <c r="T27" s="44"/>
      <c r="U27" s="44"/>
      <c r="V27" s="44"/>
      <c r="W27" s="44"/>
      <c r="X27" s="44"/>
      <c r="Y27" s="44"/>
      <c r="Z27" s="44"/>
    </row>
    <row r="28" spans="1:34">
      <c r="R28" s="8"/>
      <c r="T28" s="44"/>
      <c r="U28" s="44"/>
      <c r="V28" s="44"/>
      <c r="W28" s="44"/>
      <c r="X28" s="44"/>
      <c r="Y28" s="44"/>
      <c r="Z28" s="44"/>
      <c r="AD28" s="47"/>
    </row>
    <row r="29" spans="1:34">
      <c r="R29" s="8"/>
      <c r="T29" s="44"/>
      <c r="U29" s="44"/>
      <c r="V29" s="44"/>
      <c r="W29" s="44"/>
      <c r="X29" s="44"/>
      <c r="Y29" s="44"/>
      <c r="Z29" s="44"/>
      <c r="AD29" s="47"/>
    </row>
    <row r="30" spans="1:34">
      <c r="R30" s="8"/>
      <c r="T30" s="44"/>
      <c r="AD30" s="47"/>
    </row>
    <row r="31" spans="1:34">
      <c r="AD31" s="47"/>
    </row>
    <row r="35" spans="2:17">
      <c r="B35" s="46"/>
      <c r="C35" s="46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</row>
  </sheetData>
  <mergeCells count="4">
    <mergeCell ref="A2:R2"/>
    <mergeCell ref="A3:R3"/>
    <mergeCell ref="A4:I4"/>
    <mergeCell ref="J4:R4"/>
  </mergeCells>
  <pageMargins left="0.7" right="0.7" top="0.75" bottom="0.75" header="0.3" footer="0.3"/>
  <pageSetup paperSize="9"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2024-09-24T10:04:32Z</cp:lastPrinted>
  <dcterms:created xsi:type="dcterms:W3CDTF">2019-05-21T05:57:00Z</dcterms:created>
  <dcterms:modified xsi:type="dcterms:W3CDTF">2024-09-24T10:04:39Z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