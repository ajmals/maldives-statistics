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4\Final\Web\Electricity and Water\"/>
    </mc:Choice>
  </mc:AlternateContent>
  <xr:revisionPtr revIDLastSave="0" documentId="13_ncr:1_{84F21AD4-E7FF-4E1C-B00B-560E2005D61D}" xr6:coauthVersionLast="47" xr6:coauthVersionMax="47" xr10:uidLastSave="{00000000-0000-0000-0000-000000000000}"/>
  <bookViews>
    <workbookView xWindow="-120" yWindow="-120" windowWidth="29040" windowHeight="15720" tabRatio="754" xr2:uid="{00000000-000D-0000-FFFF-FFFF00000000}"/>
  </bookViews>
  <sheets>
    <sheet name="12.1" sheetId="33" r:id="rId1"/>
  </sheets>
  <definedNames>
    <definedName name="Male">#REF!</definedName>
    <definedName name="_xlnm.Print_Area" localSheetId="0">'12.1'!$A$1:$R$39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19" i="33" l="1"/>
  <c r="D18" i="33"/>
  <c r="N16" i="33"/>
  <c r="M16" i="33"/>
  <c r="H16" i="33"/>
  <c r="E16" i="33"/>
  <c r="L13" i="33"/>
  <c r="P9" i="33"/>
  <c r="O9" i="33"/>
  <c r="N9" i="33"/>
  <c r="N19" i="33" s="1"/>
  <c r="M9" i="33"/>
  <c r="M19" i="33" s="1"/>
  <c r="K9" i="33"/>
  <c r="L19" i="33" s="1"/>
  <c r="J9" i="33"/>
  <c r="I9" i="33"/>
  <c r="H9" i="33"/>
  <c r="F9" i="33"/>
  <c r="E9" i="33"/>
  <c r="D9" i="33"/>
  <c r="D19" i="33" s="1"/>
  <c r="P8" i="33"/>
  <c r="O8" i="33"/>
  <c r="N8" i="33"/>
  <c r="N18" i="33" s="1"/>
  <c r="M8" i="33"/>
  <c r="M18" i="33" s="1"/>
  <c r="K8" i="33"/>
  <c r="J8" i="33"/>
  <c r="I8" i="33"/>
  <c r="H8" i="33"/>
  <c r="H18" i="33" s="1"/>
  <c r="F8" i="33"/>
  <c r="G18" i="33" s="1"/>
  <c r="E8" i="33"/>
  <c r="D8" i="33"/>
  <c r="E18" i="33" s="1"/>
  <c r="P7" i="33"/>
  <c r="P17" i="33" s="1"/>
  <c r="O7" i="33"/>
  <c r="N7" i="33"/>
  <c r="M7" i="33"/>
  <c r="M17" i="33" s="1"/>
  <c r="K7" i="33"/>
  <c r="L17" i="33" s="1"/>
  <c r="J7" i="33"/>
  <c r="J17" i="33" s="1"/>
  <c r="I7" i="33"/>
  <c r="I17" i="33" s="1"/>
  <c r="H7" i="33"/>
  <c r="H17" i="33" s="1"/>
  <c r="F7" i="33"/>
  <c r="G17" i="33" s="1"/>
  <c r="E7" i="33"/>
  <c r="E5" i="33" s="1"/>
  <c r="D7" i="33"/>
  <c r="D17" i="33" s="1"/>
  <c r="P6" i="33"/>
  <c r="O6" i="33"/>
  <c r="O5" i="33" s="1"/>
  <c r="N6" i="33"/>
  <c r="M6" i="33"/>
  <c r="K6" i="33"/>
  <c r="L16" i="33" s="1"/>
  <c r="J6" i="33"/>
  <c r="I6" i="33"/>
  <c r="F6" i="33"/>
  <c r="G16" i="33" s="1"/>
  <c r="E6" i="33"/>
  <c r="D6" i="33"/>
  <c r="D16" i="33" s="1"/>
  <c r="M5" i="33"/>
  <c r="M11" i="33" s="1"/>
  <c r="L5" i="33"/>
  <c r="L11" i="33" s="1"/>
  <c r="G5" i="33"/>
  <c r="G12" i="33" s="1"/>
  <c r="J18" i="33" l="1"/>
  <c r="I5" i="33"/>
  <c r="O16" i="33"/>
  <c r="N17" i="33"/>
  <c r="O18" i="33"/>
  <c r="P19" i="33"/>
  <c r="O17" i="33"/>
  <c r="P18" i="33"/>
  <c r="G11" i="33"/>
  <c r="I18" i="33"/>
  <c r="K5" i="33"/>
  <c r="K10" i="33" s="1"/>
  <c r="P5" i="33"/>
  <c r="P15" i="33" s="1"/>
  <c r="E19" i="33"/>
  <c r="M13" i="33"/>
  <c r="G14" i="33"/>
  <c r="J19" i="33"/>
  <c r="J5" i="33"/>
  <c r="J12" i="33" s="1"/>
  <c r="I14" i="33"/>
  <c r="I10" i="33"/>
  <c r="I12" i="33"/>
  <c r="J10" i="33"/>
  <c r="J15" i="33"/>
  <c r="E11" i="33"/>
  <c r="E10" i="33"/>
  <c r="E13" i="33"/>
  <c r="O15" i="33"/>
  <c r="O10" i="33"/>
  <c r="O14" i="33"/>
  <c r="O13" i="33"/>
  <c r="O11" i="33"/>
  <c r="K18" i="33"/>
  <c r="D5" i="33"/>
  <c r="G19" i="33"/>
  <c r="H19" i="33"/>
  <c r="F5" i="33"/>
  <c r="F14" i="33" s="1"/>
  <c r="N5" i="33"/>
  <c r="I11" i="33"/>
  <c r="L12" i="33"/>
  <c r="G13" i="33"/>
  <c r="M15" i="33"/>
  <c r="P16" i="33"/>
  <c r="K17" i="33"/>
  <c r="F18" i="33"/>
  <c r="I19" i="33"/>
  <c r="L10" i="33"/>
  <c r="F16" i="33"/>
  <c r="L18" i="33"/>
  <c r="G10" i="33"/>
  <c r="E12" i="33"/>
  <c r="M12" i="33"/>
  <c r="K14" i="33"/>
  <c r="I16" i="33"/>
  <c r="M10" i="33"/>
  <c r="L15" i="33"/>
  <c r="H5" i="33"/>
  <c r="H14" i="33" s="1"/>
  <c r="K11" i="33"/>
  <c r="F12" i="33"/>
  <c r="N12" i="33"/>
  <c r="I13" i="33"/>
  <c r="L14" i="33"/>
  <c r="J16" i="33"/>
  <c r="E17" i="33"/>
  <c r="K19" i="33"/>
  <c r="K12" i="33"/>
  <c r="O12" i="33"/>
  <c r="E14" i="33"/>
  <c r="M14" i="33"/>
  <c r="K16" i="33"/>
  <c r="F17" i="33"/>
  <c r="F19" i="33"/>
  <c r="P10" i="33" l="1"/>
  <c r="P11" i="33"/>
  <c r="P14" i="33"/>
  <c r="P13" i="33"/>
  <c r="J11" i="33"/>
  <c r="J14" i="33"/>
  <c r="J13" i="33"/>
  <c r="K15" i="33"/>
  <c r="P12" i="33"/>
  <c r="K13" i="33"/>
  <c r="H13" i="33"/>
  <c r="F11" i="33"/>
  <c r="D13" i="33"/>
  <c r="D15" i="33"/>
  <c r="D10" i="33"/>
  <c r="E15" i="33"/>
  <c r="D12" i="33"/>
  <c r="G15" i="33"/>
  <c r="H12" i="33"/>
  <c r="H15" i="33"/>
  <c r="H10" i="33"/>
  <c r="H11" i="33"/>
  <c r="N14" i="33"/>
  <c r="N15" i="33"/>
  <c r="N11" i="33"/>
  <c r="N10" i="33"/>
  <c r="N13" i="33"/>
  <c r="D14" i="33"/>
  <c r="F13" i="33"/>
  <c r="F15" i="33"/>
  <c r="F10" i="33"/>
  <c r="D11" i="33"/>
  <c r="I15" i="33"/>
</calcChain>
</file>

<file path=xl/sharedStrings.xml><?xml version="1.0" encoding="utf-8"?>
<sst xmlns="http://schemas.openxmlformats.org/spreadsheetml/2006/main" count="37" uniqueCount="22">
  <si>
    <t xml:space="preserve"> % cnutogWviawfiheb</t>
  </si>
  <si>
    <t>% change over previous year</t>
  </si>
  <si>
    <t xml:space="preserve"> % urwvcnim ivurutia eruvcSwrwhwa Iruk</t>
  </si>
  <si>
    <t>2023 - 2010 ,ctogEveruk cnunEb cTcnwrwk iawgElWm : 12.1 ulwvWt</t>
  </si>
  <si>
    <t>Table 12.1 :   ELECTRICITY UTILIZATION IN MALE', 2010 - 2023</t>
  </si>
  <si>
    <t>Load Distribution</t>
  </si>
  <si>
    <t>cawtiawb WviawfihebcDOl</t>
  </si>
  <si>
    <t>Total (In ' 000 kWh)</t>
  </si>
  <si>
    <t>(cniDwg cTovOlik 000') wlcmuj</t>
  </si>
  <si>
    <t xml:space="preserve">Residential </t>
  </si>
  <si>
    <t>cnwtcnwtELuairid</t>
  </si>
  <si>
    <t>Manufacturing and  Commercial</t>
  </si>
  <si>
    <t xml:space="preserve">           cnwtcnwt ELugWairWfwyiv iaWnwtcnwt Wdcawfuaitekwt</t>
  </si>
  <si>
    <t>Government Buildings</t>
  </si>
  <si>
    <t>cawtctWrWmia egurWkurws</t>
  </si>
  <si>
    <r>
      <t>Public Places and  Schools</t>
    </r>
    <r>
      <rPr>
        <vertAlign val="superscript"/>
        <sz val="10"/>
        <rFont val="Calibri"/>
        <family val="2"/>
        <scheme val="minor"/>
      </rPr>
      <t>1_/</t>
    </r>
  </si>
  <si>
    <t xml:space="preserve"> cawtclUkcs iaWnwtcnwt wncnuh cSwmunEb umcaWA</t>
  </si>
  <si>
    <t>%  share</t>
  </si>
  <si>
    <t>Public Places and  Schools</t>
  </si>
  <si>
    <t>Note: 1_/ -  The increase of  electricity utilization in Public Places and schools in 2017 and 2018 is  is due to  Includes TERTIARY HOSPITAL</t>
  </si>
  <si>
    <t>Source: State Electric Company Limited</t>
  </si>
  <si>
    <t>cDeTimil Inepcmok ckircTckeliacTETcs :ctWrwf ivcaedutWmUluAwm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</si>
</sst>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8" formatCode="0.00000"/>
  </numFmts>
  <fonts count="20">
    <font>
      <sz val="11"/>
      <color theme="1"/>
      <name val="Calibri"/>
      <charset val="134"/>
      <scheme val="minor"/>
    </font>
    <font>
      <sz val="9"/>
      <name val="Calibri"/>
      <family val="2"/>
      <scheme val="minor"/>
    </font>
    <font>
      <i/>
      <sz val="9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9"/>
      <name val="Calibri"/>
      <family val="2"/>
      <scheme val="minor"/>
    </font>
    <font>
      <sz val="9"/>
      <name val="A_Faseyha"/>
    </font>
    <font>
      <b/>
      <sz val="10"/>
      <name val="Calibri"/>
      <family val="2"/>
      <scheme val="minor"/>
    </font>
    <font>
      <b/>
      <sz val="10"/>
      <name val="A_Faseyha"/>
    </font>
    <font>
      <sz val="10"/>
      <name val="A_Faseyha"/>
    </font>
    <font>
      <b/>
      <sz val="10"/>
      <name val="Arial"/>
      <family val="2"/>
    </font>
    <font>
      <b/>
      <sz val="12"/>
      <name val="Calibri"/>
      <family val="2"/>
      <scheme val="minor"/>
    </font>
    <font>
      <b/>
      <sz val="9"/>
      <name val="Arial"/>
      <family val="2"/>
    </font>
    <font>
      <sz val="9"/>
      <name val="Arial"/>
      <family val="2"/>
    </font>
    <font>
      <sz val="9"/>
      <name val="A_Randhoo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2"/>
      <name val="A_Faseyha"/>
    </font>
    <font>
      <vertAlign val="superscript"/>
      <sz val="10"/>
      <name val="Calibri"/>
      <family val="2"/>
      <scheme val="minor"/>
    </font>
    <font>
      <i/>
      <sz val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/>
      <bottom style="thin">
        <color indexed="64"/>
      </bottom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dotted">
        <color theme="1" tint="4.9989318521683403E-2"/>
      </bottom>
      <diagonal/>
    </border>
    <border>
      <left style="thin">
        <color theme="0"/>
      </left>
      <right style="thin">
        <color theme="0"/>
      </right>
      <top style="dotted">
        <color theme="1" tint="4.9989318521683403E-2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dotted">
        <color theme="1" tint="4.9989318521683403E-2"/>
      </bottom>
      <diagonal/>
    </border>
    <border>
      <left/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/>
      <top/>
      <bottom/>
      <diagonal/>
    </border>
  </borders>
  <cellStyleXfs count="9">
    <xf numFmtId="0" fontId="0" fillId="0" borderId="0"/>
    <xf numFmtId="43" fontId="16" fillId="0" borderId="0" applyFont="0" applyFill="0" applyBorder="0" applyAlignment="0" applyProtection="0"/>
    <xf numFmtId="16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15" fillId="0" borderId="0"/>
    <xf numFmtId="0" fontId="3" fillId="0" borderId="0"/>
  </cellStyleXfs>
  <cellXfs count="99">
    <xf numFmtId="0" fontId="0" fillId="0" borderId="0" xfId="0"/>
    <xf numFmtId="0" fontId="9" fillId="2" borderId="0" xfId="0" applyFont="1" applyFill="1" applyAlignment="1">
      <alignment horizontal="right" vertical="center"/>
    </xf>
    <xf numFmtId="0" fontId="4" fillId="2" borderId="0" xfId="0" applyFont="1" applyFill="1" applyAlignment="1">
      <alignment vertical="center"/>
    </xf>
    <xf numFmtId="0" fontId="10" fillId="2" borderId="0" xfId="0" applyFont="1" applyFill="1" applyAlignment="1">
      <alignment vertical="center"/>
    </xf>
    <xf numFmtId="0" fontId="17" fillId="2" borderId="2" xfId="0" applyFont="1" applyFill="1" applyBorder="1" applyAlignment="1">
      <alignment horizontal="center"/>
    </xf>
    <xf numFmtId="0" fontId="3" fillId="2" borderId="4" xfId="0" applyFont="1" applyFill="1" applyBorder="1" applyAlignment="1">
      <alignment vertical="center"/>
    </xf>
    <xf numFmtId="0" fontId="7" fillId="2" borderId="0" xfId="0" applyFont="1" applyFill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10" fillId="2" borderId="7" xfId="0" applyFont="1" applyFill="1" applyBorder="1" applyAlignment="1">
      <alignment vertical="center"/>
    </xf>
    <xf numFmtId="0" fontId="7" fillId="2" borderId="8" xfId="0" applyFont="1" applyFill="1" applyBorder="1" applyAlignment="1">
      <alignment vertical="center"/>
    </xf>
    <xf numFmtId="0" fontId="7" fillId="2" borderId="9" xfId="0" applyFont="1" applyFill="1" applyBorder="1" applyAlignment="1">
      <alignment vertical="center"/>
    </xf>
    <xf numFmtId="0" fontId="8" fillId="2" borderId="9" xfId="0" applyFont="1" applyFill="1" applyBorder="1" applyAlignment="1">
      <alignment horizontal="right" vertical="center"/>
    </xf>
    <xf numFmtId="0" fontId="13" fillId="2" borderId="11" xfId="0" applyFont="1" applyFill="1" applyBorder="1" applyAlignment="1">
      <alignment vertical="center"/>
    </xf>
    <xf numFmtId="0" fontId="7" fillId="2" borderId="12" xfId="0" applyFont="1" applyFill="1" applyBorder="1" applyAlignment="1">
      <alignment horizontal="left" vertical="center"/>
    </xf>
    <xf numFmtId="3" fontId="7" fillId="2" borderId="7" xfId="0" applyNumberFormat="1" applyFont="1" applyFill="1" applyBorder="1" applyAlignment="1">
      <alignment horizontal="right" vertical="center"/>
    </xf>
    <xf numFmtId="164" fontId="7" fillId="2" borderId="7" xfId="1" applyNumberFormat="1" applyFont="1" applyFill="1" applyBorder="1" applyAlignment="1" applyProtection="1">
      <alignment horizontal="right" vertical="center"/>
    </xf>
    <xf numFmtId="0" fontId="8" fillId="2" borderId="7" xfId="0" applyFont="1" applyFill="1" applyBorder="1" applyAlignment="1">
      <alignment horizontal="right" vertical="center"/>
    </xf>
    <xf numFmtId="0" fontId="10" fillId="2" borderId="11" xfId="0" applyFont="1" applyFill="1" applyBorder="1" applyAlignment="1">
      <alignment vertical="center"/>
    </xf>
    <xf numFmtId="0" fontId="4" fillId="2" borderId="13" xfId="0" applyFont="1" applyFill="1" applyBorder="1" applyAlignment="1">
      <alignment horizontal="left" vertical="center"/>
    </xf>
    <xf numFmtId="3" fontId="4" fillId="2" borderId="11" xfId="0" applyNumberFormat="1" applyFont="1" applyFill="1" applyBorder="1" applyAlignment="1">
      <alignment horizontal="right" vertical="center"/>
    </xf>
    <xf numFmtId="164" fontId="4" fillId="2" borderId="11" xfId="1" applyNumberFormat="1" applyFont="1" applyFill="1" applyBorder="1" applyAlignment="1">
      <alignment horizontal="right" vertical="center"/>
    </xf>
    <xf numFmtId="0" fontId="9" fillId="2" borderId="11" xfId="0" applyFont="1" applyFill="1" applyBorder="1" applyAlignment="1">
      <alignment horizontal="right" vertical="center"/>
    </xf>
    <xf numFmtId="0" fontId="3" fillId="2" borderId="11" xfId="0" applyFont="1" applyFill="1" applyBorder="1" applyAlignment="1">
      <alignment vertical="center"/>
    </xf>
    <xf numFmtId="3" fontId="4" fillId="2" borderId="4" xfId="0" applyNumberFormat="1" applyFont="1" applyFill="1" applyBorder="1" applyAlignment="1">
      <alignment vertical="center"/>
    </xf>
    <xf numFmtId="164" fontId="4" fillId="2" borderId="4" xfId="1" applyNumberFormat="1" applyFont="1" applyFill="1" applyBorder="1" applyAlignment="1">
      <alignment vertical="center"/>
    </xf>
    <xf numFmtId="0" fontId="4" fillId="2" borderId="14" xfId="0" applyFont="1" applyFill="1" applyBorder="1" applyAlignment="1">
      <alignment horizontal="left" vertical="center"/>
    </xf>
    <xf numFmtId="0" fontId="9" fillId="2" borderId="4" xfId="0" applyFont="1" applyFill="1" applyBorder="1" applyAlignment="1">
      <alignment horizontal="right" vertical="center"/>
    </xf>
    <xf numFmtId="3" fontId="7" fillId="2" borderId="15" xfId="0" applyNumberFormat="1" applyFont="1" applyFill="1" applyBorder="1" applyAlignment="1">
      <alignment horizontal="right" vertical="center"/>
    </xf>
    <xf numFmtId="1" fontId="7" fillId="2" borderId="15" xfId="1" applyNumberFormat="1" applyFont="1" applyFill="1" applyBorder="1" applyAlignment="1">
      <alignment horizontal="right" vertical="center"/>
    </xf>
    <xf numFmtId="0" fontId="8" fillId="2" borderId="15" xfId="0" applyFont="1" applyFill="1" applyBorder="1" applyAlignment="1">
      <alignment horizontal="right" vertical="center"/>
    </xf>
    <xf numFmtId="3" fontId="4" fillId="2" borderId="11" xfId="1" applyNumberFormat="1" applyFont="1" applyFill="1" applyBorder="1" applyAlignment="1">
      <alignment horizontal="right" vertical="center"/>
    </xf>
    <xf numFmtId="1" fontId="4" fillId="2" borderId="11" xfId="1" applyNumberFormat="1" applyFont="1" applyFill="1" applyBorder="1" applyAlignment="1">
      <alignment horizontal="right" vertical="center"/>
    </xf>
    <xf numFmtId="3" fontId="4" fillId="2" borderId="4" xfId="0" applyNumberFormat="1" applyFont="1" applyFill="1" applyBorder="1" applyAlignment="1" applyProtection="1">
      <alignment vertical="center"/>
      <protection locked="0"/>
    </xf>
    <xf numFmtId="1" fontId="4" fillId="2" borderId="4" xfId="0" applyNumberFormat="1" applyFont="1" applyFill="1" applyBorder="1" applyAlignment="1">
      <alignment vertical="center"/>
    </xf>
    <xf numFmtId="3" fontId="4" fillId="2" borderId="16" xfId="0" applyNumberFormat="1" applyFont="1" applyFill="1" applyBorder="1" applyAlignment="1" applyProtection="1">
      <alignment vertical="center"/>
      <protection locked="0"/>
    </xf>
    <xf numFmtId="1" fontId="4" fillId="2" borderId="16" xfId="0" applyNumberFormat="1" applyFont="1" applyFill="1" applyBorder="1" applyAlignment="1">
      <alignment vertical="center"/>
    </xf>
    <xf numFmtId="0" fontId="9" fillId="2" borderId="16" xfId="0" applyFont="1" applyFill="1" applyBorder="1" applyAlignment="1">
      <alignment horizontal="right" vertical="center"/>
    </xf>
    <xf numFmtId="3" fontId="7" fillId="2" borderId="7" xfId="1" applyNumberFormat="1" applyFont="1" applyFill="1" applyBorder="1" applyAlignment="1">
      <alignment horizontal="right" vertical="center"/>
    </xf>
    <xf numFmtId="1" fontId="7" fillId="2" borderId="7" xfId="1" applyNumberFormat="1" applyFont="1" applyFill="1" applyBorder="1" applyAlignment="1">
      <alignment horizontal="right" vertical="center"/>
    </xf>
    <xf numFmtId="3" fontId="4" fillId="2" borderId="4" xfId="1" applyNumberFormat="1" applyFont="1" applyFill="1" applyBorder="1" applyAlignment="1">
      <alignment vertical="center"/>
    </xf>
    <xf numFmtId="0" fontId="4" fillId="2" borderId="17" xfId="0" applyFont="1" applyFill="1" applyBorder="1" applyAlignment="1">
      <alignment horizontal="left" vertical="center"/>
    </xf>
    <xf numFmtId="3" fontId="4" fillId="2" borderId="18" xfId="1" applyNumberFormat="1" applyFont="1" applyFill="1" applyBorder="1" applyAlignment="1">
      <alignment vertical="center"/>
    </xf>
    <xf numFmtId="1" fontId="4" fillId="2" borderId="18" xfId="1" applyNumberFormat="1" applyFont="1" applyFill="1" applyBorder="1" applyAlignment="1">
      <alignment vertical="center"/>
    </xf>
    <xf numFmtId="0" fontId="9" fillId="2" borderId="18" xfId="0" applyFont="1" applyFill="1" applyBorder="1" applyAlignment="1">
      <alignment horizontal="right" vertical="center"/>
    </xf>
    <xf numFmtId="0" fontId="19" fillId="2" borderId="6" xfId="0" applyFont="1" applyFill="1" applyBorder="1" applyAlignment="1">
      <alignment horizontal="left" vertical="center"/>
    </xf>
    <xf numFmtId="3" fontId="4" fillId="2" borderId="10" xfId="1" applyNumberFormat="1" applyFont="1" applyFill="1" applyBorder="1" applyAlignment="1">
      <alignment vertical="center"/>
    </xf>
    <xf numFmtId="1" fontId="4" fillId="2" borderId="10" xfId="1" applyNumberFormat="1" applyFont="1" applyFill="1" applyBorder="1" applyAlignment="1">
      <alignment vertical="center"/>
    </xf>
    <xf numFmtId="1" fontId="4" fillId="2" borderId="0" xfId="1" applyNumberFormat="1" applyFont="1" applyFill="1" applyBorder="1" applyAlignment="1">
      <alignment vertical="center"/>
    </xf>
    <xf numFmtId="0" fontId="2" fillId="2" borderId="12" xfId="0" applyFont="1" applyFill="1" applyBorder="1" applyAlignment="1">
      <alignment horizontal="left" vertical="center"/>
    </xf>
    <xf numFmtId="3" fontId="1" fillId="2" borderId="7" xfId="1" applyNumberFormat="1" applyFont="1" applyFill="1" applyBorder="1" applyAlignment="1">
      <alignment horizontal="right" vertical="center"/>
    </xf>
    <xf numFmtId="0" fontId="4" fillId="2" borderId="7" xfId="0" applyFont="1" applyFill="1" applyBorder="1" applyAlignment="1">
      <alignment vertical="center"/>
    </xf>
    <xf numFmtId="0" fontId="6" fillId="2" borderId="0" xfId="0" applyFont="1" applyFill="1" applyAlignment="1">
      <alignment horizontal="right"/>
    </xf>
    <xf numFmtId="0" fontId="13" fillId="2" borderId="13" xfId="0" applyFont="1" applyFill="1" applyBorder="1" applyAlignment="1">
      <alignment horizontal="left" vertical="center"/>
    </xf>
    <xf numFmtId="3" fontId="13" fillId="2" borderId="11" xfId="1" applyNumberFormat="1" applyFont="1" applyFill="1" applyBorder="1" applyAlignment="1">
      <alignment horizontal="right" vertical="center"/>
    </xf>
    <xf numFmtId="0" fontId="14" fillId="2" borderId="11" xfId="0" applyFont="1" applyFill="1" applyBorder="1" applyAlignment="1">
      <alignment horizontal="right" vertical="center"/>
    </xf>
    <xf numFmtId="0" fontId="3" fillId="2" borderId="13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0" fontId="0" fillId="2" borderId="11" xfId="0" applyFill="1" applyBorder="1"/>
    <xf numFmtId="0" fontId="0" fillId="2" borderId="13" xfId="0" applyFill="1" applyBorder="1"/>
    <xf numFmtId="0" fontId="17" fillId="2" borderId="2" xfId="0" applyFont="1" applyFill="1" applyBorder="1" applyAlignment="1">
      <alignment horizontal="center"/>
    </xf>
    <xf numFmtId="0" fontId="17" fillId="2" borderId="3" xfId="0" applyFont="1" applyFill="1" applyBorder="1" applyAlignment="1">
      <alignment horizontal="center"/>
    </xf>
    <xf numFmtId="0" fontId="11" fillId="2" borderId="0" xfId="0" applyFont="1" applyFill="1" applyAlignment="1">
      <alignment horizontal="center" vertical="center"/>
    </xf>
    <xf numFmtId="0" fontId="7" fillId="2" borderId="0" xfId="0" applyFont="1" applyFill="1" applyBorder="1" applyAlignment="1">
      <alignment horizontal="center" vertical="center"/>
    </xf>
    <xf numFmtId="0" fontId="8" fillId="2" borderId="22" xfId="0" applyFont="1" applyFill="1" applyBorder="1" applyAlignment="1">
      <alignment horizontal="right" vertical="center"/>
    </xf>
    <xf numFmtId="0" fontId="8" fillId="2" borderId="20" xfId="0" applyFont="1" applyFill="1" applyBorder="1" applyAlignment="1">
      <alignment horizontal="right" vertical="center"/>
    </xf>
    <xf numFmtId="0" fontId="9" fillId="2" borderId="19" xfId="0" applyFont="1" applyFill="1" applyBorder="1" applyAlignment="1">
      <alignment horizontal="right" vertical="center"/>
    </xf>
    <xf numFmtId="0" fontId="9" fillId="2" borderId="21" xfId="0" applyFont="1" applyFill="1" applyBorder="1" applyAlignment="1">
      <alignment horizontal="right" vertical="center"/>
    </xf>
    <xf numFmtId="0" fontId="3" fillId="2" borderId="19" xfId="0" applyFont="1" applyFill="1" applyBorder="1" applyAlignment="1">
      <alignment vertical="center"/>
    </xf>
    <xf numFmtId="0" fontId="0" fillId="2" borderId="19" xfId="0" applyFill="1" applyBorder="1"/>
    <xf numFmtId="0" fontId="3" fillId="2" borderId="3" xfId="0" applyFont="1" applyFill="1" applyBorder="1" applyAlignment="1">
      <alignment vertical="center"/>
    </xf>
    <xf numFmtId="0" fontId="10" fillId="2" borderId="12" xfId="0" applyFont="1" applyFill="1" applyBorder="1" applyAlignment="1">
      <alignment vertical="center"/>
    </xf>
    <xf numFmtId="0" fontId="10" fillId="2" borderId="13" xfId="0" applyFont="1" applyFill="1" applyBorder="1" applyAlignment="1">
      <alignment vertical="center"/>
    </xf>
    <xf numFmtId="0" fontId="17" fillId="2" borderId="0" xfId="0" applyFont="1" applyFill="1" applyBorder="1" applyAlignment="1">
      <alignment horizontal="center"/>
    </xf>
    <xf numFmtId="0" fontId="3" fillId="2" borderId="0" xfId="0" applyFont="1" applyFill="1" applyBorder="1" applyAlignment="1">
      <alignment vertical="center"/>
    </xf>
    <xf numFmtId="0" fontId="10" fillId="2" borderId="0" xfId="0" applyFont="1" applyFill="1" applyBorder="1" applyAlignment="1">
      <alignment vertical="center"/>
    </xf>
    <xf numFmtId="0" fontId="8" fillId="2" borderId="0" xfId="0" applyFont="1" applyFill="1" applyBorder="1" applyAlignment="1">
      <alignment horizontal="right" vertical="center"/>
    </xf>
    <xf numFmtId="0" fontId="13" fillId="2" borderId="0" xfId="0" applyFont="1" applyFill="1" applyBorder="1" applyAlignment="1">
      <alignment vertical="center"/>
    </xf>
    <xf numFmtId="0" fontId="9" fillId="2" borderId="0" xfId="0" applyFont="1" applyFill="1" applyBorder="1" applyAlignment="1">
      <alignment horizontal="right" vertical="center"/>
    </xf>
    <xf numFmtId="0" fontId="6" fillId="2" borderId="0" xfId="0" applyFont="1" applyFill="1" applyBorder="1" applyAlignment="1">
      <alignment horizontal="right"/>
    </xf>
    <xf numFmtId="0" fontId="13" fillId="2" borderId="0" xfId="0" applyFont="1" applyFill="1" applyBorder="1" applyAlignment="1">
      <alignment horizontal="left" vertical="center"/>
    </xf>
    <xf numFmtId="0" fontId="0" fillId="2" borderId="0" xfId="0" applyFill="1" applyBorder="1"/>
    <xf numFmtId="0" fontId="12" fillId="2" borderId="0" xfId="0" applyFont="1" applyFill="1" applyBorder="1" applyAlignment="1">
      <alignment horizontal="right"/>
    </xf>
    <xf numFmtId="1" fontId="13" fillId="2" borderId="0" xfId="0" applyNumberFormat="1" applyFont="1" applyFill="1" applyBorder="1"/>
    <xf numFmtId="0" fontId="13" fillId="2" borderId="0" xfId="0" applyFont="1" applyFill="1" applyBorder="1"/>
    <xf numFmtId="3" fontId="0" fillId="2" borderId="0" xfId="0" applyNumberFormat="1" applyFill="1" applyBorder="1"/>
    <xf numFmtId="1" fontId="0" fillId="2" borderId="0" xfId="0" applyNumberFormat="1" applyFill="1" applyBorder="1"/>
    <xf numFmtId="164" fontId="13" fillId="2" borderId="0" xfId="2" applyFont="1" applyFill="1" applyBorder="1" applyAlignment="1" applyProtection="1">
      <alignment horizontal="right" vertical="center"/>
      <protection locked="0"/>
    </xf>
    <xf numFmtId="164" fontId="7" fillId="2" borderId="0" xfId="1" applyNumberFormat="1" applyFont="1" applyFill="1" applyBorder="1" applyAlignment="1" applyProtection="1">
      <alignment horizontal="right" vertical="center"/>
    </xf>
    <xf numFmtId="3" fontId="5" fillId="2" borderId="0" xfId="0" applyNumberFormat="1" applyFont="1" applyFill="1" applyBorder="1" applyAlignment="1">
      <alignment horizontal="right" vertical="center"/>
    </xf>
    <xf numFmtId="164" fontId="5" fillId="2" borderId="0" xfId="1" applyNumberFormat="1" applyFont="1" applyFill="1" applyBorder="1" applyAlignment="1" applyProtection="1">
      <alignment horizontal="right" vertical="center"/>
    </xf>
    <xf numFmtId="168" fontId="13" fillId="2" borderId="0" xfId="0" applyNumberFormat="1" applyFont="1" applyFill="1" applyBorder="1"/>
    <xf numFmtId="0" fontId="13" fillId="2" borderId="3" xfId="0" applyFont="1" applyFill="1" applyBorder="1" applyAlignment="1">
      <alignment vertical="center"/>
    </xf>
    <xf numFmtId="0" fontId="0" fillId="2" borderId="4" xfId="0" applyFill="1" applyBorder="1"/>
    <xf numFmtId="0" fontId="0" fillId="2" borderId="21" xfId="0" applyFill="1" applyBorder="1"/>
    <xf numFmtId="0" fontId="13" fillId="2" borderId="4" xfId="0" applyFont="1" applyFill="1" applyBorder="1" applyAlignment="1">
      <alignment vertical="center"/>
    </xf>
    <xf numFmtId="0" fontId="3" fillId="2" borderId="12" xfId="0" applyFont="1" applyFill="1" applyBorder="1" applyAlignment="1">
      <alignment vertical="center"/>
    </xf>
    <xf numFmtId="0" fontId="3" fillId="2" borderId="7" xfId="0" applyFont="1" applyFill="1" applyBorder="1" applyAlignment="1">
      <alignment vertical="center"/>
    </xf>
    <xf numFmtId="0" fontId="3" fillId="2" borderId="20" xfId="0" applyFont="1" applyFill="1" applyBorder="1" applyAlignment="1">
      <alignment vertical="center"/>
    </xf>
  </cellXfs>
  <cellStyles count="9">
    <cellStyle name="Comma" xfId="1" builtinId="3"/>
    <cellStyle name="Comma 2" xfId="2" xr:uid="{00000000-0005-0000-0000-000001000000}"/>
    <cellStyle name="Comma 2 2" xfId="3" xr:uid="{00000000-0005-0000-0000-000002000000}"/>
    <cellStyle name="Comma 4" xfId="4" xr:uid="{00000000-0005-0000-0000-000003000000}"/>
    <cellStyle name="Normal" xfId="0" builtinId="0"/>
    <cellStyle name="Normal 2" xfId="5" xr:uid="{00000000-0005-0000-0000-000005000000}"/>
    <cellStyle name="Normal 2 2" xfId="6" xr:uid="{00000000-0005-0000-0000-000006000000}"/>
    <cellStyle name="Normal 4" xfId="7" xr:uid="{00000000-0005-0000-0000-000007000000}"/>
    <cellStyle name="Normal 5" xfId="8" xr:uid="{00000000-0005-0000-0000-000008000000}"/>
  </cellStyles>
  <dxfs count="0"/>
  <tableStyles count="0" defaultTableStyle="TableStyleMedium2" defaultPivotStyle="PivotStyleLight16"/>
  <colors>
    <mruColors>
      <color rgb="FFC7F2F1"/>
      <color rgb="FF33CCCC"/>
      <color rgb="FF196563"/>
      <color rgb="FFEAFAFA"/>
      <color rgb="FF249390"/>
      <color rgb="FFFF9933"/>
      <color rgb="FFFF9900"/>
      <color rgb="FFF5EADF"/>
      <color rgb="FFDAB48E"/>
      <color rgb="FF9966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1" i="0" baseline="0">
                <a:effectLst/>
              </a:rPr>
              <a:t>Figure 12.1:  Electricity utilization in Male', 2010 - 2023</a:t>
            </a:r>
            <a:endParaRPr lang="en-US" sz="1200">
              <a:effectLst/>
            </a:endParaRPr>
          </a:p>
        </c:rich>
      </c:tx>
      <c:layout>
        <c:manualLayout>
          <c:xMode val="edge"/>
          <c:yMode val="edge"/>
          <c:x val="0.28368988914847743"/>
          <c:y val="5.994752462840061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400924525367902"/>
          <c:y val="0.19432888597258677"/>
          <c:w val="0.84735454746792194"/>
          <c:h val="0.69827172645086033"/>
        </c:manualLayout>
      </c:layout>
      <c:barChart>
        <c:barDir val="col"/>
        <c:grouping val="clustered"/>
        <c:varyColors val="0"/>
        <c:ser>
          <c:idx val="1"/>
          <c:order val="0"/>
          <c:spPr>
            <a:solidFill>
              <a:srgbClr val="33CCCC"/>
            </a:solidFill>
            <a:ln>
              <a:noFill/>
            </a:ln>
            <a:effectLst/>
          </c:spPr>
          <c:invertIfNegative val="0"/>
          <c:cat>
            <c:numRef>
              <c:f>'12.1'!$C$4:$P$4</c:f>
              <c:numCache>
                <c:formatCode>General</c:formatCode>
                <c:ptCount val="14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</c:numCache>
            </c:numRef>
          </c:cat>
          <c:val>
            <c:numRef>
              <c:f>'12.1'!$C$5:$P$5</c:f>
              <c:numCache>
                <c:formatCode>_(* #,##0_);_(* \(#,##0\);_(* "-"??_);_(@_)</c:formatCode>
                <c:ptCount val="14"/>
                <c:pt idx="0" formatCode="#,##0">
                  <c:v>195722.55800000002</c:v>
                </c:pt>
                <c:pt idx="1">
                  <c:v>211889.32699999999</c:v>
                </c:pt>
                <c:pt idx="2" formatCode="#,##0">
                  <c:v>219663.37332000001</c:v>
                </c:pt>
                <c:pt idx="3" formatCode="#,##0">
                  <c:v>232023.39200000002</c:v>
                </c:pt>
                <c:pt idx="4" formatCode="#,##0">
                  <c:v>239067</c:v>
                </c:pt>
                <c:pt idx="5" formatCode="#,##0">
                  <c:v>260445.08562</c:v>
                </c:pt>
                <c:pt idx="6" formatCode="#,##0">
                  <c:v>271814.04891000001</c:v>
                </c:pt>
                <c:pt idx="7" formatCode="#,##0">
                  <c:v>304527.45199199999</c:v>
                </c:pt>
                <c:pt idx="8" formatCode="#,##0">
                  <c:v>318850.96300000005</c:v>
                </c:pt>
                <c:pt idx="9" formatCode="#,##0">
                  <c:v>356353.60600000003</c:v>
                </c:pt>
                <c:pt idx="10" formatCode="#,##0">
                  <c:v>349092.49200000003</c:v>
                </c:pt>
                <c:pt idx="11" formatCode="#,##0">
                  <c:v>355496.29966999998</c:v>
                </c:pt>
                <c:pt idx="12" formatCode="#,##0">
                  <c:v>384809.04599999997</c:v>
                </c:pt>
                <c:pt idx="13" formatCode="#,##0">
                  <c:v>391864.34399999998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B3-4727-970E-EDF246F02C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1"/>
        <c:overlap val="-27"/>
        <c:axId val="462056392"/>
        <c:axId val="462054040"/>
      </c:barChart>
      <c:catAx>
        <c:axId val="462056392"/>
        <c:scaling>
          <c:orientation val="minMax"/>
        </c:scaling>
        <c:delete val="0"/>
        <c:axPos val="b"/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2054040"/>
        <c:crosses val="autoZero"/>
        <c:auto val="1"/>
        <c:lblAlgn val="ctr"/>
        <c:lblOffset val="100"/>
        <c:noMultiLvlLbl val="0"/>
      </c:catAx>
      <c:valAx>
        <c:axId val="462054040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2056392"/>
        <c:crosses val="autoZero"/>
        <c:crossBetween val="between"/>
      </c:valAx>
      <c:spPr>
        <a:solidFill>
          <a:srgbClr val="EAFAFA"/>
        </a:solidFill>
        <a:ln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 b="1" i="0" baseline="0">
                <a:effectLst/>
              </a:rPr>
              <a:t>Figure 12.2:  Percentage of Electricity utilization in  Male' by type,  2023</a:t>
            </a:r>
            <a:endParaRPr lang="en-US" sz="1100">
              <a:effectLst/>
            </a:endParaRPr>
          </a:p>
        </c:rich>
      </c:tx>
      <c:layout>
        <c:manualLayout>
          <c:xMode val="edge"/>
          <c:yMode val="edge"/>
          <c:x val="0.18038699895628424"/>
          <c:y val="4.20071584606541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8.5175603049618798E-2"/>
          <c:y val="0.29610819480898221"/>
          <c:w val="0.82511364650847219"/>
          <c:h val="0.66745953630796151"/>
        </c:manualLayout>
      </c:layout>
      <c:pie3DChart>
        <c:varyColors val="1"/>
        <c:ser>
          <c:idx val="0"/>
          <c:order val="0"/>
          <c:dPt>
            <c:idx val="0"/>
            <c:bubble3D val="0"/>
            <c:spPr>
              <a:solidFill>
                <a:srgbClr val="19656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27CC-405F-9D38-86D6FCCB8B8C}"/>
              </c:ext>
            </c:extLst>
          </c:dPt>
          <c:dPt>
            <c:idx val="1"/>
            <c:bubble3D val="0"/>
            <c:spPr>
              <a:solidFill>
                <a:srgbClr val="33CCCC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27CC-405F-9D38-86D6FCCB8B8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27CC-405F-9D38-86D6FCCB8B8C}"/>
              </c:ext>
            </c:extLst>
          </c:dPt>
          <c:dPt>
            <c:idx val="3"/>
            <c:bubble3D val="0"/>
            <c:spPr>
              <a:solidFill>
                <a:srgbClr val="C7F2F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27CC-405F-9D38-86D6FCCB8B8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'12.1'!$A$11:$A$14</c:f>
              <c:strCache>
                <c:ptCount val="4"/>
                <c:pt idx="0">
                  <c:v>Residential </c:v>
                </c:pt>
                <c:pt idx="1">
                  <c:v>Manufacturing and  Commercial</c:v>
                </c:pt>
                <c:pt idx="2">
                  <c:v>Government Buildings</c:v>
                </c:pt>
                <c:pt idx="3">
                  <c:v>Public Places and  Schools</c:v>
                </c:pt>
              </c:strCache>
            </c:strRef>
          </c:cat>
          <c:val>
            <c:numRef>
              <c:f>'12.1'!$P$11:$P$14</c:f>
              <c:numCache>
                <c:formatCode>0</c:formatCode>
                <c:ptCount val="4"/>
                <c:pt idx="0">
                  <c:v>54.3572775276538</c:v>
                </c:pt>
                <c:pt idx="1">
                  <c:v>32.496531758959932</c:v>
                </c:pt>
                <c:pt idx="2">
                  <c:v>9.2213860621113319</c:v>
                </c:pt>
                <c:pt idx="3">
                  <c:v>3.9248046512749326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27CC-405F-9D38-86D6FCCB8B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solidFill>
          <a:srgbClr val="EAFAFA"/>
        </a:solidFill>
        <a:ln>
          <a:noFill/>
        </a:ln>
        <a:effectLst/>
      </c:spPr>
    </c:plotArea>
    <c:plotVisOnly val="1"/>
    <c:dispBlanksAs val="gap"/>
    <c:showDLblsOverMax val="0"/>
  </c:chart>
  <c:spPr>
    <a:solidFill>
      <a:srgbClr val="EAFAFA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114299</xdr:colOff>
      <xdr:row>21</xdr:row>
      <xdr:rowOff>161925</xdr:rowOff>
    </xdr:from>
    <xdr:to>
      <xdr:col>8</xdr:col>
      <xdr:colOff>174949</xdr:colOff>
      <xdr:row>36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2A2D6E0-0BE0-4C5E-A71F-1A0B58C8D82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0</xdr:col>
      <xdr:colOff>141266</xdr:colOff>
      <xdr:row>27</xdr:row>
      <xdr:rowOff>117295</xdr:rowOff>
    </xdr:from>
    <xdr:ext cx="233205" cy="74159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FF437C76-279A-4DA0-950B-34134DFB2CBC}"/>
            </a:ext>
          </a:extLst>
        </xdr:cNvPr>
        <xdr:cNvSpPr txBox="1"/>
      </xdr:nvSpPr>
      <xdr:spPr>
        <a:xfrm rot="16200000">
          <a:off x="-112926" y="5743587"/>
          <a:ext cx="741590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r>
            <a:rPr lang="en-US" sz="900" b="1"/>
            <a:t>in '000 Kwh</a:t>
          </a:r>
        </a:p>
      </xdr:txBody>
    </xdr:sp>
    <xdr:clientData/>
  </xdr:oneCellAnchor>
  <xdr:twoCellAnchor>
    <xdr:from>
      <xdr:col>8</xdr:col>
      <xdr:colOff>738673</xdr:colOff>
      <xdr:row>21</xdr:row>
      <xdr:rowOff>180975</xdr:rowOff>
    </xdr:from>
    <xdr:to>
      <xdr:col>16</xdr:col>
      <xdr:colOff>2038349</xdr:colOff>
      <xdr:row>36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F699536-1F29-49E0-A465-E4A210E62B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E35830-5DDE-4586-B395-870618553A64}">
  <sheetPr>
    <tabColor rgb="FF92D050"/>
  </sheetPr>
  <dimension ref="A1:FA741"/>
  <sheetViews>
    <sheetView tabSelected="1" zoomScaleNormal="100" workbookViewId="0">
      <selection activeCell="U24" sqref="U24"/>
    </sheetView>
  </sheetViews>
  <sheetFormatPr defaultColWidth="11.140625" defaultRowHeight="12.75"/>
  <cols>
    <col min="1" max="1" width="26.5703125" style="56" customWidth="1"/>
    <col min="2" max="2" width="11.140625" style="23" hidden="1" customWidth="1"/>
    <col min="3" max="16" width="11.140625" style="23"/>
    <col min="17" max="17" width="34.5703125" style="23" customWidth="1"/>
    <col min="18" max="18" width="3.7109375" style="68" customWidth="1"/>
    <col min="19" max="21" width="22.5703125" style="74" customWidth="1"/>
    <col min="22" max="22" width="25" style="74" customWidth="1"/>
    <col min="23" max="23" width="9.28515625" style="74" customWidth="1"/>
    <col min="24" max="34" width="8.5703125" style="74" customWidth="1"/>
    <col min="35" max="35" width="10" style="74" customWidth="1"/>
    <col min="36" max="38" width="11.140625" style="74"/>
    <col min="39" max="39" width="12.42578125" style="74" bestFit="1" customWidth="1"/>
    <col min="40" max="156" width="11.140625" style="74"/>
    <col min="157" max="157" width="11.140625" style="56"/>
    <col min="158" max="16384" width="11.140625" style="23"/>
  </cols>
  <sheetData>
    <row r="1" spans="1:157" s="5" customFormat="1" ht="18.75">
      <c r="A1" s="60" t="s">
        <v>3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1"/>
      <c r="R1" s="4"/>
      <c r="S1" s="73"/>
      <c r="T1" s="73"/>
      <c r="U1" s="73"/>
      <c r="V1" s="74"/>
      <c r="W1" s="74"/>
      <c r="X1" s="74"/>
      <c r="Y1" s="74"/>
      <c r="Z1" s="74"/>
      <c r="AA1" s="74"/>
      <c r="AB1" s="74"/>
      <c r="AC1" s="74"/>
      <c r="AD1" s="74"/>
      <c r="AE1" s="74"/>
      <c r="AF1" s="74"/>
      <c r="AG1" s="74"/>
      <c r="AH1" s="74"/>
      <c r="AI1" s="74"/>
      <c r="AJ1" s="74"/>
      <c r="AK1" s="74"/>
      <c r="AL1" s="74"/>
      <c r="AM1" s="74"/>
      <c r="AN1" s="74"/>
      <c r="AO1" s="74"/>
      <c r="AP1" s="74"/>
      <c r="AQ1" s="74"/>
      <c r="AR1" s="74"/>
      <c r="AS1" s="74"/>
      <c r="AT1" s="74"/>
      <c r="AU1" s="74"/>
      <c r="AV1" s="74"/>
      <c r="AW1" s="74"/>
      <c r="AX1" s="74"/>
      <c r="AY1" s="74"/>
      <c r="AZ1" s="74"/>
      <c r="BA1" s="74"/>
      <c r="BB1" s="74"/>
      <c r="BC1" s="74"/>
      <c r="BD1" s="74"/>
      <c r="BE1" s="74"/>
      <c r="BF1" s="74"/>
      <c r="BG1" s="74"/>
      <c r="BH1" s="74"/>
      <c r="BI1" s="74"/>
      <c r="BJ1" s="74"/>
      <c r="BK1" s="74"/>
      <c r="BL1" s="74"/>
      <c r="BM1" s="74"/>
      <c r="BN1" s="74"/>
      <c r="BO1" s="74"/>
      <c r="BP1" s="74"/>
      <c r="BQ1" s="74"/>
      <c r="BR1" s="74"/>
      <c r="BS1" s="74"/>
      <c r="BT1" s="74"/>
      <c r="BU1" s="74"/>
      <c r="BV1" s="74"/>
      <c r="BW1" s="74"/>
      <c r="BX1" s="74"/>
      <c r="BY1" s="74"/>
      <c r="BZ1" s="74"/>
      <c r="CA1" s="74"/>
      <c r="CB1" s="74"/>
      <c r="CC1" s="74"/>
      <c r="CD1" s="74"/>
      <c r="CE1" s="74"/>
      <c r="CF1" s="74"/>
      <c r="CG1" s="74"/>
      <c r="CH1" s="74"/>
      <c r="CI1" s="74"/>
      <c r="CJ1" s="74"/>
      <c r="CK1" s="74"/>
      <c r="CL1" s="74"/>
      <c r="CM1" s="74"/>
      <c r="CN1" s="74"/>
      <c r="CO1" s="74"/>
      <c r="CP1" s="74"/>
      <c r="CQ1" s="74"/>
      <c r="CR1" s="74"/>
      <c r="CS1" s="74"/>
      <c r="CT1" s="74"/>
      <c r="CU1" s="74"/>
      <c r="CV1" s="74"/>
      <c r="CW1" s="74"/>
      <c r="CX1" s="74"/>
      <c r="CY1" s="74"/>
      <c r="CZ1" s="74"/>
      <c r="DA1" s="74"/>
      <c r="DB1" s="74"/>
      <c r="DC1" s="74"/>
      <c r="DD1" s="74"/>
      <c r="DE1" s="74"/>
      <c r="DF1" s="74"/>
      <c r="DG1" s="74"/>
      <c r="DH1" s="74"/>
      <c r="DI1" s="74"/>
      <c r="DJ1" s="74"/>
      <c r="DK1" s="74"/>
      <c r="DL1" s="74"/>
      <c r="DM1" s="74"/>
      <c r="DN1" s="74"/>
      <c r="DO1" s="74"/>
      <c r="DP1" s="74"/>
      <c r="DQ1" s="74"/>
      <c r="DR1" s="74"/>
      <c r="DS1" s="74"/>
      <c r="DT1" s="74"/>
      <c r="DU1" s="74"/>
      <c r="DV1" s="74"/>
      <c r="DW1" s="74"/>
      <c r="DX1" s="74"/>
      <c r="DY1" s="74"/>
      <c r="DZ1" s="74"/>
      <c r="EA1" s="74"/>
      <c r="EB1" s="74"/>
      <c r="EC1" s="74"/>
      <c r="ED1" s="74"/>
      <c r="EE1" s="74"/>
      <c r="EF1" s="74"/>
      <c r="EG1" s="74"/>
      <c r="EH1" s="74"/>
      <c r="EI1" s="74"/>
      <c r="EJ1" s="74"/>
      <c r="EK1" s="74"/>
      <c r="EL1" s="74"/>
      <c r="EM1" s="74"/>
      <c r="EN1" s="74"/>
      <c r="EO1" s="74"/>
      <c r="EP1" s="74"/>
      <c r="EQ1" s="74"/>
      <c r="ER1" s="74"/>
      <c r="ES1" s="74"/>
      <c r="ET1" s="74"/>
      <c r="EU1" s="74"/>
      <c r="EV1" s="74"/>
      <c r="EW1" s="74"/>
      <c r="EX1" s="74"/>
      <c r="EY1" s="74"/>
      <c r="EZ1" s="74"/>
      <c r="FA1" s="70"/>
    </row>
    <row r="2" spans="1:157" s="3" customFormat="1" ht="15.75">
      <c r="A2" s="62" t="s">
        <v>4</v>
      </c>
      <c r="B2" s="62"/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  <c r="P2" s="62"/>
      <c r="Q2" s="62"/>
      <c r="R2" s="6"/>
      <c r="S2" s="63"/>
      <c r="T2" s="63"/>
      <c r="U2" s="63"/>
      <c r="V2" s="75"/>
      <c r="W2" s="75"/>
      <c r="X2" s="75"/>
      <c r="Y2" s="75"/>
      <c r="Z2" s="75"/>
      <c r="AA2" s="75"/>
      <c r="AB2" s="75"/>
      <c r="AC2" s="75"/>
      <c r="AD2" s="75"/>
      <c r="AE2" s="75"/>
      <c r="AF2" s="75"/>
      <c r="AG2" s="75"/>
      <c r="AH2" s="75"/>
      <c r="AI2" s="75"/>
      <c r="AJ2" s="75"/>
      <c r="AK2" s="75"/>
      <c r="AL2" s="75"/>
      <c r="AM2" s="75"/>
      <c r="AN2" s="75"/>
      <c r="AO2" s="75"/>
      <c r="AP2" s="75"/>
      <c r="AQ2" s="75"/>
      <c r="AR2" s="75"/>
      <c r="AS2" s="75"/>
      <c r="AT2" s="75"/>
      <c r="AU2" s="75"/>
      <c r="AV2" s="75"/>
      <c r="AW2" s="75"/>
      <c r="AX2" s="75"/>
      <c r="AY2" s="75"/>
      <c r="AZ2" s="75"/>
      <c r="BA2" s="75"/>
      <c r="BB2" s="75"/>
      <c r="BC2" s="75"/>
      <c r="BD2" s="75"/>
      <c r="BE2" s="75"/>
      <c r="BF2" s="75"/>
      <c r="BG2" s="75"/>
      <c r="BH2" s="75"/>
      <c r="BI2" s="75"/>
      <c r="BJ2" s="75"/>
      <c r="BK2" s="75"/>
      <c r="BL2" s="75"/>
      <c r="BM2" s="75"/>
      <c r="BN2" s="75"/>
      <c r="BO2" s="75"/>
      <c r="BP2" s="75"/>
      <c r="BQ2" s="75"/>
      <c r="BR2" s="75"/>
      <c r="BS2" s="75"/>
      <c r="BT2" s="75"/>
      <c r="BU2" s="75"/>
      <c r="BV2" s="75"/>
      <c r="BW2" s="75"/>
      <c r="BX2" s="75"/>
      <c r="BY2" s="75"/>
      <c r="BZ2" s="75"/>
      <c r="CA2" s="75"/>
      <c r="CB2" s="75"/>
      <c r="CC2" s="75"/>
      <c r="CD2" s="75"/>
      <c r="CE2" s="75"/>
      <c r="CF2" s="75"/>
      <c r="CG2" s="75"/>
      <c r="CH2" s="75"/>
      <c r="CI2" s="75"/>
      <c r="CJ2" s="75"/>
      <c r="CK2" s="75"/>
      <c r="CL2" s="75"/>
      <c r="CM2" s="75"/>
      <c r="CN2" s="75"/>
      <c r="CO2" s="75"/>
      <c r="CP2" s="75"/>
      <c r="CQ2" s="75"/>
      <c r="CR2" s="75"/>
      <c r="CS2" s="75"/>
      <c r="CT2" s="75"/>
      <c r="CU2" s="75"/>
      <c r="CV2" s="75"/>
      <c r="CW2" s="75"/>
      <c r="CX2" s="75"/>
      <c r="CY2" s="75"/>
      <c r="CZ2" s="75"/>
      <c r="DA2" s="75"/>
      <c r="DB2" s="75"/>
      <c r="DC2" s="75"/>
      <c r="DD2" s="75"/>
      <c r="DE2" s="75"/>
      <c r="DF2" s="75"/>
      <c r="DG2" s="75"/>
      <c r="DH2" s="75"/>
      <c r="DI2" s="75"/>
      <c r="DJ2" s="75"/>
      <c r="DK2" s="75"/>
      <c r="DL2" s="75"/>
      <c r="DM2" s="75"/>
      <c r="DN2" s="75"/>
      <c r="DO2" s="75"/>
      <c r="DP2" s="75"/>
      <c r="DQ2" s="75"/>
      <c r="DR2" s="75"/>
      <c r="DS2" s="75"/>
      <c r="DT2" s="75"/>
      <c r="DU2" s="75"/>
      <c r="DV2" s="75"/>
      <c r="DW2" s="75"/>
      <c r="DX2" s="75"/>
      <c r="DY2" s="75"/>
      <c r="DZ2" s="75"/>
      <c r="EA2" s="75"/>
      <c r="EB2" s="75"/>
      <c r="EC2" s="75"/>
      <c r="ED2" s="75"/>
      <c r="EE2" s="75"/>
      <c r="EF2" s="75"/>
      <c r="EG2" s="75"/>
      <c r="EH2" s="75"/>
      <c r="EI2" s="75"/>
      <c r="EJ2" s="75"/>
      <c r="EK2" s="75"/>
      <c r="EL2" s="75"/>
      <c r="EM2" s="75"/>
      <c r="EN2" s="75"/>
      <c r="EO2" s="75"/>
      <c r="EP2" s="75"/>
      <c r="EQ2" s="75"/>
      <c r="ER2" s="75"/>
      <c r="ES2" s="75"/>
      <c r="ET2" s="75"/>
      <c r="EU2" s="75"/>
      <c r="EV2" s="75"/>
      <c r="EW2" s="75"/>
      <c r="EX2" s="75"/>
      <c r="EY2" s="75"/>
      <c r="EZ2" s="75"/>
    </row>
    <row r="3" spans="1:157" s="9" customFormat="1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8"/>
      <c r="R3" s="63"/>
      <c r="S3" s="63"/>
      <c r="T3" s="63"/>
      <c r="U3" s="63"/>
      <c r="V3" s="75"/>
      <c r="W3" s="75"/>
      <c r="X3" s="75"/>
      <c r="Y3" s="75"/>
      <c r="Z3" s="75"/>
      <c r="AA3" s="75"/>
      <c r="AB3" s="75"/>
      <c r="AC3" s="75"/>
      <c r="AD3" s="75"/>
      <c r="AE3" s="75"/>
      <c r="AF3" s="75"/>
      <c r="AG3" s="75"/>
      <c r="AH3" s="75"/>
      <c r="AI3" s="75"/>
      <c r="AJ3" s="75"/>
      <c r="AK3" s="75"/>
      <c r="AL3" s="75"/>
      <c r="AM3" s="75"/>
      <c r="AN3" s="75"/>
      <c r="AO3" s="75"/>
      <c r="AP3" s="75"/>
      <c r="AQ3" s="75"/>
      <c r="AR3" s="75"/>
      <c r="AS3" s="75"/>
      <c r="AT3" s="75"/>
      <c r="AU3" s="75"/>
      <c r="AV3" s="75"/>
      <c r="AW3" s="75"/>
      <c r="AX3" s="75"/>
      <c r="AY3" s="75"/>
      <c r="AZ3" s="75"/>
      <c r="BA3" s="75"/>
      <c r="BB3" s="75"/>
      <c r="BC3" s="75"/>
      <c r="BD3" s="75"/>
      <c r="BE3" s="75"/>
      <c r="BF3" s="75"/>
      <c r="BG3" s="75"/>
      <c r="BH3" s="75"/>
      <c r="BI3" s="75"/>
      <c r="BJ3" s="75"/>
      <c r="BK3" s="75"/>
      <c r="BL3" s="75"/>
      <c r="BM3" s="75"/>
      <c r="BN3" s="75"/>
      <c r="BO3" s="75"/>
      <c r="BP3" s="75"/>
      <c r="BQ3" s="75"/>
      <c r="BR3" s="75"/>
      <c r="BS3" s="75"/>
      <c r="BT3" s="75"/>
      <c r="BU3" s="75"/>
      <c r="BV3" s="75"/>
      <c r="BW3" s="75"/>
      <c r="BX3" s="75"/>
      <c r="BY3" s="75"/>
      <c r="BZ3" s="75"/>
      <c r="CA3" s="75"/>
      <c r="CB3" s="75"/>
      <c r="CC3" s="75"/>
      <c r="CD3" s="75"/>
      <c r="CE3" s="75"/>
      <c r="CF3" s="75"/>
      <c r="CG3" s="75"/>
      <c r="CH3" s="75"/>
      <c r="CI3" s="75"/>
      <c r="CJ3" s="75"/>
      <c r="CK3" s="75"/>
      <c r="CL3" s="75"/>
      <c r="CM3" s="75"/>
      <c r="CN3" s="75"/>
      <c r="CO3" s="75"/>
      <c r="CP3" s="75"/>
      <c r="CQ3" s="75"/>
      <c r="CR3" s="75"/>
      <c r="CS3" s="75"/>
      <c r="CT3" s="75"/>
      <c r="CU3" s="75"/>
      <c r="CV3" s="75"/>
      <c r="CW3" s="75"/>
      <c r="CX3" s="75"/>
      <c r="CY3" s="75"/>
      <c r="CZ3" s="75"/>
      <c r="DA3" s="75"/>
      <c r="DB3" s="75"/>
      <c r="DC3" s="75"/>
      <c r="DD3" s="75"/>
      <c r="DE3" s="75"/>
      <c r="DF3" s="75"/>
      <c r="DG3" s="75"/>
      <c r="DH3" s="75"/>
      <c r="DI3" s="75"/>
      <c r="DJ3" s="75"/>
      <c r="DK3" s="75"/>
      <c r="DL3" s="75"/>
      <c r="DM3" s="75"/>
      <c r="DN3" s="75"/>
      <c r="DO3" s="75"/>
      <c r="DP3" s="75"/>
      <c r="DQ3" s="75"/>
      <c r="DR3" s="75"/>
      <c r="DS3" s="75"/>
      <c r="DT3" s="75"/>
      <c r="DU3" s="75"/>
      <c r="DV3" s="75"/>
      <c r="DW3" s="75"/>
      <c r="DX3" s="75"/>
      <c r="DY3" s="75"/>
      <c r="DZ3" s="75"/>
      <c r="EA3" s="75"/>
      <c r="EB3" s="75"/>
      <c r="EC3" s="75"/>
      <c r="ED3" s="75"/>
      <c r="EE3" s="75"/>
      <c r="EF3" s="75"/>
      <c r="EG3" s="75"/>
      <c r="EH3" s="75"/>
      <c r="EI3" s="75"/>
      <c r="EJ3" s="75"/>
      <c r="EK3" s="75"/>
      <c r="EL3" s="75"/>
      <c r="EM3" s="75"/>
      <c r="EN3" s="75"/>
      <c r="EO3" s="75"/>
      <c r="EP3" s="75"/>
      <c r="EQ3" s="75"/>
      <c r="ER3" s="75"/>
      <c r="ES3" s="75"/>
      <c r="ET3" s="75"/>
      <c r="EU3" s="75"/>
      <c r="EV3" s="75"/>
      <c r="EW3" s="75"/>
      <c r="EX3" s="75"/>
      <c r="EY3" s="75"/>
      <c r="EZ3" s="75"/>
      <c r="FA3" s="71"/>
    </row>
    <row r="4" spans="1:157" s="13" customFormat="1" ht="15.75">
      <c r="A4" s="10" t="s">
        <v>5</v>
      </c>
      <c r="B4" s="11">
        <v>2009</v>
      </c>
      <c r="C4" s="11">
        <v>2010</v>
      </c>
      <c r="D4" s="11">
        <v>2011</v>
      </c>
      <c r="E4" s="11">
        <v>2012</v>
      </c>
      <c r="F4" s="11">
        <v>2013</v>
      </c>
      <c r="G4" s="11">
        <v>2014</v>
      </c>
      <c r="H4" s="11">
        <v>2015</v>
      </c>
      <c r="I4" s="11">
        <v>2016</v>
      </c>
      <c r="J4" s="11">
        <v>2017</v>
      </c>
      <c r="K4" s="11">
        <v>2018</v>
      </c>
      <c r="L4" s="11">
        <v>2019</v>
      </c>
      <c r="M4" s="11">
        <v>2020</v>
      </c>
      <c r="N4" s="11">
        <v>2021</v>
      </c>
      <c r="O4" s="11">
        <v>2022</v>
      </c>
      <c r="P4" s="11">
        <v>2023</v>
      </c>
      <c r="Q4" s="12" t="s">
        <v>6</v>
      </c>
      <c r="R4" s="64"/>
      <c r="S4" s="76"/>
      <c r="T4" s="76"/>
      <c r="U4" s="76"/>
      <c r="V4" s="77"/>
      <c r="W4" s="77"/>
      <c r="X4" s="77"/>
      <c r="Y4" s="77"/>
      <c r="Z4" s="77"/>
      <c r="AA4" s="77"/>
      <c r="AB4" s="77"/>
      <c r="AC4" s="77"/>
      <c r="AD4" s="77"/>
      <c r="AE4" s="77"/>
      <c r="AF4" s="77"/>
      <c r="AG4" s="77"/>
      <c r="AH4" s="77"/>
      <c r="AI4" s="77"/>
      <c r="AJ4" s="77"/>
      <c r="AK4" s="77"/>
      <c r="AL4" s="77"/>
      <c r="AM4" s="77"/>
      <c r="AN4" s="77"/>
      <c r="AO4" s="77"/>
      <c r="AP4" s="77"/>
      <c r="AQ4" s="77"/>
      <c r="AR4" s="77"/>
      <c r="AS4" s="77"/>
      <c r="AT4" s="77"/>
      <c r="AU4" s="77"/>
      <c r="AV4" s="77"/>
      <c r="AW4" s="77"/>
      <c r="AX4" s="77"/>
      <c r="AY4" s="77"/>
      <c r="AZ4" s="77"/>
      <c r="BA4" s="77"/>
      <c r="BB4" s="77"/>
      <c r="BC4" s="77"/>
      <c r="BD4" s="77"/>
      <c r="BE4" s="77"/>
      <c r="BF4" s="77"/>
      <c r="BG4" s="77"/>
      <c r="BH4" s="77"/>
      <c r="BI4" s="77"/>
      <c r="BJ4" s="77"/>
      <c r="BK4" s="77"/>
      <c r="BL4" s="77"/>
      <c r="BM4" s="77"/>
      <c r="BN4" s="77"/>
      <c r="BO4" s="77"/>
      <c r="BP4" s="77"/>
      <c r="BQ4" s="77"/>
      <c r="BR4" s="77"/>
      <c r="BS4" s="77"/>
      <c r="BT4" s="77"/>
      <c r="BU4" s="77"/>
      <c r="BV4" s="77"/>
      <c r="BW4" s="77"/>
      <c r="BX4" s="77"/>
      <c r="BY4" s="77"/>
      <c r="BZ4" s="77"/>
      <c r="CA4" s="77"/>
      <c r="CB4" s="77"/>
      <c r="CC4" s="77"/>
      <c r="CD4" s="77"/>
      <c r="CE4" s="77"/>
      <c r="CF4" s="77"/>
      <c r="CG4" s="77"/>
      <c r="CH4" s="77"/>
      <c r="CI4" s="77"/>
      <c r="CJ4" s="77"/>
      <c r="CK4" s="77"/>
      <c r="CL4" s="77"/>
      <c r="CM4" s="77"/>
      <c r="CN4" s="77"/>
      <c r="CO4" s="77"/>
      <c r="CP4" s="77"/>
      <c r="CQ4" s="77"/>
      <c r="CR4" s="77"/>
      <c r="CS4" s="77"/>
      <c r="CT4" s="77"/>
      <c r="CU4" s="77"/>
      <c r="CV4" s="77"/>
      <c r="CW4" s="77"/>
      <c r="CX4" s="77"/>
      <c r="CY4" s="77"/>
      <c r="CZ4" s="77"/>
      <c r="DA4" s="77"/>
      <c r="DB4" s="77"/>
      <c r="DC4" s="77"/>
      <c r="DD4" s="77"/>
      <c r="DE4" s="77"/>
      <c r="DF4" s="77"/>
      <c r="DG4" s="77"/>
      <c r="DH4" s="77"/>
      <c r="DI4" s="77"/>
      <c r="DJ4" s="77"/>
      <c r="DK4" s="77"/>
      <c r="DL4" s="77"/>
      <c r="DM4" s="77"/>
      <c r="DN4" s="77"/>
      <c r="DO4" s="77"/>
      <c r="DP4" s="77"/>
      <c r="DQ4" s="77"/>
      <c r="DR4" s="77"/>
      <c r="DS4" s="77"/>
      <c r="DT4" s="77"/>
      <c r="DU4" s="77"/>
      <c r="DV4" s="77"/>
      <c r="DW4" s="77"/>
      <c r="DX4" s="77"/>
      <c r="DY4" s="77"/>
      <c r="DZ4" s="77"/>
      <c r="EA4" s="77"/>
      <c r="EB4" s="77"/>
      <c r="EC4" s="77"/>
      <c r="ED4" s="77"/>
      <c r="EE4" s="77"/>
      <c r="EF4" s="77"/>
      <c r="EG4" s="77"/>
      <c r="EH4" s="77"/>
      <c r="EI4" s="77"/>
      <c r="EJ4" s="77"/>
      <c r="EK4" s="77"/>
      <c r="EL4" s="77"/>
      <c r="EM4" s="77"/>
      <c r="EN4" s="77"/>
      <c r="EO4" s="77"/>
      <c r="EP4" s="77"/>
      <c r="EQ4" s="77"/>
      <c r="ER4" s="77"/>
      <c r="ES4" s="77"/>
      <c r="ET4" s="77"/>
      <c r="EU4" s="77"/>
      <c r="EV4" s="77"/>
      <c r="EW4" s="77"/>
      <c r="EX4" s="77"/>
      <c r="EY4" s="77"/>
      <c r="EZ4" s="77"/>
      <c r="FA4" s="57"/>
    </row>
    <row r="5" spans="1:157" s="18" customFormat="1" ht="15.75">
      <c r="A5" s="14" t="s">
        <v>7</v>
      </c>
      <c r="B5" s="15">
        <v>187110.266</v>
      </c>
      <c r="C5" s="15">
        <v>195722.55800000002</v>
      </c>
      <c r="D5" s="16">
        <f t="shared" ref="D5:L5" si="0">SUM(D6:D9)</f>
        <v>211889.32699999999</v>
      </c>
      <c r="E5" s="15">
        <f t="shared" si="0"/>
        <v>219663.37332000001</v>
      </c>
      <c r="F5" s="15">
        <f t="shared" si="0"/>
        <v>232023.39200000002</v>
      </c>
      <c r="G5" s="15">
        <f t="shared" si="0"/>
        <v>239067</v>
      </c>
      <c r="H5" s="15">
        <f t="shared" si="0"/>
        <v>260445.08562</v>
      </c>
      <c r="I5" s="15">
        <f t="shared" si="0"/>
        <v>271814.04891000001</v>
      </c>
      <c r="J5" s="15">
        <f t="shared" si="0"/>
        <v>304527.45199199999</v>
      </c>
      <c r="K5" s="15">
        <f t="shared" si="0"/>
        <v>318850.96300000005</v>
      </c>
      <c r="L5" s="15">
        <f t="shared" si="0"/>
        <v>356353.60600000003</v>
      </c>
      <c r="M5" s="15">
        <f>SUM(M6:M9)</f>
        <v>349092.49200000003</v>
      </c>
      <c r="N5" s="15">
        <f>SUM(N6:N9)</f>
        <v>355496.29966999998</v>
      </c>
      <c r="O5" s="15">
        <f>SUM(O6:O9)</f>
        <v>384809.04599999997</v>
      </c>
      <c r="P5" s="15">
        <f>SUM(P6:P9)</f>
        <v>391864.34399999998</v>
      </c>
      <c r="Q5" s="17" t="s">
        <v>8</v>
      </c>
      <c r="R5" s="65"/>
      <c r="S5" s="76"/>
      <c r="T5" s="76"/>
      <c r="U5" s="76"/>
      <c r="V5" s="75"/>
      <c r="W5" s="75"/>
      <c r="X5" s="75"/>
      <c r="Y5" s="75"/>
      <c r="Z5" s="75"/>
      <c r="AA5" s="75"/>
      <c r="AB5" s="75"/>
      <c r="AC5" s="75"/>
      <c r="AD5" s="75"/>
      <c r="AE5" s="75"/>
      <c r="AF5" s="75"/>
      <c r="AG5" s="75"/>
      <c r="AH5" s="75"/>
      <c r="AI5" s="75"/>
      <c r="AJ5" s="75"/>
      <c r="AK5" s="75"/>
      <c r="AL5" s="75"/>
      <c r="AM5" s="75"/>
      <c r="AN5" s="75"/>
      <c r="AO5" s="75"/>
      <c r="AP5" s="75"/>
      <c r="AQ5" s="75"/>
      <c r="AR5" s="75"/>
      <c r="AS5" s="75"/>
      <c r="AT5" s="75"/>
      <c r="AU5" s="75"/>
      <c r="AV5" s="75"/>
      <c r="AW5" s="75"/>
      <c r="AX5" s="75"/>
      <c r="AY5" s="75"/>
      <c r="AZ5" s="75"/>
      <c r="BA5" s="75"/>
      <c r="BB5" s="75"/>
      <c r="BC5" s="75"/>
      <c r="BD5" s="75"/>
      <c r="BE5" s="75"/>
      <c r="BF5" s="75"/>
      <c r="BG5" s="75"/>
      <c r="BH5" s="75"/>
      <c r="BI5" s="75"/>
      <c r="BJ5" s="75"/>
      <c r="BK5" s="75"/>
      <c r="BL5" s="75"/>
      <c r="BM5" s="75"/>
      <c r="BN5" s="75"/>
      <c r="BO5" s="75"/>
      <c r="BP5" s="75"/>
      <c r="BQ5" s="75"/>
      <c r="BR5" s="75"/>
      <c r="BS5" s="75"/>
      <c r="BT5" s="75"/>
      <c r="BU5" s="75"/>
      <c r="BV5" s="75"/>
      <c r="BW5" s="75"/>
      <c r="BX5" s="75"/>
      <c r="BY5" s="75"/>
      <c r="BZ5" s="75"/>
      <c r="CA5" s="75"/>
      <c r="CB5" s="75"/>
      <c r="CC5" s="75"/>
      <c r="CD5" s="75"/>
      <c r="CE5" s="75"/>
      <c r="CF5" s="75"/>
      <c r="CG5" s="75"/>
      <c r="CH5" s="75"/>
      <c r="CI5" s="75"/>
      <c r="CJ5" s="75"/>
      <c r="CK5" s="75"/>
      <c r="CL5" s="75"/>
      <c r="CM5" s="75"/>
      <c r="CN5" s="75"/>
      <c r="CO5" s="75"/>
      <c r="CP5" s="75"/>
      <c r="CQ5" s="75"/>
      <c r="CR5" s="75"/>
      <c r="CS5" s="75"/>
      <c r="CT5" s="75"/>
      <c r="CU5" s="75"/>
      <c r="CV5" s="75"/>
      <c r="CW5" s="75"/>
      <c r="CX5" s="75"/>
      <c r="CY5" s="75"/>
      <c r="CZ5" s="75"/>
      <c r="DA5" s="75"/>
      <c r="DB5" s="75"/>
      <c r="DC5" s="75"/>
      <c r="DD5" s="75"/>
      <c r="DE5" s="75"/>
      <c r="DF5" s="75"/>
      <c r="DG5" s="75"/>
      <c r="DH5" s="75"/>
      <c r="DI5" s="75"/>
      <c r="DJ5" s="75"/>
      <c r="DK5" s="75"/>
      <c r="DL5" s="75"/>
      <c r="DM5" s="75"/>
      <c r="DN5" s="75"/>
      <c r="DO5" s="75"/>
      <c r="DP5" s="75"/>
      <c r="DQ5" s="75"/>
      <c r="DR5" s="75"/>
      <c r="DS5" s="75"/>
      <c r="DT5" s="75"/>
      <c r="DU5" s="75"/>
      <c r="DV5" s="75"/>
      <c r="DW5" s="75"/>
      <c r="DX5" s="75"/>
      <c r="DY5" s="75"/>
      <c r="DZ5" s="75"/>
      <c r="EA5" s="75"/>
      <c r="EB5" s="75"/>
      <c r="EC5" s="75"/>
      <c r="ED5" s="75"/>
      <c r="EE5" s="75"/>
      <c r="EF5" s="75"/>
      <c r="EG5" s="75"/>
      <c r="EH5" s="75"/>
      <c r="EI5" s="75"/>
      <c r="EJ5" s="75"/>
      <c r="EK5" s="75"/>
      <c r="EL5" s="75"/>
      <c r="EM5" s="75"/>
      <c r="EN5" s="75"/>
      <c r="EO5" s="75"/>
      <c r="EP5" s="75"/>
      <c r="EQ5" s="75"/>
      <c r="ER5" s="75"/>
      <c r="ES5" s="75"/>
      <c r="ET5" s="75"/>
      <c r="EU5" s="75"/>
      <c r="EV5" s="75"/>
      <c r="EW5" s="75"/>
      <c r="EX5" s="75"/>
      <c r="EY5" s="75"/>
      <c r="EZ5" s="75"/>
      <c r="FA5" s="72"/>
    </row>
    <row r="6" spans="1:157" ht="15.75">
      <c r="A6" s="19" t="s">
        <v>9</v>
      </c>
      <c r="B6" s="20">
        <v>88944.971999999994</v>
      </c>
      <c r="C6" s="20">
        <v>95038.9</v>
      </c>
      <c r="D6" s="21">
        <f>103656318/1000</f>
        <v>103656.318</v>
      </c>
      <c r="E6" s="20">
        <f>111363653/1000</f>
        <v>111363.65300000001</v>
      </c>
      <c r="F6" s="20">
        <f>119971440/1000</f>
        <v>119971.44</v>
      </c>
      <c r="G6" s="20">
        <v>123902</v>
      </c>
      <c r="H6" s="20">
        <v>137096</v>
      </c>
      <c r="I6" s="20">
        <f>137727445.83/1000</f>
        <v>137727.44583000001</v>
      </c>
      <c r="J6" s="20">
        <f>158915802.98/1000</f>
        <v>158915.80297999998</v>
      </c>
      <c r="K6" s="20">
        <f>166585834/1000</f>
        <v>166585.834</v>
      </c>
      <c r="L6" s="20">
        <v>189659.94099999999</v>
      </c>
      <c r="M6" s="20">
        <f>202004521/1000</f>
        <v>202004.52100000001</v>
      </c>
      <c r="N6" s="20">
        <f>201693451.67/1000</f>
        <v>201693.45166999998</v>
      </c>
      <c r="O6" s="20">
        <f>204596354/1000</f>
        <v>204596.35399999999</v>
      </c>
      <c r="P6" s="20">
        <f>213006789/1000</f>
        <v>213006.78899999999</v>
      </c>
      <c r="Q6" s="22" t="s">
        <v>10</v>
      </c>
      <c r="R6" s="65"/>
      <c r="S6" s="78"/>
      <c r="T6" s="78"/>
      <c r="U6" s="78"/>
      <c r="V6" s="75"/>
    </row>
    <row r="7" spans="1:157" ht="15.75">
      <c r="A7" s="19" t="s">
        <v>11</v>
      </c>
      <c r="B7" s="24">
        <v>65606.008000000002</v>
      </c>
      <c r="C7" s="24">
        <v>71403.343999999997</v>
      </c>
      <c r="D7" s="25">
        <f>77813511/1000</f>
        <v>77813.510999999999</v>
      </c>
      <c r="E7" s="24">
        <f>79364129.32/1000</f>
        <v>79364.129319999993</v>
      </c>
      <c r="F7" s="24">
        <f>82565573/1000</f>
        <v>82565.573000000004</v>
      </c>
      <c r="G7" s="24">
        <v>85616</v>
      </c>
      <c r="H7" s="24">
        <f>91503609/1000</f>
        <v>91503.608999999997</v>
      </c>
      <c r="I7" s="24">
        <f>100920014.08/1000</f>
        <v>100920.01407999999</v>
      </c>
      <c r="J7" s="24">
        <f>104096665.01/1000</f>
        <v>104096.66501000001</v>
      </c>
      <c r="K7" s="24">
        <f>109946317/1000</f>
        <v>109946.317</v>
      </c>
      <c r="L7" s="24">
        <v>118499.515</v>
      </c>
      <c r="M7" s="24">
        <f>100990373/1000</f>
        <v>100990.37300000001</v>
      </c>
      <c r="N7" s="24">
        <f>105735938/1000</f>
        <v>105735.93799999999</v>
      </c>
      <c r="O7" s="24">
        <f>123295381/1000</f>
        <v>123295.38099999999</v>
      </c>
      <c r="P7" s="24">
        <f>127342321/1000</f>
        <v>127342.321</v>
      </c>
      <c r="Q7" s="22" t="s">
        <v>12</v>
      </c>
      <c r="R7" s="65"/>
      <c r="S7" s="78"/>
      <c r="T7" s="78"/>
      <c r="U7" s="78"/>
      <c r="V7" s="75"/>
    </row>
    <row r="8" spans="1:157" ht="15.75">
      <c r="A8" s="19" t="s">
        <v>13</v>
      </c>
      <c r="B8" s="20">
        <v>29244.899000000001</v>
      </c>
      <c r="C8" s="20">
        <v>25529.73</v>
      </c>
      <c r="D8" s="21">
        <f>26612399/1000</f>
        <v>26612.399000000001</v>
      </c>
      <c r="E8" s="20">
        <f>25667565/1000</f>
        <v>25667.564999999999</v>
      </c>
      <c r="F8" s="20">
        <f>26271621/1000</f>
        <v>26271.620999999999</v>
      </c>
      <c r="G8" s="20">
        <v>26534</v>
      </c>
      <c r="H8" s="20">
        <f>28589806.62/1000</f>
        <v>28589.806619999999</v>
      </c>
      <c r="I8" s="20">
        <f>30685177/1000</f>
        <v>30685.177</v>
      </c>
      <c r="J8" s="20">
        <f>31176746.002/1000</f>
        <v>31176.746002</v>
      </c>
      <c r="K8" s="20">
        <f>29469195/1000</f>
        <v>29469.195</v>
      </c>
      <c r="L8" s="20">
        <v>32819.432999999997</v>
      </c>
      <c r="M8" s="20">
        <f>29747172/1000</f>
        <v>29747.171999999999</v>
      </c>
      <c r="N8" s="20">
        <f>31329341/1000</f>
        <v>31329.341</v>
      </c>
      <c r="O8" s="20">
        <f>39469193/1000</f>
        <v>39469.192999999999</v>
      </c>
      <c r="P8" s="20">
        <f>36135324/1000</f>
        <v>36135.324000000001</v>
      </c>
      <c r="Q8" s="22" t="s">
        <v>14</v>
      </c>
      <c r="R8" s="65"/>
      <c r="S8" s="78"/>
      <c r="T8" s="78"/>
      <c r="U8" s="78"/>
      <c r="V8" s="75"/>
    </row>
    <row r="9" spans="1:157" ht="15.75">
      <c r="A9" s="26" t="s">
        <v>15</v>
      </c>
      <c r="B9" s="24">
        <v>3314.3870000000002</v>
      </c>
      <c r="C9" s="24">
        <v>3750.5839999999998</v>
      </c>
      <c r="D9" s="25">
        <f>3807099/1000</f>
        <v>3807.0990000000002</v>
      </c>
      <c r="E9" s="24">
        <f>3268026/1000</f>
        <v>3268.0259999999998</v>
      </c>
      <c r="F9" s="24">
        <f>3214758/1000</f>
        <v>3214.7579999999998</v>
      </c>
      <c r="G9" s="24">
        <v>3015</v>
      </c>
      <c r="H9" s="24">
        <f>3255670/1000</f>
        <v>3255.67</v>
      </c>
      <c r="I9" s="24">
        <f>2481412/1000</f>
        <v>2481.4119999999998</v>
      </c>
      <c r="J9" s="24">
        <f>10338238/1000</f>
        <v>10338.237999999999</v>
      </c>
      <c r="K9" s="24">
        <f>12849617/1000</f>
        <v>12849.617</v>
      </c>
      <c r="L9" s="24">
        <v>15374.717000000001</v>
      </c>
      <c r="M9" s="24">
        <f>16350426/1000</f>
        <v>16350.425999999999</v>
      </c>
      <c r="N9" s="24">
        <f>16737569/1000</f>
        <v>16737.569</v>
      </c>
      <c r="O9" s="24">
        <f>17448118/1000</f>
        <v>17448.117999999999</v>
      </c>
      <c r="P9" s="24">
        <f>15379910/1000</f>
        <v>15379.91</v>
      </c>
      <c r="Q9" s="27" t="s">
        <v>16</v>
      </c>
      <c r="R9" s="65"/>
      <c r="S9" s="78"/>
      <c r="T9" s="78"/>
      <c r="U9" s="78"/>
      <c r="V9" s="75"/>
    </row>
    <row r="10" spans="1:157" s="18" customFormat="1" ht="15.75">
      <c r="A10" s="14" t="s">
        <v>17</v>
      </c>
      <c r="B10" s="28">
        <v>100</v>
      </c>
      <c r="C10" s="28">
        <v>100</v>
      </c>
      <c r="D10" s="29">
        <f t="shared" ref="D10:L10" si="1">D5/D5*100</f>
        <v>100</v>
      </c>
      <c r="E10" s="29">
        <f t="shared" si="1"/>
        <v>100</v>
      </c>
      <c r="F10" s="29">
        <f t="shared" si="1"/>
        <v>100</v>
      </c>
      <c r="G10" s="29">
        <f t="shared" si="1"/>
        <v>100</v>
      </c>
      <c r="H10" s="29">
        <f t="shared" si="1"/>
        <v>100</v>
      </c>
      <c r="I10" s="29">
        <f t="shared" si="1"/>
        <v>100</v>
      </c>
      <c r="J10" s="29">
        <f t="shared" si="1"/>
        <v>100</v>
      </c>
      <c r="K10" s="29">
        <f t="shared" si="1"/>
        <v>100</v>
      </c>
      <c r="L10" s="29">
        <f t="shared" si="1"/>
        <v>100</v>
      </c>
      <c r="M10" s="29">
        <f>M5/M5*100</f>
        <v>100</v>
      </c>
      <c r="N10" s="29">
        <f>N5/N5*100</f>
        <v>100</v>
      </c>
      <c r="O10" s="29">
        <f>O5/O5*100</f>
        <v>100</v>
      </c>
      <c r="P10" s="29">
        <f>P5/P5*100</f>
        <v>100</v>
      </c>
      <c r="Q10" s="30" t="s">
        <v>0</v>
      </c>
      <c r="R10" s="65"/>
      <c r="S10" s="76"/>
      <c r="T10" s="76"/>
      <c r="U10" s="76"/>
      <c r="V10" s="75"/>
      <c r="W10" s="75"/>
      <c r="X10" s="75"/>
      <c r="Y10" s="75"/>
      <c r="Z10" s="75"/>
      <c r="AA10" s="75"/>
      <c r="AB10" s="75"/>
      <c r="AC10" s="75"/>
      <c r="AD10" s="75"/>
      <c r="AE10" s="75"/>
      <c r="AF10" s="75"/>
      <c r="AG10" s="75"/>
      <c r="AH10" s="75"/>
      <c r="AI10" s="75"/>
      <c r="AJ10" s="75"/>
      <c r="AK10" s="75"/>
      <c r="AL10" s="75"/>
      <c r="AM10" s="75"/>
      <c r="AN10" s="75"/>
      <c r="AO10" s="75"/>
      <c r="AP10" s="75"/>
      <c r="AQ10" s="75"/>
      <c r="AR10" s="75"/>
      <c r="AS10" s="75"/>
      <c r="AT10" s="75"/>
      <c r="AU10" s="75"/>
      <c r="AV10" s="75"/>
      <c r="AW10" s="75"/>
      <c r="AX10" s="75"/>
      <c r="AY10" s="75"/>
      <c r="AZ10" s="75"/>
      <c r="BA10" s="75"/>
      <c r="BB10" s="75"/>
      <c r="BC10" s="75"/>
      <c r="BD10" s="75"/>
      <c r="BE10" s="75"/>
      <c r="BF10" s="75"/>
      <c r="BG10" s="75"/>
      <c r="BH10" s="75"/>
      <c r="BI10" s="75"/>
      <c r="BJ10" s="75"/>
      <c r="BK10" s="75"/>
      <c r="BL10" s="75"/>
      <c r="BM10" s="75"/>
      <c r="BN10" s="75"/>
      <c r="BO10" s="75"/>
      <c r="BP10" s="75"/>
      <c r="BQ10" s="75"/>
      <c r="BR10" s="75"/>
      <c r="BS10" s="75"/>
      <c r="BT10" s="75"/>
      <c r="BU10" s="75"/>
      <c r="BV10" s="75"/>
      <c r="BW10" s="75"/>
      <c r="BX10" s="75"/>
      <c r="BY10" s="75"/>
      <c r="BZ10" s="75"/>
      <c r="CA10" s="75"/>
      <c r="CB10" s="75"/>
      <c r="CC10" s="75"/>
      <c r="CD10" s="75"/>
      <c r="CE10" s="75"/>
      <c r="CF10" s="75"/>
      <c r="CG10" s="75"/>
      <c r="CH10" s="75"/>
      <c r="CI10" s="75"/>
      <c r="CJ10" s="75"/>
      <c r="CK10" s="75"/>
      <c r="CL10" s="75"/>
      <c r="CM10" s="75"/>
      <c r="CN10" s="75"/>
      <c r="CO10" s="75"/>
      <c r="CP10" s="75"/>
      <c r="CQ10" s="75"/>
      <c r="CR10" s="75"/>
      <c r="CS10" s="75"/>
      <c r="CT10" s="75"/>
      <c r="CU10" s="75"/>
      <c r="CV10" s="75"/>
      <c r="CW10" s="75"/>
      <c r="CX10" s="75"/>
      <c r="CY10" s="75"/>
      <c r="CZ10" s="75"/>
      <c r="DA10" s="75"/>
      <c r="DB10" s="75"/>
      <c r="DC10" s="75"/>
      <c r="DD10" s="75"/>
      <c r="DE10" s="75"/>
      <c r="DF10" s="75"/>
      <c r="DG10" s="75"/>
      <c r="DH10" s="75"/>
      <c r="DI10" s="75"/>
      <c r="DJ10" s="75"/>
      <c r="DK10" s="75"/>
      <c r="DL10" s="75"/>
      <c r="DM10" s="75"/>
      <c r="DN10" s="75"/>
      <c r="DO10" s="75"/>
      <c r="DP10" s="75"/>
      <c r="DQ10" s="75"/>
      <c r="DR10" s="75"/>
      <c r="DS10" s="75"/>
      <c r="DT10" s="75"/>
      <c r="DU10" s="75"/>
      <c r="DV10" s="75"/>
      <c r="DW10" s="75"/>
      <c r="DX10" s="75"/>
      <c r="DY10" s="75"/>
      <c r="DZ10" s="75"/>
      <c r="EA10" s="75"/>
      <c r="EB10" s="75"/>
      <c r="EC10" s="75"/>
      <c r="ED10" s="75"/>
      <c r="EE10" s="75"/>
      <c r="EF10" s="75"/>
      <c r="EG10" s="75"/>
      <c r="EH10" s="75"/>
      <c r="EI10" s="75"/>
      <c r="EJ10" s="75"/>
      <c r="EK10" s="75"/>
      <c r="EL10" s="75"/>
      <c r="EM10" s="75"/>
      <c r="EN10" s="75"/>
      <c r="EO10" s="75"/>
      <c r="EP10" s="75"/>
      <c r="EQ10" s="75"/>
      <c r="ER10" s="75"/>
      <c r="ES10" s="75"/>
      <c r="ET10" s="75"/>
      <c r="EU10" s="75"/>
      <c r="EV10" s="75"/>
      <c r="EW10" s="75"/>
      <c r="EX10" s="75"/>
      <c r="EY10" s="75"/>
      <c r="EZ10" s="75"/>
      <c r="FA10" s="72"/>
    </row>
    <row r="11" spans="1:157" ht="15.75">
      <c r="A11" s="19" t="s">
        <v>9</v>
      </c>
      <c r="B11" s="31">
        <v>47.536126104379498</v>
      </c>
      <c r="C11" s="31">
        <v>48.557969490670558</v>
      </c>
      <c r="D11" s="32">
        <f>D6/D5*100</f>
        <v>48.920027954027148</v>
      </c>
      <c r="E11" s="32">
        <f>E6/E5*100</f>
        <v>50.697415466605023</v>
      </c>
      <c r="F11" s="32">
        <f>F6/F5*100</f>
        <v>51.706614133112915</v>
      </c>
      <c r="G11" s="32">
        <f>G6/G5*100</f>
        <v>51.827312008767414</v>
      </c>
      <c r="H11" s="32">
        <f t="shared" ref="H11:M11" si="2">H6/H5*100</f>
        <v>52.639119557060354</v>
      </c>
      <c r="I11" s="32">
        <f t="shared" si="2"/>
        <v>50.669730421330343</v>
      </c>
      <c r="J11" s="32">
        <f t="shared" si="2"/>
        <v>52.184393210033079</v>
      </c>
      <c r="K11" s="32">
        <f t="shared" si="2"/>
        <v>52.245673788352335</v>
      </c>
      <c r="L11" s="32">
        <f t="shared" si="2"/>
        <v>53.222399831699754</v>
      </c>
      <c r="M11" s="32">
        <f t="shared" si="2"/>
        <v>57.865616027055658</v>
      </c>
      <c r="N11" s="32">
        <f>N6/N5*100</f>
        <v>56.735738700298121</v>
      </c>
      <c r="O11" s="32">
        <f>O6/O5*100</f>
        <v>53.168280768534736</v>
      </c>
      <c r="P11" s="32">
        <f>P6/P5*100</f>
        <v>54.3572775276538</v>
      </c>
      <c r="Q11" s="22" t="s">
        <v>10</v>
      </c>
      <c r="R11" s="65"/>
      <c r="S11" s="78"/>
      <c r="T11" s="78"/>
      <c r="U11" s="78"/>
      <c r="V11" s="75"/>
    </row>
    <row r="12" spans="1:157" ht="15.75">
      <c r="A12" s="19" t="s">
        <v>11</v>
      </c>
      <c r="B12" s="33">
        <v>35.062751714542486</v>
      </c>
      <c r="C12" s="33">
        <v>36.481918451116904</v>
      </c>
      <c r="D12" s="34">
        <f t="shared" ref="D12:P12" si="3">D7/D5*100</f>
        <v>36.723657629060291</v>
      </c>
      <c r="E12" s="34">
        <f t="shared" si="3"/>
        <v>36.129887345572328</v>
      </c>
      <c r="F12" s="34">
        <f t="shared" si="3"/>
        <v>35.585021099941507</v>
      </c>
      <c r="G12" s="34">
        <f t="shared" si="3"/>
        <v>35.812554639494365</v>
      </c>
      <c r="H12" s="34">
        <f t="shared" si="3"/>
        <v>35.133551774329689</v>
      </c>
      <c r="I12" s="34">
        <f t="shared" si="3"/>
        <v>37.128328901577667</v>
      </c>
      <c r="J12" s="34">
        <f t="shared" si="3"/>
        <v>34.18301513675511</v>
      </c>
      <c r="K12" s="34">
        <f t="shared" si="3"/>
        <v>34.482040124809025</v>
      </c>
      <c r="L12" s="34">
        <f t="shared" si="3"/>
        <v>33.253350886534875</v>
      </c>
      <c r="M12" s="34">
        <f t="shared" si="3"/>
        <v>28.929402755531047</v>
      </c>
      <c r="N12" s="34">
        <f t="shared" si="3"/>
        <v>29.743189478526926</v>
      </c>
      <c r="O12" s="34">
        <f t="shared" si="3"/>
        <v>32.040665956693751</v>
      </c>
      <c r="P12" s="34">
        <f t="shared" si="3"/>
        <v>32.496531758959932</v>
      </c>
      <c r="Q12" s="22" t="s">
        <v>12</v>
      </c>
      <c r="R12" s="65"/>
      <c r="S12" s="78"/>
      <c r="T12" s="78"/>
      <c r="U12" s="78"/>
      <c r="V12" s="75"/>
    </row>
    <row r="13" spans="1:157" ht="15.75">
      <c r="A13" s="19" t="s">
        <v>13</v>
      </c>
      <c r="B13" s="20">
        <v>15.629767209031709</v>
      </c>
      <c r="C13" s="20">
        <v>13.043836265414024</v>
      </c>
      <c r="D13" s="32">
        <f t="shared" ref="D13:P13" si="4">D8/D5*100</f>
        <v>12.559575027580319</v>
      </c>
      <c r="E13" s="32">
        <f t="shared" si="4"/>
        <v>11.684954397294147</v>
      </c>
      <c r="F13" s="32">
        <f t="shared" si="4"/>
        <v>11.322832915053667</v>
      </c>
      <c r="G13" s="32">
        <f t="shared" si="4"/>
        <v>11.098980620495508</v>
      </c>
      <c r="H13" s="32">
        <f t="shared" si="4"/>
        <v>10.977287804045453</v>
      </c>
      <c r="I13" s="32">
        <f t="shared" si="4"/>
        <v>11.289032749797318</v>
      </c>
      <c r="J13" s="32">
        <f t="shared" si="4"/>
        <v>10.237745660716007</v>
      </c>
      <c r="K13" s="32">
        <f t="shared" si="4"/>
        <v>9.242310176118238</v>
      </c>
      <c r="L13" s="32">
        <f t="shared" si="4"/>
        <v>9.2097939932169499</v>
      </c>
      <c r="M13" s="32">
        <f t="shared" si="4"/>
        <v>8.5212866737907369</v>
      </c>
      <c r="N13" s="32">
        <f t="shared" si="4"/>
        <v>8.812845880275658</v>
      </c>
      <c r="O13" s="32">
        <f t="shared" si="4"/>
        <v>10.256825667242762</v>
      </c>
      <c r="P13" s="32">
        <f t="shared" si="4"/>
        <v>9.2213860621113319</v>
      </c>
      <c r="Q13" s="22" t="s">
        <v>14</v>
      </c>
      <c r="R13" s="65"/>
      <c r="S13" s="78"/>
      <c r="T13" s="78"/>
      <c r="U13" s="78"/>
      <c r="V13" s="75"/>
    </row>
    <row r="14" spans="1:157" ht="15.75">
      <c r="A14" s="26" t="s">
        <v>18</v>
      </c>
      <c r="B14" s="35">
        <v>1.7713549720462696</v>
      </c>
      <c r="C14" s="35">
        <v>1.9162757927984977</v>
      </c>
      <c r="D14" s="36">
        <f t="shared" ref="D14:P14" si="5">D9/D5*100</f>
        <v>1.7967393893322434</v>
      </c>
      <c r="E14" s="36">
        <f t="shared" si="5"/>
        <v>1.4877427905284977</v>
      </c>
      <c r="F14" s="36">
        <f t="shared" si="5"/>
        <v>1.3855318518918986</v>
      </c>
      <c r="G14" s="36">
        <f t="shared" si="5"/>
        <v>1.261152731242706</v>
      </c>
      <c r="H14" s="36">
        <f t="shared" si="5"/>
        <v>1.2500408645644998</v>
      </c>
      <c r="I14" s="36">
        <f t="shared" si="5"/>
        <v>0.9129079272946693</v>
      </c>
      <c r="J14" s="36">
        <f t="shared" si="5"/>
        <v>3.3948459924958057</v>
      </c>
      <c r="K14" s="36">
        <f t="shared" si="5"/>
        <v>4.0299759107203945</v>
      </c>
      <c r="L14" s="36">
        <f t="shared" si="5"/>
        <v>4.3144552885484195</v>
      </c>
      <c r="M14" s="36">
        <f t="shared" si="5"/>
        <v>4.6836945436225532</v>
      </c>
      <c r="N14" s="36">
        <f t="shared" si="5"/>
        <v>4.7082259408992853</v>
      </c>
      <c r="O14" s="36">
        <f t="shared" si="5"/>
        <v>4.5342276075287478</v>
      </c>
      <c r="P14" s="36">
        <f t="shared" si="5"/>
        <v>3.9248046512749326</v>
      </c>
      <c r="Q14" s="37" t="s">
        <v>16</v>
      </c>
      <c r="R14" s="65"/>
      <c r="S14" s="78"/>
      <c r="T14" s="78"/>
      <c r="U14" s="78"/>
      <c r="V14" s="75"/>
    </row>
    <row r="15" spans="1:157" s="18" customFormat="1" ht="15.75">
      <c r="A15" s="14" t="s">
        <v>1</v>
      </c>
      <c r="B15" s="38">
        <v>7.9248571813147315</v>
      </c>
      <c r="C15" s="38">
        <v>4.6027896726949482</v>
      </c>
      <c r="D15" s="39">
        <f t="shared" ref="D15:P19" si="6">(D5-C5)/C5*100</f>
        <v>8.2600437911709541</v>
      </c>
      <c r="E15" s="39">
        <f t="shared" si="6"/>
        <v>3.6689183122470457</v>
      </c>
      <c r="F15" s="39">
        <f t="shared" si="6"/>
        <v>5.6267999954613499</v>
      </c>
      <c r="G15" s="39">
        <f t="shared" si="6"/>
        <v>3.0357318455201181</v>
      </c>
      <c r="H15" s="39">
        <f t="shared" si="6"/>
        <v>8.9422988618253463</v>
      </c>
      <c r="I15" s="39">
        <f t="shared" si="6"/>
        <v>4.3652055338021603</v>
      </c>
      <c r="J15" s="39">
        <f t="shared" si="6"/>
        <v>12.035214225748746</v>
      </c>
      <c r="K15" s="39">
        <f t="shared" si="6"/>
        <v>4.7035204590935669</v>
      </c>
      <c r="L15" s="39">
        <f t="shared" si="6"/>
        <v>11.76180954485622</v>
      </c>
      <c r="M15" s="39">
        <f t="shared" si="6"/>
        <v>-2.0376148515808765</v>
      </c>
      <c r="N15" s="39">
        <f t="shared" si="6"/>
        <v>1.834415754206467</v>
      </c>
      <c r="O15" s="39">
        <f t="shared" si="6"/>
        <v>8.2455840910891123</v>
      </c>
      <c r="P15" s="39">
        <f t="shared" si="6"/>
        <v>1.8334542998243368</v>
      </c>
      <c r="Q15" s="17" t="s">
        <v>2</v>
      </c>
      <c r="R15" s="65"/>
      <c r="S15" s="76"/>
      <c r="T15" s="76"/>
      <c r="U15" s="76"/>
      <c r="V15" s="75"/>
      <c r="W15" s="75"/>
      <c r="X15" s="75"/>
      <c r="Y15" s="75"/>
      <c r="Z15" s="75"/>
      <c r="AA15" s="75"/>
      <c r="AB15" s="75"/>
      <c r="AC15" s="75"/>
      <c r="AD15" s="75"/>
      <c r="AE15" s="75"/>
      <c r="AF15" s="75"/>
      <c r="AG15" s="75"/>
      <c r="AH15" s="75"/>
      <c r="AI15" s="75"/>
      <c r="AJ15" s="75"/>
      <c r="AK15" s="75"/>
      <c r="AL15" s="75"/>
      <c r="AM15" s="75"/>
      <c r="AN15" s="75"/>
      <c r="AO15" s="75"/>
      <c r="AP15" s="75"/>
      <c r="AQ15" s="75"/>
      <c r="AR15" s="75"/>
      <c r="AS15" s="75"/>
      <c r="AT15" s="75"/>
      <c r="AU15" s="75"/>
      <c r="AV15" s="75"/>
      <c r="AW15" s="75"/>
      <c r="AX15" s="75"/>
      <c r="AY15" s="75"/>
      <c r="AZ15" s="75"/>
      <c r="BA15" s="75"/>
      <c r="BB15" s="75"/>
      <c r="BC15" s="75"/>
      <c r="BD15" s="75"/>
      <c r="BE15" s="75"/>
      <c r="BF15" s="75"/>
      <c r="BG15" s="75"/>
      <c r="BH15" s="75"/>
      <c r="BI15" s="75"/>
      <c r="BJ15" s="75"/>
      <c r="BK15" s="75"/>
      <c r="BL15" s="75"/>
      <c r="BM15" s="75"/>
      <c r="BN15" s="75"/>
      <c r="BO15" s="75"/>
      <c r="BP15" s="75"/>
      <c r="BQ15" s="75"/>
      <c r="BR15" s="75"/>
      <c r="BS15" s="75"/>
      <c r="BT15" s="75"/>
      <c r="BU15" s="75"/>
      <c r="BV15" s="75"/>
      <c r="BW15" s="75"/>
      <c r="BX15" s="75"/>
      <c r="BY15" s="75"/>
      <c r="BZ15" s="75"/>
      <c r="CA15" s="75"/>
      <c r="CB15" s="75"/>
      <c r="CC15" s="75"/>
      <c r="CD15" s="75"/>
      <c r="CE15" s="75"/>
      <c r="CF15" s="75"/>
      <c r="CG15" s="75"/>
      <c r="CH15" s="75"/>
      <c r="CI15" s="75"/>
      <c r="CJ15" s="75"/>
      <c r="CK15" s="75"/>
      <c r="CL15" s="75"/>
      <c r="CM15" s="75"/>
      <c r="CN15" s="75"/>
      <c r="CO15" s="75"/>
      <c r="CP15" s="75"/>
      <c r="CQ15" s="75"/>
      <c r="CR15" s="75"/>
      <c r="CS15" s="75"/>
      <c r="CT15" s="75"/>
      <c r="CU15" s="75"/>
      <c r="CV15" s="75"/>
      <c r="CW15" s="75"/>
      <c r="CX15" s="75"/>
      <c r="CY15" s="75"/>
      <c r="CZ15" s="75"/>
      <c r="DA15" s="75"/>
      <c r="DB15" s="75"/>
      <c r="DC15" s="75"/>
      <c r="DD15" s="75"/>
      <c r="DE15" s="75"/>
      <c r="DF15" s="75"/>
      <c r="DG15" s="75"/>
      <c r="DH15" s="75"/>
      <c r="DI15" s="75"/>
      <c r="DJ15" s="75"/>
      <c r="DK15" s="75"/>
      <c r="DL15" s="75"/>
      <c r="DM15" s="75"/>
      <c r="DN15" s="75"/>
      <c r="DO15" s="75"/>
      <c r="DP15" s="75"/>
      <c r="DQ15" s="75"/>
      <c r="DR15" s="75"/>
      <c r="DS15" s="75"/>
      <c r="DT15" s="75"/>
      <c r="DU15" s="75"/>
      <c r="DV15" s="75"/>
      <c r="DW15" s="75"/>
      <c r="DX15" s="75"/>
      <c r="DY15" s="75"/>
      <c r="DZ15" s="75"/>
      <c r="EA15" s="75"/>
      <c r="EB15" s="75"/>
      <c r="EC15" s="75"/>
      <c r="ED15" s="75"/>
      <c r="EE15" s="75"/>
      <c r="EF15" s="75"/>
      <c r="EG15" s="75"/>
      <c r="EH15" s="75"/>
      <c r="EI15" s="75"/>
      <c r="EJ15" s="75"/>
      <c r="EK15" s="75"/>
      <c r="EL15" s="75"/>
      <c r="EM15" s="75"/>
      <c r="EN15" s="75"/>
      <c r="EO15" s="75"/>
      <c r="EP15" s="75"/>
      <c r="EQ15" s="75"/>
      <c r="ER15" s="75"/>
      <c r="ES15" s="75"/>
      <c r="ET15" s="75"/>
      <c r="EU15" s="75"/>
      <c r="EV15" s="75"/>
      <c r="EW15" s="75"/>
      <c r="EX15" s="75"/>
      <c r="EY15" s="75"/>
      <c r="EZ15" s="75"/>
      <c r="FA15" s="72"/>
    </row>
    <row r="16" spans="1:157" ht="15.75">
      <c r="A16" s="19" t="s">
        <v>9</v>
      </c>
      <c r="B16" s="31">
        <v>12.642419505982822</v>
      </c>
      <c r="C16" s="31">
        <v>6.8513462458563712</v>
      </c>
      <c r="D16" s="32">
        <f t="shared" si="6"/>
        <v>9.0672535140873958</v>
      </c>
      <c r="E16" s="32">
        <f t="shared" si="6"/>
        <v>7.4354705518287902</v>
      </c>
      <c r="F16" s="32">
        <f t="shared" si="6"/>
        <v>7.729440233071375</v>
      </c>
      <c r="G16" s="32">
        <f t="shared" si="6"/>
        <v>3.2762464133130331</v>
      </c>
      <c r="H16" s="32">
        <f>(H6-G6)/G6*100</f>
        <v>10.648738519152232</v>
      </c>
      <c r="I16" s="32">
        <f>(I6-H6)/H6*100</f>
        <v>0.46058661813620488</v>
      </c>
      <c r="J16" s="32">
        <f t="shared" si="6"/>
        <v>15.38426638373387</v>
      </c>
      <c r="K16" s="32">
        <f t="shared" si="6"/>
        <v>4.8264746967709184</v>
      </c>
      <c r="L16" s="32">
        <f t="shared" si="6"/>
        <v>13.851181967849671</v>
      </c>
      <c r="M16" s="32">
        <f t="shared" si="6"/>
        <v>6.5087967100021489</v>
      </c>
      <c r="N16" s="32">
        <f t="shared" si="6"/>
        <v>-0.15399127131418389</v>
      </c>
      <c r="O16" s="32">
        <f t="shared" si="6"/>
        <v>1.4392645403032642</v>
      </c>
      <c r="P16" s="32">
        <f t="shared" si="6"/>
        <v>4.1107452970545104</v>
      </c>
      <c r="Q16" s="22" t="s">
        <v>10</v>
      </c>
      <c r="R16" s="65"/>
      <c r="S16" s="78"/>
      <c r="T16" s="78"/>
      <c r="U16" s="78"/>
      <c r="V16" s="75"/>
    </row>
    <row r="17" spans="1:157" ht="18.75" customHeight="1">
      <c r="A17" s="19" t="s">
        <v>11</v>
      </c>
      <c r="B17" s="40">
        <v>6.9122912404791865</v>
      </c>
      <c r="C17" s="40">
        <v>8.8365931364090855</v>
      </c>
      <c r="D17" s="34">
        <f t="shared" si="6"/>
        <v>8.9774044756223201</v>
      </c>
      <c r="E17" s="34">
        <f t="shared" si="6"/>
        <v>1.9927366084278013</v>
      </c>
      <c r="F17" s="34">
        <f t="shared" si="6"/>
        <v>4.0338673244831247</v>
      </c>
      <c r="G17" s="34">
        <f t="shared" si="6"/>
        <v>3.6945507542229445</v>
      </c>
      <c r="H17" s="34">
        <f t="shared" si="6"/>
        <v>6.8767625210241032</v>
      </c>
      <c r="I17" s="34">
        <f>(I7-H7)/H7*100</f>
        <v>10.290747198834525</v>
      </c>
      <c r="J17" s="34">
        <f t="shared" si="6"/>
        <v>3.1476917229538479</v>
      </c>
      <c r="K17" s="34">
        <f t="shared" si="6"/>
        <v>5.6194422649736557</v>
      </c>
      <c r="L17" s="34">
        <f t="shared" si="6"/>
        <v>7.7794311200074153</v>
      </c>
      <c r="M17" s="34">
        <f t="shared" si="6"/>
        <v>-14.775707731799571</v>
      </c>
      <c r="N17" s="34">
        <f t="shared" si="6"/>
        <v>4.6990271042963538</v>
      </c>
      <c r="O17" s="34">
        <f>(O7-N7)/N7*100</f>
        <v>16.606882515195544</v>
      </c>
      <c r="P17" s="34">
        <f>(P7-O7)/O7*100</f>
        <v>3.2823127413021278</v>
      </c>
      <c r="Q17" s="22" t="s">
        <v>12</v>
      </c>
      <c r="R17" s="65"/>
      <c r="S17" s="78"/>
      <c r="T17" s="78"/>
      <c r="U17" s="78"/>
      <c r="V17" s="75"/>
    </row>
    <row r="18" spans="1:157" ht="18.75" customHeight="1">
      <c r="A18" s="19" t="s">
        <v>13</v>
      </c>
      <c r="B18" s="31">
        <v>-2.0756976724640546</v>
      </c>
      <c r="C18" s="31">
        <v>-12.703647907965083</v>
      </c>
      <c r="D18" s="32">
        <f t="shared" si="6"/>
        <v>4.2408164912045754</v>
      </c>
      <c r="E18" s="32">
        <f t="shared" si="6"/>
        <v>-3.5503526006806165</v>
      </c>
      <c r="F18" s="32">
        <f t="shared" si="6"/>
        <v>2.3533825666751036</v>
      </c>
      <c r="G18" s="32">
        <f t="shared" si="6"/>
        <v>0.99871644768322754</v>
      </c>
      <c r="H18" s="32">
        <f t="shared" si="6"/>
        <v>7.7478202306474691</v>
      </c>
      <c r="I18" s="32">
        <f>(I8-H8)/H8*100</f>
        <v>7.3290820321050516</v>
      </c>
      <c r="J18" s="32">
        <f t="shared" si="6"/>
        <v>1.6019754489276703</v>
      </c>
      <c r="K18" s="32">
        <f t="shared" si="6"/>
        <v>-5.4770019997932433</v>
      </c>
      <c r="L18" s="32">
        <f t="shared" si="6"/>
        <v>11.368610510059735</v>
      </c>
      <c r="M18" s="32">
        <f t="shared" si="6"/>
        <v>-9.3611032219843615</v>
      </c>
      <c r="N18" s="32">
        <f t="shared" si="6"/>
        <v>5.3187207173845019</v>
      </c>
      <c r="O18" s="32">
        <f t="shared" si="6"/>
        <v>25.981561501724531</v>
      </c>
      <c r="P18" s="32">
        <f t="shared" si="6"/>
        <v>-8.4467625167811224</v>
      </c>
      <c r="Q18" s="22" t="s">
        <v>14</v>
      </c>
      <c r="R18" s="66"/>
      <c r="S18" s="78"/>
      <c r="T18" s="78"/>
      <c r="U18" s="78"/>
      <c r="V18" s="75"/>
    </row>
    <row r="19" spans="1:157" ht="18.75" customHeight="1">
      <c r="A19" s="41" t="s">
        <v>18</v>
      </c>
      <c r="B19" s="42">
        <v>4.2421343176365767</v>
      </c>
      <c r="C19" s="42">
        <v>13.160714183346714</v>
      </c>
      <c r="D19" s="43">
        <f t="shared" si="6"/>
        <v>1.5068320026961224</v>
      </c>
      <c r="E19" s="43">
        <f t="shared" si="6"/>
        <v>-14.159679062719416</v>
      </c>
      <c r="F19" s="43">
        <f t="shared" si="6"/>
        <v>-1.6299747921222179</v>
      </c>
      <c r="G19" s="43">
        <f t="shared" si="6"/>
        <v>-6.2137803218780334</v>
      </c>
      <c r="H19" s="43">
        <f t="shared" si="6"/>
        <v>7.9824212271973494</v>
      </c>
      <c r="I19" s="43">
        <f>(I9-H9)/H9*100</f>
        <v>-23.781832925327208</v>
      </c>
      <c r="J19" s="43">
        <f t="shared" si="6"/>
        <v>316.627226756379</v>
      </c>
      <c r="K19" s="43">
        <f t="shared" si="6"/>
        <v>24.292137596367979</v>
      </c>
      <c r="L19" s="43">
        <f t="shared" si="6"/>
        <v>19.651169369483934</v>
      </c>
      <c r="M19" s="43">
        <f t="shared" si="6"/>
        <v>6.3461916079495886</v>
      </c>
      <c r="N19" s="43">
        <f t="shared" si="6"/>
        <v>2.3677854020439595</v>
      </c>
      <c r="O19" s="43">
        <f t="shared" si="6"/>
        <v>4.2452341794677535</v>
      </c>
      <c r="P19" s="43">
        <f t="shared" si="6"/>
        <v>-11.85347325138447</v>
      </c>
      <c r="Q19" s="44" t="s">
        <v>16</v>
      </c>
      <c r="R19" s="67"/>
      <c r="S19" s="78"/>
      <c r="T19" s="78"/>
      <c r="U19" s="78"/>
      <c r="V19" s="75"/>
    </row>
    <row r="20" spans="1:157" ht="18.75" customHeight="1">
      <c r="A20" s="45" t="s">
        <v>19</v>
      </c>
      <c r="B20" s="46"/>
      <c r="C20" s="46"/>
      <c r="D20" s="47"/>
      <c r="E20" s="47"/>
      <c r="F20" s="47"/>
      <c r="G20" s="47"/>
      <c r="H20" s="47"/>
      <c r="I20" s="47"/>
      <c r="J20" s="47"/>
      <c r="K20" s="47"/>
      <c r="L20" s="47"/>
      <c r="M20" s="47"/>
      <c r="N20" s="48"/>
      <c r="O20" s="48"/>
      <c r="P20" s="48"/>
      <c r="Q20" s="1"/>
      <c r="R20" s="1"/>
      <c r="S20" s="78"/>
      <c r="T20" s="78"/>
      <c r="U20" s="78"/>
      <c r="V20" s="75"/>
    </row>
    <row r="21" spans="1:157" ht="15.75" customHeight="1">
      <c r="A21" s="49" t="s">
        <v>20</v>
      </c>
      <c r="B21" s="50"/>
      <c r="C21" s="51"/>
      <c r="D21" s="51"/>
      <c r="E21" s="51"/>
      <c r="F21" s="51"/>
      <c r="G21" s="51"/>
      <c r="H21" s="51"/>
      <c r="I21" s="51"/>
      <c r="J21" s="51"/>
      <c r="K21" s="51"/>
      <c r="L21" s="51"/>
      <c r="M21" s="51"/>
      <c r="N21" s="2"/>
      <c r="O21" s="2"/>
      <c r="P21" s="2"/>
      <c r="Q21" s="52" t="s">
        <v>21</v>
      </c>
      <c r="R21" s="52"/>
      <c r="S21" s="79"/>
      <c r="T21" s="79"/>
      <c r="U21" s="79"/>
    </row>
    <row r="22" spans="1:157" ht="15">
      <c r="A22" s="53"/>
      <c r="B22" s="54"/>
      <c r="C22" s="55"/>
      <c r="D22" s="55"/>
      <c r="E22" s="55"/>
      <c r="F22" s="55"/>
      <c r="G22" s="55"/>
      <c r="H22" s="55"/>
      <c r="I22" s="55"/>
      <c r="J22" s="55"/>
      <c r="K22" s="55"/>
      <c r="L22" s="55"/>
      <c r="M22" s="55"/>
      <c r="N22" s="55"/>
      <c r="O22" s="55"/>
      <c r="P22" s="55"/>
    </row>
    <row r="23" spans="1:157">
      <c r="V23" s="80"/>
    </row>
    <row r="24" spans="1:157" s="13" customFormat="1" ht="15">
      <c r="A24" s="57"/>
      <c r="B24" s="58"/>
      <c r="C24" s="58"/>
      <c r="D24" s="58"/>
      <c r="E24" s="58"/>
      <c r="F24" s="58"/>
      <c r="G24" s="58"/>
      <c r="H24" s="58"/>
      <c r="I24" s="58"/>
      <c r="J24" s="58"/>
      <c r="K24" s="58"/>
      <c r="L24" s="58"/>
      <c r="M24" s="58"/>
      <c r="N24" s="58"/>
      <c r="O24" s="58"/>
      <c r="P24" s="58"/>
      <c r="Q24" s="58"/>
      <c r="R24" s="69"/>
      <c r="S24" s="81"/>
      <c r="T24" s="81"/>
      <c r="U24" s="81"/>
      <c r="V24" s="81"/>
      <c r="W24" s="82"/>
      <c r="X24" s="82"/>
      <c r="Y24" s="82"/>
      <c r="Z24" s="82"/>
      <c r="AA24" s="82"/>
      <c r="AB24" s="82"/>
      <c r="AC24" s="82"/>
      <c r="AD24" s="82"/>
      <c r="AE24" s="82"/>
      <c r="AF24" s="82"/>
      <c r="AG24" s="82"/>
      <c r="AH24" s="82"/>
      <c r="AI24" s="77"/>
      <c r="AJ24" s="77"/>
      <c r="AK24" s="77"/>
      <c r="AL24" s="77"/>
      <c r="AM24" s="77"/>
      <c r="AN24" s="77"/>
      <c r="AO24" s="77"/>
      <c r="AP24" s="77"/>
      <c r="AQ24" s="77"/>
      <c r="AR24" s="77"/>
      <c r="AS24" s="77"/>
      <c r="AT24" s="77"/>
      <c r="AU24" s="77"/>
      <c r="AV24" s="77"/>
      <c r="AW24" s="77"/>
      <c r="AX24" s="77"/>
      <c r="AY24" s="77"/>
      <c r="AZ24" s="77"/>
      <c r="BA24" s="77"/>
      <c r="BB24" s="77"/>
      <c r="BC24" s="77"/>
      <c r="BD24" s="77"/>
      <c r="BE24" s="77"/>
      <c r="BF24" s="77"/>
      <c r="BG24" s="77"/>
      <c r="BH24" s="77"/>
      <c r="BI24" s="77"/>
      <c r="BJ24" s="77"/>
      <c r="BK24" s="77"/>
      <c r="BL24" s="77"/>
      <c r="BM24" s="77"/>
      <c r="BN24" s="77"/>
      <c r="BO24" s="77"/>
      <c r="BP24" s="77"/>
      <c r="BQ24" s="77"/>
      <c r="BR24" s="77"/>
      <c r="BS24" s="77"/>
      <c r="BT24" s="77"/>
      <c r="BU24" s="77"/>
      <c r="BV24" s="77"/>
      <c r="BW24" s="77"/>
      <c r="BX24" s="77"/>
      <c r="BY24" s="77"/>
      <c r="BZ24" s="77"/>
      <c r="CA24" s="77"/>
      <c r="CB24" s="77"/>
      <c r="CC24" s="77"/>
      <c r="CD24" s="77"/>
      <c r="CE24" s="77"/>
      <c r="CF24" s="77"/>
      <c r="CG24" s="77"/>
      <c r="CH24" s="77"/>
      <c r="CI24" s="77"/>
      <c r="CJ24" s="77"/>
      <c r="CK24" s="77"/>
      <c r="CL24" s="77"/>
      <c r="CM24" s="77"/>
      <c r="CN24" s="77"/>
      <c r="CO24" s="77"/>
      <c r="CP24" s="77"/>
      <c r="CQ24" s="77"/>
      <c r="CR24" s="77"/>
      <c r="CS24" s="77"/>
      <c r="CT24" s="77"/>
      <c r="CU24" s="77"/>
      <c r="CV24" s="77"/>
      <c r="CW24" s="77"/>
      <c r="CX24" s="77"/>
      <c r="CY24" s="77"/>
      <c r="CZ24" s="77"/>
      <c r="DA24" s="77"/>
      <c r="DB24" s="77"/>
      <c r="DC24" s="77"/>
      <c r="DD24" s="77"/>
      <c r="DE24" s="77"/>
      <c r="DF24" s="77"/>
      <c r="DG24" s="77"/>
      <c r="DH24" s="77"/>
      <c r="DI24" s="77"/>
      <c r="DJ24" s="77"/>
      <c r="DK24" s="77"/>
      <c r="DL24" s="77"/>
      <c r="DM24" s="77"/>
      <c r="DN24" s="77"/>
      <c r="DO24" s="77"/>
      <c r="DP24" s="77"/>
      <c r="DQ24" s="77"/>
      <c r="DR24" s="77"/>
      <c r="DS24" s="77"/>
      <c r="DT24" s="77"/>
      <c r="DU24" s="77"/>
      <c r="DV24" s="77"/>
      <c r="DW24" s="77"/>
      <c r="DX24" s="77"/>
      <c r="DY24" s="77"/>
      <c r="DZ24" s="77"/>
      <c r="EA24" s="77"/>
      <c r="EB24" s="77"/>
      <c r="EC24" s="77"/>
      <c r="ED24" s="77"/>
      <c r="EE24" s="77"/>
      <c r="EF24" s="77"/>
      <c r="EG24" s="77"/>
      <c r="EH24" s="77"/>
      <c r="EI24" s="77"/>
      <c r="EJ24" s="77"/>
      <c r="EK24" s="77"/>
      <c r="EL24" s="77"/>
      <c r="EM24" s="77"/>
      <c r="EN24" s="77"/>
      <c r="EO24" s="77"/>
      <c r="EP24" s="77"/>
      <c r="EQ24" s="77"/>
      <c r="ER24" s="77"/>
      <c r="ES24" s="77"/>
      <c r="ET24" s="77"/>
      <c r="EU24" s="77"/>
      <c r="EV24" s="77"/>
      <c r="EW24" s="77"/>
      <c r="EX24" s="77"/>
      <c r="EY24" s="77"/>
      <c r="EZ24" s="77"/>
      <c r="FA24" s="57"/>
    </row>
    <row r="25" spans="1:157" s="13" customFormat="1" ht="15">
      <c r="A25" s="57"/>
      <c r="B25" s="58"/>
      <c r="C25" s="58"/>
      <c r="D25" s="58"/>
      <c r="E25" s="58"/>
      <c r="F25" s="58"/>
      <c r="G25" s="58"/>
      <c r="H25" s="58"/>
      <c r="I25" s="58"/>
      <c r="J25" s="58"/>
      <c r="K25" s="58"/>
      <c r="L25" s="58"/>
      <c r="M25" s="58"/>
      <c r="N25" s="58"/>
      <c r="O25" s="58"/>
      <c r="P25" s="58"/>
      <c r="Q25" s="58"/>
      <c r="R25" s="69"/>
      <c r="S25" s="81"/>
      <c r="T25" s="81"/>
      <c r="U25" s="81"/>
      <c r="V25" s="81"/>
      <c r="W25" s="83"/>
      <c r="X25" s="83"/>
      <c r="Y25" s="83"/>
      <c r="Z25" s="83"/>
      <c r="AA25" s="83"/>
      <c r="AB25" s="83"/>
      <c r="AC25" s="83"/>
      <c r="AD25" s="83"/>
      <c r="AE25" s="83"/>
      <c r="AF25" s="83"/>
      <c r="AG25" s="83"/>
      <c r="AH25" s="83"/>
      <c r="AI25" s="77"/>
      <c r="AJ25" s="77"/>
      <c r="AK25" s="77"/>
      <c r="AL25" s="77"/>
      <c r="AM25" s="77"/>
      <c r="AN25" s="77"/>
      <c r="AO25" s="77"/>
      <c r="AP25" s="77"/>
      <c r="AQ25" s="77"/>
      <c r="AR25" s="77"/>
      <c r="AS25" s="77"/>
      <c r="AT25" s="77"/>
      <c r="AU25" s="77"/>
      <c r="AV25" s="77"/>
      <c r="AW25" s="77"/>
      <c r="AX25" s="77"/>
      <c r="AY25" s="77"/>
      <c r="AZ25" s="77"/>
      <c r="BA25" s="77"/>
      <c r="BB25" s="77"/>
      <c r="BC25" s="77"/>
      <c r="BD25" s="77"/>
      <c r="BE25" s="77"/>
      <c r="BF25" s="77"/>
      <c r="BG25" s="77"/>
      <c r="BH25" s="77"/>
      <c r="BI25" s="77"/>
      <c r="BJ25" s="77"/>
      <c r="BK25" s="77"/>
      <c r="BL25" s="77"/>
      <c r="BM25" s="77"/>
      <c r="BN25" s="77"/>
      <c r="BO25" s="77"/>
      <c r="BP25" s="77"/>
      <c r="BQ25" s="77"/>
      <c r="BR25" s="77"/>
      <c r="BS25" s="77"/>
      <c r="BT25" s="77"/>
      <c r="BU25" s="77"/>
      <c r="BV25" s="77"/>
      <c r="BW25" s="77"/>
      <c r="BX25" s="77"/>
      <c r="BY25" s="77"/>
      <c r="BZ25" s="77"/>
      <c r="CA25" s="77"/>
      <c r="CB25" s="77"/>
      <c r="CC25" s="77"/>
      <c r="CD25" s="77"/>
      <c r="CE25" s="77"/>
      <c r="CF25" s="77"/>
      <c r="CG25" s="77"/>
      <c r="CH25" s="77"/>
      <c r="CI25" s="77"/>
      <c r="CJ25" s="77"/>
      <c r="CK25" s="77"/>
      <c r="CL25" s="77"/>
      <c r="CM25" s="77"/>
      <c r="CN25" s="77"/>
      <c r="CO25" s="77"/>
      <c r="CP25" s="77"/>
      <c r="CQ25" s="77"/>
      <c r="CR25" s="77"/>
      <c r="CS25" s="77"/>
      <c r="CT25" s="77"/>
      <c r="CU25" s="77"/>
      <c r="CV25" s="77"/>
      <c r="CW25" s="77"/>
      <c r="CX25" s="77"/>
      <c r="CY25" s="77"/>
      <c r="CZ25" s="77"/>
      <c r="DA25" s="77"/>
      <c r="DB25" s="77"/>
      <c r="DC25" s="77"/>
      <c r="DD25" s="77"/>
      <c r="DE25" s="77"/>
      <c r="DF25" s="77"/>
      <c r="DG25" s="77"/>
      <c r="DH25" s="77"/>
      <c r="DI25" s="77"/>
      <c r="DJ25" s="77"/>
      <c r="DK25" s="77"/>
      <c r="DL25" s="77"/>
      <c r="DM25" s="77"/>
      <c r="DN25" s="77"/>
      <c r="DO25" s="77"/>
      <c r="DP25" s="77"/>
      <c r="DQ25" s="77"/>
      <c r="DR25" s="77"/>
      <c r="DS25" s="77"/>
      <c r="DT25" s="77"/>
      <c r="DU25" s="77"/>
      <c r="DV25" s="77"/>
      <c r="DW25" s="77"/>
      <c r="DX25" s="77"/>
      <c r="DY25" s="77"/>
      <c r="DZ25" s="77"/>
      <c r="EA25" s="77"/>
      <c r="EB25" s="77"/>
      <c r="EC25" s="77"/>
      <c r="ED25" s="77"/>
      <c r="EE25" s="77"/>
      <c r="EF25" s="77"/>
      <c r="EG25" s="77"/>
      <c r="EH25" s="77"/>
      <c r="EI25" s="77"/>
      <c r="EJ25" s="77"/>
      <c r="EK25" s="77"/>
      <c r="EL25" s="77"/>
      <c r="EM25" s="77"/>
      <c r="EN25" s="77"/>
      <c r="EO25" s="77"/>
      <c r="EP25" s="77"/>
      <c r="EQ25" s="77"/>
      <c r="ER25" s="77"/>
      <c r="ES25" s="77"/>
      <c r="ET25" s="77"/>
      <c r="EU25" s="77"/>
      <c r="EV25" s="77"/>
      <c r="EW25" s="77"/>
      <c r="EX25" s="77"/>
      <c r="EY25" s="77"/>
      <c r="EZ25" s="77"/>
      <c r="FA25" s="57"/>
    </row>
    <row r="26" spans="1:157" s="13" customFormat="1" ht="15">
      <c r="A26" s="57"/>
      <c r="B26" s="58"/>
      <c r="C26" s="58"/>
      <c r="D26" s="58"/>
      <c r="E26" s="58"/>
      <c r="F26" s="58"/>
      <c r="G26" s="58"/>
      <c r="H26" s="58"/>
      <c r="I26" s="58"/>
      <c r="J26" s="58"/>
      <c r="K26" s="58"/>
      <c r="L26" s="58"/>
      <c r="M26" s="58"/>
      <c r="N26" s="58"/>
      <c r="O26" s="58"/>
      <c r="P26" s="58"/>
      <c r="Q26" s="58"/>
      <c r="R26" s="69"/>
      <c r="S26" s="81"/>
      <c r="T26" s="81"/>
      <c r="U26" s="81"/>
      <c r="V26" s="84"/>
      <c r="W26" s="85"/>
      <c r="X26" s="85"/>
      <c r="Y26" s="85"/>
      <c r="Z26" s="85"/>
      <c r="AA26" s="85"/>
      <c r="AB26" s="85"/>
      <c r="AC26" s="85"/>
      <c r="AD26" s="85"/>
      <c r="AE26" s="85"/>
      <c r="AF26" s="85"/>
      <c r="AG26" s="85"/>
      <c r="AH26" s="85"/>
      <c r="AI26" s="77"/>
      <c r="AJ26" s="77"/>
      <c r="AK26" s="77"/>
      <c r="AL26" s="77"/>
      <c r="AM26" s="77"/>
      <c r="AN26" s="77"/>
      <c r="AO26" s="77"/>
      <c r="AP26" s="77"/>
      <c r="AQ26" s="77"/>
      <c r="AR26" s="77"/>
      <c r="AS26" s="77"/>
      <c r="AT26" s="77"/>
      <c r="AU26" s="77"/>
      <c r="AV26" s="77"/>
      <c r="AW26" s="77"/>
      <c r="AX26" s="77"/>
      <c r="AY26" s="77"/>
      <c r="AZ26" s="77"/>
      <c r="BA26" s="77"/>
      <c r="BB26" s="77"/>
      <c r="BC26" s="77"/>
      <c r="BD26" s="77"/>
      <c r="BE26" s="77"/>
      <c r="BF26" s="77"/>
      <c r="BG26" s="77"/>
      <c r="BH26" s="77"/>
      <c r="BI26" s="77"/>
      <c r="BJ26" s="77"/>
      <c r="BK26" s="77"/>
      <c r="BL26" s="77"/>
      <c r="BM26" s="77"/>
      <c r="BN26" s="77"/>
      <c r="BO26" s="77"/>
      <c r="BP26" s="77"/>
      <c r="BQ26" s="77"/>
      <c r="BR26" s="77"/>
      <c r="BS26" s="77"/>
      <c r="BT26" s="77"/>
      <c r="BU26" s="77"/>
      <c r="BV26" s="77"/>
      <c r="BW26" s="77"/>
      <c r="BX26" s="77"/>
      <c r="BY26" s="77"/>
      <c r="BZ26" s="77"/>
      <c r="CA26" s="77"/>
      <c r="CB26" s="77"/>
      <c r="CC26" s="77"/>
      <c r="CD26" s="77"/>
      <c r="CE26" s="77"/>
      <c r="CF26" s="77"/>
      <c r="CG26" s="77"/>
      <c r="CH26" s="77"/>
      <c r="CI26" s="77"/>
      <c r="CJ26" s="77"/>
      <c r="CK26" s="77"/>
      <c r="CL26" s="77"/>
      <c r="CM26" s="77"/>
      <c r="CN26" s="77"/>
      <c r="CO26" s="77"/>
      <c r="CP26" s="77"/>
      <c r="CQ26" s="77"/>
      <c r="CR26" s="77"/>
      <c r="CS26" s="77"/>
      <c r="CT26" s="77"/>
      <c r="CU26" s="77"/>
      <c r="CV26" s="77"/>
      <c r="CW26" s="77"/>
      <c r="CX26" s="77"/>
      <c r="CY26" s="77"/>
      <c r="CZ26" s="77"/>
      <c r="DA26" s="77"/>
      <c r="DB26" s="77"/>
      <c r="DC26" s="77"/>
      <c r="DD26" s="77"/>
      <c r="DE26" s="77"/>
      <c r="DF26" s="77"/>
      <c r="DG26" s="77"/>
      <c r="DH26" s="77"/>
      <c r="DI26" s="77"/>
      <c r="DJ26" s="77"/>
      <c r="DK26" s="77"/>
      <c r="DL26" s="77"/>
      <c r="DM26" s="77"/>
      <c r="DN26" s="77"/>
      <c r="DO26" s="77"/>
      <c r="DP26" s="77"/>
      <c r="DQ26" s="77"/>
      <c r="DR26" s="77"/>
      <c r="DS26" s="77"/>
      <c r="DT26" s="77"/>
      <c r="DU26" s="77"/>
      <c r="DV26" s="77"/>
      <c r="DW26" s="77"/>
      <c r="DX26" s="77"/>
      <c r="DY26" s="77"/>
      <c r="DZ26" s="77"/>
      <c r="EA26" s="77"/>
      <c r="EB26" s="77"/>
      <c r="EC26" s="77"/>
      <c r="ED26" s="77"/>
      <c r="EE26" s="77"/>
      <c r="EF26" s="77"/>
      <c r="EG26" s="77"/>
      <c r="EH26" s="77"/>
      <c r="EI26" s="77"/>
      <c r="EJ26" s="77"/>
      <c r="EK26" s="77"/>
      <c r="EL26" s="77"/>
      <c r="EM26" s="77"/>
      <c r="EN26" s="77"/>
      <c r="EO26" s="77"/>
      <c r="EP26" s="77"/>
      <c r="EQ26" s="77"/>
      <c r="ER26" s="77"/>
      <c r="ES26" s="77"/>
      <c r="ET26" s="77"/>
      <c r="EU26" s="77"/>
      <c r="EV26" s="77"/>
      <c r="EW26" s="77"/>
      <c r="EX26" s="77"/>
      <c r="EY26" s="77"/>
      <c r="EZ26" s="77"/>
      <c r="FA26" s="57"/>
    </row>
    <row r="27" spans="1:157" s="13" customFormat="1" ht="15">
      <c r="A27" s="57"/>
      <c r="B27" s="58"/>
      <c r="C27" s="58"/>
      <c r="D27" s="58"/>
      <c r="E27" s="58"/>
      <c r="F27" s="58"/>
      <c r="G27" s="58"/>
      <c r="H27" s="58"/>
      <c r="I27" s="58"/>
      <c r="J27" s="58"/>
      <c r="K27" s="58"/>
      <c r="L27" s="58"/>
      <c r="M27" s="58"/>
      <c r="N27" s="58"/>
      <c r="O27" s="58"/>
      <c r="P27" s="58"/>
      <c r="Q27" s="58"/>
      <c r="R27" s="69"/>
      <c r="S27" s="81"/>
      <c r="T27" s="81"/>
      <c r="U27" s="81"/>
      <c r="V27" s="81"/>
      <c r="W27" s="86"/>
      <c r="X27" s="86"/>
      <c r="Y27" s="86"/>
      <c r="Z27" s="86"/>
      <c r="AA27" s="86"/>
      <c r="AB27" s="86"/>
      <c r="AC27" s="86"/>
      <c r="AD27" s="86"/>
      <c r="AE27" s="86"/>
      <c r="AF27" s="86"/>
      <c r="AG27" s="86"/>
      <c r="AH27" s="86"/>
      <c r="AI27" s="77"/>
      <c r="AJ27" s="77"/>
      <c r="AK27" s="77"/>
      <c r="AL27" s="77"/>
      <c r="AM27" s="77"/>
      <c r="AN27" s="77"/>
      <c r="AO27" s="77"/>
      <c r="AP27" s="77"/>
      <c r="AQ27" s="77"/>
      <c r="AR27" s="77"/>
      <c r="AS27" s="77"/>
      <c r="AT27" s="77"/>
      <c r="AU27" s="77"/>
      <c r="AV27" s="77"/>
      <c r="AW27" s="77"/>
      <c r="AX27" s="77"/>
      <c r="AY27" s="77"/>
      <c r="AZ27" s="77"/>
      <c r="BA27" s="77"/>
      <c r="BB27" s="77"/>
      <c r="BC27" s="77"/>
      <c r="BD27" s="77"/>
      <c r="BE27" s="77"/>
      <c r="BF27" s="77"/>
      <c r="BG27" s="77"/>
      <c r="BH27" s="77"/>
      <c r="BI27" s="77"/>
      <c r="BJ27" s="77"/>
      <c r="BK27" s="77"/>
      <c r="BL27" s="77"/>
      <c r="BM27" s="77"/>
      <c r="BN27" s="77"/>
      <c r="BO27" s="77"/>
      <c r="BP27" s="77"/>
      <c r="BQ27" s="77"/>
      <c r="BR27" s="77"/>
      <c r="BS27" s="77"/>
      <c r="BT27" s="77"/>
      <c r="BU27" s="77"/>
      <c r="BV27" s="77"/>
      <c r="BW27" s="77"/>
      <c r="BX27" s="77"/>
      <c r="BY27" s="77"/>
      <c r="BZ27" s="77"/>
      <c r="CA27" s="77"/>
      <c r="CB27" s="77"/>
      <c r="CC27" s="77"/>
      <c r="CD27" s="77"/>
      <c r="CE27" s="77"/>
      <c r="CF27" s="77"/>
      <c r="CG27" s="77"/>
      <c r="CH27" s="77"/>
      <c r="CI27" s="77"/>
      <c r="CJ27" s="77"/>
      <c r="CK27" s="77"/>
      <c r="CL27" s="77"/>
      <c r="CM27" s="77"/>
      <c r="CN27" s="77"/>
      <c r="CO27" s="77"/>
      <c r="CP27" s="77"/>
      <c r="CQ27" s="77"/>
      <c r="CR27" s="77"/>
      <c r="CS27" s="77"/>
      <c r="CT27" s="77"/>
      <c r="CU27" s="77"/>
      <c r="CV27" s="77"/>
      <c r="CW27" s="77"/>
      <c r="CX27" s="77"/>
      <c r="CY27" s="77"/>
      <c r="CZ27" s="77"/>
      <c r="DA27" s="77"/>
      <c r="DB27" s="77"/>
      <c r="DC27" s="77"/>
      <c r="DD27" s="77"/>
      <c r="DE27" s="77"/>
      <c r="DF27" s="77"/>
      <c r="DG27" s="77"/>
      <c r="DH27" s="77"/>
      <c r="DI27" s="77"/>
      <c r="DJ27" s="77"/>
      <c r="DK27" s="77"/>
      <c r="DL27" s="77"/>
      <c r="DM27" s="77"/>
      <c r="DN27" s="77"/>
      <c r="DO27" s="77"/>
      <c r="DP27" s="77"/>
      <c r="DQ27" s="77"/>
      <c r="DR27" s="77"/>
      <c r="DS27" s="77"/>
      <c r="DT27" s="77"/>
      <c r="DU27" s="77"/>
      <c r="DV27" s="77"/>
      <c r="DW27" s="77"/>
      <c r="DX27" s="77"/>
      <c r="DY27" s="77"/>
      <c r="DZ27" s="77"/>
      <c r="EA27" s="77"/>
      <c r="EB27" s="77"/>
      <c r="EC27" s="77"/>
      <c r="ED27" s="77"/>
      <c r="EE27" s="77"/>
      <c r="EF27" s="77"/>
      <c r="EG27" s="77"/>
      <c r="EH27" s="77"/>
      <c r="EI27" s="77"/>
      <c r="EJ27" s="77"/>
      <c r="EK27" s="77"/>
      <c r="EL27" s="77"/>
      <c r="EM27" s="77"/>
      <c r="EN27" s="77"/>
      <c r="EO27" s="77"/>
      <c r="EP27" s="77"/>
      <c r="EQ27" s="77"/>
      <c r="ER27" s="77"/>
      <c r="ES27" s="77"/>
      <c r="ET27" s="77"/>
      <c r="EU27" s="77"/>
      <c r="EV27" s="77"/>
      <c r="EW27" s="77"/>
      <c r="EX27" s="77"/>
      <c r="EY27" s="77"/>
      <c r="EZ27" s="77"/>
      <c r="FA27" s="57"/>
    </row>
    <row r="28" spans="1:157" s="13" customFormat="1" ht="15">
      <c r="A28" s="57"/>
      <c r="B28" s="58"/>
      <c r="C28" s="58"/>
      <c r="D28" s="58"/>
      <c r="E28" s="58"/>
      <c r="F28" s="58"/>
      <c r="G28" s="58"/>
      <c r="H28" s="58"/>
      <c r="I28" s="58"/>
      <c r="J28" s="58"/>
      <c r="K28" s="58"/>
      <c r="L28" s="58"/>
      <c r="M28" s="58"/>
      <c r="N28" s="58"/>
      <c r="O28" s="58"/>
      <c r="P28" s="58"/>
      <c r="Q28" s="58"/>
      <c r="R28" s="69"/>
      <c r="S28" s="81"/>
      <c r="T28" s="81"/>
      <c r="U28" s="81"/>
      <c r="V28" s="81"/>
      <c r="W28" s="81"/>
      <c r="X28" s="81"/>
      <c r="Y28" s="81"/>
      <c r="Z28" s="81"/>
      <c r="AA28" s="81"/>
      <c r="AB28" s="81"/>
      <c r="AC28" s="81"/>
      <c r="AD28" s="81"/>
      <c r="AE28" s="81"/>
      <c r="AF28" s="81"/>
      <c r="AG28" s="81"/>
      <c r="AH28" s="81"/>
      <c r="AI28" s="77"/>
      <c r="AJ28" s="77"/>
      <c r="AK28" s="77"/>
      <c r="AL28" s="77"/>
      <c r="AM28" s="77"/>
      <c r="AN28" s="77"/>
      <c r="AO28" s="77"/>
      <c r="AP28" s="77"/>
      <c r="AQ28" s="77"/>
      <c r="AR28" s="77"/>
      <c r="AS28" s="77"/>
      <c r="AT28" s="77"/>
      <c r="AU28" s="77"/>
      <c r="AV28" s="77"/>
      <c r="AW28" s="77"/>
      <c r="AX28" s="77"/>
      <c r="AY28" s="77"/>
      <c r="AZ28" s="77"/>
      <c r="BA28" s="77"/>
      <c r="BB28" s="77"/>
      <c r="BC28" s="77"/>
      <c r="BD28" s="77"/>
      <c r="BE28" s="77"/>
      <c r="BF28" s="77"/>
      <c r="BG28" s="77"/>
      <c r="BH28" s="77"/>
      <c r="BI28" s="77"/>
      <c r="BJ28" s="77"/>
      <c r="BK28" s="77"/>
      <c r="BL28" s="77"/>
      <c r="BM28" s="77"/>
      <c r="BN28" s="77"/>
      <c r="BO28" s="77"/>
      <c r="BP28" s="77"/>
      <c r="BQ28" s="77"/>
      <c r="BR28" s="77"/>
      <c r="BS28" s="77"/>
      <c r="BT28" s="77"/>
      <c r="BU28" s="77"/>
      <c r="BV28" s="77"/>
      <c r="BW28" s="77"/>
      <c r="BX28" s="77"/>
      <c r="BY28" s="77"/>
      <c r="BZ28" s="77"/>
      <c r="CA28" s="77"/>
      <c r="CB28" s="77"/>
      <c r="CC28" s="77"/>
      <c r="CD28" s="77"/>
      <c r="CE28" s="77"/>
      <c r="CF28" s="77"/>
      <c r="CG28" s="77"/>
      <c r="CH28" s="77"/>
      <c r="CI28" s="77"/>
      <c r="CJ28" s="77"/>
      <c r="CK28" s="77"/>
      <c r="CL28" s="77"/>
      <c r="CM28" s="77"/>
      <c r="CN28" s="77"/>
      <c r="CO28" s="77"/>
      <c r="CP28" s="77"/>
      <c r="CQ28" s="77"/>
      <c r="CR28" s="77"/>
      <c r="CS28" s="77"/>
      <c r="CT28" s="77"/>
      <c r="CU28" s="77"/>
      <c r="CV28" s="77"/>
      <c r="CW28" s="77"/>
      <c r="CX28" s="77"/>
      <c r="CY28" s="77"/>
      <c r="CZ28" s="77"/>
      <c r="DA28" s="77"/>
      <c r="DB28" s="77"/>
      <c r="DC28" s="77"/>
      <c r="DD28" s="77"/>
      <c r="DE28" s="77"/>
      <c r="DF28" s="77"/>
      <c r="DG28" s="77"/>
      <c r="DH28" s="77"/>
      <c r="DI28" s="77"/>
      <c r="DJ28" s="77"/>
      <c r="DK28" s="77"/>
      <c r="DL28" s="77"/>
      <c r="DM28" s="77"/>
      <c r="DN28" s="77"/>
      <c r="DO28" s="77"/>
      <c r="DP28" s="77"/>
      <c r="DQ28" s="77"/>
      <c r="DR28" s="77"/>
      <c r="DS28" s="77"/>
      <c r="DT28" s="77"/>
      <c r="DU28" s="77"/>
      <c r="DV28" s="77"/>
      <c r="DW28" s="77"/>
      <c r="DX28" s="77"/>
      <c r="DY28" s="77"/>
      <c r="DZ28" s="77"/>
      <c r="EA28" s="77"/>
      <c r="EB28" s="77"/>
      <c r="EC28" s="77"/>
      <c r="ED28" s="77"/>
      <c r="EE28" s="77"/>
      <c r="EF28" s="77"/>
      <c r="EG28" s="77"/>
      <c r="EH28" s="77"/>
      <c r="EI28" s="77"/>
      <c r="EJ28" s="77"/>
      <c r="EK28" s="77"/>
      <c r="EL28" s="77"/>
      <c r="EM28" s="77"/>
      <c r="EN28" s="77"/>
      <c r="EO28" s="77"/>
      <c r="EP28" s="77"/>
      <c r="EQ28" s="77"/>
      <c r="ER28" s="77"/>
      <c r="ES28" s="77"/>
      <c r="ET28" s="77"/>
      <c r="EU28" s="77"/>
      <c r="EV28" s="77"/>
      <c r="EW28" s="77"/>
      <c r="EX28" s="77"/>
      <c r="EY28" s="77"/>
      <c r="EZ28" s="77"/>
      <c r="FA28" s="57"/>
    </row>
    <row r="29" spans="1:157" s="13" customFormat="1" ht="15">
      <c r="A29" s="57"/>
      <c r="B29" s="58"/>
      <c r="C29" s="58"/>
      <c r="D29" s="58"/>
      <c r="E29" s="58"/>
      <c r="F29" s="58"/>
      <c r="G29" s="58"/>
      <c r="H29" s="58"/>
      <c r="I29" s="58"/>
      <c r="J29" s="58"/>
      <c r="K29" s="58"/>
      <c r="L29" s="58"/>
      <c r="M29" s="58"/>
      <c r="N29" s="58"/>
      <c r="O29" s="58"/>
      <c r="P29" s="58"/>
      <c r="Q29" s="58"/>
      <c r="R29" s="69"/>
      <c r="S29" s="81"/>
      <c r="T29" s="81"/>
      <c r="U29" s="81"/>
      <c r="V29" s="81"/>
      <c r="W29" s="77"/>
      <c r="X29" s="77"/>
      <c r="Y29" s="77"/>
      <c r="Z29" s="77"/>
      <c r="AA29" s="77"/>
      <c r="AB29" s="77"/>
      <c r="AC29" s="77"/>
      <c r="AD29" s="77"/>
      <c r="AE29" s="77"/>
      <c r="AF29" s="77"/>
      <c r="AG29" s="77"/>
      <c r="AH29" s="77"/>
      <c r="AI29" s="77"/>
      <c r="AJ29" s="77"/>
      <c r="AK29" s="77"/>
      <c r="AL29" s="77"/>
      <c r="AM29" s="77"/>
      <c r="AN29" s="77"/>
      <c r="AO29" s="77"/>
      <c r="AP29" s="77"/>
      <c r="AQ29" s="77"/>
      <c r="AR29" s="77"/>
      <c r="AS29" s="77"/>
      <c r="AT29" s="77"/>
      <c r="AU29" s="77"/>
      <c r="AV29" s="77"/>
      <c r="AW29" s="77"/>
      <c r="AX29" s="77"/>
      <c r="AY29" s="77"/>
      <c r="AZ29" s="77"/>
      <c r="BA29" s="77"/>
      <c r="BB29" s="77"/>
      <c r="BC29" s="77"/>
      <c r="BD29" s="77"/>
      <c r="BE29" s="77"/>
      <c r="BF29" s="77"/>
      <c r="BG29" s="77"/>
      <c r="BH29" s="77"/>
      <c r="BI29" s="77"/>
      <c r="BJ29" s="77"/>
      <c r="BK29" s="77"/>
      <c r="BL29" s="77"/>
      <c r="BM29" s="77"/>
      <c r="BN29" s="77"/>
      <c r="BO29" s="77"/>
      <c r="BP29" s="77"/>
      <c r="BQ29" s="77"/>
      <c r="BR29" s="77"/>
      <c r="BS29" s="77"/>
      <c r="BT29" s="77"/>
      <c r="BU29" s="77"/>
      <c r="BV29" s="77"/>
      <c r="BW29" s="77"/>
      <c r="BX29" s="77"/>
      <c r="BY29" s="77"/>
      <c r="BZ29" s="77"/>
      <c r="CA29" s="77"/>
      <c r="CB29" s="77"/>
      <c r="CC29" s="77"/>
      <c r="CD29" s="77"/>
      <c r="CE29" s="77"/>
      <c r="CF29" s="77"/>
      <c r="CG29" s="77"/>
      <c r="CH29" s="77"/>
      <c r="CI29" s="77"/>
      <c r="CJ29" s="77"/>
      <c r="CK29" s="77"/>
      <c r="CL29" s="77"/>
      <c r="CM29" s="77"/>
      <c r="CN29" s="77"/>
      <c r="CO29" s="77"/>
      <c r="CP29" s="77"/>
      <c r="CQ29" s="77"/>
      <c r="CR29" s="77"/>
      <c r="CS29" s="77"/>
      <c r="CT29" s="77"/>
      <c r="CU29" s="77"/>
      <c r="CV29" s="77"/>
      <c r="CW29" s="77"/>
      <c r="CX29" s="77"/>
      <c r="CY29" s="77"/>
      <c r="CZ29" s="77"/>
      <c r="DA29" s="77"/>
      <c r="DB29" s="77"/>
      <c r="DC29" s="77"/>
      <c r="DD29" s="77"/>
      <c r="DE29" s="77"/>
      <c r="DF29" s="77"/>
      <c r="DG29" s="77"/>
      <c r="DH29" s="77"/>
      <c r="DI29" s="77"/>
      <c r="DJ29" s="77"/>
      <c r="DK29" s="77"/>
      <c r="DL29" s="77"/>
      <c r="DM29" s="77"/>
      <c r="DN29" s="77"/>
      <c r="DO29" s="77"/>
      <c r="DP29" s="77"/>
      <c r="DQ29" s="77"/>
      <c r="DR29" s="77"/>
      <c r="DS29" s="77"/>
      <c r="DT29" s="77"/>
      <c r="DU29" s="77"/>
      <c r="DV29" s="77"/>
      <c r="DW29" s="77"/>
      <c r="DX29" s="77"/>
      <c r="DY29" s="77"/>
      <c r="DZ29" s="77"/>
      <c r="EA29" s="77"/>
      <c r="EB29" s="77"/>
      <c r="EC29" s="77"/>
      <c r="ED29" s="77"/>
      <c r="EE29" s="77"/>
      <c r="EF29" s="77"/>
      <c r="EG29" s="77"/>
      <c r="EH29" s="77"/>
      <c r="EI29" s="77"/>
      <c r="EJ29" s="77"/>
      <c r="EK29" s="77"/>
      <c r="EL29" s="77"/>
      <c r="EM29" s="77"/>
      <c r="EN29" s="77"/>
      <c r="EO29" s="77"/>
      <c r="EP29" s="77"/>
      <c r="EQ29" s="77"/>
      <c r="ER29" s="77"/>
      <c r="ES29" s="77"/>
      <c r="ET29" s="77"/>
      <c r="EU29" s="77"/>
      <c r="EV29" s="77"/>
      <c r="EW29" s="77"/>
      <c r="EX29" s="77"/>
      <c r="EY29" s="77"/>
      <c r="EZ29" s="77"/>
      <c r="FA29" s="57"/>
    </row>
    <row r="30" spans="1:157" s="13" customFormat="1" ht="15">
      <c r="A30" s="57"/>
      <c r="B30" s="58"/>
      <c r="C30" s="58"/>
      <c r="D30" s="58"/>
      <c r="E30" s="58"/>
      <c r="F30" s="58"/>
      <c r="G30" s="58"/>
      <c r="H30" s="58"/>
      <c r="I30" s="58"/>
      <c r="J30" s="58"/>
      <c r="K30" s="58"/>
      <c r="L30" s="58"/>
      <c r="M30" s="58"/>
      <c r="N30" s="58"/>
      <c r="O30" s="58"/>
      <c r="P30" s="58"/>
      <c r="Q30" s="58"/>
      <c r="R30" s="69"/>
      <c r="S30" s="81"/>
      <c r="T30" s="81"/>
      <c r="U30" s="81"/>
      <c r="V30" s="77"/>
      <c r="W30" s="83"/>
      <c r="X30" s="83"/>
      <c r="Y30" s="83"/>
      <c r="Z30" s="83"/>
      <c r="AA30" s="83"/>
      <c r="AB30" s="83"/>
      <c r="AC30" s="83"/>
      <c r="AD30" s="83"/>
      <c r="AE30" s="83"/>
      <c r="AF30" s="83"/>
      <c r="AG30" s="83"/>
      <c r="AH30" s="83"/>
      <c r="AI30" s="77"/>
      <c r="AJ30" s="83"/>
      <c r="AK30" s="77"/>
      <c r="AL30" s="77"/>
      <c r="AM30" s="77"/>
      <c r="AN30" s="77"/>
      <c r="AO30" s="77"/>
      <c r="AP30" s="77"/>
      <c r="AQ30" s="77"/>
      <c r="AR30" s="77"/>
      <c r="AS30" s="77"/>
      <c r="AT30" s="77"/>
      <c r="AU30" s="77"/>
      <c r="AV30" s="77"/>
      <c r="AW30" s="77"/>
      <c r="AX30" s="77"/>
      <c r="AY30" s="77"/>
      <c r="AZ30" s="77"/>
      <c r="BA30" s="77"/>
      <c r="BB30" s="77"/>
      <c r="BC30" s="77"/>
      <c r="BD30" s="77"/>
      <c r="BE30" s="77"/>
      <c r="BF30" s="77"/>
      <c r="BG30" s="77"/>
      <c r="BH30" s="77"/>
      <c r="BI30" s="77"/>
      <c r="BJ30" s="77"/>
      <c r="BK30" s="77"/>
      <c r="BL30" s="77"/>
      <c r="BM30" s="77"/>
      <c r="BN30" s="77"/>
      <c r="BO30" s="77"/>
      <c r="BP30" s="77"/>
      <c r="BQ30" s="77"/>
      <c r="BR30" s="77"/>
      <c r="BS30" s="77"/>
      <c r="BT30" s="77"/>
      <c r="BU30" s="77"/>
      <c r="BV30" s="77"/>
      <c r="BW30" s="77"/>
      <c r="BX30" s="77"/>
      <c r="BY30" s="77"/>
      <c r="BZ30" s="77"/>
      <c r="CA30" s="77"/>
      <c r="CB30" s="77"/>
      <c r="CC30" s="77"/>
      <c r="CD30" s="77"/>
      <c r="CE30" s="77"/>
      <c r="CF30" s="77"/>
      <c r="CG30" s="77"/>
      <c r="CH30" s="77"/>
      <c r="CI30" s="77"/>
      <c r="CJ30" s="77"/>
      <c r="CK30" s="77"/>
      <c r="CL30" s="77"/>
      <c r="CM30" s="77"/>
      <c r="CN30" s="77"/>
      <c r="CO30" s="77"/>
      <c r="CP30" s="77"/>
      <c r="CQ30" s="77"/>
      <c r="CR30" s="77"/>
      <c r="CS30" s="77"/>
      <c r="CT30" s="77"/>
      <c r="CU30" s="77"/>
      <c r="CV30" s="77"/>
      <c r="CW30" s="77"/>
      <c r="CX30" s="77"/>
      <c r="CY30" s="77"/>
      <c r="CZ30" s="77"/>
      <c r="DA30" s="77"/>
      <c r="DB30" s="77"/>
      <c r="DC30" s="77"/>
      <c r="DD30" s="77"/>
      <c r="DE30" s="77"/>
      <c r="DF30" s="77"/>
      <c r="DG30" s="77"/>
      <c r="DH30" s="77"/>
      <c r="DI30" s="77"/>
      <c r="DJ30" s="77"/>
      <c r="DK30" s="77"/>
      <c r="DL30" s="77"/>
      <c r="DM30" s="77"/>
      <c r="DN30" s="77"/>
      <c r="DO30" s="77"/>
      <c r="DP30" s="77"/>
      <c r="DQ30" s="77"/>
      <c r="DR30" s="77"/>
      <c r="DS30" s="77"/>
      <c r="DT30" s="77"/>
      <c r="DU30" s="77"/>
      <c r="DV30" s="77"/>
      <c r="DW30" s="77"/>
      <c r="DX30" s="77"/>
      <c r="DY30" s="77"/>
      <c r="DZ30" s="77"/>
      <c r="EA30" s="77"/>
      <c r="EB30" s="77"/>
      <c r="EC30" s="77"/>
      <c r="ED30" s="77"/>
      <c r="EE30" s="77"/>
      <c r="EF30" s="77"/>
      <c r="EG30" s="77"/>
      <c r="EH30" s="77"/>
      <c r="EI30" s="77"/>
      <c r="EJ30" s="77"/>
      <c r="EK30" s="77"/>
      <c r="EL30" s="77"/>
      <c r="EM30" s="77"/>
      <c r="EN30" s="77"/>
      <c r="EO30" s="77"/>
      <c r="EP30" s="77"/>
      <c r="EQ30" s="77"/>
      <c r="ER30" s="77"/>
      <c r="ES30" s="77"/>
      <c r="ET30" s="77"/>
      <c r="EU30" s="77"/>
      <c r="EV30" s="77"/>
      <c r="EW30" s="77"/>
      <c r="EX30" s="77"/>
      <c r="EY30" s="77"/>
      <c r="EZ30" s="77"/>
      <c r="FA30" s="57"/>
    </row>
    <row r="31" spans="1:157" s="13" customFormat="1" ht="15">
      <c r="A31" s="57"/>
      <c r="B31" s="58"/>
      <c r="C31" s="58"/>
      <c r="D31" s="58"/>
      <c r="E31" s="58"/>
      <c r="F31" s="58"/>
      <c r="G31" s="58"/>
      <c r="H31" s="58"/>
      <c r="I31" s="58"/>
      <c r="J31" s="58"/>
      <c r="K31" s="58"/>
      <c r="L31" s="58"/>
      <c r="M31" s="58"/>
      <c r="N31" s="58"/>
      <c r="O31" s="58"/>
      <c r="P31" s="58"/>
      <c r="Q31" s="58"/>
      <c r="R31" s="69"/>
      <c r="S31" s="81"/>
      <c r="T31" s="81"/>
      <c r="U31" s="81"/>
      <c r="V31" s="77"/>
      <c r="W31" s="77"/>
      <c r="X31" s="87"/>
      <c r="Y31" s="87"/>
      <c r="Z31" s="87"/>
      <c r="AA31" s="87"/>
      <c r="AB31" s="87"/>
      <c r="AC31" s="87"/>
      <c r="AD31" s="87"/>
      <c r="AE31" s="87"/>
      <c r="AF31" s="87"/>
      <c r="AG31" s="87"/>
      <c r="AH31" s="87"/>
      <c r="AI31" s="87"/>
      <c r="AJ31" s="87"/>
      <c r="AK31" s="87"/>
      <c r="AL31" s="87"/>
      <c r="AM31" s="87"/>
      <c r="AN31" s="87"/>
      <c r="AO31" s="88"/>
      <c r="AP31" s="83"/>
      <c r="AQ31" s="83"/>
      <c r="AR31" s="83"/>
      <c r="AS31" s="83"/>
      <c r="AT31" s="83"/>
      <c r="AU31" s="83"/>
      <c r="AV31" s="83"/>
      <c r="AW31" s="77"/>
      <c r="AX31" s="77"/>
      <c r="AY31" s="77"/>
      <c r="AZ31" s="77"/>
      <c r="BA31" s="77"/>
      <c r="BB31" s="77"/>
      <c r="BC31" s="77"/>
      <c r="BD31" s="77"/>
      <c r="BE31" s="77"/>
      <c r="BF31" s="77"/>
      <c r="BG31" s="77"/>
      <c r="BH31" s="77"/>
      <c r="BI31" s="77"/>
      <c r="BJ31" s="77"/>
      <c r="BK31" s="77"/>
      <c r="BL31" s="77"/>
      <c r="BM31" s="77"/>
      <c r="BN31" s="77"/>
      <c r="BO31" s="77"/>
      <c r="BP31" s="77"/>
      <c r="BQ31" s="77"/>
      <c r="BR31" s="77"/>
      <c r="BS31" s="77"/>
      <c r="BT31" s="77"/>
      <c r="BU31" s="77"/>
      <c r="BV31" s="77"/>
      <c r="BW31" s="77"/>
      <c r="BX31" s="77"/>
      <c r="BY31" s="77"/>
      <c r="BZ31" s="77"/>
      <c r="CA31" s="77"/>
      <c r="CB31" s="77"/>
      <c r="CC31" s="77"/>
      <c r="CD31" s="77"/>
      <c r="CE31" s="77"/>
      <c r="CF31" s="77"/>
      <c r="CG31" s="77"/>
      <c r="CH31" s="77"/>
      <c r="CI31" s="77"/>
      <c r="CJ31" s="77"/>
      <c r="CK31" s="77"/>
      <c r="CL31" s="77"/>
      <c r="CM31" s="77"/>
      <c r="CN31" s="77"/>
      <c r="CO31" s="77"/>
      <c r="CP31" s="77"/>
      <c r="CQ31" s="77"/>
      <c r="CR31" s="77"/>
      <c r="CS31" s="77"/>
      <c r="CT31" s="77"/>
      <c r="CU31" s="77"/>
      <c r="CV31" s="77"/>
      <c r="CW31" s="77"/>
      <c r="CX31" s="77"/>
      <c r="CY31" s="77"/>
      <c r="CZ31" s="77"/>
      <c r="DA31" s="77"/>
      <c r="DB31" s="77"/>
      <c r="DC31" s="77"/>
      <c r="DD31" s="77"/>
      <c r="DE31" s="77"/>
      <c r="DF31" s="77"/>
      <c r="DG31" s="77"/>
      <c r="DH31" s="77"/>
      <c r="DI31" s="77"/>
      <c r="DJ31" s="77"/>
      <c r="DK31" s="77"/>
      <c r="DL31" s="77"/>
      <c r="DM31" s="77"/>
      <c r="DN31" s="77"/>
      <c r="DO31" s="77"/>
      <c r="DP31" s="77"/>
      <c r="DQ31" s="77"/>
      <c r="DR31" s="77"/>
      <c r="DS31" s="77"/>
      <c r="DT31" s="77"/>
      <c r="DU31" s="77"/>
      <c r="DV31" s="77"/>
      <c r="DW31" s="77"/>
      <c r="DX31" s="77"/>
      <c r="DY31" s="77"/>
      <c r="DZ31" s="77"/>
      <c r="EA31" s="77"/>
      <c r="EB31" s="77"/>
      <c r="EC31" s="77"/>
      <c r="ED31" s="77"/>
      <c r="EE31" s="77"/>
      <c r="EF31" s="77"/>
      <c r="EG31" s="77"/>
      <c r="EH31" s="77"/>
      <c r="EI31" s="77"/>
      <c r="EJ31" s="77"/>
      <c r="EK31" s="77"/>
      <c r="EL31" s="77"/>
      <c r="EM31" s="77"/>
      <c r="EN31" s="77"/>
      <c r="EO31" s="77"/>
      <c r="EP31" s="77"/>
      <c r="EQ31" s="77"/>
      <c r="ER31" s="77"/>
      <c r="ES31" s="77"/>
      <c r="ET31" s="77"/>
      <c r="EU31" s="77"/>
      <c r="EV31" s="77"/>
      <c r="EW31" s="77"/>
      <c r="EX31" s="77"/>
      <c r="EY31" s="77"/>
      <c r="EZ31" s="77"/>
      <c r="FA31" s="57"/>
    </row>
    <row r="32" spans="1:157" s="13" customFormat="1" ht="15">
      <c r="A32" s="57"/>
      <c r="B32" s="58"/>
      <c r="C32" s="58"/>
      <c r="D32" s="58"/>
      <c r="E32" s="58"/>
      <c r="F32" s="58"/>
      <c r="G32" s="58"/>
      <c r="H32" s="58"/>
      <c r="I32" s="58"/>
      <c r="J32" s="58"/>
      <c r="K32" s="58"/>
      <c r="L32" s="58"/>
      <c r="M32" s="58"/>
      <c r="N32" s="58"/>
      <c r="O32" s="58"/>
      <c r="P32" s="58"/>
      <c r="Q32" s="58"/>
      <c r="R32" s="69"/>
      <c r="S32" s="81"/>
      <c r="T32" s="81"/>
      <c r="U32" s="81"/>
      <c r="V32" s="77"/>
      <c r="W32" s="77"/>
      <c r="X32" s="77"/>
      <c r="Y32" s="77"/>
      <c r="Z32" s="77"/>
      <c r="AA32" s="77"/>
      <c r="AB32" s="77"/>
      <c r="AC32" s="77"/>
      <c r="AD32" s="77"/>
      <c r="AE32" s="77"/>
      <c r="AF32" s="89"/>
      <c r="AG32" s="89"/>
      <c r="AH32" s="89"/>
      <c r="AI32" s="89"/>
      <c r="AJ32" s="89"/>
      <c r="AK32" s="90"/>
      <c r="AL32" s="90"/>
      <c r="AM32" s="90"/>
      <c r="AN32" s="77"/>
      <c r="AO32" s="77"/>
      <c r="AP32" s="77"/>
      <c r="AQ32" s="77"/>
      <c r="AR32" s="77"/>
      <c r="AS32" s="77"/>
      <c r="AT32" s="77"/>
      <c r="AU32" s="77"/>
      <c r="AV32" s="77"/>
      <c r="AW32" s="77"/>
      <c r="AX32" s="77"/>
      <c r="AY32" s="77"/>
      <c r="AZ32" s="77"/>
      <c r="BA32" s="77"/>
      <c r="BB32" s="77"/>
      <c r="BC32" s="77"/>
      <c r="BD32" s="77"/>
      <c r="BE32" s="77"/>
      <c r="BF32" s="77"/>
      <c r="BG32" s="77"/>
      <c r="BH32" s="77"/>
      <c r="BI32" s="77"/>
      <c r="BJ32" s="77"/>
      <c r="BK32" s="77"/>
      <c r="BL32" s="77"/>
      <c r="BM32" s="77"/>
      <c r="BN32" s="77"/>
      <c r="BO32" s="77"/>
      <c r="BP32" s="77"/>
      <c r="BQ32" s="77"/>
      <c r="BR32" s="77"/>
      <c r="BS32" s="77"/>
      <c r="BT32" s="77"/>
      <c r="BU32" s="77"/>
      <c r="BV32" s="77"/>
      <c r="BW32" s="77"/>
      <c r="BX32" s="77"/>
      <c r="BY32" s="77"/>
      <c r="BZ32" s="77"/>
      <c r="CA32" s="77"/>
      <c r="CB32" s="77"/>
      <c r="CC32" s="77"/>
      <c r="CD32" s="77"/>
      <c r="CE32" s="77"/>
      <c r="CF32" s="77"/>
      <c r="CG32" s="77"/>
      <c r="CH32" s="77"/>
      <c r="CI32" s="77"/>
      <c r="CJ32" s="77"/>
      <c r="CK32" s="77"/>
      <c r="CL32" s="77"/>
      <c r="CM32" s="77"/>
      <c r="CN32" s="77"/>
      <c r="CO32" s="77"/>
      <c r="CP32" s="77"/>
      <c r="CQ32" s="77"/>
      <c r="CR32" s="77"/>
      <c r="CS32" s="77"/>
      <c r="CT32" s="77"/>
      <c r="CU32" s="77"/>
      <c r="CV32" s="77"/>
      <c r="CW32" s="77"/>
      <c r="CX32" s="77"/>
      <c r="CY32" s="77"/>
      <c r="CZ32" s="77"/>
      <c r="DA32" s="77"/>
      <c r="DB32" s="77"/>
      <c r="DC32" s="77"/>
      <c r="DD32" s="77"/>
      <c r="DE32" s="77"/>
      <c r="DF32" s="77"/>
      <c r="DG32" s="77"/>
      <c r="DH32" s="77"/>
      <c r="DI32" s="77"/>
      <c r="DJ32" s="77"/>
      <c r="DK32" s="77"/>
      <c r="DL32" s="77"/>
      <c r="DM32" s="77"/>
      <c r="DN32" s="77"/>
      <c r="DO32" s="77"/>
      <c r="DP32" s="77"/>
      <c r="DQ32" s="77"/>
      <c r="DR32" s="77"/>
      <c r="DS32" s="77"/>
      <c r="DT32" s="77"/>
      <c r="DU32" s="77"/>
      <c r="DV32" s="77"/>
      <c r="DW32" s="77"/>
      <c r="DX32" s="77"/>
      <c r="DY32" s="77"/>
      <c r="DZ32" s="77"/>
      <c r="EA32" s="77"/>
      <c r="EB32" s="77"/>
      <c r="EC32" s="77"/>
      <c r="ED32" s="77"/>
      <c r="EE32" s="77"/>
      <c r="EF32" s="77"/>
      <c r="EG32" s="77"/>
      <c r="EH32" s="77"/>
      <c r="EI32" s="77"/>
      <c r="EJ32" s="77"/>
      <c r="EK32" s="77"/>
      <c r="EL32" s="77"/>
      <c r="EM32" s="77"/>
      <c r="EN32" s="77"/>
      <c r="EO32" s="77"/>
      <c r="EP32" s="77"/>
      <c r="EQ32" s="77"/>
      <c r="ER32" s="77"/>
      <c r="ES32" s="77"/>
      <c r="ET32" s="77"/>
      <c r="EU32" s="77"/>
      <c r="EV32" s="77"/>
      <c r="EW32" s="77"/>
      <c r="EX32" s="77"/>
      <c r="EY32" s="77"/>
      <c r="EZ32" s="77"/>
      <c r="FA32" s="57"/>
    </row>
    <row r="33" spans="1:157" s="13" customFormat="1" ht="15">
      <c r="A33" s="57"/>
      <c r="B33" s="58"/>
      <c r="C33" s="58"/>
      <c r="D33" s="58"/>
      <c r="E33" s="58"/>
      <c r="F33" s="58"/>
      <c r="G33" s="58"/>
      <c r="H33" s="58"/>
      <c r="I33" s="58"/>
      <c r="J33" s="58"/>
      <c r="K33" s="58"/>
      <c r="L33" s="58"/>
      <c r="M33" s="58"/>
      <c r="N33" s="58"/>
      <c r="O33" s="58"/>
      <c r="P33" s="58"/>
      <c r="Q33" s="58"/>
      <c r="R33" s="69"/>
      <c r="S33" s="81"/>
      <c r="T33" s="81"/>
      <c r="U33" s="81"/>
      <c r="V33" s="81"/>
      <c r="W33" s="77"/>
      <c r="X33" s="77"/>
      <c r="Y33" s="77"/>
      <c r="Z33" s="77"/>
      <c r="AA33" s="77"/>
      <c r="AB33" s="77"/>
      <c r="AC33" s="77"/>
      <c r="AD33" s="77"/>
      <c r="AE33" s="77"/>
      <c r="AF33" s="77"/>
      <c r="AG33" s="77"/>
      <c r="AH33" s="77"/>
      <c r="AI33" s="77"/>
      <c r="AJ33" s="77"/>
      <c r="AK33" s="77"/>
      <c r="AL33" s="77"/>
      <c r="AM33" s="77"/>
      <c r="AN33" s="77"/>
      <c r="AO33" s="77"/>
      <c r="AP33" s="77"/>
      <c r="AQ33" s="77"/>
      <c r="AR33" s="77"/>
      <c r="AS33" s="77"/>
      <c r="AT33" s="77"/>
      <c r="AU33" s="77"/>
      <c r="AV33" s="77"/>
      <c r="AW33" s="77"/>
      <c r="AX33" s="77"/>
      <c r="AY33" s="77"/>
      <c r="AZ33" s="77"/>
      <c r="BA33" s="77"/>
      <c r="BB33" s="77"/>
      <c r="BC33" s="77"/>
      <c r="BD33" s="77"/>
      <c r="BE33" s="77"/>
      <c r="BF33" s="77"/>
      <c r="BG33" s="77"/>
      <c r="BH33" s="77"/>
      <c r="BI33" s="77"/>
      <c r="BJ33" s="77"/>
      <c r="BK33" s="77"/>
      <c r="BL33" s="77"/>
      <c r="BM33" s="77"/>
      <c r="BN33" s="77"/>
      <c r="BO33" s="77"/>
      <c r="BP33" s="77"/>
      <c r="BQ33" s="77"/>
      <c r="BR33" s="77"/>
      <c r="BS33" s="77"/>
      <c r="BT33" s="77"/>
      <c r="BU33" s="77"/>
      <c r="BV33" s="77"/>
      <c r="BW33" s="77"/>
      <c r="BX33" s="77"/>
      <c r="BY33" s="77"/>
      <c r="BZ33" s="77"/>
      <c r="CA33" s="77"/>
      <c r="CB33" s="77"/>
      <c r="CC33" s="77"/>
      <c r="CD33" s="77"/>
      <c r="CE33" s="77"/>
      <c r="CF33" s="77"/>
      <c r="CG33" s="77"/>
      <c r="CH33" s="77"/>
      <c r="CI33" s="77"/>
      <c r="CJ33" s="77"/>
      <c r="CK33" s="77"/>
      <c r="CL33" s="77"/>
      <c r="CM33" s="77"/>
      <c r="CN33" s="77"/>
      <c r="CO33" s="77"/>
      <c r="CP33" s="77"/>
      <c r="CQ33" s="77"/>
      <c r="CR33" s="77"/>
      <c r="CS33" s="77"/>
      <c r="CT33" s="77"/>
      <c r="CU33" s="77"/>
      <c r="CV33" s="77"/>
      <c r="CW33" s="77"/>
      <c r="CX33" s="77"/>
      <c r="CY33" s="77"/>
      <c r="CZ33" s="77"/>
      <c r="DA33" s="77"/>
      <c r="DB33" s="77"/>
      <c r="DC33" s="77"/>
      <c r="DD33" s="77"/>
      <c r="DE33" s="77"/>
      <c r="DF33" s="77"/>
      <c r="DG33" s="77"/>
      <c r="DH33" s="77"/>
      <c r="DI33" s="77"/>
      <c r="DJ33" s="77"/>
      <c r="DK33" s="77"/>
      <c r="DL33" s="77"/>
      <c r="DM33" s="77"/>
      <c r="DN33" s="77"/>
      <c r="DO33" s="77"/>
      <c r="DP33" s="77"/>
      <c r="DQ33" s="77"/>
      <c r="DR33" s="77"/>
      <c r="DS33" s="77"/>
      <c r="DT33" s="77"/>
      <c r="DU33" s="77"/>
      <c r="DV33" s="77"/>
      <c r="DW33" s="77"/>
      <c r="DX33" s="77"/>
      <c r="DY33" s="77"/>
      <c r="DZ33" s="77"/>
      <c r="EA33" s="77"/>
      <c r="EB33" s="77"/>
      <c r="EC33" s="77"/>
      <c r="ED33" s="77"/>
      <c r="EE33" s="77"/>
      <c r="EF33" s="77"/>
      <c r="EG33" s="77"/>
      <c r="EH33" s="77"/>
      <c r="EI33" s="77"/>
      <c r="EJ33" s="77"/>
      <c r="EK33" s="77"/>
      <c r="EL33" s="77"/>
      <c r="EM33" s="77"/>
      <c r="EN33" s="77"/>
      <c r="EO33" s="77"/>
      <c r="EP33" s="77"/>
      <c r="EQ33" s="77"/>
      <c r="ER33" s="77"/>
      <c r="ES33" s="77"/>
      <c r="ET33" s="77"/>
      <c r="EU33" s="77"/>
      <c r="EV33" s="77"/>
      <c r="EW33" s="77"/>
      <c r="EX33" s="77"/>
      <c r="EY33" s="77"/>
      <c r="EZ33" s="77"/>
      <c r="FA33" s="57"/>
    </row>
    <row r="34" spans="1:157" s="13" customFormat="1" ht="15">
      <c r="A34" s="57"/>
      <c r="B34" s="58"/>
      <c r="C34" s="58"/>
      <c r="D34" s="58"/>
      <c r="E34" s="58"/>
      <c r="F34" s="58"/>
      <c r="G34" s="58"/>
      <c r="H34" s="58"/>
      <c r="I34" s="58"/>
      <c r="J34" s="58"/>
      <c r="K34" s="58"/>
      <c r="L34" s="58"/>
      <c r="M34" s="58"/>
      <c r="N34" s="58"/>
      <c r="O34" s="58"/>
      <c r="P34" s="58"/>
      <c r="Q34" s="58"/>
      <c r="R34" s="69"/>
      <c r="S34" s="81"/>
      <c r="T34" s="81"/>
      <c r="U34" s="81"/>
      <c r="V34" s="81"/>
      <c r="W34" s="77"/>
      <c r="X34" s="77"/>
      <c r="Y34" s="77"/>
      <c r="Z34" s="77"/>
      <c r="AA34" s="77"/>
      <c r="AB34" s="77"/>
      <c r="AC34" s="77"/>
      <c r="AD34" s="77"/>
      <c r="AE34" s="77"/>
      <c r="AF34" s="77"/>
      <c r="AG34" s="77"/>
      <c r="AH34" s="77"/>
      <c r="AI34" s="77"/>
      <c r="AJ34" s="77"/>
      <c r="AK34" s="77"/>
      <c r="AL34" s="77"/>
      <c r="AM34" s="91"/>
      <c r="AN34" s="77"/>
      <c r="AO34" s="77"/>
      <c r="AP34" s="77"/>
      <c r="AQ34" s="77"/>
      <c r="AR34" s="77"/>
      <c r="AS34" s="77"/>
      <c r="AT34" s="77"/>
      <c r="AU34" s="77"/>
      <c r="AV34" s="77"/>
      <c r="AW34" s="77"/>
      <c r="AX34" s="77"/>
      <c r="AY34" s="77"/>
      <c r="AZ34" s="77"/>
      <c r="BA34" s="77"/>
      <c r="BB34" s="77"/>
      <c r="BC34" s="77"/>
      <c r="BD34" s="77"/>
      <c r="BE34" s="77"/>
      <c r="BF34" s="77"/>
      <c r="BG34" s="77"/>
      <c r="BH34" s="77"/>
      <c r="BI34" s="77"/>
      <c r="BJ34" s="77"/>
      <c r="BK34" s="77"/>
      <c r="BL34" s="77"/>
      <c r="BM34" s="77"/>
      <c r="BN34" s="77"/>
      <c r="BO34" s="77"/>
      <c r="BP34" s="77"/>
      <c r="BQ34" s="77"/>
      <c r="BR34" s="77"/>
      <c r="BS34" s="77"/>
      <c r="BT34" s="77"/>
      <c r="BU34" s="77"/>
      <c r="BV34" s="77"/>
      <c r="BW34" s="77"/>
      <c r="BX34" s="77"/>
      <c r="BY34" s="77"/>
      <c r="BZ34" s="77"/>
      <c r="CA34" s="77"/>
      <c r="CB34" s="77"/>
      <c r="CC34" s="77"/>
      <c r="CD34" s="77"/>
      <c r="CE34" s="77"/>
      <c r="CF34" s="77"/>
      <c r="CG34" s="77"/>
      <c r="CH34" s="77"/>
      <c r="CI34" s="77"/>
      <c r="CJ34" s="77"/>
      <c r="CK34" s="77"/>
      <c r="CL34" s="77"/>
      <c r="CM34" s="77"/>
      <c r="CN34" s="77"/>
      <c r="CO34" s="77"/>
      <c r="CP34" s="77"/>
      <c r="CQ34" s="77"/>
      <c r="CR34" s="77"/>
      <c r="CS34" s="77"/>
      <c r="CT34" s="77"/>
      <c r="CU34" s="77"/>
      <c r="CV34" s="77"/>
      <c r="CW34" s="77"/>
      <c r="CX34" s="77"/>
      <c r="CY34" s="77"/>
      <c r="CZ34" s="77"/>
      <c r="DA34" s="77"/>
      <c r="DB34" s="77"/>
      <c r="DC34" s="77"/>
      <c r="DD34" s="77"/>
      <c r="DE34" s="77"/>
      <c r="DF34" s="77"/>
      <c r="DG34" s="77"/>
      <c r="DH34" s="77"/>
      <c r="DI34" s="77"/>
      <c r="DJ34" s="77"/>
      <c r="DK34" s="77"/>
      <c r="DL34" s="77"/>
      <c r="DM34" s="77"/>
      <c r="DN34" s="77"/>
      <c r="DO34" s="77"/>
      <c r="DP34" s="77"/>
      <c r="DQ34" s="77"/>
      <c r="DR34" s="77"/>
      <c r="DS34" s="77"/>
      <c r="DT34" s="77"/>
      <c r="DU34" s="77"/>
      <c r="DV34" s="77"/>
      <c r="DW34" s="77"/>
      <c r="DX34" s="77"/>
      <c r="DY34" s="77"/>
      <c r="DZ34" s="77"/>
      <c r="EA34" s="77"/>
      <c r="EB34" s="77"/>
      <c r="EC34" s="77"/>
      <c r="ED34" s="77"/>
      <c r="EE34" s="77"/>
      <c r="EF34" s="77"/>
      <c r="EG34" s="77"/>
      <c r="EH34" s="77"/>
      <c r="EI34" s="77"/>
      <c r="EJ34" s="77"/>
      <c r="EK34" s="77"/>
      <c r="EL34" s="77"/>
      <c r="EM34" s="77"/>
      <c r="EN34" s="77"/>
      <c r="EO34" s="77"/>
      <c r="EP34" s="77"/>
      <c r="EQ34" s="77"/>
      <c r="ER34" s="77"/>
      <c r="ES34" s="77"/>
      <c r="ET34" s="77"/>
      <c r="EU34" s="77"/>
      <c r="EV34" s="77"/>
      <c r="EW34" s="77"/>
      <c r="EX34" s="77"/>
      <c r="EY34" s="77"/>
      <c r="EZ34" s="77"/>
      <c r="FA34" s="57"/>
    </row>
    <row r="35" spans="1:157" s="13" customFormat="1" ht="15">
      <c r="A35" s="57"/>
      <c r="B35" s="58"/>
      <c r="C35" s="58"/>
      <c r="D35" s="58"/>
      <c r="E35" s="58"/>
      <c r="F35" s="58"/>
      <c r="G35" s="58"/>
      <c r="H35" s="58"/>
      <c r="I35" s="58"/>
      <c r="J35" s="58"/>
      <c r="K35" s="58"/>
      <c r="L35" s="58"/>
      <c r="M35" s="58"/>
      <c r="N35" s="58"/>
      <c r="O35" s="58"/>
      <c r="P35" s="58"/>
      <c r="Q35" s="58"/>
      <c r="R35" s="69"/>
      <c r="S35" s="81"/>
      <c r="T35" s="81"/>
      <c r="U35" s="81"/>
      <c r="V35" s="81"/>
      <c r="W35" s="77"/>
      <c r="X35" s="77"/>
      <c r="Y35" s="77"/>
      <c r="Z35" s="77"/>
      <c r="AA35" s="77"/>
      <c r="AB35" s="77"/>
      <c r="AC35" s="77"/>
      <c r="AD35" s="77"/>
      <c r="AE35" s="77"/>
      <c r="AF35" s="77"/>
      <c r="AG35" s="77"/>
      <c r="AH35" s="77"/>
      <c r="AI35" s="77"/>
      <c r="AJ35" s="77"/>
      <c r="AK35" s="77"/>
      <c r="AL35" s="77"/>
      <c r="AM35" s="77"/>
      <c r="AN35" s="77"/>
      <c r="AO35" s="77"/>
      <c r="AP35" s="77"/>
      <c r="AQ35" s="77"/>
      <c r="AR35" s="77"/>
      <c r="AS35" s="77"/>
      <c r="AT35" s="77"/>
      <c r="AU35" s="77"/>
      <c r="AV35" s="77"/>
      <c r="AW35" s="77"/>
      <c r="AX35" s="77"/>
      <c r="AY35" s="77"/>
      <c r="AZ35" s="77"/>
      <c r="BA35" s="77"/>
      <c r="BB35" s="77"/>
      <c r="BC35" s="77"/>
      <c r="BD35" s="77"/>
      <c r="BE35" s="77"/>
      <c r="BF35" s="77"/>
      <c r="BG35" s="77"/>
      <c r="BH35" s="77"/>
      <c r="BI35" s="77"/>
      <c r="BJ35" s="77"/>
      <c r="BK35" s="77"/>
      <c r="BL35" s="77"/>
      <c r="BM35" s="77"/>
      <c r="BN35" s="77"/>
      <c r="BO35" s="77"/>
      <c r="BP35" s="77"/>
      <c r="BQ35" s="77"/>
      <c r="BR35" s="77"/>
      <c r="BS35" s="77"/>
      <c r="BT35" s="77"/>
      <c r="BU35" s="77"/>
      <c r="BV35" s="77"/>
      <c r="BW35" s="77"/>
      <c r="BX35" s="77"/>
      <c r="BY35" s="77"/>
      <c r="BZ35" s="77"/>
      <c r="CA35" s="77"/>
      <c r="CB35" s="77"/>
      <c r="CC35" s="77"/>
      <c r="CD35" s="77"/>
      <c r="CE35" s="77"/>
      <c r="CF35" s="77"/>
      <c r="CG35" s="77"/>
      <c r="CH35" s="77"/>
      <c r="CI35" s="77"/>
      <c r="CJ35" s="77"/>
      <c r="CK35" s="77"/>
      <c r="CL35" s="77"/>
      <c r="CM35" s="77"/>
      <c r="CN35" s="77"/>
      <c r="CO35" s="77"/>
      <c r="CP35" s="77"/>
      <c r="CQ35" s="77"/>
      <c r="CR35" s="77"/>
      <c r="CS35" s="77"/>
      <c r="CT35" s="77"/>
      <c r="CU35" s="77"/>
      <c r="CV35" s="77"/>
      <c r="CW35" s="77"/>
      <c r="CX35" s="77"/>
      <c r="CY35" s="77"/>
      <c r="CZ35" s="77"/>
      <c r="DA35" s="77"/>
      <c r="DB35" s="77"/>
      <c r="DC35" s="77"/>
      <c r="DD35" s="77"/>
      <c r="DE35" s="77"/>
      <c r="DF35" s="77"/>
      <c r="DG35" s="77"/>
      <c r="DH35" s="77"/>
      <c r="DI35" s="77"/>
      <c r="DJ35" s="77"/>
      <c r="DK35" s="77"/>
      <c r="DL35" s="77"/>
      <c r="DM35" s="77"/>
      <c r="DN35" s="77"/>
      <c r="DO35" s="77"/>
      <c r="DP35" s="77"/>
      <c r="DQ35" s="77"/>
      <c r="DR35" s="77"/>
      <c r="DS35" s="77"/>
      <c r="DT35" s="77"/>
      <c r="DU35" s="77"/>
      <c r="DV35" s="77"/>
      <c r="DW35" s="77"/>
      <c r="DX35" s="77"/>
      <c r="DY35" s="77"/>
      <c r="DZ35" s="77"/>
      <c r="EA35" s="77"/>
      <c r="EB35" s="77"/>
      <c r="EC35" s="77"/>
      <c r="ED35" s="77"/>
      <c r="EE35" s="77"/>
      <c r="EF35" s="77"/>
      <c r="EG35" s="77"/>
      <c r="EH35" s="77"/>
      <c r="EI35" s="77"/>
      <c r="EJ35" s="77"/>
      <c r="EK35" s="77"/>
      <c r="EL35" s="77"/>
      <c r="EM35" s="77"/>
      <c r="EN35" s="77"/>
      <c r="EO35" s="77"/>
      <c r="EP35" s="77"/>
      <c r="EQ35" s="77"/>
      <c r="ER35" s="77"/>
      <c r="ES35" s="77"/>
      <c r="ET35" s="77"/>
      <c r="EU35" s="77"/>
      <c r="EV35" s="77"/>
      <c r="EW35" s="77"/>
      <c r="EX35" s="77"/>
      <c r="EY35" s="77"/>
      <c r="EZ35" s="77"/>
      <c r="FA35" s="57"/>
    </row>
    <row r="36" spans="1:157" s="13" customFormat="1" ht="15">
      <c r="A36" s="57"/>
      <c r="B36" s="58"/>
      <c r="C36" s="58"/>
      <c r="D36" s="58"/>
      <c r="E36" s="58"/>
      <c r="F36" s="58"/>
      <c r="G36" s="58"/>
      <c r="H36" s="58"/>
      <c r="I36" s="58"/>
      <c r="J36" s="58"/>
      <c r="K36" s="58"/>
      <c r="L36" s="58"/>
      <c r="M36" s="58"/>
      <c r="N36" s="58"/>
      <c r="O36" s="58"/>
      <c r="P36" s="58"/>
      <c r="Q36" s="58"/>
      <c r="R36" s="69"/>
      <c r="S36" s="81"/>
      <c r="T36" s="81"/>
      <c r="U36" s="81"/>
      <c r="V36" s="81"/>
      <c r="W36" s="77"/>
      <c r="X36" s="77"/>
      <c r="Y36" s="77"/>
      <c r="Z36" s="77"/>
      <c r="AA36" s="77"/>
      <c r="AB36" s="77"/>
      <c r="AC36" s="77"/>
      <c r="AD36" s="77"/>
      <c r="AE36" s="77"/>
      <c r="AF36" s="77"/>
      <c r="AG36" s="77"/>
      <c r="AH36" s="77"/>
      <c r="AI36" s="77"/>
      <c r="AJ36" s="77"/>
      <c r="AK36" s="77"/>
      <c r="AL36" s="77"/>
      <c r="AM36" s="77"/>
      <c r="AN36" s="77"/>
      <c r="AO36" s="77"/>
      <c r="AP36" s="77"/>
      <c r="AQ36" s="77"/>
      <c r="AR36" s="77"/>
      <c r="AS36" s="77"/>
      <c r="AT36" s="77"/>
      <c r="AU36" s="77"/>
      <c r="AV36" s="77"/>
      <c r="AW36" s="77"/>
      <c r="AX36" s="77"/>
      <c r="AY36" s="77"/>
      <c r="AZ36" s="77"/>
      <c r="BA36" s="77"/>
      <c r="BB36" s="77"/>
      <c r="BC36" s="77"/>
      <c r="BD36" s="77"/>
      <c r="BE36" s="77"/>
      <c r="BF36" s="77"/>
      <c r="BG36" s="77"/>
      <c r="BH36" s="77"/>
      <c r="BI36" s="77"/>
      <c r="BJ36" s="77"/>
      <c r="BK36" s="77"/>
      <c r="BL36" s="77"/>
      <c r="BM36" s="77"/>
      <c r="BN36" s="77"/>
      <c r="BO36" s="77"/>
      <c r="BP36" s="77"/>
      <c r="BQ36" s="77"/>
      <c r="BR36" s="77"/>
      <c r="BS36" s="77"/>
      <c r="BT36" s="77"/>
      <c r="BU36" s="77"/>
      <c r="BV36" s="77"/>
      <c r="BW36" s="77"/>
      <c r="BX36" s="77"/>
      <c r="BY36" s="77"/>
      <c r="BZ36" s="77"/>
      <c r="CA36" s="77"/>
      <c r="CB36" s="77"/>
      <c r="CC36" s="77"/>
      <c r="CD36" s="77"/>
      <c r="CE36" s="77"/>
      <c r="CF36" s="77"/>
      <c r="CG36" s="77"/>
      <c r="CH36" s="77"/>
      <c r="CI36" s="77"/>
      <c r="CJ36" s="77"/>
      <c r="CK36" s="77"/>
      <c r="CL36" s="77"/>
      <c r="CM36" s="77"/>
      <c r="CN36" s="77"/>
      <c r="CO36" s="77"/>
      <c r="CP36" s="77"/>
      <c r="CQ36" s="77"/>
      <c r="CR36" s="77"/>
      <c r="CS36" s="77"/>
      <c r="CT36" s="77"/>
      <c r="CU36" s="77"/>
      <c r="CV36" s="77"/>
      <c r="CW36" s="77"/>
      <c r="CX36" s="77"/>
      <c r="CY36" s="77"/>
      <c r="CZ36" s="77"/>
      <c r="DA36" s="77"/>
      <c r="DB36" s="77"/>
      <c r="DC36" s="77"/>
      <c r="DD36" s="77"/>
      <c r="DE36" s="77"/>
      <c r="DF36" s="77"/>
      <c r="DG36" s="77"/>
      <c r="DH36" s="77"/>
      <c r="DI36" s="77"/>
      <c r="DJ36" s="77"/>
      <c r="DK36" s="77"/>
      <c r="DL36" s="77"/>
      <c r="DM36" s="77"/>
      <c r="DN36" s="77"/>
      <c r="DO36" s="77"/>
      <c r="DP36" s="77"/>
      <c r="DQ36" s="77"/>
      <c r="DR36" s="77"/>
      <c r="DS36" s="77"/>
      <c r="DT36" s="77"/>
      <c r="DU36" s="77"/>
      <c r="DV36" s="77"/>
      <c r="DW36" s="77"/>
      <c r="DX36" s="77"/>
      <c r="DY36" s="77"/>
      <c r="DZ36" s="77"/>
      <c r="EA36" s="77"/>
      <c r="EB36" s="77"/>
      <c r="EC36" s="77"/>
      <c r="ED36" s="77"/>
      <c r="EE36" s="77"/>
      <c r="EF36" s="77"/>
      <c r="EG36" s="77"/>
      <c r="EH36" s="77"/>
      <c r="EI36" s="77"/>
      <c r="EJ36" s="77"/>
      <c r="EK36" s="77"/>
      <c r="EL36" s="77"/>
      <c r="EM36" s="77"/>
      <c r="EN36" s="77"/>
      <c r="EO36" s="77"/>
      <c r="EP36" s="77"/>
      <c r="EQ36" s="77"/>
      <c r="ER36" s="77"/>
      <c r="ES36" s="77"/>
      <c r="ET36" s="77"/>
      <c r="EU36" s="77"/>
      <c r="EV36" s="77"/>
      <c r="EW36" s="77"/>
      <c r="EX36" s="77"/>
      <c r="EY36" s="77"/>
      <c r="EZ36" s="77"/>
      <c r="FA36" s="57"/>
    </row>
    <row r="37" spans="1:157" s="13" customFormat="1" ht="15">
      <c r="A37" s="59"/>
      <c r="B37" s="58"/>
      <c r="C37" s="58"/>
      <c r="D37" s="58"/>
      <c r="E37" s="58"/>
      <c r="F37" s="58"/>
      <c r="G37" s="58"/>
      <c r="H37" s="58"/>
      <c r="I37" s="58"/>
      <c r="J37" s="58"/>
      <c r="K37" s="58"/>
      <c r="L37" s="58"/>
      <c r="M37" s="58"/>
      <c r="N37" s="58"/>
      <c r="O37" s="58"/>
      <c r="P37" s="58"/>
      <c r="Q37" s="58"/>
      <c r="R37" s="69"/>
      <c r="S37" s="81"/>
      <c r="T37" s="81"/>
      <c r="U37" s="81"/>
      <c r="V37" s="81"/>
      <c r="W37" s="77"/>
      <c r="X37" s="77"/>
      <c r="Y37" s="77"/>
      <c r="Z37" s="77"/>
      <c r="AA37" s="77"/>
      <c r="AB37" s="77"/>
      <c r="AC37" s="77"/>
      <c r="AD37" s="77"/>
      <c r="AE37" s="77"/>
      <c r="AF37" s="77"/>
      <c r="AG37" s="77"/>
      <c r="AH37" s="77"/>
      <c r="AI37" s="77"/>
      <c r="AJ37" s="77"/>
      <c r="AK37" s="77"/>
      <c r="AL37" s="77"/>
      <c r="AM37" s="77"/>
      <c r="AN37" s="77"/>
      <c r="AO37" s="77"/>
      <c r="AP37" s="77"/>
      <c r="AQ37" s="77"/>
      <c r="AR37" s="77"/>
      <c r="AS37" s="77"/>
      <c r="AT37" s="77"/>
      <c r="AU37" s="77"/>
      <c r="AV37" s="77"/>
      <c r="AW37" s="77"/>
      <c r="AX37" s="77"/>
      <c r="AY37" s="77"/>
      <c r="AZ37" s="77"/>
      <c r="BA37" s="77"/>
      <c r="BB37" s="77"/>
      <c r="BC37" s="77"/>
      <c r="BD37" s="77"/>
      <c r="BE37" s="77"/>
      <c r="BF37" s="77"/>
      <c r="BG37" s="77"/>
      <c r="BH37" s="77"/>
      <c r="BI37" s="77"/>
      <c r="BJ37" s="77"/>
      <c r="BK37" s="77"/>
      <c r="BL37" s="77"/>
      <c r="BM37" s="77"/>
      <c r="BN37" s="77"/>
      <c r="BO37" s="77"/>
      <c r="BP37" s="77"/>
      <c r="BQ37" s="77"/>
      <c r="BR37" s="77"/>
      <c r="BS37" s="77"/>
      <c r="BT37" s="77"/>
      <c r="BU37" s="77"/>
      <c r="BV37" s="77"/>
      <c r="BW37" s="77"/>
      <c r="BX37" s="77"/>
      <c r="BY37" s="77"/>
      <c r="BZ37" s="77"/>
      <c r="CA37" s="77"/>
      <c r="CB37" s="77"/>
      <c r="CC37" s="77"/>
      <c r="CD37" s="77"/>
      <c r="CE37" s="77"/>
      <c r="CF37" s="77"/>
      <c r="CG37" s="77"/>
      <c r="CH37" s="77"/>
      <c r="CI37" s="77"/>
      <c r="CJ37" s="77"/>
      <c r="CK37" s="77"/>
      <c r="CL37" s="77"/>
      <c r="CM37" s="77"/>
      <c r="CN37" s="77"/>
      <c r="CO37" s="77"/>
      <c r="CP37" s="77"/>
      <c r="CQ37" s="77"/>
      <c r="CR37" s="77"/>
      <c r="CS37" s="77"/>
      <c r="CT37" s="77"/>
      <c r="CU37" s="77"/>
      <c r="CV37" s="77"/>
      <c r="CW37" s="77"/>
      <c r="CX37" s="77"/>
      <c r="CY37" s="77"/>
      <c r="CZ37" s="77"/>
      <c r="DA37" s="77"/>
      <c r="DB37" s="77"/>
      <c r="DC37" s="77"/>
      <c r="DD37" s="77"/>
      <c r="DE37" s="77"/>
      <c r="DF37" s="77"/>
      <c r="DG37" s="77"/>
      <c r="DH37" s="77"/>
      <c r="DI37" s="77"/>
      <c r="DJ37" s="77"/>
      <c r="DK37" s="77"/>
      <c r="DL37" s="77"/>
      <c r="DM37" s="77"/>
      <c r="DN37" s="77"/>
      <c r="DO37" s="77"/>
      <c r="DP37" s="77"/>
      <c r="DQ37" s="77"/>
      <c r="DR37" s="77"/>
      <c r="DS37" s="77"/>
      <c r="DT37" s="77"/>
      <c r="DU37" s="77"/>
      <c r="DV37" s="77"/>
      <c r="DW37" s="77"/>
      <c r="DX37" s="77"/>
      <c r="DY37" s="77"/>
      <c r="DZ37" s="77"/>
      <c r="EA37" s="77"/>
      <c r="EB37" s="77"/>
      <c r="EC37" s="77"/>
      <c r="ED37" s="77"/>
      <c r="EE37" s="77"/>
      <c r="EF37" s="77"/>
      <c r="EG37" s="77"/>
      <c r="EH37" s="77"/>
      <c r="EI37" s="77"/>
      <c r="EJ37" s="77"/>
      <c r="EK37" s="77"/>
      <c r="EL37" s="77"/>
      <c r="EM37" s="77"/>
      <c r="EN37" s="77"/>
      <c r="EO37" s="77"/>
      <c r="EP37" s="77"/>
      <c r="EQ37" s="77"/>
      <c r="ER37" s="77"/>
      <c r="ES37" s="77"/>
      <c r="ET37" s="77"/>
      <c r="EU37" s="77"/>
      <c r="EV37" s="77"/>
      <c r="EW37" s="77"/>
      <c r="EX37" s="77"/>
      <c r="EY37" s="77"/>
      <c r="EZ37" s="77"/>
      <c r="FA37" s="57"/>
    </row>
    <row r="38" spans="1:157" s="13" customFormat="1" ht="15">
      <c r="A38" s="59"/>
      <c r="B38" s="58"/>
      <c r="C38" s="58"/>
      <c r="D38" s="58"/>
      <c r="E38" s="58"/>
      <c r="F38" s="58"/>
      <c r="G38" s="58"/>
      <c r="H38" s="58"/>
      <c r="I38" s="58"/>
      <c r="J38" s="58"/>
      <c r="K38" s="58"/>
      <c r="L38" s="58"/>
      <c r="M38" s="58"/>
      <c r="N38" s="58"/>
      <c r="O38" s="58"/>
      <c r="P38" s="58"/>
      <c r="Q38" s="58"/>
      <c r="R38" s="69"/>
      <c r="S38" s="81"/>
      <c r="T38" s="81"/>
      <c r="U38" s="81"/>
      <c r="V38" s="81"/>
      <c r="W38" s="77"/>
      <c r="X38" s="77"/>
      <c r="Y38" s="77"/>
      <c r="Z38" s="77"/>
      <c r="AA38" s="77"/>
      <c r="AB38" s="77"/>
      <c r="AC38" s="77"/>
      <c r="AD38" s="77"/>
      <c r="AE38" s="77"/>
      <c r="AF38" s="77"/>
      <c r="AG38" s="77"/>
      <c r="AH38" s="77"/>
      <c r="AI38" s="77"/>
      <c r="AJ38" s="77"/>
      <c r="AK38" s="77"/>
      <c r="AL38" s="77"/>
      <c r="AM38" s="77"/>
      <c r="AN38" s="77"/>
      <c r="AO38" s="77"/>
      <c r="AP38" s="77"/>
      <c r="AQ38" s="77"/>
      <c r="AR38" s="77"/>
      <c r="AS38" s="77"/>
      <c r="AT38" s="77"/>
      <c r="AU38" s="77"/>
      <c r="AV38" s="77"/>
      <c r="AW38" s="77"/>
      <c r="AX38" s="77"/>
      <c r="AY38" s="77"/>
      <c r="AZ38" s="77"/>
      <c r="BA38" s="77"/>
      <c r="BB38" s="77"/>
      <c r="BC38" s="77"/>
      <c r="BD38" s="77"/>
      <c r="BE38" s="77"/>
      <c r="BF38" s="77"/>
      <c r="BG38" s="77"/>
      <c r="BH38" s="77"/>
      <c r="BI38" s="77"/>
      <c r="BJ38" s="77"/>
      <c r="BK38" s="77"/>
      <c r="BL38" s="77"/>
      <c r="BM38" s="77"/>
      <c r="BN38" s="77"/>
      <c r="BO38" s="77"/>
      <c r="BP38" s="77"/>
      <c r="BQ38" s="77"/>
      <c r="BR38" s="77"/>
      <c r="BS38" s="77"/>
      <c r="BT38" s="77"/>
      <c r="BU38" s="77"/>
      <c r="BV38" s="77"/>
      <c r="BW38" s="77"/>
      <c r="BX38" s="77"/>
      <c r="BY38" s="77"/>
      <c r="BZ38" s="77"/>
      <c r="CA38" s="77"/>
      <c r="CB38" s="77"/>
      <c r="CC38" s="77"/>
      <c r="CD38" s="77"/>
      <c r="CE38" s="77"/>
      <c r="CF38" s="77"/>
      <c r="CG38" s="77"/>
      <c r="CH38" s="77"/>
      <c r="CI38" s="77"/>
      <c r="CJ38" s="77"/>
      <c r="CK38" s="77"/>
      <c r="CL38" s="77"/>
      <c r="CM38" s="77"/>
      <c r="CN38" s="77"/>
      <c r="CO38" s="77"/>
      <c r="CP38" s="77"/>
      <c r="CQ38" s="77"/>
      <c r="CR38" s="77"/>
      <c r="CS38" s="77"/>
      <c r="CT38" s="77"/>
      <c r="CU38" s="77"/>
      <c r="CV38" s="77"/>
      <c r="CW38" s="77"/>
      <c r="CX38" s="77"/>
      <c r="CY38" s="77"/>
      <c r="CZ38" s="77"/>
      <c r="DA38" s="77"/>
      <c r="DB38" s="77"/>
      <c r="DC38" s="77"/>
      <c r="DD38" s="77"/>
      <c r="DE38" s="77"/>
      <c r="DF38" s="77"/>
      <c r="DG38" s="77"/>
      <c r="DH38" s="77"/>
      <c r="DI38" s="77"/>
      <c r="DJ38" s="77"/>
      <c r="DK38" s="77"/>
      <c r="DL38" s="77"/>
      <c r="DM38" s="77"/>
      <c r="DN38" s="77"/>
      <c r="DO38" s="77"/>
      <c r="DP38" s="77"/>
      <c r="DQ38" s="77"/>
      <c r="DR38" s="77"/>
      <c r="DS38" s="77"/>
      <c r="DT38" s="77"/>
      <c r="DU38" s="77"/>
      <c r="DV38" s="77"/>
      <c r="DW38" s="77"/>
      <c r="DX38" s="77"/>
      <c r="DY38" s="77"/>
      <c r="DZ38" s="77"/>
      <c r="EA38" s="77"/>
      <c r="EB38" s="77"/>
      <c r="EC38" s="77"/>
      <c r="ED38" s="77"/>
      <c r="EE38" s="77"/>
      <c r="EF38" s="77"/>
      <c r="EG38" s="77"/>
      <c r="EH38" s="77"/>
      <c r="EI38" s="77"/>
      <c r="EJ38" s="77"/>
      <c r="EK38" s="77"/>
      <c r="EL38" s="77"/>
      <c r="EM38" s="77"/>
      <c r="EN38" s="77"/>
      <c r="EO38" s="77"/>
      <c r="EP38" s="77"/>
      <c r="EQ38" s="77"/>
      <c r="ER38" s="77"/>
      <c r="ES38" s="77"/>
      <c r="ET38" s="77"/>
      <c r="EU38" s="77"/>
      <c r="EV38" s="77"/>
      <c r="EW38" s="77"/>
      <c r="EX38" s="77"/>
      <c r="EY38" s="77"/>
      <c r="EZ38" s="77"/>
      <c r="FA38" s="57"/>
    </row>
    <row r="39" spans="1:157" s="95" customFormat="1" ht="15">
      <c r="A39" s="92"/>
      <c r="B39" s="93"/>
      <c r="C39" s="93"/>
      <c r="D39" s="93"/>
      <c r="E39" s="93"/>
      <c r="F39" s="93"/>
      <c r="G39" s="93"/>
      <c r="H39" s="93"/>
      <c r="I39" s="93"/>
      <c r="J39" s="93"/>
      <c r="K39" s="93"/>
      <c r="L39" s="93"/>
      <c r="M39" s="93"/>
      <c r="N39" s="93"/>
      <c r="O39" s="93"/>
      <c r="P39" s="93"/>
      <c r="Q39" s="93"/>
      <c r="R39" s="94"/>
      <c r="S39" s="81"/>
      <c r="T39" s="81"/>
      <c r="U39" s="81"/>
      <c r="V39" s="81"/>
      <c r="W39" s="77"/>
      <c r="X39" s="77"/>
      <c r="Y39" s="77"/>
      <c r="Z39" s="77"/>
      <c r="AA39" s="77"/>
      <c r="AB39" s="77"/>
      <c r="AC39" s="77"/>
      <c r="AD39" s="77"/>
      <c r="AE39" s="77"/>
      <c r="AF39" s="77"/>
      <c r="AG39" s="77"/>
      <c r="AH39" s="77"/>
      <c r="AI39" s="77"/>
      <c r="AJ39" s="77"/>
      <c r="AK39" s="77"/>
      <c r="AL39" s="77"/>
      <c r="AM39" s="77"/>
      <c r="AN39" s="77"/>
      <c r="AO39" s="77"/>
      <c r="AP39" s="77"/>
      <c r="AQ39" s="77"/>
      <c r="AR39" s="77"/>
      <c r="AS39" s="77"/>
      <c r="AT39" s="77"/>
      <c r="AU39" s="77"/>
      <c r="AV39" s="77"/>
      <c r="AW39" s="77"/>
      <c r="AX39" s="77"/>
      <c r="AY39" s="77"/>
      <c r="AZ39" s="77"/>
      <c r="BA39" s="77"/>
      <c r="BB39" s="77"/>
      <c r="BC39" s="77"/>
      <c r="BD39" s="77"/>
      <c r="BE39" s="77"/>
      <c r="BF39" s="77"/>
      <c r="BG39" s="77"/>
      <c r="BH39" s="77"/>
      <c r="BI39" s="77"/>
      <c r="BJ39" s="77"/>
      <c r="BK39" s="77"/>
      <c r="BL39" s="77"/>
      <c r="BM39" s="77"/>
      <c r="BN39" s="77"/>
      <c r="BO39" s="77"/>
      <c r="BP39" s="77"/>
      <c r="BQ39" s="77"/>
      <c r="BR39" s="77"/>
      <c r="BS39" s="77"/>
      <c r="BT39" s="77"/>
      <c r="BU39" s="77"/>
      <c r="BV39" s="77"/>
      <c r="BW39" s="77"/>
      <c r="BX39" s="77"/>
      <c r="BY39" s="77"/>
      <c r="BZ39" s="77"/>
      <c r="CA39" s="77"/>
      <c r="CB39" s="77"/>
      <c r="CC39" s="77"/>
      <c r="CD39" s="77"/>
      <c r="CE39" s="77"/>
      <c r="CF39" s="77"/>
      <c r="CG39" s="77"/>
      <c r="CH39" s="77"/>
      <c r="CI39" s="77"/>
      <c r="CJ39" s="77"/>
      <c r="CK39" s="77"/>
      <c r="CL39" s="77"/>
      <c r="CM39" s="77"/>
      <c r="CN39" s="77"/>
      <c r="CO39" s="77"/>
      <c r="CP39" s="77"/>
      <c r="CQ39" s="77"/>
      <c r="CR39" s="77"/>
      <c r="CS39" s="77"/>
      <c r="CT39" s="77"/>
      <c r="CU39" s="77"/>
      <c r="CV39" s="77"/>
      <c r="CW39" s="77"/>
      <c r="CX39" s="77"/>
      <c r="CY39" s="77"/>
      <c r="CZ39" s="77"/>
      <c r="DA39" s="77"/>
      <c r="DB39" s="77"/>
      <c r="DC39" s="77"/>
      <c r="DD39" s="77"/>
      <c r="DE39" s="77"/>
      <c r="DF39" s="77"/>
      <c r="DG39" s="77"/>
      <c r="DH39" s="77"/>
      <c r="DI39" s="77"/>
      <c r="DJ39" s="77"/>
      <c r="DK39" s="77"/>
      <c r="DL39" s="77"/>
      <c r="DM39" s="77"/>
      <c r="DN39" s="77"/>
      <c r="DO39" s="77"/>
      <c r="DP39" s="77"/>
      <c r="DQ39" s="77"/>
      <c r="DR39" s="77"/>
      <c r="DS39" s="77"/>
      <c r="DT39" s="77"/>
      <c r="DU39" s="77"/>
      <c r="DV39" s="77"/>
      <c r="DW39" s="77"/>
      <c r="DX39" s="77"/>
      <c r="DY39" s="77"/>
      <c r="DZ39" s="77"/>
      <c r="EA39" s="77"/>
      <c r="EB39" s="77"/>
      <c r="EC39" s="77"/>
      <c r="ED39" s="77"/>
      <c r="EE39" s="77"/>
      <c r="EF39" s="77"/>
      <c r="EG39" s="77"/>
      <c r="EH39" s="77"/>
      <c r="EI39" s="77"/>
      <c r="EJ39" s="77"/>
      <c r="EK39" s="77"/>
      <c r="EL39" s="77"/>
      <c r="EM39" s="77"/>
      <c r="EN39" s="77"/>
      <c r="EO39" s="77"/>
      <c r="EP39" s="77"/>
      <c r="EQ39" s="77"/>
      <c r="ER39" s="77"/>
      <c r="ES39" s="77"/>
      <c r="ET39" s="77"/>
      <c r="EU39" s="77"/>
      <c r="EV39" s="77"/>
      <c r="EW39" s="77"/>
      <c r="EX39" s="77"/>
      <c r="EY39" s="77"/>
      <c r="EZ39" s="77"/>
      <c r="FA39" s="92"/>
    </row>
    <row r="40" spans="1:157" s="77" customFormat="1" ht="15">
      <c r="B40" s="81"/>
      <c r="C40" s="81"/>
      <c r="D40" s="81"/>
      <c r="E40" s="81"/>
      <c r="F40" s="81"/>
      <c r="G40" s="81"/>
      <c r="H40" s="81"/>
      <c r="I40" s="81"/>
      <c r="J40" s="81"/>
      <c r="K40" s="81"/>
      <c r="L40" s="81"/>
      <c r="M40" s="81"/>
      <c r="N40" s="81"/>
      <c r="O40" s="81"/>
      <c r="P40" s="81"/>
      <c r="Q40" s="81"/>
      <c r="R40" s="81"/>
      <c r="S40" s="81"/>
      <c r="T40" s="81"/>
      <c r="U40" s="81"/>
      <c r="V40" s="81"/>
    </row>
    <row r="41" spans="1:157" s="77" customFormat="1" ht="12"/>
    <row r="42" spans="1:157" s="77" customFormat="1" ht="12"/>
    <row r="43" spans="1:157" s="77" customFormat="1" ht="12"/>
    <row r="44" spans="1:157" s="77" customFormat="1" ht="12"/>
    <row r="45" spans="1:157" s="77" customFormat="1" ht="15">
      <c r="A45" s="81"/>
    </row>
    <row r="46" spans="1:157" s="77" customFormat="1" ht="12"/>
    <row r="47" spans="1:157" s="77" customFormat="1" ht="12"/>
    <row r="48" spans="1:157" s="77" customFormat="1" ht="12"/>
    <row r="49" s="77" customFormat="1" ht="12"/>
    <row r="50" s="77" customFormat="1" ht="12"/>
    <row r="51" s="77" customFormat="1" ht="12"/>
    <row r="52" s="77" customFormat="1" ht="12"/>
    <row r="53" s="77" customFormat="1" ht="12"/>
    <row r="54" s="77" customFormat="1" ht="12"/>
    <row r="55" s="77" customFormat="1" ht="12"/>
    <row r="56" s="77" customFormat="1" ht="12"/>
    <row r="57" s="77" customFormat="1" ht="12"/>
    <row r="58" s="77" customFormat="1" ht="12"/>
    <row r="59" s="77" customFormat="1" ht="12"/>
    <row r="60" s="77" customFormat="1" ht="12"/>
    <row r="61" s="77" customFormat="1" ht="12"/>
    <row r="62" s="74" customFormat="1"/>
    <row r="63" s="74" customFormat="1"/>
    <row r="64" s="74" customFormat="1"/>
    <row r="65" s="74" customFormat="1"/>
    <row r="66" s="74" customFormat="1"/>
    <row r="67" s="74" customFormat="1"/>
    <row r="68" s="74" customFormat="1"/>
    <row r="69" s="74" customFormat="1"/>
    <row r="70" s="74" customFormat="1"/>
    <row r="71" s="74" customFormat="1"/>
    <row r="72" s="74" customFormat="1"/>
    <row r="73" s="74" customFormat="1"/>
    <row r="74" s="74" customFormat="1"/>
    <row r="75" s="74" customFormat="1"/>
    <row r="76" s="74" customFormat="1"/>
    <row r="77" s="74" customFormat="1"/>
    <row r="78" s="74" customFormat="1"/>
    <row r="79" s="74" customFormat="1"/>
    <row r="80" s="74" customFormat="1"/>
    <row r="81" s="74" customFormat="1"/>
    <row r="82" s="74" customFormat="1"/>
    <row r="83" s="74" customFormat="1"/>
    <row r="84" s="74" customFormat="1"/>
    <row r="85" s="74" customFormat="1"/>
    <row r="86" s="74" customFormat="1"/>
    <row r="87" s="74" customFormat="1"/>
    <row r="88" s="74" customFormat="1"/>
    <row r="89" s="74" customFormat="1"/>
    <row r="90" s="74" customFormat="1"/>
    <row r="91" s="74" customFormat="1"/>
    <row r="92" s="74" customFormat="1"/>
    <row r="93" s="74" customFormat="1"/>
    <row r="94" s="74" customFormat="1"/>
    <row r="95" s="74" customFormat="1"/>
    <row r="96" s="74" customFormat="1"/>
    <row r="97" s="74" customFormat="1"/>
    <row r="98" s="74" customFormat="1"/>
    <row r="99" s="74" customFormat="1"/>
    <row r="100" s="74" customFormat="1"/>
    <row r="101" s="74" customFormat="1"/>
    <row r="102" s="74" customFormat="1"/>
    <row r="103" s="74" customFormat="1"/>
    <row r="104" s="74" customFormat="1"/>
    <row r="105" s="74" customFormat="1"/>
    <row r="106" s="74" customFormat="1"/>
    <row r="107" s="74" customFormat="1"/>
    <row r="108" s="74" customFormat="1"/>
    <row r="109" s="74" customFormat="1"/>
    <row r="110" s="74" customFormat="1"/>
    <row r="111" s="74" customFormat="1"/>
    <row r="112" s="74" customFormat="1"/>
    <row r="113" s="74" customFormat="1"/>
    <row r="114" s="74" customFormat="1"/>
    <row r="115" s="74" customFormat="1"/>
    <row r="116" s="74" customFormat="1"/>
    <row r="117" s="74" customFormat="1"/>
    <row r="118" s="74" customFormat="1"/>
    <row r="119" s="74" customFormat="1"/>
    <row r="120" s="74" customFormat="1"/>
    <row r="121" s="74" customFormat="1"/>
    <row r="122" s="74" customFormat="1"/>
    <row r="123" s="74" customFormat="1"/>
    <row r="124" s="74" customFormat="1"/>
    <row r="125" s="74" customFormat="1"/>
    <row r="126" s="74" customFormat="1"/>
    <row r="127" s="74" customFormat="1"/>
    <row r="128" s="74" customFormat="1"/>
    <row r="129" s="74" customFormat="1"/>
    <row r="130" s="74" customFormat="1"/>
    <row r="131" s="74" customFormat="1"/>
    <row r="132" s="74" customFormat="1"/>
    <row r="133" s="74" customFormat="1"/>
    <row r="134" s="74" customFormat="1"/>
    <row r="135" s="74" customFormat="1"/>
    <row r="136" s="74" customFormat="1"/>
    <row r="137" s="74" customFormat="1"/>
    <row r="138" s="74" customFormat="1"/>
    <row r="139" s="74" customFormat="1"/>
    <row r="140" s="74" customFormat="1"/>
    <row r="141" s="74" customFormat="1"/>
    <row r="142" s="74" customFormat="1"/>
    <row r="143" s="74" customFormat="1"/>
    <row r="144" s="74" customFormat="1"/>
    <row r="145" s="74" customFormat="1"/>
    <row r="146" s="74" customFormat="1"/>
    <row r="147" s="74" customFormat="1"/>
    <row r="148" s="74" customFormat="1"/>
    <row r="149" s="74" customFormat="1"/>
    <row r="150" s="74" customFormat="1"/>
    <row r="151" s="74" customFormat="1"/>
    <row r="152" s="74" customFormat="1"/>
    <row r="153" s="74" customFormat="1"/>
    <row r="154" s="74" customFormat="1"/>
    <row r="155" s="74" customFormat="1"/>
    <row r="156" s="74" customFormat="1"/>
    <row r="157" s="74" customFormat="1"/>
    <row r="158" s="74" customFormat="1"/>
    <row r="159" s="74" customFormat="1"/>
    <row r="160" s="74" customFormat="1"/>
    <row r="161" s="74" customFormat="1"/>
    <row r="162" s="74" customFormat="1"/>
    <row r="163" s="74" customFormat="1"/>
    <row r="164" s="74" customFormat="1"/>
    <row r="165" s="74" customFormat="1"/>
    <row r="166" s="74" customFormat="1"/>
    <row r="167" s="74" customFormat="1"/>
    <row r="168" s="74" customFormat="1"/>
    <row r="169" s="74" customFormat="1"/>
    <row r="170" s="74" customFormat="1"/>
    <row r="171" s="74" customFormat="1"/>
    <row r="172" s="74" customFormat="1"/>
    <row r="173" s="74" customFormat="1"/>
    <row r="174" s="74" customFormat="1"/>
    <row r="175" s="74" customFormat="1"/>
    <row r="176" s="74" customFormat="1"/>
    <row r="177" s="74" customFormat="1"/>
    <row r="178" s="74" customFormat="1"/>
    <row r="179" s="74" customFormat="1"/>
    <row r="180" s="74" customFormat="1"/>
    <row r="181" s="74" customFormat="1"/>
    <row r="182" s="74" customFormat="1"/>
    <row r="183" s="74" customFormat="1"/>
    <row r="184" s="74" customFormat="1"/>
    <row r="185" s="74" customFormat="1"/>
    <row r="186" s="74" customFormat="1"/>
    <row r="187" s="74" customFormat="1"/>
    <row r="188" s="74" customFormat="1"/>
    <row r="189" s="74" customFormat="1"/>
    <row r="190" s="74" customFormat="1"/>
    <row r="191" s="74" customFormat="1"/>
    <row r="192" s="74" customFormat="1"/>
    <row r="193" s="74" customFormat="1"/>
    <row r="194" s="74" customFormat="1"/>
    <row r="195" s="74" customFormat="1"/>
    <row r="196" s="74" customFormat="1"/>
    <row r="197" s="74" customFormat="1"/>
    <row r="198" s="74" customFormat="1"/>
    <row r="199" s="74" customFormat="1"/>
    <row r="200" s="74" customFormat="1"/>
    <row r="201" s="74" customFormat="1"/>
    <row r="202" s="74" customFormat="1"/>
    <row r="203" s="74" customFormat="1"/>
    <row r="204" s="74" customFormat="1"/>
    <row r="205" s="74" customFormat="1"/>
    <row r="206" s="74" customFormat="1"/>
    <row r="207" s="74" customFormat="1"/>
    <row r="208" s="74" customFormat="1"/>
    <row r="209" s="74" customFormat="1"/>
    <row r="210" s="74" customFormat="1"/>
    <row r="211" s="74" customFormat="1"/>
    <row r="212" s="74" customFormat="1"/>
    <row r="213" s="74" customFormat="1"/>
    <row r="214" s="74" customFormat="1"/>
    <row r="215" s="74" customFormat="1"/>
    <row r="216" s="74" customFormat="1"/>
    <row r="217" s="74" customFormat="1"/>
    <row r="218" s="74" customFormat="1"/>
    <row r="219" s="74" customFormat="1"/>
    <row r="220" s="74" customFormat="1"/>
    <row r="221" s="74" customFormat="1"/>
    <row r="222" s="74" customFormat="1"/>
    <row r="223" s="74" customFormat="1"/>
    <row r="224" s="74" customFormat="1"/>
    <row r="225" s="74" customFormat="1"/>
    <row r="226" s="74" customFormat="1"/>
    <row r="227" s="74" customFormat="1"/>
    <row r="228" s="74" customFormat="1"/>
    <row r="229" s="74" customFormat="1"/>
    <row r="230" s="74" customFormat="1"/>
    <row r="231" s="74" customFormat="1"/>
    <row r="232" s="74" customFormat="1"/>
    <row r="233" s="74" customFormat="1"/>
    <row r="234" s="74" customFormat="1"/>
    <row r="235" s="74" customFormat="1"/>
    <row r="236" s="74" customFormat="1"/>
    <row r="237" s="74" customFormat="1"/>
    <row r="238" s="74" customFormat="1"/>
    <row r="239" s="74" customFormat="1"/>
    <row r="240" s="74" customFormat="1"/>
    <row r="241" s="74" customFormat="1"/>
    <row r="242" s="74" customFormat="1"/>
    <row r="243" s="74" customFormat="1"/>
    <row r="244" s="74" customFormat="1"/>
    <row r="245" s="74" customFormat="1"/>
    <row r="246" s="74" customFormat="1"/>
    <row r="247" s="74" customFormat="1"/>
    <row r="248" s="74" customFormat="1"/>
    <row r="249" s="74" customFormat="1"/>
    <row r="250" s="74" customFormat="1"/>
    <row r="251" s="74" customFormat="1"/>
    <row r="252" s="74" customFormat="1"/>
    <row r="253" s="74" customFormat="1"/>
    <row r="254" s="74" customFormat="1"/>
    <row r="255" s="74" customFormat="1"/>
    <row r="256" s="74" customFormat="1"/>
    <row r="257" s="74" customFormat="1"/>
    <row r="258" s="74" customFormat="1"/>
    <row r="259" s="74" customFormat="1"/>
    <row r="260" s="74" customFormat="1"/>
    <row r="261" s="74" customFormat="1"/>
    <row r="262" s="74" customFormat="1"/>
    <row r="263" s="74" customFormat="1"/>
    <row r="264" s="74" customFormat="1"/>
    <row r="265" s="74" customFormat="1"/>
    <row r="266" s="74" customFormat="1"/>
    <row r="267" s="74" customFormat="1"/>
    <row r="268" s="74" customFormat="1"/>
    <row r="269" s="74" customFormat="1"/>
    <row r="270" s="74" customFormat="1"/>
    <row r="271" s="74" customFormat="1"/>
    <row r="272" s="74" customFormat="1"/>
    <row r="273" s="74" customFormat="1"/>
    <row r="274" s="74" customFormat="1"/>
    <row r="275" s="74" customFormat="1"/>
    <row r="276" s="74" customFormat="1"/>
    <row r="277" s="74" customFormat="1"/>
    <row r="278" s="74" customFormat="1"/>
    <row r="279" s="74" customFormat="1"/>
    <row r="280" s="74" customFormat="1"/>
    <row r="281" s="74" customFormat="1"/>
    <row r="282" s="74" customFormat="1"/>
    <row r="283" s="74" customFormat="1"/>
    <row r="284" s="74" customFormat="1"/>
    <row r="285" s="74" customFormat="1"/>
    <row r="286" s="74" customFormat="1"/>
    <row r="287" s="74" customFormat="1"/>
    <row r="288" s="74" customFormat="1"/>
    <row r="289" s="74" customFormat="1"/>
    <row r="290" s="74" customFormat="1"/>
    <row r="291" s="74" customFormat="1"/>
    <row r="292" s="74" customFormat="1"/>
    <row r="293" s="74" customFormat="1"/>
    <row r="294" s="74" customFormat="1"/>
    <row r="295" s="74" customFormat="1"/>
    <row r="296" s="74" customFormat="1"/>
    <row r="297" s="74" customFormat="1"/>
    <row r="298" s="74" customFormat="1"/>
    <row r="299" s="74" customFormat="1"/>
    <row r="300" s="74" customFormat="1"/>
    <row r="301" s="74" customFormat="1"/>
    <row r="302" s="74" customFormat="1"/>
    <row r="303" s="74" customFormat="1"/>
    <row r="304" s="74" customFormat="1"/>
    <row r="305" s="74" customFormat="1"/>
    <row r="306" s="74" customFormat="1"/>
    <row r="307" s="74" customFormat="1"/>
    <row r="308" s="74" customFormat="1"/>
    <row r="309" s="74" customFormat="1"/>
    <row r="310" s="74" customFormat="1"/>
    <row r="311" s="74" customFormat="1"/>
    <row r="312" s="74" customFormat="1"/>
    <row r="313" s="74" customFormat="1"/>
    <row r="314" s="74" customFormat="1"/>
    <row r="315" s="74" customFormat="1"/>
    <row r="316" s="74" customFormat="1"/>
    <row r="317" s="74" customFormat="1"/>
    <row r="318" s="74" customFormat="1"/>
    <row r="319" s="74" customFormat="1"/>
    <row r="320" s="74" customFormat="1"/>
    <row r="321" s="74" customFormat="1"/>
    <row r="322" s="74" customFormat="1"/>
    <row r="323" s="74" customFormat="1"/>
    <row r="324" s="74" customFormat="1"/>
    <row r="325" s="74" customFormat="1"/>
    <row r="326" s="74" customFormat="1"/>
    <row r="327" s="74" customFormat="1"/>
    <row r="328" s="74" customFormat="1"/>
    <row r="329" s="74" customFormat="1"/>
    <row r="330" s="74" customFormat="1"/>
    <row r="331" s="74" customFormat="1"/>
    <row r="332" s="74" customFormat="1"/>
    <row r="333" s="74" customFormat="1"/>
    <row r="334" s="74" customFormat="1"/>
    <row r="335" s="74" customFormat="1"/>
    <row r="336" s="74" customFormat="1"/>
    <row r="337" s="74" customFormat="1"/>
    <row r="338" s="74" customFormat="1"/>
    <row r="339" s="74" customFormat="1"/>
    <row r="340" s="74" customFormat="1"/>
    <row r="341" s="74" customFormat="1"/>
    <row r="342" s="74" customFormat="1"/>
    <row r="343" s="74" customFormat="1"/>
    <row r="344" s="74" customFormat="1"/>
    <row r="345" s="74" customFormat="1"/>
    <row r="346" s="74" customFormat="1"/>
    <row r="347" s="74" customFormat="1"/>
    <row r="348" s="74" customFormat="1"/>
    <row r="349" s="74" customFormat="1"/>
    <row r="350" s="74" customFormat="1"/>
    <row r="351" s="74" customFormat="1"/>
    <row r="352" s="74" customFormat="1"/>
    <row r="353" s="74" customFormat="1"/>
    <row r="354" s="74" customFormat="1"/>
    <row r="355" s="74" customFormat="1"/>
    <row r="356" s="74" customFormat="1"/>
    <row r="357" s="74" customFormat="1"/>
    <row r="358" s="74" customFormat="1"/>
    <row r="359" s="74" customFormat="1"/>
    <row r="360" s="74" customFormat="1"/>
    <row r="361" s="74" customFormat="1"/>
    <row r="362" s="74" customFormat="1"/>
    <row r="363" s="74" customFormat="1"/>
    <row r="364" s="74" customFormat="1"/>
    <row r="365" s="74" customFormat="1"/>
    <row r="366" s="74" customFormat="1"/>
    <row r="367" s="74" customFormat="1"/>
    <row r="368" s="74" customFormat="1"/>
    <row r="369" s="74" customFormat="1"/>
    <row r="370" s="74" customFormat="1"/>
    <row r="371" s="74" customFormat="1"/>
    <row r="372" s="74" customFormat="1"/>
    <row r="373" s="74" customFormat="1"/>
    <row r="374" s="74" customFormat="1"/>
    <row r="375" s="74" customFormat="1"/>
    <row r="376" s="74" customFormat="1"/>
    <row r="377" s="74" customFormat="1"/>
    <row r="378" s="74" customFormat="1"/>
    <row r="379" s="74" customFormat="1"/>
    <row r="380" s="74" customFormat="1"/>
    <row r="381" s="74" customFormat="1"/>
    <row r="382" s="74" customFormat="1"/>
    <row r="383" s="74" customFormat="1"/>
    <row r="384" s="74" customFormat="1"/>
    <row r="385" s="74" customFormat="1"/>
    <row r="386" s="74" customFormat="1"/>
    <row r="387" s="74" customFormat="1"/>
    <row r="388" s="74" customFormat="1"/>
    <row r="389" s="74" customFormat="1"/>
    <row r="390" s="74" customFormat="1"/>
    <row r="391" s="74" customFormat="1"/>
    <row r="392" s="74" customFormat="1"/>
    <row r="393" s="74" customFormat="1"/>
    <row r="394" s="74" customFormat="1"/>
    <row r="395" s="74" customFormat="1"/>
    <row r="396" s="74" customFormat="1"/>
    <row r="397" s="74" customFormat="1"/>
    <row r="398" s="74" customFormat="1"/>
    <row r="399" s="74" customFormat="1"/>
    <row r="400" s="74" customFormat="1"/>
    <row r="401" s="74" customFormat="1"/>
    <row r="402" s="74" customFormat="1"/>
    <row r="403" s="74" customFormat="1"/>
    <row r="404" s="74" customFormat="1"/>
    <row r="405" s="74" customFormat="1"/>
    <row r="406" s="74" customFormat="1"/>
    <row r="407" s="74" customFormat="1"/>
    <row r="408" s="74" customFormat="1"/>
    <row r="409" s="74" customFormat="1"/>
    <row r="410" s="74" customFormat="1"/>
    <row r="411" s="74" customFormat="1"/>
    <row r="412" s="74" customFormat="1"/>
    <row r="413" s="74" customFormat="1"/>
    <row r="414" s="74" customFormat="1"/>
    <row r="415" s="74" customFormat="1"/>
    <row r="416" s="74" customFormat="1"/>
    <row r="417" s="74" customFormat="1"/>
    <row r="418" s="74" customFormat="1"/>
    <row r="419" s="74" customFormat="1"/>
    <row r="420" s="74" customFormat="1"/>
    <row r="421" s="74" customFormat="1"/>
    <row r="422" s="74" customFormat="1"/>
    <row r="423" s="74" customFormat="1"/>
    <row r="424" s="74" customFormat="1"/>
    <row r="425" s="74" customFormat="1"/>
    <row r="426" s="74" customFormat="1"/>
    <row r="427" s="74" customFormat="1"/>
    <row r="428" s="74" customFormat="1"/>
    <row r="429" s="74" customFormat="1"/>
    <row r="430" s="74" customFormat="1"/>
    <row r="431" s="74" customFormat="1"/>
    <row r="432" s="74" customFormat="1"/>
    <row r="433" s="74" customFormat="1"/>
    <row r="434" s="74" customFormat="1"/>
    <row r="435" s="74" customFormat="1"/>
    <row r="436" s="74" customFormat="1"/>
    <row r="437" s="74" customFormat="1"/>
    <row r="438" s="74" customFormat="1"/>
    <row r="439" s="74" customFormat="1"/>
    <row r="440" s="74" customFormat="1"/>
    <row r="441" s="74" customFormat="1"/>
    <row r="442" s="74" customFormat="1"/>
    <row r="443" s="74" customFormat="1"/>
    <row r="444" s="74" customFormat="1"/>
    <row r="445" s="74" customFormat="1"/>
    <row r="446" s="74" customFormat="1"/>
    <row r="447" s="74" customFormat="1"/>
    <row r="448" s="74" customFormat="1"/>
    <row r="449" s="74" customFormat="1"/>
    <row r="450" s="74" customFormat="1"/>
    <row r="451" s="74" customFormat="1"/>
    <row r="452" s="74" customFormat="1"/>
    <row r="453" s="74" customFormat="1"/>
    <row r="454" s="74" customFormat="1"/>
    <row r="455" s="74" customFormat="1"/>
    <row r="456" s="74" customFormat="1"/>
    <row r="457" s="74" customFormat="1"/>
    <row r="458" s="74" customFormat="1"/>
    <row r="459" s="74" customFormat="1"/>
    <row r="460" s="74" customFormat="1"/>
    <row r="461" s="74" customFormat="1"/>
    <row r="462" s="74" customFormat="1"/>
    <row r="463" s="74" customFormat="1"/>
    <row r="464" s="74" customFormat="1"/>
    <row r="465" s="74" customFormat="1"/>
    <row r="466" s="74" customFormat="1"/>
    <row r="467" s="74" customFormat="1"/>
    <row r="468" s="74" customFormat="1"/>
    <row r="469" s="74" customFormat="1"/>
    <row r="470" s="74" customFormat="1"/>
    <row r="471" s="74" customFormat="1"/>
    <row r="472" s="74" customFormat="1"/>
    <row r="473" s="74" customFormat="1"/>
    <row r="474" s="74" customFormat="1"/>
    <row r="475" s="74" customFormat="1"/>
    <row r="476" s="74" customFormat="1"/>
    <row r="477" s="74" customFormat="1"/>
    <row r="478" s="74" customFormat="1"/>
    <row r="479" s="74" customFormat="1"/>
    <row r="480" s="74" customFormat="1"/>
    <row r="481" s="74" customFormat="1"/>
    <row r="482" s="74" customFormat="1"/>
    <row r="483" s="74" customFormat="1"/>
    <row r="484" s="74" customFormat="1"/>
    <row r="485" s="74" customFormat="1"/>
    <row r="486" s="74" customFormat="1"/>
    <row r="487" s="74" customFormat="1"/>
    <row r="488" s="74" customFormat="1"/>
    <row r="489" s="74" customFormat="1"/>
    <row r="490" s="74" customFormat="1"/>
    <row r="491" s="74" customFormat="1"/>
    <row r="492" s="74" customFormat="1"/>
    <row r="493" s="74" customFormat="1"/>
    <row r="494" s="74" customFormat="1"/>
    <row r="495" s="74" customFormat="1"/>
    <row r="496" s="74" customFormat="1"/>
    <row r="497" s="74" customFormat="1"/>
    <row r="498" s="74" customFormat="1"/>
    <row r="499" s="74" customFormat="1"/>
    <row r="500" s="74" customFormat="1"/>
    <row r="501" s="74" customFormat="1"/>
    <row r="502" s="74" customFormat="1"/>
    <row r="503" s="74" customFormat="1"/>
    <row r="504" s="74" customFormat="1"/>
    <row r="505" s="74" customFormat="1"/>
    <row r="506" s="74" customFormat="1"/>
    <row r="507" s="74" customFormat="1"/>
    <row r="508" s="74" customFormat="1"/>
    <row r="509" s="74" customFormat="1"/>
    <row r="510" s="74" customFormat="1"/>
    <row r="511" s="74" customFormat="1"/>
    <row r="512" s="74" customFormat="1"/>
    <row r="513" s="74" customFormat="1"/>
    <row r="514" s="74" customFormat="1"/>
    <row r="515" s="74" customFormat="1"/>
    <row r="516" s="74" customFormat="1"/>
    <row r="517" s="74" customFormat="1"/>
    <row r="518" s="74" customFormat="1"/>
    <row r="519" s="74" customFormat="1"/>
    <row r="520" s="74" customFormat="1"/>
    <row r="521" s="74" customFormat="1"/>
    <row r="522" s="74" customFormat="1"/>
    <row r="523" s="74" customFormat="1"/>
    <row r="524" s="74" customFormat="1"/>
    <row r="525" s="74" customFormat="1"/>
    <row r="526" s="74" customFormat="1"/>
    <row r="527" s="74" customFormat="1"/>
    <row r="528" s="74" customFormat="1"/>
    <row r="529" s="74" customFormat="1"/>
    <row r="530" s="74" customFormat="1"/>
    <row r="531" s="74" customFormat="1"/>
    <row r="532" s="74" customFormat="1"/>
    <row r="533" s="74" customFormat="1"/>
    <row r="534" s="74" customFormat="1"/>
    <row r="535" s="74" customFormat="1"/>
    <row r="536" s="74" customFormat="1"/>
    <row r="537" s="74" customFormat="1"/>
    <row r="538" s="74" customFormat="1"/>
    <row r="539" s="74" customFormat="1"/>
    <row r="540" s="74" customFormat="1"/>
    <row r="541" s="74" customFormat="1"/>
    <row r="542" s="74" customFormat="1"/>
    <row r="543" s="74" customFormat="1"/>
    <row r="544" s="74" customFormat="1"/>
    <row r="545" s="74" customFormat="1"/>
    <row r="546" s="74" customFormat="1"/>
    <row r="547" s="74" customFormat="1"/>
    <row r="548" s="74" customFormat="1"/>
    <row r="549" s="74" customFormat="1"/>
    <row r="550" s="74" customFormat="1"/>
    <row r="551" s="74" customFormat="1"/>
    <row r="552" s="74" customFormat="1"/>
    <row r="553" s="74" customFormat="1"/>
    <row r="554" s="74" customFormat="1"/>
    <row r="555" s="74" customFormat="1"/>
    <row r="556" s="74" customFormat="1"/>
    <row r="557" s="74" customFormat="1"/>
    <row r="558" s="74" customFormat="1"/>
    <row r="559" s="74" customFormat="1"/>
    <row r="560" s="74" customFormat="1"/>
    <row r="561" s="74" customFormat="1"/>
    <row r="562" s="74" customFormat="1"/>
    <row r="563" s="74" customFormat="1"/>
    <row r="564" s="74" customFormat="1"/>
    <row r="565" s="74" customFormat="1"/>
    <row r="566" s="74" customFormat="1"/>
    <row r="567" s="74" customFormat="1"/>
    <row r="568" s="74" customFormat="1"/>
    <row r="569" s="74" customFormat="1"/>
    <row r="570" s="74" customFormat="1"/>
    <row r="571" s="74" customFormat="1"/>
    <row r="572" s="74" customFormat="1"/>
    <row r="573" s="74" customFormat="1"/>
    <row r="574" s="74" customFormat="1"/>
    <row r="575" s="74" customFormat="1"/>
    <row r="576" s="74" customFormat="1"/>
    <row r="577" s="74" customFormat="1"/>
    <row r="578" s="74" customFormat="1"/>
    <row r="579" s="74" customFormat="1"/>
    <row r="580" s="74" customFormat="1"/>
    <row r="581" s="74" customFormat="1"/>
    <row r="582" s="74" customFormat="1"/>
    <row r="583" s="74" customFormat="1"/>
    <row r="584" s="74" customFormat="1"/>
    <row r="585" s="74" customFormat="1"/>
    <row r="586" s="74" customFormat="1"/>
    <row r="587" s="74" customFormat="1"/>
    <row r="588" s="74" customFormat="1"/>
    <row r="589" s="74" customFormat="1"/>
    <row r="590" s="74" customFormat="1"/>
    <row r="591" s="74" customFormat="1"/>
    <row r="592" s="74" customFormat="1"/>
    <row r="593" s="74" customFormat="1"/>
    <row r="594" s="74" customFormat="1"/>
    <row r="595" s="74" customFormat="1"/>
    <row r="596" s="74" customFormat="1"/>
    <row r="597" s="74" customFormat="1"/>
    <row r="598" s="74" customFormat="1"/>
    <row r="599" s="74" customFormat="1"/>
    <row r="600" s="74" customFormat="1"/>
    <row r="601" s="74" customFormat="1"/>
    <row r="602" s="74" customFormat="1"/>
    <row r="603" s="74" customFormat="1"/>
    <row r="604" s="74" customFormat="1"/>
    <row r="605" s="74" customFormat="1"/>
    <row r="606" s="74" customFormat="1"/>
    <row r="607" s="74" customFormat="1"/>
    <row r="608" s="74" customFormat="1"/>
    <row r="609" s="74" customFormat="1"/>
    <row r="610" s="74" customFormat="1"/>
    <row r="611" s="74" customFormat="1"/>
    <row r="612" s="74" customFormat="1"/>
    <row r="613" s="74" customFormat="1"/>
    <row r="614" s="74" customFormat="1"/>
    <row r="615" s="74" customFormat="1"/>
    <row r="616" s="74" customFormat="1"/>
    <row r="617" s="74" customFormat="1"/>
    <row r="618" s="74" customFormat="1"/>
    <row r="619" s="74" customFormat="1"/>
    <row r="620" s="74" customFormat="1"/>
    <row r="621" s="74" customFormat="1"/>
    <row r="622" s="74" customFormat="1"/>
    <row r="623" s="74" customFormat="1"/>
    <row r="624" s="74" customFormat="1"/>
    <row r="625" s="74" customFormat="1"/>
    <row r="626" s="74" customFormat="1"/>
    <row r="627" s="74" customFormat="1"/>
    <row r="628" s="74" customFormat="1"/>
    <row r="629" s="74" customFormat="1"/>
    <row r="630" s="74" customFormat="1"/>
    <row r="631" s="74" customFormat="1"/>
    <row r="632" s="74" customFormat="1"/>
    <row r="633" s="74" customFormat="1"/>
    <row r="634" s="74" customFormat="1"/>
    <row r="635" s="74" customFormat="1"/>
    <row r="636" s="74" customFormat="1"/>
    <row r="637" s="74" customFormat="1"/>
    <row r="638" s="74" customFormat="1"/>
    <row r="639" s="74" customFormat="1"/>
    <row r="640" s="74" customFormat="1"/>
    <row r="641" s="74" customFormat="1"/>
    <row r="642" s="74" customFormat="1"/>
    <row r="643" s="74" customFormat="1"/>
    <row r="644" s="74" customFormat="1"/>
    <row r="645" s="74" customFormat="1"/>
    <row r="646" s="74" customFormat="1"/>
    <row r="647" s="74" customFormat="1"/>
    <row r="648" s="74" customFormat="1"/>
    <row r="649" s="74" customFormat="1"/>
    <row r="650" s="74" customFormat="1"/>
    <row r="651" s="74" customFormat="1"/>
    <row r="652" s="74" customFormat="1"/>
    <row r="653" s="74" customFormat="1"/>
    <row r="654" s="74" customFormat="1"/>
    <row r="655" s="74" customFormat="1"/>
    <row r="656" s="74" customFormat="1"/>
    <row r="657" s="74" customFormat="1"/>
    <row r="658" s="74" customFormat="1"/>
    <row r="659" s="74" customFormat="1"/>
    <row r="660" s="74" customFormat="1"/>
    <row r="661" s="74" customFormat="1"/>
    <row r="662" s="74" customFormat="1"/>
    <row r="663" s="74" customFormat="1"/>
    <row r="664" s="74" customFormat="1"/>
    <row r="665" s="74" customFormat="1"/>
    <row r="666" s="74" customFormat="1"/>
    <row r="667" s="74" customFormat="1"/>
    <row r="668" s="74" customFormat="1"/>
    <row r="669" s="74" customFormat="1"/>
    <row r="670" s="74" customFormat="1"/>
    <row r="671" s="74" customFormat="1"/>
    <row r="672" s="74" customFormat="1"/>
    <row r="673" s="74" customFormat="1"/>
    <row r="674" s="74" customFormat="1"/>
    <row r="675" s="74" customFormat="1"/>
    <row r="676" s="74" customFormat="1"/>
    <row r="677" s="74" customFormat="1"/>
    <row r="678" s="74" customFormat="1"/>
    <row r="679" s="74" customFormat="1"/>
    <row r="680" s="74" customFormat="1"/>
    <row r="681" s="74" customFormat="1"/>
    <row r="682" s="74" customFormat="1"/>
    <row r="683" s="74" customFormat="1"/>
    <row r="684" s="74" customFormat="1"/>
    <row r="685" s="74" customFormat="1"/>
    <row r="686" s="74" customFormat="1"/>
    <row r="687" s="74" customFormat="1"/>
    <row r="688" s="74" customFormat="1"/>
    <row r="689" s="74" customFormat="1"/>
    <row r="690" s="74" customFormat="1"/>
    <row r="691" s="74" customFormat="1"/>
    <row r="692" s="74" customFormat="1"/>
    <row r="693" s="74" customFormat="1"/>
    <row r="694" s="74" customFormat="1"/>
    <row r="695" s="74" customFormat="1"/>
    <row r="696" s="74" customFormat="1"/>
    <row r="697" s="74" customFormat="1"/>
    <row r="698" s="74" customFormat="1"/>
    <row r="699" s="74" customFormat="1"/>
    <row r="700" s="74" customFormat="1"/>
    <row r="701" s="74" customFormat="1"/>
    <row r="702" s="74" customFormat="1"/>
    <row r="703" s="74" customFormat="1"/>
    <row r="704" s="74" customFormat="1"/>
    <row r="705" s="74" customFormat="1"/>
    <row r="706" s="74" customFormat="1"/>
    <row r="707" s="74" customFormat="1"/>
    <row r="708" s="74" customFormat="1"/>
    <row r="709" s="74" customFormat="1"/>
    <row r="710" s="74" customFormat="1"/>
    <row r="711" s="74" customFormat="1"/>
    <row r="712" s="74" customFormat="1"/>
    <row r="713" s="74" customFormat="1"/>
    <row r="714" s="74" customFormat="1"/>
    <row r="715" s="74" customFormat="1"/>
    <row r="716" s="74" customFormat="1"/>
    <row r="717" s="74" customFormat="1"/>
    <row r="718" s="74" customFormat="1"/>
    <row r="719" s="74" customFormat="1"/>
    <row r="720" s="74" customFormat="1"/>
    <row r="721" s="74" customFormat="1"/>
    <row r="722" s="74" customFormat="1"/>
    <row r="723" s="74" customFormat="1"/>
    <row r="724" s="74" customFormat="1"/>
    <row r="725" s="74" customFormat="1"/>
    <row r="726" s="74" customFormat="1"/>
    <row r="727" s="74" customFormat="1"/>
    <row r="728" s="74" customFormat="1"/>
    <row r="729" s="74" customFormat="1"/>
    <row r="730" s="74" customFormat="1"/>
    <row r="731" s="74" customFormat="1"/>
    <row r="732" s="74" customFormat="1"/>
    <row r="733" s="74" customFormat="1"/>
    <row r="734" s="74" customFormat="1"/>
    <row r="735" s="74" customFormat="1"/>
    <row r="736" s="74" customFormat="1"/>
    <row r="737" spans="1:157" s="74" customFormat="1"/>
    <row r="738" spans="1:157" s="74" customFormat="1"/>
    <row r="739" spans="1:157" s="74" customFormat="1"/>
    <row r="740" spans="1:157" s="74" customFormat="1"/>
    <row r="741" spans="1:157" s="97" customFormat="1">
      <c r="A741" s="96"/>
      <c r="R741" s="98"/>
      <c r="S741" s="74"/>
      <c r="T741" s="74"/>
      <c r="U741" s="74"/>
      <c r="V741" s="74"/>
      <c r="W741" s="74"/>
      <c r="X741" s="74"/>
      <c r="Y741" s="74"/>
      <c r="Z741" s="74"/>
      <c r="AA741" s="74"/>
      <c r="AB741" s="74"/>
      <c r="AC741" s="74"/>
      <c r="AD741" s="74"/>
      <c r="AE741" s="74"/>
      <c r="AF741" s="74"/>
      <c r="AG741" s="74"/>
      <c r="AH741" s="74"/>
      <c r="AI741" s="74"/>
      <c r="AJ741" s="74"/>
      <c r="AK741" s="74"/>
      <c r="AL741" s="74"/>
      <c r="AM741" s="74"/>
      <c r="AN741" s="74"/>
      <c r="AO741" s="74"/>
      <c r="AP741" s="74"/>
      <c r="AQ741" s="74"/>
      <c r="AR741" s="74"/>
      <c r="AS741" s="74"/>
      <c r="AT741" s="74"/>
      <c r="AU741" s="74"/>
      <c r="AV741" s="74"/>
      <c r="AW741" s="74"/>
      <c r="AX741" s="74"/>
      <c r="AY741" s="74"/>
      <c r="AZ741" s="74"/>
      <c r="BA741" s="74"/>
      <c r="BB741" s="74"/>
      <c r="BC741" s="74"/>
      <c r="BD741" s="74"/>
      <c r="BE741" s="74"/>
      <c r="BF741" s="74"/>
      <c r="BG741" s="74"/>
      <c r="BH741" s="74"/>
      <c r="BI741" s="74"/>
      <c r="BJ741" s="74"/>
      <c r="BK741" s="74"/>
      <c r="BL741" s="74"/>
      <c r="BM741" s="74"/>
      <c r="BN741" s="74"/>
      <c r="BO741" s="74"/>
      <c r="BP741" s="74"/>
      <c r="BQ741" s="74"/>
      <c r="BR741" s="74"/>
      <c r="BS741" s="74"/>
      <c r="BT741" s="74"/>
      <c r="BU741" s="74"/>
      <c r="BV741" s="74"/>
      <c r="BW741" s="74"/>
      <c r="BX741" s="74"/>
      <c r="BY741" s="74"/>
      <c r="BZ741" s="74"/>
      <c r="CA741" s="74"/>
      <c r="CB741" s="74"/>
      <c r="CC741" s="74"/>
      <c r="CD741" s="74"/>
      <c r="CE741" s="74"/>
      <c r="CF741" s="74"/>
      <c r="CG741" s="74"/>
      <c r="CH741" s="74"/>
      <c r="CI741" s="74"/>
      <c r="CJ741" s="74"/>
      <c r="CK741" s="74"/>
      <c r="CL741" s="74"/>
      <c r="CM741" s="74"/>
      <c r="CN741" s="74"/>
      <c r="CO741" s="74"/>
      <c r="CP741" s="74"/>
      <c r="CQ741" s="74"/>
      <c r="CR741" s="74"/>
      <c r="CS741" s="74"/>
      <c r="CT741" s="74"/>
      <c r="CU741" s="74"/>
      <c r="CV741" s="74"/>
      <c r="CW741" s="74"/>
      <c r="CX741" s="74"/>
      <c r="CY741" s="74"/>
      <c r="CZ741" s="74"/>
      <c r="DA741" s="74"/>
      <c r="DB741" s="74"/>
      <c r="DC741" s="74"/>
      <c r="DD741" s="74"/>
      <c r="DE741" s="74"/>
      <c r="DF741" s="74"/>
      <c r="DG741" s="74"/>
      <c r="DH741" s="74"/>
      <c r="DI741" s="74"/>
      <c r="DJ741" s="74"/>
      <c r="DK741" s="74"/>
      <c r="DL741" s="74"/>
      <c r="DM741" s="74"/>
      <c r="DN741" s="74"/>
      <c r="DO741" s="74"/>
      <c r="DP741" s="74"/>
      <c r="DQ741" s="74"/>
      <c r="DR741" s="74"/>
      <c r="DS741" s="74"/>
      <c r="DT741" s="74"/>
      <c r="DU741" s="74"/>
      <c r="DV741" s="74"/>
      <c r="DW741" s="74"/>
      <c r="DX741" s="74"/>
      <c r="DY741" s="74"/>
      <c r="DZ741" s="74"/>
      <c r="EA741" s="74"/>
      <c r="EB741" s="74"/>
      <c r="EC741" s="74"/>
      <c r="ED741" s="74"/>
      <c r="EE741" s="74"/>
      <c r="EF741" s="74"/>
      <c r="EG741" s="74"/>
      <c r="EH741" s="74"/>
      <c r="EI741" s="74"/>
      <c r="EJ741" s="74"/>
      <c r="EK741" s="74"/>
      <c r="EL741" s="74"/>
      <c r="EM741" s="74"/>
      <c r="EN741" s="74"/>
      <c r="EO741" s="74"/>
      <c r="EP741" s="74"/>
      <c r="EQ741" s="74"/>
      <c r="ER741" s="74"/>
      <c r="ES741" s="74"/>
      <c r="ET741" s="74"/>
      <c r="EU741" s="74"/>
      <c r="EV741" s="74"/>
      <c r="EW741" s="74"/>
      <c r="EX741" s="74"/>
      <c r="EY741" s="74"/>
      <c r="EZ741" s="74"/>
      <c r="FA741" s="96"/>
    </row>
  </sheetData>
  <mergeCells count="2">
    <mergeCell ref="A1:Q1"/>
    <mergeCell ref="A2:Q2"/>
  </mergeCells>
  <pageMargins left="0.7" right="0.7" top="0.75" bottom="0.75" header="0.3" footer="0.3"/>
  <pageSetup scale="37" orientation="portrait" r:id="rId1"/>
  <colBreaks count="1" manualBreakCount="1">
    <brk id="18" max="38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12.1</vt:lpstr>
      <vt:lpstr>'12.1'!Print_Area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2024-09-24T09:27:20Z</cp:lastPrinted>
  <dcterms:created xsi:type="dcterms:W3CDTF">2019-05-21T05:57:00Z</dcterms:created>
  <dcterms:modified xsi:type="dcterms:W3CDTF">2024-09-24T09:27:33Z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1FFA511C9209493481C69AEC409D6FFC_12</vt:lpwstr>
  </property>
  <property fmtid="{D5CDD505-2E9C-101B-9397-08002B2CF9AE}" pid="3" name="KSOProductBuildVer">
    <vt:lpwstr>1033-12.2.0.17562</vt:lpwstr>
  </property>
</Properties>
</file>