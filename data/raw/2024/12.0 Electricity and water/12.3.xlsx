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333944A4-D2DE-41EC-A7BC-FF7D2C4F58D7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3" sheetId="35" r:id="rId1"/>
  </sheets>
  <definedNames>
    <definedName name="Male">#REF!</definedName>
    <definedName name="_xlnm.Print_Area" localSheetId="0">'12.3'!$A$1:$P$43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5" l="1"/>
  <c r="B41" i="35" l="1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1" i="35"/>
  <c r="B10" i="35"/>
  <c r="B16" i="35"/>
  <c r="B15" i="35"/>
  <c r="B14" i="35"/>
  <c r="B13" i="35"/>
  <c r="B12" i="35"/>
  <c r="B9" i="35"/>
  <c r="B8" i="35"/>
</calcChain>
</file>

<file path=xl/sharedStrings.xml><?xml version="1.0" encoding="utf-8"?>
<sst xmlns="http://schemas.openxmlformats.org/spreadsheetml/2006/main" count="91" uniqueCount="91">
  <si>
    <t>cnwt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</si>
  <si>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</si>
  <si>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</si>
  <si>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</si>
  <si>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</si>
  <si>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</si>
  <si>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</si>
  <si>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</si>
  <si>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</si>
  <si>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</si>
  <si>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</si>
  <si>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</si>
  <si>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</si>
  <si>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</si>
  <si>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</si>
  <si>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</si>
  <si>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</si>
  <si>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</si>
  <si>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K.Vilimale'</t>
  </si>
  <si>
    <t>K.Hulhumale</t>
  </si>
  <si>
    <t>K.Kaashidhoo</t>
  </si>
  <si>
    <t>K.Gaafaru</t>
  </si>
  <si>
    <t>K.Dhiffushi</t>
  </si>
  <si>
    <t>K.Thulusdhoo</t>
  </si>
  <si>
    <t>K.Himmafushi</t>
  </si>
  <si>
    <t>K.Thilafushi</t>
  </si>
  <si>
    <t>K.Gulhifalhu</t>
  </si>
  <si>
    <t>K.Gulhi</t>
  </si>
  <si>
    <t>K.Maafushi</t>
  </si>
  <si>
    <t>K.Guraidhoo</t>
  </si>
  <si>
    <t>AA.Ukulhas</t>
  </si>
  <si>
    <t>AA.Mathiveri</t>
  </si>
  <si>
    <t>AA.Bodufolhudhoo</t>
  </si>
  <si>
    <t>AA.Feridhoo</t>
  </si>
  <si>
    <t>AA.Maalhos</t>
  </si>
  <si>
    <t>AA.Himandhoo</t>
  </si>
  <si>
    <t>AA.Rasdhoo</t>
  </si>
  <si>
    <t>AA.Thoddoo</t>
  </si>
  <si>
    <t>ADh.Omadhoo</t>
  </si>
  <si>
    <t>ADh.Kunburudhoo</t>
  </si>
  <si>
    <t>ADh.Dhigurah</t>
  </si>
  <si>
    <t>ADh.Fenfushi</t>
  </si>
  <si>
    <t>ADh.Hangnameedhoo</t>
  </si>
  <si>
    <t>ADh.Dhihdhoo</t>
  </si>
  <si>
    <t>ADh.Mandhoo</t>
  </si>
  <si>
    <t>ADh.Dhangethi</t>
  </si>
  <si>
    <t>V.Felidhoo</t>
  </si>
  <si>
    <t>V.Fulidhoo</t>
  </si>
  <si>
    <t>V.Thinadhoo</t>
  </si>
  <si>
    <t>V.Keyodhoo</t>
  </si>
  <si>
    <t>V.Rakeedhoo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</si>
  <si>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2023</t>
  </si>
  <si>
    <t>Table  12.3 :   MONTHLY CONSUMPTION OF FUEL FOR ELECTRICITY GENERATION IN SELECTED LOCALITIES BY PUBLIC SECTOR, 2023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</si>
  <si>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</si>
  <si>
    <t>ކ. މާލެ</t>
  </si>
  <si>
    <t>ކ. ވިލިނގިލި</t>
  </si>
  <si>
    <t>ކ. ހުޅުމާލެ</t>
  </si>
  <si>
    <t>ކ. ކާށިދޫ</t>
  </si>
  <si>
    <t>ކ. ގާފަރު</t>
  </si>
  <si>
    <t>ކ. ދިއްފުށި</t>
  </si>
  <si>
    <t>ކ. ތުލުސްދޫ</t>
  </si>
  <si>
    <t>ކ. ހިންމަފުށި</t>
  </si>
  <si>
    <t>ކ. ތިލަފުށި</t>
  </si>
  <si>
    <t>ކ. ގުޅިފަޅު</t>
  </si>
  <si>
    <t>ކ. ގުޅި</t>
  </si>
  <si>
    <t>ކ. މާފުށި</t>
  </si>
  <si>
    <t>ކ. ގުރައިދޫ</t>
  </si>
  <si>
    <t>އއ.އުކުޅަސް</t>
  </si>
  <si>
    <t>އއ.މަތިވެރި</t>
  </si>
  <si>
    <t>އއ.ބޮޑުފުޅަދޫ</t>
  </si>
  <si>
    <t>އއ.ފެރިދޫ</t>
  </si>
  <si>
    <t>އއ.މާޅޮސް</t>
  </si>
  <si>
    <t>އއ.ހިމަންދޫ</t>
  </si>
  <si>
    <t>އއ.ރަސްދޫ</t>
  </si>
  <si>
    <t>އއ.ތޮއްޑޫ</t>
  </si>
  <si>
    <t>އދ.އޮމަދޫ</t>
  </si>
  <si>
    <t>އދ.ކުނބުރުދޫ</t>
  </si>
  <si>
    <t>އދ.ދިގުރަށް</t>
  </si>
  <si>
    <t>އދ.ފެންފުށި</t>
  </si>
  <si>
    <t>Adh.Mahibadhoo</t>
  </si>
  <si>
    <t>އދ.މަހިބަދޫ</t>
  </si>
  <si>
    <t>އދ.ހަންޏާމީދޫ</t>
  </si>
  <si>
    <t>އދ.ދިއްދޫ</t>
  </si>
  <si>
    <t>އދ.މަންދޫ</t>
  </si>
  <si>
    <t>އދ.ދަނގެތި</t>
  </si>
  <si>
    <t>ވ.ފެލިދޫ</t>
  </si>
  <si>
    <t>ވ.ފުލިދޫ</t>
  </si>
  <si>
    <t>ވ.ތިނަދޫ</t>
  </si>
  <si>
    <t>ވ.ކެޔޮދޫ</t>
  </si>
  <si>
    <t>ވ.ރަކީދޫ</t>
  </si>
  <si>
    <t>Greater Male'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</si>
</sst>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8">
    <font>
      <sz val="11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_Faseyha"/>
    </font>
    <font>
      <sz val="9"/>
      <color theme="1"/>
      <name val="A_Faseyha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10.5"/>
      <name val="A_Faseyha"/>
    </font>
    <font>
      <b/>
      <sz val="10.5"/>
      <name val="Calibri"/>
      <family val="2"/>
      <scheme val="minor"/>
    </font>
    <font>
      <b/>
      <sz val="12"/>
      <color theme="1"/>
      <name val="Faruma"/>
    </font>
    <font>
      <sz val="12"/>
      <color theme="1"/>
      <name val="Arial"/>
      <family val="2"/>
    </font>
    <font>
      <sz val="11"/>
      <color theme="1"/>
      <name val="Faruma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1" fillId="0" borderId="0"/>
    <xf numFmtId="0" fontId="2" fillId="0" borderId="0"/>
  </cellStyleXfs>
  <cellXfs count="39">
    <xf numFmtId="0" fontId="0" fillId="0" borderId="0" xfId="0"/>
    <xf numFmtId="0" fontId="4" fillId="2" borderId="5" xfId="0" applyFont="1" applyFill="1" applyBorder="1" applyAlignment="1">
      <alignment horizontal="left" vertical="center"/>
    </xf>
    <xf numFmtId="0" fontId="15" fillId="2" borderId="8" xfId="4" applyFont="1" applyFill="1" applyBorder="1" applyAlignment="1">
      <alignment vertical="center"/>
    </xf>
    <xf numFmtId="0" fontId="15" fillId="2" borderId="0" xfId="4" applyFont="1" applyFill="1" applyAlignment="1">
      <alignment vertical="center"/>
    </xf>
    <xf numFmtId="0" fontId="15" fillId="2" borderId="4" xfId="4" applyFont="1" applyFill="1" applyBorder="1" applyAlignment="1">
      <alignment vertical="center"/>
    </xf>
    <xf numFmtId="0" fontId="1" fillId="2" borderId="3" xfId="4" applyFont="1" applyFill="1" applyBorder="1" applyAlignment="1">
      <alignment vertical="center"/>
    </xf>
    <xf numFmtId="164" fontId="1" fillId="2" borderId="3" xfId="1" applyFont="1" applyFill="1" applyBorder="1" applyAlignment="1" applyProtection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 vertical="center" indent="1"/>
    </xf>
    <xf numFmtId="165" fontId="4" fillId="2" borderId="8" xfId="0" applyNumberFormat="1" applyFont="1" applyFill="1" applyBorder="1" applyAlignment="1">
      <alignment horizontal="right" vertical="center"/>
    </xf>
    <xf numFmtId="0" fontId="16" fillId="2" borderId="8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left" vertical="center" indent="1"/>
    </xf>
    <xf numFmtId="165" fontId="4" fillId="2" borderId="9" xfId="0" applyNumberFormat="1" applyFont="1" applyFill="1" applyBorder="1" applyAlignment="1">
      <alignment horizontal="right" vertical="center"/>
    </xf>
    <xf numFmtId="0" fontId="16" fillId="2" borderId="7" xfId="0" applyFont="1" applyFill="1" applyBorder="1" applyAlignment="1">
      <alignment horizontal="right" vertical="center"/>
    </xf>
    <xf numFmtId="0" fontId="10" fillId="2" borderId="2" xfId="4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15" fillId="2" borderId="1" xfId="4" applyFont="1" applyFill="1" applyBorder="1" applyAlignment="1">
      <alignment vertical="center"/>
    </xf>
    <xf numFmtId="0" fontId="15" fillId="2" borderId="12" xfId="4" applyFont="1" applyFill="1" applyBorder="1" applyAlignment="1">
      <alignment vertical="center"/>
    </xf>
    <xf numFmtId="165" fontId="3" fillId="2" borderId="8" xfId="0" applyNumberFormat="1" applyFont="1" applyFill="1" applyBorder="1" applyAlignment="1">
      <alignment horizontal="right" vertical="center"/>
    </xf>
    <xf numFmtId="165" fontId="3" fillId="2" borderId="9" xfId="0" applyNumberFormat="1" applyFont="1" applyFill="1" applyBorder="1" applyAlignment="1">
      <alignment horizontal="right" vertical="center"/>
    </xf>
    <xf numFmtId="164" fontId="1" fillId="2" borderId="13" xfId="1" applyFont="1" applyFill="1" applyBorder="1" applyAlignment="1" applyProtection="1">
      <alignment horizontal="right" vertical="center"/>
    </xf>
    <xf numFmtId="164" fontId="1" fillId="2" borderId="0" xfId="1" applyFont="1" applyFill="1" applyBorder="1" applyAlignment="1" applyProtection="1">
      <alignment horizontal="right" vertical="center"/>
    </xf>
    <xf numFmtId="0" fontId="5" fillId="2" borderId="13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 vertical="center" indent="2"/>
    </xf>
    <xf numFmtId="165" fontId="3" fillId="2" borderId="4" xfId="0" applyNumberFormat="1" applyFont="1" applyFill="1" applyBorder="1" applyAlignment="1">
      <alignment horizontal="right" vertical="center"/>
    </xf>
    <xf numFmtId="165" fontId="3" fillId="2" borderId="7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/>
    </xf>
    <xf numFmtId="0" fontId="9" fillId="2" borderId="9" xfId="4" applyFont="1" applyFill="1" applyBorder="1" applyAlignment="1">
      <alignment horizontal="center" vertical="top"/>
    </xf>
    <xf numFmtId="0" fontId="9" fillId="2" borderId="11" xfId="4" applyFont="1" applyFill="1" applyBorder="1" applyAlignment="1">
      <alignment horizontal="center" vertical="top"/>
    </xf>
    <xf numFmtId="0" fontId="9" fillId="2" borderId="6" xfId="4" applyFont="1" applyFill="1" applyBorder="1" applyAlignment="1">
      <alignment horizontal="center" vertical="top"/>
    </xf>
    <xf numFmtId="0" fontId="14" fillId="2" borderId="8" xfId="4" applyFont="1" applyFill="1" applyBorder="1" applyAlignment="1">
      <alignment horizontal="center" vertical="center"/>
    </xf>
    <xf numFmtId="0" fontId="14" fillId="2" borderId="10" xfId="4" applyFont="1" applyFill="1" applyBorder="1" applyAlignment="1">
      <alignment horizontal="center" vertical="center"/>
    </xf>
    <xf numFmtId="0" fontId="14" fillId="2" borderId="5" xfId="4" applyFont="1" applyFill="1" applyBorder="1" applyAlignment="1">
      <alignment horizontal="center" vertical="center"/>
    </xf>
    <xf numFmtId="0" fontId="9" fillId="2" borderId="8" xfId="4" applyFont="1" applyFill="1" applyBorder="1" applyAlignment="1">
      <alignment horizontal="center" vertical="center"/>
    </xf>
    <xf numFmtId="0" fontId="9" fillId="2" borderId="10" xfId="4" applyFont="1" applyFill="1" applyBorder="1" applyAlignment="1">
      <alignment horizontal="center" vertical="center"/>
    </xf>
    <xf numFmtId="0" fontId="9" fillId="2" borderId="5" xfId="4" applyFont="1" applyFill="1" applyBorder="1" applyAlignment="1">
      <alignment horizontal="center" vertical="center"/>
    </xf>
  </cellXfs>
  <cellStyles count="8">
    <cellStyle name="Comma 2" xfId="1" xr:uid="{00000000-0005-0000-0000-000001000000}"/>
    <cellStyle name="Comma 2 2" xfId="2" xr:uid="{00000000-0005-0000-0000-000002000000}"/>
    <cellStyle name="Comma 4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4" xfId="6" xr:uid="{00000000-0005-0000-0000-000007000000}"/>
    <cellStyle name="Normal 5" xfId="7" xr:uid="{00000000-0005-0000-0000-000008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D470-5F38-43B0-B7A8-F499D085D7FA}">
  <sheetPr>
    <tabColor rgb="FF92D050"/>
  </sheetPr>
  <dimension ref="A1:BN194"/>
  <sheetViews>
    <sheetView tabSelected="1" zoomScaleNormal="100" workbookViewId="0">
      <selection activeCell="V10" sqref="V10"/>
    </sheetView>
  </sheetViews>
  <sheetFormatPr defaultColWidth="11.140625" defaultRowHeight="15"/>
  <cols>
    <col min="1" max="1" width="18.140625" style="4" customWidth="1"/>
    <col min="2" max="2" width="12" style="4" customWidth="1"/>
    <col min="3" max="3" width="11.5703125" style="4" customWidth="1"/>
    <col min="4" max="14" width="9.7109375" style="4" customWidth="1"/>
    <col min="15" max="15" width="15.42578125" style="4" customWidth="1"/>
    <col min="16" max="16" width="1.85546875" style="2" customWidth="1"/>
    <col min="17" max="66" width="11.140625" style="3"/>
    <col min="67" max="16384" width="11.140625" style="4"/>
  </cols>
  <sheetData>
    <row r="1" spans="1:15" ht="21.75">
      <c r="A1" s="33" t="s">
        <v>51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</row>
    <row r="2" spans="1:15">
      <c r="A2" s="36" t="s">
        <v>52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/>
    </row>
    <row r="3" spans="1:15" ht="16.5">
      <c r="A3" s="29" t="s">
        <v>53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2"/>
    </row>
    <row r="5" spans="1:15" ht="15.7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7" t="s">
        <v>0</v>
      </c>
    </row>
    <row r="6" spans="1:15" ht="15.75">
      <c r="A6" s="1" t="s">
        <v>90</v>
      </c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5"/>
    </row>
    <row r="7" spans="1:15" ht="21">
      <c r="A7" s="26" t="s">
        <v>17</v>
      </c>
      <c r="B7" s="9">
        <f>SUM(C7:N7)</f>
        <v>75717.271000000022</v>
      </c>
      <c r="C7" s="21">
        <v>5220.7420000000002</v>
      </c>
      <c r="D7" s="21">
        <v>5604.4290000000001</v>
      </c>
      <c r="E7" s="21">
        <v>6806.8389999999999</v>
      </c>
      <c r="F7" s="21">
        <v>7062.8969999999999</v>
      </c>
      <c r="G7" s="21">
        <v>6537.6270000000004</v>
      </c>
      <c r="H7" s="21">
        <v>5924.8829999999998</v>
      </c>
      <c r="I7" s="21">
        <v>6079.0649999999996</v>
      </c>
      <c r="J7" s="21">
        <v>7018.1840000000002</v>
      </c>
      <c r="K7" s="21">
        <v>5951.9989999999998</v>
      </c>
      <c r="L7" s="21">
        <v>6787.4719999999998</v>
      </c>
      <c r="M7" s="21">
        <v>6100.924</v>
      </c>
      <c r="N7" s="27">
        <v>6622.21</v>
      </c>
      <c r="O7" s="10" t="s">
        <v>54</v>
      </c>
    </row>
    <row r="8" spans="1:15" ht="21">
      <c r="A8" s="26" t="s">
        <v>18</v>
      </c>
      <c r="B8" s="9">
        <f>SUM(C8:N8)</f>
        <v>3938.4920000000002</v>
      </c>
      <c r="C8" s="21">
        <v>282.69400000000002</v>
      </c>
      <c r="D8" s="21">
        <v>276.59399999999999</v>
      </c>
      <c r="E8" s="21">
        <v>333.51900000000001</v>
      </c>
      <c r="F8" s="21">
        <v>361.40899999999999</v>
      </c>
      <c r="G8" s="21">
        <v>356.94099999999997</v>
      </c>
      <c r="H8" s="21">
        <v>337.505</v>
      </c>
      <c r="I8" s="21">
        <v>337.32900000000001</v>
      </c>
      <c r="J8" s="21">
        <v>359.9</v>
      </c>
      <c r="K8" s="21">
        <v>319.08600000000001</v>
      </c>
      <c r="L8" s="21">
        <v>326.72300000000001</v>
      </c>
      <c r="M8" s="21">
        <v>320.95600000000002</v>
      </c>
      <c r="N8" s="27">
        <v>325.83600000000001</v>
      </c>
      <c r="O8" s="10" t="s">
        <v>55</v>
      </c>
    </row>
    <row r="9" spans="1:15" ht="21">
      <c r="A9" s="26" t="s">
        <v>19</v>
      </c>
      <c r="B9" s="9">
        <f>SUM(C9:N9)</f>
        <v>81565.487450000015</v>
      </c>
      <c r="C9" s="21">
        <v>6248.4674800000003</v>
      </c>
      <c r="D9" s="21">
        <v>5686.7857599999998</v>
      </c>
      <c r="E9" s="21">
        <v>6646.2128200000006</v>
      </c>
      <c r="F9" s="21">
        <v>6879.5421100000003</v>
      </c>
      <c r="G9" s="21">
        <v>7418.0564899999999</v>
      </c>
      <c r="H9" s="21">
        <v>7359.39869</v>
      </c>
      <c r="I9" s="21">
        <v>7067.57449</v>
      </c>
      <c r="J9" s="21">
        <v>7256.6701299999995</v>
      </c>
      <c r="K9" s="21">
        <v>6574.2821599999997</v>
      </c>
      <c r="L9" s="21">
        <v>6639.7892099999999</v>
      </c>
      <c r="M9" s="21">
        <v>6871.8106200000002</v>
      </c>
      <c r="N9" s="27">
        <v>6916.8974900000003</v>
      </c>
      <c r="O9" s="10" t="s">
        <v>56</v>
      </c>
    </row>
    <row r="10" spans="1:15" ht="21">
      <c r="A10" s="26" t="s">
        <v>25</v>
      </c>
      <c r="B10" s="9">
        <f>SUM(C10:N10)</f>
        <v>2466.6039999999998</v>
      </c>
      <c r="C10" s="21">
        <v>232.16900000000001</v>
      </c>
      <c r="D10" s="21">
        <v>203.18</v>
      </c>
      <c r="E10" s="21">
        <v>216.82599999999999</v>
      </c>
      <c r="F10" s="21">
        <v>217.863</v>
      </c>
      <c r="G10" s="21">
        <v>199.76900000000001</v>
      </c>
      <c r="H10" s="21">
        <v>199.93600000000001</v>
      </c>
      <c r="I10" s="21">
        <v>211.51599999999999</v>
      </c>
      <c r="J10" s="21">
        <v>204.18899999999999</v>
      </c>
      <c r="K10" s="21">
        <v>198.89</v>
      </c>
      <c r="L10" s="21">
        <v>207.75</v>
      </c>
      <c r="M10" s="21">
        <v>187.35400000000001</v>
      </c>
      <c r="N10" s="27">
        <v>187.16200000000001</v>
      </c>
      <c r="O10" s="10" t="s">
        <v>62</v>
      </c>
    </row>
    <row r="11" spans="1:15" ht="21">
      <c r="A11" s="26" t="s">
        <v>26</v>
      </c>
      <c r="B11" s="9">
        <f>SUM(C11:N11)</f>
        <v>505.47700000000003</v>
      </c>
      <c r="C11" s="21">
        <v>41.247</v>
      </c>
      <c r="D11" s="21">
        <v>36.284999999999997</v>
      </c>
      <c r="E11" s="21">
        <v>42.136000000000003</v>
      </c>
      <c r="F11" s="21">
        <v>46.082999999999998</v>
      </c>
      <c r="G11" s="21">
        <v>44.07</v>
      </c>
      <c r="H11" s="21">
        <v>40.423000000000002</v>
      </c>
      <c r="I11" s="21">
        <v>44.552</v>
      </c>
      <c r="J11" s="21">
        <v>41.432000000000002</v>
      </c>
      <c r="K11" s="21">
        <v>40.898000000000003</v>
      </c>
      <c r="L11" s="21">
        <v>41.631999999999998</v>
      </c>
      <c r="M11" s="21">
        <v>44.262</v>
      </c>
      <c r="N11" s="27">
        <v>42.457000000000001</v>
      </c>
      <c r="O11" s="10" t="s">
        <v>63</v>
      </c>
    </row>
    <row r="12" spans="1:15" ht="21">
      <c r="A12" s="8" t="s">
        <v>20</v>
      </c>
      <c r="B12" s="9">
        <f t="shared" ref="B12:B41" si="0">SUM(C12:N12)</f>
        <v>1278.83</v>
      </c>
      <c r="C12" s="21">
        <v>93.18</v>
      </c>
      <c r="D12" s="21">
        <v>88.18</v>
      </c>
      <c r="E12" s="21">
        <v>106.131</v>
      </c>
      <c r="F12" s="21">
        <v>126.952</v>
      </c>
      <c r="G12" s="21">
        <v>110.98</v>
      </c>
      <c r="H12" s="21">
        <v>103.544</v>
      </c>
      <c r="I12" s="21">
        <v>109.673</v>
      </c>
      <c r="J12" s="21">
        <v>118.446</v>
      </c>
      <c r="K12" s="21">
        <v>101.562</v>
      </c>
      <c r="L12" s="21">
        <v>107.94499999999999</v>
      </c>
      <c r="M12" s="21">
        <v>100.79300000000001</v>
      </c>
      <c r="N12" s="27">
        <v>111.444</v>
      </c>
      <c r="O12" s="10" t="s">
        <v>57</v>
      </c>
    </row>
    <row r="13" spans="1:15" ht="21">
      <c r="A13" s="8" t="s">
        <v>21</v>
      </c>
      <c r="B13" s="9">
        <f t="shared" si="0"/>
        <v>726.24900000000002</v>
      </c>
      <c r="C13" s="21">
        <v>54.537999999999997</v>
      </c>
      <c r="D13" s="21">
        <v>53.188000000000002</v>
      </c>
      <c r="E13" s="21">
        <v>65.396000000000001</v>
      </c>
      <c r="F13" s="21">
        <v>74.957999999999998</v>
      </c>
      <c r="G13" s="21">
        <v>63.624000000000002</v>
      </c>
      <c r="H13" s="21">
        <v>62.148000000000003</v>
      </c>
      <c r="I13" s="21">
        <v>61.345999999999997</v>
      </c>
      <c r="J13" s="21">
        <v>63.003999999999998</v>
      </c>
      <c r="K13" s="21">
        <v>52.798999999999999</v>
      </c>
      <c r="L13" s="21">
        <v>56.857999999999997</v>
      </c>
      <c r="M13" s="21">
        <v>57.786999999999999</v>
      </c>
      <c r="N13" s="27">
        <v>60.603000000000002</v>
      </c>
      <c r="O13" s="10" t="s">
        <v>58</v>
      </c>
    </row>
    <row r="14" spans="1:15" ht="21">
      <c r="A14" s="8" t="s">
        <v>22</v>
      </c>
      <c r="B14" s="9">
        <f t="shared" si="0"/>
        <v>953.47300000000007</v>
      </c>
      <c r="C14" s="21">
        <v>76.864999999999995</v>
      </c>
      <c r="D14" s="21">
        <v>74.861999999999995</v>
      </c>
      <c r="E14" s="21">
        <v>93.177999999999997</v>
      </c>
      <c r="F14" s="21">
        <v>95.855999999999995</v>
      </c>
      <c r="G14" s="21">
        <v>86.436999999999998</v>
      </c>
      <c r="H14" s="21">
        <v>84.557000000000002</v>
      </c>
      <c r="I14" s="21">
        <v>92.965000000000003</v>
      </c>
      <c r="J14" s="21">
        <v>93.373999999999995</v>
      </c>
      <c r="K14" s="21">
        <v>77.221999999999994</v>
      </c>
      <c r="L14" s="21">
        <v>85.701999999999998</v>
      </c>
      <c r="M14" s="21">
        <v>92.454999999999998</v>
      </c>
      <c r="N14" s="27">
        <v>0</v>
      </c>
      <c r="O14" s="10" t="s">
        <v>59</v>
      </c>
    </row>
    <row r="15" spans="1:15" ht="21">
      <c r="A15" s="8" t="s">
        <v>23</v>
      </c>
      <c r="B15" s="9">
        <f t="shared" si="0"/>
        <v>1424.4388200000003</v>
      </c>
      <c r="C15" s="21">
        <v>112.46455999999999</v>
      </c>
      <c r="D15" s="21">
        <v>96.881509999999992</v>
      </c>
      <c r="E15" s="21">
        <v>121.50110000000001</v>
      </c>
      <c r="F15" s="21">
        <v>130.76669000000001</v>
      </c>
      <c r="G15" s="21">
        <v>119.32297</v>
      </c>
      <c r="H15" s="21">
        <v>118.42488</v>
      </c>
      <c r="I15" s="21">
        <v>137.35805999999999</v>
      </c>
      <c r="J15" s="21">
        <v>134.02718999999999</v>
      </c>
      <c r="K15" s="21">
        <v>109.2957</v>
      </c>
      <c r="L15" s="21">
        <v>112.79519999999999</v>
      </c>
      <c r="M15" s="21">
        <v>112.99996</v>
      </c>
      <c r="N15" s="27">
        <v>118.601</v>
      </c>
      <c r="O15" s="10" t="s">
        <v>60</v>
      </c>
    </row>
    <row r="16" spans="1:15" ht="21">
      <c r="A16" s="8" t="s">
        <v>24</v>
      </c>
      <c r="B16" s="9">
        <f t="shared" si="0"/>
        <v>1367.7630000000001</v>
      </c>
      <c r="C16" s="21">
        <v>97.646000000000001</v>
      </c>
      <c r="D16" s="21">
        <v>96.007000000000005</v>
      </c>
      <c r="E16" s="21">
        <v>111.91800000000001</v>
      </c>
      <c r="F16" s="21">
        <v>126.80500000000001</v>
      </c>
      <c r="G16" s="21">
        <v>120.032</v>
      </c>
      <c r="H16" s="21">
        <v>120.015</v>
      </c>
      <c r="I16" s="21">
        <v>121.443</v>
      </c>
      <c r="J16" s="21">
        <v>128.54300000000001</v>
      </c>
      <c r="K16" s="21">
        <v>109.42400000000001</v>
      </c>
      <c r="L16" s="21">
        <v>111.026</v>
      </c>
      <c r="M16" s="21">
        <v>108.66500000000001</v>
      </c>
      <c r="N16" s="27">
        <v>116.239</v>
      </c>
      <c r="O16" s="10" t="s">
        <v>61</v>
      </c>
    </row>
    <row r="17" spans="1:15" ht="21">
      <c r="A17" s="8" t="s">
        <v>27</v>
      </c>
      <c r="B17" s="9">
        <f t="shared" si="0"/>
        <v>669.12000000000012</v>
      </c>
      <c r="C17" s="21">
        <v>53.228000000000002</v>
      </c>
      <c r="D17" s="21">
        <v>49.999000000000002</v>
      </c>
      <c r="E17" s="21">
        <v>58.963000000000001</v>
      </c>
      <c r="F17" s="21">
        <v>66.593999999999994</v>
      </c>
      <c r="G17" s="21">
        <v>57.045000000000002</v>
      </c>
      <c r="H17" s="21">
        <v>55.79</v>
      </c>
      <c r="I17" s="21">
        <v>56.776000000000003</v>
      </c>
      <c r="J17" s="21">
        <v>60.7</v>
      </c>
      <c r="K17" s="21">
        <v>49.695999999999998</v>
      </c>
      <c r="L17" s="21">
        <v>51.951000000000001</v>
      </c>
      <c r="M17" s="21">
        <v>52.277000000000001</v>
      </c>
      <c r="N17" s="27">
        <v>56.100999999999999</v>
      </c>
      <c r="O17" s="10" t="s">
        <v>64</v>
      </c>
    </row>
    <row r="18" spans="1:15" ht="21">
      <c r="A18" s="8" t="s">
        <v>28</v>
      </c>
      <c r="B18" s="9">
        <f t="shared" si="0"/>
        <v>4222.6549999999997</v>
      </c>
      <c r="C18" s="21">
        <v>335.601</v>
      </c>
      <c r="D18" s="21">
        <v>318.35199999999998</v>
      </c>
      <c r="E18" s="21">
        <v>358.78</v>
      </c>
      <c r="F18" s="21">
        <v>392.041</v>
      </c>
      <c r="G18" s="21">
        <v>360.56099999999998</v>
      </c>
      <c r="H18" s="21">
        <v>346.38</v>
      </c>
      <c r="I18" s="21">
        <v>356.726</v>
      </c>
      <c r="J18" s="21">
        <v>388.92599999999999</v>
      </c>
      <c r="K18" s="21">
        <v>329.37700000000001</v>
      </c>
      <c r="L18" s="21">
        <v>349.21300000000002</v>
      </c>
      <c r="M18" s="21">
        <v>331.65199999999999</v>
      </c>
      <c r="N18" s="27">
        <v>355.04599999999999</v>
      </c>
      <c r="O18" s="10" t="s">
        <v>65</v>
      </c>
    </row>
    <row r="19" spans="1:15" ht="21">
      <c r="A19" s="8" t="s">
        <v>29</v>
      </c>
      <c r="B19" s="9">
        <f t="shared" si="0"/>
        <v>1296.8530000000001</v>
      </c>
      <c r="C19" s="21">
        <v>97.009</v>
      </c>
      <c r="D19" s="21">
        <v>92.481999999999999</v>
      </c>
      <c r="E19" s="21">
        <v>111.557</v>
      </c>
      <c r="F19" s="21">
        <v>125.98699999999999</v>
      </c>
      <c r="G19" s="21">
        <v>112.87</v>
      </c>
      <c r="H19" s="21">
        <v>107.08499999999999</v>
      </c>
      <c r="I19" s="21">
        <v>109.673</v>
      </c>
      <c r="J19" s="21">
        <v>118.446</v>
      </c>
      <c r="K19" s="21">
        <v>101.562</v>
      </c>
      <c r="L19" s="21">
        <v>107.94499999999999</v>
      </c>
      <c r="M19" s="21">
        <v>100.79300000000001</v>
      </c>
      <c r="N19" s="27">
        <v>111.444</v>
      </c>
      <c r="O19" s="10" t="s">
        <v>66</v>
      </c>
    </row>
    <row r="20" spans="1:15" ht="21">
      <c r="A20" s="8" t="s">
        <v>30</v>
      </c>
      <c r="B20" s="9">
        <f t="shared" si="0"/>
        <v>1211.1770000000001</v>
      </c>
      <c r="C20" s="21">
        <v>98.05</v>
      </c>
      <c r="D20" s="21">
        <v>95.751999999999995</v>
      </c>
      <c r="E20" s="21">
        <v>114.075</v>
      </c>
      <c r="F20" s="21">
        <v>122.839</v>
      </c>
      <c r="G20" s="21">
        <v>104.82599999999999</v>
      </c>
      <c r="H20" s="21">
        <v>97.132999999999996</v>
      </c>
      <c r="I20" s="21">
        <v>88.992000000000004</v>
      </c>
      <c r="J20" s="21">
        <v>107.65600000000001</v>
      </c>
      <c r="K20" s="21">
        <v>94.41</v>
      </c>
      <c r="L20" s="21">
        <v>89.897000000000006</v>
      </c>
      <c r="M20" s="21">
        <v>96.043000000000006</v>
      </c>
      <c r="N20" s="27">
        <v>101.504</v>
      </c>
      <c r="O20" s="10" t="s">
        <v>67</v>
      </c>
    </row>
    <row r="21" spans="1:15" ht="21">
      <c r="A21" s="8" t="s">
        <v>31</v>
      </c>
      <c r="B21" s="9">
        <f t="shared" si="0"/>
        <v>587.51300000000003</v>
      </c>
      <c r="C21" s="21">
        <v>41.701000000000001</v>
      </c>
      <c r="D21" s="21">
        <v>42.393000000000001</v>
      </c>
      <c r="E21" s="21">
        <v>51.097999999999999</v>
      </c>
      <c r="F21" s="21">
        <v>57.000999999999998</v>
      </c>
      <c r="G21" s="21">
        <v>52.298999999999999</v>
      </c>
      <c r="H21" s="21">
        <v>49.823</v>
      </c>
      <c r="I21" s="21">
        <v>52.491999999999997</v>
      </c>
      <c r="J21" s="21">
        <v>55.222999999999999</v>
      </c>
      <c r="K21" s="21">
        <v>47.183999999999997</v>
      </c>
      <c r="L21" s="21">
        <v>45.356000000000002</v>
      </c>
      <c r="M21" s="21">
        <v>45.174999999999997</v>
      </c>
      <c r="N21" s="27">
        <v>47.768000000000001</v>
      </c>
      <c r="O21" s="10" t="s">
        <v>68</v>
      </c>
    </row>
    <row r="22" spans="1:15" ht="21">
      <c r="A22" s="8" t="s">
        <v>32</v>
      </c>
      <c r="B22" s="9">
        <f t="shared" si="0"/>
        <v>419.642</v>
      </c>
      <c r="C22" s="21">
        <v>30.21</v>
      </c>
      <c r="D22" s="21">
        <v>30.503</v>
      </c>
      <c r="E22" s="21">
        <v>37.695999999999998</v>
      </c>
      <c r="F22" s="21">
        <v>44.170999999999999</v>
      </c>
      <c r="G22" s="21">
        <v>37.523000000000003</v>
      </c>
      <c r="H22" s="21">
        <v>34.031999999999996</v>
      </c>
      <c r="I22" s="21">
        <v>35.917999999999999</v>
      </c>
      <c r="J22" s="21">
        <v>38.524999999999999</v>
      </c>
      <c r="K22" s="21">
        <v>31.265999999999998</v>
      </c>
      <c r="L22" s="21">
        <v>31.456</v>
      </c>
      <c r="M22" s="21">
        <v>33.531999999999996</v>
      </c>
      <c r="N22" s="27">
        <v>34.81</v>
      </c>
      <c r="O22" s="10" t="s">
        <v>69</v>
      </c>
    </row>
    <row r="23" spans="1:15" ht="21">
      <c r="A23" s="8" t="s">
        <v>33</v>
      </c>
      <c r="B23" s="9">
        <f t="shared" si="0"/>
        <v>368.39300000000003</v>
      </c>
      <c r="C23" s="21">
        <v>27.783000000000001</v>
      </c>
      <c r="D23" s="21">
        <v>26.222999999999999</v>
      </c>
      <c r="E23" s="21">
        <v>31.696999999999999</v>
      </c>
      <c r="F23" s="21">
        <v>33.57</v>
      </c>
      <c r="G23" s="21">
        <v>31.457999999999998</v>
      </c>
      <c r="H23" s="21">
        <v>30.474</v>
      </c>
      <c r="I23" s="21">
        <v>33.073</v>
      </c>
      <c r="J23" s="21">
        <v>33.250999999999998</v>
      </c>
      <c r="K23" s="21">
        <v>29.725000000000001</v>
      </c>
      <c r="L23" s="21">
        <v>30.268000000000001</v>
      </c>
      <c r="M23" s="21">
        <v>30.663</v>
      </c>
      <c r="N23" s="27">
        <v>30.207999999999998</v>
      </c>
      <c r="O23" s="10" t="s">
        <v>70</v>
      </c>
    </row>
    <row r="24" spans="1:15" ht="21">
      <c r="A24" s="8" t="s">
        <v>34</v>
      </c>
      <c r="B24" s="9">
        <f t="shared" si="0"/>
        <v>257.28899999999999</v>
      </c>
      <c r="C24" s="21">
        <v>19.45</v>
      </c>
      <c r="D24" s="21">
        <v>19.561</v>
      </c>
      <c r="E24" s="21">
        <v>21.696000000000002</v>
      </c>
      <c r="F24" s="21">
        <v>25.986999999999998</v>
      </c>
      <c r="G24" s="21">
        <v>23.63</v>
      </c>
      <c r="H24" s="21">
        <v>21.593</v>
      </c>
      <c r="I24" s="21">
        <v>22.629000000000001</v>
      </c>
      <c r="J24" s="21">
        <v>23.059000000000001</v>
      </c>
      <c r="K24" s="21">
        <v>19.702000000000002</v>
      </c>
      <c r="L24" s="21">
        <v>19.558</v>
      </c>
      <c r="M24" s="21">
        <v>19.817</v>
      </c>
      <c r="N24" s="27">
        <v>20.606999999999999</v>
      </c>
      <c r="O24" s="10" t="s">
        <v>71</v>
      </c>
    </row>
    <row r="25" spans="1:15" ht="21">
      <c r="A25" s="8" t="s">
        <v>35</v>
      </c>
      <c r="B25" s="9">
        <f t="shared" si="0"/>
        <v>492.76100000000002</v>
      </c>
      <c r="C25" s="21">
        <v>36.924999999999997</v>
      </c>
      <c r="D25" s="21">
        <v>36.045000000000002</v>
      </c>
      <c r="E25" s="21">
        <v>44.006999999999998</v>
      </c>
      <c r="F25" s="21">
        <v>47.67</v>
      </c>
      <c r="G25" s="21">
        <v>43.570999999999998</v>
      </c>
      <c r="H25" s="21">
        <v>39.116</v>
      </c>
      <c r="I25" s="21">
        <v>41.694000000000003</v>
      </c>
      <c r="J25" s="21">
        <v>45.308999999999997</v>
      </c>
      <c r="K25" s="21">
        <v>38.862000000000002</v>
      </c>
      <c r="L25" s="21">
        <v>38.463000000000001</v>
      </c>
      <c r="M25" s="21">
        <v>39.524999999999999</v>
      </c>
      <c r="N25" s="27">
        <v>41.573999999999998</v>
      </c>
      <c r="O25" s="10" t="s">
        <v>72</v>
      </c>
    </row>
    <row r="26" spans="1:15" ht="21">
      <c r="A26" s="8" t="s">
        <v>36</v>
      </c>
      <c r="B26" s="9">
        <f t="shared" si="0"/>
        <v>1076.6379999999999</v>
      </c>
      <c r="C26" s="21">
        <v>87.210999999999999</v>
      </c>
      <c r="D26" s="21">
        <v>60.274000000000001</v>
      </c>
      <c r="E26" s="21">
        <v>66.049000000000007</v>
      </c>
      <c r="F26" s="21">
        <v>58.069000000000003</v>
      </c>
      <c r="G26" s="21">
        <v>103.176</v>
      </c>
      <c r="H26" s="21">
        <v>98.116</v>
      </c>
      <c r="I26" s="21">
        <v>98.587000000000003</v>
      </c>
      <c r="J26" s="21">
        <v>114.227</v>
      </c>
      <c r="K26" s="21">
        <v>95.144000000000005</v>
      </c>
      <c r="L26" s="21">
        <v>98.335999999999999</v>
      </c>
      <c r="M26" s="21">
        <v>95.45</v>
      </c>
      <c r="N26" s="27">
        <v>101.999</v>
      </c>
      <c r="O26" s="10" t="s">
        <v>73</v>
      </c>
    </row>
    <row r="27" spans="1:15" ht="21">
      <c r="A27" s="8" t="s">
        <v>37</v>
      </c>
      <c r="B27" s="9">
        <f t="shared" si="0"/>
        <v>1384.6089999999999</v>
      </c>
      <c r="C27" s="21">
        <v>107.036</v>
      </c>
      <c r="D27" s="21">
        <v>110.173</v>
      </c>
      <c r="E27" s="21">
        <v>129.49799999999999</v>
      </c>
      <c r="F27" s="21">
        <v>131.00200000000001</v>
      </c>
      <c r="G27" s="21">
        <v>114.28100000000001</v>
      </c>
      <c r="H27" s="21">
        <v>109.117</v>
      </c>
      <c r="I27" s="21">
        <v>110.71599999999999</v>
      </c>
      <c r="J27" s="21">
        <v>115.066</v>
      </c>
      <c r="K27" s="21">
        <v>106.994</v>
      </c>
      <c r="L27" s="21">
        <v>104.374</v>
      </c>
      <c r="M27" s="21">
        <v>120.925</v>
      </c>
      <c r="N27" s="27">
        <v>125.42700000000001</v>
      </c>
      <c r="O27" s="10" t="s">
        <v>74</v>
      </c>
    </row>
    <row r="28" spans="1:15" ht="21">
      <c r="A28" s="8" t="s">
        <v>38</v>
      </c>
      <c r="B28" s="9">
        <f t="shared" si="0"/>
        <v>421.72300000000007</v>
      </c>
      <c r="C28" s="21">
        <v>33.268000000000001</v>
      </c>
      <c r="D28" s="21">
        <v>32.335000000000001</v>
      </c>
      <c r="E28" s="21">
        <v>36.871000000000002</v>
      </c>
      <c r="F28" s="21">
        <v>41.738999999999997</v>
      </c>
      <c r="G28" s="21">
        <v>35.466999999999999</v>
      </c>
      <c r="H28" s="21">
        <v>33.787999999999997</v>
      </c>
      <c r="I28" s="21">
        <v>36.222000000000001</v>
      </c>
      <c r="J28" s="21">
        <v>37.222999999999999</v>
      </c>
      <c r="K28" s="21">
        <v>32.244999999999997</v>
      </c>
      <c r="L28" s="21">
        <v>33.148000000000003</v>
      </c>
      <c r="M28" s="21">
        <v>35.070999999999998</v>
      </c>
      <c r="N28" s="27">
        <v>34.345999999999997</v>
      </c>
      <c r="O28" s="10" t="s">
        <v>75</v>
      </c>
    </row>
    <row r="29" spans="1:15" ht="21">
      <c r="A29" s="8" t="s">
        <v>39</v>
      </c>
      <c r="B29" s="9">
        <f t="shared" si="0"/>
        <v>292.91999999999996</v>
      </c>
      <c r="C29" s="21">
        <v>21.190999999999999</v>
      </c>
      <c r="D29" s="21">
        <v>21.751000000000001</v>
      </c>
      <c r="E29" s="21">
        <v>26.648</v>
      </c>
      <c r="F29" s="21">
        <v>29.19</v>
      </c>
      <c r="G29" s="21">
        <v>26.527000000000001</v>
      </c>
      <c r="H29" s="21">
        <v>24.971</v>
      </c>
      <c r="I29" s="21">
        <v>24.864000000000001</v>
      </c>
      <c r="J29" s="21">
        <v>25.969000000000001</v>
      </c>
      <c r="K29" s="21">
        <v>22.478999999999999</v>
      </c>
      <c r="L29" s="21">
        <v>22.969000000000001</v>
      </c>
      <c r="M29" s="21">
        <v>23.327000000000002</v>
      </c>
      <c r="N29" s="27">
        <v>23.033999999999999</v>
      </c>
      <c r="O29" s="10" t="s">
        <v>76</v>
      </c>
    </row>
    <row r="30" spans="1:15" ht="21">
      <c r="A30" s="8" t="s">
        <v>40</v>
      </c>
      <c r="B30" s="9">
        <f t="shared" si="0"/>
        <v>889.01799999999992</v>
      </c>
      <c r="C30" s="21">
        <v>69.646000000000001</v>
      </c>
      <c r="D30" s="21">
        <v>68.23</v>
      </c>
      <c r="E30" s="21">
        <v>83.129000000000005</v>
      </c>
      <c r="F30" s="21">
        <v>87.256</v>
      </c>
      <c r="G30" s="21">
        <v>72.203000000000003</v>
      </c>
      <c r="H30" s="21">
        <v>63.037999999999997</v>
      </c>
      <c r="I30" s="21">
        <v>69.424999999999997</v>
      </c>
      <c r="J30" s="21">
        <v>81.174999999999997</v>
      </c>
      <c r="K30" s="21">
        <v>66.945999999999998</v>
      </c>
      <c r="L30" s="21">
        <v>72.106999999999999</v>
      </c>
      <c r="M30" s="21">
        <v>72.941999999999993</v>
      </c>
      <c r="N30" s="27">
        <v>82.921000000000006</v>
      </c>
      <c r="O30" s="10" t="s">
        <v>77</v>
      </c>
    </row>
    <row r="31" spans="1:15" ht="21">
      <c r="A31" s="8" t="s">
        <v>41</v>
      </c>
      <c r="B31" s="9">
        <f t="shared" si="0"/>
        <v>474.23500000000001</v>
      </c>
      <c r="C31" s="21">
        <v>36.408000000000001</v>
      </c>
      <c r="D31" s="21">
        <v>34.953000000000003</v>
      </c>
      <c r="E31" s="21">
        <v>40.359000000000002</v>
      </c>
      <c r="F31" s="21">
        <v>45.021999999999998</v>
      </c>
      <c r="G31" s="21">
        <v>42.374000000000002</v>
      </c>
      <c r="H31" s="21">
        <v>41.46</v>
      </c>
      <c r="I31" s="21">
        <v>42.396000000000001</v>
      </c>
      <c r="J31" s="21">
        <v>43.244</v>
      </c>
      <c r="K31" s="21">
        <v>36.576000000000001</v>
      </c>
      <c r="L31" s="21">
        <v>36.231999999999999</v>
      </c>
      <c r="M31" s="21">
        <v>36.582000000000001</v>
      </c>
      <c r="N31" s="27">
        <v>38.628999999999998</v>
      </c>
      <c r="O31" s="10" t="s">
        <v>78</v>
      </c>
    </row>
    <row r="32" spans="1:15" ht="21">
      <c r="A32" s="8" t="s">
        <v>79</v>
      </c>
      <c r="B32" s="9">
        <f t="shared" si="0"/>
        <v>1483.6209999999999</v>
      </c>
      <c r="C32" s="21">
        <v>113.788</v>
      </c>
      <c r="D32" s="21">
        <v>110.425</v>
      </c>
      <c r="E32" s="21">
        <v>123.749</v>
      </c>
      <c r="F32" s="21">
        <v>138.69200000000001</v>
      </c>
      <c r="G32" s="21">
        <v>127.61799999999999</v>
      </c>
      <c r="H32" s="21">
        <v>124.914</v>
      </c>
      <c r="I32" s="21">
        <v>137.69300000000001</v>
      </c>
      <c r="J32" s="21">
        <v>134.92099999999999</v>
      </c>
      <c r="K32" s="21">
        <v>115.78100000000001</v>
      </c>
      <c r="L32" s="21">
        <v>117.414</v>
      </c>
      <c r="M32" s="21">
        <v>116.749</v>
      </c>
      <c r="N32" s="27">
        <v>121.877</v>
      </c>
      <c r="O32" s="10" t="s">
        <v>80</v>
      </c>
    </row>
    <row r="33" spans="1:66" ht="21">
      <c r="A33" s="8" t="s">
        <v>42</v>
      </c>
      <c r="B33" s="9">
        <f t="shared" si="0"/>
        <v>359.74549999999999</v>
      </c>
      <c r="C33" s="21">
        <v>26.795000000000002</v>
      </c>
      <c r="D33" s="21">
        <v>27.372</v>
      </c>
      <c r="E33" s="21">
        <v>30.300999999999998</v>
      </c>
      <c r="F33" s="21">
        <v>34.085500000000003</v>
      </c>
      <c r="G33" s="21">
        <v>31.388000000000002</v>
      </c>
      <c r="H33" s="21">
        <v>29.466999999999999</v>
      </c>
      <c r="I33" s="21">
        <v>29.283000000000001</v>
      </c>
      <c r="J33" s="21">
        <v>31.584</v>
      </c>
      <c r="K33" s="21">
        <v>26.513999999999999</v>
      </c>
      <c r="L33" s="21">
        <v>29.335000000000001</v>
      </c>
      <c r="M33" s="21">
        <v>30.346</v>
      </c>
      <c r="N33" s="27">
        <v>33.274999999999999</v>
      </c>
      <c r="O33" s="10" t="s">
        <v>81</v>
      </c>
    </row>
    <row r="34" spans="1:66" ht="21">
      <c r="A34" s="8" t="s">
        <v>43</v>
      </c>
      <c r="B34" s="9">
        <f t="shared" si="0"/>
        <v>130.96199999999999</v>
      </c>
      <c r="C34" s="21">
        <v>9.0879999999999992</v>
      </c>
      <c r="D34" s="21">
        <v>8.7479999999999993</v>
      </c>
      <c r="E34" s="21">
        <v>10.853</v>
      </c>
      <c r="F34" s="21">
        <v>12.159000000000001</v>
      </c>
      <c r="G34" s="21">
        <v>11.08</v>
      </c>
      <c r="H34" s="21">
        <v>11.407</v>
      </c>
      <c r="I34" s="21">
        <v>13.4</v>
      </c>
      <c r="J34" s="21">
        <v>12.343</v>
      </c>
      <c r="K34" s="21">
        <v>10.964</v>
      </c>
      <c r="L34" s="21">
        <v>10.725</v>
      </c>
      <c r="M34" s="21">
        <v>10.863</v>
      </c>
      <c r="N34" s="27">
        <v>9.3320000000000007</v>
      </c>
      <c r="O34" s="10" t="s">
        <v>82</v>
      </c>
    </row>
    <row r="35" spans="1:66" ht="21">
      <c r="A35" s="8" t="s">
        <v>44</v>
      </c>
      <c r="B35" s="9">
        <f t="shared" si="0"/>
        <v>219.68799999999999</v>
      </c>
      <c r="C35" s="21">
        <v>16.076000000000001</v>
      </c>
      <c r="D35" s="21">
        <v>15.337</v>
      </c>
      <c r="E35" s="21">
        <v>17.821000000000002</v>
      </c>
      <c r="F35" s="21">
        <v>19.273</v>
      </c>
      <c r="G35" s="21">
        <v>18.923999999999999</v>
      </c>
      <c r="H35" s="21">
        <v>17.952000000000002</v>
      </c>
      <c r="I35" s="21">
        <v>20.02</v>
      </c>
      <c r="J35" s="21">
        <v>20.777000000000001</v>
      </c>
      <c r="K35" s="21">
        <v>18.241</v>
      </c>
      <c r="L35" s="21">
        <v>18.623999999999999</v>
      </c>
      <c r="M35" s="21">
        <v>17.951000000000001</v>
      </c>
      <c r="N35" s="27">
        <v>18.692</v>
      </c>
      <c r="O35" s="10" t="s">
        <v>83</v>
      </c>
    </row>
    <row r="36" spans="1:66" ht="21">
      <c r="A36" s="8" t="s">
        <v>45</v>
      </c>
      <c r="B36" s="9">
        <f t="shared" si="0"/>
        <v>762.42199999999991</v>
      </c>
      <c r="C36" s="21">
        <v>61.298999999999999</v>
      </c>
      <c r="D36" s="21">
        <v>58.142000000000003</v>
      </c>
      <c r="E36" s="21">
        <v>67.239999999999995</v>
      </c>
      <c r="F36" s="21">
        <v>74.878</v>
      </c>
      <c r="G36" s="21">
        <v>64.334999999999994</v>
      </c>
      <c r="H36" s="21">
        <v>60.790999999999997</v>
      </c>
      <c r="I36" s="21">
        <v>65.113</v>
      </c>
      <c r="J36" s="21">
        <v>67.594999999999999</v>
      </c>
      <c r="K36" s="21">
        <v>60.686999999999998</v>
      </c>
      <c r="L36" s="21">
        <v>60.92</v>
      </c>
      <c r="M36" s="21">
        <v>62.348999999999997</v>
      </c>
      <c r="N36" s="27">
        <v>59.073</v>
      </c>
      <c r="O36" s="10" t="s">
        <v>84</v>
      </c>
    </row>
    <row r="37" spans="1:66" ht="21">
      <c r="A37" s="8" t="s">
        <v>46</v>
      </c>
      <c r="B37" s="9">
        <f t="shared" si="0"/>
        <v>428.24</v>
      </c>
      <c r="C37" s="21">
        <v>32.103000000000002</v>
      </c>
      <c r="D37" s="21">
        <v>31.442</v>
      </c>
      <c r="E37" s="21">
        <v>37.372</v>
      </c>
      <c r="F37" s="21">
        <v>41.034999999999997</v>
      </c>
      <c r="G37" s="21">
        <v>36.238</v>
      </c>
      <c r="H37" s="21">
        <v>36.064999999999998</v>
      </c>
      <c r="I37" s="21">
        <v>35.344999999999999</v>
      </c>
      <c r="J37" s="21">
        <v>40.323999999999998</v>
      </c>
      <c r="K37" s="21">
        <v>33.430999999999997</v>
      </c>
      <c r="L37" s="21">
        <v>35.095999999999997</v>
      </c>
      <c r="M37" s="21">
        <v>33.997</v>
      </c>
      <c r="N37" s="27">
        <v>35.792000000000002</v>
      </c>
      <c r="O37" s="10" t="s">
        <v>85</v>
      </c>
    </row>
    <row r="38" spans="1:66" ht="21">
      <c r="A38" s="8" t="s">
        <v>47</v>
      </c>
      <c r="B38" s="9">
        <f t="shared" si="0"/>
        <v>423.62199999999996</v>
      </c>
      <c r="C38" s="21">
        <v>32.777000000000001</v>
      </c>
      <c r="D38" s="21">
        <v>32.731999999999999</v>
      </c>
      <c r="E38" s="21">
        <v>36.835000000000001</v>
      </c>
      <c r="F38" s="21">
        <v>40.566000000000003</v>
      </c>
      <c r="G38" s="21">
        <v>34.807000000000002</v>
      </c>
      <c r="H38" s="21">
        <v>32.515000000000001</v>
      </c>
      <c r="I38" s="21">
        <v>36.387</v>
      </c>
      <c r="J38" s="21">
        <v>38.875999999999998</v>
      </c>
      <c r="K38" s="21">
        <v>30.692</v>
      </c>
      <c r="L38" s="21">
        <v>33.875</v>
      </c>
      <c r="M38" s="21">
        <v>34.731000000000002</v>
      </c>
      <c r="N38" s="27">
        <v>38.829000000000001</v>
      </c>
      <c r="O38" s="10" t="s">
        <v>86</v>
      </c>
    </row>
    <row r="39" spans="1:66" ht="21">
      <c r="A39" s="8" t="s">
        <v>48</v>
      </c>
      <c r="B39" s="9">
        <f t="shared" si="0"/>
        <v>475.69500000000005</v>
      </c>
      <c r="C39" s="21">
        <v>37.399000000000001</v>
      </c>
      <c r="D39" s="21">
        <v>36.485999999999997</v>
      </c>
      <c r="E39" s="21">
        <v>49.548999999999999</v>
      </c>
      <c r="F39" s="21">
        <v>50.762</v>
      </c>
      <c r="G39" s="21">
        <v>35.442999999999998</v>
      </c>
      <c r="H39" s="21">
        <v>34.825000000000003</v>
      </c>
      <c r="I39" s="21">
        <v>37.956000000000003</v>
      </c>
      <c r="J39" s="21">
        <v>40.773000000000003</v>
      </c>
      <c r="K39" s="21">
        <v>31.808</v>
      </c>
      <c r="L39" s="21">
        <v>34.369999999999997</v>
      </c>
      <c r="M39" s="21">
        <v>40.179000000000002</v>
      </c>
      <c r="N39" s="27">
        <v>46.145000000000003</v>
      </c>
      <c r="O39" s="10" t="s">
        <v>87</v>
      </c>
    </row>
    <row r="40" spans="1:66" ht="21">
      <c r="A40" s="8" t="s">
        <v>49</v>
      </c>
      <c r="B40" s="9">
        <f t="shared" si="0"/>
        <v>461.24</v>
      </c>
      <c r="C40" s="21">
        <v>35.319000000000003</v>
      </c>
      <c r="D40" s="21">
        <v>34.259</v>
      </c>
      <c r="E40" s="21">
        <v>40.715000000000003</v>
      </c>
      <c r="F40" s="21">
        <v>44.475999999999999</v>
      </c>
      <c r="G40" s="21">
        <v>38.536000000000001</v>
      </c>
      <c r="H40" s="21">
        <v>36.533999999999999</v>
      </c>
      <c r="I40" s="21">
        <v>37.533999999999999</v>
      </c>
      <c r="J40" s="21">
        <v>45.969000000000001</v>
      </c>
      <c r="K40" s="21">
        <v>37.308</v>
      </c>
      <c r="L40" s="21">
        <v>36.351999999999997</v>
      </c>
      <c r="M40" s="21">
        <v>36.042000000000002</v>
      </c>
      <c r="N40" s="27">
        <v>38.195999999999998</v>
      </c>
      <c r="O40" s="10" t="s">
        <v>88</v>
      </c>
    </row>
    <row r="41" spans="1:66" ht="21">
      <c r="A41" s="11" t="s">
        <v>50</v>
      </c>
      <c r="B41" s="12">
        <f t="shared" si="0"/>
        <v>109.29100000000003</v>
      </c>
      <c r="C41" s="22">
        <v>8.5069999999999997</v>
      </c>
      <c r="D41" s="22">
        <v>8.16</v>
      </c>
      <c r="E41" s="22">
        <v>9.2070000000000007</v>
      </c>
      <c r="F41" s="22">
        <v>10.186</v>
      </c>
      <c r="G41" s="22">
        <v>9.1050000000000004</v>
      </c>
      <c r="H41" s="22">
        <v>9.0779999999999994</v>
      </c>
      <c r="I41" s="22">
        <v>10.537000000000001</v>
      </c>
      <c r="J41" s="22">
        <v>9.25</v>
      </c>
      <c r="K41" s="22">
        <v>8.2829999999999995</v>
      </c>
      <c r="L41" s="22">
        <v>8.6229999999999993</v>
      </c>
      <c r="M41" s="22">
        <v>8.6069999999999993</v>
      </c>
      <c r="N41" s="28">
        <v>9.7479999999999993</v>
      </c>
      <c r="O41" s="13" t="s">
        <v>89</v>
      </c>
    </row>
    <row r="42" spans="1:66">
      <c r="A42" s="14" t="s">
        <v>1</v>
      </c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/>
      <c r="O42" s="18" t="s">
        <v>2</v>
      </c>
    </row>
    <row r="43" spans="1:66" s="19" customFormat="1">
      <c r="P43" s="20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 s="3" customFormat="1"/>
    <row r="45" spans="1:66" s="3" customFormat="1"/>
    <row r="46" spans="1:66" s="3" customFormat="1"/>
    <row r="47" spans="1:66" s="3" customFormat="1"/>
    <row r="48" spans="1:66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</sheetData>
  <mergeCells count="4">
    <mergeCell ref="A1:O1"/>
    <mergeCell ref="A2:O2"/>
    <mergeCell ref="A3:O3"/>
    <mergeCell ref="A4:O4"/>
  </mergeCells>
  <pageMargins left="0.7" right="0.7" top="0.75" bottom="0.75" header="0.3" footer="0.3"/>
  <pageSetup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12.3</vt:lpstr>
      <vt:lpstr>'12.3'!Print_Area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2024-09-24T09:52:01Z</cp:lastPrinted>
  <dcterms:created xsi:type="dcterms:W3CDTF">2019-05-21T05:57:00Z</dcterms:created>
  <dcterms:modified xsi:type="dcterms:W3CDTF">2024-09-24T09:52:19Z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