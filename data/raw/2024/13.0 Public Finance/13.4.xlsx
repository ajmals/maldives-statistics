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ublic Finance\"/>
    </mc:Choice>
  </mc:AlternateContent>
  <xr:revisionPtr revIDLastSave="0" documentId="13_ncr:1_{EA4A69E5-A19C-4889-8F13-B42F7A6E7272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13.4" sheetId="4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'13.4'!$A$1:$Q$25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4" l="1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8" i="4"/>
</calcChain>
</file>

<file path=xl/sharedStrings.xml><?xml version="1.0" encoding="utf-8"?>
<sst xmlns="http://schemas.openxmlformats.org/spreadsheetml/2006/main" count="58" uniqueCount="51">
  <si>
    <t>(In million MVR)</t>
  </si>
  <si>
    <t>Particulars</t>
  </si>
  <si>
    <t>clIBcfwt</t>
  </si>
  <si>
    <t>Actual</t>
  </si>
  <si>
    <t>Revised</t>
  </si>
  <si>
    <t xml:space="preserve">Approved </t>
  </si>
  <si>
    <t>Percentage Change</t>
  </si>
  <si>
    <t>(cniaWyifur cnwyilim)</t>
  </si>
  <si>
    <t>ބެހިފައިވާ ގޮތް އިން ސައްތައިން</t>
  </si>
  <si>
    <t>އިތުރުވި މިންވަރު</t>
  </si>
  <si>
    <t>Percentage Share</t>
  </si>
  <si>
    <t xml:space="preserve"> Note:  1_/  Data revised</t>
  </si>
  <si>
    <r>
      <t xml:space="preserve">ނޯޓް: </t>
    </r>
    <r>
      <rPr>
        <i/>
        <sz val="10"/>
        <color theme="1"/>
        <rFont val="Faruma"/>
      </rPr>
      <t>/_1</t>
    </r>
    <r>
      <rPr>
        <sz val="10"/>
        <color theme="1"/>
        <rFont val="Faruma"/>
      </rPr>
      <t xml:space="preserve">  އިސްލާޙުކުރެވިފައި</t>
    </r>
  </si>
  <si>
    <t xml:space="preserve"> 2_/  Comprises development expenditure financed from domestic sources and by foreign grants. </t>
  </si>
  <si>
    <t>Wsiawf EverukudwrwK cSwaIqcawrwt  cnegibil iawgutog egIhea Elih egurEb iaWncnEjcaWr Inenemih iawgiawbim 2_/</t>
  </si>
  <si>
    <t>Source:  Ministry of Finance.</t>
  </si>
  <si>
    <t xml:space="preserve">(*) - Indicates if the percentage change is greater than 100. </t>
  </si>
  <si>
    <t>އެހެނިހެން ޚަރަދު</t>
  </si>
  <si>
    <t>Grants</t>
  </si>
  <si>
    <t>Expense</t>
  </si>
  <si>
    <t>Compensation of employees</t>
  </si>
  <si>
    <t>Use of goods and services</t>
  </si>
  <si>
    <t>Interest</t>
  </si>
  <si>
    <t>Subsidies</t>
  </si>
  <si>
    <t>Social benefits</t>
  </si>
  <si>
    <t>Other expense</t>
  </si>
  <si>
    <t>2026 - 2017 ,IkWbufWs egInwrwd iaWdwrwK EverukcnurWkurws cnutogegukwtiawb IdWBitcqia : 13.4 ulwvWt</t>
  </si>
  <si>
    <t>Table  13.4 :  ECONOMIC CLASSIFICATION OF CENTRAL GOVERNMENT EXPENDITURE AND NET LENDING, 2017 - 2026</t>
  </si>
  <si>
    <t>Wages and salaries</t>
  </si>
  <si>
    <t>Social contributions</t>
  </si>
  <si>
    <t>To nonresidents</t>
  </si>
  <si>
    <t>To residents other than general government</t>
  </si>
  <si>
    <t>Social security benefits</t>
  </si>
  <si>
    <t>Social assistance benefits</t>
  </si>
  <si>
    <t>Employer social benefits</t>
  </si>
  <si>
    <t>ޚަރަދު</t>
  </si>
  <si>
    <t>މުވައްޒަފުނަނަށް ހިނގާ ޚަރަދު</t>
  </si>
  <si>
    <t>މުސާރައާއި އުޖޫރަ</t>
  </si>
  <si>
    <t>އޮފީސް ހިންގުމަށް ކުރާ ޚަރަދު</t>
  </si>
  <si>
    <t>ލޯނުގެ ހިދުމަތުގެ ޚަރަދު</t>
  </si>
  <si>
    <t>ބޭރުގެ ފަރާތްތަކަށް</t>
  </si>
  <si>
    <t>ރާއްޖޭގެ އަމިއްލަ ފަރާތްތަކަށް</t>
  </si>
  <si>
    <t>ސަރުކާރުންދޭ އެހީ އާއި އިޝްތިރާކާތް</t>
  </si>
  <si>
    <t>ކައުންސިލްތަކަށް ދޭ އެހީގެ ފައިސާ</t>
  </si>
  <si>
    <t>އެހެނިހެންގޮތްގޮތުން ދޭ އެހީގެ ފައިސާ</t>
  </si>
  <si>
    <t>މުވައްޒަފުންނަށް ދޭ އިޖުތިމާއީ އެހީތެރިކަން</t>
  </si>
  <si>
    <t>ސަބްސިޑީ</t>
  </si>
  <si>
    <t>މުވައްޒަފުންގެ އިޖުތިމާއީ ރައްކާތެރިކަމަށް ދޭ އެހީ</t>
  </si>
  <si>
    <t>އިޖުތިމާއީ ރައްކާތެރިކަމަށް ދޭ އެހީ</t>
  </si>
  <si>
    <t>cscnEnif cfoa IrcTcsinim :ctWrwf ivcaedutWmUluAwm</t>
  </si>
  <si>
    <t>2023-2022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</si>
</sst>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  <numFmt numFmtId="167" formatCode="#,##0.0"/>
    <numFmt numFmtId="168" formatCode="_(* #,##0.0_);_(* \(#,##0.0\);_(* &quot;-&quot;??_);_(@_)"/>
    <numFmt numFmtId="169" formatCode="0.0"/>
    <numFmt numFmtId="170" formatCode="#,##0.00\ ;&quot; (&quot;#,##0.00\);&quot; -&quot;#\ ;@\ "/>
    <numFmt numFmtId="173" formatCode="0.0%"/>
    <numFmt numFmtId="174" formatCode="0.00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10"/>
      <color theme="1"/>
      <name val="Faruma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sz val="12"/>
      <color theme="1"/>
      <name val="A_Faseyha"/>
    </font>
    <font>
      <b/>
      <sz val="10"/>
      <color theme="1"/>
      <name val="A_Faseyha"/>
    </font>
    <font>
      <sz val="10"/>
      <color theme="1"/>
      <name val="A_Faseyha"/>
    </font>
    <font>
      <i/>
      <sz val="10"/>
      <color theme="1"/>
      <name val="Faruma"/>
    </font>
    <font>
      <b/>
      <sz val="10"/>
      <color theme="1"/>
      <name val="Faruma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i/>
      <sz val="10"/>
      <name val="Cambria"/>
      <family val="2"/>
      <scheme val="major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6" fillId="0" borderId="0"/>
    <xf numFmtId="170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9" fontId="20" fillId="0" borderId="0"/>
    <xf numFmtId="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4" fontId="28" fillId="0" borderId="0"/>
    <xf numFmtId="1" fontId="29" fillId="0" borderId="15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1" fillId="0" borderId="0"/>
    <xf numFmtId="40" fontId="21" fillId="0" borderId="0" applyFont="0" applyFill="0" applyBorder="0" applyAlignment="0" applyProtection="0"/>
    <xf numFmtId="0" fontId="21" fillId="0" borderId="0"/>
    <xf numFmtId="0" fontId="2" fillId="0" borderId="0"/>
    <xf numFmtId="0" fontId="2" fillId="0" borderId="0"/>
    <xf numFmtId="1" fontId="29" fillId="0" borderId="15" applyNumberFormat="0"/>
    <xf numFmtId="0" fontId="1" fillId="0" borderId="0"/>
    <xf numFmtId="0" fontId="21" fillId="0" borderId="0"/>
    <xf numFmtId="0" fontId="6" fillId="0" borderId="0" applyFill="0" applyProtection="0"/>
    <xf numFmtId="1" fontId="29" fillId="0" borderId="15" applyNumberFormat="0"/>
    <xf numFmtId="43" fontId="1" fillId="0" borderId="0" applyFont="0" applyFill="0" applyBorder="0" applyAlignment="0" applyProtection="0"/>
    <xf numFmtId="0" fontId="1" fillId="0" borderId="0"/>
    <xf numFmtId="0" fontId="31" fillId="0" borderId="0"/>
    <xf numFmtId="0" fontId="32" fillId="0" borderId="0"/>
    <xf numFmtId="0" fontId="31" fillId="0" borderId="0"/>
    <xf numFmtId="0" fontId="1" fillId="0" borderId="0"/>
    <xf numFmtId="0" fontId="21" fillId="0" borderId="0"/>
    <xf numFmtId="0" fontId="6" fillId="0" borderId="0" applyFill="0" applyProtection="0"/>
  </cellStyleXfs>
  <cellXfs count="89">
    <xf numFmtId="0" fontId="0" fillId="0" borderId="0" xfId="0"/>
    <xf numFmtId="166" fontId="9" fillId="2" borderId="0" xfId="2" applyNumberFormat="1" applyFont="1" applyFill="1" applyAlignment="1" applyProtection="1">
      <alignment horizontal="right" vertical="center"/>
      <protection locked="0"/>
    </xf>
    <xf numFmtId="166" fontId="9" fillId="2" borderId="2" xfId="2" applyNumberFormat="1" applyFont="1" applyFill="1" applyBorder="1" applyAlignment="1">
      <alignment horizontal="right" vertical="center"/>
    </xf>
    <xf numFmtId="166" fontId="5" fillId="2" borderId="0" xfId="2" applyNumberFormat="1" applyFont="1" applyFill="1" applyAlignment="1" applyProtection="1">
      <alignment horizontal="right" vertical="center"/>
      <protection locked="0"/>
    </xf>
    <xf numFmtId="166" fontId="5" fillId="2" borderId="1" xfId="2" applyNumberFormat="1" applyFont="1" applyFill="1" applyBorder="1" applyAlignment="1">
      <alignment horizontal="right" vertical="center"/>
    </xf>
    <xf numFmtId="166" fontId="15" fillId="2" borderId="0" xfId="2" applyNumberFormat="1" applyFont="1" applyFill="1" applyAlignment="1">
      <alignment vertical="center"/>
    </xf>
    <xf numFmtId="166" fontId="8" fillId="2" borderId="0" xfId="2" applyNumberFormat="1" applyFont="1" applyFill="1" applyAlignment="1">
      <alignment vertical="center"/>
    </xf>
    <xf numFmtId="166" fontId="17" fillId="2" borderId="0" xfId="2" applyNumberFormat="1" applyFont="1" applyFill="1" applyAlignment="1">
      <alignment vertical="center"/>
    </xf>
    <xf numFmtId="166" fontId="14" fillId="2" borderId="0" xfId="2" applyNumberFormat="1" applyFont="1" applyFill="1" applyAlignment="1">
      <alignment horizontal="left" vertical="center"/>
    </xf>
    <xf numFmtId="166" fontId="8" fillId="2" borderId="0" xfId="2" applyNumberFormat="1" applyFont="1" applyFill="1" applyAlignment="1">
      <alignment horizontal="center" vertical="center"/>
    </xf>
    <xf numFmtId="37" fontId="12" fillId="2" borderId="0" xfId="2" applyNumberFormat="1" applyFont="1" applyFill="1" applyAlignment="1">
      <alignment vertical="center"/>
    </xf>
    <xf numFmtId="166" fontId="8" fillId="2" borderId="3" xfId="2" applyNumberFormat="1" applyFont="1" applyFill="1" applyBorder="1" applyAlignment="1">
      <alignment horizontal="center" vertical="center"/>
    </xf>
    <xf numFmtId="166" fontId="9" fillId="2" borderId="0" xfId="2" applyNumberFormat="1" applyFont="1" applyFill="1" applyAlignment="1">
      <alignment horizontal="left" vertical="center"/>
    </xf>
    <xf numFmtId="167" fontId="9" fillId="2" borderId="0" xfId="2" applyNumberFormat="1" applyFont="1" applyFill="1" applyAlignment="1" applyProtection="1">
      <alignment horizontal="right" vertical="center"/>
      <protection locked="0"/>
    </xf>
    <xf numFmtId="169" fontId="12" fillId="2" borderId="0" xfId="2" applyNumberFormat="1" applyFont="1" applyFill="1" applyAlignment="1">
      <alignment horizontal="right" vertical="center"/>
    </xf>
    <xf numFmtId="169" fontId="17" fillId="2" borderId="0" xfId="2" applyNumberFormat="1" applyFont="1" applyFill="1" applyAlignment="1">
      <alignment horizontal="right" vertical="center"/>
    </xf>
    <xf numFmtId="1" fontId="17" fillId="2" borderId="0" xfId="2" applyNumberFormat="1" applyFont="1" applyFill="1" applyAlignment="1">
      <alignment vertical="center"/>
    </xf>
    <xf numFmtId="169" fontId="15" fillId="2" borderId="0" xfId="2" applyNumberFormat="1" applyFont="1" applyFill="1" applyAlignment="1">
      <alignment horizontal="right" vertical="center"/>
    </xf>
    <xf numFmtId="1" fontId="15" fillId="2" borderId="0" xfId="2" applyNumberFormat="1" applyFont="1" applyFill="1" applyAlignment="1">
      <alignment vertical="center"/>
    </xf>
    <xf numFmtId="169" fontId="11" fillId="2" borderId="3" xfId="2" applyNumberFormat="1" applyFont="1" applyFill="1" applyBorder="1" applyAlignment="1" applyProtection="1">
      <alignment horizontal="center" vertical="center"/>
      <protection hidden="1"/>
    </xf>
    <xf numFmtId="166" fontId="9" fillId="2" borderId="0" xfId="2" applyNumberFormat="1" applyFont="1" applyFill="1" applyAlignment="1" applyProtection="1">
      <alignment horizontal="center" vertical="center"/>
      <protection locked="0"/>
    </xf>
    <xf numFmtId="166" fontId="9" fillId="2" borderId="9" xfId="2" applyNumberFormat="1" applyFont="1" applyFill="1" applyBorder="1" applyAlignment="1">
      <alignment horizontal="center" vertical="center"/>
    </xf>
    <xf numFmtId="166" fontId="11" fillId="2" borderId="10" xfId="2" applyNumberFormat="1" applyFont="1" applyFill="1" applyBorder="1" applyAlignment="1">
      <alignment horizontal="center" vertical="center" wrapText="1"/>
    </xf>
    <xf numFmtId="166" fontId="9" fillId="2" borderId="11" xfId="2" applyNumberFormat="1" applyFont="1" applyFill="1" applyBorder="1" applyAlignment="1" applyProtection="1">
      <alignment horizontal="center" vertical="center" wrapText="1"/>
      <protection locked="0"/>
    </xf>
    <xf numFmtId="166" fontId="11" fillId="2" borderId="6" xfId="2" applyNumberFormat="1" applyFont="1" applyFill="1" applyBorder="1" applyAlignment="1">
      <alignment horizontal="center" vertical="center" wrapText="1"/>
    </xf>
    <xf numFmtId="169" fontId="11" fillId="2" borderId="3" xfId="2" applyNumberFormat="1" applyFont="1" applyFill="1" applyBorder="1" applyAlignment="1" applyProtection="1">
      <alignment horizontal="center" vertical="center" wrapText="1"/>
      <protection hidden="1"/>
    </xf>
    <xf numFmtId="166" fontId="9" fillId="2" borderId="7" xfId="2" applyNumberFormat="1" applyFont="1" applyFill="1" applyBorder="1" applyAlignment="1" applyProtection="1">
      <alignment horizontal="center" vertical="center" wrapText="1"/>
      <protection locked="0"/>
    </xf>
    <xf numFmtId="166" fontId="14" fillId="2" borderId="0" xfId="2" applyNumberFormat="1" applyFont="1" applyFill="1" applyAlignment="1">
      <alignment vertical="center"/>
    </xf>
    <xf numFmtId="167" fontId="9" fillId="2" borderId="8" xfId="2" applyNumberFormat="1" applyFont="1" applyFill="1" applyBorder="1" applyAlignment="1" applyProtection="1">
      <alignment horizontal="center" vertical="center"/>
      <protection locked="0"/>
    </xf>
    <xf numFmtId="167" fontId="12" fillId="2" borderId="8" xfId="2" applyNumberFormat="1" applyFont="1" applyFill="1" applyBorder="1" applyAlignment="1" applyProtection="1">
      <alignment horizontal="center" vertical="center"/>
      <protection locked="0"/>
    </xf>
    <xf numFmtId="1" fontId="13" fillId="2" borderId="0" xfId="2" applyNumberFormat="1" applyFont="1" applyFill="1" applyAlignment="1">
      <alignment horizontal="right" vertical="center"/>
    </xf>
    <xf numFmtId="166" fontId="14" fillId="2" borderId="0" xfId="2" applyNumberFormat="1" applyFont="1" applyFill="1" applyAlignment="1">
      <alignment horizontal="left" vertical="center" indent="4"/>
    </xf>
    <xf numFmtId="173" fontId="8" fillId="2" borderId="0" xfId="11" applyNumberFormat="1" applyFont="1" applyFill="1" applyAlignment="1">
      <alignment vertical="center"/>
    </xf>
    <xf numFmtId="166" fontId="23" fillId="2" borderId="0" xfId="2" applyNumberFormat="1" applyFont="1" applyFill="1" applyAlignment="1">
      <alignment horizontal="right" vertical="center"/>
    </xf>
    <xf numFmtId="166" fontId="24" fillId="2" borderId="0" xfId="2" applyNumberFormat="1" applyFont="1" applyFill="1" applyAlignment="1">
      <alignment horizontal="right" vertical="center"/>
    </xf>
    <xf numFmtId="166" fontId="19" fillId="2" borderId="3" xfId="2" applyNumberFormat="1" applyFont="1" applyFill="1" applyBorder="1" applyAlignment="1">
      <alignment horizontal="center" vertical="center"/>
    </xf>
    <xf numFmtId="166" fontId="9" fillId="2" borderId="4" xfId="2" applyNumberFormat="1" applyFont="1" applyFill="1" applyBorder="1" applyAlignment="1" applyProtection="1">
      <alignment horizontal="center" vertical="center" wrapText="1"/>
      <protection locked="0"/>
    </xf>
    <xf numFmtId="166" fontId="9" fillId="2" borderId="13" xfId="2" applyNumberFormat="1" applyFont="1" applyFill="1" applyBorder="1" applyAlignment="1">
      <alignment horizontal="center" vertical="center"/>
    </xf>
    <xf numFmtId="169" fontId="9" fillId="2" borderId="12" xfId="2" applyNumberFormat="1" applyFont="1" applyFill="1" applyBorder="1" applyAlignment="1" applyProtection="1">
      <alignment horizontal="center" vertical="center"/>
      <protection locked="0"/>
    </xf>
    <xf numFmtId="169" fontId="9" fillId="2" borderId="0" xfId="1" applyNumberFormat="1" applyFont="1" applyFill="1" applyBorder="1" applyAlignment="1" applyProtection="1">
      <alignment horizontal="right" vertical="center" indent="3"/>
    </xf>
    <xf numFmtId="167" fontId="9" fillId="2" borderId="4" xfId="2" applyNumberFormat="1" applyFont="1" applyFill="1" applyBorder="1" applyAlignment="1" applyProtection="1">
      <alignment horizontal="center" vertical="center"/>
      <protection locked="0"/>
    </xf>
    <xf numFmtId="1" fontId="23" fillId="2" borderId="2" xfId="2" applyNumberFormat="1" applyFont="1" applyFill="1" applyBorder="1" applyAlignment="1">
      <alignment vertical="center"/>
    </xf>
    <xf numFmtId="166" fontId="24" fillId="2" borderId="0" xfId="2" applyNumberFormat="1" applyFont="1" applyFill="1" applyAlignment="1">
      <alignment horizontal="right" vertical="center" indent="3"/>
    </xf>
    <xf numFmtId="169" fontId="12" fillId="2" borderId="0" xfId="1" applyNumberFormat="1" applyFont="1" applyFill="1" applyBorder="1" applyAlignment="1" applyProtection="1">
      <alignment horizontal="right" vertical="center" indent="3"/>
    </xf>
    <xf numFmtId="166" fontId="8" fillId="2" borderId="10" xfId="2" applyNumberFormat="1" applyFont="1" applyFill="1" applyBorder="1" applyAlignment="1">
      <alignment horizontal="center" vertical="center"/>
    </xf>
    <xf numFmtId="167" fontId="12" fillId="2" borderId="0" xfId="2" applyNumberFormat="1" applyFont="1" applyFill="1" applyAlignment="1" applyProtection="1">
      <alignment horizontal="right" vertical="center"/>
      <protection locked="0"/>
    </xf>
    <xf numFmtId="166" fontId="9" fillId="2" borderId="2" xfId="2" applyNumberFormat="1" applyFont="1" applyFill="1" applyBorder="1" applyAlignment="1">
      <alignment horizontal="left" vertical="center"/>
    </xf>
    <xf numFmtId="167" fontId="12" fillId="2" borderId="4" xfId="2" applyNumberFormat="1" applyFont="1" applyFill="1" applyBorder="1" applyAlignment="1" applyProtection="1">
      <alignment horizontal="center" vertical="center"/>
      <protection locked="0"/>
    </xf>
    <xf numFmtId="166" fontId="8" fillId="2" borderId="2" xfId="2" applyNumberFormat="1" applyFont="1" applyFill="1" applyBorder="1" applyAlignment="1">
      <alignment vertical="center"/>
    </xf>
    <xf numFmtId="166" fontId="26" fillId="2" borderId="0" xfId="2" applyNumberFormat="1" applyFont="1" applyFill="1" applyAlignment="1">
      <alignment horizontal="right" vertical="center"/>
    </xf>
    <xf numFmtId="168" fontId="12" fillId="2" borderId="0" xfId="1" applyNumberFormat="1" applyFont="1" applyFill="1" applyAlignment="1" applyProtection="1">
      <alignment horizontal="right" vertical="center"/>
      <protection locked="0"/>
    </xf>
    <xf numFmtId="0" fontId="30" fillId="2" borderId="0" xfId="44" applyFont="1" applyFill="1" applyAlignment="1">
      <alignment horizontal="left" vertical="center"/>
    </xf>
    <xf numFmtId="167" fontId="13" fillId="2" borderId="0" xfId="2" applyNumberFormat="1" applyFont="1" applyFill="1" applyAlignment="1">
      <alignment horizontal="right" vertical="center" indent="1"/>
    </xf>
    <xf numFmtId="166" fontId="12" fillId="2" borderId="0" xfId="2" applyNumberFormat="1" applyFont="1" applyFill="1" applyAlignment="1">
      <alignment horizontal="left" vertical="center" indent="1"/>
    </xf>
    <xf numFmtId="167" fontId="9" fillId="2" borderId="2" xfId="2" applyNumberFormat="1" applyFont="1" applyFill="1" applyBorder="1" applyAlignment="1" applyProtection="1">
      <alignment horizontal="right" vertical="center"/>
      <protection locked="0"/>
    </xf>
    <xf numFmtId="166" fontId="9" fillId="2" borderId="0" xfId="2" applyNumberFormat="1" applyFont="1" applyFill="1" applyAlignment="1">
      <alignment horizontal="left" vertical="center" wrapText="1"/>
    </xf>
    <xf numFmtId="168" fontId="9" fillId="2" borderId="0" xfId="1" applyNumberFormat="1" applyFont="1" applyFill="1" applyAlignment="1" applyProtection="1">
      <alignment vertical="center"/>
      <protection locked="0"/>
    </xf>
    <xf numFmtId="168" fontId="9" fillId="2" borderId="0" xfId="1" applyNumberFormat="1" applyFont="1" applyFill="1" applyBorder="1" applyAlignment="1" applyProtection="1">
      <alignment horizontal="center" vertical="center"/>
      <protection locked="0"/>
    </xf>
    <xf numFmtId="168" fontId="9" fillId="2" borderId="0" xfId="1" applyNumberFormat="1" applyFont="1" applyFill="1" applyAlignment="1" applyProtection="1">
      <alignment horizontal="right" vertical="center"/>
      <protection locked="0"/>
    </xf>
    <xf numFmtId="168" fontId="9" fillId="2" borderId="0" xfId="1" applyNumberFormat="1" applyFont="1" applyFill="1" applyBorder="1" applyAlignment="1" applyProtection="1">
      <alignment horizontal="right" vertical="center"/>
      <protection locked="0"/>
    </xf>
    <xf numFmtId="168" fontId="9" fillId="2" borderId="0" xfId="1" applyNumberFormat="1" applyFont="1" applyFill="1" applyAlignment="1">
      <alignment horizontal="right" vertical="center"/>
    </xf>
    <xf numFmtId="168" fontId="9" fillId="2" borderId="0" xfId="1" applyNumberFormat="1" applyFont="1" applyFill="1" applyBorder="1" applyAlignment="1">
      <alignment horizontal="right" vertical="center"/>
    </xf>
    <xf numFmtId="168" fontId="12" fillId="2" borderId="0" xfId="1" applyNumberFormat="1" applyFont="1" applyFill="1" applyBorder="1" applyAlignment="1" applyProtection="1">
      <alignment horizontal="right" vertical="center"/>
      <protection locked="0"/>
    </xf>
    <xf numFmtId="168" fontId="9" fillId="2" borderId="0" xfId="1" applyNumberFormat="1" applyFont="1" applyFill="1" applyBorder="1" applyAlignment="1" applyProtection="1">
      <alignment vertical="center"/>
      <protection locked="0"/>
    </xf>
    <xf numFmtId="168" fontId="9" fillId="2" borderId="2" xfId="1" applyNumberFormat="1" applyFont="1" applyFill="1" applyBorder="1" applyAlignment="1" applyProtection="1">
      <alignment horizontal="right" vertical="center"/>
      <protection locked="0"/>
    </xf>
    <xf numFmtId="167" fontId="9" fillId="2" borderId="5" xfId="2" applyNumberFormat="1" applyFont="1" applyFill="1" applyBorder="1" applyAlignment="1" applyProtection="1">
      <alignment horizontal="center" vertical="center"/>
      <protection locked="0"/>
    </xf>
    <xf numFmtId="167" fontId="9" fillId="2" borderId="9" xfId="2" applyNumberFormat="1" applyFont="1" applyFill="1" applyBorder="1" applyAlignment="1" applyProtection="1">
      <alignment horizontal="center" vertical="center"/>
      <protection locked="0"/>
    </xf>
    <xf numFmtId="0" fontId="8" fillId="2" borderId="0" xfId="2" applyFont="1" applyFill="1" applyAlignment="1">
      <alignment horizontal="center" vertical="center"/>
    </xf>
    <xf numFmtId="0" fontId="16" fillId="2" borderId="0" xfId="2" applyFont="1" applyFill="1" applyAlignment="1">
      <alignment horizontal="center" vertical="center"/>
    </xf>
    <xf numFmtId="167" fontId="13" fillId="2" borderId="0" xfId="2" applyNumberFormat="1" applyFont="1" applyFill="1" applyAlignment="1">
      <alignment horizontal="right" vertical="center"/>
    </xf>
    <xf numFmtId="167" fontId="26" fillId="2" borderId="0" xfId="2" applyNumberFormat="1" applyFont="1" applyFill="1" applyAlignment="1">
      <alignment horizontal="right" vertical="center" indent="1"/>
    </xf>
    <xf numFmtId="167" fontId="26" fillId="2" borderId="0" xfId="2" applyNumberFormat="1" applyFont="1" applyFill="1" applyAlignment="1">
      <alignment horizontal="right" vertical="center"/>
    </xf>
    <xf numFmtId="167" fontId="26" fillId="2" borderId="2" xfId="2" applyNumberFormat="1" applyFont="1" applyFill="1" applyBorder="1" applyAlignment="1">
      <alignment horizontal="right" vertical="center"/>
    </xf>
    <xf numFmtId="167" fontId="13" fillId="2" borderId="0" xfId="2" applyNumberFormat="1" applyFont="1" applyFill="1" applyAlignment="1">
      <alignment horizontal="left" vertical="center" indent="7"/>
    </xf>
    <xf numFmtId="166" fontId="5" fillId="2" borderId="8" xfId="2" applyNumberFormat="1" applyFont="1" applyFill="1" applyBorder="1" applyAlignment="1" applyProtection="1">
      <alignment horizontal="right" vertical="center"/>
      <protection locked="0"/>
    </xf>
    <xf numFmtId="166" fontId="5" fillId="2" borderId="14" xfId="2" applyNumberFormat="1" applyFont="1" applyFill="1" applyBorder="1" applyAlignment="1">
      <alignment horizontal="right" vertical="center"/>
    </xf>
    <xf numFmtId="168" fontId="9" fillId="2" borderId="0" xfId="1" applyNumberFormat="1" applyFont="1" applyFill="1" applyAlignment="1">
      <alignment vertical="center"/>
    </xf>
    <xf numFmtId="168" fontId="9" fillId="2" borderId="8" xfId="1" applyNumberFormat="1" applyFont="1" applyFill="1" applyBorder="1" applyAlignment="1">
      <alignment vertical="center"/>
    </xf>
    <xf numFmtId="168" fontId="12" fillId="2" borderId="0" xfId="1" applyNumberFormat="1" applyFont="1" applyFill="1" applyAlignment="1">
      <alignment vertical="center"/>
    </xf>
    <xf numFmtId="168" fontId="12" fillId="2" borderId="8" xfId="1" applyNumberFormat="1" applyFont="1" applyFill="1" applyBorder="1" applyAlignment="1">
      <alignment vertical="center"/>
    </xf>
    <xf numFmtId="168" fontId="12" fillId="2" borderId="8" xfId="1" applyNumberFormat="1" applyFont="1" applyFill="1" applyBorder="1" applyAlignment="1" applyProtection="1">
      <alignment horizontal="right" vertical="center"/>
      <protection locked="0"/>
    </xf>
    <xf numFmtId="168" fontId="9" fillId="2" borderId="8" xfId="1" applyNumberFormat="1" applyFont="1" applyFill="1" applyBorder="1" applyAlignment="1" applyProtection="1">
      <alignment horizontal="right" vertical="center"/>
      <protection locked="0"/>
    </xf>
    <xf numFmtId="168" fontId="9" fillId="2" borderId="8" xfId="1" applyNumberFormat="1" applyFont="1" applyFill="1" applyBorder="1" applyAlignment="1" applyProtection="1">
      <alignment horizontal="center" vertical="center"/>
      <protection locked="0"/>
    </xf>
    <xf numFmtId="168" fontId="9" fillId="2" borderId="9" xfId="1" applyNumberFormat="1" applyFont="1" applyFill="1" applyBorder="1" applyAlignment="1" applyProtection="1">
      <alignment horizontal="right" vertical="center"/>
      <protection locked="0"/>
    </xf>
    <xf numFmtId="169" fontId="9" fillId="2" borderId="5" xfId="1" applyNumberFormat="1" applyFont="1" applyFill="1" applyBorder="1" applyAlignment="1" applyProtection="1">
      <alignment horizontal="right" vertical="center" indent="3"/>
    </xf>
    <xf numFmtId="166" fontId="10" fillId="2" borderId="0" xfId="2" applyNumberFormat="1" applyFont="1" applyFill="1" applyAlignment="1">
      <alignment horizontal="center" vertical="center"/>
    </xf>
    <xf numFmtId="166" fontId="19" fillId="2" borderId="0" xfId="2" applyNumberFormat="1" applyFont="1" applyFill="1" applyAlignment="1">
      <alignment horizontal="center" vertical="center"/>
    </xf>
    <xf numFmtId="166" fontId="22" fillId="2" borderId="0" xfId="2" applyNumberFormat="1" applyFont="1" applyFill="1" applyAlignment="1">
      <alignment horizontal="center" vertical="center" wrapText="1"/>
    </xf>
    <xf numFmtId="166" fontId="9" fillId="2" borderId="2" xfId="2" applyNumberFormat="1" applyFont="1" applyFill="1" applyBorder="1" applyAlignment="1">
      <alignment horizontal="center" vertical="center"/>
    </xf>
  </cellXfs>
  <cellStyles count="59">
    <cellStyle name="1" xfId="28" xr:uid="{00000000-0005-0000-0000-000000000000}"/>
    <cellStyle name="Comma" xfId="1" builtinId="3"/>
    <cellStyle name="Comma 12" xfId="23" xr:uid="{00000000-0005-0000-0000-000002000000}"/>
    <cellStyle name="Comma 2" xfId="6" xr:uid="{00000000-0005-0000-0000-000003000000}"/>
    <cellStyle name="Comma 2 2" xfId="42" xr:uid="{00000000-0005-0000-0000-000004000000}"/>
    <cellStyle name="Comma 2 2 2 5" xfId="51" xr:uid="{00000000-0005-0000-0000-000005000000}"/>
    <cellStyle name="Comma 3" xfId="7" xr:uid="{00000000-0005-0000-0000-000006000000}"/>
    <cellStyle name="Comma 3 2" xfId="18" xr:uid="{00000000-0005-0000-0000-000007000000}"/>
    <cellStyle name="Comma 3 3" xfId="29" xr:uid="{00000000-0005-0000-0000-000008000000}"/>
    <cellStyle name="Comma 4" xfId="3" xr:uid="{00000000-0005-0000-0000-000009000000}"/>
    <cellStyle name="Comma 4 2" xfId="15" xr:uid="{00000000-0005-0000-0000-00000A000000}"/>
    <cellStyle name="Comma 5" xfId="13" xr:uid="{00000000-0005-0000-0000-00000B000000}"/>
    <cellStyle name="Comma 6" xfId="9" xr:uid="{00000000-0005-0000-0000-00000C000000}"/>
    <cellStyle name="Comma 6 2" xfId="19" xr:uid="{00000000-0005-0000-0000-00000D000000}"/>
    <cellStyle name="Comma 7" xfId="17" xr:uid="{00000000-0005-0000-0000-00000E000000}"/>
    <cellStyle name="Comma 8" xfId="21" xr:uid="{00000000-0005-0000-0000-00000F000000}"/>
    <cellStyle name="Excel Built-in Comma" xfId="5" xr:uid="{00000000-0005-0000-0000-000010000000}"/>
    <cellStyle name="Excel Built-in Normal" xfId="4" xr:uid="{00000000-0005-0000-0000-000011000000}"/>
    <cellStyle name="Normal" xfId="0" builtinId="0"/>
    <cellStyle name="Normal - Style1" xfId="30" xr:uid="{00000000-0005-0000-0000-000013000000}"/>
    <cellStyle name="Normal 10" xfId="36" xr:uid="{00000000-0005-0000-0000-000014000000}"/>
    <cellStyle name="Normal 11" xfId="48" xr:uid="{00000000-0005-0000-0000-000015000000}"/>
    <cellStyle name="Normal 12" xfId="50" xr:uid="{00000000-0005-0000-0000-000016000000}"/>
    <cellStyle name="Normal 2" xfId="10" xr:uid="{00000000-0005-0000-0000-000017000000}"/>
    <cellStyle name="Normal 2 2" xfId="14" xr:uid="{00000000-0005-0000-0000-000018000000}"/>
    <cellStyle name="Normal 2 2 2" xfId="43" xr:uid="{00000000-0005-0000-0000-000019000000}"/>
    <cellStyle name="Normal 2 2 3" xfId="45" xr:uid="{00000000-0005-0000-0000-00001A000000}"/>
    <cellStyle name="Normal 2 2 4" xfId="31" xr:uid="{00000000-0005-0000-0000-00001B000000}"/>
    <cellStyle name="Normal 2 3" xfId="47" xr:uid="{00000000-0005-0000-0000-00001C000000}"/>
    <cellStyle name="Normal 2 3 2" xfId="58" xr:uid="{00000000-0005-0000-0000-00001D000000}"/>
    <cellStyle name="Normal 2 4" xfId="49" xr:uid="{00000000-0005-0000-0000-00001E000000}"/>
    <cellStyle name="Normal 2 5" xfId="53" xr:uid="{00000000-0005-0000-0000-00001F000000}"/>
    <cellStyle name="Normal 2 6" xfId="24" xr:uid="{00000000-0005-0000-0000-000020000000}"/>
    <cellStyle name="Normal 3" xfId="12" xr:uid="{00000000-0005-0000-0000-000021000000}"/>
    <cellStyle name="Normal 3 2" xfId="46" xr:uid="{00000000-0005-0000-0000-000022000000}"/>
    <cellStyle name="Normal 3 2 2" xfId="55" xr:uid="{00000000-0005-0000-0000-000023000000}"/>
    <cellStyle name="Normal 3 3" xfId="32" xr:uid="{00000000-0005-0000-0000-000024000000}"/>
    <cellStyle name="Normal 4" xfId="8" xr:uid="{00000000-0005-0000-0000-000025000000}"/>
    <cellStyle name="Normal 4 2" xfId="33" xr:uid="{00000000-0005-0000-0000-000026000000}"/>
    <cellStyle name="Normal 4 2 2" xfId="38" xr:uid="{00000000-0005-0000-0000-000027000000}"/>
    <cellStyle name="Normal 4 3" xfId="54" xr:uid="{00000000-0005-0000-0000-000028000000}"/>
    <cellStyle name="Normal 4 4" xfId="37" xr:uid="{00000000-0005-0000-0000-000029000000}"/>
    <cellStyle name="Normal 5" xfId="20" xr:uid="{00000000-0005-0000-0000-00002A000000}"/>
    <cellStyle name="Normal 5 2" xfId="26" xr:uid="{00000000-0005-0000-0000-00002B000000}"/>
    <cellStyle name="Normal 5 3" xfId="52" xr:uid="{00000000-0005-0000-0000-00002C000000}"/>
    <cellStyle name="Normal 5 4" xfId="34" xr:uid="{00000000-0005-0000-0000-00002D000000}"/>
    <cellStyle name="Normal 6" xfId="39" xr:uid="{00000000-0005-0000-0000-00002E000000}"/>
    <cellStyle name="Normal 6 2" xfId="56" xr:uid="{00000000-0005-0000-0000-00002F000000}"/>
    <cellStyle name="Normal 7" xfId="40" xr:uid="{00000000-0005-0000-0000-000030000000}"/>
    <cellStyle name="Normal 7 2" xfId="57" xr:uid="{00000000-0005-0000-0000-000031000000}"/>
    <cellStyle name="Normal 8" xfId="41" xr:uid="{00000000-0005-0000-0000-000032000000}"/>
    <cellStyle name="Normal 9" xfId="27" xr:uid="{00000000-0005-0000-0000-000033000000}"/>
    <cellStyle name="Normal_13 Public Finance_done" xfId="2" xr:uid="{00000000-0005-0000-0000-000034000000}"/>
    <cellStyle name="Normal_Quick data" xfId="44" xr:uid="{00000000-0005-0000-0000-000035000000}"/>
    <cellStyle name="Percent" xfId="11" builtinId="5"/>
    <cellStyle name="Percent 2" xfId="16" xr:uid="{00000000-0005-0000-0000-000038000000}"/>
    <cellStyle name="Percent 2 2" xfId="25" xr:uid="{00000000-0005-0000-0000-000039000000}"/>
    <cellStyle name="Percent 2 3" xfId="35" xr:uid="{00000000-0005-0000-0000-00003A000000}"/>
    <cellStyle name="Percent 3" xfId="22" xr:uid="{00000000-0005-0000-0000-00003B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  <sheetName val="toc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S32"/>
  <sheetViews>
    <sheetView tabSelected="1" zoomScaleNormal="100" zoomScaleSheetLayoutView="100" workbookViewId="0">
      <pane xSplit="1" topLeftCell="B1" activePane="topRight" state="frozen"/>
      <selection pane="topRight" activeCell="J10" sqref="J10"/>
    </sheetView>
  </sheetViews>
  <sheetFormatPr defaultColWidth="9.140625" defaultRowHeight="12.75"/>
  <cols>
    <col min="1" max="1" width="36.140625" style="5" customWidth="1"/>
    <col min="2" max="6" width="9.28515625" style="5" customWidth="1"/>
    <col min="7" max="7" width="9.140625" style="5" bestFit="1" customWidth="1"/>
    <col min="8" max="10" width="9.5703125" style="5" bestFit="1" customWidth="1"/>
    <col min="11" max="11" width="9.5703125" style="5" customWidth="1"/>
    <col min="12" max="12" width="2.28515625" style="5" customWidth="1"/>
    <col min="13" max="13" width="13" style="5" customWidth="1"/>
    <col min="14" max="14" width="1" style="5" customWidth="1"/>
    <col min="15" max="15" width="12.140625" style="17" customWidth="1"/>
    <col min="16" max="16" width="2.5703125" style="17" customWidth="1"/>
    <col min="17" max="17" width="38.140625" style="18" customWidth="1"/>
    <col min="18" max="18" width="9.140625" style="5"/>
    <col min="19" max="19" width="9.140625" style="68"/>
    <col min="20" max="16384" width="9.140625" style="5"/>
  </cols>
  <sheetData>
    <row r="1" spans="1:19" ht="18.75">
      <c r="A1" s="86" t="s">
        <v>26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19" ht="15">
      <c r="A2" s="85" t="s">
        <v>27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</row>
    <row r="3" spans="1:19" ht="18.75">
      <c r="A3" s="87" t="s">
        <v>7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</row>
    <row r="4" spans="1:19">
      <c r="A4" s="88" t="s">
        <v>0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</row>
    <row r="5" spans="1:19" ht="29.25" customHeight="1">
      <c r="A5" s="9"/>
      <c r="B5" s="9"/>
      <c r="C5" s="9"/>
      <c r="D5" s="9"/>
      <c r="E5" s="11"/>
      <c r="F5" s="11"/>
      <c r="G5" s="11"/>
      <c r="H5" s="44"/>
      <c r="I5" s="11"/>
      <c r="J5" s="9"/>
      <c r="K5" s="9"/>
      <c r="L5" s="9"/>
      <c r="M5" s="24" t="s">
        <v>8</v>
      </c>
      <c r="N5" s="22"/>
      <c r="O5" s="25" t="s">
        <v>9</v>
      </c>
      <c r="P5" s="19"/>
      <c r="Q5" s="35"/>
    </row>
    <row r="6" spans="1:19" s="6" customFormat="1" ht="24">
      <c r="A6" s="12" t="s">
        <v>1</v>
      </c>
      <c r="B6" s="3" t="s">
        <v>3</v>
      </c>
      <c r="C6" s="3" t="s">
        <v>3</v>
      </c>
      <c r="D6" s="3" t="s">
        <v>3</v>
      </c>
      <c r="E6" s="3" t="s">
        <v>3</v>
      </c>
      <c r="F6" s="3" t="s">
        <v>3</v>
      </c>
      <c r="G6" s="3" t="s">
        <v>3</v>
      </c>
      <c r="H6" s="74" t="s">
        <v>4</v>
      </c>
      <c r="I6" s="3" t="s">
        <v>5</v>
      </c>
      <c r="J6" s="3" t="s">
        <v>5</v>
      </c>
      <c r="K6" s="3" t="s">
        <v>5</v>
      </c>
      <c r="L6" s="1"/>
      <c r="M6" s="26" t="s">
        <v>10</v>
      </c>
      <c r="N6" s="23"/>
      <c r="O6" s="36" t="s">
        <v>6</v>
      </c>
      <c r="P6" s="20"/>
      <c r="Q6" s="33" t="s">
        <v>2</v>
      </c>
      <c r="S6" s="67"/>
    </row>
    <row r="7" spans="1:19" s="6" customFormat="1" ht="15.75">
      <c r="A7" s="46"/>
      <c r="B7" s="4">
        <v>2017</v>
      </c>
      <c r="C7" s="4">
        <v>2018</v>
      </c>
      <c r="D7" s="4">
        <v>2019</v>
      </c>
      <c r="E7" s="4">
        <v>2020</v>
      </c>
      <c r="F7" s="4">
        <v>2021</v>
      </c>
      <c r="G7" s="4">
        <v>2022</v>
      </c>
      <c r="H7" s="75">
        <v>2023</v>
      </c>
      <c r="I7" s="4">
        <v>2024</v>
      </c>
      <c r="J7" s="4">
        <v>2025</v>
      </c>
      <c r="K7" s="4">
        <v>2026</v>
      </c>
      <c r="L7" s="2"/>
      <c r="M7" s="37">
        <v>2023</v>
      </c>
      <c r="N7" s="21"/>
      <c r="O7" s="38" t="s">
        <v>50</v>
      </c>
      <c r="P7" s="48"/>
      <c r="Q7" s="41"/>
      <c r="S7" s="67"/>
    </row>
    <row r="8" spans="1:19" s="6" customFormat="1" ht="21" customHeight="1">
      <c r="A8" s="12" t="s">
        <v>19</v>
      </c>
      <c r="B8" s="58">
        <v>14992.023142</v>
      </c>
      <c r="C8" s="58">
        <v>18328.295645999999</v>
      </c>
      <c r="D8" s="58">
        <v>21383.981932999999</v>
      </c>
      <c r="E8" s="58">
        <v>20320.759587</v>
      </c>
      <c r="F8" s="59">
        <v>24071.266126999999</v>
      </c>
      <c r="G8" s="76">
        <v>28180.935936000002</v>
      </c>
      <c r="H8" s="77">
        <v>32699.641013</v>
      </c>
      <c r="I8" s="76">
        <v>35855.313955999998</v>
      </c>
      <c r="J8" s="76">
        <v>36216.546906000003</v>
      </c>
      <c r="K8" s="76">
        <v>37816.884149999998</v>
      </c>
      <c r="L8" s="13"/>
      <c r="M8" s="40">
        <f>H8/$H$8*100</f>
        <v>100</v>
      </c>
      <c r="N8" s="28"/>
      <c r="O8" s="39">
        <f>+(H8-G8)/G8*100</f>
        <v>16.034616760998119</v>
      </c>
      <c r="Q8" s="49" t="s">
        <v>35</v>
      </c>
      <c r="R8" s="32"/>
      <c r="S8" s="67"/>
    </row>
    <row r="9" spans="1:19" s="6" customFormat="1" ht="21" customHeight="1">
      <c r="A9" s="12" t="s">
        <v>20</v>
      </c>
      <c r="B9" s="58">
        <v>7499.5055840000005</v>
      </c>
      <c r="C9" s="60">
        <v>8260.7605469999999</v>
      </c>
      <c r="D9" s="60">
        <v>8901.6940109999996</v>
      </c>
      <c r="E9" s="60">
        <v>8842.7456110000003</v>
      </c>
      <c r="F9" s="61">
        <v>9300.2195699999993</v>
      </c>
      <c r="G9" s="76">
        <v>10019.676957</v>
      </c>
      <c r="H9" s="77">
        <v>10673.3199</v>
      </c>
      <c r="I9" s="76">
        <v>13009.243844000001</v>
      </c>
      <c r="J9" s="76">
        <v>13553.005375999999</v>
      </c>
      <c r="K9" s="76">
        <v>14071.223532</v>
      </c>
      <c r="L9" s="13"/>
      <c r="M9" s="40">
        <f t="shared" ref="M9:M22" si="0">H9/$H$8*100</f>
        <v>32.640480351930279</v>
      </c>
      <c r="N9" s="28"/>
      <c r="O9" s="39">
        <f>+(H9-G9)/G9*100</f>
        <v>6.5235929841365721</v>
      </c>
      <c r="Q9" s="49" t="s">
        <v>36</v>
      </c>
      <c r="S9" s="67"/>
    </row>
    <row r="10" spans="1:19" s="7" customFormat="1" ht="21" customHeight="1">
      <c r="A10" s="53" t="s">
        <v>28</v>
      </c>
      <c r="B10" s="50">
        <v>7289.7864689999997</v>
      </c>
      <c r="C10" s="50">
        <v>8040.9678519999998</v>
      </c>
      <c r="D10" s="50">
        <v>8665.052694</v>
      </c>
      <c r="E10" s="50">
        <v>8615.7547840000007</v>
      </c>
      <c r="F10" s="62">
        <v>9065.2809689999995</v>
      </c>
      <c r="G10" s="78">
        <v>9761.1350829999992</v>
      </c>
      <c r="H10" s="79">
        <v>10388.802937</v>
      </c>
      <c r="I10" s="78">
        <v>12674.040783</v>
      </c>
      <c r="J10" s="78">
        <v>13216.321066</v>
      </c>
      <c r="K10" s="78">
        <v>13734.645506000001</v>
      </c>
      <c r="L10" s="45"/>
      <c r="M10" s="47">
        <f t="shared" si="0"/>
        <v>31.77038834423243</v>
      </c>
      <c r="N10" s="29"/>
      <c r="O10" s="43">
        <f t="shared" ref="O10:O22" si="1">+(H10-G10)/G10*100</f>
        <v>6.4302752565441699</v>
      </c>
      <c r="Q10" s="69" t="s">
        <v>37</v>
      </c>
      <c r="S10" s="67"/>
    </row>
    <row r="11" spans="1:19" s="7" customFormat="1" ht="21" customHeight="1">
      <c r="A11" s="53" t="s">
        <v>29</v>
      </c>
      <c r="B11" s="50">
        <v>209.71911499999999</v>
      </c>
      <c r="C11" s="50">
        <v>219.79269500000001</v>
      </c>
      <c r="D11" s="50">
        <v>236.64131699999999</v>
      </c>
      <c r="E11" s="50">
        <v>226.990827</v>
      </c>
      <c r="F11" s="62">
        <v>234.93860100000001</v>
      </c>
      <c r="G11" s="62">
        <v>258.54187400000001</v>
      </c>
      <c r="H11" s="80">
        <v>284.51696299999998</v>
      </c>
      <c r="I11" s="62">
        <v>335.20306099999999</v>
      </c>
      <c r="J11" s="62">
        <v>336.68430999999998</v>
      </c>
      <c r="K11" s="62">
        <v>336.57802600000002</v>
      </c>
      <c r="L11" s="45"/>
      <c r="M11" s="47">
        <f t="shared" si="0"/>
        <v>0.87009200769784611</v>
      </c>
      <c r="N11" s="29"/>
      <c r="O11" s="43">
        <f t="shared" si="1"/>
        <v>10.046762869832051</v>
      </c>
      <c r="Q11" s="52" t="s">
        <v>45</v>
      </c>
      <c r="S11" s="67"/>
    </row>
    <row r="12" spans="1:19" s="6" customFormat="1" ht="18.75">
      <c r="A12" s="12" t="s">
        <v>21</v>
      </c>
      <c r="B12" s="58">
        <v>2910.8360510000002</v>
      </c>
      <c r="C12" s="58">
        <v>3770.7117159999998</v>
      </c>
      <c r="D12" s="58">
        <v>4272.9974709999997</v>
      </c>
      <c r="E12" s="58">
        <v>3478.4966239999999</v>
      </c>
      <c r="F12" s="59">
        <v>4654.1686879999997</v>
      </c>
      <c r="G12" s="59">
        <v>4219.6350750000001</v>
      </c>
      <c r="H12" s="81">
        <v>4671.5442629999998</v>
      </c>
      <c r="I12" s="76">
        <v>5873.9302619999999</v>
      </c>
      <c r="J12" s="76">
        <v>5732.4954440000001</v>
      </c>
      <c r="K12" s="76">
        <v>5773.6063180000001</v>
      </c>
      <c r="L12" s="13"/>
      <c r="M12" s="40">
        <f t="shared" si="0"/>
        <v>14.286224919542054</v>
      </c>
      <c r="N12" s="28"/>
      <c r="O12" s="39">
        <f t="shared" si="1"/>
        <v>10.709674651190058</v>
      </c>
      <c r="Q12" s="70" t="s">
        <v>38</v>
      </c>
      <c r="S12" s="67"/>
    </row>
    <row r="13" spans="1:19" s="6" customFormat="1" ht="18.75">
      <c r="A13" s="12" t="s">
        <v>22</v>
      </c>
      <c r="B13" s="58">
        <v>1096.946659</v>
      </c>
      <c r="C13" s="58">
        <v>1440.2569269999999</v>
      </c>
      <c r="D13" s="58">
        <v>1540.813124</v>
      </c>
      <c r="E13" s="58">
        <v>1603.859134</v>
      </c>
      <c r="F13" s="59">
        <v>2104.4655419999999</v>
      </c>
      <c r="G13" s="59">
        <v>3452.422247</v>
      </c>
      <c r="H13" s="81">
        <v>5095.6525199999996</v>
      </c>
      <c r="I13" s="59">
        <v>5244.0341040000003</v>
      </c>
      <c r="J13" s="59">
        <v>5934.9636620000001</v>
      </c>
      <c r="K13" s="59">
        <v>6595.2060540000002</v>
      </c>
      <c r="L13" s="13"/>
      <c r="M13" s="40">
        <f t="shared" si="0"/>
        <v>15.583206304846536</v>
      </c>
      <c r="N13" s="28"/>
      <c r="O13" s="39">
        <f t="shared" si="1"/>
        <v>47.596445493534084</v>
      </c>
      <c r="Q13" s="70" t="s">
        <v>39</v>
      </c>
      <c r="S13" s="67"/>
    </row>
    <row r="14" spans="1:19" s="7" customFormat="1" ht="18.75">
      <c r="A14" s="53" t="s">
        <v>30</v>
      </c>
      <c r="B14" s="50">
        <v>186.929496</v>
      </c>
      <c r="C14" s="50">
        <v>505.16703699999999</v>
      </c>
      <c r="D14" s="50">
        <v>624.492615</v>
      </c>
      <c r="E14" s="50">
        <v>531.97743700000001</v>
      </c>
      <c r="F14" s="62">
        <v>984.38957200000004</v>
      </c>
      <c r="G14" s="62">
        <v>1603.07645</v>
      </c>
      <c r="H14" s="80">
        <v>2221.0911850000002</v>
      </c>
      <c r="I14" s="78">
        <v>2587.6080419999998</v>
      </c>
      <c r="J14" s="78">
        <v>3069.8140629999998</v>
      </c>
      <c r="K14" s="78">
        <v>3546.8822879999998</v>
      </c>
      <c r="L14" s="45"/>
      <c r="M14" s="47">
        <f t="shared" si="0"/>
        <v>6.7924023511970297</v>
      </c>
      <c r="N14" s="29"/>
      <c r="O14" s="43">
        <f t="shared" si="1"/>
        <v>38.551794270323178</v>
      </c>
      <c r="Q14" s="52" t="s">
        <v>40</v>
      </c>
      <c r="S14" s="67"/>
    </row>
    <row r="15" spans="1:19" s="7" customFormat="1" ht="18.75">
      <c r="A15" s="53" t="s">
        <v>31</v>
      </c>
      <c r="B15" s="50">
        <v>910.01716299999998</v>
      </c>
      <c r="C15" s="50">
        <v>935.08988999999997</v>
      </c>
      <c r="D15" s="50">
        <v>916.32050900000002</v>
      </c>
      <c r="E15" s="50">
        <v>1071.881697</v>
      </c>
      <c r="F15" s="62">
        <v>1120.0759700000001</v>
      </c>
      <c r="G15" s="62">
        <v>1849.3457969999999</v>
      </c>
      <c r="H15" s="80">
        <v>2874.5613349999999</v>
      </c>
      <c r="I15" s="78">
        <v>2656.426062</v>
      </c>
      <c r="J15" s="78">
        <v>2865.1495989999999</v>
      </c>
      <c r="K15" s="78">
        <v>3048.323766</v>
      </c>
      <c r="L15" s="45"/>
      <c r="M15" s="47">
        <f t="shared" si="0"/>
        <v>8.7908039536495082</v>
      </c>
      <c r="N15" s="29"/>
      <c r="O15" s="43">
        <f t="shared" si="1"/>
        <v>55.43665979954099</v>
      </c>
      <c r="Q15" s="52" t="s">
        <v>41</v>
      </c>
      <c r="S15" s="67"/>
    </row>
    <row r="16" spans="1:19" s="6" customFormat="1" ht="18.75">
      <c r="A16" s="12" t="s">
        <v>23</v>
      </c>
      <c r="B16" s="58">
        <v>287.527469</v>
      </c>
      <c r="C16" s="58">
        <v>595.08640200000002</v>
      </c>
      <c r="D16" s="58">
        <v>789.54117199999996</v>
      </c>
      <c r="E16" s="58">
        <v>1084.421182</v>
      </c>
      <c r="F16" s="59">
        <v>1434.8469680000001</v>
      </c>
      <c r="G16" s="59">
        <v>3717.950613</v>
      </c>
      <c r="H16" s="81">
        <v>4162.2824609999998</v>
      </c>
      <c r="I16" s="76">
        <v>2828.2653070000001</v>
      </c>
      <c r="J16" s="76">
        <v>803.41853100000003</v>
      </c>
      <c r="K16" s="76">
        <v>759.02071599999999</v>
      </c>
      <c r="L16" s="13"/>
      <c r="M16" s="40">
        <f t="shared" si="0"/>
        <v>12.728832280896452</v>
      </c>
      <c r="N16" s="28"/>
      <c r="O16" s="39">
        <f t="shared" si="1"/>
        <v>11.950988440953768</v>
      </c>
      <c r="Q16" s="70" t="s">
        <v>46</v>
      </c>
      <c r="S16" s="67"/>
    </row>
    <row r="17" spans="1:19" s="6" customFormat="1" ht="22.5" customHeight="1">
      <c r="A17" s="55" t="s">
        <v>18</v>
      </c>
      <c r="B17" s="58">
        <v>0</v>
      </c>
      <c r="C17" s="56">
        <v>31.390172</v>
      </c>
      <c r="D17" s="56">
        <v>126.25328399999999</v>
      </c>
      <c r="E17" s="63">
        <v>947.21775000000002</v>
      </c>
      <c r="F17" s="63">
        <v>1404.986257</v>
      </c>
      <c r="G17" s="57">
        <v>1652.053416</v>
      </c>
      <c r="H17" s="82">
        <v>1843.6560440000001</v>
      </c>
      <c r="I17" s="57">
        <v>2225.1906829999998</v>
      </c>
      <c r="J17" s="57">
        <v>2389.0983209999999</v>
      </c>
      <c r="K17" s="57">
        <v>2487.1843709999998</v>
      </c>
      <c r="L17" s="57"/>
      <c r="M17" s="40">
        <f t="shared" si="0"/>
        <v>5.6381537744314691</v>
      </c>
      <c r="N17" s="28"/>
      <c r="O17" s="39">
        <f t="shared" si="1"/>
        <v>11.597847027483771</v>
      </c>
      <c r="Q17" s="70" t="s">
        <v>43</v>
      </c>
      <c r="S17" s="67"/>
    </row>
    <row r="18" spans="1:19" s="6" customFormat="1" ht="18.75">
      <c r="A18" s="12" t="s">
        <v>24</v>
      </c>
      <c r="B18" s="58">
        <v>2532.629355</v>
      </c>
      <c r="C18" s="58">
        <v>3272.8302210000002</v>
      </c>
      <c r="D18" s="58">
        <v>3120.7742629999998</v>
      </c>
      <c r="E18" s="58">
        <v>3219.747805</v>
      </c>
      <c r="F18" s="59">
        <v>3936.9809780000001</v>
      </c>
      <c r="G18" s="59">
        <v>4258.8344559999996</v>
      </c>
      <c r="H18" s="81">
        <v>4871.32161</v>
      </c>
      <c r="I18" s="59">
        <v>4766.2450760000002</v>
      </c>
      <c r="J18" s="59">
        <v>5094.5420379999996</v>
      </c>
      <c r="K18" s="59">
        <v>5402.2349549999999</v>
      </c>
      <c r="L18" s="13"/>
      <c r="M18" s="40">
        <f t="shared" si="0"/>
        <v>14.897171525716042</v>
      </c>
      <c r="N18" s="28"/>
      <c r="O18" s="39">
        <f t="shared" si="1"/>
        <v>14.381567546893173</v>
      </c>
      <c r="Q18" s="71" t="s">
        <v>42</v>
      </c>
      <c r="S18" s="67"/>
    </row>
    <row r="19" spans="1:19" s="6" customFormat="1" ht="18.75">
      <c r="A19" s="53" t="s">
        <v>32</v>
      </c>
      <c r="B19" s="50">
        <v>538.01226299999996</v>
      </c>
      <c r="C19" s="50">
        <v>546.00995899999998</v>
      </c>
      <c r="D19" s="50">
        <v>1014.447769</v>
      </c>
      <c r="E19" s="50">
        <v>1128.900484</v>
      </c>
      <c r="F19" s="62">
        <v>1195.919574</v>
      </c>
      <c r="G19" s="62">
        <v>1266.2141079999999</v>
      </c>
      <c r="H19" s="80">
        <v>1324.607385</v>
      </c>
      <c r="I19" s="62">
        <v>1440.102719</v>
      </c>
      <c r="J19" s="62">
        <v>1561.936719</v>
      </c>
      <c r="K19" s="62">
        <v>1701.6367190000001</v>
      </c>
      <c r="L19" s="45"/>
      <c r="M19" s="47">
        <f t="shared" si="0"/>
        <v>4.0508315809136617</v>
      </c>
      <c r="N19" s="29"/>
      <c r="O19" s="43">
        <f t="shared" si="1"/>
        <v>4.6116432150825579</v>
      </c>
      <c r="Q19" s="52" t="s">
        <v>48</v>
      </c>
      <c r="S19" s="67"/>
    </row>
    <row r="20" spans="1:19" s="7" customFormat="1" ht="18.75">
      <c r="A20" s="53" t="s">
        <v>33</v>
      </c>
      <c r="B20" s="50">
        <v>1383.9713879999999</v>
      </c>
      <c r="C20" s="50">
        <v>2072.4884889999998</v>
      </c>
      <c r="D20" s="50">
        <v>1856.5159550000001</v>
      </c>
      <c r="E20" s="50">
        <v>1984.288622</v>
      </c>
      <c r="F20" s="62">
        <v>2548.064687</v>
      </c>
      <c r="G20" s="62">
        <v>2745.8239359999998</v>
      </c>
      <c r="H20" s="80">
        <v>3297.8211689999998</v>
      </c>
      <c r="I20" s="78">
        <v>3135.0309999999999</v>
      </c>
      <c r="J20" s="78">
        <v>3330.9090000000001</v>
      </c>
      <c r="K20" s="78">
        <v>3489.2267499999998</v>
      </c>
      <c r="L20" s="45"/>
      <c r="M20" s="47">
        <f t="shared" si="0"/>
        <v>10.085190744720791</v>
      </c>
      <c r="N20" s="29"/>
      <c r="O20" s="43">
        <f t="shared" si="1"/>
        <v>20.103154676556802</v>
      </c>
      <c r="Q20" s="52" t="s">
        <v>44</v>
      </c>
      <c r="S20" s="67"/>
    </row>
    <row r="21" spans="1:19" s="7" customFormat="1" ht="18.75">
      <c r="A21" s="53" t="s">
        <v>34</v>
      </c>
      <c r="B21" s="62">
        <v>610.64570400000002</v>
      </c>
      <c r="C21" s="62">
        <v>654.331773</v>
      </c>
      <c r="D21" s="62">
        <v>249.81053900000001</v>
      </c>
      <c r="E21" s="62">
        <v>106.558699</v>
      </c>
      <c r="F21" s="62">
        <v>192.99671699999999</v>
      </c>
      <c r="G21" s="62">
        <v>246.796412</v>
      </c>
      <c r="H21" s="80">
        <v>248.893056</v>
      </c>
      <c r="I21" s="62">
        <v>191.111357</v>
      </c>
      <c r="J21" s="62">
        <v>201.69631899999999</v>
      </c>
      <c r="K21" s="62">
        <v>211.371486</v>
      </c>
      <c r="L21" s="45"/>
      <c r="M21" s="47">
        <f t="shared" si="0"/>
        <v>0.76114920008158682</v>
      </c>
      <c r="N21" s="29"/>
      <c r="O21" s="43">
        <f t="shared" si="1"/>
        <v>0.84954395528246074</v>
      </c>
      <c r="Q21" s="73" t="s">
        <v>47</v>
      </c>
      <c r="S21" s="67"/>
    </row>
    <row r="22" spans="1:19" s="6" customFormat="1" ht="18.75">
      <c r="A22" s="46" t="s">
        <v>25</v>
      </c>
      <c r="B22" s="64">
        <v>664.57802400000003</v>
      </c>
      <c r="C22" s="64">
        <v>957.25966100000005</v>
      </c>
      <c r="D22" s="64">
        <v>2631.9086080000002</v>
      </c>
      <c r="E22" s="64">
        <v>1144.271481</v>
      </c>
      <c r="F22" s="64">
        <v>1235.5981240000001</v>
      </c>
      <c r="G22" s="64">
        <v>860.36317199999996</v>
      </c>
      <c r="H22" s="83">
        <v>1381.8642150000001</v>
      </c>
      <c r="I22" s="64">
        <v>1908.4046800000001</v>
      </c>
      <c r="J22" s="64">
        <v>2709.0235339999999</v>
      </c>
      <c r="K22" s="64">
        <v>2728.4082039999998</v>
      </c>
      <c r="L22" s="54"/>
      <c r="M22" s="65">
        <f t="shared" si="0"/>
        <v>4.225930842637168</v>
      </c>
      <c r="N22" s="66"/>
      <c r="O22" s="84">
        <f t="shared" si="1"/>
        <v>60.614059268450426</v>
      </c>
      <c r="P22" s="48"/>
      <c r="Q22" s="72" t="s">
        <v>17</v>
      </c>
      <c r="S22" s="67"/>
    </row>
    <row r="23" spans="1:19" ht="12" customHeight="1">
      <c r="A23" s="27" t="s">
        <v>11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15"/>
      <c r="Q23" s="30" t="s">
        <v>12</v>
      </c>
      <c r="S23" s="67"/>
    </row>
    <row r="24" spans="1:19" s="7" customFormat="1" ht="15.75" customHeight="1">
      <c r="A24" s="31" t="s">
        <v>13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/>
      <c r="P24" s="14"/>
      <c r="Q24" s="42" t="s">
        <v>14</v>
      </c>
      <c r="S24" s="67"/>
    </row>
    <row r="25" spans="1:19" s="7" customFormat="1" ht="14.25" customHeight="1">
      <c r="A25" s="51" t="s">
        <v>16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4"/>
      <c r="P25" s="14"/>
      <c r="Q25" s="34" t="s">
        <v>49</v>
      </c>
      <c r="S25" s="67"/>
    </row>
    <row r="26" spans="1:19" s="7" customFormat="1" ht="12">
      <c r="A26" s="8" t="s">
        <v>15</v>
      </c>
      <c r="O26" s="15"/>
      <c r="P26" s="15"/>
      <c r="Q26" s="16"/>
      <c r="S26" s="67"/>
    </row>
    <row r="27" spans="1:19" s="7" customFormat="1" ht="12">
      <c r="O27" s="15"/>
      <c r="P27" s="15"/>
      <c r="Q27" s="16"/>
      <c r="S27" s="67"/>
    </row>
    <row r="28" spans="1:19" s="7" customFormat="1" ht="12">
      <c r="O28" s="15"/>
      <c r="P28" s="15"/>
      <c r="Q28" s="16"/>
      <c r="S28" s="67"/>
    </row>
    <row r="29" spans="1:19" s="7" customFormat="1" ht="12">
      <c r="O29" s="15"/>
      <c r="P29" s="15"/>
      <c r="Q29" s="16"/>
      <c r="S29" s="67"/>
    </row>
    <row r="30" spans="1:19" s="7" customFormat="1" ht="12">
      <c r="O30" s="15"/>
      <c r="P30" s="15"/>
      <c r="Q30" s="16"/>
      <c r="S30" s="67"/>
    </row>
    <row r="31" spans="1:19" s="7" customFormat="1" ht="12">
      <c r="O31" s="15"/>
      <c r="P31" s="15"/>
      <c r="Q31" s="16"/>
      <c r="S31" s="67"/>
    </row>
    <row r="32" spans="1:19" s="7" customFormat="1" ht="12">
      <c r="O32" s="15"/>
      <c r="P32" s="15"/>
      <c r="Q32" s="16"/>
      <c r="S32" s="67"/>
    </row>
  </sheetData>
  <mergeCells count="4">
    <mergeCell ref="A1:Q1"/>
    <mergeCell ref="A2:Q2"/>
    <mergeCell ref="A3:Q3"/>
    <mergeCell ref="A4:Q4"/>
  </mergeCells>
  <pageMargins left="0.17" right="0.16" top="0.35" bottom="0.27" header="0.17" footer="0.17"/>
  <pageSetup paperSize="9" scale="71" orientation="landscape" horizontalDpi="4294967295" verticalDpi="4294967295" r:id="rId1"/>
  <colBreaks count="1" manualBreakCount="1">
    <brk id="17" max="1048575" man="1"/>
  </colBreaks>
  <customProperties>
    <customPr name="EpmWorksheetKeyString_GUID" r:id="rId2"/>
  </customProperties>
  <ignoredErrors>
    <ignoredError sqref="N10:N11 L11 N8 N18:N22 L18:L22 N17 L17 N12:N16 L12:L16 M8:M22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1593d9c1-a9f6-478d-a576-b0943b39c604"/>
    <ds:schemaRef ds:uri="1916c6aa-fa20-4fca-8349-5fbeea1bc48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13.4</vt:lpstr>
      <vt:lpstr>'13.4'!Print_Area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2024-07-15T09:36:40Z</cp:lastPrinted>
  <dcterms:created xsi:type="dcterms:W3CDTF">2014-03-06T08:38:12Z</dcterms:created>
  <dcterms:modified xsi:type="dcterms:W3CDTF">2024-07-16T03:47:08Z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