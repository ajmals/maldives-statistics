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3B388B6E-C97A-4021-9F99-40DC546442E5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2" sheetId="2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'13.2'!$A$1:$M$48</definedName>
    <definedName name="_xlnm.Print_Titles" localSheetId="0">'13.2'!$5:$7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4" i="2" l="1"/>
  <c r="L13" i="2"/>
  <c r="L14" i="2"/>
  <c r="L15" i="2"/>
  <c r="L16" i="2"/>
  <c r="L17" i="2"/>
  <c r="L18" i="2"/>
  <c r="L20" i="2"/>
  <c r="L21" i="2"/>
  <c r="L22" i="2"/>
  <c r="L24" i="2"/>
  <c r="L25" i="2"/>
  <c r="L26" i="2"/>
  <c r="L27" i="2"/>
  <c r="L28" i="2"/>
  <c r="L30" i="2"/>
  <c r="L31" i="2"/>
  <c r="L32" i="2"/>
  <c r="L33" i="2"/>
  <c r="L34" i="2"/>
  <c r="L35" i="2"/>
  <c r="L36" i="2"/>
  <c r="L37" i="2"/>
  <c r="L38" i="2"/>
  <c r="L40" i="2"/>
  <c r="L45" i="2"/>
  <c r="L46" i="2"/>
  <c r="L47" i="2"/>
  <c r="L9" i="2"/>
  <c r="L10" i="2"/>
  <c r="L11" i="2"/>
  <c r="L12" i="2"/>
  <c r="L8" i="2" l="1"/>
</calcChain>
</file>

<file path=xl/sharedStrings.xml><?xml version="1.0" encoding="utf-8"?>
<sst xmlns="http://schemas.openxmlformats.org/spreadsheetml/2006/main" count="104" uniqueCount="85">
  <si>
    <t>(cniaWyifur cnwailim)</t>
  </si>
  <si>
    <t>(In million MVR)</t>
  </si>
  <si>
    <t>Particulars</t>
  </si>
  <si>
    <t>Actual</t>
  </si>
  <si>
    <t>Revised</t>
  </si>
  <si>
    <t xml:space="preserve">Approved </t>
  </si>
  <si>
    <t>(urwvcnimivurutia)</t>
  </si>
  <si>
    <t>Percentage Change</t>
  </si>
  <si>
    <t>އެކްސްޕޯޓް ޑިއުޓީ</t>
  </si>
  <si>
    <t>Other</t>
  </si>
  <si>
    <t>Source:  Ministry of Finance.</t>
  </si>
  <si>
    <t>(*)</t>
  </si>
  <si>
    <t>2026- 2012 ,WsWluK egutogWviawfihebutwycailWm egurWkurws  : 13.2 ulwvWt</t>
  </si>
  <si>
    <t>2022-2023</t>
  </si>
  <si>
    <t>ހިލޭ އެހީގެ ގޮތުގައި ލިބޭ އާމްދަނީ</t>
  </si>
  <si>
    <t>ޖުމުލަ އާމްދަނީއާއި ހިލޭ އެހީ</t>
  </si>
  <si>
    <t>Taxes</t>
  </si>
  <si>
    <t>Grants</t>
  </si>
  <si>
    <t>Interest</t>
  </si>
  <si>
    <t>ޓެކުހުގެ ގޮތުގައި ލިބޭ އާމްދަނީ</t>
  </si>
  <si>
    <t>އާމްދަނީން ނެގޭ ޓެކްސް</t>
  </si>
  <si>
    <t>ބިޒްނަސް އަދި ޕްރޮޕަރޓީ ޓެކްސް</t>
  </si>
  <si>
    <t>މުދަލާއި ހިދުމަތުން ނެގޭ ޓެކްސް</t>
  </si>
  <si>
    <t>ގުޑްސް އަދި ސަރވިސަސް ޓެކްސް</t>
  </si>
  <si>
    <t>ވެލިއު އެޑެޑް ޓެކްސް</t>
  </si>
  <si>
    <t>ހާއްސް ހިދުމަތުން ނެގޭ ޓެކްސް</t>
  </si>
  <si>
    <t>ބޭރުގެ ވިޔަފާރިން ނެގޭ ޓެކްސް</t>
  </si>
  <si>
    <t>އިމްޕޯޓް ޑިއުޓީ</t>
  </si>
  <si>
    <t>ބޭރު ގައުމުތަކުން</t>
  </si>
  <si>
    <t>ރިކަރަންޓް</t>
  </si>
  <si>
    <t>ކެޕިޓަލް</t>
  </si>
  <si>
    <t>ބޭރުގެ ޖަމިއްޔާތަކުން</t>
  </si>
  <si>
    <t>ސަރުކާރުގެ އޮފީސްތަކުން</t>
  </si>
  <si>
    <t>އެހެނިހެން އާމދަނީ</t>
  </si>
  <si>
    <t>ޕްރޮޕަޓީ އިންކަމް</t>
  </si>
  <si>
    <t>އިންޓަރެސްޓް</t>
  </si>
  <si>
    <t>އާންމުންގެ އަތުން</t>
  </si>
  <si>
    <t>ހިއްސާގެ ފައިދާއިން</t>
  </si>
  <si>
    <t>ކުލީގެ އާމްދަނީން</t>
  </si>
  <si>
    <t>ވިޔަފާރީގެ އާމްދަނީ</t>
  </si>
  <si>
    <t>އެޑްމިނިސްޓރޭޓިވ ފީ</t>
  </si>
  <si>
    <t>ހާއްސަ ވިޔަފާރިތަކުގެ އާމްދަނީން</t>
  </si>
  <si>
    <t>ޖޫރިމަނާ</t>
  </si>
  <si>
    <t>ޓްރާންސްފަރސް</t>
  </si>
  <si>
    <t>ކަރަންޓް</t>
  </si>
  <si>
    <t>އެހެނިހެން</t>
  </si>
  <si>
    <t>އިންޝުއަރެންސް</t>
  </si>
  <si>
    <t>ފީ އާއި ކްލެއިމް</t>
  </si>
  <si>
    <t>ޕްރިމިއަމްސް</t>
  </si>
  <si>
    <t>ސްޓެންޑަރޑައިޒްޑް ގެރެންޓީ ސްކީމްގެ ފީ</t>
  </si>
  <si>
    <t>އާމްދަނީގެ ބައިތަށް</t>
  </si>
  <si>
    <t>Transfers not elsewhere classified</t>
  </si>
  <si>
    <t>Current</t>
  </si>
  <si>
    <t>Capital</t>
  </si>
  <si>
    <t>REVENUE</t>
  </si>
  <si>
    <t>Taxes on income, profits, and capital gains</t>
  </si>
  <si>
    <t>Payable by corporations and other enterprises</t>
  </si>
  <si>
    <t>Taxes on goods and services</t>
  </si>
  <si>
    <t>General taxes on goods and services</t>
  </si>
  <si>
    <t>Value-added taxes</t>
  </si>
  <si>
    <t>Taxes on financial and capital transactions</t>
  </si>
  <si>
    <t>Taxes on specific services</t>
  </si>
  <si>
    <t>Taxes on international trade and transactions</t>
  </si>
  <si>
    <t>Customs and other import duties</t>
  </si>
  <si>
    <t>Taxes on exports</t>
  </si>
  <si>
    <t>From foreign governments</t>
  </si>
  <si>
    <t>From international organizations</t>
  </si>
  <si>
    <t>From other general government units</t>
  </si>
  <si>
    <t>Other revenue</t>
  </si>
  <si>
    <t>Property income</t>
  </si>
  <si>
    <t>From residents other than general government</t>
  </si>
  <si>
    <t>Dividends</t>
  </si>
  <si>
    <t>Rent</t>
  </si>
  <si>
    <t>Sales of goods and services</t>
  </si>
  <si>
    <t>Administrative fees</t>
  </si>
  <si>
    <t>Incidental sales by nonmarket establishments</t>
  </si>
  <si>
    <t>Imputed sales of goods and services</t>
  </si>
  <si>
    <t>Fines, penalties, and forfeits</t>
  </si>
  <si>
    <t>Insurance and standardized guarantee schemes</t>
  </si>
  <si>
    <t>Premiums, fees, and current claims</t>
  </si>
  <si>
    <t>Premiums</t>
  </si>
  <si>
    <t>Fees for standardized guarantee schemes</t>
  </si>
  <si>
    <t xml:space="preserve">Table  13.2 :   SUMMARY OF CENTRAL GOVERNMENT FINANCE, 2017 - 2026
</t>
  </si>
  <si>
    <t>މާލީ އަދި ކެޕިޓަލް މުއާމަލާތްތަކުން ނެގޭ ޓެކްސް</t>
  </si>
  <si>
    <t xml:space="preserve"> 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</si>
</sst>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4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10"/>
      <color theme="1"/>
      <name val="Faruma"/>
    </font>
    <font>
      <sz val="9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sz val="9"/>
      <color theme="1"/>
      <name val="Arial"/>
      <family val="2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9"/>
      <color theme="1"/>
      <name val="A_Faseyha"/>
    </font>
    <font>
      <b/>
      <sz val="10"/>
      <color theme="1"/>
      <name val="Faruma"/>
    </font>
    <font>
      <sz val="12"/>
      <color theme="1"/>
      <name val="Century Gothic"/>
      <family val="2"/>
    </font>
    <font>
      <b/>
      <sz val="8"/>
      <color theme="1"/>
      <name val="A_Haleem Rasmee"/>
      <family val="2"/>
      <charset val="2"/>
    </font>
    <font>
      <b/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8"/>
      <name val="Calibri"/>
      <family val="2"/>
      <scheme val="minor"/>
    </font>
    <font>
      <sz val="7"/>
      <color theme="1"/>
      <name val="Farum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164" fontId="1" fillId="0" borderId="0" applyFont="0" applyFill="0" applyBorder="0" applyAlignment="0" applyProtection="0"/>
    <xf numFmtId="0" fontId="7" fillId="0" borderId="0"/>
    <xf numFmtId="170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9" fontId="22" fillId="0" borderId="0"/>
    <xf numFmtId="4" fontId="2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29" fillId="0" borderId="0"/>
    <xf numFmtId="1" fontId="30" fillId="0" borderId="9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3" fillId="0" borderId="0"/>
    <xf numFmtId="40" fontId="23" fillId="0" borderId="0" applyFont="0" applyFill="0" applyBorder="0" applyAlignment="0" applyProtection="0"/>
    <xf numFmtId="0" fontId="23" fillId="0" borderId="0"/>
    <xf numFmtId="0" fontId="2" fillId="0" borderId="0"/>
    <xf numFmtId="1" fontId="30" fillId="0" borderId="9" applyNumberFormat="0"/>
    <xf numFmtId="0" fontId="1" fillId="0" borderId="0"/>
    <xf numFmtId="0" fontId="23" fillId="0" borderId="0"/>
    <xf numFmtId="0" fontId="7" fillId="0" borderId="0" applyFill="0" applyProtection="0"/>
    <xf numFmtId="1" fontId="30" fillId="0" borderId="9" applyNumberFormat="0"/>
    <xf numFmtId="43" fontId="1" fillId="0" borderId="0" applyFont="0" applyFill="0" applyBorder="0" applyAlignment="0" applyProtection="0"/>
    <xf numFmtId="0" fontId="1" fillId="0" borderId="0"/>
    <xf numFmtId="0" fontId="31" fillId="0" borderId="0"/>
    <xf numFmtId="0" fontId="32" fillId="0" borderId="0"/>
    <xf numFmtId="0" fontId="31" fillId="0" borderId="0"/>
    <xf numFmtId="0" fontId="1" fillId="0" borderId="0"/>
    <xf numFmtId="0" fontId="23" fillId="0" borderId="0"/>
    <xf numFmtId="0" fontId="7" fillId="0" borderId="0" applyFill="0" applyProtection="0"/>
  </cellStyleXfs>
  <cellXfs count="64">
    <xf numFmtId="0" fontId="0" fillId="0" borderId="0" xfId="0"/>
    <xf numFmtId="167" fontId="6" fillId="2" borderId="0" xfId="2" applyNumberFormat="1" applyFont="1" applyFill="1" applyAlignment="1" applyProtection="1">
      <alignment horizontal="right" vertical="center"/>
      <protection locked="0"/>
    </xf>
    <xf numFmtId="166" fontId="6" fillId="2" borderId="0" xfId="2" applyNumberFormat="1" applyFont="1" applyFill="1" applyAlignment="1" applyProtection="1">
      <alignment horizontal="right" vertical="center"/>
      <protection locked="0"/>
    </xf>
    <xf numFmtId="166" fontId="6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Alignment="1">
      <alignment vertical="center"/>
    </xf>
    <xf numFmtId="166" fontId="16" fillId="2" borderId="0" xfId="2" applyNumberFormat="1" applyFont="1" applyFill="1" applyAlignment="1">
      <alignment vertical="center"/>
    </xf>
    <xf numFmtId="166" fontId="17" fillId="2" borderId="3" xfId="2" applyNumberFormat="1" applyFont="1" applyFill="1" applyBorder="1" applyAlignment="1">
      <alignment horizontal="right" vertical="center"/>
    </xf>
    <xf numFmtId="167" fontId="6" fillId="2" borderId="0" xfId="2" applyNumberFormat="1" applyFont="1" applyFill="1" applyAlignment="1">
      <alignment horizontal="right" vertical="center"/>
    </xf>
    <xf numFmtId="166" fontId="6" fillId="2" borderId="0" xfId="2" applyNumberFormat="1" applyFont="1" applyFill="1" applyAlignment="1">
      <alignment horizontal="left" vertical="center"/>
    </xf>
    <xf numFmtId="167" fontId="11" fillId="2" borderId="0" xfId="2" applyNumberFormat="1" applyFont="1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6" fontId="9" fillId="2" borderId="0" xfId="2" applyNumberFormat="1" applyFont="1" applyFill="1" applyAlignment="1">
      <alignment vertical="center"/>
    </xf>
    <xf numFmtId="166" fontId="18" fillId="2" borderId="0" xfId="2" applyNumberFormat="1" applyFont="1" applyFill="1" applyAlignment="1">
      <alignment vertical="center"/>
    </xf>
    <xf numFmtId="166" fontId="15" fillId="2" borderId="0" xfId="2" applyNumberFormat="1" applyFont="1" applyFill="1" applyAlignment="1">
      <alignment horizontal="center" vertical="center"/>
    </xf>
    <xf numFmtId="166" fontId="11" fillId="2" borderId="0" xfId="2" applyNumberFormat="1" applyFont="1" applyFill="1" applyAlignment="1">
      <alignment horizontal="left" vertical="center" indent="2"/>
    </xf>
    <xf numFmtId="166" fontId="19" fillId="2" borderId="0" xfId="2" applyNumberFormat="1" applyFont="1" applyFill="1" applyAlignment="1">
      <alignment horizontal="left" vertical="center"/>
    </xf>
    <xf numFmtId="167" fontId="11" fillId="2" borderId="0" xfId="2" applyNumberFormat="1" applyFont="1" applyFill="1" applyAlignment="1">
      <alignment horizontal="center" vertical="center"/>
    </xf>
    <xf numFmtId="167" fontId="14" fillId="2" borderId="0" xfId="2" applyNumberFormat="1" applyFont="1" applyFill="1" applyAlignment="1">
      <alignment horizontal="right" vertical="center" indent="1"/>
    </xf>
    <xf numFmtId="0" fontId="2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166" fontId="27" fillId="2" borderId="3" xfId="2" applyNumberFormat="1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center"/>
    </xf>
    <xf numFmtId="166" fontId="6" fillId="2" borderId="1" xfId="2" applyNumberFormat="1" applyFont="1" applyFill="1" applyBorder="1" applyAlignment="1">
      <alignment horizontal="center" vertical="center"/>
    </xf>
    <xf numFmtId="167" fontId="6" fillId="2" borderId="0" xfId="2" applyNumberFormat="1" applyFont="1" applyFill="1" applyAlignment="1">
      <alignment horizontal="right" vertical="center" indent="4"/>
    </xf>
    <xf numFmtId="167" fontId="11" fillId="2" borderId="0" xfId="2" applyNumberFormat="1" applyFont="1" applyFill="1" applyAlignment="1">
      <alignment horizontal="right" vertical="center" indent="4"/>
    </xf>
    <xf numFmtId="167" fontId="11" fillId="2" borderId="0" xfId="2" applyNumberFormat="1" applyFont="1" applyFill="1" applyAlignment="1" applyProtection="1">
      <alignment horizontal="right" vertical="center"/>
      <protection locked="0"/>
    </xf>
    <xf numFmtId="167" fontId="12" fillId="2" borderId="0" xfId="2" applyNumberFormat="1" applyFont="1" applyFill="1" applyAlignment="1">
      <alignment horizontal="right" vertical="center" indent="1"/>
    </xf>
    <xf numFmtId="167" fontId="12" fillId="2" borderId="0" xfId="2" applyNumberFormat="1" applyFont="1" applyFill="1" applyAlignment="1">
      <alignment horizontal="right" vertical="center" readingOrder="2"/>
    </xf>
    <xf numFmtId="167" fontId="11" fillId="2" borderId="2" xfId="2" applyNumberFormat="1" applyFont="1" applyFill="1" applyBorder="1" applyAlignment="1" applyProtection="1">
      <alignment horizontal="right" vertical="center"/>
      <protection locked="0"/>
    </xf>
    <xf numFmtId="167" fontId="11" fillId="2" borderId="2" xfId="2" applyNumberFormat="1" applyFont="1" applyFill="1" applyBorder="1" applyAlignment="1">
      <alignment horizontal="right" vertical="center" indent="4"/>
    </xf>
    <xf numFmtId="166" fontId="6" fillId="2" borderId="0" xfId="2" applyNumberFormat="1" applyFont="1" applyFill="1" applyAlignment="1">
      <alignment horizontal="left" vertical="center" indent="1"/>
    </xf>
    <xf numFmtId="166" fontId="11" fillId="2" borderId="0" xfId="2" applyNumberFormat="1" applyFont="1" applyFill="1" applyAlignment="1">
      <alignment horizontal="left" vertical="center" indent="3"/>
    </xf>
    <xf numFmtId="166" fontId="11" fillId="2" borderId="2" xfId="2" applyNumberFormat="1" applyFont="1" applyFill="1" applyBorder="1" applyAlignment="1">
      <alignment horizontal="left" vertical="center" indent="3"/>
    </xf>
    <xf numFmtId="166" fontId="12" fillId="2" borderId="0" xfId="2" applyNumberFormat="1" applyFont="1" applyFill="1" applyAlignment="1">
      <alignment horizontal="right" vertical="center"/>
    </xf>
    <xf numFmtId="167" fontId="12" fillId="2" borderId="0" xfId="2" applyNumberFormat="1" applyFont="1" applyFill="1" applyAlignment="1">
      <alignment horizontal="right" vertical="center"/>
    </xf>
    <xf numFmtId="167" fontId="14" fillId="2" borderId="0" xfId="2" applyNumberFormat="1" applyFont="1" applyFill="1" applyAlignment="1">
      <alignment horizontal="right" vertical="center"/>
    </xf>
    <xf numFmtId="167" fontId="14" fillId="2" borderId="0" xfId="2" applyNumberFormat="1" applyFont="1" applyFill="1" applyAlignment="1">
      <alignment horizontal="right" vertical="center" wrapText="1"/>
    </xf>
    <xf numFmtId="166" fontId="34" fillId="2" borderId="0" xfId="2" applyNumberFormat="1" applyFont="1" applyFill="1" applyAlignment="1">
      <alignment horizontal="right" vertical="center"/>
    </xf>
    <xf numFmtId="168" fontId="13" fillId="2" borderId="0" xfId="1" applyNumberFormat="1" applyFont="1" applyFill="1" applyAlignment="1">
      <alignment vertical="center"/>
    </xf>
    <xf numFmtId="166" fontId="13" fillId="2" borderId="0" xfId="2" applyNumberFormat="1" applyFont="1" applyFill="1" applyAlignment="1">
      <alignment vertical="center"/>
    </xf>
    <xf numFmtId="166" fontId="13" fillId="2" borderId="2" xfId="2" applyNumberFormat="1" applyFont="1" applyFill="1" applyBorder="1" applyAlignment="1">
      <alignment vertical="center"/>
    </xf>
    <xf numFmtId="166" fontId="25" fillId="2" borderId="0" xfId="2" applyNumberFormat="1" applyFont="1" applyFill="1" applyAlignment="1">
      <alignment vertical="center"/>
    </xf>
    <xf numFmtId="166" fontId="17" fillId="2" borderId="6" xfId="2" applyNumberFormat="1" applyFont="1" applyFill="1" applyBorder="1" applyAlignment="1">
      <alignment horizontal="right" vertical="center"/>
    </xf>
    <xf numFmtId="166" fontId="6" fillId="2" borderId="8" xfId="2" applyNumberFormat="1" applyFont="1" applyFill="1" applyBorder="1" applyAlignment="1" applyProtection="1">
      <alignment horizontal="right" vertical="center"/>
      <protection locked="0"/>
    </xf>
    <xf numFmtId="166" fontId="6" fillId="2" borderId="7" xfId="2" applyNumberFormat="1" applyFont="1" applyFill="1" applyBorder="1" applyAlignment="1" applyProtection="1">
      <alignment horizontal="right" vertical="center"/>
      <protection locked="0"/>
    </xf>
    <xf numFmtId="166" fontId="6" fillId="2" borderId="2" xfId="2" applyNumberFormat="1" applyFont="1" applyFill="1" applyBorder="1" applyAlignment="1">
      <alignment horizontal="right" vertical="center"/>
    </xf>
    <xf numFmtId="166" fontId="6" fillId="2" borderId="10" xfId="2" applyNumberFormat="1" applyFont="1" applyFill="1" applyBorder="1" applyAlignment="1">
      <alignment horizontal="right" vertical="center"/>
    </xf>
    <xf numFmtId="167" fontId="6" fillId="2" borderId="4" xfId="2" applyNumberFormat="1" applyFont="1" applyFill="1" applyBorder="1" applyAlignment="1">
      <alignment horizontal="right" vertical="center"/>
    </xf>
    <xf numFmtId="167" fontId="11" fillId="2" borderId="4" xfId="2" applyNumberFormat="1" applyFont="1" applyFill="1" applyBorder="1" applyAlignment="1">
      <alignment horizontal="right" vertical="center"/>
    </xf>
    <xf numFmtId="167" fontId="6" fillId="2" borderId="4" xfId="2" applyNumberFormat="1" applyFont="1" applyFill="1" applyBorder="1" applyAlignment="1" applyProtection="1">
      <alignment horizontal="right" vertical="center"/>
      <protection locked="0"/>
    </xf>
    <xf numFmtId="167" fontId="11" fillId="2" borderId="4" xfId="2" applyNumberFormat="1" applyFont="1" applyFill="1" applyBorder="1" applyAlignment="1" applyProtection="1">
      <alignment horizontal="right" vertical="center"/>
      <protection locked="0"/>
    </xf>
    <xf numFmtId="167" fontId="11" fillId="2" borderId="5" xfId="2" applyNumberFormat="1" applyFont="1" applyFill="1" applyBorder="1" applyAlignment="1" applyProtection="1">
      <alignment horizontal="right" vertical="center"/>
      <protection locked="0"/>
    </xf>
    <xf numFmtId="166" fontId="35" fillId="2" borderId="0" xfId="2" applyNumberFormat="1" applyFont="1" applyFill="1" applyAlignment="1">
      <alignment horizontal="right" vertical="center"/>
    </xf>
    <xf numFmtId="167" fontId="11" fillId="2" borderId="0" xfId="2" applyNumberFormat="1" applyFont="1" applyFill="1" applyAlignment="1" applyProtection="1">
      <alignment horizontal="center" vertical="center"/>
      <protection locked="0"/>
    </xf>
    <xf numFmtId="168" fontId="25" fillId="2" borderId="0" xfId="1" applyNumberFormat="1" applyFont="1" applyFill="1" applyAlignment="1">
      <alignment vertical="center"/>
    </xf>
    <xf numFmtId="166" fontId="6" fillId="2" borderId="0" xfId="2" applyNumberFormat="1" applyFont="1" applyFill="1" applyAlignment="1">
      <alignment horizontal="left" vertical="center"/>
    </xf>
    <xf numFmtId="166" fontId="6" fillId="2" borderId="1" xfId="2" applyNumberFormat="1" applyFont="1" applyFill="1" applyBorder="1" applyAlignment="1">
      <alignment horizontal="left" vertical="center"/>
    </xf>
    <xf numFmtId="166" fontId="6" fillId="2" borderId="3" xfId="2" applyNumberFormat="1" applyFont="1" applyFill="1" applyBorder="1" applyAlignment="1">
      <alignment horizontal="left" vertical="center"/>
    </xf>
    <xf numFmtId="166" fontId="12" fillId="2" borderId="3" xfId="2" applyNumberFormat="1" applyFont="1" applyFill="1" applyBorder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166" fontId="21" fillId="2" borderId="0" xfId="2" applyNumberFormat="1" applyFont="1" applyFill="1" applyAlignment="1">
      <alignment horizontal="center" vertical="center"/>
    </xf>
    <xf numFmtId="166" fontId="6" fillId="2" borderId="0" xfId="2" applyNumberFormat="1" applyFont="1" applyFill="1" applyAlignment="1">
      <alignment horizontal="center" vertical="center"/>
    </xf>
    <xf numFmtId="166" fontId="24" fillId="2" borderId="0" xfId="2" applyNumberFormat="1" applyFont="1" applyFill="1" applyAlignment="1">
      <alignment horizontal="center" vertical="center" wrapText="1"/>
    </xf>
  </cellXfs>
  <cellStyles count="58">
    <cellStyle name="1" xfId="28" xr:uid="{00000000-0005-0000-0000-000000000000}"/>
    <cellStyle name="Comma" xfId="1" builtinId="3"/>
    <cellStyle name="Comma 12" xfId="23" xr:uid="{00000000-0005-0000-0000-000002000000}"/>
    <cellStyle name="Comma 2" xfId="7" xr:uid="{00000000-0005-0000-0000-000003000000}"/>
    <cellStyle name="Comma 2 2" xfId="42" xr:uid="{00000000-0005-0000-0000-000004000000}"/>
    <cellStyle name="Comma 2 2 2 5" xfId="50" xr:uid="{00000000-0005-0000-0000-000005000000}"/>
    <cellStyle name="Comma 3" xfId="8" xr:uid="{00000000-0005-0000-0000-000006000000}"/>
    <cellStyle name="Comma 3 2" xfId="18" xr:uid="{00000000-0005-0000-0000-000007000000}"/>
    <cellStyle name="Comma 3 3" xfId="29" xr:uid="{00000000-0005-0000-0000-000008000000}"/>
    <cellStyle name="Comma 4" xfId="4" xr:uid="{00000000-0005-0000-0000-000009000000}"/>
    <cellStyle name="Comma 4 2" xfId="15" xr:uid="{00000000-0005-0000-0000-00000A000000}"/>
    <cellStyle name="Comma 5" xfId="13" xr:uid="{00000000-0005-0000-0000-00000B000000}"/>
    <cellStyle name="Comma 6" xfId="10" xr:uid="{00000000-0005-0000-0000-00000C000000}"/>
    <cellStyle name="Comma 6 2" xfId="19" xr:uid="{00000000-0005-0000-0000-00000D000000}"/>
    <cellStyle name="Comma 7" xfId="17" xr:uid="{00000000-0005-0000-0000-00000E000000}"/>
    <cellStyle name="Comma 8" xfId="21" xr:uid="{00000000-0005-0000-0000-00000F000000}"/>
    <cellStyle name="Excel Built-in Comma" xfId="6" xr:uid="{00000000-0005-0000-0000-000010000000}"/>
    <cellStyle name="Excel Built-in Normal" xfId="5" xr:uid="{00000000-0005-0000-0000-000011000000}"/>
    <cellStyle name="Normal" xfId="0" builtinId="0"/>
    <cellStyle name="Normal - Style1" xfId="30" xr:uid="{00000000-0005-0000-0000-000013000000}"/>
    <cellStyle name="Normal 10" xfId="36" xr:uid="{00000000-0005-0000-0000-000014000000}"/>
    <cellStyle name="Normal 11" xfId="47" xr:uid="{00000000-0005-0000-0000-000015000000}"/>
    <cellStyle name="Normal 12" xfId="49" xr:uid="{00000000-0005-0000-0000-000016000000}"/>
    <cellStyle name="Normal 2" xfId="11" xr:uid="{00000000-0005-0000-0000-000017000000}"/>
    <cellStyle name="Normal 2 2" xfId="14" xr:uid="{00000000-0005-0000-0000-000018000000}"/>
    <cellStyle name="Normal 2 2 2" xfId="43" xr:uid="{00000000-0005-0000-0000-000019000000}"/>
    <cellStyle name="Normal 2 2 3" xfId="44" xr:uid="{00000000-0005-0000-0000-00001A000000}"/>
    <cellStyle name="Normal 2 2 4" xfId="31" xr:uid="{00000000-0005-0000-0000-00001B000000}"/>
    <cellStyle name="Normal 2 3" xfId="46" xr:uid="{00000000-0005-0000-0000-00001C000000}"/>
    <cellStyle name="Normal 2 3 2" xfId="57" xr:uid="{00000000-0005-0000-0000-00001D000000}"/>
    <cellStyle name="Normal 2 4" xfId="48" xr:uid="{00000000-0005-0000-0000-00001E000000}"/>
    <cellStyle name="Normal 2 5" xfId="52" xr:uid="{00000000-0005-0000-0000-00001F000000}"/>
    <cellStyle name="Normal 2 6" xfId="24" xr:uid="{00000000-0005-0000-0000-000020000000}"/>
    <cellStyle name="Normal 3" xfId="12" xr:uid="{00000000-0005-0000-0000-000021000000}"/>
    <cellStyle name="Normal 3 2" xfId="45" xr:uid="{00000000-0005-0000-0000-000022000000}"/>
    <cellStyle name="Normal 3 2 2" xfId="54" xr:uid="{00000000-0005-0000-0000-000023000000}"/>
    <cellStyle name="Normal 3 3" xfId="32" xr:uid="{00000000-0005-0000-0000-000024000000}"/>
    <cellStyle name="Normal 4" xfId="9" xr:uid="{00000000-0005-0000-0000-000025000000}"/>
    <cellStyle name="Normal 4 2" xfId="33" xr:uid="{00000000-0005-0000-0000-000026000000}"/>
    <cellStyle name="Normal 4 2 2" xfId="38" xr:uid="{00000000-0005-0000-0000-000027000000}"/>
    <cellStyle name="Normal 4 3" xfId="53" xr:uid="{00000000-0005-0000-0000-000028000000}"/>
    <cellStyle name="Normal 4 4" xfId="37" xr:uid="{00000000-0005-0000-0000-000029000000}"/>
    <cellStyle name="Normal 5" xfId="20" xr:uid="{00000000-0005-0000-0000-00002A000000}"/>
    <cellStyle name="Normal 5 2" xfId="26" xr:uid="{00000000-0005-0000-0000-00002B000000}"/>
    <cellStyle name="Normal 5 3" xfId="51" xr:uid="{00000000-0005-0000-0000-00002C000000}"/>
    <cellStyle name="Normal 5 4" xfId="34" xr:uid="{00000000-0005-0000-0000-00002D000000}"/>
    <cellStyle name="Normal 6" xfId="39" xr:uid="{00000000-0005-0000-0000-00002E000000}"/>
    <cellStyle name="Normal 6 2" xfId="55" xr:uid="{00000000-0005-0000-0000-00002F000000}"/>
    <cellStyle name="Normal 7" xfId="40" xr:uid="{00000000-0005-0000-0000-000030000000}"/>
    <cellStyle name="Normal 7 2" xfId="56" xr:uid="{00000000-0005-0000-0000-000031000000}"/>
    <cellStyle name="Normal 8" xfId="41" xr:uid="{00000000-0005-0000-0000-000032000000}"/>
    <cellStyle name="Normal 9" xfId="27" xr:uid="{00000000-0005-0000-0000-000033000000}"/>
    <cellStyle name="Normal_13 Public Finance_done" xfId="2" xr:uid="{00000000-0005-0000-0000-000034000000}"/>
    <cellStyle name="Normal_X-5 (Electricity)" xfId="3" xr:uid="{00000000-0005-0000-0000-000036000000}"/>
    <cellStyle name="Percent 2" xfId="16" xr:uid="{00000000-0005-0000-0000-000038000000}"/>
    <cellStyle name="Percent 2 2" xfId="25" xr:uid="{00000000-0005-0000-0000-000039000000}"/>
    <cellStyle name="Percent 2 3" xfId="35" xr:uid="{00000000-0005-0000-0000-00003A000000}"/>
    <cellStyle name="Percent 3" xfId="22" xr:uid="{00000000-0005-0000-0000-00003B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48"/>
  <sheetViews>
    <sheetView tabSelected="1" zoomScaleNormal="100" zoomScaleSheetLayoutView="80" workbookViewId="0">
      <pane xSplit="1" topLeftCell="B1" activePane="topRight" state="frozen"/>
      <selection pane="topRight" activeCell="T24" sqref="T24"/>
    </sheetView>
  </sheetViews>
  <sheetFormatPr defaultRowHeight="12.75"/>
  <cols>
    <col min="1" max="1" width="46.42578125" style="4" customWidth="1"/>
    <col min="2" max="11" width="11.5703125" style="4" customWidth="1"/>
    <col min="12" max="12" width="16.140625" style="13" customWidth="1"/>
    <col min="13" max="13" width="29" style="4" customWidth="1"/>
    <col min="14" max="14" width="5.140625" style="4" customWidth="1"/>
    <col min="15" max="15" width="6.7109375" style="4" bestFit="1" customWidth="1"/>
    <col min="16" max="16384" width="9.140625" style="4"/>
  </cols>
  <sheetData>
    <row r="1" spans="1:15" ht="18.75">
      <c r="A1" s="61" t="s">
        <v>12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5" s="13" customFormat="1" ht="22.5" customHeight="1">
      <c r="A2" s="62" t="s">
        <v>82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5" ht="14.25">
      <c r="A3" s="63" t="s">
        <v>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5" s="5" customFormat="1">
      <c r="A4" s="62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1:15" s="5" customFormat="1" ht="13.5">
      <c r="A5" s="57" t="s">
        <v>2</v>
      </c>
      <c r="B5" s="6"/>
      <c r="C5" s="6"/>
      <c r="D5" s="6"/>
      <c r="E5" s="6"/>
      <c r="F5" s="6"/>
      <c r="G5" s="6"/>
      <c r="H5" s="6"/>
      <c r="I5" s="42"/>
      <c r="J5" s="6"/>
      <c r="K5" s="6"/>
      <c r="L5" s="20" t="s">
        <v>6</v>
      </c>
      <c r="M5" s="58" t="s">
        <v>50</v>
      </c>
    </row>
    <row r="6" spans="1:15" s="5" customFormat="1" ht="14.45" customHeight="1">
      <c r="A6" s="55"/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43" t="s">
        <v>3</v>
      </c>
      <c r="H6" s="43" t="s">
        <v>4</v>
      </c>
      <c r="I6" s="44" t="s">
        <v>5</v>
      </c>
      <c r="J6" s="43" t="s">
        <v>5</v>
      </c>
      <c r="K6" s="43" t="s">
        <v>5</v>
      </c>
      <c r="L6" s="21" t="s">
        <v>7</v>
      </c>
      <c r="M6" s="59"/>
    </row>
    <row r="7" spans="1:15" s="5" customFormat="1" ht="15.75" customHeight="1">
      <c r="A7" s="56"/>
      <c r="B7" s="3">
        <v>2017</v>
      </c>
      <c r="C7" s="3">
        <v>2018</v>
      </c>
      <c r="D7" s="3">
        <v>2019</v>
      </c>
      <c r="E7" s="3">
        <v>2020</v>
      </c>
      <c r="F7" s="3">
        <v>2021</v>
      </c>
      <c r="G7" s="45">
        <v>2022</v>
      </c>
      <c r="H7" s="3">
        <v>2023</v>
      </c>
      <c r="I7" s="46">
        <v>2024</v>
      </c>
      <c r="J7" s="3">
        <v>2025</v>
      </c>
      <c r="K7" s="3">
        <v>2026</v>
      </c>
      <c r="L7" s="22" t="s">
        <v>13</v>
      </c>
      <c r="M7" s="60"/>
    </row>
    <row r="8" spans="1:15" ht="21" customHeight="1">
      <c r="A8" s="8" t="s">
        <v>54</v>
      </c>
      <c r="B8" s="7">
        <v>19925.065044999999</v>
      </c>
      <c r="C8" s="7">
        <v>21902.121122</v>
      </c>
      <c r="D8" s="7">
        <v>23146.822046000001</v>
      </c>
      <c r="E8" s="7">
        <v>15219.439055000001</v>
      </c>
      <c r="F8" s="7">
        <v>21263.112249000002</v>
      </c>
      <c r="G8" s="7">
        <v>29016.676033</v>
      </c>
      <c r="H8" s="7">
        <v>32451.371294</v>
      </c>
      <c r="I8" s="47">
        <v>33542.706254999997</v>
      </c>
      <c r="J8" s="7">
        <v>36544.596796999998</v>
      </c>
      <c r="K8" s="7">
        <v>39023.650515000001</v>
      </c>
      <c r="L8" s="23">
        <f>+((H8/G8)-1)*100</f>
        <v>11.836970082630426</v>
      </c>
      <c r="M8" s="33" t="s">
        <v>15</v>
      </c>
    </row>
    <row r="9" spans="1:15" ht="21" customHeight="1">
      <c r="A9" s="8" t="s">
        <v>16</v>
      </c>
      <c r="B9" s="7">
        <v>13706.574452000001</v>
      </c>
      <c r="C9" s="7">
        <v>14923.711117999999</v>
      </c>
      <c r="D9" s="7">
        <v>15529.053258</v>
      </c>
      <c r="E9" s="7">
        <v>10576.635604999999</v>
      </c>
      <c r="F9" s="7">
        <v>14124.145703</v>
      </c>
      <c r="G9" s="7">
        <v>18562.401998000001</v>
      </c>
      <c r="H9" s="7">
        <v>22867.048914999999</v>
      </c>
      <c r="I9" s="47">
        <v>24417.064470000001</v>
      </c>
      <c r="J9" s="7">
        <v>26935.954215999998</v>
      </c>
      <c r="K9" s="7">
        <v>28976.997275000002</v>
      </c>
      <c r="L9" s="23">
        <f t="shared" ref="L9:L47" si="0">+((H9/G9)-1)*100</f>
        <v>23.190139495221572</v>
      </c>
      <c r="M9" s="34" t="s">
        <v>19</v>
      </c>
    </row>
    <row r="10" spans="1:15" s="5" customFormat="1" ht="21" customHeight="1">
      <c r="A10" s="30" t="s">
        <v>55</v>
      </c>
      <c r="B10" s="7">
        <v>3326.9684229999998</v>
      </c>
      <c r="C10" s="7">
        <v>3274.543854</v>
      </c>
      <c r="D10" s="7">
        <v>3512.712767</v>
      </c>
      <c r="E10" s="7">
        <v>3654.4594520000001</v>
      </c>
      <c r="F10" s="7">
        <v>2739.1700209999999</v>
      </c>
      <c r="G10" s="7">
        <v>4307.2976630000003</v>
      </c>
      <c r="H10" s="7">
        <v>5219.459116</v>
      </c>
      <c r="I10" s="47">
        <v>5507.2254160000002</v>
      </c>
      <c r="J10" s="7">
        <v>5777.2712160000001</v>
      </c>
      <c r="K10" s="7">
        <v>6130.6736449999999</v>
      </c>
      <c r="L10" s="23">
        <f t="shared" si="0"/>
        <v>21.177116706735475</v>
      </c>
      <c r="M10" s="26" t="s">
        <v>20</v>
      </c>
      <c r="O10" s="4"/>
    </row>
    <row r="11" spans="1:15" ht="21" customHeight="1">
      <c r="A11" s="14" t="s">
        <v>56</v>
      </c>
      <c r="B11" s="9">
        <v>3326.9684229999998</v>
      </c>
      <c r="C11" s="9">
        <v>3274.543854</v>
      </c>
      <c r="D11" s="9">
        <v>3512.712767</v>
      </c>
      <c r="E11" s="9">
        <v>3654.4594520000001</v>
      </c>
      <c r="F11" s="9">
        <v>2739.1700209999999</v>
      </c>
      <c r="G11" s="9">
        <v>4307.2976630000003</v>
      </c>
      <c r="H11" s="9">
        <v>5219.459116</v>
      </c>
      <c r="I11" s="48">
        <v>5507.2254160000002</v>
      </c>
      <c r="J11" s="9">
        <v>5777.2712160000001</v>
      </c>
      <c r="K11" s="9">
        <v>6130.6736449999999</v>
      </c>
      <c r="L11" s="24">
        <f t="shared" si="0"/>
        <v>21.177116706735475</v>
      </c>
      <c r="M11" s="17" t="s">
        <v>21</v>
      </c>
    </row>
    <row r="12" spans="1:15" s="5" customFormat="1" ht="21" customHeight="1">
      <c r="A12" s="30" t="s">
        <v>57</v>
      </c>
      <c r="B12" s="7">
        <v>7580.184604</v>
      </c>
      <c r="C12" s="7">
        <v>8500.3211480000009</v>
      </c>
      <c r="D12" s="7">
        <v>8604.0657489999994</v>
      </c>
      <c r="E12" s="7">
        <v>4658.5299500000001</v>
      </c>
      <c r="F12" s="7">
        <v>8541.9454170000008</v>
      </c>
      <c r="G12" s="7">
        <v>10757.870588</v>
      </c>
      <c r="H12" s="7">
        <v>14136.505114</v>
      </c>
      <c r="I12" s="47">
        <v>14887.147601000001</v>
      </c>
      <c r="J12" s="7">
        <v>16852.382704</v>
      </c>
      <c r="K12" s="7">
        <v>18323.740578000001</v>
      </c>
      <c r="L12" s="23">
        <f t="shared" si="0"/>
        <v>31.406164429685003</v>
      </c>
      <c r="M12" s="34" t="s">
        <v>22</v>
      </c>
      <c r="O12" s="4"/>
    </row>
    <row r="13" spans="1:15" ht="21" customHeight="1">
      <c r="A13" s="14" t="s">
        <v>58</v>
      </c>
      <c r="B13" s="9">
        <v>6883.9991879999998</v>
      </c>
      <c r="C13" s="9">
        <v>7689.7953299999999</v>
      </c>
      <c r="D13" s="9">
        <v>7753.4505939999999</v>
      </c>
      <c r="E13" s="9">
        <v>4306.7557100000004</v>
      </c>
      <c r="F13" s="9">
        <v>7739.833517</v>
      </c>
      <c r="G13" s="9">
        <v>9784.8759239999999</v>
      </c>
      <c r="H13" s="9">
        <v>13139.336751999999</v>
      </c>
      <c r="I13" s="48">
        <v>13803.968523</v>
      </c>
      <c r="J13" s="9">
        <v>15628.182483000001</v>
      </c>
      <c r="K13" s="9">
        <v>17009.498398</v>
      </c>
      <c r="L13" s="24">
        <f t="shared" si="0"/>
        <v>34.282098761950522</v>
      </c>
      <c r="M13" s="35" t="s">
        <v>23</v>
      </c>
    </row>
    <row r="14" spans="1:15" ht="21" customHeight="1">
      <c r="A14" s="31" t="s">
        <v>59</v>
      </c>
      <c r="B14" s="9">
        <v>6881.5307460000004</v>
      </c>
      <c r="C14" s="9">
        <v>7689.41183</v>
      </c>
      <c r="D14" s="9">
        <v>7748.3108940000002</v>
      </c>
      <c r="E14" s="9">
        <v>4306.7557100000004</v>
      </c>
      <c r="F14" s="9">
        <v>7733.3190670000004</v>
      </c>
      <c r="G14" s="9">
        <v>9781.2000650000009</v>
      </c>
      <c r="H14" s="9">
        <v>13137.558102000001</v>
      </c>
      <c r="I14" s="48">
        <v>13802.586122999999</v>
      </c>
      <c r="J14" s="9">
        <v>15627.337683</v>
      </c>
      <c r="K14" s="9">
        <v>17008.807197999999</v>
      </c>
      <c r="L14" s="24">
        <f t="shared" si="0"/>
        <v>34.314378754096154</v>
      </c>
      <c r="M14" s="35" t="s">
        <v>24</v>
      </c>
    </row>
    <row r="15" spans="1:15" ht="21" customHeight="1">
      <c r="A15" s="31" t="s">
        <v>60</v>
      </c>
      <c r="B15" s="9">
        <v>2.468442</v>
      </c>
      <c r="C15" s="9">
        <v>0.38350000000000001</v>
      </c>
      <c r="D15" s="9">
        <v>5.1397000000000004</v>
      </c>
      <c r="E15" s="9">
        <v>0</v>
      </c>
      <c r="F15" s="9">
        <v>6.5144500000000001</v>
      </c>
      <c r="G15" s="9">
        <v>3.675859</v>
      </c>
      <c r="H15" s="9">
        <v>1.7786500000000001</v>
      </c>
      <c r="I15" s="48">
        <v>1.3824000000000001</v>
      </c>
      <c r="J15" s="9">
        <v>0.8448</v>
      </c>
      <c r="K15" s="9">
        <v>0.69120000000000004</v>
      </c>
      <c r="L15" s="24">
        <f t="shared" si="0"/>
        <v>-51.612670670991456</v>
      </c>
      <c r="M15" s="17" t="s">
        <v>83</v>
      </c>
    </row>
    <row r="16" spans="1:15" s="11" customFormat="1" ht="21" customHeight="1">
      <c r="A16" s="14" t="s">
        <v>61</v>
      </c>
      <c r="B16" s="9">
        <v>696.18541600000003</v>
      </c>
      <c r="C16" s="9">
        <v>810.52581799999996</v>
      </c>
      <c r="D16" s="9">
        <v>850.61515499999996</v>
      </c>
      <c r="E16" s="9">
        <v>351.77424000000002</v>
      </c>
      <c r="F16" s="9">
        <v>802.11189999999999</v>
      </c>
      <c r="G16" s="9">
        <v>972.99466399999994</v>
      </c>
      <c r="H16" s="9">
        <v>997.168362</v>
      </c>
      <c r="I16" s="48">
        <v>1083.1790779999999</v>
      </c>
      <c r="J16" s="9">
        <v>1224.2002210000001</v>
      </c>
      <c r="K16" s="9">
        <v>1314.24218</v>
      </c>
      <c r="L16" s="24">
        <f t="shared" si="0"/>
        <v>2.4844635735844056</v>
      </c>
      <c r="M16" s="17" t="s">
        <v>25</v>
      </c>
      <c r="O16" s="4"/>
    </row>
    <row r="17" spans="1:15" s="11" customFormat="1" ht="21" customHeight="1">
      <c r="A17" s="30" t="s">
        <v>62</v>
      </c>
      <c r="B17" s="1">
        <v>2799.421425</v>
      </c>
      <c r="C17" s="1">
        <v>3148.8461160000002</v>
      </c>
      <c r="D17" s="1">
        <v>3412.2747420000001</v>
      </c>
      <c r="E17" s="1">
        <v>2263.6462029999998</v>
      </c>
      <c r="F17" s="1">
        <v>2843.0302649999999</v>
      </c>
      <c r="G17" s="7">
        <v>3497.2337470000002</v>
      </c>
      <c r="H17" s="7">
        <v>3511.0846849999998</v>
      </c>
      <c r="I17" s="47">
        <v>4022.6914529999999</v>
      </c>
      <c r="J17" s="7">
        <v>4306.3002960000003</v>
      </c>
      <c r="K17" s="7">
        <v>4522.583052</v>
      </c>
      <c r="L17" s="23">
        <f t="shared" si="0"/>
        <v>0.39605411024874471</v>
      </c>
      <c r="M17" s="34" t="s">
        <v>26</v>
      </c>
      <c r="O17" s="4"/>
    </row>
    <row r="18" spans="1:15" s="12" customFormat="1" ht="26.25" customHeight="1">
      <c r="A18" s="14" t="s">
        <v>63</v>
      </c>
      <c r="B18" s="9">
        <v>2799.421425</v>
      </c>
      <c r="C18" s="9">
        <v>3148.8461160000002</v>
      </c>
      <c r="D18" s="9">
        <v>3412.2747420000001</v>
      </c>
      <c r="E18" s="9">
        <v>2263.6462029999998</v>
      </c>
      <c r="F18" s="9">
        <v>2843.0302649999999</v>
      </c>
      <c r="G18" s="9">
        <v>3497.2337470000002</v>
      </c>
      <c r="H18" s="9">
        <v>3511.0369649999998</v>
      </c>
      <c r="I18" s="48">
        <v>4022.6914529999999</v>
      </c>
      <c r="J18" s="9">
        <v>4306.3002960000003</v>
      </c>
      <c r="K18" s="9">
        <v>4522.583052</v>
      </c>
      <c r="L18" s="24">
        <f t="shared" si="0"/>
        <v>0.39468960322828206</v>
      </c>
      <c r="M18" s="36" t="s">
        <v>27</v>
      </c>
      <c r="O18" s="4"/>
    </row>
    <row r="19" spans="1:15" s="12" customFormat="1" ht="26.25" customHeight="1">
      <c r="A19" s="14" t="s">
        <v>64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4.7719999999999999E-2</v>
      </c>
      <c r="I19" s="48">
        <v>0</v>
      </c>
      <c r="J19" s="9">
        <v>0</v>
      </c>
      <c r="K19" s="9">
        <v>0</v>
      </c>
      <c r="L19" s="24">
        <v>0</v>
      </c>
      <c r="M19" s="36" t="s">
        <v>8</v>
      </c>
      <c r="O19" s="4"/>
    </row>
    <row r="20" spans="1:15" s="5" customFormat="1" ht="12.75" customHeight="1">
      <c r="A20" s="10" t="s">
        <v>17</v>
      </c>
      <c r="B20" s="1">
        <v>341.68886600000002</v>
      </c>
      <c r="C20" s="1">
        <v>819.80752299999995</v>
      </c>
      <c r="D20" s="1">
        <v>1154.143366</v>
      </c>
      <c r="E20" s="1">
        <v>943.35823100000005</v>
      </c>
      <c r="F20" s="1">
        <v>1031.84799</v>
      </c>
      <c r="G20" s="1">
        <v>1041.6923260000001</v>
      </c>
      <c r="H20" s="1">
        <v>505.14246900000001</v>
      </c>
      <c r="I20" s="49">
        <v>1270.0000279999999</v>
      </c>
      <c r="J20" s="1">
        <v>1110.0552130000001</v>
      </c>
      <c r="K20" s="1">
        <v>1010.846676</v>
      </c>
      <c r="L20" s="23">
        <f t="shared" si="0"/>
        <v>-51.507517489381982</v>
      </c>
      <c r="M20" s="34" t="s">
        <v>14</v>
      </c>
      <c r="O20" s="4"/>
    </row>
    <row r="21" spans="1:15" s="11" customFormat="1" ht="21" customHeight="1">
      <c r="A21" s="30" t="s">
        <v>65</v>
      </c>
      <c r="B21" s="7">
        <v>157.512675</v>
      </c>
      <c r="C21" s="7">
        <v>617.90148199999999</v>
      </c>
      <c r="D21" s="7">
        <v>549.32931199999996</v>
      </c>
      <c r="E21" s="7">
        <v>590.61992199999997</v>
      </c>
      <c r="F21" s="7">
        <v>377.85820999999999</v>
      </c>
      <c r="G21" s="7">
        <v>640.15698399999997</v>
      </c>
      <c r="H21" s="7">
        <v>87.607388</v>
      </c>
      <c r="I21" s="47">
        <v>988.55199600000003</v>
      </c>
      <c r="J21" s="7">
        <v>914.91134499999998</v>
      </c>
      <c r="K21" s="7">
        <v>816.81439999999998</v>
      </c>
      <c r="L21" s="23">
        <f t="shared" si="0"/>
        <v>-86.314702457420978</v>
      </c>
      <c r="M21" s="34" t="s">
        <v>28</v>
      </c>
      <c r="O21" s="4"/>
    </row>
    <row r="22" spans="1:15" s="12" customFormat="1" ht="21" customHeight="1">
      <c r="A22" s="14" t="s">
        <v>52</v>
      </c>
      <c r="B22" s="25">
        <v>81.280411000000001</v>
      </c>
      <c r="C22" s="25">
        <v>446.50554</v>
      </c>
      <c r="D22" s="25">
        <v>459.56029699999999</v>
      </c>
      <c r="E22" s="25">
        <v>577.03635599999996</v>
      </c>
      <c r="F22" s="25">
        <v>118.090979</v>
      </c>
      <c r="G22" s="25">
        <v>622.713615</v>
      </c>
      <c r="H22" s="25">
        <v>5.4235259999999998</v>
      </c>
      <c r="I22" s="50">
        <v>771.1</v>
      </c>
      <c r="J22" s="25">
        <v>771.1</v>
      </c>
      <c r="K22" s="25">
        <v>771.1</v>
      </c>
      <c r="L22" s="24">
        <f t="shared" si="0"/>
        <v>-99.129049715734894</v>
      </c>
      <c r="M22" s="17" t="s">
        <v>29</v>
      </c>
      <c r="O22" s="4"/>
    </row>
    <row r="23" spans="1:15" s="12" customFormat="1" ht="21" customHeight="1">
      <c r="A23" s="14" t="s">
        <v>53</v>
      </c>
      <c r="B23" s="9">
        <v>76.232264000000001</v>
      </c>
      <c r="C23" s="9">
        <v>171.39594199999999</v>
      </c>
      <c r="D23" s="9">
        <v>89.769014999999996</v>
      </c>
      <c r="E23" s="9">
        <v>13.583565999999999</v>
      </c>
      <c r="F23" s="9">
        <v>259.76723099999998</v>
      </c>
      <c r="G23" s="9">
        <v>17.443369000000001</v>
      </c>
      <c r="H23" s="9">
        <v>82.183862000000005</v>
      </c>
      <c r="I23" s="48">
        <v>217.45199600000001</v>
      </c>
      <c r="J23" s="9">
        <v>143.81134499999999</v>
      </c>
      <c r="K23" s="9">
        <v>45.714399999999998</v>
      </c>
      <c r="L23" s="18" t="s">
        <v>11</v>
      </c>
      <c r="M23" s="17" t="s">
        <v>30</v>
      </c>
      <c r="O23" s="4"/>
    </row>
    <row r="24" spans="1:15" s="11" customFormat="1" ht="21" customHeight="1">
      <c r="A24" s="30" t="s">
        <v>66</v>
      </c>
      <c r="B24" s="7">
        <v>181.43901299999999</v>
      </c>
      <c r="C24" s="7">
        <v>198.418982</v>
      </c>
      <c r="D24" s="7">
        <v>601.93711900000005</v>
      </c>
      <c r="E24" s="7">
        <v>350.14787899999999</v>
      </c>
      <c r="F24" s="7">
        <v>644.41866800000003</v>
      </c>
      <c r="G24" s="7">
        <v>368.31541800000002</v>
      </c>
      <c r="H24" s="7">
        <v>417.106134</v>
      </c>
      <c r="I24" s="47">
        <v>281.04803199999998</v>
      </c>
      <c r="J24" s="7">
        <v>194.74386799999999</v>
      </c>
      <c r="K24" s="7">
        <v>193.63227599999999</v>
      </c>
      <c r="L24" s="23">
        <f t="shared" si="0"/>
        <v>13.246992554626091</v>
      </c>
      <c r="M24" s="26" t="s">
        <v>31</v>
      </c>
      <c r="O24" s="4"/>
    </row>
    <row r="25" spans="1:15" s="12" customFormat="1" ht="21" customHeight="1">
      <c r="A25" s="14" t="s">
        <v>52</v>
      </c>
      <c r="B25" s="16">
        <v>49.676814</v>
      </c>
      <c r="C25" s="16">
        <v>70.350778000000005</v>
      </c>
      <c r="D25" s="16">
        <v>23.962</v>
      </c>
      <c r="E25" s="16">
        <v>13.405948</v>
      </c>
      <c r="F25" s="9">
        <v>105.85348399999999</v>
      </c>
      <c r="G25" s="9">
        <v>17.942319000000001</v>
      </c>
      <c r="H25" s="9">
        <v>3.2564600000000001</v>
      </c>
      <c r="I25" s="48">
        <v>2.85</v>
      </c>
      <c r="J25" s="9">
        <v>2.85</v>
      </c>
      <c r="K25" s="9">
        <v>2.85</v>
      </c>
      <c r="L25" s="24">
        <f t="shared" si="0"/>
        <v>-81.850395146803493</v>
      </c>
      <c r="M25" s="17" t="s">
        <v>29</v>
      </c>
      <c r="O25" s="4"/>
    </row>
    <row r="26" spans="1:15" s="12" customFormat="1" ht="21" customHeight="1">
      <c r="A26" s="14" t="s">
        <v>53</v>
      </c>
      <c r="B26" s="9">
        <v>131.76219900000001</v>
      </c>
      <c r="C26" s="9">
        <v>128.06820400000001</v>
      </c>
      <c r="D26" s="9">
        <v>577.97511899999995</v>
      </c>
      <c r="E26" s="9">
        <v>336.74193100000002</v>
      </c>
      <c r="F26" s="9">
        <v>538.56518400000004</v>
      </c>
      <c r="G26" s="9">
        <v>350.37309900000002</v>
      </c>
      <c r="H26" s="9">
        <v>413.84967399999999</v>
      </c>
      <c r="I26" s="48">
        <v>278.19803200000001</v>
      </c>
      <c r="J26" s="9">
        <v>191.893868</v>
      </c>
      <c r="K26" s="9">
        <v>190.782276</v>
      </c>
      <c r="L26" s="24">
        <f t="shared" si="0"/>
        <v>18.116851773486164</v>
      </c>
      <c r="M26" s="17" t="s">
        <v>30</v>
      </c>
      <c r="O26" s="4"/>
    </row>
    <row r="27" spans="1:15" s="11" customFormat="1" ht="21" customHeight="1">
      <c r="A27" s="30" t="s">
        <v>67</v>
      </c>
      <c r="B27" s="7">
        <v>2.7371780000000001</v>
      </c>
      <c r="C27" s="7">
        <v>3.4870589999999999</v>
      </c>
      <c r="D27" s="7">
        <v>2.876935</v>
      </c>
      <c r="E27" s="7">
        <v>2.59043</v>
      </c>
      <c r="F27" s="7">
        <v>9.5711119999999994</v>
      </c>
      <c r="G27" s="7">
        <v>33.219923999999999</v>
      </c>
      <c r="H27" s="7">
        <v>0.42894700000000002</v>
      </c>
      <c r="I27" s="47">
        <v>0.4</v>
      </c>
      <c r="J27" s="7">
        <v>0.4</v>
      </c>
      <c r="K27" s="7">
        <v>0.4</v>
      </c>
      <c r="L27" s="23">
        <f t="shared" si="0"/>
        <v>-98.708765859909846</v>
      </c>
      <c r="M27" s="26" t="s">
        <v>32</v>
      </c>
      <c r="O27" s="4"/>
    </row>
    <row r="28" spans="1:15" s="12" customFormat="1" ht="21" customHeight="1">
      <c r="A28" s="14" t="s">
        <v>52</v>
      </c>
      <c r="B28" s="25">
        <v>2.7371780000000001</v>
      </c>
      <c r="C28" s="25">
        <v>3.4870589999999999</v>
      </c>
      <c r="D28" s="25">
        <v>2.876935</v>
      </c>
      <c r="E28" s="25">
        <v>2.59043</v>
      </c>
      <c r="F28" s="25">
        <v>9.5711119999999994</v>
      </c>
      <c r="G28" s="25">
        <v>33.219923999999999</v>
      </c>
      <c r="H28" s="25">
        <v>0.42894700000000002</v>
      </c>
      <c r="I28" s="50">
        <v>0.4</v>
      </c>
      <c r="J28" s="25">
        <v>0.4</v>
      </c>
      <c r="K28" s="25">
        <v>0.4</v>
      </c>
      <c r="L28" s="24">
        <f t="shared" si="0"/>
        <v>-98.708765859909846</v>
      </c>
      <c r="M28" s="17" t="s">
        <v>29</v>
      </c>
      <c r="O28" s="4"/>
    </row>
    <row r="29" spans="1:15" s="12" customFormat="1" ht="17.25" customHeight="1">
      <c r="A29" s="14" t="s">
        <v>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50">
        <v>0</v>
      </c>
      <c r="J29" s="25">
        <v>0</v>
      </c>
      <c r="K29" s="25">
        <v>0</v>
      </c>
      <c r="L29" s="24">
        <v>0</v>
      </c>
      <c r="M29" s="35" t="s">
        <v>30</v>
      </c>
      <c r="O29" s="4"/>
    </row>
    <row r="30" spans="1:15" s="11" customFormat="1" ht="17.25" customHeight="1">
      <c r="A30" s="10" t="s">
        <v>68</v>
      </c>
      <c r="B30" s="1">
        <v>5876.801727</v>
      </c>
      <c r="C30" s="1">
        <v>6158.6024809999999</v>
      </c>
      <c r="D30" s="1">
        <v>6463.6254220000001</v>
      </c>
      <c r="E30" s="1">
        <v>3699.4452190000002</v>
      </c>
      <c r="F30" s="1">
        <v>6107.1185560000004</v>
      </c>
      <c r="G30" s="1">
        <v>9412.581709</v>
      </c>
      <c r="H30" s="1">
        <v>9079.1799100000007</v>
      </c>
      <c r="I30" s="49">
        <v>7855.6417570000003</v>
      </c>
      <c r="J30" s="1">
        <v>8498.5873680000004</v>
      </c>
      <c r="K30" s="1">
        <v>9035.8065640000004</v>
      </c>
      <c r="L30" s="23">
        <f t="shared" si="0"/>
        <v>-3.5420866379434646</v>
      </c>
      <c r="M30" s="27" t="s">
        <v>33</v>
      </c>
      <c r="O30" s="4"/>
    </row>
    <row r="31" spans="1:15" s="11" customFormat="1" ht="17.25" customHeight="1">
      <c r="A31" s="30" t="s">
        <v>69</v>
      </c>
      <c r="B31" s="1">
        <v>2539.1478459999998</v>
      </c>
      <c r="C31" s="1">
        <v>2739.0845770000001</v>
      </c>
      <c r="D31" s="1">
        <v>2773.6828759999999</v>
      </c>
      <c r="E31" s="1">
        <v>1636.244571</v>
      </c>
      <c r="F31" s="1">
        <v>2730.3006479999999</v>
      </c>
      <c r="G31" s="1">
        <v>3398.4183200000002</v>
      </c>
      <c r="H31" s="1">
        <v>3238.5897140000002</v>
      </c>
      <c r="I31" s="49">
        <v>3474.7063020000001</v>
      </c>
      <c r="J31" s="1">
        <v>3662.257087</v>
      </c>
      <c r="K31" s="1">
        <v>3894.9144080000001</v>
      </c>
      <c r="L31" s="23">
        <f t="shared" si="0"/>
        <v>-4.7030292021260074</v>
      </c>
      <c r="M31" s="27" t="s">
        <v>34</v>
      </c>
      <c r="O31" s="4"/>
    </row>
    <row r="32" spans="1:15" s="12" customFormat="1" ht="17.25" customHeight="1">
      <c r="A32" s="14" t="s">
        <v>18</v>
      </c>
      <c r="B32" s="25">
        <v>102.88825799999999</v>
      </c>
      <c r="C32" s="25">
        <v>84.334177999999994</v>
      </c>
      <c r="D32" s="25">
        <v>159.40184500000001</v>
      </c>
      <c r="E32" s="25">
        <v>206.36302900000001</v>
      </c>
      <c r="F32" s="25">
        <v>20.197384</v>
      </c>
      <c r="G32" s="25">
        <v>249.29538299999999</v>
      </c>
      <c r="H32" s="25">
        <v>310.49589700000001</v>
      </c>
      <c r="I32" s="50">
        <v>243.37087</v>
      </c>
      <c r="J32" s="25">
        <v>243.158661</v>
      </c>
      <c r="K32" s="25">
        <v>243.10376600000001</v>
      </c>
      <c r="L32" s="24">
        <f t="shared" si="0"/>
        <v>24.549397290683082</v>
      </c>
      <c r="M32" s="35" t="s">
        <v>35</v>
      </c>
      <c r="O32" s="4"/>
    </row>
    <row r="33" spans="1:15" s="12" customFormat="1" ht="17.25" customHeight="1">
      <c r="A33" s="31" t="s">
        <v>70</v>
      </c>
      <c r="B33" s="25">
        <v>102.88825799999999</v>
      </c>
      <c r="C33" s="25">
        <v>84.334177999999994</v>
      </c>
      <c r="D33" s="25">
        <v>159.40184500000001</v>
      </c>
      <c r="E33" s="25">
        <v>206.36302900000001</v>
      </c>
      <c r="F33" s="25">
        <v>20.197384</v>
      </c>
      <c r="G33" s="25">
        <v>249.29538299999999</v>
      </c>
      <c r="H33" s="25">
        <v>310.49589700000001</v>
      </c>
      <c r="I33" s="50">
        <v>243.37087</v>
      </c>
      <c r="J33" s="25">
        <v>243.158661</v>
      </c>
      <c r="K33" s="25">
        <v>243.10376600000001</v>
      </c>
      <c r="L33" s="24">
        <f t="shared" si="0"/>
        <v>24.549397290683082</v>
      </c>
      <c r="M33" s="37" t="s">
        <v>36</v>
      </c>
      <c r="O33" s="4"/>
    </row>
    <row r="34" spans="1:15" ht="17.25" customHeight="1">
      <c r="A34" s="14" t="s">
        <v>71</v>
      </c>
      <c r="B34" s="25">
        <v>756.04745200000002</v>
      </c>
      <c r="C34" s="25">
        <v>936.53745000000004</v>
      </c>
      <c r="D34" s="25">
        <v>773.66139199999998</v>
      </c>
      <c r="E34" s="25">
        <v>627.16489999999999</v>
      </c>
      <c r="F34" s="25">
        <v>485.63155</v>
      </c>
      <c r="G34" s="25">
        <v>1094.490029</v>
      </c>
      <c r="H34" s="25">
        <v>933.50463100000002</v>
      </c>
      <c r="I34" s="50">
        <v>1052.5888050000001</v>
      </c>
      <c r="J34" s="25">
        <v>1179.228965</v>
      </c>
      <c r="K34" s="25">
        <v>1348.8694860000001</v>
      </c>
      <c r="L34" s="24">
        <f t="shared" si="0"/>
        <v>-14.708713074991387</v>
      </c>
      <c r="M34" s="35" t="s">
        <v>37</v>
      </c>
    </row>
    <row r="35" spans="1:15" ht="17.25" customHeight="1">
      <c r="A35" s="14" t="s">
        <v>72</v>
      </c>
      <c r="B35" s="25">
        <v>1680.2121360000001</v>
      </c>
      <c r="C35" s="25">
        <v>1718.212949</v>
      </c>
      <c r="D35" s="25">
        <v>1840.619639</v>
      </c>
      <c r="E35" s="25">
        <v>802.71664199999998</v>
      </c>
      <c r="F35" s="25">
        <v>2224.4717139999998</v>
      </c>
      <c r="G35" s="25">
        <v>2054.632908</v>
      </c>
      <c r="H35" s="25">
        <v>1994.5891859999999</v>
      </c>
      <c r="I35" s="50">
        <v>2178.746627</v>
      </c>
      <c r="J35" s="25">
        <v>2239.8694609999998</v>
      </c>
      <c r="K35" s="25">
        <v>2302.9411559999999</v>
      </c>
      <c r="L35" s="24">
        <f t="shared" si="0"/>
        <v>-2.9223576516374972</v>
      </c>
      <c r="M35" s="38" t="s">
        <v>38</v>
      </c>
    </row>
    <row r="36" spans="1:15" s="5" customFormat="1" ht="17.25" customHeight="1">
      <c r="A36" s="30" t="s">
        <v>73</v>
      </c>
      <c r="B36" s="1">
        <v>1020.479597</v>
      </c>
      <c r="C36" s="1">
        <v>829.079296</v>
      </c>
      <c r="D36" s="1">
        <v>552.18131500000004</v>
      </c>
      <c r="E36" s="1">
        <v>435.35185200000001</v>
      </c>
      <c r="F36" s="1">
        <v>447.66932400000002</v>
      </c>
      <c r="G36" s="1">
        <v>514.72040200000004</v>
      </c>
      <c r="H36" s="1">
        <v>379.31267200000002</v>
      </c>
      <c r="I36" s="49">
        <v>332.22414600000002</v>
      </c>
      <c r="J36" s="1">
        <v>338.118539</v>
      </c>
      <c r="K36" s="1">
        <v>344.04185899999999</v>
      </c>
      <c r="L36" s="23">
        <f t="shared" si="0"/>
        <v>-26.307045431628339</v>
      </c>
      <c r="M36" s="54" t="s">
        <v>39</v>
      </c>
      <c r="O36" s="4"/>
    </row>
    <row r="37" spans="1:15" ht="17.25" customHeight="1">
      <c r="A37" s="14" t="s">
        <v>74</v>
      </c>
      <c r="B37" s="25">
        <v>930.45446900000002</v>
      </c>
      <c r="C37" s="25">
        <v>730.47108100000003</v>
      </c>
      <c r="D37" s="25">
        <v>442.88522899999998</v>
      </c>
      <c r="E37" s="25">
        <v>357.24684200000002</v>
      </c>
      <c r="F37" s="25">
        <v>420.17724700000002</v>
      </c>
      <c r="G37" s="25">
        <v>458.097418</v>
      </c>
      <c r="H37" s="25">
        <v>337.732978</v>
      </c>
      <c r="I37" s="50">
        <v>288.73530799999997</v>
      </c>
      <c r="J37" s="25">
        <v>292.53332999999998</v>
      </c>
      <c r="K37" s="25">
        <v>296.27216600000003</v>
      </c>
      <c r="L37" s="24">
        <f t="shared" si="0"/>
        <v>-26.274856672516766</v>
      </c>
      <c r="M37" s="38" t="s">
        <v>40</v>
      </c>
    </row>
    <row r="38" spans="1:15" ht="17.25" customHeight="1">
      <c r="A38" s="14" t="s">
        <v>75</v>
      </c>
      <c r="B38" s="25">
        <v>45.676347</v>
      </c>
      <c r="C38" s="25">
        <v>51.017744</v>
      </c>
      <c r="D38" s="25">
        <v>57.778118999999997</v>
      </c>
      <c r="E38" s="25">
        <v>14.7691</v>
      </c>
      <c r="F38" s="25">
        <v>25.929015</v>
      </c>
      <c r="G38" s="25">
        <v>56.415694999999999</v>
      </c>
      <c r="H38" s="25">
        <v>41.579694000000003</v>
      </c>
      <c r="I38" s="50">
        <v>43.488838000000001</v>
      </c>
      <c r="J38" s="25">
        <v>45.585208999999999</v>
      </c>
      <c r="K38" s="25">
        <v>47.769692999999997</v>
      </c>
      <c r="L38" s="24">
        <f t="shared" si="0"/>
        <v>-26.297648198785804</v>
      </c>
      <c r="M38" s="38" t="s">
        <v>41</v>
      </c>
    </row>
    <row r="39" spans="1:15" ht="17.25" customHeight="1">
      <c r="A39" s="14" t="s">
        <v>76</v>
      </c>
      <c r="B39" s="25">
        <v>0</v>
      </c>
      <c r="C39" s="25">
        <v>9.8449999999999996E-3</v>
      </c>
      <c r="D39" s="25">
        <v>0.20910000000000001</v>
      </c>
      <c r="E39" s="25">
        <v>0</v>
      </c>
      <c r="F39" s="25">
        <v>0</v>
      </c>
      <c r="G39" s="25">
        <v>0.20724899999999999</v>
      </c>
      <c r="H39" s="25">
        <v>0</v>
      </c>
      <c r="I39" s="50">
        <v>0</v>
      </c>
      <c r="J39" s="25">
        <v>0</v>
      </c>
      <c r="K39" s="25">
        <v>0</v>
      </c>
      <c r="L39" s="53">
        <v>0</v>
      </c>
      <c r="M39" s="39"/>
    </row>
    <row r="40" spans="1:15" s="5" customFormat="1" ht="17.25" customHeight="1">
      <c r="A40" s="30" t="s">
        <v>77</v>
      </c>
      <c r="B40" s="1">
        <v>243.96329399999999</v>
      </c>
      <c r="C40" s="1">
        <v>277.75853499999999</v>
      </c>
      <c r="D40" s="1">
        <v>235.341049</v>
      </c>
      <c r="E40" s="1">
        <v>151.51145299999999</v>
      </c>
      <c r="F40" s="1">
        <v>379.39497999999998</v>
      </c>
      <c r="G40" s="1">
        <v>253.814324</v>
      </c>
      <c r="H40" s="1">
        <v>131.648765</v>
      </c>
      <c r="I40" s="49">
        <v>130.353713</v>
      </c>
      <c r="J40" s="1">
        <v>129.377117</v>
      </c>
      <c r="K40" s="1">
        <v>128.71737200000001</v>
      </c>
      <c r="L40" s="23">
        <f t="shared" si="0"/>
        <v>-48.131861541431363</v>
      </c>
      <c r="M40" s="41" t="s">
        <v>42</v>
      </c>
      <c r="O40" s="4"/>
    </row>
    <row r="41" spans="1:15" s="5" customFormat="1" ht="17.25" customHeight="1">
      <c r="A41" s="30" t="s">
        <v>51</v>
      </c>
      <c r="B41" s="1">
        <v>177.796885</v>
      </c>
      <c r="C41" s="1">
        <v>135.93488500000001</v>
      </c>
      <c r="D41" s="1">
        <v>271.70066800000001</v>
      </c>
      <c r="E41" s="1">
        <v>163.144486</v>
      </c>
      <c r="F41" s="1">
        <v>286.96318100000002</v>
      </c>
      <c r="G41" s="1">
        <v>216.25644399999999</v>
      </c>
      <c r="H41" s="1">
        <v>1348.3244609999999</v>
      </c>
      <c r="I41" s="49">
        <v>115.05171799999999</v>
      </c>
      <c r="J41" s="1">
        <v>124.879204</v>
      </c>
      <c r="K41" s="1">
        <v>130.34191899999999</v>
      </c>
      <c r="L41" s="19" t="s">
        <v>11</v>
      </c>
      <c r="M41" s="41" t="s">
        <v>43</v>
      </c>
      <c r="O41" s="4"/>
    </row>
    <row r="42" spans="1:15" ht="17.25" customHeight="1">
      <c r="A42" s="14" t="s">
        <v>52</v>
      </c>
      <c r="B42" s="25">
        <v>177.796885</v>
      </c>
      <c r="C42" s="25">
        <v>135.93488500000001</v>
      </c>
      <c r="D42" s="25">
        <v>271.70066800000001</v>
      </c>
      <c r="E42" s="25">
        <v>163.144486</v>
      </c>
      <c r="F42" s="25">
        <v>286.96318100000002</v>
      </c>
      <c r="G42" s="25">
        <v>216.25644399999999</v>
      </c>
      <c r="H42" s="25">
        <v>1348.3244609999999</v>
      </c>
      <c r="I42" s="50">
        <v>115.05171799999999</v>
      </c>
      <c r="J42" s="25">
        <v>124.879204</v>
      </c>
      <c r="K42" s="25">
        <v>130.34191899999999</v>
      </c>
      <c r="L42" s="18" t="s">
        <v>11</v>
      </c>
      <c r="M42" s="39" t="s">
        <v>44</v>
      </c>
    </row>
    <row r="43" spans="1:15" ht="17.25" customHeight="1">
      <c r="A43" s="31" t="s">
        <v>9</v>
      </c>
      <c r="B43" s="25">
        <v>177.796885</v>
      </c>
      <c r="C43" s="25">
        <v>135.93488500000001</v>
      </c>
      <c r="D43" s="25">
        <v>271.70066800000001</v>
      </c>
      <c r="E43" s="25">
        <v>163.144486</v>
      </c>
      <c r="F43" s="25">
        <v>286.96318100000002</v>
      </c>
      <c r="G43" s="25">
        <v>216.25644399999999</v>
      </c>
      <c r="H43" s="25">
        <v>1348.3244609999999</v>
      </c>
      <c r="I43" s="50">
        <v>115.05171799999999</v>
      </c>
      <c r="J43" s="25">
        <v>124.879204</v>
      </c>
      <c r="K43" s="25">
        <v>130.34191899999999</v>
      </c>
      <c r="L43" s="18" t="s">
        <v>11</v>
      </c>
      <c r="M43" s="39" t="s">
        <v>45</v>
      </c>
    </row>
    <row r="44" spans="1:15" s="5" customFormat="1" ht="17.25" customHeight="1">
      <c r="A44" s="30" t="s">
        <v>78</v>
      </c>
      <c r="B44" s="1">
        <v>1895.4141050000001</v>
      </c>
      <c r="C44" s="1">
        <v>2176.7451879999999</v>
      </c>
      <c r="D44" s="1">
        <v>2630.7195139999999</v>
      </c>
      <c r="E44" s="1">
        <v>1313.192857</v>
      </c>
      <c r="F44" s="1">
        <v>2262.7904229999999</v>
      </c>
      <c r="G44" s="1">
        <v>5029.3722189999999</v>
      </c>
      <c r="H44" s="1">
        <v>3981.304298</v>
      </c>
      <c r="I44" s="49">
        <v>3803.3058780000001</v>
      </c>
      <c r="J44" s="1">
        <v>4243.9554209999997</v>
      </c>
      <c r="K44" s="1">
        <v>4537.7910060000004</v>
      </c>
      <c r="L44" s="23">
        <f>+((H44/G44)-1)*100</f>
        <v>-20.838941230887642</v>
      </c>
      <c r="M44" s="41" t="s">
        <v>46</v>
      </c>
      <c r="O44" s="4"/>
    </row>
    <row r="45" spans="1:15" ht="17.25" customHeight="1">
      <c r="A45" s="14" t="s">
        <v>79</v>
      </c>
      <c r="B45" s="25">
        <v>1895.4141050000001</v>
      </c>
      <c r="C45" s="25">
        <v>2176.7451879999999</v>
      </c>
      <c r="D45" s="25">
        <v>2630.7195139999999</v>
      </c>
      <c r="E45" s="25">
        <v>1313.192857</v>
      </c>
      <c r="F45" s="25">
        <v>2262.7904229999999</v>
      </c>
      <c r="G45" s="25">
        <v>5029.3722189999999</v>
      </c>
      <c r="H45" s="25">
        <v>3981.304298</v>
      </c>
      <c r="I45" s="50">
        <v>3803.3058780000001</v>
      </c>
      <c r="J45" s="25">
        <v>4243.9554209999997</v>
      </c>
      <c r="K45" s="25">
        <v>4537.7910060000004</v>
      </c>
      <c r="L45" s="24">
        <f t="shared" si="0"/>
        <v>-20.838941230887642</v>
      </c>
      <c r="M45" s="39" t="s">
        <v>47</v>
      </c>
    </row>
    <row r="46" spans="1:15" ht="17.25" customHeight="1">
      <c r="A46" s="31" t="s">
        <v>80</v>
      </c>
      <c r="B46" s="25">
        <v>76.295075999999995</v>
      </c>
      <c r="C46" s="25">
        <v>76.324061</v>
      </c>
      <c r="D46" s="25">
        <v>90.092168999999998</v>
      </c>
      <c r="E46" s="25">
        <v>25.837392999999999</v>
      </c>
      <c r="F46" s="25">
        <v>79.113626999999994</v>
      </c>
      <c r="G46" s="25">
        <v>135.484995</v>
      </c>
      <c r="H46" s="25">
        <v>167.129445</v>
      </c>
      <c r="I46" s="50">
        <v>172.71854999999999</v>
      </c>
      <c r="J46" s="25">
        <v>185.30716200000001</v>
      </c>
      <c r="K46" s="25">
        <v>184.34035600000001</v>
      </c>
      <c r="L46" s="24">
        <f t="shared" si="0"/>
        <v>23.356424082238767</v>
      </c>
      <c r="M46" s="39" t="s">
        <v>48</v>
      </c>
    </row>
    <row r="47" spans="1:15" ht="17.25" customHeight="1">
      <c r="A47" s="32" t="s">
        <v>81</v>
      </c>
      <c r="B47" s="28">
        <v>1819.119029</v>
      </c>
      <c r="C47" s="28">
        <v>2100.4211270000001</v>
      </c>
      <c r="D47" s="28">
        <v>2540.6273449999999</v>
      </c>
      <c r="E47" s="28">
        <v>1287.355464</v>
      </c>
      <c r="F47" s="28">
        <v>2183.6767960000002</v>
      </c>
      <c r="G47" s="28">
        <v>4893.8872240000001</v>
      </c>
      <c r="H47" s="28">
        <v>3814.174853</v>
      </c>
      <c r="I47" s="51">
        <v>3630.5873280000001</v>
      </c>
      <c r="J47" s="28">
        <v>4058.6482590000001</v>
      </c>
      <c r="K47" s="28">
        <v>4353.4506499999998</v>
      </c>
      <c r="L47" s="29">
        <f t="shared" si="0"/>
        <v>-22.06246939457467</v>
      </c>
      <c r="M47" s="40" t="s">
        <v>49</v>
      </c>
    </row>
    <row r="48" spans="1:15" ht="14.25">
      <c r="A48" s="15" t="s">
        <v>10</v>
      </c>
      <c r="M48" s="52" t="s">
        <v>84</v>
      </c>
    </row>
  </sheetData>
  <mergeCells count="6">
    <mergeCell ref="A5:A7"/>
    <mergeCell ref="M5:M7"/>
    <mergeCell ref="A1:M1"/>
    <mergeCell ref="A2:M2"/>
    <mergeCell ref="A3:M3"/>
    <mergeCell ref="A4:M4"/>
  </mergeCells>
  <phoneticPr fontId="33" type="noConversion"/>
  <pageMargins left="0.17" right="0.16" top="0.75" bottom="0.75" header="0.3" footer="0.3"/>
  <pageSetup paperSize="9" scale="65" orientation="landscape" horizontalDpi="4294967295" verticalDpi="4294967295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93d9c1-a9f6-478d-a576-b0943b39c604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13.2</vt:lpstr>
      <vt:lpstr>'13.2'!Print_Area</vt:lpstr>
      <vt:lpstr>'13.2'!Print_Titles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2024-07-15T09:21:18Z</cp:lastPrinted>
  <dcterms:created xsi:type="dcterms:W3CDTF">2014-03-06T08:38:12Z</dcterms:created>
  <dcterms:modified xsi:type="dcterms:W3CDTF">2024-07-15T09:21:44Z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