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DF3E890B-96EE-4924-80F8-CDFB095914AA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7" sheetId="32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'13.7'!$A$1:$L$126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2" l="1"/>
  <c r="G8" i="32"/>
  <c r="H8" i="32"/>
  <c r="D8" i="32"/>
  <c r="D6" i="32" s="1"/>
  <c r="E8" i="32"/>
  <c r="E6" i="32" s="1"/>
  <c r="F8" i="32"/>
  <c r="F6" i="32" s="1"/>
  <c r="I8" i="32" l="1"/>
  <c r="C8" i="32"/>
  <c r="C6" i="32" s="1"/>
  <c r="K8" i="32"/>
  <c r="L8" i="32"/>
  <c r="H6" i="32" l="1"/>
  <c r="I6" i="32"/>
  <c r="J6" i="32"/>
  <c r="K6" i="32"/>
  <c r="L6" i="32"/>
  <c r="G6" i="32"/>
</calcChain>
</file>

<file path=xl/sharedStrings.xml><?xml version="1.0" encoding="utf-8"?>
<sst xmlns="http://schemas.openxmlformats.org/spreadsheetml/2006/main" count="163" uniqueCount="138">
  <si>
    <t>Particulars</t>
  </si>
  <si>
    <t>Actual</t>
  </si>
  <si>
    <t xml:space="preserve">Approved </t>
  </si>
  <si>
    <t>Kuwait Fund</t>
  </si>
  <si>
    <t>Saudi Fund</t>
  </si>
  <si>
    <t>Total spending</t>
  </si>
  <si>
    <t xml:space="preserve">     Projects</t>
  </si>
  <si>
    <t>Sanitation in 5 islands</t>
  </si>
  <si>
    <t>Development of National Stadium</t>
  </si>
  <si>
    <t>Upgrading of Airport - S.Gan</t>
  </si>
  <si>
    <t>Greater Male Connectivity Project (Male - Thilafushi Bridge)</t>
  </si>
  <si>
    <t>Deutsche Bank</t>
  </si>
  <si>
    <t>Source:  Ministry of Finance.</t>
  </si>
  <si>
    <t>Approved</t>
  </si>
  <si>
    <t>Fisheries Sector Devlopment Project</t>
  </si>
  <si>
    <t>Velana International Airport Development (Runway)</t>
  </si>
  <si>
    <t>Dev. of New Tertiary Hospital - L.Gan</t>
  </si>
  <si>
    <t>Hospital New Building - AA.Rasdhoo</t>
  </si>
  <si>
    <t>Hospital New Building - Fuvahmulah</t>
  </si>
  <si>
    <t>Hospital New Building - K.Thulusdhoo</t>
  </si>
  <si>
    <t>Hospital New Building - N.Velidhoo</t>
  </si>
  <si>
    <t>Regional Hospital New Building - GDh.Thinadhoo</t>
  </si>
  <si>
    <t>Tertiary Hospital New Building - HDh.Kulhudhuffushi</t>
  </si>
  <si>
    <t>AREISE Project</t>
  </si>
  <si>
    <t>Maldives Agribusiness Project</t>
  </si>
  <si>
    <t>Greater Male Waste To Energy Project</t>
  </si>
  <si>
    <t>Developing Regional Hospital - S.Hithadhoo</t>
  </si>
  <si>
    <t>Land Reclamation - K.Gulhifalhu</t>
  </si>
  <si>
    <t>Hospital New Building - R.Alifushi</t>
  </si>
  <si>
    <t>New Hospital Building - GDh.Gahdhoo</t>
  </si>
  <si>
    <t>Public Finance Management syst strengthening project</t>
  </si>
  <si>
    <t>Support Livelihoods in MV Fisheries with Sustainable Energy</t>
  </si>
  <si>
    <t>Accel. Sustain. System Dev. with Renewable Energy (ASSURE)</t>
  </si>
  <si>
    <t>COVID-19 Emergency Response and Health Systems Preparedness</t>
  </si>
  <si>
    <t>MV Enhancing Employability &amp; Resilience of Youth (MEERY)</t>
  </si>
  <si>
    <t>Emergency Response to COVID-19 Pandemic Phase 2</t>
  </si>
  <si>
    <t>Outer Island Harbour, Water Supply &amp; Sewerage - OFID Phase 3</t>
  </si>
  <si>
    <t>Velana International Airport Development (Terminal)</t>
  </si>
  <si>
    <t>P-HTE013-100</t>
  </si>
  <si>
    <t>P-MFT010-100</t>
  </si>
  <si>
    <t>P-HTE162-001</t>
  </si>
  <si>
    <t>P-HDC001-102</t>
  </si>
  <si>
    <t>P-FIS004-001</t>
  </si>
  <si>
    <t>P-HLT080-002</t>
  </si>
  <si>
    <t>P-HOU011-002</t>
  </si>
  <si>
    <t>Affordable Housing Scheme Project</t>
  </si>
  <si>
    <t>P-HOU011-001</t>
  </si>
  <si>
    <t>P-CPT019-001</t>
  </si>
  <si>
    <t>P-HLT121-001</t>
  </si>
  <si>
    <t>P-HLT123-001</t>
  </si>
  <si>
    <t>P-HLT128-001</t>
  </si>
  <si>
    <t>P-HLT131-001</t>
  </si>
  <si>
    <t>P-HLT135-001</t>
  </si>
  <si>
    <t>P-HLT139-001</t>
  </si>
  <si>
    <t>P-HLT141-001</t>
  </si>
  <si>
    <t>P-HTE009-066</t>
  </si>
  <si>
    <t>P-HTE023-100</t>
  </si>
  <si>
    <t>P-MEE063-100</t>
  </si>
  <si>
    <t>P-SAN028-001</t>
  </si>
  <si>
    <t>P-WAS092-001</t>
  </si>
  <si>
    <t>P-HTE009-094</t>
  </si>
  <si>
    <t>P-HTE011-143</t>
  </si>
  <si>
    <t>P-WST032-001</t>
  </si>
  <si>
    <t>P-SAN011-001</t>
  </si>
  <si>
    <t>P-MOH001-020</t>
  </si>
  <si>
    <t>P-MEE001-112</t>
  </si>
  <si>
    <t>P-OTH001-001</t>
  </si>
  <si>
    <t>P-RNW001-001</t>
  </si>
  <si>
    <t>P-LND005-001</t>
  </si>
  <si>
    <t>Agence Francaise Development</t>
  </si>
  <si>
    <t>Rehab of Harbours and Creation of Sewerage Networks</t>
  </si>
  <si>
    <t>Asian Development Bank</t>
  </si>
  <si>
    <t>MicroSmall and Medium sized enterprises develoment prj</t>
  </si>
  <si>
    <t>Preparing Outer Island For Sustainable Energy Devel - POISED</t>
  </si>
  <si>
    <t>Sasec national single window project</t>
  </si>
  <si>
    <t>Asian Infrastructure Investment Bank</t>
  </si>
  <si>
    <t>Cassa Depositi e Prestiti</t>
  </si>
  <si>
    <t>China Exim Bank</t>
  </si>
  <si>
    <t>Development of 1500 Housing Units - Ph2 (Exim bank/China)</t>
  </si>
  <si>
    <t>Male - Hulhule Bridge Project</t>
  </si>
  <si>
    <t>Clean Technology Fund</t>
  </si>
  <si>
    <t>Commercial Loans</t>
  </si>
  <si>
    <t>European Investment Bank</t>
  </si>
  <si>
    <t>Government of Abu Dhabi</t>
  </si>
  <si>
    <t>Arena converting waste to energy</t>
  </si>
  <si>
    <t>Small Scale Waste to Energy Project</t>
  </si>
  <si>
    <t>Small Scale Waste to Energy Project - Phase 2</t>
  </si>
  <si>
    <t>Government of Maldives</t>
  </si>
  <si>
    <t>School Building (12 Class Rooms) - HA.Baarah</t>
  </si>
  <si>
    <t>Sheih Ibrah. School (Hall &amp; Classroom) HA.Kelaa</t>
  </si>
  <si>
    <t>Indian Exim Bank</t>
  </si>
  <si>
    <t>Addu City Reclamation and Shore Protection</t>
  </si>
  <si>
    <t>Addu City Road Development</t>
  </si>
  <si>
    <t>Build.Of Cricket Stadium - Hulhumale</t>
  </si>
  <si>
    <t>Const. of Cancer Hospital - L.Gan</t>
  </si>
  <si>
    <t>Dev.Of National Basketball Centre</t>
  </si>
  <si>
    <t>Dev.Of National Nettball Centre</t>
  </si>
  <si>
    <t>Dev.Of National Table Tennis Centre</t>
  </si>
  <si>
    <t>Dev.Of National Volley Court - Male City</t>
  </si>
  <si>
    <t>Developing Roads - GDh.Thinadhoo</t>
  </si>
  <si>
    <t>Estab. Of Synthetic Track - Fuvamulah City</t>
  </si>
  <si>
    <t>Estab. Of Synthetic Track - GDh.Thinadhoo</t>
  </si>
  <si>
    <t>Estab. Of Synthetic Track - HDh.Kulhudhuffushi</t>
  </si>
  <si>
    <t>Estab. Of Synthetic Track - S.Hithadhoo</t>
  </si>
  <si>
    <t>Estab.Of Badminton Court Complex - Hulhumale</t>
  </si>
  <si>
    <t>Establishing Of Police Stations</t>
  </si>
  <si>
    <t>Expansion Of MIFCO Facility - Kooddoo &amp; Kaduohgiri</t>
  </si>
  <si>
    <t>Port Development Project - K.Gulhifalhu</t>
  </si>
  <si>
    <t>Provision of Water Supply &amp; Sewerage Project</t>
  </si>
  <si>
    <t>Upgrading of Airport - Hdh.Hanimaadhoo</t>
  </si>
  <si>
    <t>Infrastructure Development Projects Account</t>
  </si>
  <si>
    <t>Construction of Dharumavantha Hospital Building</t>
  </si>
  <si>
    <t>High Achievers Scholarship</t>
  </si>
  <si>
    <t>Major Medical Eqmnt&amp;Accessories for Dharumavantha Hospital</t>
  </si>
  <si>
    <t>Medical Equipment for IGMH New Building</t>
  </si>
  <si>
    <t>ING Bank</t>
  </si>
  <si>
    <t>International Development Association (W</t>
  </si>
  <si>
    <t>Maldives Urband Dev. &amp; Reslience Project</t>
  </si>
  <si>
    <t>International Fund for Agriculture Devel</t>
  </si>
  <si>
    <t>Fisheries and Agriculture Diversification Project</t>
  </si>
  <si>
    <t>Islamic Development Bank</t>
  </si>
  <si>
    <t>COVID-19 Amendment to Istisnaa agreement</t>
  </si>
  <si>
    <t>Greater Male Environmental Improvement &amp; Waste Management</t>
  </si>
  <si>
    <t>Micro enterprises develoment project</t>
  </si>
  <si>
    <t>Quarantine Facility Project</t>
  </si>
  <si>
    <t>Reconstruction of Harbours - IDB</t>
  </si>
  <si>
    <t>Sanitation in 5 Islands (IDB Loan)</t>
  </si>
  <si>
    <t>Coastal Protection-Gn.Fuvamulah-OREO Prj</t>
  </si>
  <si>
    <t>Hospital New Building - Th.Vilufushi</t>
  </si>
  <si>
    <t>Water Supply and Sewerage System in Fuvahmulah - Kuwait Fund</t>
  </si>
  <si>
    <t>OPEC Fund for International Development</t>
  </si>
  <si>
    <t>Outer Island Water Supply and Sewerage Systems (OFID phase1)</t>
  </si>
  <si>
    <t>Prov.of Water Supply, Sanitation&amp;Waste Mngmt prj (OFID ph2)</t>
  </si>
  <si>
    <t>Prov.WaterSupply,Sani.&amp;WasteMgmt-OFID-P2</t>
  </si>
  <si>
    <t>Hulhumale Island Development Project</t>
  </si>
  <si>
    <t>Reconstruction &amp; Development of GA Atoll</t>
  </si>
  <si>
    <t>Table 13.7:  Expenditure on Major Projects Financed by Foreign Loans, 2017 - 2026</t>
  </si>
  <si>
    <t xml:space="preserve">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</si>
</sst>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8" formatCode="_(* #,##0.0_);_(* \(#,##0.0\);_(* &quot;-&quot;??_);_(@_)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2"/>
      <color theme="1"/>
      <name val="Century Gothic"/>
      <family val="2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9" fontId="11" fillId="0" borderId="0"/>
    <xf numFmtId="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4" fillId="0" borderId="0"/>
    <xf numFmtId="1" fontId="15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2" fillId="0" borderId="0"/>
    <xf numFmtId="40" fontId="12" fillId="0" borderId="0" applyFont="0" applyFill="0" applyBorder="0" applyAlignment="0" applyProtection="0"/>
    <xf numFmtId="0" fontId="12" fillId="0" borderId="0"/>
    <xf numFmtId="0" fontId="2" fillId="0" borderId="0"/>
    <xf numFmtId="1" fontId="15" fillId="0" borderId="6" applyNumberFormat="0"/>
    <xf numFmtId="0" fontId="1" fillId="0" borderId="0"/>
    <xf numFmtId="0" fontId="12" fillId="0" borderId="0"/>
    <xf numFmtId="0" fontId="5" fillId="0" borderId="0" applyFill="0" applyProtection="0"/>
    <xf numFmtId="1" fontId="15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12" fillId="0" borderId="0"/>
    <xf numFmtId="0" fontId="5" fillId="0" borderId="0" applyFill="0" applyProtection="0"/>
  </cellStyleXfs>
  <cellXfs count="40">
    <xf numFmtId="0" fontId="0" fillId="0" borderId="0" xfId="0"/>
    <xf numFmtId="166" fontId="9" fillId="2" borderId="0" xfId="2" applyNumberFormat="1" applyFont="1" applyFill="1" applyAlignment="1">
      <alignment horizontal="left" vertical="center"/>
    </xf>
    <xf numFmtId="172" fontId="7" fillId="2" borderId="0" xfId="12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172" fontId="0" fillId="2" borderId="0" xfId="12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7" fillId="2" borderId="2" xfId="12" applyNumberFormat="1" applyFont="1" applyFill="1" applyBorder="1" applyAlignment="1" applyProtection="1">
      <alignment horizontal="center" vertical="center"/>
    </xf>
    <xf numFmtId="172" fontId="7" fillId="2" borderId="1" xfId="12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1" fontId="0" fillId="2" borderId="0" xfId="0" applyNumberFormat="1" applyFill="1"/>
    <xf numFmtId="171" fontId="7" fillId="2" borderId="0" xfId="12" applyNumberFormat="1" applyFont="1" applyFill="1" applyBorder="1" applyAlignment="1"/>
    <xf numFmtId="171" fontId="0" fillId="2" borderId="0" xfId="12" applyNumberFormat="1" applyFont="1" applyFill="1" applyBorder="1" applyAlignment="1"/>
    <xf numFmtId="172" fontId="0" fillId="2" borderId="1" xfId="12" applyNumberFormat="1" applyFont="1" applyFill="1" applyBorder="1" applyAlignment="1">
      <alignment horizontal="right"/>
    </xf>
    <xf numFmtId="172" fontId="7" fillId="2" borderId="3" xfId="12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8" fontId="0" fillId="2" borderId="0" xfId="1" applyNumberFormat="1" applyFont="1" applyFill="1"/>
    <xf numFmtId="168" fontId="1" fillId="2" borderId="0" xfId="1" applyNumberFormat="1" applyFont="1" applyFill="1" applyAlignment="1">
      <alignment horizontal="right"/>
    </xf>
    <xf numFmtId="0" fontId="18" fillId="2" borderId="0" xfId="0" applyFont="1" applyFill="1" applyAlignment="1">
      <alignment horizontal="left"/>
    </xf>
    <xf numFmtId="0" fontId="0" fillId="2" borderId="0" xfId="0" applyFill="1" applyAlignment="1">
      <alignment horizontal="left" indent="1"/>
    </xf>
    <xf numFmtId="171" fontId="7" fillId="2" borderId="3" xfId="12" applyNumberFormat="1" applyFont="1" applyFill="1" applyBorder="1" applyAlignment="1"/>
    <xf numFmtId="171" fontId="0" fillId="2" borderId="3" xfId="12" applyNumberFormat="1" applyFont="1" applyFill="1" applyBorder="1" applyAlignment="1"/>
    <xf numFmtId="168" fontId="0" fillId="2" borderId="0" xfId="1" applyNumberFormat="1" applyFont="1" applyFill="1" applyAlignment="1"/>
    <xf numFmtId="171" fontId="1" fillId="2" borderId="0" xfId="12" applyNumberFormat="1" applyFont="1" applyFill="1" applyBorder="1" applyAlignment="1">
      <alignment horizontal="right"/>
    </xf>
    <xf numFmtId="171" fontId="1" fillId="2" borderId="3" xfId="12" applyNumberFormat="1" applyFont="1" applyFill="1" applyBorder="1" applyAlignment="1">
      <alignment horizontal="right"/>
    </xf>
    <xf numFmtId="172" fontId="1" fillId="2" borderId="0" xfId="12" applyNumberFormat="1" applyFont="1" applyFill="1" applyBorder="1" applyAlignment="1">
      <alignment horizontal="right"/>
    </xf>
    <xf numFmtId="168" fontId="1" fillId="2" borderId="0" xfId="1" applyNumberFormat="1" applyFont="1" applyFill="1" applyBorder="1" applyAlignment="1">
      <alignment horizontal="right"/>
    </xf>
    <xf numFmtId="168" fontId="1" fillId="2" borderId="3" xfId="1" applyNumberFormat="1" applyFont="1" applyFill="1" applyBorder="1" applyAlignment="1">
      <alignment horizontal="right"/>
    </xf>
    <xf numFmtId="172" fontId="0" fillId="2" borderId="4" xfId="12" applyNumberFormat="1" applyFont="1" applyFill="1" applyBorder="1" applyAlignment="1">
      <alignment horizontal="right"/>
    </xf>
    <xf numFmtId="0" fontId="0" fillId="2" borderId="1" xfId="0" applyFill="1" applyBorder="1"/>
    <xf numFmtId="168" fontId="1" fillId="2" borderId="0" xfId="1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Q125"/>
  <sheetViews>
    <sheetView showGridLines="0" tabSelected="1" topLeftCell="B1" zoomScale="124" zoomScaleNormal="124" zoomScaleSheetLayoutView="89" workbookViewId="0">
      <selection activeCell="D118" sqref="D118"/>
    </sheetView>
  </sheetViews>
  <sheetFormatPr defaultRowHeight="15"/>
  <cols>
    <col min="1" max="1" width="14.140625" style="3" hidden="1" customWidth="1"/>
    <col min="2" max="2" width="65" style="3" customWidth="1"/>
    <col min="3" max="4" width="12.140625" style="3" customWidth="1"/>
    <col min="5" max="5" width="11.7109375" style="3" customWidth="1"/>
    <col min="6" max="8" width="12.140625" style="3" customWidth="1"/>
    <col min="9" max="9" width="14.140625" style="3" customWidth="1"/>
    <col min="10" max="11" width="13.140625" style="3" customWidth="1"/>
    <col min="12" max="12" width="12.5703125" style="3" customWidth="1"/>
    <col min="13" max="14" width="9.140625" style="3" customWidth="1"/>
    <col min="15" max="16384" width="9.140625" style="3"/>
  </cols>
  <sheetData>
    <row r="1" spans="1:17" ht="31.5" customHeight="1">
      <c r="B1" s="39" t="s">
        <v>136</v>
      </c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7" ht="6.75" customHeight="1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7">
      <c r="B3" s="37" t="s">
        <v>0</v>
      </c>
      <c r="C3" s="11">
        <v>2017</v>
      </c>
      <c r="D3" s="7">
        <v>2018</v>
      </c>
      <c r="E3" s="7">
        <v>2019</v>
      </c>
      <c r="F3" s="7">
        <v>2020</v>
      </c>
      <c r="G3" s="7">
        <v>2021</v>
      </c>
      <c r="H3" s="7">
        <v>2022</v>
      </c>
      <c r="I3" s="19">
        <v>2023</v>
      </c>
      <c r="J3" s="7">
        <v>2024</v>
      </c>
      <c r="K3" s="7">
        <v>2025</v>
      </c>
      <c r="L3" s="7">
        <v>2026</v>
      </c>
    </row>
    <row r="4" spans="1:17">
      <c r="B4" s="38"/>
      <c r="C4" s="12" t="s">
        <v>1</v>
      </c>
      <c r="D4" s="8" t="s">
        <v>1</v>
      </c>
      <c r="E4" s="8" t="s">
        <v>1</v>
      </c>
      <c r="F4" s="8" t="s">
        <v>1</v>
      </c>
      <c r="G4" s="8" t="s">
        <v>1</v>
      </c>
      <c r="H4" s="8" t="s">
        <v>1</v>
      </c>
      <c r="I4" s="20" t="s">
        <v>13</v>
      </c>
      <c r="J4" s="8" t="s">
        <v>2</v>
      </c>
      <c r="K4" s="8" t="s">
        <v>2</v>
      </c>
      <c r="L4" s="8" t="s">
        <v>13</v>
      </c>
    </row>
    <row r="5" spans="1:17">
      <c r="B5" s="6"/>
      <c r="C5" s="2"/>
      <c r="D5" s="2"/>
      <c r="E5" s="2"/>
      <c r="F5" s="2"/>
      <c r="G5" s="2"/>
      <c r="H5" s="2"/>
      <c r="I5" s="18"/>
      <c r="J5" s="2"/>
      <c r="K5" s="2"/>
      <c r="L5" s="21"/>
    </row>
    <row r="6" spans="1:17">
      <c r="B6" s="9" t="s">
        <v>5</v>
      </c>
      <c r="C6" s="15">
        <f>C8</f>
        <v>2712.9369050000009</v>
      </c>
      <c r="D6" s="15">
        <f t="shared" ref="D6:L6" si="0">D8</f>
        <v>4274.3906940000006</v>
      </c>
      <c r="E6" s="15">
        <f t="shared" si="0"/>
        <v>1920.8020029999996</v>
      </c>
      <c r="F6" s="15">
        <f t="shared" si="0"/>
        <v>1216.8932089999998</v>
      </c>
      <c r="G6" s="15">
        <f t="shared" si="0"/>
        <v>1359.5724930000001</v>
      </c>
      <c r="H6" s="15">
        <f t="shared" si="0"/>
        <v>2921.4975060000006</v>
      </c>
      <c r="I6" s="25">
        <f t="shared" si="0"/>
        <v>5530.7500790000013</v>
      </c>
      <c r="J6" s="15">
        <f t="shared" si="0"/>
        <v>3988.4686179999999</v>
      </c>
      <c r="K6" s="15">
        <f t="shared" si="0"/>
        <v>4019.7178950000011</v>
      </c>
      <c r="L6" s="15">
        <f t="shared" si="0"/>
        <v>4738.7553969999999</v>
      </c>
    </row>
    <row r="7" spans="1:17">
      <c r="B7" s="4"/>
      <c r="C7" s="16"/>
      <c r="D7" s="16"/>
      <c r="E7" s="16"/>
      <c r="F7" s="16"/>
      <c r="G7" s="16"/>
      <c r="H7" s="16"/>
      <c r="I7" s="26"/>
      <c r="J7" s="16"/>
      <c r="K7" s="16"/>
      <c r="L7" s="27"/>
    </row>
    <row r="8" spans="1:17">
      <c r="B8" s="9" t="s">
        <v>6</v>
      </c>
      <c r="C8" s="15">
        <f t="shared" ref="C8:L8" si="1">SUM(C9:C123)</f>
        <v>2712.9369050000009</v>
      </c>
      <c r="D8" s="15">
        <f t="shared" si="1"/>
        <v>4274.3906940000006</v>
      </c>
      <c r="E8" s="15">
        <f t="shared" si="1"/>
        <v>1920.8020029999996</v>
      </c>
      <c r="F8" s="15">
        <f t="shared" si="1"/>
        <v>1216.8932089999998</v>
      </c>
      <c r="G8" s="15">
        <f t="shared" si="1"/>
        <v>1359.5724930000001</v>
      </c>
      <c r="H8" s="15">
        <f t="shared" si="1"/>
        <v>2921.4975060000006</v>
      </c>
      <c r="I8" s="25">
        <f t="shared" si="1"/>
        <v>5530.7500790000013</v>
      </c>
      <c r="J8" s="15">
        <f t="shared" si="1"/>
        <v>3988.4686179999999</v>
      </c>
      <c r="K8" s="15">
        <f t="shared" si="1"/>
        <v>4019.7178950000011</v>
      </c>
      <c r="L8" s="15">
        <f t="shared" si="1"/>
        <v>4738.7553969999999</v>
      </c>
    </row>
    <row r="9" spans="1:17">
      <c r="B9" s="9"/>
      <c r="C9" s="28"/>
      <c r="D9" s="28"/>
      <c r="E9" s="28"/>
      <c r="F9" s="28"/>
      <c r="G9" s="28"/>
      <c r="H9" s="28"/>
      <c r="I9" s="29"/>
      <c r="J9" s="28"/>
      <c r="K9" s="30"/>
      <c r="L9" s="22"/>
      <c r="Q9" s="14"/>
    </row>
    <row r="10" spans="1:17" ht="15.75">
      <c r="B10" s="23" t="s">
        <v>69</v>
      </c>
      <c r="C10" s="31"/>
      <c r="D10" s="31"/>
      <c r="E10" s="31"/>
      <c r="F10" s="31"/>
      <c r="G10" s="31"/>
      <c r="H10" s="31"/>
      <c r="I10" s="32"/>
      <c r="J10" s="31"/>
      <c r="K10" s="31"/>
      <c r="L10" s="22"/>
    </row>
    <row r="11" spans="1:17">
      <c r="A11" s="3" t="s">
        <v>38</v>
      </c>
      <c r="B11" s="24" t="s">
        <v>70</v>
      </c>
      <c r="C11" s="31">
        <v>4.6062190000000003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2">
        <v>0</v>
      </c>
      <c r="J11" s="31">
        <v>0</v>
      </c>
      <c r="K11" s="31">
        <v>0</v>
      </c>
      <c r="L11" s="22">
        <v>0</v>
      </c>
    </row>
    <row r="12" spans="1:17" ht="15.75">
      <c r="B12" s="23" t="s">
        <v>71</v>
      </c>
      <c r="C12" s="31"/>
      <c r="D12" s="31"/>
      <c r="E12" s="31"/>
      <c r="F12" s="31"/>
      <c r="G12" s="31"/>
      <c r="H12" s="31"/>
      <c r="I12" s="32"/>
      <c r="J12" s="31"/>
      <c r="K12" s="31"/>
      <c r="L12" s="22"/>
    </row>
    <row r="13" spans="1:17">
      <c r="A13" s="3" t="s">
        <v>39</v>
      </c>
      <c r="B13" s="24" t="s">
        <v>25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59.454465999999996</v>
      </c>
      <c r="I13" s="32">
        <v>50.210346000000001</v>
      </c>
      <c r="J13" s="31">
        <v>0</v>
      </c>
      <c r="K13" s="31">
        <v>0</v>
      </c>
      <c r="L13" s="22">
        <v>0</v>
      </c>
    </row>
    <row r="14" spans="1:17">
      <c r="A14" s="3" t="s">
        <v>41</v>
      </c>
      <c r="B14" s="24" t="s">
        <v>72</v>
      </c>
      <c r="C14" s="31">
        <v>0</v>
      </c>
      <c r="D14" s="31">
        <v>3.5794860000000002</v>
      </c>
      <c r="E14" s="31">
        <v>0</v>
      </c>
      <c r="F14" s="31">
        <v>0</v>
      </c>
      <c r="G14" s="31">
        <v>0</v>
      </c>
      <c r="H14" s="31">
        <v>0</v>
      </c>
      <c r="I14" s="32">
        <v>0</v>
      </c>
      <c r="J14" s="31">
        <v>0</v>
      </c>
      <c r="K14" s="31">
        <v>0</v>
      </c>
      <c r="L14" s="22">
        <v>0</v>
      </c>
    </row>
    <row r="15" spans="1:17">
      <c r="A15" s="3" t="s">
        <v>40</v>
      </c>
      <c r="B15" s="24" t="s">
        <v>73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8.5279109999999996</v>
      </c>
      <c r="I15" s="32">
        <v>43.873995000000001</v>
      </c>
      <c r="J15" s="31">
        <v>15.365482999999999</v>
      </c>
      <c r="K15" s="31">
        <v>4.9502969999999999</v>
      </c>
      <c r="L15" s="35">
        <v>4.7289969999999997</v>
      </c>
    </row>
    <row r="16" spans="1:17">
      <c r="A16" s="3" t="s">
        <v>46</v>
      </c>
      <c r="B16" s="24" t="s">
        <v>74</v>
      </c>
      <c r="C16" s="31">
        <v>0</v>
      </c>
      <c r="D16" s="31">
        <v>0</v>
      </c>
      <c r="E16" s="31">
        <v>4.1766999999999999E-2</v>
      </c>
      <c r="F16" s="31">
        <v>3.5778940000000001</v>
      </c>
      <c r="G16" s="31">
        <v>2.341936</v>
      </c>
      <c r="H16" s="31">
        <v>3.4219059999999999</v>
      </c>
      <c r="I16" s="32">
        <v>2.4365389999999998</v>
      </c>
      <c r="J16" s="31">
        <v>16.983364999999999</v>
      </c>
      <c r="K16" s="31">
        <v>28.583365000000001</v>
      </c>
      <c r="L16" s="22">
        <v>25.8</v>
      </c>
    </row>
    <row r="17" spans="1:12" ht="15.75">
      <c r="A17" s="3" t="s">
        <v>44</v>
      </c>
      <c r="B17" s="23" t="s">
        <v>75</v>
      </c>
      <c r="C17" s="31"/>
      <c r="D17" s="31"/>
      <c r="E17" s="31"/>
      <c r="F17" s="31"/>
      <c r="G17" s="31"/>
      <c r="H17" s="31"/>
      <c r="I17" s="32"/>
      <c r="J17" s="31"/>
      <c r="K17" s="31"/>
      <c r="L17" s="22"/>
    </row>
    <row r="18" spans="1:12">
      <c r="A18" s="3" t="s">
        <v>42</v>
      </c>
      <c r="B18" s="24" t="s">
        <v>33</v>
      </c>
      <c r="C18" s="31">
        <v>0</v>
      </c>
      <c r="D18" s="31">
        <v>0</v>
      </c>
      <c r="E18" s="31">
        <v>0</v>
      </c>
      <c r="F18" s="31">
        <v>16.31711</v>
      </c>
      <c r="G18" s="31">
        <v>7.0104889999999997</v>
      </c>
      <c r="H18" s="31">
        <v>12.448459</v>
      </c>
      <c r="I18" s="32">
        <v>17.906568</v>
      </c>
      <c r="J18" s="31">
        <v>0</v>
      </c>
      <c r="K18" s="31">
        <v>0</v>
      </c>
      <c r="L18" s="22">
        <v>0</v>
      </c>
    </row>
    <row r="19" spans="1:12">
      <c r="A19" s="3" t="s">
        <v>43</v>
      </c>
      <c r="B19" s="24" t="s">
        <v>25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62.323030000000003</v>
      </c>
      <c r="I19" s="32">
        <v>43.635221999999999</v>
      </c>
      <c r="J19" s="31">
        <v>69.612155999999999</v>
      </c>
      <c r="K19" s="31">
        <v>115.451048</v>
      </c>
      <c r="L19" s="22">
        <v>118.936785</v>
      </c>
    </row>
    <row r="20" spans="1:12" ht="15.75">
      <c r="B20" s="23" t="s">
        <v>76</v>
      </c>
      <c r="C20" s="31"/>
      <c r="D20" s="31"/>
      <c r="E20" s="31"/>
      <c r="F20" s="31"/>
      <c r="G20" s="31"/>
      <c r="H20" s="31"/>
      <c r="I20" s="32"/>
      <c r="J20" s="31"/>
      <c r="K20" s="31"/>
      <c r="L20" s="22"/>
    </row>
    <row r="21" spans="1:12">
      <c r="B21" s="24" t="s">
        <v>23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2">
        <v>0</v>
      </c>
      <c r="J21" s="31">
        <v>8.0281649999999996</v>
      </c>
      <c r="K21" s="31">
        <v>21.074756000000001</v>
      </c>
      <c r="L21" s="22">
        <v>5.9506790000000001</v>
      </c>
    </row>
    <row r="22" spans="1:12" ht="15.75">
      <c r="B22" s="23" t="s">
        <v>77</v>
      </c>
      <c r="C22" s="31"/>
      <c r="D22" s="31"/>
      <c r="E22" s="31"/>
      <c r="F22" s="31"/>
      <c r="G22" s="31"/>
      <c r="H22" s="31"/>
      <c r="I22" s="32"/>
      <c r="J22" s="31"/>
      <c r="K22" s="31"/>
      <c r="L22" s="22"/>
    </row>
    <row r="23" spans="1:12">
      <c r="B23" s="24" t="s">
        <v>78</v>
      </c>
      <c r="C23" s="31">
        <v>0</v>
      </c>
      <c r="D23" s="31">
        <v>0</v>
      </c>
      <c r="E23" s="31">
        <v>135.414344</v>
      </c>
      <c r="F23" s="31">
        <v>0</v>
      </c>
      <c r="G23" s="31">
        <v>0</v>
      </c>
      <c r="H23" s="31">
        <v>0</v>
      </c>
      <c r="I23" s="32">
        <v>0</v>
      </c>
      <c r="J23" s="31">
        <v>0</v>
      </c>
      <c r="K23" s="31">
        <v>0</v>
      </c>
      <c r="L23" s="22">
        <v>0</v>
      </c>
    </row>
    <row r="24" spans="1:12">
      <c r="B24" s="24" t="s">
        <v>79</v>
      </c>
      <c r="C24" s="31">
        <v>0</v>
      </c>
      <c r="D24" s="31">
        <v>590.45759999999996</v>
      </c>
      <c r="E24" s="31">
        <v>51.255000000000003</v>
      </c>
      <c r="F24" s="31">
        <v>0</v>
      </c>
      <c r="G24" s="31">
        <v>0</v>
      </c>
      <c r="H24" s="31">
        <v>0</v>
      </c>
      <c r="I24" s="32">
        <v>0</v>
      </c>
      <c r="J24" s="31">
        <v>0</v>
      </c>
      <c r="K24" s="31">
        <v>0</v>
      </c>
      <c r="L24" s="22">
        <v>0</v>
      </c>
    </row>
    <row r="25" spans="1:12">
      <c r="B25" s="24" t="s">
        <v>15</v>
      </c>
      <c r="C25" s="31">
        <v>0</v>
      </c>
      <c r="D25" s="31">
        <v>1846.2383830000001</v>
      </c>
      <c r="E25" s="31">
        <v>781.45422699999995</v>
      </c>
      <c r="F25" s="31">
        <v>0</v>
      </c>
      <c r="G25" s="31">
        <v>0</v>
      </c>
      <c r="H25" s="31">
        <v>0</v>
      </c>
      <c r="I25" s="32">
        <v>0</v>
      </c>
      <c r="J25" s="31">
        <v>0</v>
      </c>
      <c r="K25" s="31">
        <v>0</v>
      </c>
      <c r="L25" s="22">
        <v>0</v>
      </c>
    </row>
    <row r="26" spans="1:12" ht="15.75">
      <c r="B26" s="23" t="s">
        <v>80</v>
      </c>
      <c r="C26" s="31"/>
      <c r="D26" s="31"/>
      <c r="E26" s="31"/>
      <c r="F26" s="31"/>
      <c r="G26" s="31"/>
      <c r="H26" s="31"/>
      <c r="I26" s="32"/>
      <c r="J26" s="31"/>
      <c r="K26" s="31"/>
      <c r="L26" s="22"/>
    </row>
    <row r="27" spans="1:12">
      <c r="B27" s="24" t="s">
        <v>23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2">
        <v>0</v>
      </c>
      <c r="J27" s="31">
        <v>4.2854190000000001</v>
      </c>
      <c r="K27" s="31">
        <v>7.3424459999999998</v>
      </c>
      <c r="L27" s="22">
        <v>0</v>
      </c>
    </row>
    <row r="28" spans="1:12" ht="15.75">
      <c r="B28" s="23" t="s">
        <v>81</v>
      </c>
      <c r="C28" s="31"/>
      <c r="D28" s="31"/>
      <c r="E28" s="31"/>
      <c r="F28" s="31"/>
      <c r="G28" s="31"/>
      <c r="H28" s="31"/>
      <c r="I28" s="32"/>
      <c r="J28" s="31"/>
      <c r="K28" s="31"/>
      <c r="L28" s="22"/>
    </row>
    <row r="29" spans="1:12">
      <c r="B29" s="24" t="s">
        <v>78</v>
      </c>
      <c r="C29" s="31">
        <v>269.30672299999998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>
        <v>0</v>
      </c>
      <c r="J29" s="31">
        <v>0</v>
      </c>
      <c r="K29" s="31">
        <v>0</v>
      </c>
      <c r="L29" s="22">
        <v>0</v>
      </c>
    </row>
    <row r="30" spans="1:12">
      <c r="B30" s="24" t="s">
        <v>79</v>
      </c>
      <c r="C30" s="31">
        <v>154.44839999999999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2">
        <v>0</v>
      </c>
      <c r="J30" s="31">
        <v>0</v>
      </c>
      <c r="K30" s="31">
        <v>0</v>
      </c>
      <c r="L30" s="22">
        <v>0</v>
      </c>
    </row>
    <row r="31" spans="1:12">
      <c r="B31" s="24" t="s">
        <v>15</v>
      </c>
      <c r="C31" s="31">
        <v>636.04014400000005</v>
      </c>
      <c r="D31" s="31">
        <v>0</v>
      </c>
      <c r="E31" s="31">
        <v>0</v>
      </c>
      <c r="F31" s="31">
        <v>206.52477999999999</v>
      </c>
      <c r="G31" s="31">
        <v>593.27833299999998</v>
      </c>
      <c r="H31" s="31">
        <v>0</v>
      </c>
      <c r="I31" s="32">
        <v>0</v>
      </c>
      <c r="J31" s="31">
        <v>0</v>
      </c>
      <c r="K31" s="31">
        <v>0</v>
      </c>
      <c r="L31" s="22">
        <v>0</v>
      </c>
    </row>
    <row r="32" spans="1:12" ht="15.75">
      <c r="A32" s="3" t="s">
        <v>47</v>
      </c>
      <c r="B32" s="23" t="s">
        <v>11</v>
      </c>
      <c r="C32" s="31"/>
      <c r="D32" s="31"/>
      <c r="E32" s="31"/>
      <c r="F32" s="31"/>
      <c r="G32" s="31"/>
      <c r="H32" s="31"/>
      <c r="I32" s="32"/>
      <c r="J32" s="31"/>
      <c r="K32" s="31"/>
      <c r="L32" s="22"/>
    </row>
    <row r="33" spans="1:12">
      <c r="B33" s="24" t="s">
        <v>29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>
        <v>0</v>
      </c>
      <c r="J33" s="31">
        <v>5.3728899999999999</v>
      </c>
      <c r="K33" s="31">
        <v>7.046036</v>
      </c>
      <c r="L33" s="22">
        <v>0.42</v>
      </c>
    </row>
    <row r="34" spans="1:12" ht="15.75">
      <c r="B34" s="23" t="s">
        <v>82</v>
      </c>
      <c r="C34" s="31"/>
      <c r="D34" s="31"/>
      <c r="E34" s="31"/>
      <c r="F34" s="31"/>
      <c r="G34" s="31"/>
      <c r="H34" s="31"/>
      <c r="I34" s="32"/>
      <c r="J34" s="31"/>
      <c r="K34" s="31"/>
      <c r="L34" s="22"/>
    </row>
    <row r="35" spans="1:12">
      <c r="A35" s="3" t="s">
        <v>39</v>
      </c>
      <c r="B35" s="24" t="s">
        <v>73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2">
        <v>331.41396200000003</v>
      </c>
      <c r="J35" s="31">
        <v>158.48566400000001</v>
      </c>
      <c r="K35" s="31">
        <v>204.58107200000001</v>
      </c>
      <c r="L35" s="22">
        <v>0</v>
      </c>
    </row>
    <row r="36" spans="1:12" ht="15.75">
      <c r="A36" s="3" t="s">
        <v>55</v>
      </c>
      <c r="B36" s="23" t="s">
        <v>83</v>
      </c>
      <c r="C36" s="31"/>
      <c r="D36" s="31"/>
      <c r="E36" s="31"/>
      <c r="F36" s="31"/>
      <c r="G36" s="31"/>
      <c r="H36" s="31"/>
      <c r="I36" s="32"/>
      <c r="J36" s="31"/>
      <c r="K36" s="31"/>
      <c r="L36" s="22"/>
    </row>
    <row r="37" spans="1:12">
      <c r="A37" s="3" t="s">
        <v>48</v>
      </c>
      <c r="B37" s="24" t="s">
        <v>32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>
        <v>0</v>
      </c>
      <c r="J37" s="31">
        <v>41.631999999999998</v>
      </c>
      <c r="K37" s="31">
        <v>13.2</v>
      </c>
      <c r="L37" s="22">
        <v>0</v>
      </c>
    </row>
    <row r="38" spans="1:12">
      <c r="B38" s="24" t="s">
        <v>84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>
        <v>24.197914000000001</v>
      </c>
      <c r="J38" s="31">
        <v>59.989573999999998</v>
      </c>
      <c r="K38" s="31">
        <v>42.196904000000004</v>
      </c>
      <c r="L38" s="22">
        <v>17.347365</v>
      </c>
    </row>
    <row r="39" spans="1:12">
      <c r="A39" s="3" t="s">
        <v>49</v>
      </c>
      <c r="B39" s="24" t="s">
        <v>25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>
        <v>0</v>
      </c>
      <c r="J39" s="31">
        <v>54.192318</v>
      </c>
      <c r="K39" s="31">
        <v>102.994192</v>
      </c>
      <c r="L39" s="22">
        <v>95.957228999999998</v>
      </c>
    </row>
    <row r="40" spans="1:12">
      <c r="B40" s="24" t="s">
        <v>85</v>
      </c>
      <c r="C40" s="31">
        <v>0</v>
      </c>
      <c r="D40" s="31">
        <v>16.104220999999999</v>
      </c>
      <c r="E40" s="31">
        <v>34.838484000000001</v>
      </c>
      <c r="F40" s="31">
        <v>2.684037</v>
      </c>
      <c r="G40" s="31">
        <v>0</v>
      </c>
      <c r="H40" s="31">
        <v>0</v>
      </c>
      <c r="I40" s="32">
        <v>0</v>
      </c>
      <c r="J40" s="31">
        <v>8.1237589999999997</v>
      </c>
      <c r="K40" s="31">
        <v>17.543388</v>
      </c>
      <c r="L40" s="22">
        <v>0</v>
      </c>
    </row>
    <row r="41" spans="1:12">
      <c r="A41" s="3" t="s">
        <v>50</v>
      </c>
      <c r="B41" s="24" t="s">
        <v>86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2">
        <v>3.7672509999999999</v>
      </c>
      <c r="J41" s="31">
        <v>0</v>
      </c>
      <c r="K41" s="31">
        <v>0</v>
      </c>
      <c r="L41" s="22">
        <v>0</v>
      </c>
    </row>
    <row r="42" spans="1:12">
      <c r="A42" s="3" t="s">
        <v>51</v>
      </c>
      <c r="B42" s="24" t="s">
        <v>37</v>
      </c>
      <c r="C42" s="31">
        <v>12.935041999999999</v>
      </c>
      <c r="D42" s="31">
        <v>0</v>
      </c>
      <c r="E42" s="31">
        <v>43.711471000000003</v>
      </c>
      <c r="F42" s="31">
        <v>54.219940999999999</v>
      </c>
      <c r="G42" s="31">
        <v>16.216663</v>
      </c>
      <c r="H42" s="31">
        <v>49.690517999999997</v>
      </c>
      <c r="I42" s="32">
        <v>116.29522</v>
      </c>
      <c r="J42" s="31">
        <v>17.509719</v>
      </c>
      <c r="K42" s="31">
        <v>77.889611000000002</v>
      </c>
      <c r="L42" s="22">
        <v>12.977892000000001</v>
      </c>
    </row>
    <row r="43" spans="1:12" ht="15.75">
      <c r="B43" s="23" t="s">
        <v>87</v>
      </c>
      <c r="C43" s="31"/>
      <c r="D43" s="31"/>
      <c r="E43" s="31"/>
      <c r="F43" s="31"/>
      <c r="G43" s="31"/>
      <c r="H43" s="31"/>
      <c r="I43" s="32"/>
      <c r="J43" s="31"/>
      <c r="K43" s="31"/>
      <c r="L43" s="22"/>
    </row>
    <row r="44" spans="1:12">
      <c r="A44" s="3" t="s">
        <v>52</v>
      </c>
      <c r="B44" s="24" t="s">
        <v>88</v>
      </c>
      <c r="C44" s="31">
        <v>0</v>
      </c>
      <c r="D44" s="31">
        <v>4.9912720000000004</v>
      </c>
      <c r="E44" s="31">
        <v>0</v>
      </c>
      <c r="F44" s="31">
        <v>0</v>
      </c>
      <c r="G44" s="31">
        <v>0</v>
      </c>
      <c r="H44" s="31">
        <v>0</v>
      </c>
      <c r="I44" s="32">
        <v>0</v>
      </c>
      <c r="J44" s="31">
        <v>0</v>
      </c>
      <c r="K44" s="31">
        <v>0</v>
      </c>
      <c r="L44" s="22">
        <v>0</v>
      </c>
    </row>
    <row r="45" spans="1:12">
      <c r="B45" s="24" t="s">
        <v>89</v>
      </c>
      <c r="C45" s="31">
        <v>0</v>
      </c>
      <c r="D45" s="31">
        <v>1.2749999999999999</v>
      </c>
      <c r="E45" s="31">
        <v>0</v>
      </c>
      <c r="F45" s="31">
        <v>0</v>
      </c>
      <c r="G45" s="31">
        <v>0</v>
      </c>
      <c r="H45" s="31">
        <v>0</v>
      </c>
      <c r="I45" s="32">
        <v>0</v>
      </c>
      <c r="J45" s="31">
        <v>0</v>
      </c>
      <c r="K45" s="31">
        <v>0</v>
      </c>
      <c r="L45" s="22">
        <v>0</v>
      </c>
    </row>
    <row r="46" spans="1:12" ht="15.75">
      <c r="A46" s="3" t="s">
        <v>53</v>
      </c>
      <c r="B46" s="23" t="s">
        <v>90</v>
      </c>
      <c r="C46" s="31"/>
      <c r="D46" s="31"/>
      <c r="E46" s="31"/>
      <c r="F46" s="31"/>
      <c r="G46" s="31"/>
      <c r="H46" s="31"/>
      <c r="I46" s="32"/>
      <c r="J46" s="31"/>
      <c r="K46" s="31"/>
      <c r="L46" s="22"/>
    </row>
    <row r="47" spans="1:12">
      <c r="A47" s="3" t="s">
        <v>54</v>
      </c>
      <c r="B47" s="24" t="s">
        <v>91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2">
        <v>738.03967699999998</v>
      </c>
      <c r="J47" s="31">
        <v>174.803101</v>
      </c>
      <c r="K47" s="31">
        <v>183.166606</v>
      </c>
      <c r="L47" s="22">
        <v>560.58054000000004</v>
      </c>
    </row>
    <row r="48" spans="1:12">
      <c r="B48" s="24" t="s">
        <v>92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213.23795799999999</v>
      </c>
      <c r="I48" s="32">
        <v>326.51793099999998</v>
      </c>
      <c r="J48" s="31">
        <v>174.037386</v>
      </c>
      <c r="K48" s="31">
        <v>182.36425399999999</v>
      </c>
      <c r="L48" s="22">
        <v>558.12494700000002</v>
      </c>
    </row>
    <row r="49" spans="1:12">
      <c r="B49" s="24" t="s">
        <v>93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2">
        <v>0</v>
      </c>
      <c r="J49" s="31">
        <v>4.6646E-2</v>
      </c>
      <c r="K49" s="31">
        <v>10.1</v>
      </c>
      <c r="L49" s="22">
        <v>4.6645500000000002</v>
      </c>
    </row>
    <row r="50" spans="1:12">
      <c r="B50" s="24" t="s">
        <v>94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>
        <v>0</v>
      </c>
      <c r="J50" s="31">
        <v>36.513044000000001</v>
      </c>
      <c r="K50" s="31">
        <v>10.130000000000001</v>
      </c>
      <c r="L50" s="22">
        <v>34.772100000000002</v>
      </c>
    </row>
    <row r="51" spans="1:12">
      <c r="B51" s="24" t="s">
        <v>95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2">
        <v>0</v>
      </c>
      <c r="J51" s="31">
        <v>4.9003230000000002</v>
      </c>
      <c r="K51" s="31">
        <v>9.1412940000000003</v>
      </c>
      <c r="L51" s="22">
        <v>13.343781999999999</v>
      </c>
    </row>
    <row r="52" spans="1:12">
      <c r="B52" s="24" t="s">
        <v>96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2">
        <v>0</v>
      </c>
      <c r="J52" s="31">
        <v>4.9003230000000002</v>
      </c>
      <c r="K52" s="31">
        <v>9.1412940000000003</v>
      </c>
      <c r="L52" s="22">
        <v>13.343781999999999</v>
      </c>
    </row>
    <row r="53" spans="1:12">
      <c r="B53" s="24" t="s">
        <v>97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>
        <v>0</v>
      </c>
      <c r="J53" s="31">
        <v>1.1067</v>
      </c>
      <c r="K53" s="31">
        <v>7.0120509999999996</v>
      </c>
      <c r="L53" s="22">
        <v>0</v>
      </c>
    </row>
    <row r="54" spans="1:12">
      <c r="B54" s="24" t="s">
        <v>98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2">
        <v>0</v>
      </c>
      <c r="J54" s="31">
        <v>21.130234000000002</v>
      </c>
      <c r="K54" s="31">
        <v>4.4258240000000004</v>
      </c>
      <c r="L54" s="22">
        <v>2.1343670000000001</v>
      </c>
    </row>
    <row r="55" spans="1:12">
      <c r="B55" s="24" t="s">
        <v>99</v>
      </c>
      <c r="C55" s="31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2">
        <v>16.792096999999998</v>
      </c>
      <c r="J55" s="31">
        <v>0</v>
      </c>
      <c r="K55" s="31">
        <v>0</v>
      </c>
      <c r="L55" s="22">
        <v>0</v>
      </c>
    </row>
    <row r="56" spans="1:12">
      <c r="B56" s="24" t="s">
        <v>8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>
        <v>0</v>
      </c>
      <c r="J56" s="31">
        <v>4.9003230000000002</v>
      </c>
      <c r="K56" s="31">
        <v>9.1412940000000003</v>
      </c>
      <c r="L56" s="22">
        <v>13.343781999999999</v>
      </c>
    </row>
    <row r="57" spans="1:12">
      <c r="B57" s="24" t="s">
        <v>100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2">
        <v>0</v>
      </c>
      <c r="J57" s="31">
        <v>5.9003230000000002</v>
      </c>
      <c r="K57" s="31">
        <v>9.1412940000000003</v>
      </c>
      <c r="L57" s="22">
        <v>13.343781999999999</v>
      </c>
    </row>
    <row r="58" spans="1:12">
      <c r="B58" s="24" t="s">
        <v>101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2">
        <v>0</v>
      </c>
      <c r="J58" s="31">
        <v>4.9003230000000002</v>
      </c>
      <c r="K58" s="31">
        <v>9.1412940000000003</v>
      </c>
      <c r="L58" s="22">
        <v>13.343781999999999</v>
      </c>
    </row>
    <row r="59" spans="1:12">
      <c r="A59" s="3" t="s">
        <v>66</v>
      </c>
      <c r="B59" s="24" t="s">
        <v>102</v>
      </c>
      <c r="C59" s="31">
        <v>0</v>
      </c>
      <c r="D59" s="31">
        <v>0</v>
      </c>
      <c r="E59" s="31">
        <v>0</v>
      </c>
      <c r="F59" s="31">
        <v>0</v>
      </c>
      <c r="G59" s="31">
        <v>0</v>
      </c>
      <c r="H59" s="31">
        <v>0</v>
      </c>
      <c r="I59" s="32">
        <v>0</v>
      </c>
      <c r="J59" s="31">
        <v>1.7170000000000001</v>
      </c>
      <c r="K59" s="31">
        <v>2.7924479999999998</v>
      </c>
      <c r="L59" s="22">
        <v>0</v>
      </c>
    </row>
    <row r="60" spans="1:12">
      <c r="A60" s="3" t="s">
        <v>67</v>
      </c>
      <c r="B60" s="24" t="s">
        <v>103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>
        <v>0</v>
      </c>
      <c r="J60" s="31">
        <v>4.9003230000000002</v>
      </c>
      <c r="K60" s="31">
        <v>9.1412940000000003</v>
      </c>
      <c r="L60" s="22">
        <v>13.343781999999999</v>
      </c>
    </row>
    <row r="61" spans="1:12">
      <c r="B61" s="24" t="s">
        <v>104</v>
      </c>
      <c r="C61" s="31">
        <v>0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2">
        <v>0</v>
      </c>
      <c r="J61" s="31">
        <v>1.950162</v>
      </c>
      <c r="K61" s="31">
        <v>7.5127449999999998</v>
      </c>
      <c r="L61" s="22">
        <v>13.343781999999999</v>
      </c>
    </row>
    <row r="62" spans="1:12">
      <c r="B62" s="24" t="s">
        <v>105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2">
        <v>0.60285100000000003</v>
      </c>
      <c r="J62" s="31">
        <v>105.21418199999999</v>
      </c>
      <c r="K62" s="31">
        <v>105.72581700000001</v>
      </c>
      <c r="L62" s="22">
        <v>87.751165999999998</v>
      </c>
    </row>
    <row r="63" spans="1:12">
      <c r="B63" s="24" t="s">
        <v>106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2">
        <v>53.310357000000003</v>
      </c>
      <c r="J63" s="31">
        <v>0</v>
      </c>
      <c r="K63" s="31">
        <v>0</v>
      </c>
      <c r="L63" s="22">
        <v>0</v>
      </c>
    </row>
    <row r="64" spans="1:12">
      <c r="B64" s="24" t="s">
        <v>10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1546.92904</v>
      </c>
      <c r="I64" s="32">
        <v>715.57538399999999</v>
      </c>
      <c r="J64" s="31">
        <v>725.938849</v>
      </c>
      <c r="K64" s="31">
        <v>361.57844399999999</v>
      </c>
      <c r="L64" s="22">
        <v>600.33120899999994</v>
      </c>
    </row>
    <row r="65" spans="1:12">
      <c r="B65" s="24" t="s">
        <v>28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>
        <v>0</v>
      </c>
      <c r="J65" s="31">
        <v>4.3947000000000003</v>
      </c>
      <c r="K65" s="31">
        <v>2.187084</v>
      </c>
      <c r="L65" s="22">
        <v>2.262521</v>
      </c>
    </row>
    <row r="66" spans="1:12">
      <c r="B66" s="24" t="s">
        <v>107</v>
      </c>
      <c r="C66" s="31">
        <v>0</v>
      </c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>
        <v>0</v>
      </c>
      <c r="J66" s="31">
        <v>526.12046799999996</v>
      </c>
      <c r="K66" s="31">
        <v>679.14211499999999</v>
      </c>
      <c r="L66" s="22">
        <v>95.881461000000002</v>
      </c>
    </row>
    <row r="67" spans="1:12">
      <c r="B67" s="24" t="s">
        <v>108</v>
      </c>
      <c r="C67" s="31">
        <v>0</v>
      </c>
      <c r="D67" s="31">
        <v>0</v>
      </c>
      <c r="E67" s="31">
        <v>0</v>
      </c>
      <c r="F67" s="31">
        <v>1.6268899999999999</v>
      </c>
      <c r="G67" s="31">
        <v>367.65664600000002</v>
      </c>
      <c r="H67" s="31">
        <v>366.38342699999998</v>
      </c>
      <c r="I67" s="32">
        <v>581.59780899999998</v>
      </c>
      <c r="J67" s="31">
        <v>233.685258</v>
      </c>
      <c r="K67" s="31">
        <v>244.865996</v>
      </c>
      <c r="L67" s="22">
        <v>749.41123900000002</v>
      </c>
    </row>
    <row r="68" spans="1:12">
      <c r="B68" s="24" t="s">
        <v>109</v>
      </c>
      <c r="C68" s="31">
        <v>0</v>
      </c>
      <c r="D68" s="31">
        <v>0</v>
      </c>
      <c r="E68" s="31">
        <v>0</v>
      </c>
      <c r="F68" s="31">
        <v>0</v>
      </c>
      <c r="G68" s="31">
        <v>0</v>
      </c>
      <c r="H68" s="31">
        <v>0</v>
      </c>
      <c r="I68" s="32">
        <v>459.32983899999999</v>
      </c>
      <c r="J68" s="31">
        <v>287.70041600000002</v>
      </c>
      <c r="K68" s="31">
        <v>301.46552400000002</v>
      </c>
      <c r="L68" s="22">
        <v>922.63382799999999</v>
      </c>
    </row>
    <row r="69" spans="1:12">
      <c r="B69" s="24" t="s">
        <v>9</v>
      </c>
      <c r="C69" s="31">
        <v>0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2">
        <v>93.924519000000004</v>
      </c>
      <c r="J69" s="31">
        <v>63.365290999999999</v>
      </c>
      <c r="K69" s="31">
        <v>79.676424999999995</v>
      </c>
      <c r="L69" s="22">
        <v>203.207773</v>
      </c>
    </row>
    <row r="70" spans="1:12" ht="15.75">
      <c r="B70" s="23" t="s">
        <v>110</v>
      </c>
      <c r="C70" s="31"/>
      <c r="D70" s="31"/>
      <c r="E70" s="31"/>
      <c r="F70" s="31"/>
      <c r="G70" s="31"/>
      <c r="H70" s="31"/>
      <c r="I70" s="32"/>
      <c r="J70" s="31"/>
      <c r="K70" s="31"/>
      <c r="L70" s="22"/>
    </row>
    <row r="71" spans="1:12">
      <c r="B71" s="24" t="s">
        <v>111</v>
      </c>
      <c r="C71" s="31">
        <v>1150.621112</v>
      </c>
      <c r="D71" s="31">
        <v>50.546923</v>
      </c>
      <c r="E71" s="31">
        <v>0</v>
      </c>
      <c r="F71" s="31">
        <v>59.121913999999997</v>
      </c>
      <c r="G71" s="31">
        <v>0</v>
      </c>
      <c r="H71" s="31">
        <v>0</v>
      </c>
      <c r="I71" s="32">
        <v>0</v>
      </c>
      <c r="J71" s="31">
        <v>0</v>
      </c>
      <c r="K71" s="31">
        <v>0</v>
      </c>
      <c r="L71" s="22">
        <v>0</v>
      </c>
    </row>
    <row r="72" spans="1:12">
      <c r="B72" s="24" t="s">
        <v>112</v>
      </c>
      <c r="C72" s="31">
        <v>0</v>
      </c>
      <c r="D72" s="31">
        <v>0</v>
      </c>
      <c r="E72" s="31">
        <v>0</v>
      </c>
      <c r="F72" s="31">
        <v>0</v>
      </c>
      <c r="G72" s="31">
        <v>-1.5105E-2</v>
      </c>
      <c r="H72" s="31">
        <v>0</v>
      </c>
      <c r="I72" s="32">
        <v>0</v>
      </c>
      <c r="J72" s="31">
        <v>0</v>
      </c>
      <c r="K72" s="31">
        <v>0</v>
      </c>
      <c r="L72" s="22">
        <v>0</v>
      </c>
    </row>
    <row r="73" spans="1:12">
      <c r="B73" s="24" t="s">
        <v>113</v>
      </c>
      <c r="C73" s="31">
        <v>0</v>
      </c>
      <c r="D73" s="31">
        <v>660.80622900000003</v>
      </c>
      <c r="E73" s="31">
        <v>0</v>
      </c>
      <c r="F73" s="31">
        <v>0</v>
      </c>
      <c r="G73" s="31">
        <v>0</v>
      </c>
      <c r="H73" s="31">
        <v>0</v>
      </c>
      <c r="I73" s="32">
        <v>0</v>
      </c>
      <c r="J73" s="31">
        <v>0</v>
      </c>
      <c r="K73" s="31">
        <v>0</v>
      </c>
      <c r="L73" s="22">
        <v>0</v>
      </c>
    </row>
    <row r="74" spans="1:12">
      <c r="B74" s="24" t="s">
        <v>114</v>
      </c>
      <c r="C74" s="31">
        <v>0</v>
      </c>
      <c r="D74" s="31">
        <v>0</v>
      </c>
      <c r="E74" s="31">
        <v>67.640708000000004</v>
      </c>
      <c r="F74" s="31">
        <v>63.330182999999998</v>
      </c>
      <c r="G74" s="31">
        <v>58.157631000000002</v>
      </c>
      <c r="H74" s="31">
        <v>0</v>
      </c>
      <c r="I74" s="32">
        <v>0</v>
      </c>
      <c r="J74" s="31">
        <v>0</v>
      </c>
      <c r="K74" s="31">
        <v>0</v>
      </c>
      <c r="L74" s="22">
        <v>0</v>
      </c>
    </row>
    <row r="75" spans="1:12" ht="15.75">
      <c r="A75" s="3" t="s">
        <v>64</v>
      </c>
      <c r="B75" s="23" t="s">
        <v>115</v>
      </c>
      <c r="C75" s="31"/>
      <c r="D75" s="31"/>
      <c r="E75" s="31"/>
      <c r="F75" s="31"/>
      <c r="G75" s="31"/>
      <c r="H75" s="31"/>
      <c r="I75" s="32"/>
      <c r="J75" s="31"/>
      <c r="K75" s="31"/>
      <c r="L75" s="22"/>
    </row>
    <row r="76" spans="1:12">
      <c r="B76" s="24" t="s">
        <v>27</v>
      </c>
      <c r="C76" s="31">
        <v>0</v>
      </c>
      <c r="D76" s="31">
        <v>0</v>
      </c>
      <c r="E76" s="31">
        <v>0</v>
      </c>
      <c r="F76" s="31">
        <v>0</v>
      </c>
      <c r="G76" s="31">
        <v>0</v>
      </c>
      <c r="H76" s="31">
        <v>0</v>
      </c>
      <c r="I76" s="32">
        <v>317.97738600000002</v>
      </c>
      <c r="J76" s="31">
        <v>253.85747499999999</v>
      </c>
      <c r="K76" s="31">
        <v>85.935646000000006</v>
      </c>
      <c r="L76" s="22">
        <v>3.1828020000000001</v>
      </c>
    </row>
    <row r="77" spans="1:12">
      <c r="B77" s="24" t="s">
        <v>107</v>
      </c>
      <c r="C77" s="31">
        <v>0</v>
      </c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>
        <v>622.78843500000005</v>
      </c>
      <c r="J77" s="31">
        <v>0</v>
      </c>
      <c r="K77" s="31">
        <v>0</v>
      </c>
      <c r="L77" s="22">
        <v>0</v>
      </c>
    </row>
    <row r="78" spans="1:12" ht="15.75">
      <c r="B78" s="23" t="s">
        <v>116</v>
      </c>
      <c r="C78" s="31"/>
      <c r="D78" s="31"/>
      <c r="E78" s="31"/>
      <c r="F78" s="31"/>
      <c r="G78" s="31"/>
      <c r="H78" s="31"/>
      <c r="I78" s="32"/>
      <c r="J78" s="31"/>
      <c r="K78" s="31"/>
      <c r="L78" s="22"/>
    </row>
    <row r="79" spans="1:12">
      <c r="B79" s="24" t="s">
        <v>23</v>
      </c>
      <c r="C79" s="31">
        <v>0</v>
      </c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>
        <v>15.521547</v>
      </c>
      <c r="J79" s="31">
        <v>41.709946000000002</v>
      </c>
      <c r="K79" s="31">
        <v>52.881931000000002</v>
      </c>
      <c r="L79" s="22">
        <v>2.2798060000000002</v>
      </c>
    </row>
    <row r="80" spans="1:12">
      <c r="B80" s="24" t="s">
        <v>33</v>
      </c>
      <c r="C80" s="31">
        <v>0</v>
      </c>
      <c r="D80" s="31">
        <v>0</v>
      </c>
      <c r="E80" s="31">
        <v>0</v>
      </c>
      <c r="F80" s="31">
        <v>7.322864</v>
      </c>
      <c r="G80" s="31">
        <v>0</v>
      </c>
      <c r="H80" s="31">
        <v>0</v>
      </c>
      <c r="I80" s="32">
        <v>15.28206</v>
      </c>
      <c r="J80" s="31">
        <v>0</v>
      </c>
      <c r="K80" s="31">
        <v>0</v>
      </c>
      <c r="L80" s="22">
        <v>0</v>
      </c>
    </row>
    <row r="81" spans="1:12">
      <c r="B81" s="24" t="s">
        <v>117</v>
      </c>
      <c r="C81" s="31">
        <v>0</v>
      </c>
      <c r="D81" s="31">
        <v>0</v>
      </c>
      <c r="E81" s="31">
        <v>0.416047</v>
      </c>
      <c r="F81" s="31">
        <v>2.7649680000000001</v>
      </c>
      <c r="G81" s="31">
        <v>0</v>
      </c>
      <c r="H81" s="31">
        <v>0</v>
      </c>
      <c r="I81" s="32">
        <v>5.3553569999999997</v>
      </c>
      <c r="J81" s="31">
        <v>21.929435000000002</v>
      </c>
      <c r="K81" s="31">
        <v>55.595821999999998</v>
      </c>
      <c r="L81" s="22">
        <v>0</v>
      </c>
    </row>
    <row r="82" spans="1:12">
      <c r="B82" s="24" t="s">
        <v>34</v>
      </c>
      <c r="C82" s="31">
        <v>0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>
        <v>17.718834999999999</v>
      </c>
      <c r="J82" s="31">
        <v>15.3</v>
      </c>
      <c r="K82" s="31">
        <v>28.4</v>
      </c>
      <c r="L82" s="22">
        <v>45.6</v>
      </c>
    </row>
    <row r="83" spans="1:12">
      <c r="A83" s="3" t="s">
        <v>63</v>
      </c>
      <c r="B83" s="24" t="s">
        <v>30</v>
      </c>
      <c r="C83" s="31">
        <v>0</v>
      </c>
      <c r="D83" s="31">
        <v>0</v>
      </c>
      <c r="E83" s="31">
        <v>0</v>
      </c>
      <c r="F83" s="31">
        <v>1.730461</v>
      </c>
      <c r="G83" s="31">
        <v>5.8313949999999997</v>
      </c>
      <c r="H83" s="31">
        <v>7.7871629999999996</v>
      </c>
      <c r="I83" s="32">
        <v>0</v>
      </c>
      <c r="J83" s="31">
        <v>0</v>
      </c>
      <c r="K83" s="31">
        <v>0</v>
      </c>
      <c r="L83" s="22">
        <v>0</v>
      </c>
    </row>
    <row r="84" spans="1:12" ht="15.75">
      <c r="A84" s="3" t="s">
        <v>60</v>
      </c>
      <c r="B84" s="23" t="s">
        <v>118</v>
      </c>
      <c r="C84" s="31"/>
      <c r="D84" s="31"/>
      <c r="E84" s="31"/>
      <c r="F84" s="31"/>
      <c r="G84" s="31"/>
      <c r="H84" s="31"/>
      <c r="I84" s="32"/>
      <c r="J84" s="31"/>
      <c r="K84" s="31"/>
      <c r="L84" s="22"/>
    </row>
    <row r="85" spans="1:12">
      <c r="A85" s="3" t="s">
        <v>61</v>
      </c>
      <c r="B85" s="24" t="s">
        <v>119</v>
      </c>
      <c r="C85" s="31">
        <v>3.875683</v>
      </c>
      <c r="D85" s="31">
        <v>4.0679610000000004</v>
      </c>
      <c r="E85" s="31">
        <v>0</v>
      </c>
      <c r="F85" s="31">
        <v>0</v>
      </c>
      <c r="G85" s="31">
        <v>0</v>
      </c>
      <c r="H85" s="31">
        <v>0</v>
      </c>
      <c r="I85" s="32">
        <v>0</v>
      </c>
      <c r="J85" s="31">
        <v>0</v>
      </c>
      <c r="K85" s="31">
        <v>0</v>
      </c>
      <c r="L85" s="22">
        <v>0</v>
      </c>
    </row>
    <row r="86" spans="1:12">
      <c r="B86" s="24" t="s">
        <v>24</v>
      </c>
      <c r="C86" s="31">
        <v>0</v>
      </c>
      <c r="D86" s="31">
        <v>0</v>
      </c>
      <c r="E86" s="31">
        <v>0</v>
      </c>
      <c r="F86" s="31">
        <v>0</v>
      </c>
      <c r="G86" s="31">
        <v>0.121479</v>
      </c>
      <c r="H86" s="31">
        <v>1.787037</v>
      </c>
      <c r="I86" s="32">
        <v>7.0960760000000001</v>
      </c>
      <c r="J86" s="31">
        <v>4.2488539999999997</v>
      </c>
      <c r="K86" s="31">
        <v>8.128425</v>
      </c>
      <c r="L86" s="22">
        <v>2.1252430000000002</v>
      </c>
    </row>
    <row r="87" spans="1:12" ht="15.75">
      <c r="B87" s="23" t="s">
        <v>120</v>
      </c>
      <c r="C87" s="31"/>
      <c r="D87" s="31"/>
      <c r="E87" s="31"/>
      <c r="F87" s="31"/>
      <c r="G87" s="31"/>
      <c r="H87" s="31"/>
      <c r="I87" s="32"/>
      <c r="J87" s="31"/>
      <c r="K87" s="31"/>
      <c r="L87" s="22"/>
    </row>
    <row r="88" spans="1:12">
      <c r="A88" s="3" t="s">
        <v>65</v>
      </c>
      <c r="B88" s="24" t="s">
        <v>121</v>
      </c>
      <c r="C88" s="31">
        <v>0</v>
      </c>
      <c r="D88" s="31">
        <v>0</v>
      </c>
      <c r="E88" s="31">
        <v>0</v>
      </c>
      <c r="F88" s="31">
        <v>4.9705539999999999</v>
      </c>
      <c r="G88" s="31">
        <v>0</v>
      </c>
      <c r="H88" s="31">
        <v>0</v>
      </c>
      <c r="I88" s="32">
        <v>0</v>
      </c>
      <c r="J88" s="31">
        <v>0</v>
      </c>
      <c r="K88" s="31">
        <v>0</v>
      </c>
      <c r="L88" s="22">
        <v>0</v>
      </c>
    </row>
    <row r="89" spans="1:12">
      <c r="B89" s="24" t="s">
        <v>35</v>
      </c>
      <c r="C89" s="31">
        <v>0</v>
      </c>
      <c r="D89" s="31">
        <v>0</v>
      </c>
      <c r="E89" s="31">
        <v>0</v>
      </c>
      <c r="F89" s="31">
        <v>123.712828</v>
      </c>
      <c r="G89" s="31">
        <v>0</v>
      </c>
      <c r="H89" s="31">
        <v>33.638069999999999</v>
      </c>
      <c r="I89" s="32">
        <v>4.2870540000000004</v>
      </c>
      <c r="J89" s="31">
        <v>0</v>
      </c>
      <c r="K89" s="31">
        <v>0</v>
      </c>
      <c r="L89" s="22">
        <v>0</v>
      </c>
    </row>
    <row r="90" spans="1:12">
      <c r="B90" s="24" t="s">
        <v>122</v>
      </c>
      <c r="C90" s="31">
        <v>0</v>
      </c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>
        <v>0</v>
      </c>
      <c r="J90" s="31">
        <v>21.323256000000001</v>
      </c>
      <c r="K90" s="31">
        <v>30.705489</v>
      </c>
      <c r="L90" s="22">
        <v>9.234</v>
      </c>
    </row>
    <row r="91" spans="1:12">
      <c r="B91" s="24" t="s">
        <v>25</v>
      </c>
      <c r="C91" s="31">
        <v>0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>
        <v>32.741399999999999</v>
      </c>
      <c r="J91" s="31">
        <v>78.902951000000002</v>
      </c>
      <c r="K91" s="31">
        <v>66.600778000000005</v>
      </c>
      <c r="L91" s="22">
        <v>22.816603000000001</v>
      </c>
    </row>
    <row r="92" spans="1:12">
      <c r="B92" s="24" t="s">
        <v>123</v>
      </c>
      <c r="C92" s="31">
        <v>6.7162290000000002</v>
      </c>
      <c r="D92" s="31">
        <v>15.898467</v>
      </c>
      <c r="E92" s="31">
        <v>6.9545130000000004</v>
      </c>
      <c r="F92" s="31">
        <v>1.462035</v>
      </c>
      <c r="G92" s="31">
        <v>0</v>
      </c>
      <c r="H92" s="31">
        <v>0</v>
      </c>
      <c r="I92" s="32">
        <v>0</v>
      </c>
      <c r="J92" s="31">
        <v>0</v>
      </c>
      <c r="K92" s="31">
        <v>0</v>
      </c>
      <c r="L92" s="22">
        <v>0</v>
      </c>
    </row>
    <row r="93" spans="1:12">
      <c r="A93" s="3" t="s">
        <v>62</v>
      </c>
      <c r="B93" s="24" t="s">
        <v>124</v>
      </c>
      <c r="C93" s="31">
        <v>9.6125000000000002E-2</v>
      </c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>
        <v>0</v>
      </c>
      <c r="J93" s="31">
        <v>0</v>
      </c>
      <c r="K93" s="31">
        <v>0</v>
      </c>
      <c r="L93" s="22">
        <v>0</v>
      </c>
    </row>
    <row r="94" spans="1:12">
      <c r="B94" s="24" t="s">
        <v>125</v>
      </c>
      <c r="C94" s="31">
        <v>162.8535</v>
      </c>
      <c r="D94" s="31">
        <v>16.522089999999999</v>
      </c>
      <c r="E94" s="31">
        <v>0</v>
      </c>
      <c r="F94" s="31">
        <v>0</v>
      </c>
      <c r="G94" s="31">
        <v>5.1851019999999997</v>
      </c>
      <c r="H94" s="31">
        <v>0</v>
      </c>
      <c r="I94" s="32">
        <v>0</v>
      </c>
      <c r="J94" s="31">
        <v>0</v>
      </c>
      <c r="K94" s="31">
        <v>0</v>
      </c>
      <c r="L94" s="22">
        <v>0</v>
      </c>
    </row>
    <row r="95" spans="1:12">
      <c r="B95" s="24" t="s">
        <v>7</v>
      </c>
      <c r="C95" s="31">
        <v>0</v>
      </c>
      <c r="D95" s="31">
        <v>0</v>
      </c>
      <c r="E95" s="31">
        <v>0</v>
      </c>
      <c r="F95" s="31">
        <v>0.108</v>
      </c>
      <c r="G95" s="31">
        <v>0</v>
      </c>
      <c r="H95" s="31">
        <v>0</v>
      </c>
      <c r="I95" s="32">
        <v>6.2793700000000001</v>
      </c>
      <c r="J95" s="31">
        <v>0</v>
      </c>
      <c r="K95" s="31">
        <v>9.6621439999999996</v>
      </c>
      <c r="L95" s="22">
        <v>1.247152</v>
      </c>
    </row>
    <row r="96" spans="1:12">
      <c r="B96" s="24" t="s">
        <v>126</v>
      </c>
      <c r="C96" s="31">
        <v>31.231753999999999</v>
      </c>
      <c r="D96" s="31">
        <v>57.478127999999998</v>
      </c>
      <c r="E96" s="31">
        <v>49.273828999999999</v>
      </c>
      <c r="F96" s="31">
        <v>6.6037980000000003</v>
      </c>
      <c r="G96" s="31">
        <v>0</v>
      </c>
      <c r="H96" s="31">
        <v>3.6301899999999998</v>
      </c>
      <c r="I96" s="32">
        <v>22.831292000000001</v>
      </c>
      <c r="J96" s="31">
        <v>0</v>
      </c>
      <c r="K96" s="31">
        <v>0</v>
      </c>
      <c r="L96" s="22">
        <v>0</v>
      </c>
    </row>
    <row r="97" spans="1:12">
      <c r="B97" s="24" t="s">
        <v>31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>
        <v>0.42435400000000001</v>
      </c>
      <c r="J97" s="31">
        <v>22.932161000000001</v>
      </c>
      <c r="K97" s="31">
        <v>23.481380999999999</v>
      </c>
      <c r="L97" s="22">
        <v>0</v>
      </c>
    </row>
    <row r="98" spans="1:12" ht="15.75">
      <c r="B98" s="23" t="s">
        <v>3</v>
      </c>
      <c r="C98" s="31"/>
      <c r="D98" s="31"/>
      <c r="E98" s="31"/>
      <c r="F98" s="31"/>
      <c r="G98" s="31"/>
      <c r="H98" s="31"/>
      <c r="I98" s="32"/>
      <c r="J98" s="31"/>
      <c r="K98" s="31"/>
      <c r="L98" s="22"/>
    </row>
    <row r="99" spans="1:12">
      <c r="B99" s="24" t="s">
        <v>127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30.518169</v>
      </c>
      <c r="I99" s="32">
        <v>28.733594</v>
      </c>
      <c r="J99" s="31">
        <v>39.952171999999997</v>
      </c>
      <c r="K99" s="31">
        <v>19.652163000000002</v>
      </c>
      <c r="L99" s="22">
        <v>28.038575999999999</v>
      </c>
    </row>
    <row r="100" spans="1:12">
      <c r="B100" s="24" t="s">
        <v>17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>
        <v>0</v>
      </c>
      <c r="J100" s="31">
        <v>8.3268000000000004</v>
      </c>
      <c r="K100" s="31">
        <v>18.204125999999999</v>
      </c>
      <c r="L100" s="22">
        <v>9.1171629999999997</v>
      </c>
    </row>
    <row r="101" spans="1:12">
      <c r="B101" s="24" t="s">
        <v>18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>
        <v>0</v>
      </c>
      <c r="J101" s="31">
        <v>6.9163030000000001</v>
      </c>
      <c r="K101" s="31">
        <v>1.3917900000000001</v>
      </c>
      <c r="L101" s="22">
        <v>0</v>
      </c>
    </row>
    <row r="102" spans="1:12">
      <c r="B102" s="24" t="s">
        <v>19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>
        <v>0</v>
      </c>
      <c r="J102" s="31">
        <v>3.5229080000000002</v>
      </c>
      <c r="K102" s="31">
        <v>5.8531760000000004</v>
      </c>
      <c r="L102" s="22">
        <v>1.652706</v>
      </c>
    </row>
    <row r="103" spans="1:12">
      <c r="B103" s="24" t="s">
        <v>20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>
        <v>0</v>
      </c>
      <c r="J103" s="31">
        <v>3.5229080000000002</v>
      </c>
      <c r="K103" s="31">
        <v>5.8531760000000004</v>
      </c>
      <c r="L103" s="22">
        <v>1.652706</v>
      </c>
    </row>
    <row r="104" spans="1:12">
      <c r="B104" s="24" t="s">
        <v>128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>
        <v>0</v>
      </c>
      <c r="J104" s="31">
        <v>3.5229080000000002</v>
      </c>
      <c r="K104" s="31">
        <v>5.8531760000000004</v>
      </c>
      <c r="L104" s="22">
        <v>1.652706</v>
      </c>
    </row>
    <row r="105" spans="1:12">
      <c r="B105" s="24" t="s">
        <v>21</v>
      </c>
      <c r="C105" s="31">
        <v>0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>
        <v>0</v>
      </c>
      <c r="J105" s="31">
        <v>14.365679999999999</v>
      </c>
      <c r="K105" s="31">
        <v>38.880000000000003</v>
      </c>
      <c r="L105" s="22">
        <v>0</v>
      </c>
    </row>
    <row r="106" spans="1:12">
      <c r="B106" s="24" t="s">
        <v>22</v>
      </c>
      <c r="C106" s="31">
        <v>0</v>
      </c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>
        <v>0</v>
      </c>
      <c r="J106" s="31">
        <v>0.51</v>
      </c>
      <c r="K106" s="31">
        <v>0.66095999999999999</v>
      </c>
      <c r="L106" s="22">
        <v>0</v>
      </c>
    </row>
    <row r="107" spans="1:12">
      <c r="B107" s="24" t="s">
        <v>37</v>
      </c>
      <c r="C107" s="31">
        <v>0</v>
      </c>
      <c r="D107" s="31">
        <v>0</v>
      </c>
      <c r="E107" s="31">
        <v>140.253118</v>
      </c>
      <c r="F107" s="31">
        <v>132.047945</v>
      </c>
      <c r="G107" s="31">
        <v>33.160178000000002</v>
      </c>
      <c r="H107" s="31">
        <v>122.457503</v>
      </c>
      <c r="I107" s="32">
        <v>246.573126</v>
      </c>
      <c r="J107" s="31">
        <v>149.15861599999999</v>
      </c>
      <c r="K107" s="31">
        <v>224.96020300000001</v>
      </c>
      <c r="L107" s="22">
        <v>134.597444</v>
      </c>
    </row>
    <row r="108" spans="1:12">
      <c r="B108" s="24" t="s">
        <v>129</v>
      </c>
      <c r="C108" s="31">
        <v>39.221474000000001</v>
      </c>
      <c r="D108" s="31">
        <v>67.146174000000002</v>
      </c>
      <c r="E108" s="31">
        <v>15.022303000000001</v>
      </c>
      <c r="F108" s="31">
        <v>0</v>
      </c>
      <c r="G108" s="31">
        <v>2.8405100000000001</v>
      </c>
      <c r="H108" s="31">
        <v>0</v>
      </c>
      <c r="I108" s="32">
        <v>3.2100249999999999</v>
      </c>
      <c r="J108" s="31">
        <v>0</v>
      </c>
      <c r="K108" s="31">
        <v>0</v>
      </c>
      <c r="L108" s="22">
        <v>0</v>
      </c>
    </row>
    <row r="109" spans="1:12" ht="15.75">
      <c r="A109" s="3" t="s">
        <v>57</v>
      </c>
      <c r="B109" s="23" t="s">
        <v>130</v>
      </c>
      <c r="C109" s="31"/>
      <c r="D109" s="31"/>
      <c r="E109" s="31"/>
      <c r="F109" s="31"/>
      <c r="G109" s="31"/>
      <c r="H109" s="31"/>
      <c r="I109" s="32"/>
      <c r="J109" s="31"/>
      <c r="K109" s="31"/>
      <c r="L109" s="22"/>
    </row>
    <row r="110" spans="1:12">
      <c r="B110" s="24" t="s">
        <v>26</v>
      </c>
      <c r="C110" s="31">
        <v>19.680786000000001</v>
      </c>
      <c r="D110" s="31">
        <v>35.355018999999999</v>
      </c>
      <c r="E110" s="31">
        <v>26.770658000000001</v>
      </c>
      <c r="F110" s="31">
        <v>20.243748</v>
      </c>
      <c r="G110" s="31">
        <v>24.595856000000001</v>
      </c>
      <c r="H110" s="31">
        <v>0</v>
      </c>
      <c r="I110" s="32">
        <v>0</v>
      </c>
      <c r="J110" s="31">
        <v>0</v>
      </c>
      <c r="K110" s="31">
        <v>0</v>
      </c>
      <c r="L110" s="22">
        <v>0</v>
      </c>
    </row>
    <row r="111" spans="1:12">
      <c r="A111" s="3" t="s">
        <v>56</v>
      </c>
      <c r="B111" s="24" t="s">
        <v>36</v>
      </c>
      <c r="C111" s="31">
        <v>0</v>
      </c>
      <c r="D111" s="31">
        <v>0</v>
      </c>
      <c r="E111" s="31">
        <v>0</v>
      </c>
      <c r="F111" s="31">
        <v>0</v>
      </c>
      <c r="G111" s="31">
        <v>82.182007999999996</v>
      </c>
      <c r="H111" s="31">
        <v>86.976175999999995</v>
      </c>
      <c r="I111" s="32">
        <v>92.987813000000003</v>
      </c>
      <c r="J111" s="31">
        <v>81.219785000000002</v>
      </c>
      <c r="K111" s="31">
        <v>70.792970999999994</v>
      </c>
      <c r="L111" s="22">
        <v>41.906824</v>
      </c>
    </row>
    <row r="112" spans="1:12">
      <c r="A112" s="3" t="s">
        <v>39</v>
      </c>
      <c r="B112" s="24" t="s">
        <v>131</v>
      </c>
      <c r="C112" s="31">
        <v>73.010936999999998</v>
      </c>
      <c r="D112" s="31">
        <v>203.74176900000001</v>
      </c>
      <c r="E112" s="31">
        <v>42.026724999999999</v>
      </c>
      <c r="F112" s="31">
        <v>0</v>
      </c>
      <c r="G112" s="31">
        <v>3.273155</v>
      </c>
      <c r="H112" s="31">
        <v>0</v>
      </c>
      <c r="I112" s="32">
        <v>0</v>
      </c>
      <c r="J112" s="31">
        <v>0</v>
      </c>
      <c r="K112" s="31">
        <v>0</v>
      </c>
      <c r="L112" s="22">
        <v>0</v>
      </c>
    </row>
    <row r="113" spans="1:12">
      <c r="A113" s="3" t="s">
        <v>40</v>
      </c>
      <c r="B113" s="24" t="s">
        <v>132</v>
      </c>
      <c r="C113" s="31">
        <v>76.643781000000004</v>
      </c>
      <c r="D113" s="31">
        <v>206.83545000000001</v>
      </c>
      <c r="E113" s="31">
        <v>180.009007</v>
      </c>
      <c r="F113" s="31">
        <v>55.066505999999997</v>
      </c>
      <c r="G113" s="31">
        <v>26.524978999999998</v>
      </c>
      <c r="H113" s="31">
        <v>7.7775600000000003</v>
      </c>
      <c r="I113" s="32">
        <v>0</v>
      </c>
      <c r="J113" s="31">
        <v>14.528003999999999</v>
      </c>
      <c r="K113" s="31">
        <v>16.545919999999999</v>
      </c>
      <c r="L113" s="22">
        <v>5.7451109999999996</v>
      </c>
    </row>
    <row r="114" spans="1:12">
      <c r="A114" s="3" t="s">
        <v>58</v>
      </c>
      <c r="B114" s="24" t="s">
        <v>133</v>
      </c>
      <c r="C114" s="31">
        <v>0</v>
      </c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>
        <v>16.256615</v>
      </c>
      <c r="J114" s="31">
        <v>0</v>
      </c>
      <c r="K114" s="31">
        <v>0</v>
      </c>
      <c r="L114" s="22">
        <v>0</v>
      </c>
    </row>
    <row r="115" spans="1:12">
      <c r="A115" s="3" t="s">
        <v>59</v>
      </c>
      <c r="B115" s="24" t="s">
        <v>37</v>
      </c>
      <c r="C115" s="31">
        <v>0</v>
      </c>
      <c r="D115" s="31">
        <v>30.799954</v>
      </c>
      <c r="E115" s="31">
        <v>102.888037</v>
      </c>
      <c r="F115" s="31">
        <v>135.106323</v>
      </c>
      <c r="G115" s="31">
        <v>17.357728999999999</v>
      </c>
      <c r="H115" s="31">
        <v>121.53733099999999</v>
      </c>
      <c r="I115" s="32">
        <v>241.83969099999999</v>
      </c>
      <c r="J115" s="31">
        <v>36.731701000000001</v>
      </c>
      <c r="K115" s="31">
        <v>97.843198000000001</v>
      </c>
      <c r="L115" s="22">
        <v>7.8451909999999998</v>
      </c>
    </row>
    <row r="116" spans="1:12" ht="15.75">
      <c r="B116" s="23" t="s">
        <v>4</v>
      </c>
      <c r="C116" s="31"/>
      <c r="D116" s="31"/>
      <c r="E116" s="31"/>
      <c r="F116" s="31"/>
      <c r="G116" s="31"/>
      <c r="H116" s="31"/>
      <c r="I116" s="32"/>
      <c r="J116" s="31"/>
      <c r="K116" s="31"/>
      <c r="L116" s="22"/>
    </row>
    <row r="117" spans="1:12">
      <c r="B117" s="24" t="s">
        <v>45</v>
      </c>
      <c r="C117" s="31">
        <v>0</v>
      </c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>
        <v>17.629795000000001</v>
      </c>
      <c r="J117" s="31">
        <v>43.247</v>
      </c>
      <c r="K117" s="31">
        <v>54.373384999999999</v>
      </c>
      <c r="L117" s="22">
        <v>0.849132</v>
      </c>
    </row>
    <row r="118" spans="1:12">
      <c r="B118" s="24" t="s">
        <v>16</v>
      </c>
      <c r="C118" s="31">
        <v>0</v>
      </c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>
        <v>0</v>
      </c>
      <c r="J118" s="31">
        <v>14.491139</v>
      </c>
      <c r="K118" s="31">
        <v>10.728687000000001</v>
      </c>
      <c r="L118" s="22">
        <v>37.650548999999998</v>
      </c>
    </row>
    <row r="119" spans="1:12">
      <c r="B119" s="24" t="s">
        <v>26</v>
      </c>
      <c r="C119" s="31">
        <v>25.249545000000001</v>
      </c>
      <c r="D119" s="31">
        <v>41.909210999999999</v>
      </c>
      <c r="E119" s="31">
        <v>35.520724000000001</v>
      </c>
      <c r="F119" s="31">
        <v>48.954270000000001</v>
      </c>
      <c r="G119" s="31">
        <v>22.940982999999999</v>
      </c>
      <c r="H119" s="31">
        <v>0</v>
      </c>
      <c r="I119" s="32">
        <v>0</v>
      </c>
      <c r="J119" s="31">
        <v>0</v>
      </c>
      <c r="K119" s="31">
        <v>0</v>
      </c>
      <c r="L119" s="22">
        <v>0</v>
      </c>
    </row>
    <row r="120" spans="1:12">
      <c r="B120" s="24" t="s">
        <v>14</v>
      </c>
      <c r="C120" s="31">
        <v>0</v>
      </c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>
        <v>13.154019</v>
      </c>
      <c r="J120" s="31">
        <v>39.965240000000001</v>
      </c>
      <c r="K120" s="31">
        <v>45.908650999999999</v>
      </c>
      <c r="L120" s="22">
        <v>27.017817999999998</v>
      </c>
    </row>
    <row r="121" spans="1:12">
      <c r="B121" s="24" t="s">
        <v>134</v>
      </c>
      <c r="C121" s="31">
        <v>7.5999350000000003</v>
      </c>
      <c r="D121" s="31">
        <v>68.707398999999995</v>
      </c>
      <c r="E121" s="31">
        <v>167.882869</v>
      </c>
      <c r="F121" s="31">
        <v>106.696883</v>
      </c>
      <c r="G121" s="31">
        <v>90.912526</v>
      </c>
      <c r="H121" s="31">
        <v>59.751764000000001</v>
      </c>
      <c r="I121" s="32">
        <v>56.683129999999998</v>
      </c>
      <c r="J121" s="31">
        <v>35.249952</v>
      </c>
      <c r="K121" s="31">
        <v>102.49347400000001</v>
      </c>
      <c r="L121" s="22">
        <v>130.510447</v>
      </c>
    </row>
    <row r="122" spans="1:12">
      <c r="B122" s="24" t="s">
        <v>135</v>
      </c>
      <c r="C122" s="31">
        <v>0</v>
      </c>
      <c r="D122" s="31">
        <v>6.1156050000000004</v>
      </c>
      <c r="E122" s="31">
        <v>0</v>
      </c>
      <c r="F122" s="31">
        <v>0</v>
      </c>
      <c r="G122" s="31">
        <v>0</v>
      </c>
      <c r="H122" s="31">
        <v>0</v>
      </c>
      <c r="I122" s="32">
        <v>0</v>
      </c>
      <c r="J122" s="31">
        <v>0</v>
      </c>
      <c r="K122" s="31">
        <v>0</v>
      </c>
      <c r="L122" s="22">
        <v>0</v>
      </c>
    </row>
    <row r="123" spans="1:12">
      <c r="A123" s="3" t="s">
        <v>68</v>
      </c>
      <c r="B123" s="24" t="s">
        <v>37</v>
      </c>
      <c r="C123" s="31">
        <v>38.799515999999997</v>
      </c>
      <c r="D123" s="31">
        <v>345.81435299999998</v>
      </c>
      <c r="E123" s="31">
        <v>39.428172000000004</v>
      </c>
      <c r="F123" s="31">
        <v>162.699277</v>
      </c>
      <c r="G123" s="31">
        <v>0</v>
      </c>
      <c r="H123" s="31">
        <v>123.21982800000001</v>
      </c>
      <c r="I123" s="32">
        <v>125.951624</v>
      </c>
      <c r="J123" s="31">
        <v>185.32753700000001</v>
      </c>
      <c r="K123" s="31">
        <v>58.485011</v>
      </c>
      <c r="L123" s="22">
        <v>26.752296000000001</v>
      </c>
    </row>
    <row r="124" spans="1:12">
      <c r="B124" s="13"/>
      <c r="C124" s="17"/>
      <c r="D124" s="17"/>
      <c r="E124" s="17"/>
      <c r="F124" s="17"/>
      <c r="G124" s="17"/>
      <c r="H124" s="17"/>
      <c r="I124" s="33"/>
      <c r="J124" s="17"/>
      <c r="K124" s="17"/>
      <c r="L124" s="34"/>
    </row>
    <row r="125" spans="1:12">
      <c r="B125" s="1" t="s">
        <v>12</v>
      </c>
      <c r="D125" s="5"/>
      <c r="E125" s="5"/>
      <c r="F125" s="5"/>
      <c r="G125" s="5"/>
      <c r="H125" s="5"/>
      <c r="I125" s="5"/>
      <c r="J125" s="5"/>
      <c r="K125" s="5"/>
      <c r="L125" s="36" t="s">
        <v>137</v>
      </c>
    </row>
  </sheetData>
  <mergeCells count="2">
    <mergeCell ref="B3:B4"/>
    <mergeCell ref="B1:L1"/>
  </mergeCells>
  <pageMargins left="0.7" right="0.7" top="0.75" bottom="0.75" header="0.3" footer="0.3"/>
  <pageSetup paperSize="9" scale="40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</vt:lpstr>
      <vt:lpstr>'13.7'!Print_Area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2024-07-18T02:57:13Z</cp:lastPrinted>
  <dcterms:created xsi:type="dcterms:W3CDTF">2014-03-06T08:38:12Z</dcterms:created>
  <dcterms:modified xsi:type="dcterms:W3CDTF">2024-07-18T02:57:44Z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