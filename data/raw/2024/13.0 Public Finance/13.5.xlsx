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ublic Finance\"/>
    </mc:Choice>
  </mc:AlternateContent>
  <xr:revisionPtr revIDLastSave="0" documentId="13_ncr:1_{05799FFB-4E57-4E23-B4AA-00C94432E031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 13.5" sheetId="27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 13.5'!$B$1:$N$93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  <definedName name="Z_4C076027_7D33_4348_B8F1_EB44AEBB6676_.wvu.Cols" localSheetId="0" hidden="1">' 13.5'!#REF!</definedName>
    <definedName name="Z_4C076027_7D33_4348_B8F1_EB44AEBB6676_.wvu.PrintArea" localSheetId="0" hidden="1">' 13.5'!#REF!</definedName>
    <definedName name="Z_4C076027_7D33_4348_B8F1_EB44AEBB6676_.wvu.Rows" localSheetId="0" hidden="1">' 13.5'!#REF!,' 13.5'!#REF!,' 13.5'!#REF!,' 13.5'!#REF!,' 13.5'!#REF!,' 13.5'!#REF!,' 13.5'!#REF!,' 13.5'!#REF!,' 13.5'!#REF!,' 13.5'!#REF!,' 13.5'!#REF!,' 13.5'!#REF!,' 13.5'!#REF!,' 13.5'!#REF!</definedName>
    <definedName name="Z_7AF63859_16DE_433E_88CA_6659784C6AF5_.wvu.Cols" localSheetId="0" hidden="1">' 13.5'!#REF!</definedName>
    <definedName name="Z_7AF63859_16DE_433E_88CA_6659784C6AF5_.wvu.PrintArea" localSheetId="0" hidden="1">' 13.5'!$C$1:$C$93</definedName>
    <definedName name="Z_7AF63859_16DE_433E_88CA_6659784C6AF5_.wvu.Rows" localSheetId="0" hidden="1">' 13.5'!#REF!,' 13.5'!#REF!,' 13.5'!#REF!,' 13.5'!#REF!</definedName>
    <definedName name="Z_C0DBC270_9699_4A5F_8964_ED5115A1B162_.wvu.Cols" localSheetId="0" hidden="1">' 13.5'!#REF!</definedName>
    <definedName name="Z_C0DBC270_9699_4A5F_8964_ED5115A1B162_.wvu.PrintArea" localSheetId="0" hidden="1">' 13.5'!#REF!</definedName>
    <definedName name="Z_C0DBC270_9699_4A5F_8964_ED5115A1B162_.wvu.Rows" localSheetId="0" hidden="1">' 13.5'!#REF!,' 13.5'!#REF!,' 13.5'!#REF!,' 13.5'!#REF!,' 13.5'!#REF!,' 13.5'!#REF!,' 13.5'!#REF!,' 13.5'!#REF!,' 13.5'!#REF!,' 13.5'!#REF!,' 13.5'!#REF!,' 13.5'!#REF!,' 13.5'!#REF!,' 13.5'!#REF!,' 13.5'!#REF!,' 13.5'!#REF!,' 13.5'!#REF!,' 13.5'!#REF!,' 13.5'!#REF!,' 13.5'!#REF!,' 13.5'!#REF!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2" i="27" l="1"/>
  <c r="L82" i="27"/>
  <c r="K82" i="27"/>
  <c r="J82" i="27"/>
  <c r="I82" i="27"/>
  <c r="H82" i="27"/>
  <c r="G82" i="27"/>
  <c r="F82" i="27"/>
  <c r="E82" i="27"/>
  <c r="D82" i="27"/>
  <c r="M72" i="27"/>
  <c r="L72" i="27"/>
  <c r="K72" i="27"/>
  <c r="J72" i="27"/>
  <c r="I72" i="27"/>
  <c r="H72" i="27"/>
  <c r="G72" i="27"/>
  <c r="F72" i="27"/>
  <c r="E72" i="27"/>
  <c r="D72" i="27"/>
  <c r="M65" i="27"/>
  <c r="L65" i="27"/>
  <c r="K65" i="27"/>
  <c r="J65" i="27"/>
  <c r="I65" i="27"/>
  <c r="H65" i="27"/>
  <c r="G65" i="27"/>
  <c r="F65" i="27"/>
  <c r="E65" i="27"/>
  <c r="D65" i="27"/>
  <c r="M57" i="27"/>
  <c r="L57" i="27"/>
  <c r="K57" i="27"/>
  <c r="J57" i="27"/>
  <c r="I57" i="27"/>
  <c r="H57" i="27"/>
  <c r="G57" i="27"/>
  <c r="F57" i="27"/>
  <c r="E57" i="27"/>
  <c r="D57" i="27"/>
  <c r="M51" i="27"/>
  <c r="L51" i="27"/>
  <c r="K51" i="27"/>
  <c r="J51" i="27"/>
  <c r="I51" i="27"/>
  <c r="H51" i="27"/>
  <c r="G51" i="27"/>
  <c r="F51" i="27"/>
  <c r="E51" i="27"/>
  <c r="D51" i="27"/>
  <c r="M43" i="27"/>
  <c r="L43" i="27"/>
  <c r="K43" i="27"/>
  <c r="J43" i="27"/>
  <c r="I43" i="27"/>
  <c r="H43" i="27"/>
  <c r="G43" i="27"/>
  <c r="F43" i="27"/>
  <c r="E43" i="27"/>
  <c r="D43" i="27"/>
  <c r="M32" i="27"/>
  <c r="L32" i="27"/>
  <c r="K32" i="27"/>
  <c r="J32" i="27"/>
  <c r="I32" i="27"/>
  <c r="H32" i="27"/>
  <c r="G32" i="27"/>
  <c r="F32" i="27"/>
  <c r="E32" i="27"/>
  <c r="D32" i="27"/>
  <c r="M24" i="27"/>
  <c r="L24" i="27"/>
  <c r="K24" i="27"/>
  <c r="J24" i="27"/>
  <c r="I24" i="27"/>
  <c r="H24" i="27"/>
  <c r="G24" i="27"/>
  <c r="F24" i="27"/>
  <c r="E24" i="27"/>
  <c r="D24" i="27"/>
  <c r="M18" i="27"/>
  <c r="L18" i="27"/>
  <c r="K18" i="27"/>
  <c r="J18" i="27"/>
  <c r="I18" i="27"/>
  <c r="H18" i="27"/>
  <c r="G18" i="27"/>
  <c r="F18" i="27"/>
  <c r="E18" i="27"/>
  <c r="D18" i="27"/>
  <c r="M9" i="27"/>
  <c r="L9" i="27"/>
  <c r="K9" i="27"/>
  <c r="J9" i="27"/>
  <c r="I9" i="27"/>
  <c r="H9" i="27"/>
  <c r="G9" i="27"/>
  <c r="F9" i="27"/>
  <c r="E9" i="27"/>
  <c r="D9" i="27"/>
  <c r="M7" i="27"/>
  <c r="L7" i="27"/>
  <c r="K7" i="27"/>
  <c r="J7" i="27"/>
  <c r="I7" i="27"/>
  <c r="H7" i="27"/>
  <c r="G7" i="27"/>
  <c r="F7" i="27"/>
  <c r="E7" i="27"/>
  <c r="D7" i="27"/>
</calcChain>
</file>

<file path=xl/sharedStrings.xml><?xml version="1.0" encoding="utf-8"?>
<sst xmlns="http://schemas.openxmlformats.org/spreadsheetml/2006/main" count="89" uniqueCount="82">
  <si>
    <t>TABLE 13.5.  FUNCTIONAL CLASSIFICATION OF CENTRAL GOVERNMENT CAPITAL EXPENDITURE, 2017 - 2026</t>
  </si>
  <si>
    <t>(In million Rufiyaa)</t>
  </si>
  <si>
    <t>Particulars</t>
  </si>
  <si>
    <t>Actual</t>
  </si>
  <si>
    <t>Revised</t>
  </si>
  <si>
    <t xml:space="preserve">Approved </t>
  </si>
  <si>
    <t>Total Budget</t>
  </si>
  <si>
    <t>General Public Services</t>
  </si>
  <si>
    <t>7011 - Exec. &amp; Legisl., Financial &amp; Fiscal Affairs, Extrnal Affairs</t>
  </si>
  <si>
    <t>7012 - Foreign Economic Aid</t>
  </si>
  <si>
    <t>7013 - General Services</t>
  </si>
  <si>
    <t>7014 - Basic Research</t>
  </si>
  <si>
    <t>7015 - R&amp;D General Public Services</t>
  </si>
  <si>
    <t>7016 - General Public Services N.E.C.</t>
  </si>
  <si>
    <t>7017 - Public Debt Transactions</t>
  </si>
  <si>
    <t>Defense</t>
  </si>
  <si>
    <t>7021 - Military Defense</t>
  </si>
  <si>
    <t>7022 - Civil Defense</t>
  </si>
  <si>
    <t>7024 - R&amp;D Defense</t>
  </si>
  <si>
    <t>7025 - Defense N.E.C.</t>
  </si>
  <si>
    <t>Public Order &amp; Safety</t>
  </si>
  <si>
    <t>7031 - Police Services</t>
  </si>
  <si>
    <t>7032 - Fire Protection Services</t>
  </si>
  <si>
    <t>7033 - Law Courts</t>
  </si>
  <si>
    <t>7034 - Prisons</t>
  </si>
  <si>
    <t>7035 - R&amp;D Public Order And Safety</t>
  </si>
  <si>
    <t>7036 - Public Order And Safety N.E.C</t>
  </si>
  <si>
    <t>Economic Affairs</t>
  </si>
  <si>
    <t>7041 - General Economic, Commercial, And Labor Affairs</t>
  </si>
  <si>
    <t>7042 - Agriculture, Forestry, Fi Shing, And Hunting</t>
  </si>
  <si>
    <t>7043 - Fuel And Energy</t>
  </si>
  <si>
    <t>7044 - Mining, Manufacturing, And Construction</t>
  </si>
  <si>
    <t>7045 - Transport</t>
  </si>
  <si>
    <t>7046 - Communication</t>
  </si>
  <si>
    <t>7047 - Other Industries</t>
  </si>
  <si>
    <t>7048 - R&amp;D Economic Affairs</t>
  </si>
  <si>
    <t>7049 - Economic Affairs N.E.C</t>
  </si>
  <si>
    <t>Environmental Protection</t>
  </si>
  <si>
    <t>7051 - Waste Management</t>
  </si>
  <si>
    <t>7052 - Waste Water Management</t>
  </si>
  <si>
    <t>7053 - Pollution Abatement</t>
  </si>
  <si>
    <t>7054 - Protection Of Biodiversity And Landscape</t>
  </si>
  <si>
    <t>7055 - R&amp;D Environmental Protection</t>
  </si>
  <si>
    <t>7056 - Environmental Protection N.E.C</t>
  </si>
  <si>
    <t>Housing &amp; Community Amenities</t>
  </si>
  <si>
    <t>7061 - Housing Development</t>
  </si>
  <si>
    <t>7062 - Community Development</t>
  </si>
  <si>
    <t>7063 - Water Supply</t>
  </si>
  <si>
    <t>7064 - Street Lighting</t>
  </si>
  <si>
    <t>Health</t>
  </si>
  <si>
    <t>7071 - Medical Products, Appliances, And Equipment</t>
  </si>
  <si>
    <t>7072 - Outpatient Services</t>
  </si>
  <si>
    <t>7073 - Hospital Services</t>
  </si>
  <si>
    <t>7074 - Public Health Services</t>
  </si>
  <si>
    <t>7075 - R&amp;D Health</t>
  </si>
  <si>
    <t>7076 - Health N.E.C.</t>
  </si>
  <si>
    <t>Recreation, Culture &amp; Religion</t>
  </si>
  <si>
    <t>7081 - Recreational And Sporting Services</t>
  </si>
  <si>
    <t>7082 - Cultural Services</t>
  </si>
  <si>
    <t>7083 - Broadcasting And Publishing Services</t>
  </si>
  <si>
    <t>7084 - Religious And Other Community Services</t>
  </si>
  <si>
    <t>7086 - Recreation, Culture, And Religion N.E.C.</t>
  </si>
  <si>
    <t>Education</t>
  </si>
  <si>
    <t>7091 - Pre-Primary And Primary Education</t>
  </si>
  <si>
    <t>7092 - Secondary Education</t>
  </si>
  <si>
    <t>7093 - Post-Secondary Nontertiary Education</t>
  </si>
  <si>
    <t>7094 - Tertiary Education</t>
  </si>
  <si>
    <t>7095 - Education Not Definable By Level</t>
  </si>
  <si>
    <t>7096 - Subsidiary Services To Education</t>
  </si>
  <si>
    <t>7097 - R&amp;D Education</t>
  </si>
  <si>
    <t>7098 - Education N.E.C.</t>
  </si>
  <si>
    <t>Social Protection</t>
  </si>
  <si>
    <t>7101 - Sickness And Disability</t>
  </si>
  <si>
    <t>7102 - Old Age</t>
  </si>
  <si>
    <t>7103 - Survivors</t>
  </si>
  <si>
    <t>7104 - Family and Children</t>
  </si>
  <si>
    <t>7105 - Unemployment</t>
  </si>
  <si>
    <t>7107 - Social Exclusion N.E.C.</t>
  </si>
  <si>
    <t>7108 - R&amp;D Social Protection</t>
  </si>
  <si>
    <t>7109 - Social Protection N.E.C.</t>
  </si>
  <si>
    <t>Note: For 2018 budget, Ministry of Finance  have changed the format of the function table to fit to GFSM 2014 and  currently working on the migration tables for the  back series.</t>
  </si>
  <si>
    <t xml:space="preserve"> Source: Ministry of Finance.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</si>
</sst>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5" formatCode="_-* #,##0.00\ _ރ_._-;_-* #,##0.00\ _ރ_.\-;_-* &quot;-&quot;??\ _ރ_._-;_-@_-"/>
    <numFmt numFmtId="166" formatCode="_-* #,##0.00_-;\-* #,##0.00_-;_-* &quot;-&quot;??_-;_-@_-"/>
    <numFmt numFmtId="167" formatCode="#,##0.00\ ;&quot; (&quot;#,##0.00\);&quot; -&quot;#\ ;@\ "/>
    <numFmt numFmtId="168" formatCode="0.00_)"/>
    <numFmt numFmtId="169" formatCode="0.0"/>
    <numFmt numFmtId="170" formatCode="#,##0.0_);\(#,##0.0\)"/>
    <numFmt numFmtId="171" formatCode="_(* #,##0.0_);_(* \(#,##0.0\);_(* &quot;-&quot;?_);_(@_)"/>
    <numFmt numFmtId="172" formatCode="#,##0.0"/>
    <numFmt numFmtId="173" formatCode="_(* #,##0.0_);_(* \(#,##0.0\);_(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Roboto Condensed"/>
    </font>
    <font>
      <sz val="11"/>
      <color theme="1"/>
      <name val="Roboto Condensed"/>
    </font>
    <font>
      <b/>
      <sz val="11"/>
      <color theme="1"/>
      <name val="Calibri"/>
      <family val="2"/>
      <scheme val="minor"/>
    </font>
    <font>
      <i/>
      <u/>
      <sz val="11"/>
      <color theme="1"/>
      <name val="Roboto Condensed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trike/>
      <u/>
      <sz val="10"/>
      <color indexed="8"/>
      <name val="Arial"/>
      <family val="2"/>
    </font>
    <font>
      <sz val="10"/>
      <name val="Helv"/>
      <charset val="134"/>
    </font>
    <font>
      <sz val="11"/>
      <color indexed="8"/>
      <name val="Calibri"/>
      <family val="2"/>
    </font>
    <font>
      <sz val="12"/>
      <color theme="1"/>
      <name val="Century Gothic"/>
      <family val="2"/>
    </font>
    <font>
      <b/>
      <i/>
      <sz val="16"/>
      <name val="Helv"/>
      <charset val="134"/>
    </font>
    <font>
      <b/>
      <sz val="10"/>
      <name val="TimesNewRomanPS"/>
      <charset val="134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0"/>
      <name val="Courier"/>
      <charset val="134"/>
    </font>
    <font>
      <sz val="10"/>
      <name val="MS Sans Serif"/>
      <charset val="134"/>
    </font>
    <font>
      <b/>
      <sz val="10"/>
      <color rgb="FF000000"/>
      <name val="Times"/>
      <charset val="134"/>
    </font>
    <font>
      <sz val="10"/>
      <name val="Garamond"/>
      <family val="1"/>
    </font>
    <font>
      <sz val="10"/>
      <name val="Courier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56">
    <xf numFmtId="0" fontId="0" fillId="0" borderId="0"/>
    <xf numFmtId="43" fontId="20" fillId="0" borderId="0" applyFont="0" applyFill="0" applyBorder="0" applyAlignment="0" applyProtection="0"/>
    <xf numFmtId="0" fontId="6" fillId="0" borderId="0"/>
    <xf numFmtId="43" fontId="20" fillId="0" borderId="0" applyFont="0" applyFill="0" applyBorder="0" applyAlignment="0" applyProtection="0"/>
    <xf numFmtId="0" fontId="7" fillId="0" borderId="0" applyFont="0" applyFill="0" applyBorder="0" applyAlignment="0" applyProtection="0"/>
    <xf numFmtId="40" fontId="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9" fillId="0" borderId="0"/>
    <xf numFmtId="0" fontId="9" fillId="0" borderId="0"/>
    <xf numFmtId="168" fontId="11" fillId="0" borderId="0"/>
    <xf numFmtId="0" fontId="6" fillId="0" borderId="0"/>
    <xf numFmtId="0" fontId="8" fillId="0" borderId="0"/>
    <xf numFmtId="1" fontId="12" fillId="0" borderId="6" applyNumberFormat="0"/>
    <xf numFmtId="0" fontId="13" fillId="0" borderId="0" applyNumberFormat="0" applyFill="0" applyBorder="0" applyAlignment="0" applyProtection="0"/>
    <xf numFmtId="0" fontId="20" fillId="0" borderId="0"/>
    <xf numFmtId="0" fontId="8" fillId="0" borderId="0"/>
    <xf numFmtId="0" fontId="6" fillId="0" borderId="0"/>
    <xf numFmtId="1" fontId="12" fillId="0" borderId="6" applyNumberFormat="0"/>
    <xf numFmtId="0" fontId="20" fillId="0" borderId="0"/>
    <xf numFmtId="0" fontId="9" fillId="0" borderId="0" applyFill="0" applyProtection="0"/>
    <xf numFmtId="0" fontId="9" fillId="0" borderId="0" applyFill="0" applyProtection="0"/>
    <xf numFmtId="0" fontId="14" fillId="0" borderId="0"/>
    <xf numFmtId="0" fontId="6" fillId="0" borderId="0"/>
    <xf numFmtId="169" fontId="15" fillId="0" borderId="0"/>
    <xf numFmtId="1" fontId="12" fillId="0" borderId="6" applyNumberFormat="0"/>
    <xf numFmtId="0" fontId="14" fillId="0" borderId="0"/>
    <xf numFmtId="0" fontId="6" fillId="0" borderId="0"/>
    <xf numFmtId="0" fontId="16" fillId="0" borderId="0"/>
    <xf numFmtId="0" fontId="20" fillId="0" borderId="0"/>
    <xf numFmtId="0" fontId="20" fillId="0" borderId="0"/>
    <xf numFmtId="0" fontId="17" fillId="0" borderId="0"/>
    <xf numFmtId="0" fontId="6" fillId="0" borderId="0"/>
    <xf numFmtId="0" fontId="10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8" fillId="0" borderId="0"/>
    <xf numFmtId="0" fontId="8" fillId="0" borderId="0"/>
    <xf numFmtId="0" fontId="6" fillId="0" borderId="0"/>
    <xf numFmtId="9" fontId="1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60">
    <xf numFmtId="0" fontId="0" fillId="0" borderId="0" xfId="0"/>
    <xf numFmtId="169" fontId="1" fillId="2" borderId="0" xfId="33" applyFont="1" applyFill="1" applyAlignment="1">
      <alignment vertical="center"/>
    </xf>
    <xf numFmtId="0" fontId="2" fillId="2" borderId="0" xfId="33" applyNumberFormat="1" applyFont="1" applyFill="1" applyAlignment="1">
      <alignment vertical="center"/>
    </xf>
    <xf numFmtId="169" fontId="2" fillId="2" borderId="0" xfId="33" applyFont="1" applyFill="1" applyAlignment="1">
      <alignment vertical="center"/>
    </xf>
    <xf numFmtId="169" fontId="0" fillId="2" borderId="0" xfId="33" applyFont="1" applyFill="1" applyAlignment="1">
      <alignment horizontal="centerContinuous" vertical="center"/>
    </xf>
    <xf numFmtId="170" fontId="0" fillId="2" borderId="0" xfId="12" applyNumberFormat="1" applyFont="1" applyFill="1" applyBorder="1" applyAlignment="1">
      <alignment horizontal="centerContinuous" vertical="center"/>
    </xf>
    <xf numFmtId="0" fontId="3" fillId="2" borderId="1" xfId="12" applyNumberFormat="1" applyFont="1" applyFill="1" applyBorder="1" applyAlignment="1" applyProtection="1">
      <alignment horizontal="right" vertical="center"/>
    </xf>
    <xf numFmtId="0" fontId="3" fillId="2" borderId="1" xfId="33" applyNumberFormat="1" applyFont="1" applyFill="1" applyBorder="1" applyAlignment="1">
      <alignment horizontal="right" vertical="center"/>
    </xf>
    <xf numFmtId="170" fontId="3" fillId="2" borderId="2" xfId="12" applyNumberFormat="1" applyFont="1" applyFill="1" applyBorder="1" applyAlignment="1">
      <alignment horizontal="right" vertical="center"/>
    </xf>
    <xf numFmtId="169" fontId="3" fillId="2" borderId="2" xfId="33" applyFont="1" applyFill="1" applyBorder="1" applyAlignment="1">
      <alignment horizontal="right" vertical="center"/>
    </xf>
    <xf numFmtId="169" fontId="3" fillId="2" borderId="0" xfId="33" applyFont="1" applyFill="1" applyAlignment="1">
      <alignment vertical="center"/>
    </xf>
    <xf numFmtId="170" fontId="3" fillId="2" borderId="0" xfId="12" applyNumberFormat="1" applyFont="1" applyFill="1" applyBorder="1" applyAlignment="1">
      <alignment horizontal="center" vertical="center"/>
    </xf>
    <xf numFmtId="0" fontId="1" fillId="2" borderId="0" xfId="33" applyNumberFormat="1" applyFont="1" applyFill="1" applyAlignment="1">
      <alignment vertical="center"/>
    </xf>
    <xf numFmtId="169" fontId="3" fillId="2" borderId="0" xfId="33" applyFont="1" applyFill="1" applyAlignment="1">
      <alignment horizontal="left" vertical="center"/>
    </xf>
    <xf numFmtId="170" fontId="3" fillId="2" borderId="0" xfId="12" applyNumberFormat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169" fontId="0" fillId="2" borderId="0" xfId="33" applyFont="1" applyFill="1" applyAlignment="1">
      <alignment vertical="center"/>
    </xf>
    <xf numFmtId="170" fontId="0" fillId="2" borderId="0" xfId="12" applyNumberFormat="1" applyFont="1" applyFill="1" applyBorder="1" applyAlignment="1">
      <alignment vertical="center"/>
    </xf>
    <xf numFmtId="169" fontId="3" fillId="2" borderId="0" xfId="33" applyFont="1" applyFill="1" applyAlignment="1">
      <alignment horizontal="left" vertical="center" indent="1"/>
    </xf>
    <xf numFmtId="171" fontId="3" fillId="2" borderId="0" xfId="12" applyNumberFormat="1" applyFont="1" applyFill="1" applyBorder="1" applyAlignment="1">
      <alignment vertical="center"/>
    </xf>
    <xf numFmtId="169" fontId="0" fillId="2" borderId="0" xfId="33" applyFont="1" applyFill="1" applyAlignment="1">
      <alignment horizontal="left" vertical="center" wrapText="1" indent="1"/>
    </xf>
    <xf numFmtId="171" fontId="0" fillId="2" borderId="0" xfId="12" applyNumberFormat="1" applyFont="1" applyFill="1" applyBorder="1" applyAlignment="1">
      <alignment vertical="center"/>
    </xf>
    <xf numFmtId="169" fontId="0" fillId="2" borderId="0" xfId="33" applyFont="1" applyFill="1" applyAlignment="1">
      <alignment horizontal="left" vertical="center" indent="1"/>
    </xf>
    <xf numFmtId="171" fontId="0" fillId="2" borderId="0" xfId="33" applyNumberFormat="1" applyFont="1" applyFill="1"/>
    <xf numFmtId="170" fontId="1" fillId="2" borderId="0" xfId="12" applyNumberFormat="1" applyFont="1" applyFill="1" applyBorder="1" applyAlignment="1">
      <alignment horizontal="centerContinuous" vertical="center"/>
    </xf>
    <xf numFmtId="170" fontId="2" fillId="2" borderId="0" xfId="12" applyNumberFormat="1" applyFont="1" applyFill="1" applyBorder="1" applyAlignment="1">
      <alignment horizontal="centerContinuous" vertical="center"/>
    </xf>
    <xf numFmtId="0" fontId="3" fillId="2" borderId="3" xfId="33" applyNumberFormat="1" applyFont="1" applyFill="1" applyBorder="1" applyAlignment="1">
      <alignment horizontal="right" vertical="center"/>
    </xf>
    <xf numFmtId="0" fontId="1" fillId="2" borderId="0" xfId="12" applyNumberFormat="1" applyFont="1" applyFill="1" applyBorder="1" applyAlignment="1" applyProtection="1">
      <alignment horizontal="center" vertical="center"/>
    </xf>
    <xf numFmtId="169" fontId="3" fillId="2" borderId="4" xfId="33" applyFont="1" applyFill="1" applyBorder="1" applyAlignment="1">
      <alignment horizontal="right" vertical="center"/>
    </xf>
    <xf numFmtId="170" fontId="1" fillId="2" borderId="0" xfId="12" applyNumberFormat="1" applyFont="1" applyFill="1" applyBorder="1" applyAlignment="1">
      <alignment horizontal="center" vertical="center"/>
    </xf>
    <xf numFmtId="170" fontId="1" fillId="2" borderId="5" xfId="12" applyNumberFormat="1" applyFont="1" applyFill="1" applyBorder="1" applyAlignment="1">
      <alignment horizontal="center" vertical="center"/>
    </xf>
    <xf numFmtId="170" fontId="3" fillId="2" borderId="5" xfId="12" applyNumberFormat="1" applyFont="1" applyFill="1" applyBorder="1" applyAlignment="1">
      <alignment vertical="center"/>
    </xf>
    <xf numFmtId="170" fontId="1" fillId="2" borderId="0" xfId="12" applyNumberFormat="1" applyFont="1" applyFill="1" applyBorder="1" applyAlignment="1">
      <alignment vertical="center"/>
    </xf>
    <xf numFmtId="170" fontId="0" fillId="2" borderId="5" xfId="12" applyNumberFormat="1" applyFont="1" applyFill="1" applyBorder="1" applyAlignment="1">
      <alignment vertical="center"/>
    </xf>
    <xf numFmtId="170" fontId="2" fillId="2" borderId="0" xfId="12" applyNumberFormat="1" applyFont="1" applyFill="1" applyBorder="1" applyAlignment="1">
      <alignment vertical="center"/>
    </xf>
    <xf numFmtId="171" fontId="3" fillId="2" borderId="5" xfId="12" applyNumberFormat="1" applyFont="1" applyFill="1" applyBorder="1" applyAlignment="1">
      <alignment vertical="center"/>
    </xf>
    <xf numFmtId="171" fontId="0" fillId="2" borderId="5" xfId="12" applyNumberFormat="1" applyFont="1" applyFill="1" applyBorder="1" applyAlignment="1">
      <alignment vertical="center"/>
    </xf>
    <xf numFmtId="0" fontId="3" fillId="2" borderId="0" xfId="12" applyNumberFormat="1" applyFont="1" applyFill="1" applyBorder="1" applyAlignment="1" applyProtection="1">
      <alignment horizontal="right" vertical="center"/>
    </xf>
    <xf numFmtId="0" fontId="3" fillId="2" borderId="0" xfId="33" applyNumberFormat="1" applyFont="1" applyFill="1" applyAlignment="1">
      <alignment horizontal="right" vertical="center"/>
    </xf>
    <xf numFmtId="171" fontId="0" fillId="2" borderId="5" xfId="33" applyNumberFormat="1" applyFont="1" applyFill="1" applyBorder="1"/>
    <xf numFmtId="169" fontId="0" fillId="2" borderId="0" xfId="33" applyFont="1" applyFill="1"/>
    <xf numFmtId="169" fontId="1" fillId="2" borderId="0" xfId="33" applyFont="1" applyFill="1" applyAlignment="1">
      <alignment horizontal="center" vertical="center"/>
    </xf>
    <xf numFmtId="169" fontId="2" fillId="2" borderId="0" xfId="33" applyFont="1" applyFill="1" applyAlignment="1">
      <alignment horizontal="center" vertical="center"/>
    </xf>
    <xf numFmtId="0" fontId="2" fillId="2" borderId="0" xfId="33" applyNumberFormat="1" applyFont="1" applyFill="1" applyAlignment="1">
      <alignment horizontal="center" vertical="center"/>
    </xf>
    <xf numFmtId="172" fontId="1" fillId="2" borderId="0" xfId="12" applyNumberFormat="1" applyFont="1" applyFill="1" applyBorder="1" applyAlignment="1">
      <alignment vertical="center"/>
    </xf>
    <xf numFmtId="172" fontId="2" fillId="2" borderId="0" xfId="12" applyNumberFormat="1" applyFont="1" applyFill="1" applyBorder="1" applyAlignment="1">
      <alignment vertical="center"/>
    </xf>
    <xf numFmtId="169" fontId="2" fillId="2" borderId="0" xfId="33" applyFont="1" applyFill="1"/>
    <xf numFmtId="169" fontId="4" fillId="2" borderId="0" xfId="33" applyFont="1" applyFill="1" applyAlignment="1">
      <alignment vertical="center"/>
    </xf>
    <xf numFmtId="173" fontId="0" fillId="2" borderId="0" xfId="1" applyNumberFormat="1" applyFont="1" applyFill="1" applyBorder="1" applyAlignment="1">
      <alignment vertical="center"/>
    </xf>
    <xf numFmtId="173" fontId="3" fillId="2" borderId="0" xfId="1" applyNumberFormat="1" applyFont="1" applyFill="1" applyBorder="1" applyAlignment="1">
      <alignment vertical="center"/>
    </xf>
    <xf numFmtId="169" fontId="5" fillId="2" borderId="0" xfId="33" applyFont="1" applyFill="1" applyAlignment="1">
      <alignment vertical="center"/>
    </xf>
    <xf numFmtId="173" fontId="3" fillId="2" borderId="5" xfId="1" applyNumberFormat="1" applyFont="1" applyFill="1" applyBorder="1" applyAlignment="1">
      <alignment vertical="center"/>
    </xf>
    <xf numFmtId="173" fontId="0" fillId="2" borderId="5" xfId="1" applyNumberFormat="1" applyFont="1" applyFill="1" applyBorder="1" applyAlignment="1">
      <alignment vertical="center"/>
    </xf>
    <xf numFmtId="173" fontId="0" fillId="2" borderId="4" xfId="1" applyNumberFormat="1" applyFont="1" applyFill="1" applyBorder="1" applyAlignment="1">
      <alignment vertical="center"/>
    </xf>
    <xf numFmtId="173" fontId="0" fillId="2" borderId="2" xfId="1" applyNumberFormat="1" applyFont="1" applyFill="1" applyBorder="1" applyAlignment="1">
      <alignment vertical="center"/>
    </xf>
    <xf numFmtId="0" fontId="3" fillId="2" borderId="0" xfId="33" applyNumberFormat="1" applyFont="1" applyFill="1" applyAlignment="1">
      <alignment horizontal="center" vertical="center"/>
    </xf>
    <xf numFmtId="169" fontId="3" fillId="2" borderId="0" xfId="33" applyFont="1" applyFill="1" applyAlignment="1">
      <alignment horizontal="center" vertical="center"/>
    </xf>
    <xf numFmtId="169" fontId="5" fillId="2" borderId="1" xfId="33" applyFont="1" applyFill="1" applyBorder="1" applyAlignment="1">
      <alignment horizontal="left" vertical="center" wrapText="1"/>
    </xf>
    <xf numFmtId="169" fontId="3" fillId="2" borderId="1" xfId="33" applyFont="1" applyFill="1" applyBorder="1" applyAlignment="1">
      <alignment horizontal="center" vertical="center"/>
    </xf>
    <xf numFmtId="169" fontId="3" fillId="2" borderId="2" xfId="33" applyFont="1" applyFill="1" applyBorder="1" applyAlignment="1">
      <alignment horizontal="center" vertical="center"/>
    </xf>
  </cellXfs>
  <cellStyles count="56">
    <cellStyle name="1" xfId="2" xr:uid="{00000000-0005-0000-0000-000031000000}"/>
    <cellStyle name="Comma" xfId="1" builtinId="3"/>
    <cellStyle name="Comma 12" xfId="3" xr:uid="{00000000-0005-0000-0000-000032000000}"/>
    <cellStyle name="Comma 2" xfId="4" xr:uid="{00000000-0005-0000-0000-000033000000}"/>
    <cellStyle name="Comma 2 2" xfId="5" xr:uid="{00000000-0005-0000-0000-000034000000}"/>
    <cellStyle name="Comma 2 2 2 5" xfId="6" xr:uid="{00000000-0005-0000-0000-000035000000}"/>
    <cellStyle name="Comma 3" xfId="7" xr:uid="{00000000-0005-0000-0000-000036000000}"/>
    <cellStyle name="Comma 3 2" xfId="8" xr:uid="{00000000-0005-0000-0000-000037000000}"/>
    <cellStyle name="Comma 3 3" xfId="9" xr:uid="{00000000-0005-0000-0000-000038000000}"/>
    <cellStyle name="Comma 4" xfId="10" xr:uid="{00000000-0005-0000-0000-000039000000}"/>
    <cellStyle name="Comma 4 2" xfId="11" xr:uid="{00000000-0005-0000-0000-00003A000000}"/>
    <cellStyle name="Comma 5" xfId="12" xr:uid="{00000000-0005-0000-0000-00003B000000}"/>
    <cellStyle name="Comma 6" xfId="13" xr:uid="{00000000-0005-0000-0000-00003C000000}"/>
    <cellStyle name="Comma 6 2" xfId="14" xr:uid="{00000000-0005-0000-0000-00003D000000}"/>
    <cellStyle name="Comma 7" xfId="15" xr:uid="{00000000-0005-0000-0000-00003E000000}"/>
    <cellStyle name="Comma 8" xfId="16" xr:uid="{00000000-0005-0000-0000-00003F000000}"/>
    <cellStyle name="Excel Built-in Comma" xfId="17" xr:uid="{00000000-0005-0000-0000-000040000000}"/>
    <cellStyle name="Excel Built-in Normal" xfId="18" xr:uid="{00000000-0005-0000-0000-000041000000}"/>
    <cellStyle name="Normal" xfId="0" builtinId="0"/>
    <cellStyle name="Normal - Style1" xfId="19" xr:uid="{00000000-0005-0000-0000-000042000000}"/>
    <cellStyle name="Normal 10" xfId="20" xr:uid="{00000000-0005-0000-0000-000043000000}"/>
    <cellStyle name="Normal 11" xfId="21" xr:uid="{00000000-0005-0000-0000-000044000000}"/>
    <cellStyle name="Normal 12" xfId="22" xr:uid="{00000000-0005-0000-0000-000045000000}"/>
    <cellStyle name="Normal 2" xfId="23" xr:uid="{00000000-0005-0000-0000-000046000000}"/>
    <cellStyle name="Normal 2 2" xfId="24" xr:uid="{00000000-0005-0000-0000-000047000000}"/>
    <cellStyle name="Normal 2 2 2" xfId="25" xr:uid="{00000000-0005-0000-0000-000048000000}"/>
    <cellStyle name="Normal 2 2 3" xfId="26" xr:uid="{00000000-0005-0000-0000-000049000000}"/>
    <cellStyle name="Normal 2 2 4" xfId="27" xr:uid="{00000000-0005-0000-0000-00004A000000}"/>
    <cellStyle name="Normal 2 3" xfId="28" xr:uid="{00000000-0005-0000-0000-00004B000000}"/>
    <cellStyle name="Normal 2 3 2" xfId="29" xr:uid="{00000000-0005-0000-0000-00004C000000}"/>
    <cellStyle name="Normal 2 4" xfId="30" xr:uid="{00000000-0005-0000-0000-00004D000000}"/>
    <cellStyle name="Normal 2 5" xfId="31" xr:uid="{00000000-0005-0000-0000-00004E000000}"/>
    <cellStyle name="Normal 2 6" xfId="32" xr:uid="{00000000-0005-0000-0000-00004F000000}"/>
    <cellStyle name="Normal 3" xfId="33" xr:uid="{00000000-0005-0000-0000-000050000000}"/>
    <cellStyle name="Normal 3 2" xfId="34" xr:uid="{00000000-0005-0000-0000-000051000000}"/>
    <cellStyle name="Normal 3 2 2" xfId="35" xr:uid="{00000000-0005-0000-0000-000052000000}"/>
    <cellStyle name="Normal 3 3" xfId="36" xr:uid="{00000000-0005-0000-0000-000053000000}"/>
    <cellStyle name="Normal 4" xfId="37" xr:uid="{00000000-0005-0000-0000-000054000000}"/>
    <cellStyle name="Normal 4 2" xfId="38" xr:uid="{00000000-0005-0000-0000-000055000000}"/>
    <cellStyle name="Normal 4 2 2" xfId="39" xr:uid="{00000000-0005-0000-0000-000056000000}"/>
    <cellStyle name="Normal 4 3" xfId="40" xr:uid="{00000000-0005-0000-0000-000057000000}"/>
    <cellStyle name="Normal 4 4" xfId="41" xr:uid="{00000000-0005-0000-0000-000058000000}"/>
    <cellStyle name="Normal 5" xfId="42" xr:uid="{00000000-0005-0000-0000-000059000000}"/>
    <cellStyle name="Normal 5 2" xfId="43" xr:uid="{00000000-0005-0000-0000-00005A000000}"/>
    <cellStyle name="Normal 5 3" xfId="44" xr:uid="{00000000-0005-0000-0000-00005B000000}"/>
    <cellStyle name="Normal 5 4" xfId="45" xr:uid="{00000000-0005-0000-0000-00005C000000}"/>
    <cellStyle name="Normal 6" xfId="46" xr:uid="{00000000-0005-0000-0000-00005D000000}"/>
    <cellStyle name="Normal 6 2" xfId="47" xr:uid="{00000000-0005-0000-0000-00005E000000}"/>
    <cellStyle name="Normal 7" xfId="48" xr:uid="{00000000-0005-0000-0000-00005F000000}"/>
    <cellStyle name="Normal 7 2" xfId="49" xr:uid="{00000000-0005-0000-0000-000060000000}"/>
    <cellStyle name="Normal 8" xfId="50" xr:uid="{00000000-0005-0000-0000-000061000000}"/>
    <cellStyle name="Normal 9" xfId="51" xr:uid="{00000000-0005-0000-0000-000062000000}"/>
    <cellStyle name="Percent 2" xfId="52" xr:uid="{00000000-0005-0000-0000-000066000000}"/>
    <cellStyle name="Percent 2 2" xfId="53" xr:uid="{00000000-0005-0000-0000-000067000000}"/>
    <cellStyle name="Percent 2 3" xfId="54" xr:uid="{00000000-0005-0000-0000-000068000000}"/>
    <cellStyle name="Percent 3" xfId="55" xr:uid="{00000000-0005-0000-0000-000069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  <sheetName val="toc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BC92"/>
  <sheetViews>
    <sheetView showGridLines="0" tabSelected="1" topLeftCell="B1" zoomScale="84" zoomScaleNormal="84" zoomScaleSheetLayoutView="70" workbookViewId="0">
      <pane xSplit="2" ySplit="1" topLeftCell="D2" activePane="bottomRight" state="frozen"/>
      <selection pane="topRight"/>
      <selection pane="bottomLeft"/>
      <selection pane="bottomRight" activeCell="G32" sqref="G32"/>
    </sheetView>
  </sheetViews>
  <sheetFormatPr defaultColWidth="9.140625" defaultRowHeight="18.75" customHeight="1"/>
  <cols>
    <col min="1" max="2" width="6.7109375" style="2" customWidth="1"/>
    <col min="3" max="3" width="62" style="3" customWidth="1"/>
    <col min="4" max="5" width="12.42578125" style="3" customWidth="1"/>
    <col min="6" max="6" width="14.5703125" style="3" customWidth="1"/>
    <col min="7" max="7" width="12.42578125" style="3" customWidth="1"/>
    <col min="8" max="8" width="13.140625" style="3" customWidth="1"/>
    <col min="9" max="9" width="12.85546875" style="3" customWidth="1"/>
    <col min="10" max="10" width="12.42578125" style="3" customWidth="1"/>
    <col min="11" max="13" width="13.140625" style="3" customWidth="1"/>
    <col min="14" max="14" width="5.7109375" style="3" customWidth="1"/>
    <col min="15" max="18" width="11" style="3" customWidth="1"/>
    <col min="19" max="19" width="15" style="3" customWidth="1"/>
    <col min="20" max="20" width="15.5703125" style="3" customWidth="1"/>
    <col min="21" max="21" width="15" style="3" customWidth="1"/>
    <col min="22" max="23" width="16.7109375" style="3" customWidth="1"/>
    <col min="24" max="24" width="14.7109375" style="3" customWidth="1"/>
    <col min="25" max="25" width="15" style="3" customWidth="1"/>
    <col min="26" max="26" width="11.42578125" style="3" customWidth="1"/>
    <col min="27" max="32" width="12.28515625" style="3" customWidth="1"/>
    <col min="33" max="33" width="12.42578125" style="3" customWidth="1"/>
    <col min="34" max="34" width="15.28515625" style="3" customWidth="1"/>
    <col min="35" max="35" width="14" style="3" customWidth="1"/>
    <col min="36" max="37" width="12.85546875" style="3" customWidth="1"/>
    <col min="38" max="38" width="17.140625" style="3" customWidth="1"/>
    <col min="39" max="39" width="12.42578125" style="3" customWidth="1"/>
    <col min="40" max="40" width="11.42578125" style="3" customWidth="1"/>
    <col min="41" max="41" width="11.7109375" style="3" customWidth="1"/>
    <col min="42" max="42" width="12" style="3" customWidth="1"/>
    <col min="43" max="51" width="12.42578125" style="3" customWidth="1"/>
    <col min="52" max="52" width="12.5703125" style="3" customWidth="1"/>
    <col min="53" max="53" width="8.7109375" style="3" customWidth="1"/>
    <col min="54" max="56" width="12.5703125" style="3" customWidth="1"/>
    <col min="57" max="57" width="13.42578125" style="3" customWidth="1"/>
    <col min="58" max="60" width="7.140625" style="3" customWidth="1"/>
    <col min="61" max="61" width="9.140625" style="3" customWidth="1"/>
    <col min="62" max="62" width="42.140625" style="3" customWidth="1"/>
    <col min="63" max="63" width="7.140625" style="3" customWidth="1"/>
    <col min="64" max="65" width="11.5703125" style="3" customWidth="1"/>
    <col min="66" max="66" width="14.140625" style="3" customWidth="1"/>
    <col min="67" max="69" width="17" style="3" customWidth="1"/>
    <col min="70" max="70" width="14.140625" style="3" customWidth="1"/>
    <col min="71" max="16384" width="9.140625" style="3"/>
  </cols>
  <sheetData>
    <row r="1" spans="1:55" ht="18.75" customHeight="1">
      <c r="C1" s="55" t="s">
        <v>0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24"/>
      <c r="O1" s="24"/>
      <c r="P1" s="24"/>
      <c r="Q1" s="24"/>
      <c r="R1" s="24"/>
      <c r="S1" s="24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</row>
    <row r="2" spans="1:55" ht="18.75" customHeight="1">
      <c r="C2" s="56" t="s">
        <v>1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24"/>
      <c r="O2" s="24"/>
      <c r="P2" s="24"/>
      <c r="Q2" s="24"/>
      <c r="R2" s="24"/>
      <c r="S2" s="24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</row>
    <row r="3" spans="1:55" ht="3.75" customHeight="1">
      <c r="C3" s="4"/>
      <c r="D3" s="5"/>
      <c r="E3" s="5"/>
      <c r="F3" s="5"/>
      <c r="G3" s="5"/>
      <c r="H3" s="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</row>
    <row r="4" spans="1:55" ht="18.75" customHeight="1">
      <c r="C4" s="58" t="s">
        <v>2</v>
      </c>
      <c r="D4" s="6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26">
        <v>2023</v>
      </c>
      <c r="K4" s="7">
        <v>2024</v>
      </c>
      <c r="L4" s="7">
        <v>2025</v>
      </c>
      <c r="M4" s="7">
        <v>2026</v>
      </c>
      <c r="N4" s="27"/>
      <c r="O4" s="27"/>
      <c r="P4" s="27"/>
      <c r="Q4" s="27"/>
      <c r="R4" s="27"/>
      <c r="S4" s="27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3"/>
      <c r="BC4" s="43"/>
    </row>
    <row r="5" spans="1:55" ht="18.75" customHeight="1">
      <c r="C5" s="59"/>
      <c r="D5" s="8" t="s">
        <v>3</v>
      </c>
      <c r="E5" s="9" t="s">
        <v>3</v>
      </c>
      <c r="F5" s="9" t="s">
        <v>3</v>
      </c>
      <c r="G5" s="9" t="s">
        <v>3</v>
      </c>
      <c r="H5" s="9" t="s">
        <v>3</v>
      </c>
      <c r="I5" s="9" t="s">
        <v>3</v>
      </c>
      <c r="J5" s="28" t="s">
        <v>4</v>
      </c>
      <c r="K5" s="9" t="s">
        <v>5</v>
      </c>
      <c r="L5" s="9" t="s">
        <v>5</v>
      </c>
      <c r="M5" s="9" t="s">
        <v>5</v>
      </c>
      <c r="N5" s="29"/>
      <c r="O5" s="29"/>
      <c r="P5" s="29"/>
      <c r="Q5" s="29"/>
      <c r="R5" s="29"/>
      <c r="S5" s="29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2"/>
      <c r="BC5" s="42"/>
    </row>
    <row r="6" spans="1:55" ht="18.75" customHeight="1">
      <c r="C6" s="10"/>
      <c r="D6" s="11"/>
      <c r="E6" s="11"/>
      <c r="F6" s="11"/>
      <c r="G6" s="11"/>
      <c r="H6" s="11"/>
      <c r="I6" s="29"/>
      <c r="J6" s="30"/>
      <c r="K6" s="29"/>
      <c r="L6" s="29"/>
      <c r="M6" s="29"/>
      <c r="N6" s="29"/>
      <c r="O6" s="29"/>
      <c r="P6" s="29"/>
      <c r="Q6" s="29"/>
      <c r="R6" s="29"/>
      <c r="S6" s="29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</row>
    <row r="7" spans="1:55" s="1" customFormat="1" ht="18.75" customHeight="1">
      <c r="A7" s="12"/>
      <c r="B7" s="12"/>
      <c r="C7" s="13" t="s">
        <v>6</v>
      </c>
      <c r="D7" s="14">
        <f>D9+D18+D24+D32+D43+D51+D57+D65+D72+D82</f>
        <v>24935.136203999999</v>
      </c>
      <c r="E7" s="14">
        <f t="shared" ref="E7:M7" si="0">E9+E18+E24+E32+E43+E51+E57+E65+E72+E82</f>
        <v>28165.331601000002</v>
      </c>
      <c r="F7" s="15">
        <f t="shared" si="0"/>
        <v>30128.216622</v>
      </c>
      <c r="G7" s="14">
        <f t="shared" si="0"/>
        <v>30156.529875</v>
      </c>
      <c r="H7" s="14">
        <f t="shared" si="0"/>
        <v>37145.084500999998</v>
      </c>
      <c r="I7" s="14">
        <f t="shared" si="0"/>
        <v>42828.320054000003</v>
      </c>
      <c r="J7" s="31">
        <f t="shared" si="0"/>
        <v>49350.071799999998</v>
      </c>
      <c r="K7" s="14">
        <f t="shared" si="0"/>
        <v>49855.823652999999</v>
      </c>
      <c r="L7" s="14">
        <f t="shared" si="0"/>
        <v>58059.449546999997</v>
      </c>
      <c r="M7" s="14">
        <f t="shared" si="0"/>
        <v>60264.141769000002</v>
      </c>
      <c r="N7" s="32"/>
      <c r="O7" s="32"/>
      <c r="P7" s="32"/>
      <c r="Q7" s="32"/>
      <c r="R7" s="32"/>
      <c r="S7" s="32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</row>
    <row r="8" spans="1:55" ht="9" customHeight="1">
      <c r="C8" s="16"/>
      <c r="D8" s="17"/>
      <c r="E8" s="17"/>
      <c r="F8" s="17"/>
      <c r="G8" s="17"/>
      <c r="H8" s="17"/>
      <c r="I8" s="17"/>
      <c r="J8" s="33"/>
      <c r="K8" s="17"/>
      <c r="L8" s="17"/>
      <c r="M8" s="17"/>
      <c r="N8" s="34"/>
      <c r="O8" s="34"/>
      <c r="P8" s="34"/>
      <c r="Q8" s="34"/>
      <c r="R8" s="34"/>
      <c r="S8" s="34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</row>
    <row r="9" spans="1:55" ht="18.75" customHeight="1">
      <c r="C9" s="18" t="s">
        <v>7</v>
      </c>
      <c r="D9" s="19">
        <f>SUM(D10:D16)</f>
        <v>5934.1499599999997</v>
      </c>
      <c r="E9" s="19">
        <f t="shared" ref="E9:M9" si="1">SUM(E10:E16)</f>
        <v>5257.6541889999999</v>
      </c>
      <c r="F9" s="19">
        <f t="shared" si="1"/>
        <v>8051.9318199999998</v>
      </c>
      <c r="G9" s="19">
        <f t="shared" si="1"/>
        <v>7708.0394669999996</v>
      </c>
      <c r="H9" s="19">
        <f t="shared" si="1"/>
        <v>10897.043095999999</v>
      </c>
      <c r="I9" s="19">
        <f t="shared" si="1"/>
        <v>7864.6088309999996</v>
      </c>
      <c r="J9" s="35">
        <f t="shared" si="1"/>
        <v>9041.4718959999991</v>
      </c>
      <c r="K9" s="14">
        <f t="shared" si="1"/>
        <v>11571.515034</v>
      </c>
      <c r="L9" s="14">
        <f t="shared" si="1"/>
        <v>18714.004819999998</v>
      </c>
      <c r="M9" s="14">
        <f t="shared" si="1"/>
        <v>21432.501984999999</v>
      </c>
      <c r="N9" s="32"/>
      <c r="O9" s="32"/>
      <c r="P9" s="32"/>
      <c r="Q9" s="32"/>
      <c r="R9" s="32"/>
      <c r="S9" s="32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</row>
    <row r="10" spans="1:55" ht="28.5" customHeight="1">
      <c r="C10" s="20" t="s">
        <v>8</v>
      </c>
      <c r="D10" s="21">
        <v>2387.2441709999998</v>
      </c>
      <c r="E10" s="21">
        <v>2140.9994259999999</v>
      </c>
      <c r="F10" s="21">
        <v>5311.8029740000002</v>
      </c>
      <c r="G10" s="21">
        <v>4846.1230079999996</v>
      </c>
      <c r="H10" s="21">
        <v>4618.1041439999999</v>
      </c>
      <c r="I10" s="21">
        <v>1384.488081</v>
      </c>
      <c r="J10" s="36">
        <v>1734.9380470000001</v>
      </c>
      <c r="K10" s="17">
        <v>3198.5355519999998</v>
      </c>
      <c r="L10" s="17">
        <v>3060.7708870000001</v>
      </c>
      <c r="M10" s="17">
        <v>3065.223645</v>
      </c>
      <c r="N10" s="34"/>
      <c r="O10" s="34"/>
      <c r="P10" s="34"/>
      <c r="Q10" s="34"/>
      <c r="R10" s="46"/>
      <c r="S10" s="46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</row>
    <row r="11" spans="1:55" ht="18.75" customHeight="1">
      <c r="C11" s="22" t="s">
        <v>9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36">
        <v>15.208333</v>
      </c>
      <c r="K11" s="17">
        <v>0</v>
      </c>
      <c r="L11" s="17">
        <v>0</v>
      </c>
      <c r="M11" s="17">
        <v>0</v>
      </c>
      <c r="N11" s="37"/>
      <c r="O11" s="38"/>
      <c r="P11" s="38"/>
      <c r="Q11" s="38"/>
      <c r="R11" s="38"/>
      <c r="S11" s="38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</row>
    <row r="12" spans="1:55" ht="18.75" customHeight="1">
      <c r="C12" s="22" t="s">
        <v>10</v>
      </c>
      <c r="D12" s="21">
        <v>45.604931999999998</v>
      </c>
      <c r="E12" s="21">
        <v>44.17586</v>
      </c>
      <c r="F12" s="21">
        <v>74.768175999999997</v>
      </c>
      <c r="G12" s="21">
        <v>64.927921999999995</v>
      </c>
      <c r="H12" s="21">
        <v>113.025437</v>
      </c>
      <c r="I12" s="21">
        <v>300.50889000000001</v>
      </c>
      <c r="J12" s="36">
        <v>301.26527700000003</v>
      </c>
      <c r="K12" s="17">
        <v>897.73729900000001</v>
      </c>
      <c r="L12" s="17">
        <v>1459.560982</v>
      </c>
      <c r="M12" s="17">
        <v>1930.9399969999999</v>
      </c>
      <c r="N12" s="19"/>
      <c r="O12" s="19"/>
      <c r="P12" s="19"/>
      <c r="Q12" s="19"/>
      <c r="R12" s="19"/>
      <c r="S12" s="19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</row>
    <row r="13" spans="1:55" ht="18.75" customHeight="1">
      <c r="C13" s="22" t="s">
        <v>11</v>
      </c>
      <c r="D13" s="21">
        <v>0</v>
      </c>
      <c r="E13" s="21">
        <v>0</v>
      </c>
      <c r="F13" s="23">
        <v>0</v>
      </c>
      <c r="G13" s="23">
        <v>0</v>
      </c>
      <c r="H13" s="23">
        <v>0.20493</v>
      </c>
      <c r="I13" s="23">
        <v>0.67946499999999999</v>
      </c>
      <c r="J13" s="39">
        <v>0.47593299999999999</v>
      </c>
      <c r="K13" s="40">
        <v>0.5</v>
      </c>
      <c r="L13" s="40">
        <v>0.5</v>
      </c>
      <c r="M13" s="40">
        <v>0.5</v>
      </c>
      <c r="N13" s="19"/>
      <c r="O13" s="19"/>
      <c r="P13" s="19"/>
      <c r="Q13" s="19"/>
      <c r="R13" s="19"/>
      <c r="S13" s="19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</row>
    <row r="14" spans="1:55" ht="18.75" customHeight="1">
      <c r="C14" s="22" t="s">
        <v>12</v>
      </c>
      <c r="D14" s="21">
        <v>0</v>
      </c>
      <c r="E14" s="21">
        <v>0</v>
      </c>
      <c r="F14" s="23">
        <v>0</v>
      </c>
      <c r="G14" s="23">
        <v>0</v>
      </c>
      <c r="H14" s="23">
        <v>0</v>
      </c>
      <c r="I14" s="23">
        <v>0</v>
      </c>
      <c r="J14" s="39">
        <v>0.30328100000000002</v>
      </c>
      <c r="K14" s="40">
        <v>0.66005199999999997</v>
      </c>
      <c r="L14" s="40">
        <v>0.71026199999999995</v>
      </c>
      <c r="M14" s="40">
        <v>0.71026199999999995</v>
      </c>
      <c r="N14" s="19"/>
      <c r="O14" s="19"/>
      <c r="P14" s="19"/>
      <c r="Q14" s="19"/>
      <c r="R14" s="19"/>
      <c r="S14" s="19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55" ht="18.75" customHeight="1">
      <c r="C15" s="22" t="s">
        <v>13</v>
      </c>
      <c r="D15" s="21">
        <v>0</v>
      </c>
      <c r="E15" s="21">
        <v>0</v>
      </c>
      <c r="F15" s="23">
        <v>0</v>
      </c>
      <c r="G15" s="23">
        <v>0</v>
      </c>
      <c r="H15" s="23">
        <v>0</v>
      </c>
      <c r="I15" s="23">
        <v>23.833103999999999</v>
      </c>
      <c r="J15" s="39">
        <v>31.180458999999999</v>
      </c>
      <c r="K15" s="40">
        <v>27.617027</v>
      </c>
      <c r="L15" s="40">
        <v>27.417027000000001</v>
      </c>
      <c r="M15" s="40">
        <v>27.717027000000002</v>
      </c>
      <c r="N15" s="19"/>
      <c r="O15" s="19"/>
      <c r="P15" s="19"/>
      <c r="Q15" s="19"/>
      <c r="R15" s="19"/>
      <c r="S15" s="19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</row>
    <row r="16" spans="1:55" ht="18.75" customHeight="1">
      <c r="C16" s="22" t="s">
        <v>14</v>
      </c>
      <c r="D16" s="21">
        <v>3501.3008570000002</v>
      </c>
      <c r="E16" s="21">
        <v>3072.4789030000002</v>
      </c>
      <c r="F16" s="23">
        <v>2665.36067</v>
      </c>
      <c r="G16" s="23">
        <v>2796.9885370000002</v>
      </c>
      <c r="H16" s="23">
        <v>6165.7085850000003</v>
      </c>
      <c r="I16" s="23">
        <v>6155.0992910000004</v>
      </c>
      <c r="J16" s="39">
        <v>6958.1005660000001</v>
      </c>
      <c r="K16" s="40">
        <v>7446.4651039999999</v>
      </c>
      <c r="L16" s="40">
        <v>14165.045662</v>
      </c>
      <c r="M16" s="40">
        <v>16407.411054</v>
      </c>
      <c r="N16" s="19"/>
      <c r="O16" s="19"/>
      <c r="P16" s="19"/>
      <c r="Q16" s="19"/>
      <c r="R16" s="19"/>
      <c r="S16" s="19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</row>
    <row r="17" spans="3:55" ht="18.75" customHeight="1">
      <c r="C17" s="22"/>
      <c r="D17" s="23"/>
      <c r="E17" s="23"/>
      <c r="F17" s="23"/>
      <c r="G17" s="23"/>
      <c r="H17" s="23"/>
      <c r="I17" s="23"/>
      <c r="J17" s="39"/>
      <c r="K17" s="40"/>
      <c r="L17" s="40"/>
      <c r="M17" s="40"/>
      <c r="N17" s="19"/>
      <c r="O17" s="19"/>
      <c r="P17" s="19"/>
      <c r="Q17" s="19"/>
      <c r="R17" s="19"/>
      <c r="S17" s="19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</row>
    <row r="18" spans="3:55" ht="18.75" customHeight="1">
      <c r="C18" s="18" t="s">
        <v>15</v>
      </c>
      <c r="D18" s="19">
        <f>SUM(D19:D22)</f>
        <v>1240.2034779999999</v>
      </c>
      <c r="E18" s="19">
        <f t="shared" ref="E18:M18" si="2">SUM(E19:E22)</f>
        <v>1419.87564</v>
      </c>
      <c r="F18" s="19">
        <f t="shared" si="2"/>
        <v>1372.595595</v>
      </c>
      <c r="G18" s="19">
        <f t="shared" si="2"/>
        <v>1366.793463</v>
      </c>
      <c r="H18" s="19">
        <f t="shared" si="2"/>
        <v>1703.0526179999999</v>
      </c>
      <c r="I18" s="19">
        <f t="shared" si="2"/>
        <v>1670.758221</v>
      </c>
      <c r="J18" s="35">
        <f t="shared" si="2"/>
        <v>1725.8174280000001</v>
      </c>
      <c r="K18" s="14">
        <f t="shared" si="2"/>
        <v>1867.8699039999999</v>
      </c>
      <c r="L18" s="14">
        <f t="shared" si="2"/>
        <v>1889.275674</v>
      </c>
      <c r="M18" s="14">
        <f t="shared" si="2"/>
        <v>1826.545554</v>
      </c>
      <c r="N18" s="19"/>
      <c r="O18" s="19"/>
      <c r="P18" s="19"/>
      <c r="Q18" s="19"/>
      <c r="R18" s="19"/>
      <c r="S18" s="19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</row>
    <row r="19" spans="3:55" ht="18.75" customHeight="1">
      <c r="C19" s="22" t="s">
        <v>16</v>
      </c>
      <c r="D19" s="21">
        <v>1114.4017630000001</v>
      </c>
      <c r="E19" s="21">
        <v>1292.3270279999999</v>
      </c>
      <c r="F19" s="21">
        <v>1241.2229440000001</v>
      </c>
      <c r="G19" s="21">
        <v>1230.6227510000001</v>
      </c>
      <c r="H19" s="21">
        <v>1508.5630759999999</v>
      </c>
      <c r="I19" s="21">
        <v>1639.989857</v>
      </c>
      <c r="J19" s="36">
        <v>1698.184207</v>
      </c>
      <c r="K19" s="17">
        <v>1848.8941110000001</v>
      </c>
      <c r="L19" s="17">
        <v>1870.5756739999999</v>
      </c>
      <c r="M19" s="17">
        <v>1807.7455540000001</v>
      </c>
      <c r="N19" s="19"/>
      <c r="O19" s="19"/>
      <c r="P19" s="19"/>
      <c r="Q19" s="19"/>
      <c r="R19" s="19"/>
      <c r="S19" s="19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</row>
    <row r="20" spans="3:55" ht="18.75" customHeight="1">
      <c r="C20" s="22" t="s">
        <v>17</v>
      </c>
      <c r="D20" s="21">
        <v>125.801715</v>
      </c>
      <c r="E20" s="21">
        <v>127.54861200000001</v>
      </c>
      <c r="F20" s="21">
        <v>131.37265099999999</v>
      </c>
      <c r="G20" s="21">
        <v>136.17071200000001</v>
      </c>
      <c r="H20" s="21">
        <v>191.97498899999999</v>
      </c>
      <c r="I20" s="21">
        <v>4.3102679999999998</v>
      </c>
      <c r="J20" s="36">
        <v>5.2839580000000002</v>
      </c>
      <c r="K20" s="17">
        <v>6.2938890000000001</v>
      </c>
      <c r="L20" s="17">
        <v>6.3938889999999997</v>
      </c>
      <c r="M20" s="17">
        <v>6.4938890000000002</v>
      </c>
      <c r="N20" s="19"/>
      <c r="O20" s="19"/>
      <c r="P20" s="19"/>
      <c r="Q20" s="19"/>
      <c r="R20" s="19"/>
      <c r="S20" s="19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3:55" ht="18.75" customHeight="1">
      <c r="C21" s="22" t="s">
        <v>18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1.495E-2</v>
      </c>
      <c r="J21" s="36">
        <v>7.0000000000000007E-2</v>
      </c>
      <c r="K21" s="17">
        <v>7.0000000000000007E-2</v>
      </c>
      <c r="L21" s="17">
        <v>7.0000000000000007E-2</v>
      </c>
      <c r="M21" s="17">
        <v>7.0000000000000007E-2</v>
      </c>
      <c r="N21" s="19"/>
      <c r="O21" s="19"/>
      <c r="P21" s="19"/>
      <c r="Q21" s="19"/>
      <c r="R21" s="19"/>
      <c r="S21" s="19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</row>
    <row r="22" spans="3:55" ht="18.75" customHeight="1">
      <c r="C22" s="22" t="s">
        <v>19</v>
      </c>
      <c r="D22" s="21">
        <v>0</v>
      </c>
      <c r="E22" s="21">
        <v>0</v>
      </c>
      <c r="F22" s="21">
        <v>0</v>
      </c>
      <c r="G22" s="21">
        <v>0</v>
      </c>
      <c r="H22" s="21">
        <v>2.5145529999999998</v>
      </c>
      <c r="I22" s="21">
        <v>26.443145999999999</v>
      </c>
      <c r="J22" s="36">
        <v>22.279263</v>
      </c>
      <c r="K22" s="17">
        <v>12.611903999999999</v>
      </c>
      <c r="L22" s="17">
        <v>12.236110999999999</v>
      </c>
      <c r="M22" s="17">
        <v>12.236110999999999</v>
      </c>
      <c r="N22" s="19"/>
      <c r="O22" s="19"/>
      <c r="P22" s="19"/>
      <c r="Q22" s="19"/>
      <c r="R22" s="19"/>
      <c r="S22" s="19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</row>
    <row r="23" spans="3:55" ht="18.75" customHeight="1">
      <c r="C23" s="22"/>
      <c r="D23" s="21"/>
      <c r="E23" s="21"/>
      <c r="F23" s="21"/>
      <c r="G23" s="21"/>
      <c r="H23" s="21"/>
      <c r="I23" s="21"/>
      <c r="J23" s="36"/>
      <c r="K23" s="17"/>
      <c r="L23" s="17"/>
      <c r="M23" s="17"/>
      <c r="N23" s="19"/>
      <c r="O23" s="19"/>
      <c r="P23" s="19"/>
      <c r="Q23" s="19"/>
      <c r="R23" s="19"/>
      <c r="S23" s="19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</row>
    <row r="24" spans="3:55" ht="18.75" customHeight="1">
      <c r="C24" s="18" t="s">
        <v>20</v>
      </c>
      <c r="D24" s="19">
        <f>SUM(D25:D30)</f>
        <v>1991.4790009999999</v>
      </c>
      <c r="E24" s="19">
        <f t="shared" ref="E24:M24" si="3">SUM(E25:E30)</f>
        <v>2146.9140630000002</v>
      </c>
      <c r="F24" s="19">
        <f t="shared" si="3"/>
        <v>2271.9082830000002</v>
      </c>
      <c r="G24" s="19">
        <f t="shared" si="3"/>
        <v>2139.2553240000002</v>
      </c>
      <c r="H24" s="19">
        <f t="shared" si="3"/>
        <v>2397.702194</v>
      </c>
      <c r="I24" s="19">
        <f t="shared" si="3"/>
        <v>3020.1964109999999</v>
      </c>
      <c r="J24" s="35">
        <f t="shared" si="3"/>
        <v>3439.8549349999998</v>
      </c>
      <c r="K24" s="14">
        <f t="shared" si="3"/>
        <v>3748.5577960000001</v>
      </c>
      <c r="L24" s="14">
        <f t="shared" si="3"/>
        <v>3794.0475299999998</v>
      </c>
      <c r="M24" s="14">
        <f t="shared" si="3"/>
        <v>3759.4361410000001</v>
      </c>
      <c r="N24" s="19"/>
      <c r="O24" s="19"/>
      <c r="P24" s="19"/>
      <c r="Q24" s="19"/>
      <c r="R24" s="19"/>
      <c r="S24" s="19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</row>
    <row r="25" spans="3:55" ht="18.75" customHeight="1">
      <c r="C25" s="22" t="s">
        <v>21</v>
      </c>
      <c r="D25" s="21">
        <v>1406.8970380000001</v>
      </c>
      <c r="E25" s="21">
        <v>1563.1145650000001</v>
      </c>
      <c r="F25" s="21">
        <v>1658.4072040000001</v>
      </c>
      <c r="G25" s="21">
        <v>1545.5458920000001</v>
      </c>
      <c r="H25" s="21">
        <v>1750.1016709999999</v>
      </c>
      <c r="I25" s="21">
        <v>1862.9252059999999</v>
      </c>
      <c r="J25" s="36">
        <v>2196.5135190000001</v>
      </c>
      <c r="K25" s="17">
        <v>2428.260053</v>
      </c>
      <c r="L25" s="17">
        <v>2473.2981730000001</v>
      </c>
      <c r="M25" s="17">
        <v>2456.7409750000002</v>
      </c>
      <c r="N25" s="19"/>
      <c r="O25" s="19"/>
      <c r="P25" s="19"/>
      <c r="Q25" s="19"/>
      <c r="R25" s="19"/>
      <c r="S25" s="19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</row>
    <row r="26" spans="3:55" ht="18.75" customHeight="1">
      <c r="C26" s="22" t="s">
        <v>22</v>
      </c>
      <c r="D26" s="21">
        <v>1.9484520000000001</v>
      </c>
      <c r="E26" s="21">
        <v>1.767045</v>
      </c>
      <c r="F26" s="21">
        <v>0</v>
      </c>
      <c r="G26" s="21">
        <v>0</v>
      </c>
      <c r="H26" s="21">
        <v>0.74449200000000004</v>
      </c>
      <c r="I26" s="21">
        <v>48.396462</v>
      </c>
      <c r="J26" s="36">
        <v>52.935305999999997</v>
      </c>
      <c r="K26" s="17">
        <v>59.945073000000001</v>
      </c>
      <c r="L26" s="17">
        <v>60.836950000000002</v>
      </c>
      <c r="M26" s="17">
        <v>59.518149999999999</v>
      </c>
      <c r="N26" s="34"/>
      <c r="O26" s="34"/>
      <c r="P26" s="34"/>
      <c r="Q26" s="34"/>
      <c r="R26" s="34"/>
      <c r="S26" s="34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</row>
    <row r="27" spans="3:55" ht="18.75" customHeight="1">
      <c r="C27" s="22" t="s">
        <v>23</v>
      </c>
      <c r="D27" s="21">
        <v>193.98505499999999</v>
      </c>
      <c r="E27" s="21">
        <v>199.991176</v>
      </c>
      <c r="F27" s="21">
        <v>220.86851100000001</v>
      </c>
      <c r="G27" s="21">
        <v>215.68453400000001</v>
      </c>
      <c r="H27" s="21">
        <v>273.444999</v>
      </c>
      <c r="I27" s="21">
        <v>696.79230099999995</v>
      </c>
      <c r="J27" s="36">
        <v>726.87210000000005</v>
      </c>
      <c r="K27" s="17">
        <v>796.46702700000003</v>
      </c>
      <c r="L27" s="17">
        <v>784.62196700000004</v>
      </c>
      <c r="M27" s="17">
        <v>784.67673400000001</v>
      </c>
      <c r="N27" s="34"/>
      <c r="O27" s="34"/>
      <c r="P27" s="34"/>
      <c r="Q27" s="34"/>
      <c r="R27" s="34"/>
      <c r="S27" s="34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</row>
    <row r="28" spans="3:55" ht="18.75" customHeight="1">
      <c r="C28" s="22" t="s">
        <v>24</v>
      </c>
      <c r="D28" s="21">
        <v>342.09839199999999</v>
      </c>
      <c r="E28" s="21">
        <v>318.97099500000002</v>
      </c>
      <c r="F28" s="21">
        <v>355.54577699999999</v>
      </c>
      <c r="G28" s="21">
        <v>354.70775099999997</v>
      </c>
      <c r="H28" s="21">
        <v>336.40366899999998</v>
      </c>
      <c r="I28" s="21">
        <v>364.22179399999999</v>
      </c>
      <c r="J28" s="36">
        <v>402.33547600000003</v>
      </c>
      <c r="K28" s="17">
        <v>417.41326800000002</v>
      </c>
      <c r="L28" s="17">
        <v>430.78304100000003</v>
      </c>
      <c r="M28" s="17">
        <v>414.269137</v>
      </c>
      <c r="N28" s="34"/>
      <c r="O28" s="34"/>
      <c r="P28" s="34"/>
      <c r="Q28" s="34"/>
      <c r="R28" s="34"/>
      <c r="S28" s="34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</row>
    <row r="29" spans="3:55" ht="18.75" customHeight="1">
      <c r="C29" s="22" t="s">
        <v>25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1.116698</v>
      </c>
      <c r="J29" s="36">
        <v>1.41414</v>
      </c>
      <c r="K29" s="17">
        <v>1.7776019999999999</v>
      </c>
      <c r="L29" s="17">
        <v>1.7776019999999999</v>
      </c>
      <c r="M29" s="17">
        <v>1.7776019999999999</v>
      </c>
      <c r="N29" s="34"/>
      <c r="O29" s="34"/>
      <c r="P29" s="34"/>
      <c r="Q29" s="34"/>
      <c r="R29" s="34"/>
      <c r="S29" s="34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</row>
    <row r="30" spans="3:55" ht="18.75" customHeight="1">
      <c r="C30" s="22" t="s">
        <v>26</v>
      </c>
      <c r="D30" s="21">
        <v>46.550063999999999</v>
      </c>
      <c r="E30" s="21">
        <v>63.070281999999999</v>
      </c>
      <c r="F30" s="21">
        <v>37.086790999999998</v>
      </c>
      <c r="G30" s="21">
        <v>23.317146999999999</v>
      </c>
      <c r="H30" s="21">
        <v>37.007362999999998</v>
      </c>
      <c r="I30" s="21">
        <v>46.743949999999998</v>
      </c>
      <c r="J30" s="36">
        <v>59.784393999999999</v>
      </c>
      <c r="K30" s="17">
        <v>44.694772999999998</v>
      </c>
      <c r="L30" s="17">
        <v>42.729796999999998</v>
      </c>
      <c r="M30" s="17">
        <v>42.453543000000003</v>
      </c>
      <c r="N30" s="34"/>
      <c r="O30" s="34"/>
      <c r="P30" s="34"/>
      <c r="Q30" s="34"/>
      <c r="R30" s="34"/>
      <c r="S30" s="34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</row>
    <row r="31" spans="3:55" ht="18.75" customHeight="1">
      <c r="C31" s="22"/>
      <c r="D31" s="21"/>
      <c r="E31" s="21"/>
      <c r="F31" s="21"/>
      <c r="G31" s="21"/>
      <c r="H31" s="21"/>
      <c r="I31" s="21"/>
      <c r="J31" s="36"/>
      <c r="K31" s="17"/>
      <c r="L31" s="17"/>
      <c r="M31" s="17"/>
      <c r="N31" s="34"/>
      <c r="O31" s="34"/>
      <c r="P31" s="34"/>
      <c r="Q31" s="34"/>
      <c r="R31" s="34"/>
      <c r="S31" s="34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</row>
    <row r="32" spans="3:55" ht="18.75" customHeight="1">
      <c r="C32" s="18" t="s">
        <v>27</v>
      </c>
      <c r="D32" s="19">
        <f>SUM(D33:D41)</f>
        <v>2641.935974</v>
      </c>
      <c r="E32" s="19">
        <f t="shared" ref="E32:M32" si="4">SUM(E33:E41)</f>
        <v>4821.5370370000001</v>
      </c>
      <c r="F32" s="19">
        <f t="shared" si="4"/>
        <v>2751.1752449999999</v>
      </c>
      <c r="G32" s="19">
        <f t="shared" si="4"/>
        <v>3696.6012340000002</v>
      </c>
      <c r="H32" s="19">
        <f t="shared" si="4"/>
        <v>4667.8215129999999</v>
      </c>
      <c r="I32" s="19">
        <f t="shared" si="4"/>
        <v>9323.6952720000008</v>
      </c>
      <c r="J32" s="35">
        <f t="shared" si="4"/>
        <v>11653.077726</v>
      </c>
      <c r="K32" s="19">
        <f t="shared" si="4"/>
        <v>9128.9405299999999</v>
      </c>
      <c r="L32" s="19">
        <f t="shared" si="4"/>
        <v>8378.8036159999992</v>
      </c>
      <c r="M32" s="19">
        <f t="shared" si="4"/>
        <v>7888.3988040000004</v>
      </c>
      <c r="N32" s="32"/>
      <c r="O32" s="32"/>
      <c r="P32" s="32"/>
      <c r="Q32" s="32"/>
      <c r="R32" s="34"/>
      <c r="S32" s="34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</row>
    <row r="33" spans="3:55" ht="18.75" customHeight="1">
      <c r="C33" s="22" t="s">
        <v>28</v>
      </c>
      <c r="D33" s="21">
        <v>390.26300500000002</v>
      </c>
      <c r="E33" s="21">
        <v>478.92076700000001</v>
      </c>
      <c r="F33" s="21">
        <v>321.23025799999999</v>
      </c>
      <c r="G33" s="21">
        <v>297.56059800000003</v>
      </c>
      <c r="H33" s="21">
        <v>360.81907699999999</v>
      </c>
      <c r="I33" s="21">
        <v>580.96813199999997</v>
      </c>
      <c r="J33" s="36">
        <v>943.60472900000002</v>
      </c>
      <c r="K33" s="17">
        <v>599.30665999999997</v>
      </c>
      <c r="L33" s="17">
        <v>401.83904699999999</v>
      </c>
      <c r="M33" s="17">
        <v>395.09396299999997</v>
      </c>
      <c r="N33" s="34"/>
      <c r="O33" s="34"/>
      <c r="P33" s="34"/>
      <c r="Q33" s="34"/>
      <c r="R33" s="34"/>
      <c r="S33" s="34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</row>
    <row r="34" spans="3:55" ht="18.75" customHeight="1">
      <c r="C34" s="22" t="s">
        <v>29</v>
      </c>
      <c r="D34" s="21">
        <v>42.664113</v>
      </c>
      <c r="E34" s="21">
        <v>59.002504999999999</v>
      </c>
      <c r="F34" s="21">
        <v>61.818724000000003</v>
      </c>
      <c r="G34" s="21">
        <v>67.546983999999995</v>
      </c>
      <c r="H34" s="21">
        <v>75.312235999999999</v>
      </c>
      <c r="I34" s="21">
        <v>175.37433100000001</v>
      </c>
      <c r="J34" s="36">
        <v>538.01622199999997</v>
      </c>
      <c r="K34" s="17">
        <v>651.69725900000003</v>
      </c>
      <c r="L34" s="17">
        <v>518.35541499999999</v>
      </c>
      <c r="M34" s="17">
        <v>476.22090300000002</v>
      </c>
      <c r="N34" s="34"/>
      <c r="O34" s="34"/>
      <c r="P34" s="34"/>
      <c r="Q34" s="34"/>
      <c r="R34" s="34"/>
      <c r="S34" s="34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</row>
    <row r="35" spans="3:55" ht="18.75" customHeight="1">
      <c r="C35" s="22" t="s">
        <v>30</v>
      </c>
      <c r="D35" s="21">
        <v>19.898406999999999</v>
      </c>
      <c r="E35" s="21">
        <v>13.499948</v>
      </c>
      <c r="F35" s="21">
        <v>12.482464</v>
      </c>
      <c r="G35" s="21">
        <v>688.57049800000004</v>
      </c>
      <c r="H35" s="21">
        <v>1273.7126270000001</v>
      </c>
      <c r="I35" s="21">
        <v>3364.8917150000002</v>
      </c>
      <c r="J35" s="36">
        <v>3783.6368600000001</v>
      </c>
      <c r="K35" s="17">
        <v>2020.0939209999999</v>
      </c>
      <c r="L35" s="17">
        <v>765.18171400000006</v>
      </c>
      <c r="M35" s="17">
        <v>418.00135899999998</v>
      </c>
      <c r="N35" s="34"/>
      <c r="O35" s="34"/>
      <c r="P35" s="34"/>
      <c r="Q35" s="34"/>
      <c r="R35" s="34"/>
      <c r="S35" s="34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</row>
    <row r="36" spans="3:55" ht="18.75" customHeight="1">
      <c r="C36" s="22" t="s">
        <v>31</v>
      </c>
      <c r="D36" s="21">
        <v>82.565000999999995</v>
      </c>
      <c r="E36" s="21">
        <v>51.005037999999999</v>
      </c>
      <c r="F36" s="21">
        <v>9.7262799999999991</v>
      </c>
      <c r="G36" s="21">
        <v>23.985844</v>
      </c>
      <c r="H36" s="21">
        <v>15.798958000000001</v>
      </c>
      <c r="I36" s="21">
        <v>36.929412999999997</v>
      </c>
      <c r="J36" s="36">
        <v>24.314060999999999</v>
      </c>
      <c r="K36" s="17">
        <v>25.592374</v>
      </c>
      <c r="L36" s="17">
        <v>25.592374</v>
      </c>
      <c r="M36" s="17">
        <v>25.592374</v>
      </c>
      <c r="N36" s="34"/>
      <c r="O36" s="34"/>
      <c r="P36" s="34"/>
      <c r="Q36" s="34"/>
      <c r="R36" s="34"/>
      <c r="S36" s="34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</row>
    <row r="37" spans="3:55" ht="18.75" customHeight="1">
      <c r="C37" s="22" t="s">
        <v>32</v>
      </c>
      <c r="D37" s="21">
        <v>1998.2884759999999</v>
      </c>
      <c r="E37" s="21">
        <v>4023.331443</v>
      </c>
      <c r="F37" s="21">
        <v>2045.5448019999999</v>
      </c>
      <c r="G37" s="21">
        <v>1989.1783330000001</v>
      </c>
      <c r="H37" s="21">
        <v>2380.9065220000002</v>
      </c>
      <c r="I37" s="21">
        <v>4496.5173649999997</v>
      </c>
      <c r="J37" s="36">
        <v>5657.2557299999999</v>
      </c>
      <c r="K37" s="17">
        <v>5313.0609219999997</v>
      </c>
      <c r="L37" s="17">
        <v>6253.4132739999995</v>
      </c>
      <c r="M37" s="17">
        <v>6215.2891760000002</v>
      </c>
      <c r="N37" s="34"/>
      <c r="O37" s="34"/>
      <c r="P37" s="34"/>
      <c r="Q37" s="34"/>
      <c r="R37" s="34"/>
      <c r="S37" s="34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</row>
    <row r="38" spans="3:55" ht="18.75" customHeight="1">
      <c r="C38" s="22" t="s">
        <v>33</v>
      </c>
      <c r="D38" s="21">
        <v>63.214917</v>
      </c>
      <c r="E38" s="21">
        <v>90.634518</v>
      </c>
      <c r="F38" s="21">
        <v>82.185231999999999</v>
      </c>
      <c r="G38" s="21">
        <v>49.145603999999999</v>
      </c>
      <c r="H38" s="21">
        <v>80.331046999999998</v>
      </c>
      <c r="I38" s="21">
        <v>91.446803000000003</v>
      </c>
      <c r="J38" s="36">
        <v>103.678479</v>
      </c>
      <c r="K38" s="17">
        <v>26.161078</v>
      </c>
      <c r="L38" s="17">
        <v>23.393326999999999</v>
      </c>
      <c r="M38" s="17">
        <v>22.702615999999999</v>
      </c>
      <c r="N38" s="34"/>
      <c r="O38" s="34"/>
      <c r="P38" s="34"/>
      <c r="Q38" s="34"/>
      <c r="R38" s="34"/>
      <c r="S38" s="34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</row>
    <row r="39" spans="3:55" ht="18.75" customHeight="1">
      <c r="C39" s="22" t="s">
        <v>34</v>
      </c>
      <c r="D39" s="21">
        <v>0</v>
      </c>
      <c r="E39" s="21">
        <v>0</v>
      </c>
      <c r="F39" s="21">
        <v>0</v>
      </c>
      <c r="G39" s="21">
        <v>428.45365800000002</v>
      </c>
      <c r="H39" s="21">
        <v>336.88745499999999</v>
      </c>
      <c r="I39" s="21">
        <v>506.22125899999998</v>
      </c>
      <c r="J39" s="36">
        <v>525.39712999999995</v>
      </c>
      <c r="K39" s="17">
        <v>363.48204399999997</v>
      </c>
      <c r="L39" s="17">
        <v>190.30238499999999</v>
      </c>
      <c r="M39" s="17">
        <v>189.34356</v>
      </c>
      <c r="N39" s="34"/>
      <c r="O39" s="34"/>
      <c r="P39" s="34"/>
      <c r="Q39" s="34"/>
      <c r="R39" s="34"/>
      <c r="S39" s="34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</row>
    <row r="40" spans="3:55" ht="18.75" customHeight="1">
      <c r="C40" s="22" t="s">
        <v>35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36">
        <v>0</v>
      </c>
      <c r="K40" s="17">
        <v>4.3783409999999998</v>
      </c>
      <c r="L40" s="17">
        <v>11.635024</v>
      </c>
      <c r="M40" s="17">
        <v>15.513366</v>
      </c>
      <c r="N40" s="34"/>
      <c r="O40" s="34"/>
      <c r="P40" s="34"/>
      <c r="Q40" s="34"/>
      <c r="R40" s="34"/>
      <c r="S40" s="34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</row>
    <row r="41" spans="3:55" ht="18.75" customHeight="1">
      <c r="C41" s="22" t="s">
        <v>36</v>
      </c>
      <c r="D41" s="21">
        <v>45.042054999999998</v>
      </c>
      <c r="E41" s="21">
        <v>105.14281800000001</v>
      </c>
      <c r="F41" s="21">
        <v>218.18748500000001</v>
      </c>
      <c r="G41" s="21">
        <v>152.15971500000001</v>
      </c>
      <c r="H41" s="21">
        <v>144.05359100000001</v>
      </c>
      <c r="I41" s="21">
        <v>71.346254000000002</v>
      </c>
      <c r="J41" s="36">
        <v>77.174515</v>
      </c>
      <c r="K41" s="17">
        <v>125.167931</v>
      </c>
      <c r="L41" s="17">
        <v>189.09105600000001</v>
      </c>
      <c r="M41" s="17">
        <v>130.64148700000001</v>
      </c>
      <c r="N41" s="34"/>
      <c r="O41" s="34"/>
      <c r="P41" s="34"/>
      <c r="Q41" s="34"/>
      <c r="R41" s="34"/>
      <c r="S41" s="34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</row>
    <row r="42" spans="3:55" ht="18.75" customHeight="1">
      <c r="C42" s="22"/>
      <c r="D42" s="21"/>
      <c r="E42" s="21"/>
      <c r="F42" s="21"/>
      <c r="G42" s="21"/>
      <c r="H42" s="21"/>
      <c r="I42" s="21"/>
      <c r="J42" s="36"/>
      <c r="K42" s="17"/>
      <c r="L42" s="17"/>
      <c r="M42" s="17"/>
      <c r="N42" s="34"/>
      <c r="O42" s="34"/>
      <c r="P42" s="34"/>
      <c r="Q42" s="34"/>
      <c r="R42" s="34"/>
      <c r="S42" s="34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</row>
    <row r="43" spans="3:55" ht="18.75" customHeight="1">
      <c r="C43" s="18" t="s">
        <v>37</v>
      </c>
      <c r="D43" s="19">
        <f>SUM(D44:D49)</f>
        <v>981.87495200000001</v>
      </c>
      <c r="E43" s="19">
        <f t="shared" ref="E43:M43" si="5">SUM(E44:E49)</f>
        <v>1186.1350219999999</v>
      </c>
      <c r="F43" s="19">
        <f t="shared" si="5"/>
        <v>826.75562000000002</v>
      </c>
      <c r="G43" s="19">
        <f t="shared" si="5"/>
        <v>504.37113299999999</v>
      </c>
      <c r="H43" s="19">
        <f t="shared" si="5"/>
        <v>1511.5808030000001</v>
      </c>
      <c r="I43" s="19">
        <f t="shared" si="5"/>
        <v>2100.976701</v>
      </c>
      <c r="J43" s="35">
        <f t="shared" si="5"/>
        <v>2380.9897430000001</v>
      </c>
      <c r="K43" s="19">
        <f t="shared" si="5"/>
        <v>1822.6375169999999</v>
      </c>
      <c r="L43" s="19">
        <f t="shared" si="5"/>
        <v>2053.133311</v>
      </c>
      <c r="M43" s="19">
        <f t="shared" si="5"/>
        <v>2009.3429610000001</v>
      </c>
      <c r="N43" s="32"/>
      <c r="O43" s="32"/>
      <c r="P43" s="32"/>
      <c r="Q43" s="32"/>
      <c r="R43" s="34"/>
      <c r="S43" s="3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</row>
    <row r="44" spans="3:55" ht="18.75" customHeight="1">
      <c r="C44" s="22" t="s">
        <v>38</v>
      </c>
      <c r="D44" s="21">
        <v>444.95075900000001</v>
      </c>
      <c r="E44" s="21">
        <v>773.35535200000004</v>
      </c>
      <c r="F44" s="21">
        <v>530.11599699999999</v>
      </c>
      <c r="G44" s="21">
        <v>290.44672300000002</v>
      </c>
      <c r="H44" s="21">
        <v>1182.1735920000001</v>
      </c>
      <c r="I44" s="21">
        <v>1546.7129950000001</v>
      </c>
      <c r="J44" s="36">
        <v>1646.8706549999999</v>
      </c>
      <c r="K44" s="17">
        <v>1226.9710050000001</v>
      </c>
      <c r="L44" s="17">
        <v>1448.3576</v>
      </c>
      <c r="M44" s="17">
        <v>1520.4946669999999</v>
      </c>
      <c r="N44" s="34"/>
      <c r="O44" s="34"/>
      <c r="P44" s="34"/>
      <c r="Q44" s="34"/>
      <c r="R44" s="34"/>
      <c r="S44" s="34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</row>
    <row r="45" spans="3:55" ht="18.75" customHeight="1">
      <c r="C45" s="22" t="s">
        <v>39</v>
      </c>
      <c r="D45" s="21">
        <v>309.03109599999999</v>
      </c>
      <c r="E45" s="21">
        <v>193.26579599999999</v>
      </c>
      <c r="F45" s="21">
        <v>194.691575</v>
      </c>
      <c r="G45" s="21">
        <v>113.43531400000001</v>
      </c>
      <c r="H45" s="21">
        <v>111.816625</v>
      </c>
      <c r="I45" s="21">
        <v>76.505172000000002</v>
      </c>
      <c r="J45" s="36">
        <v>297.12434999999999</v>
      </c>
      <c r="K45" s="17">
        <v>176.241713</v>
      </c>
      <c r="L45" s="17">
        <v>75.571763000000004</v>
      </c>
      <c r="M45" s="17">
        <v>26.394521999999998</v>
      </c>
      <c r="N45" s="34"/>
      <c r="O45" s="34"/>
      <c r="P45" s="34"/>
      <c r="Q45" s="34"/>
      <c r="R45" s="34"/>
      <c r="S45" s="34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</row>
    <row r="46" spans="3:55" ht="18.75" customHeight="1">
      <c r="C46" s="22" t="s">
        <v>40</v>
      </c>
      <c r="D46" s="21">
        <v>27.504299</v>
      </c>
      <c r="E46" s="21">
        <v>37.136892000000003</v>
      </c>
      <c r="F46" s="21">
        <v>3.9660959999999998</v>
      </c>
      <c r="G46" s="21">
        <v>7.9152399999999998</v>
      </c>
      <c r="H46" s="21">
        <v>8.8272379999999995</v>
      </c>
      <c r="I46" s="21">
        <v>47.805432000000003</v>
      </c>
      <c r="J46" s="36">
        <v>36.429684000000002</v>
      </c>
      <c r="K46" s="17">
        <v>54.237802000000002</v>
      </c>
      <c r="L46" s="17">
        <v>46.689447999999999</v>
      </c>
      <c r="M46" s="17">
        <v>45.615633000000003</v>
      </c>
      <c r="N46" s="34"/>
      <c r="O46" s="34"/>
      <c r="P46" s="34"/>
      <c r="Q46" s="34"/>
      <c r="R46" s="34"/>
      <c r="S46" s="34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</row>
    <row r="47" spans="3:55" ht="18.75" customHeight="1">
      <c r="C47" s="22" t="s">
        <v>41</v>
      </c>
      <c r="D47" s="21">
        <v>138.64036899999999</v>
      </c>
      <c r="E47" s="21">
        <v>86.745419999999996</v>
      </c>
      <c r="F47" s="21">
        <v>13.153468</v>
      </c>
      <c r="G47" s="21">
        <v>14.093896000000001</v>
      </c>
      <c r="H47" s="21">
        <v>55.589787999999999</v>
      </c>
      <c r="I47" s="21">
        <v>374.32469900000001</v>
      </c>
      <c r="J47" s="36">
        <v>337.13361099999997</v>
      </c>
      <c r="K47" s="17">
        <v>289.15411899999998</v>
      </c>
      <c r="L47" s="17">
        <v>405.64950700000003</v>
      </c>
      <c r="M47" s="17">
        <v>339.08094</v>
      </c>
      <c r="N47" s="34"/>
      <c r="O47" s="34"/>
      <c r="P47" s="34"/>
      <c r="Q47" s="34"/>
      <c r="R47" s="34"/>
      <c r="S47" s="34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</row>
    <row r="48" spans="3:55" ht="18.75" customHeight="1">
      <c r="C48" s="22" t="s">
        <v>42</v>
      </c>
      <c r="D48" s="21">
        <v>0</v>
      </c>
      <c r="E48" s="21">
        <v>0</v>
      </c>
      <c r="F48" s="21">
        <v>0</v>
      </c>
      <c r="G48" s="21">
        <v>3.1108980000000002</v>
      </c>
      <c r="H48" s="21">
        <v>0</v>
      </c>
      <c r="I48" s="21">
        <v>6.713508</v>
      </c>
      <c r="J48" s="36">
        <v>4.5988389999999999</v>
      </c>
      <c r="K48" s="17">
        <v>4.116441</v>
      </c>
      <c r="L48" s="17">
        <v>4.3828449999999997</v>
      </c>
      <c r="M48" s="17">
        <v>4.3997409999999997</v>
      </c>
      <c r="N48" s="34"/>
      <c r="O48" s="34"/>
      <c r="P48" s="34"/>
      <c r="Q48" s="34"/>
      <c r="R48" s="34"/>
      <c r="S48" s="34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</row>
    <row r="49" spans="3:55" ht="18.75" customHeight="1">
      <c r="C49" s="22" t="s">
        <v>43</v>
      </c>
      <c r="D49" s="21">
        <v>61.748429000000002</v>
      </c>
      <c r="E49" s="21">
        <v>95.631562000000002</v>
      </c>
      <c r="F49" s="21">
        <v>84.828484000000003</v>
      </c>
      <c r="G49" s="21">
        <v>75.369062</v>
      </c>
      <c r="H49" s="21">
        <v>153.17356000000001</v>
      </c>
      <c r="I49" s="21">
        <v>48.914895000000001</v>
      </c>
      <c r="J49" s="36">
        <v>58.832604000000003</v>
      </c>
      <c r="K49" s="17">
        <v>71.916437000000002</v>
      </c>
      <c r="L49" s="17">
        <v>72.482147999999995</v>
      </c>
      <c r="M49" s="17">
        <v>73.357457999999994</v>
      </c>
      <c r="N49" s="34"/>
      <c r="O49" s="34"/>
      <c r="P49" s="34"/>
      <c r="Q49" s="34"/>
      <c r="R49" s="34"/>
      <c r="S49" s="34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</row>
    <row r="50" spans="3:55" ht="18.75" customHeight="1">
      <c r="C50" s="22"/>
      <c r="D50" s="21"/>
      <c r="E50" s="21"/>
      <c r="F50" s="21"/>
      <c r="G50" s="21"/>
      <c r="H50" s="21"/>
      <c r="I50" s="21"/>
      <c r="J50" s="36"/>
      <c r="K50" s="17"/>
      <c r="L50" s="17"/>
      <c r="M50" s="17"/>
      <c r="N50" s="34"/>
      <c r="O50" s="34"/>
      <c r="P50" s="34"/>
      <c r="Q50" s="34"/>
      <c r="R50" s="34"/>
      <c r="S50" s="34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</row>
    <row r="51" spans="3:55" ht="18.75" customHeight="1">
      <c r="C51" s="18" t="s">
        <v>44</v>
      </c>
      <c r="D51" s="19">
        <f>SUM(D52:D55)</f>
        <v>1693.662949</v>
      </c>
      <c r="E51" s="19">
        <f t="shared" ref="E51:M51" si="6">SUM(E52:E55)</f>
        <v>1354.194694</v>
      </c>
      <c r="F51" s="19">
        <f t="shared" si="6"/>
        <v>2626.9542820000001</v>
      </c>
      <c r="G51" s="19">
        <f t="shared" si="6"/>
        <v>2991.9280779999999</v>
      </c>
      <c r="H51" s="19">
        <f t="shared" si="6"/>
        <v>2718.5837820000002</v>
      </c>
      <c r="I51" s="19">
        <f t="shared" si="6"/>
        <v>4962.949533</v>
      </c>
      <c r="J51" s="35">
        <f t="shared" si="6"/>
        <v>4912.6379649999999</v>
      </c>
      <c r="K51" s="14">
        <f t="shared" si="6"/>
        <v>4188.0623770000002</v>
      </c>
      <c r="L51" s="14">
        <f t="shared" si="6"/>
        <v>4301.2715500000004</v>
      </c>
      <c r="M51" s="14">
        <f t="shared" si="6"/>
        <v>4633.3074489999999</v>
      </c>
      <c r="N51" s="32"/>
      <c r="O51" s="32"/>
      <c r="P51" s="32"/>
      <c r="Q51" s="32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</row>
    <row r="52" spans="3:55" ht="18.75" customHeight="1">
      <c r="C52" s="22" t="s">
        <v>45</v>
      </c>
      <c r="D52" s="21">
        <v>453.28564399999999</v>
      </c>
      <c r="E52" s="21">
        <v>142.57951</v>
      </c>
      <c r="F52" s="21">
        <v>904.34193300000004</v>
      </c>
      <c r="G52" s="21">
        <v>1463.160654</v>
      </c>
      <c r="H52" s="21">
        <v>677.24094500000001</v>
      </c>
      <c r="I52" s="21">
        <v>3013.521424</v>
      </c>
      <c r="J52" s="36">
        <v>2827.6689799999999</v>
      </c>
      <c r="K52" s="17">
        <v>1813.0668519999999</v>
      </c>
      <c r="L52" s="17">
        <v>1694.795079</v>
      </c>
      <c r="M52" s="17">
        <v>1984.2895840000001</v>
      </c>
      <c r="N52" s="34"/>
      <c r="O52" s="34"/>
      <c r="P52" s="34"/>
      <c r="Q52" s="34"/>
      <c r="R52" s="34"/>
      <c r="S52" s="34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</row>
    <row r="53" spans="3:55" ht="18.75" customHeight="1">
      <c r="C53" s="22" t="s">
        <v>46</v>
      </c>
      <c r="D53" s="21">
        <v>1097.475606</v>
      </c>
      <c r="E53" s="21">
        <v>1107.7880990000001</v>
      </c>
      <c r="F53" s="21">
        <v>1619.272301</v>
      </c>
      <c r="G53" s="21">
        <v>1468.498169</v>
      </c>
      <c r="H53" s="21">
        <v>1917.926982</v>
      </c>
      <c r="I53" s="21">
        <v>1693.1059339999999</v>
      </c>
      <c r="J53" s="36">
        <v>1885.0433820000001</v>
      </c>
      <c r="K53" s="17">
        <v>2308.1678449999999</v>
      </c>
      <c r="L53" s="17">
        <v>2535.066507</v>
      </c>
      <c r="M53" s="17">
        <v>2631.3373670000001</v>
      </c>
      <c r="N53" s="34"/>
      <c r="O53" s="34"/>
      <c r="P53" s="34"/>
      <c r="Q53" s="34"/>
      <c r="R53" s="32"/>
      <c r="S53" s="32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</row>
    <row r="54" spans="3:55" ht="18.75" customHeight="1">
      <c r="C54" s="22" t="s">
        <v>47</v>
      </c>
      <c r="D54" s="21">
        <v>142.90169900000001</v>
      </c>
      <c r="E54" s="21">
        <v>103.827085</v>
      </c>
      <c r="F54" s="21">
        <v>103.340048</v>
      </c>
      <c r="G54" s="21">
        <v>60.269255000000001</v>
      </c>
      <c r="H54" s="21">
        <v>116.560653</v>
      </c>
      <c r="I54" s="21">
        <v>256.32217500000002</v>
      </c>
      <c r="J54" s="36">
        <v>199.925603</v>
      </c>
      <c r="K54" s="17">
        <v>66.800117999999998</v>
      </c>
      <c r="L54" s="17">
        <v>71.409964000000002</v>
      </c>
      <c r="M54" s="17">
        <v>17.680498</v>
      </c>
      <c r="N54" s="34"/>
      <c r="O54" s="34"/>
      <c r="P54" s="34"/>
      <c r="Q54" s="34"/>
      <c r="R54" s="34"/>
      <c r="S54" s="34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</row>
    <row r="55" spans="3:55" ht="18.75" customHeight="1">
      <c r="C55" s="22" t="s">
        <v>48</v>
      </c>
      <c r="D55" s="21">
        <v>0</v>
      </c>
      <c r="E55" s="21">
        <v>0</v>
      </c>
      <c r="F55" s="21">
        <v>0</v>
      </c>
      <c r="G55" s="21">
        <v>0</v>
      </c>
      <c r="H55" s="21">
        <v>6.8552020000000002</v>
      </c>
      <c r="I55" s="21">
        <v>0</v>
      </c>
      <c r="J55" s="36">
        <v>0</v>
      </c>
      <c r="K55" s="17">
        <v>2.7562E-2</v>
      </c>
      <c r="L55" s="17">
        <v>0</v>
      </c>
      <c r="M55" s="17">
        <v>0</v>
      </c>
      <c r="N55" s="34"/>
      <c r="O55" s="34"/>
      <c r="P55" s="34"/>
      <c r="Q55" s="34"/>
      <c r="R55" s="34"/>
      <c r="S55" s="34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</row>
    <row r="56" spans="3:55" ht="18.75" customHeight="1">
      <c r="C56" s="22"/>
      <c r="D56" s="21"/>
      <c r="E56" s="21"/>
      <c r="F56" s="21"/>
      <c r="G56" s="21"/>
      <c r="H56" s="21"/>
      <c r="I56" s="21"/>
      <c r="J56" s="36"/>
      <c r="K56" s="17"/>
      <c r="L56" s="17"/>
      <c r="M56" s="17"/>
      <c r="N56" s="34"/>
      <c r="O56" s="34"/>
      <c r="P56" s="34"/>
      <c r="Q56" s="34"/>
      <c r="R56" s="34"/>
      <c r="S56" s="34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</row>
    <row r="57" spans="3:55" ht="18.75" customHeight="1">
      <c r="C57" s="18" t="s">
        <v>49</v>
      </c>
      <c r="D57" s="19">
        <f>SUM(D58:D63)</f>
        <v>3750.4032440000001</v>
      </c>
      <c r="E57" s="19">
        <f t="shared" ref="E57:M57" si="7">SUM(E58:E63)</f>
        <v>3408.0512389999999</v>
      </c>
      <c r="F57" s="19">
        <f t="shared" si="7"/>
        <v>3372.266901</v>
      </c>
      <c r="G57" s="19">
        <f t="shared" si="7"/>
        <v>4305.3634599999996</v>
      </c>
      <c r="H57" s="19">
        <f t="shared" si="7"/>
        <v>4752.2948120000001</v>
      </c>
      <c r="I57" s="19">
        <f t="shared" si="7"/>
        <v>6236.4776389999997</v>
      </c>
      <c r="J57" s="35">
        <f t="shared" si="7"/>
        <v>7405.1237950000004</v>
      </c>
      <c r="K57" s="14">
        <f t="shared" si="7"/>
        <v>7486.6204850000004</v>
      </c>
      <c r="L57" s="14">
        <f t="shared" si="7"/>
        <v>7691.1001070000002</v>
      </c>
      <c r="M57" s="14">
        <f t="shared" si="7"/>
        <v>7688.4434600000004</v>
      </c>
      <c r="N57" s="32"/>
      <c r="O57" s="32"/>
      <c r="P57" s="32"/>
      <c r="Q57" s="32"/>
      <c r="R57" s="34"/>
      <c r="S57" s="34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</row>
    <row r="58" spans="3:55" ht="18.75" customHeight="1">
      <c r="C58" s="22" t="s">
        <v>50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2100.255361</v>
      </c>
      <c r="J58" s="36">
        <v>2637.493262</v>
      </c>
      <c r="K58" s="17">
        <v>2190.7960670000002</v>
      </c>
      <c r="L58" s="17">
        <v>2299.5593090000002</v>
      </c>
      <c r="M58" s="17">
        <v>2370.5475329999999</v>
      </c>
      <c r="N58" s="34"/>
      <c r="O58" s="34"/>
      <c r="P58" s="34"/>
      <c r="Q58" s="34"/>
      <c r="R58" s="34"/>
      <c r="S58" s="34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</row>
    <row r="59" spans="3:55" ht="18.75" customHeight="1">
      <c r="C59" s="22" t="s">
        <v>51</v>
      </c>
      <c r="D59" s="21">
        <v>0.483539</v>
      </c>
      <c r="E59" s="21">
        <v>1.6688860000000001</v>
      </c>
      <c r="F59" s="21">
        <v>3.9129369999999999</v>
      </c>
      <c r="G59" s="21">
        <v>13.159383999999999</v>
      </c>
      <c r="H59" s="21">
        <v>7.1334070000000001</v>
      </c>
      <c r="I59" s="21">
        <v>329.55416600000001</v>
      </c>
      <c r="J59" s="36">
        <v>911.35662500000001</v>
      </c>
      <c r="K59" s="17">
        <v>1044.747423</v>
      </c>
      <c r="L59" s="17">
        <v>1059.9549010000001</v>
      </c>
      <c r="M59" s="17">
        <v>1035.1515790000001</v>
      </c>
      <c r="N59" s="34"/>
      <c r="O59" s="34"/>
      <c r="P59" s="34"/>
      <c r="Q59" s="34"/>
      <c r="R59" s="34"/>
      <c r="S59" s="34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</row>
    <row r="60" spans="3:55" ht="18.75" customHeight="1">
      <c r="C60" s="22" t="s">
        <v>52</v>
      </c>
      <c r="D60" s="21">
        <v>3464.1359750000001</v>
      </c>
      <c r="E60" s="21">
        <v>3095.0308009999999</v>
      </c>
      <c r="F60" s="21">
        <v>2893.614564</v>
      </c>
      <c r="G60" s="21">
        <v>3005.2939040000001</v>
      </c>
      <c r="H60" s="21">
        <v>3558.618039</v>
      </c>
      <c r="I60" s="21">
        <v>2288.5060130000002</v>
      </c>
      <c r="J60" s="36">
        <v>3439.7333400000002</v>
      </c>
      <c r="K60" s="17">
        <v>3720.9140430000002</v>
      </c>
      <c r="L60" s="17">
        <v>3858.2459140000001</v>
      </c>
      <c r="M60" s="17">
        <v>3802.0147240000001</v>
      </c>
      <c r="N60" s="34"/>
      <c r="O60" s="34"/>
      <c r="P60" s="34"/>
      <c r="Q60" s="34"/>
      <c r="R60" s="34"/>
      <c r="S60" s="34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</row>
    <row r="61" spans="3:55" ht="18.75" customHeight="1">
      <c r="C61" s="22" t="s">
        <v>53</v>
      </c>
      <c r="D61" s="21">
        <v>275.86024900000001</v>
      </c>
      <c r="E61" s="21">
        <v>304.62205499999999</v>
      </c>
      <c r="F61" s="21">
        <v>467.57576499999999</v>
      </c>
      <c r="G61" s="21">
        <v>1286.249922</v>
      </c>
      <c r="H61" s="21">
        <v>1186.3312309999999</v>
      </c>
      <c r="I61" s="21">
        <v>335.49319000000003</v>
      </c>
      <c r="J61" s="36">
        <v>186.81038000000001</v>
      </c>
      <c r="K61" s="17">
        <v>122.01457600000001</v>
      </c>
      <c r="L61" s="17">
        <v>122.43551600000001</v>
      </c>
      <c r="M61" s="17">
        <v>123.818797</v>
      </c>
      <c r="N61" s="34"/>
      <c r="O61" s="34"/>
      <c r="P61" s="34"/>
      <c r="Q61" s="34"/>
      <c r="R61" s="34"/>
      <c r="S61" s="34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</row>
    <row r="62" spans="3:55" ht="18.75" customHeight="1">
      <c r="C62" s="22" t="s">
        <v>54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938.258149</v>
      </c>
      <c r="J62" s="36">
        <v>3.527997</v>
      </c>
      <c r="K62" s="17">
        <v>8.7951080000000008</v>
      </c>
      <c r="L62" s="17">
        <v>4.0382749999999996</v>
      </c>
      <c r="M62" s="17">
        <v>4.0389189999999999</v>
      </c>
      <c r="N62" s="34"/>
      <c r="O62" s="34"/>
      <c r="P62" s="34"/>
      <c r="Q62" s="34"/>
      <c r="R62" s="34"/>
      <c r="S62" s="34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</row>
    <row r="63" spans="3:55" ht="18.75" customHeight="1">
      <c r="C63" s="22" t="s">
        <v>55</v>
      </c>
      <c r="D63" s="21">
        <v>9.9234810000000007</v>
      </c>
      <c r="E63" s="21">
        <v>6.7294970000000003</v>
      </c>
      <c r="F63" s="21">
        <v>7.1636350000000002</v>
      </c>
      <c r="G63" s="21">
        <v>0.66025</v>
      </c>
      <c r="H63" s="21">
        <v>0.21213499999999999</v>
      </c>
      <c r="I63" s="21">
        <v>244.41076000000001</v>
      </c>
      <c r="J63" s="36">
        <v>226.202191</v>
      </c>
      <c r="K63" s="17">
        <v>399.35326800000001</v>
      </c>
      <c r="L63" s="17">
        <v>346.86619200000001</v>
      </c>
      <c r="M63" s="17">
        <v>352.87190800000002</v>
      </c>
      <c r="N63" s="34"/>
      <c r="O63" s="34"/>
      <c r="P63" s="34"/>
      <c r="Q63" s="34"/>
      <c r="R63" s="34"/>
      <c r="S63" s="34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</row>
    <row r="64" spans="3:55" ht="18.75" customHeight="1">
      <c r="C64" s="22"/>
      <c r="D64" s="21"/>
      <c r="E64" s="21"/>
      <c r="F64" s="21"/>
      <c r="G64" s="21"/>
      <c r="H64" s="21"/>
      <c r="I64" s="21"/>
      <c r="J64" s="36"/>
      <c r="K64" s="17"/>
      <c r="L64" s="17"/>
      <c r="M64" s="17"/>
      <c r="N64" s="34"/>
      <c r="O64" s="34"/>
      <c r="P64" s="34"/>
      <c r="Q64" s="34"/>
      <c r="R64" s="34"/>
      <c r="S64" s="34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</row>
    <row r="65" spans="3:55" ht="18.75" customHeight="1">
      <c r="C65" s="18" t="s">
        <v>56</v>
      </c>
      <c r="D65" s="19">
        <f>SUM(D66:D70)</f>
        <v>926.807231</v>
      </c>
      <c r="E65" s="19">
        <f t="shared" ref="E65:M65" si="8">SUM(E66:E70)</f>
        <v>882.02225999999996</v>
      </c>
      <c r="F65" s="19">
        <f t="shared" si="8"/>
        <v>742.13024600000006</v>
      </c>
      <c r="G65" s="19">
        <f t="shared" si="8"/>
        <v>598.852487</v>
      </c>
      <c r="H65" s="19">
        <f t="shared" si="8"/>
        <v>731.36501599999997</v>
      </c>
      <c r="I65" s="19">
        <f t="shared" si="8"/>
        <v>934.44211600000006</v>
      </c>
      <c r="J65" s="35">
        <f t="shared" si="8"/>
        <v>1027.752671</v>
      </c>
      <c r="K65" s="14">
        <f t="shared" si="8"/>
        <v>1200.312627</v>
      </c>
      <c r="L65" s="14">
        <f t="shared" si="8"/>
        <v>1312.856225</v>
      </c>
      <c r="M65" s="14">
        <f t="shared" si="8"/>
        <v>1163.0235110000001</v>
      </c>
      <c r="N65" s="32"/>
      <c r="O65" s="32"/>
      <c r="P65" s="32"/>
      <c r="Q65" s="32"/>
      <c r="R65" s="34"/>
      <c r="S65" s="34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</row>
    <row r="66" spans="3:55" ht="18.75" customHeight="1">
      <c r="C66" s="22" t="s">
        <v>57</v>
      </c>
      <c r="D66" s="21">
        <v>350.15365600000001</v>
      </c>
      <c r="E66" s="21">
        <v>284.49100199999998</v>
      </c>
      <c r="F66" s="21">
        <v>309.84527700000001</v>
      </c>
      <c r="G66" s="21">
        <v>321.05280900000002</v>
      </c>
      <c r="H66" s="21">
        <v>409.16492299999999</v>
      </c>
      <c r="I66" s="21">
        <v>400.94305800000001</v>
      </c>
      <c r="J66" s="36">
        <v>454.490072</v>
      </c>
      <c r="K66" s="17">
        <v>507.34192300000001</v>
      </c>
      <c r="L66" s="17">
        <v>590.49661200000003</v>
      </c>
      <c r="M66" s="17">
        <v>490.49245300000001</v>
      </c>
      <c r="N66" s="34"/>
      <c r="O66" s="34"/>
      <c r="P66" s="34"/>
      <c r="Q66" s="34"/>
      <c r="R66" s="34"/>
      <c r="S66" s="34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</row>
    <row r="67" spans="3:55" ht="18.75" customHeight="1">
      <c r="C67" s="22" t="s">
        <v>58</v>
      </c>
      <c r="D67" s="21">
        <v>18.181044</v>
      </c>
      <c r="E67" s="21">
        <v>21.267917000000001</v>
      </c>
      <c r="F67" s="21">
        <v>39.376033</v>
      </c>
      <c r="G67" s="21">
        <v>32.962566000000002</v>
      </c>
      <c r="H67" s="21">
        <v>37.804606999999997</v>
      </c>
      <c r="I67" s="21">
        <v>43.912421000000002</v>
      </c>
      <c r="J67" s="36">
        <v>63.681946000000003</v>
      </c>
      <c r="K67" s="17">
        <v>120.50372299999999</v>
      </c>
      <c r="L67" s="17">
        <v>76.54871</v>
      </c>
      <c r="M67" s="17">
        <v>76.487290999999999</v>
      </c>
      <c r="N67" s="34"/>
      <c r="O67" s="34"/>
      <c r="P67" s="34"/>
      <c r="Q67" s="34"/>
      <c r="R67" s="32"/>
      <c r="S67" s="32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</row>
    <row r="68" spans="3:55" ht="18.75" customHeight="1">
      <c r="C68" s="22" t="s">
        <v>59</v>
      </c>
      <c r="D68" s="21">
        <v>1.8071E-2</v>
      </c>
      <c r="E68" s="21">
        <v>0</v>
      </c>
      <c r="F68" s="21">
        <v>0</v>
      </c>
      <c r="G68" s="21">
        <v>0</v>
      </c>
      <c r="H68" s="21">
        <v>0</v>
      </c>
      <c r="I68" s="21">
        <v>98.401137000000006</v>
      </c>
      <c r="J68" s="36">
        <v>96.487341999999998</v>
      </c>
      <c r="K68" s="17">
        <v>100.03733</v>
      </c>
      <c r="L68" s="17">
        <v>99.707260000000005</v>
      </c>
      <c r="M68" s="17">
        <v>99.738259999999997</v>
      </c>
      <c r="N68" s="34"/>
      <c r="O68" s="34"/>
      <c r="P68" s="34"/>
      <c r="Q68" s="34"/>
      <c r="R68" s="34"/>
      <c r="S68" s="34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</row>
    <row r="69" spans="3:55" ht="18.75" customHeight="1">
      <c r="C69" s="22" t="s">
        <v>60</v>
      </c>
      <c r="D69" s="21">
        <v>558.45446000000004</v>
      </c>
      <c r="E69" s="21">
        <v>576.26334099999997</v>
      </c>
      <c r="F69" s="21">
        <v>392.90893599999998</v>
      </c>
      <c r="G69" s="21">
        <v>244.83711199999999</v>
      </c>
      <c r="H69" s="21">
        <v>284.39548600000001</v>
      </c>
      <c r="I69" s="21">
        <v>335.89675899999997</v>
      </c>
      <c r="J69" s="36">
        <v>354.32406700000001</v>
      </c>
      <c r="K69" s="17">
        <v>402.44014099999998</v>
      </c>
      <c r="L69" s="17">
        <v>475.581592</v>
      </c>
      <c r="M69" s="17">
        <v>426.69949500000001</v>
      </c>
      <c r="N69" s="34"/>
      <c r="O69" s="34"/>
      <c r="P69" s="34"/>
      <c r="Q69" s="34"/>
      <c r="R69" s="34"/>
      <c r="S69" s="34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</row>
    <row r="70" spans="3:55" ht="18.75" customHeight="1">
      <c r="C70" s="22" t="s">
        <v>61</v>
      </c>
      <c r="D70" s="21">
        <v>0</v>
      </c>
      <c r="E70" s="21">
        <v>0</v>
      </c>
      <c r="F70" s="21">
        <v>0</v>
      </c>
      <c r="G70" s="21">
        <v>0</v>
      </c>
      <c r="H70" s="21">
        <v>0</v>
      </c>
      <c r="I70" s="21">
        <v>55.288741000000002</v>
      </c>
      <c r="J70" s="36">
        <v>58.769244</v>
      </c>
      <c r="K70" s="17">
        <v>69.989509999999996</v>
      </c>
      <c r="L70" s="17">
        <v>70.522051000000005</v>
      </c>
      <c r="M70" s="17">
        <v>69.606012000000007</v>
      </c>
      <c r="N70" s="34"/>
      <c r="O70" s="34"/>
      <c r="P70" s="34"/>
      <c r="Q70" s="34"/>
      <c r="R70" s="34"/>
      <c r="S70" s="34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</row>
    <row r="71" spans="3:55" ht="18.75" customHeight="1">
      <c r="C71" s="22"/>
      <c r="D71" s="21"/>
      <c r="E71" s="21"/>
      <c r="F71" s="21"/>
      <c r="G71" s="21"/>
      <c r="H71" s="21"/>
      <c r="I71" s="21"/>
      <c r="J71" s="36"/>
      <c r="K71" s="17"/>
      <c r="L71" s="17"/>
      <c r="M71" s="17"/>
      <c r="N71" s="34"/>
      <c r="O71" s="34"/>
      <c r="P71" s="34"/>
      <c r="Q71" s="34"/>
      <c r="R71" s="34"/>
      <c r="S71" s="34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</row>
    <row r="72" spans="3:55" ht="18.75" customHeight="1">
      <c r="C72" s="18" t="s">
        <v>62</v>
      </c>
      <c r="D72" s="19">
        <f>SUM(D73:D80)</f>
        <v>2822.2328280000002</v>
      </c>
      <c r="E72" s="19">
        <f t="shared" ref="E72:M72" si="9">SUM(E73:E80)</f>
        <v>3203.048229</v>
      </c>
      <c r="F72" s="19">
        <f t="shared" si="9"/>
        <v>3632.2430530000001</v>
      </c>
      <c r="G72" s="19">
        <f t="shared" si="9"/>
        <v>3288.7698529999998</v>
      </c>
      <c r="H72" s="19">
        <f t="shared" si="9"/>
        <v>3726.738922</v>
      </c>
      <c r="I72" s="19">
        <f t="shared" si="9"/>
        <v>4437.2148289999996</v>
      </c>
      <c r="J72" s="35">
        <f t="shared" si="9"/>
        <v>5250.3644919999997</v>
      </c>
      <c r="K72" s="14">
        <f t="shared" si="9"/>
        <v>5343.0407400000004</v>
      </c>
      <c r="L72" s="14">
        <f t="shared" si="9"/>
        <v>5599.8902049999997</v>
      </c>
      <c r="M72" s="14">
        <f t="shared" si="9"/>
        <v>5313.8482050000002</v>
      </c>
      <c r="N72" s="32"/>
      <c r="O72" s="32"/>
      <c r="P72" s="32"/>
      <c r="Q72" s="32"/>
      <c r="R72" s="34"/>
      <c r="S72" s="34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</row>
    <row r="73" spans="3:55" ht="18.75" customHeight="1">
      <c r="C73" s="22" t="s">
        <v>63</v>
      </c>
      <c r="D73" s="21">
        <v>4.7590180000000002</v>
      </c>
      <c r="E73" s="21">
        <v>2.8356979999999998</v>
      </c>
      <c r="F73" s="21">
        <v>0.17297699999999999</v>
      </c>
      <c r="G73" s="21">
        <v>0</v>
      </c>
      <c r="H73" s="21">
        <v>0</v>
      </c>
      <c r="I73" s="21">
        <v>0</v>
      </c>
      <c r="J73" s="36">
        <v>1289.01531</v>
      </c>
      <c r="K73" s="17">
        <v>1422.9242119999999</v>
      </c>
      <c r="L73" s="17">
        <v>1422.9242119999999</v>
      </c>
      <c r="M73" s="17">
        <v>1422.9242119999999</v>
      </c>
      <c r="N73" s="34"/>
      <c r="O73" s="34"/>
      <c r="P73" s="34"/>
      <c r="Q73" s="34"/>
      <c r="R73" s="34"/>
      <c r="S73" s="34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</row>
    <row r="74" spans="3:55" ht="18.75" customHeight="1">
      <c r="C74" s="22" t="s">
        <v>64</v>
      </c>
      <c r="D74" s="21">
        <v>272.86814399999997</v>
      </c>
      <c r="E74" s="21">
        <v>144.963616</v>
      </c>
      <c r="F74" s="21">
        <v>84.064688000000004</v>
      </c>
      <c r="G74" s="21">
        <v>99.581159999999997</v>
      </c>
      <c r="H74" s="21">
        <v>94.571845999999994</v>
      </c>
      <c r="I74" s="21">
        <v>116.117198</v>
      </c>
      <c r="J74" s="36">
        <v>970.01710400000002</v>
      </c>
      <c r="K74" s="17">
        <v>1115.3735790000001</v>
      </c>
      <c r="L74" s="17">
        <v>1145.4388429999999</v>
      </c>
      <c r="M74" s="17">
        <v>1126.298153</v>
      </c>
      <c r="N74" s="34"/>
      <c r="O74" s="34"/>
      <c r="P74" s="34"/>
      <c r="Q74" s="34"/>
      <c r="R74" s="34"/>
      <c r="S74" s="34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</row>
    <row r="75" spans="3:55" ht="18.75" customHeight="1">
      <c r="C75" s="22" t="s">
        <v>65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6.3036490000000001</v>
      </c>
      <c r="J75" s="36">
        <v>139.867302</v>
      </c>
      <c r="K75" s="17">
        <v>164.95274800000001</v>
      </c>
      <c r="L75" s="17">
        <v>164.95274800000001</v>
      </c>
      <c r="M75" s="17">
        <v>164.95274800000001</v>
      </c>
      <c r="N75" s="34"/>
      <c r="O75" s="34"/>
      <c r="P75" s="34"/>
      <c r="Q75" s="34"/>
      <c r="R75" s="34"/>
      <c r="S75" s="34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</row>
    <row r="76" spans="3:55" ht="18.75" customHeight="1">
      <c r="C76" s="22" t="s">
        <v>66</v>
      </c>
      <c r="D76" s="21">
        <v>348.93276600000002</v>
      </c>
      <c r="E76" s="21">
        <v>695.60666800000001</v>
      </c>
      <c r="F76" s="21">
        <v>752.392833</v>
      </c>
      <c r="G76" s="21">
        <v>686.93798700000002</v>
      </c>
      <c r="H76" s="21">
        <v>788.05201199999999</v>
      </c>
      <c r="I76" s="21">
        <v>822.05489599999999</v>
      </c>
      <c r="J76" s="36">
        <v>1321.7234450000001</v>
      </c>
      <c r="K76" s="17">
        <v>1217.4830420000001</v>
      </c>
      <c r="L76" s="17">
        <v>1148.8965310000001</v>
      </c>
      <c r="M76" s="17">
        <v>1099.5634580000001</v>
      </c>
      <c r="N76" s="34"/>
      <c r="O76" s="34"/>
      <c r="P76" s="34"/>
      <c r="Q76" s="34"/>
      <c r="R76" s="34"/>
      <c r="S76" s="34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</row>
    <row r="77" spans="3:55" ht="18.75" customHeight="1">
      <c r="C77" s="22" t="s">
        <v>67</v>
      </c>
      <c r="D77" s="21">
        <v>2.155389</v>
      </c>
      <c r="E77" s="21">
        <v>1.291455</v>
      </c>
      <c r="F77" s="21">
        <v>22.029094000000001</v>
      </c>
      <c r="G77" s="21">
        <v>29.637249000000001</v>
      </c>
      <c r="H77" s="21">
        <v>158.858734</v>
      </c>
      <c r="I77" s="21">
        <v>372.08384699999999</v>
      </c>
      <c r="J77" s="36">
        <v>468.61183299999999</v>
      </c>
      <c r="K77" s="17">
        <v>293.43679500000002</v>
      </c>
      <c r="L77" s="17">
        <v>577.85715400000004</v>
      </c>
      <c r="M77" s="17">
        <v>338.35391700000002</v>
      </c>
      <c r="N77" s="34"/>
      <c r="O77" s="34"/>
      <c r="P77" s="34"/>
      <c r="Q77" s="34"/>
      <c r="R77" s="34"/>
      <c r="S77" s="34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</row>
    <row r="78" spans="3:55" ht="18.75" customHeight="1">
      <c r="C78" s="22" t="s">
        <v>68</v>
      </c>
      <c r="D78" s="21">
        <v>33.392603999999999</v>
      </c>
      <c r="E78" s="21">
        <v>129.27908600000001</v>
      </c>
      <c r="F78" s="21">
        <v>45.24633</v>
      </c>
      <c r="G78" s="21">
        <v>18.821041000000001</v>
      </c>
      <c r="H78" s="21">
        <v>32.356834999999997</v>
      </c>
      <c r="I78" s="21">
        <v>53.681080999999999</v>
      </c>
      <c r="J78" s="36">
        <v>71.976297000000002</v>
      </c>
      <c r="K78" s="17">
        <v>43.689169</v>
      </c>
      <c r="L78" s="17">
        <v>47.460400999999997</v>
      </c>
      <c r="M78" s="17">
        <v>64.660400999999993</v>
      </c>
      <c r="N78" s="34"/>
      <c r="O78" s="34"/>
      <c r="P78" s="34"/>
      <c r="Q78" s="34"/>
      <c r="R78" s="34"/>
      <c r="S78" s="34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</row>
    <row r="79" spans="3:55" ht="18.75" customHeight="1">
      <c r="C79" s="22" t="s">
        <v>69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13.472144</v>
      </c>
      <c r="J79" s="36">
        <v>13.603705</v>
      </c>
      <c r="K79" s="17">
        <v>27.126656000000001</v>
      </c>
      <c r="L79" s="17">
        <v>27.209713000000001</v>
      </c>
      <c r="M79" s="17">
        <v>27.295262999999998</v>
      </c>
      <c r="N79" s="34"/>
      <c r="O79" s="34"/>
      <c r="P79" s="34"/>
      <c r="Q79" s="34"/>
      <c r="R79" s="34"/>
      <c r="S79" s="34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</row>
    <row r="80" spans="3:55" ht="18.75" customHeight="1">
      <c r="C80" s="22" t="s">
        <v>70</v>
      </c>
      <c r="D80" s="21">
        <v>2160.1249069999999</v>
      </c>
      <c r="E80" s="21">
        <v>2229.0717060000002</v>
      </c>
      <c r="F80" s="21">
        <v>2728.3371310000002</v>
      </c>
      <c r="G80" s="21">
        <v>2453.7924159999998</v>
      </c>
      <c r="H80" s="21">
        <v>2652.8994950000001</v>
      </c>
      <c r="I80" s="21">
        <v>3053.5020140000001</v>
      </c>
      <c r="J80" s="36">
        <v>975.54949599999998</v>
      </c>
      <c r="K80" s="17">
        <v>1058.054539</v>
      </c>
      <c r="L80" s="17">
        <v>1065.150603</v>
      </c>
      <c r="M80" s="17">
        <v>1069.8000529999999</v>
      </c>
      <c r="N80" s="34"/>
      <c r="O80" s="34"/>
      <c r="P80" s="34"/>
      <c r="Q80" s="34"/>
      <c r="R80" s="34"/>
      <c r="S80" s="34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</row>
    <row r="81" spans="3:55" ht="18.75" customHeight="1">
      <c r="C81" s="22"/>
      <c r="D81" s="21"/>
      <c r="E81" s="21"/>
      <c r="F81" s="21"/>
      <c r="G81" s="21"/>
      <c r="H81" s="21"/>
      <c r="I81" s="21"/>
      <c r="J81" s="36"/>
      <c r="K81" s="17"/>
      <c r="L81" s="17"/>
      <c r="M81" s="17"/>
      <c r="N81" s="34"/>
      <c r="O81" s="34"/>
      <c r="P81" s="34"/>
      <c r="Q81" s="34"/>
      <c r="R81" s="34"/>
      <c r="S81" s="34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</row>
    <row r="82" spans="3:55" ht="18.75" customHeight="1">
      <c r="C82" s="18" t="s">
        <v>71</v>
      </c>
      <c r="D82" s="19">
        <f>SUM(D83:D90)</f>
        <v>2952.386587</v>
      </c>
      <c r="E82" s="19">
        <f t="shared" ref="E82:M82" si="10">SUM(E83:E90)</f>
        <v>4485.8992280000002</v>
      </c>
      <c r="F82" s="19">
        <f t="shared" si="10"/>
        <v>4480.2555769999999</v>
      </c>
      <c r="G82" s="19">
        <f t="shared" si="10"/>
        <v>3556.5553759999998</v>
      </c>
      <c r="H82" s="19">
        <f t="shared" si="10"/>
        <v>4038.9017450000001</v>
      </c>
      <c r="I82" s="49">
        <f t="shared" si="10"/>
        <v>2277.000501</v>
      </c>
      <c r="J82" s="51">
        <f t="shared" si="10"/>
        <v>2512.9811490000002</v>
      </c>
      <c r="K82" s="49">
        <f t="shared" si="10"/>
        <v>3498.2666429999999</v>
      </c>
      <c r="L82" s="49">
        <f t="shared" si="10"/>
        <v>4325.0665090000002</v>
      </c>
      <c r="M82" s="49">
        <f t="shared" si="10"/>
        <v>4549.2936989999998</v>
      </c>
      <c r="N82" s="32"/>
      <c r="O82" s="32"/>
      <c r="P82" s="32"/>
      <c r="Q82" s="32"/>
      <c r="R82" s="34"/>
      <c r="S82" s="34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</row>
    <row r="83" spans="3:55" ht="18.75" customHeight="1">
      <c r="C83" s="22" t="s">
        <v>72</v>
      </c>
      <c r="D83" s="21">
        <v>1193.5024719999999</v>
      </c>
      <c r="E83" s="21">
        <v>1893.6130519999999</v>
      </c>
      <c r="F83" s="48">
        <v>1616.641539</v>
      </c>
      <c r="G83" s="48">
        <v>1551.7629420000001</v>
      </c>
      <c r="H83" s="48">
        <v>2004.660394</v>
      </c>
      <c r="I83" s="48">
        <v>289.42080700000002</v>
      </c>
      <c r="J83" s="52">
        <v>381.04050899999999</v>
      </c>
      <c r="K83" s="48">
        <v>640.27050499999996</v>
      </c>
      <c r="L83" s="48">
        <v>701.46350500000005</v>
      </c>
      <c r="M83" s="48">
        <v>768.673405</v>
      </c>
      <c r="N83" s="34"/>
      <c r="O83" s="34"/>
      <c r="P83" s="34"/>
      <c r="Q83" s="34"/>
      <c r="R83" s="32"/>
      <c r="S83" s="32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</row>
    <row r="84" spans="3:55" ht="18.75" customHeight="1">
      <c r="C84" s="22" t="s">
        <v>73</v>
      </c>
      <c r="D84" s="21">
        <v>1249.276779</v>
      </c>
      <c r="E84" s="21">
        <v>1280.2780339999999</v>
      </c>
      <c r="F84" s="48">
        <v>1301.3348040000001</v>
      </c>
      <c r="G84" s="48">
        <v>1332.7633109999999</v>
      </c>
      <c r="H84" s="48">
        <v>1413.399408</v>
      </c>
      <c r="I84" s="48">
        <v>1502.71919</v>
      </c>
      <c r="J84" s="52">
        <v>1582.7325069999999</v>
      </c>
      <c r="K84" s="48">
        <v>1723.9536700000001</v>
      </c>
      <c r="L84" s="48">
        <v>1867.8781389999999</v>
      </c>
      <c r="M84" s="48">
        <v>2024.149639</v>
      </c>
      <c r="N84" s="34"/>
      <c r="O84" s="34"/>
      <c r="P84" s="34"/>
      <c r="Q84" s="34"/>
      <c r="R84" s="34"/>
      <c r="S84" s="34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</row>
    <row r="85" spans="3:55" ht="18.75" customHeight="1">
      <c r="C85" s="22" t="s">
        <v>74</v>
      </c>
      <c r="D85" s="21">
        <v>57.6935</v>
      </c>
      <c r="E85" s="21">
        <v>53.843874999999997</v>
      </c>
      <c r="F85" s="48">
        <v>51.2395</v>
      </c>
      <c r="G85" s="48">
        <v>0</v>
      </c>
      <c r="H85" s="48">
        <v>65.081000000000003</v>
      </c>
      <c r="I85" s="48">
        <v>0</v>
      </c>
      <c r="J85" s="52">
        <v>0</v>
      </c>
      <c r="K85" s="48">
        <v>0</v>
      </c>
      <c r="L85" s="48">
        <v>0</v>
      </c>
      <c r="M85" s="48">
        <v>0</v>
      </c>
      <c r="N85" s="34"/>
      <c r="O85" s="34"/>
      <c r="P85" s="34"/>
      <c r="Q85" s="34"/>
      <c r="R85" s="34"/>
      <c r="S85" s="34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</row>
    <row r="86" spans="3:55" ht="18.75" customHeight="1">
      <c r="C86" s="22" t="s">
        <v>75</v>
      </c>
      <c r="D86" s="21">
        <v>83.626141000000004</v>
      </c>
      <c r="E86" s="21">
        <v>86.245324999999994</v>
      </c>
      <c r="F86" s="48">
        <v>108.120639</v>
      </c>
      <c r="G86" s="48">
        <v>168.36881199999999</v>
      </c>
      <c r="H86" s="48">
        <v>173.12403800000001</v>
      </c>
      <c r="I86" s="48">
        <v>267.890558</v>
      </c>
      <c r="J86" s="52">
        <v>316.11717499999997</v>
      </c>
      <c r="K86" s="48">
        <v>328.15267599999999</v>
      </c>
      <c r="L86" s="48">
        <v>326.83757100000003</v>
      </c>
      <c r="M86" s="48">
        <v>331.07705499999997</v>
      </c>
      <c r="N86" s="34"/>
      <c r="O86" s="34"/>
      <c r="P86" s="34"/>
      <c r="Q86" s="34"/>
      <c r="R86" s="34"/>
      <c r="S86" s="34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</row>
    <row r="87" spans="3:55" ht="18.75" customHeight="1">
      <c r="C87" s="22" t="s">
        <v>76</v>
      </c>
      <c r="D87" s="21">
        <v>0</v>
      </c>
      <c r="E87" s="21">
        <v>0</v>
      </c>
      <c r="F87" s="48">
        <v>0</v>
      </c>
      <c r="G87" s="48">
        <v>136.685281</v>
      </c>
      <c r="H87" s="48">
        <v>256.07544000000001</v>
      </c>
      <c r="I87" s="48">
        <v>32.444997000000001</v>
      </c>
      <c r="J87" s="52">
        <v>63.505023999999999</v>
      </c>
      <c r="K87" s="48">
        <v>0</v>
      </c>
      <c r="L87" s="48">
        <v>0</v>
      </c>
      <c r="M87" s="48">
        <v>0</v>
      </c>
      <c r="N87" s="34"/>
      <c r="O87" s="34"/>
      <c r="P87" s="34"/>
      <c r="Q87" s="34"/>
      <c r="R87" s="34"/>
      <c r="S87" s="34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</row>
    <row r="88" spans="3:55" ht="18.75" customHeight="1">
      <c r="C88" s="22" t="s">
        <v>77</v>
      </c>
      <c r="D88" s="48">
        <v>2.0923000000000001E-2</v>
      </c>
      <c r="E88" s="21">
        <v>1.2999999999999999E-2</v>
      </c>
      <c r="F88" s="49">
        <v>28.288045</v>
      </c>
      <c r="G88" s="49">
        <v>27.984555</v>
      </c>
      <c r="H88" s="49">
        <v>20.866302999999998</v>
      </c>
      <c r="I88" s="48">
        <v>129.37623600000001</v>
      </c>
      <c r="J88" s="52">
        <v>127.730987</v>
      </c>
      <c r="K88" s="48">
        <v>149.53983299999999</v>
      </c>
      <c r="L88" s="48">
        <v>161.005651</v>
      </c>
      <c r="M88" s="48">
        <v>157.74438599999999</v>
      </c>
      <c r="N88" s="34"/>
      <c r="O88" s="34"/>
      <c r="P88" s="34"/>
      <c r="Q88" s="34"/>
      <c r="R88" s="34"/>
      <c r="S88" s="34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</row>
    <row r="89" spans="3:55" ht="18.75" customHeight="1">
      <c r="C89" s="22" t="s">
        <v>78</v>
      </c>
      <c r="D89" s="48">
        <v>0</v>
      </c>
      <c r="E89" s="21">
        <v>0</v>
      </c>
      <c r="F89" s="49">
        <v>0</v>
      </c>
      <c r="G89" s="49">
        <v>0</v>
      </c>
      <c r="H89" s="49">
        <v>0</v>
      </c>
      <c r="I89" s="48">
        <v>0</v>
      </c>
      <c r="J89" s="52">
        <v>0.80453399999999997</v>
      </c>
      <c r="K89" s="48">
        <v>1.3948240000000001</v>
      </c>
      <c r="L89" s="48">
        <v>1.7829660000000001</v>
      </c>
      <c r="M89" s="48">
        <v>1.988669</v>
      </c>
      <c r="N89" s="34"/>
      <c r="O89" s="34"/>
      <c r="P89" s="34"/>
      <c r="Q89" s="34"/>
      <c r="R89" s="34"/>
      <c r="S89" s="34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</row>
    <row r="90" spans="3:55" ht="18.75" customHeight="1">
      <c r="C90" s="22" t="s">
        <v>79</v>
      </c>
      <c r="D90" s="48">
        <v>368.266772</v>
      </c>
      <c r="E90" s="21">
        <v>1171.9059420000001</v>
      </c>
      <c r="F90" s="48">
        <v>1374.63105</v>
      </c>
      <c r="G90" s="48">
        <v>338.990475</v>
      </c>
      <c r="H90" s="48">
        <v>105.695162</v>
      </c>
      <c r="I90" s="48">
        <v>55.148713000000001</v>
      </c>
      <c r="J90" s="53">
        <v>41.050412999999999</v>
      </c>
      <c r="K90" s="48">
        <v>654.95513500000004</v>
      </c>
      <c r="L90" s="48">
        <v>1266.098677</v>
      </c>
      <c r="M90" s="54">
        <v>1265.660545</v>
      </c>
      <c r="N90" s="34"/>
      <c r="O90" s="34"/>
      <c r="P90" s="34"/>
      <c r="Q90" s="34"/>
      <c r="R90" s="34"/>
      <c r="S90" s="34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</row>
    <row r="91" spans="3:55" ht="24.75" customHeight="1">
      <c r="C91" s="57" t="s">
        <v>80</v>
      </c>
      <c r="D91" s="57"/>
      <c r="E91" s="57"/>
      <c r="F91" s="57"/>
      <c r="G91" s="57"/>
      <c r="H91" s="57"/>
      <c r="I91" s="57"/>
      <c r="J91" s="57"/>
      <c r="K91" s="57"/>
      <c r="L91" s="57"/>
      <c r="M91" s="34"/>
      <c r="N91" s="34"/>
      <c r="O91" s="34"/>
      <c r="P91" s="34"/>
      <c r="Q91" s="34"/>
      <c r="R91" s="34"/>
      <c r="S91" s="34"/>
    </row>
    <row r="92" spans="3:55" ht="18.75" customHeight="1">
      <c r="C92" s="50" t="s">
        <v>81</v>
      </c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</row>
  </sheetData>
  <mergeCells count="4">
    <mergeCell ref="C1:M1"/>
    <mergeCell ref="C2:M2"/>
    <mergeCell ref="C91:L91"/>
    <mergeCell ref="C4:C5"/>
  </mergeCells>
  <printOptions horizontalCentered="1"/>
  <pageMargins left="0.5" right="0.5" top="0.5" bottom="0.5" header="0.31496062992126" footer="0.196850393700787"/>
  <pageSetup paperSize="9" scale="45" fitToHeight="0" orientation="portrait" r:id="rId1"/>
  <headerFooter alignWithMargins="0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4048A6-D847-4D7F-8D3A-6E928B052D6B}">
  <ds:schemaRefs/>
</ds:datastoreItem>
</file>

<file path=customXml/itemProps2.xml><?xml version="1.0" encoding="utf-8"?>
<ds:datastoreItem xmlns:ds="http://schemas.openxmlformats.org/officeDocument/2006/customXml" ds:itemID="{228C741E-629C-40C3-A399-FDE3A4E33E0F}">
  <ds:schemaRefs/>
</ds:datastoreItem>
</file>

<file path=customXml/itemProps3.xml><?xml version="1.0" encoding="utf-8"?>
<ds:datastoreItem xmlns:ds="http://schemas.openxmlformats.org/officeDocument/2006/customXml" ds:itemID="{51650295-2D2D-4185-9F87-A8013C75F1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13.5</vt:lpstr>
      <vt:lpstr>' 13.5'!Print_Area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2024-07-18T02:54:52Z</cp:lastPrinted>
  <dcterms:created xsi:type="dcterms:W3CDTF">2014-03-06T08:38:00Z</dcterms:created>
  <dcterms:modified xsi:type="dcterms:W3CDTF">2024-07-18T02:55:04Z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  <property fmtid="{D5CDD505-2E9C-101B-9397-08002B2CF9AE}" pid="3" name="ICV">
    <vt:lpwstr>DEA5FAA3C5E84C65AEC6E5DABDB44886_12</vt:lpwstr>
  </property>
  <property fmtid="{D5CDD505-2E9C-101B-9397-08002B2CF9AE}" pid="4" name="KSOProductBuildVer">
    <vt:lpwstr>1033-12.2.0.17153</vt:lpwstr>
  </property>
</Properties>
</file>