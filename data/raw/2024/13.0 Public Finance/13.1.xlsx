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ublic Finance\"/>
    </mc:Choice>
  </mc:AlternateContent>
  <xr:revisionPtr revIDLastSave="0" documentId="13_ncr:1_{36E40B1D-C8B8-4CF6-878D-742595E5723E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1" sheetId="34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 localSheetId="0">#REF!</definedName>
    <definedName name="BACODE">#REF!</definedName>
    <definedName name="BAList">'[2]Business areas'!$A$1:$A$1000</definedName>
    <definedName name="bcodelist" localSheetId="0">#REF!</definedName>
    <definedName name="bcodelist">#REF!</definedName>
    <definedName name="capital" localSheetId="0">#REF!</definedName>
    <definedName name="capital">#REF!</definedName>
    <definedName name="Code" localSheetId="0">#REF!</definedName>
    <definedName name="Code">#REF!</definedName>
    <definedName name="Code2" localSheetId="0">#REF!</definedName>
    <definedName name="Code2">#REF!</definedName>
    <definedName name="Location" localSheetId="0">#REF!</definedName>
    <definedName name="Location">#REF!</definedName>
    <definedName name="m">'[3]Expenditure Codes'!$B$86:$B$127</definedName>
    <definedName name="namelookup" localSheetId="0">#REF!</definedName>
    <definedName name="namelookup">#REF!</definedName>
    <definedName name="Office" localSheetId="0">#REF!</definedName>
    <definedName name="Office">#REF!</definedName>
    <definedName name="PLIST" localSheetId="0">#REF!</definedName>
    <definedName name="PLIST">#REF!</definedName>
    <definedName name="policylist" localSheetId="0">#REF!</definedName>
    <definedName name="policylist">#REF!</definedName>
    <definedName name="_xlnm.Print_Area" localSheetId="0">'13.1'!$A$1:$M$41</definedName>
    <definedName name="Priority" localSheetId="0">#REF!</definedName>
    <definedName name="Priority">#REF!</definedName>
    <definedName name="Prog111" localSheetId="0">#REF!</definedName>
    <definedName name="Prog111">#REF!</definedName>
    <definedName name="Prog112" localSheetId="0">#REF!</definedName>
    <definedName name="Prog112">#REF!</definedName>
    <definedName name="Prog113" localSheetId="0">#REF!</definedName>
    <definedName name="Prog113">#REF!</definedName>
    <definedName name="Prog114" localSheetId="0">#REF!</definedName>
    <definedName name="Prog114">#REF!</definedName>
    <definedName name="Prog115" localSheetId="0">#REF!</definedName>
    <definedName name="Prog115">#REF!</definedName>
    <definedName name="Prog116" localSheetId="0">#REF!</definedName>
    <definedName name="Prog116">#REF!</definedName>
    <definedName name="Prog121" localSheetId="0">#REF!</definedName>
    <definedName name="Prog121">#REF!</definedName>
    <definedName name="Prog122" localSheetId="0">#REF!</definedName>
    <definedName name="Prog122">#REF!</definedName>
    <definedName name="Prog123" localSheetId="0">#REF!</definedName>
    <definedName name="Prog123">#REF!</definedName>
    <definedName name="Prog124" localSheetId="0">#REF!</definedName>
    <definedName name="Prog124">#REF!</definedName>
    <definedName name="Prog125" localSheetId="0">#REF!</definedName>
    <definedName name="Prog125">#REF!</definedName>
    <definedName name="Prog126" localSheetId="0">#REF!</definedName>
    <definedName name="Prog126">#REF!</definedName>
    <definedName name="Prog127" localSheetId="0">#REF!</definedName>
    <definedName name="Prog127">#REF!</definedName>
    <definedName name="Prog131" localSheetId="0">#REF!</definedName>
    <definedName name="Prog131">#REF!</definedName>
    <definedName name="Prog132" localSheetId="0">#REF!</definedName>
    <definedName name="Prog132">#REF!</definedName>
    <definedName name="Prog133" localSheetId="0">#REF!</definedName>
    <definedName name="Prog133">#REF!</definedName>
    <definedName name="Prog134" localSheetId="0">#REF!</definedName>
    <definedName name="Prog134">#REF!</definedName>
    <definedName name="Prog141" localSheetId="0">#REF!</definedName>
    <definedName name="Prog141">#REF!</definedName>
    <definedName name="Prog142" localSheetId="0">#REF!</definedName>
    <definedName name="Prog142">#REF!</definedName>
    <definedName name="Prog143" localSheetId="0">#REF!</definedName>
    <definedName name="Prog143">#REF!</definedName>
    <definedName name="Prog144" localSheetId="0">#REF!</definedName>
    <definedName name="Prog144">#REF!</definedName>
    <definedName name="Prog145" localSheetId="0">#REF!</definedName>
    <definedName name="Prog145">#REF!</definedName>
    <definedName name="Prog151" localSheetId="0">#REF!</definedName>
    <definedName name="Prog151">#REF!</definedName>
    <definedName name="Prog152" localSheetId="0">#REF!</definedName>
    <definedName name="Prog152">#REF!</definedName>
    <definedName name="Prog153" localSheetId="0">#REF!</definedName>
    <definedName name="Prog153">#REF!</definedName>
    <definedName name="Prog154" localSheetId="0">#REF!</definedName>
    <definedName name="Prog154">#REF!</definedName>
    <definedName name="Prog155" localSheetId="0">#REF!</definedName>
    <definedName name="Prog155">#REF!</definedName>
    <definedName name="Prog211" localSheetId="0">#REF!</definedName>
    <definedName name="Prog211">#REF!</definedName>
    <definedName name="Prog2110" localSheetId="0">#REF!</definedName>
    <definedName name="Prog2110">#REF!</definedName>
    <definedName name="Prog2111" localSheetId="0">#REF!</definedName>
    <definedName name="Prog2111">#REF!</definedName>
    <definedName name="Prog212" localSheetId="0">#REF!</definedName>
    <definedName name="Prog212">#REF!</definedName>
    <definedName name="Prog213" localSheetId="0">#REF!</definedName>
    <definedName name="Prog213">#REF!</definedName>
    <definedName name="Prog214" localSheetId="0">#REF!</definedName>
    <definedName name="Prog214">#REF!</definedName>
    <definedName name="Prog215" localSheetId="0">#REF!</definedName>
    <definedName name="Prog215">#REF!</definedName>
    <definedName name="Prog216" localSheetId="0">#REF!</definedName>
    <definedName name="Prog216">#REF!</definedName>
    <definedName name="Prog217" localSheetId="0">#REF!</definedName>
    <definedName name="Prog217">#REF!</definedName>
    <definedName name="Prog218" localSheetId="0">#REF!</definedName>
    <definedName name="Prog218">#REF!</definedName>
    <definedName name="Prog219" localSheetId="0">#REF!</definedName>
    <definedName name="Prog219">#REF!</definedName>
    <definedName name="Prog221" localSheetId="0">#REF!</definedName>
    <definedName name="Prog221">#REF!</definedName>
    <definedName name="Prog222" localSheetId="0">#REF!</definedName>
    <definedName name="Prog222">#REF!</definedName>
    <definedName name="Prog223" localSheetId="0">#REF!</definedName>
    <definedName name="Prog223">#REF!</definedName>
    <definedName name="Prog224" localSheetId="0">#REF!</definedName>
    <definedName name="Prog224">#REF!</definedName>
    <definedName name="Prog225" localSheetId="0">#REF!</definedName>
    <definedName name="Prog225">#REF!</definedName>
    <definedName name="Prog226" localSheetId="0">#REF!</definedName>
    <definedName name="Prog226">#REF!</definedName>
    <definedName name="Prog227" localSheetId="0">#REF!</definedName>
    <definedName name="Prog227">#REF!</definedName>
    <definedName name="Prog228" localSheetId="0">#REF!</definedName>
    <definedName name="Prog228">#REF!</definedName>
    <definedName name="Prog229" localSheetId="0">#REF!</definedName>
    <definedName name="Prog229">#REF!</definedName>
    <definedName name="Prog231" localSheetId="0">#REF!</definedName>
    <definedName name="Prog231">#REF!</definedName>
    <definedName name="Prog232" localSheetId="0">#REF!</definedName>
    <definedName name="Prog232">#REF!</definedName>
    <definedName name="Prog233" localSheetId="0">#REF!</definedName>
    <definedName name="Prog233">#REF!</definedName>
    <definedName name="Prog234" localSheetId="0">#REF!</definedName>
    <definedName name="Prog234">#REF!</definedName>
    <definedName name="Prog241" localSheetId="0">#REF!</definedName>
    <definedName name="Prog241">#REF!</definedName>
    <definedName name="Prog242" localSheetId="0">#REF!</definedName>
    <definedName name="Prog242">#REF!</definedName>
    <definedName name="Prog243" localSheetId="0">#REF!</definedName>
    <definedName name="Prog243">#REF!</definedName>
    <definedName name="Prog251" localSheetId="0">#REF!</definedName>
    <definedName name="Prog251">#REF!</definedName>
    <definedName name="Prog252" localSheetId="0">#REF!</definedName>
    <definedName name="Prog252">#REF!</definedName>
    <definedName name="Prog253" localSheetId="0">#REF!</definedName>
    <definedName name="Prog253">#REF!</definedName>
    <definedName name="Prog254" localSheetId="0">#REF!</definedName>
    <definedName name="Prog254">#REF!</definedName>
    <definedName name="Prog255" localSheetId="0">#REF!</definedName>
    <definedName name="Prog255">#REF!</definedName>
    <definedName name="Prog256" localSheetId="0">#REF!</definedName>
    <definedName name="Prog256">#REF!</definedName>
    <definedName name="Prog311" localSheetId="0">#REF!</definedName>
    <definedName name="Prog311">#REF!</definedName>
    <definedName name="Prog312" localSheetId="0">#REF!</definedName>
    <definedName name="Prog312">#REF!</definedName>
    <definedName name="Prog313" localSheetId="0">#REF!</definedName>
    <definedName name="Prog313">#REF!</definedName>
    <definedName name="Prog314" localSheetId="0">#REF!</definedName>
    <definedName name="Prog314">#REF!</definedName>
    <definedName name="Prog315" localSheetId="0">#REF!</definedName>
    <definedName name="Prog315">#REF!</definedName>
    <definedName name="Prog316" localSheetId="0">#REF!</definedName>
    <definedName name="Prog316">#REF!</definedName>
    <definedName name="Prog317" localSheetId="0">#REF!</definedName>
    <definedName name="Prog317">#REF!</definedName>
    <definedName name="Prog321" localSheetId="0">#REF!</definedName>
    <definedName name="Prog321">#REF!</definedName>
    <definedName name="Prog322" localSheetId="0">#REF!</definedName>
    <definedName name="Prog322">#REF!</definedName>
    <definedName name="Prog323" localSheetId="0">#REF!</definedName>
    <definedName name="Prog323">#REF!</definedName>
    <definedName name="Prog324" localSheetId="0">#REF!</definedName>
    <definedName name="Prog324">#REF!</definedName>
    <definedName name="Prog331" localSheetId="0">#REF!</definedName>
    <definedName name="Prog331">#REF!</definedName>
    <definedName name="Prog3310" localSheetId="0">#REF!</definedName>
    <definedName name="Prog3310">#REF!</definedName>
    <definedName name="Prog3311" localSheetId="0">#REF!</definedName>
    <definedName name="Prog3311">#REF!</definedName>
    <definedName name="Prog3312" localSheetId="0">#REF!</definedName>
    <definedName name="Prog3312">#REF!</definedName>
    <definedName name="Prog3313" localSheetId="0">#REF!</definedName>
    <definedName name="Prog3313">#REF!</definedName>
    <definedName name="Prog3314" localSheetId="0">#REF!</definedName>
    <definedName name="Prog3314">#REF!</definedName>
    <definedName name="Prog332" localSheetId="0">#REF!</definedName>
    <definedName name="Prog332">#REF!</definedName>
    <definedName name="Prog333" localSheetId="0">#REF!</definedName>
    <definedName name="Prog333">#REF!</definedName>
    <definedName name="Prog334" localSheetId="0">#REF!</definedName>
    <definedName name="Prog334">#REF!</definedName>
    <definedName name="Prog335" localSheetId="0">#REF!</definedName>
    <definedName name="Prog335">#REF!</definedName>
    <definedName name="Prog336" localSheetId="0">#REF!</definedName>
    <definedName name="Prog336">#REF!</definedName>
    <definedName name="Prog337" localSheetId="0">#REF!</definedName>
    <definedName name="Prog337">#REF!</definedName>
    <definedName name="Prog338" localSheetId="0">#REF!</definedName>
    <definedName name="Prog338">#REF!</definedName>
    <definedName name="Prog339" localSheetId="0">#REF!</definedName>
    <definedName name="Prog339">#REF!</definedName>
    <definedName name="Prog341" localSheetId="0">#REF!</definedName>
    <definedName name="Prog341">#REF!</definedName>
    <definedName name="Prog342" localSheetId="0">#REF!</definedName>
    <definedName name="Prog342">#REF!</definedName>
    <definedName name="Prog343" localSheetId="0">#REF!</definedName>
    <definedName name="Prog343">#REF!</definedName>
    <definedName name="Prog344" localSheetId="0">#REF!</definedName>
    <definedName name="Prog344">#REF!</definedName>
    <definedName name="Prog345" localSheetId="0">#REF!</definedName>
    <definedName name="Prog345">#REF!</definedName>
    <definedName name="Prog351" localSheetId="0">#REF!</definedName>
    <definedName name="Prog351">#REF!</definedName>
    <definedName name="Prog352" localSheetId="0">#REF!</definedName>
    <definedName name="Prog352">#REF!</definedName>
    <definedName name="Prog353" localSheetId="0">#REF!</definedName>
    <definedName name="Prog353">#REF!</definedName>
    <definedName name="Prog354" localSheetId="0">#REF!</definedName>
    <definedName name="Prog354">#REF!</definedName>
    <definedName name="Prog355" localSheetId="0">#REF!</definedName>
    <definedName name="Prog355">#REF!</definedName>
    <definedName name="Prog356" localSheetId="0">#REF!</definedName>
    <definedName name="Prog356">#REF!</definedName>
    <definedName name="Prog357" localSheetId="0">#REF!</definedName>
    <definedName name="Prog357">#REF!</definedName>
    <definedName name="Prog361" localSheetId="0">#REF!</definedName>
    <definedName name="Prog361">#REF!</definedName>
    <definedName name="Prog362" localSheetId="0">#REF!</definedName>
    <definedName name="Prog362">#REF!</definedName>
    <definedName name="Prog363" localSheetId="0">#REF!</definedName>
    <definedName name="Prog363">#REF!</definedName>
    <definedName name="Prog364" localSheetId="0">#REF!</definedName>
    <definedName name="Prog364">#REF!</definedName>
    <definedName name="Prog365" localSheetId="0">#REF!</definedName>
    <definedName name="Prog365">#REF!</definedName>
    <definedName name="Prog366" localSheetId="0">#REF!</definedName>
    <definedName name="Prog366">#REF!</definedName>
    <definedName name="Prog371" localSheetId="0">#REF!</definedName>
    <definedName name="Prog371">#REF!</definedName>
    <definedName name="Prog3710" localSheetId="0">#REF!</definedName>
    <definedName name="Prog3710">#REF!</definedName>
    <definedName name="Prog372" localSheetId="0">#REF!</definedName>
    <definedName name="Prog372">#REF!</definedName>
    <definedName name="Prog373" localSheetId="0">#REF!</definedName>
    <definedName name="Prog373">#REF!</definedName>
    <definedName name="Prog374" localSheetId="0">#REF!</definedName>
    <definedName name="Prog374">#REF!</definedName>
    <definedName name="Prog375" localSheetId="0">#REF!</definedName>
    <definedName name="Prog375">#REF!</definedName>
    <definedName name="Prog376" localSheetId="0">#REF!</definedName>
    <definedName name="Prog376">#REF!</definedName>
    <definedName name="Prog377" localSheetId="0">#REF!</definedName>
    <definedName name="Prog377">#REF!</definedName>
    <definedName name="Prog378" localSheetId="0">#REF!</definedName>
    <definedName name="Prog378">#REF!</definedName>
    <definedName name="Prog379" localSheetId="0">#REF!</definedName>
    <definedName name="Prog379">#REF!</definedName>
    <definedName name="Prog4101" localSheetId="0">#REF!</definedName>
    <definedName name="Prog4101">#REF!</definedName>
    <definedName name="Prog4102" localSheetId="0">#REF!</definedName>
    <definedName name="Prog4102">#REF!</definedName>
    <definedName name="Prog4103" localSheetId="0">#REF!</definedName>
    <definedName name="Prog4103">#REF!</definedName>
    <definedName name="Prog4104" localSheetId="0">#REF!</definedName>
    <definedName name="Prog4104">#REF!</definedName>
    <definedName name="Prog4105" localSheetId="0">#REF!</definedName>
    <definedName name="Prog4105">#REF!</definedName>
    <definedName name="Prog4106" localSheetId="0">#REF!</definedName>
    <definedName name="Prog4106">#REF!</definedName>
    <definedName name="Prog411" localSheetId="0">#REF!</definedName>
    <definedName name="Prog411">#REF!</definedName>
    <definedName name="Prog412" localSheetId="0">#REF!</definedName>
    <definedName name="Prog412">#REF!</definedName>
    <definedName name="Prog413" localSheetId="0">#REF!</definedName>
    <definedName name="Prog413">#REF!</definedName>
    <definedName name="Prog414" localSheetId="0">#REF!</definedName>
    <definedName name="Prog414">#REF!</definedName>
    <definedName name="Prog415" localSheetId="0">#REF!</definedName>
    <definedName name="Prog415">#REF!</definedName>
    <definedName name="Prog416" localSheetId="0">#REF!</definedName>
    <definedName name="Prog416">#REF!</definedName>
    <definedName name="Prog421" localSheetId="0">#REF!</definedName>
    <definedName name="Prog421">#REF!</definedName>
    <definedName name="Prog422" localSheetId="0">#REF!</definedName>
    <definedName name="Prog422">#REF!</definedName>
    <definedName name="Prog423" localSheetId="0">#REF!</definedName>
    <definedName name="Prog423">#REF!</definedName>
    <definedName name="Prog424" localSheetId="0">#REF!</definedName>
    <definedName name="Prog424">#REF!</definedName>
    <definedName name="Prog425" localSheetId="0">#REF!</definedName>
    <definedName name="Prog425">#REF!</definedName>
    <definedName name="Prog426" localSheetId="0">#REF!</definedName>
    <definedName name="Prog426">#REF!</definedName>
    <definedName name="Prog427" localSheetId="0">#REF!</definedName>
    <definedName name="Prog427">#REF!</definedName>
    <definedName name="Prog431" localSheetId="0">#REF!</definedName>
    <definedName name="Prog431">#REF!</definedName>
    <definedName name="Prog432" localSheetId="0">#REF!</definedName>
    <definedName name="Prog432">#REF!</definedName>
    <definedName name="Prog433" localSheetId="0">#REF!</definedName>
    <definedName name="Prog433">#REF!</definedName>
    <definedName name="Prog434" localSheetId="0">#REF!</definedName>
    <definedName name="Prog434">#REF!</definedName>
    <definedName name="Prog435" localSheetId="0">#REF!</definedName>
    <definedName name="Prog435">#REF!</definedName>
    <definedName name="Prog436" localSheetId="0">#REF!</definedName>
    <definedName name="Prog436">#REF!</definedName>
    <definedName name="Prog437" localSheetId="0">#REF!</definedName>
    <definedName name="Prog437">#REF!</definedName>
    <definedName name="Prog441" localSheetId="0">#REF!</definedName>
    <definedName name="Prog441">#REF!</definedName>
    <definedName name="Prog442" localSheetId="0">#REF!</definedName>
    <definedName name="Prog442">#REF!</definedName>
    <definedName name="Prog443" localSheetId="0">#REF!</definedName>
    <definedName name="Prog443">#REF!</definedName>
    <definedName name="Prog444" localSheetId="0">#REF!</definedName>
    <definedName name="Prog444">#REF!</definedName>
    <definedName name="Prog445" localSheetId="0">#REF!</definedName>
    <definedName name="Prog445">#REF!</definedName>
    <definedName name="Prog451" localSheetId="0">#REF!</definedName>
    <definedName name="Prog451">#REF!</definedName>
    <definedName name="Prog452" localSheetId="0">#REF!</definedName>
    <definedName name="Prog452">#REF!</definedName>
    <definedName name="Prog453" localSheetId="0">#REF!</definedName>
    <definedName name="Prog453">#REF!</definedName>
    <definedName name="Prog454" localSheetId="0">#REF!</definedName>
    <definedName name="Prog454">#REF!</definedName>
    <definedName name="Prog455" localSheetId="0">#REF!</definedName>
    <definedName name="Prog455">#REF!</definedName>
    <definedName name="Prog456" localSheetId="0">#REF!</definedName>
    <definedName name="Prog456">#REF!</definedName>
    <definedName name="Prog461" localSheetId="0">#REF!</definedName>
    <definedName name="Prog461">#REF!</definedName>
    <definedName name="Prog4610" localSheetId="0">#REF!</definedName>
    <definedName name="Prog4610">#REF!</definedName>
    <definedName name="Prog462" localSheetId="0">#REF!</definedName>
    <definedName name="Prog462">#REF!</definedName>
    <definedName name="Prog463" localSheetId="0">#REF!</definedName>
    <definedName name="Prog463">#REF!</definedName>
    <definedName name="Prog464" localSheetId="0">#REF!</definedName>
    <definedName name="Prog464">#REF!</definedName>
    <definedName name="Prog465" localSheetId="0">#REF!</definedName>
    <definedName name="Prog465">#REF!</definedName>
    <definedName name="Prog466" localSheetId="0">#REF!</definedName>
    <definedName name="Prog466">#REF!</definedName>
    <definedName name="Prog467" localSheetId="0">#REF!</definedName>
    <definedName name="Prog467">#REF!</definedName>
    <definedName name="Prog468" localSheetId="0">#REF!</definedName>
    <definedName name="Prog468">#REF!</definedName>
    <definedName name="Prog469" localSheetId="0">#REF!</definedName>
    <definedName name="Prog469">#REF!</definedName>
    <definedName name="Prog471" localSheetId="0">#REF!</definedName>
    <definedName name="Prog471">#REF!</definedName>
    <definedName name="Prog472" localSheetId="0">#REF!</definedName>
    <definedName name="Prog472">#REF!</definedName>
    <definedName name="Prog473" localSheetId="0">#REF!</definedName>
    <definedName name="Prog473">#REF!</definedName>
    <definedName name="Prog474" localSheetId="0">#REF!</definedName>
    <definedName name="Prog474">#REF!</definedName>
    <definedName name="Prog475" localSheetId="0">#REF!</definedName>
    <definedName name="Prog475">#REF!</definedName>
    <definedName name="Prog476" localSheetId="0">#REF!</definedName>
    <definedName name="Prog476">#REF!</definedName>
    <definedName name="Prog477" localSheetId="0">#REF!</definedName>
    <definedName name="Prog477">#REF!</definedName>
    <definedName name="Prog478" localSheetId="0">#REF!</definedName>
    <definedName name="Prog478">#REF!</definedName>
    <definedName name="Prog479" localSheetId="0">#REF!</definedName>
    <definedName name="Prog479">#REF!</definedName>
    <definedName name="Prog481" localSheetId="0">#REF!</definedName>
    <definedName name="Prog481">#REF!</definedName>
    <definedName name="Prog482" localSheetId="0">#REF!</definedName>
    <definedName name="Prog482">#REF!</definedName>
    <definedName name="Prog483" localSheetId="0">#REF!</definedName>
    <definedName name="Prog483">#REF!</definedName>
    <definedName name="Prog484" localSheetId="0">#REF!</definedName>
    <definedName name="Prog484">#REF!</definedName>
    <definedName name="Prog485" localSheetId="0">#REF!</definedName>
    <definedName name="Prog485">#REF!</definedName>
    <definedName name="Prog486" localSheetId="0">#REF!</definedName>
    <definedName name="Prog486">#REF!</definedName>
    <definedName name="Prog491" localSheetId="0">#REF!</definedName>
    <definedName name="Prog491">#REF!</definedName>
    <definedName name="Prog492" localSheetId="0">#REF!</definedName>
    <definedName name="Prog492">#REF!</definedName>
    <definedName name="Prog493" localSheetId="0">#REF!</definedName>
    <definedName name="Prog493">#REF!</definedName>
    <definedName name="Prog494" localSheetId="0">#REF!</definedName>
    <definedName name="Prog494">#REF!</definedName>
    <definedName name="Prog495" localSheetId="0">#REF!</definedName>
    <definedName name="Prog495">#REF!</definedName>
    <definedName name="Prog496" localSheetId="0">#REF!</definedName>
    <definedName name="Prog496">#REF!</definedName>
    <definedName name="Prog497" localSheetId="0">#REF!</definedName>
    <definedName name="Prog497">#REF!</definedName>
    <definedName name="Prog511" localSheetId="0">#REF!</definedName>
    <definedName name="Prog511">#REF!</definedName>
    <definedName name="Prog512" localSheetId="0">#REF!</definedName>
    <definedName name="Prog512">#REF!</definedName>
    <definedName name="Prog513" localSheetId="0">#REF!</definedName>
    <definedName name="Prog513">#REF!</definedName>
    <definedName name="Prog521" localSheetId="0">#REF!</definedName>
    <definedName name="Prog521">#REF!</definedName>
    <definedName name="Prog522" localSheetId="0">#REF!</definedName>
    <definedName name="Prog522">#REF!</definedName>
    <definedName name="Prog523" localSheetId="0">#REF!</definedName>
    <definedName name="Prog523">#REF!</definedName>
    <definedName name="Prog524" localSheetId="0">#REF!</definedName>
    <definedName name="Prog524">#REF!</definedName>
    <definedName name="Prog525" localSheetId="0">#REF!</definedName>
    <definedName name="Prog525">#REF!</definedName>
    <definedName name="Prog526" localSheetId="0">#REF!</definedName>
    <definedName name="Prog526">#REF!</definedName>
    <definedName name="Prog531" localSheetId="0">#REF!</definedName>
    <definedName name="Prog531">#REF!</definedName>
    <definedName name="Prog532" localSheetId="0">#REF!</definedName>
    <definedName name="Prog532">#REF!</definedName>
    <definedName name="Prog533" localSheetId="0">#REF!</definedName>
    <definedName name="Prog533">#REF!</definedName>
    <definedName name="Prog534" localSheetId="0">#REF!</definedName>
    <definedName name="Prog534">#REF!</definedName>
    <definedName name="Prog535" localSheetId="0">#REF!</definedName>
    <definedName name="Prog535">#REF!</definedName>
    <definedName name="Prog541" localSheetId="0">#REF!</definedName>
    <definedName name="Prog541">#REF!</definedName>
    <definedName name="Prog542" localSheetId="0">#REF!</definedName>
    <definedName name="Prog542">#REF!</definedName>
    <definedName name="Prog543" localSheetId="0">#REF!</definedName>
    <definedName name="Prog543">#REF!</definedName>
    <definedName name="Prog544" localSheetId="0">#REF!</definedName>
    <definedName name="Prog544">#REF!</definedName>
    <definedName name="Prog545" localSheetId="0">#REF!</definedName>
    <definedName name="Prog545">#REF!</definedName>
    <definedName name="Prog546" localSheetId="0">#REF!</definedName>
    <definedName name="Prog546">#REF!</definedName>
    <definedName name="Prog547" localSheetId="0">#REF!</definedName>
    <definedName name="Prog547">#REF!</definedName>
    <definedName name="Program1P1" localSheetId="0">#REF!</definedName>
    <definedName name="Program1P1">#REF!</definedName>
    <definedName name="Program1P1SAPREF" localSheetId="0">#REF!</definedName>
    <definedName name="Program1P1SAPREF">#REF!</definedName>
    <definedName name="Program1P1SL" localSheetId="0">#REF!</definedName>
    <definedName name="Program1P1SL">#REF!</definedName>
    <definedName name="Program1P2" localSheetId="0">#REF!</definedName>
    <definedName name="Program1P2">#REF!</definedName>
    <definedName name="Program1P2SAPREF" localSheetId="0">#REF!</definedName>
    <definedName name="Program1P2SAPREF">#REF!</definedName>
    <definedName name="Program1P2SL" localSheetId="0">#REF!</definedName>
    <definedName name="Program1P2SL">#REF!</definedName>
    <definedName name="recurrent" localSheetId="0">#REF!</definedName>
    <definedName name="recurrent">#REF!</definedName>
    <definedName name="reruerueu" localSheetId="0">#REF!</definedName>
    <definedName name="reruerueu">#REF!</definedName>
    <definedName name="Status" localSheetId="0">#REF!</definedName>
    <definedName name="Status">#REF!</definedName>
    <definedName name="strategylist" localSheetId="0">#REF!</definedName>
    <definedName name="strategylist">#REF!</definedName>
    <definedName name="Type" localSheetId="0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34" l="1"/>
  <c r="D31" i="34"/>
  <c r="E31" i="34"/>
  <c r="F31" i="34"/>
  <c r="G31" i="34"/>
  <c r="H31" i="34"/>
  <c r="I31" i="34"/>
  <c r="J31" i="34"/>
  <c r="K31" i="34"/>
  <c r="B31" i="34"/>
  <c r="C36" i="34" l="1"/>
  <c r="D36" i="34"/>
  <c r="E36" i="34"/>
  <c r="F36" i="34"/>
  <c r="G36" i="34"/>
  <c r="H36" i="34"/>
  <c r="I36" i="34"/>
  <c r="J36" i="34"/>
  <c r="K36" i="34"/>
  <c r="B36" i="34"/>
  <c r="C39" i="34"/>
  <c r="D39" i="34"/>
  <c r="E39" i="34"/>
  <c r="F39" i="34"/>
  <c r="G39" i="34"/>
  <c r="H39" i="34"/>
  <c r="I39" i="34"/>
  <c r="J39" i="34"/>
  <c r="K39" i="34"/>
  <c r="B39" i="34"/>
</calcChain>
</file>

<file path=xl/sharedStrings.xml><?xml version="1.0" encoding="utf-8"?>
<sst xmlns="http://schemas.openxmlformats.org/spreadsheetml/2006/main" count="70" uniqueCount="60">
  <si>
    <t>(cniaWyifur cnwailim)</t>
  </si>
  <si>
    <t>(In million MVR)</t>
  </si>
  <si>
    <t>Particulars</t>
  </si>
  <si>
    <t>(iawfiverukuhWlcsia)</t>
  </si>
  <si>
    <t>clIBcfwt</t>
  </si>
  <si>
    <t>Actual</t>
  </si>
  <si>
    <t>Revised</t>
  </si>
  <si>
    <t xml:space="preserve">Approved </t>
  </si>
  <si>
    <t>Source:  Ministry of Finance.</t>
  </si>
  <si>
    <t xml:space="preserve">ދައުލަތަށް ލިބޭ އާމްދަނީ </t>
  </si>
  <si>
    <t xml:space="preserve">ޓެކުހުގެ ގޮތުގައި ލިބޭ އާމްދަނީ </t>
  </si>
  <si>
    <t>ހިލޭ އެހީގެ ގޮތުގައި ލިބޭ އާމްދަނީ</t>
  </si>
  <si>
    <t>ޓެކްސް ނޫން ގޮތްގޮތުން ލިބޭ އާމްދަނީ</t>
  </si>
  <si>
    <t>ޖުމުލަ އާމްދަނީއާއި ހިލޭ އެހީ</t>
  </si>
  <si>
    <t xml:space="preserve">ދައުލަތުގެ ޚަރަދު </t>
  </si>
  <si>
    <t>މުސާރައާއި އިނާޔަތްތަކުގެ ޚަރަދު</t>
  </si>
  <si>
    <t>މުދަލާއި ހިދުމަތް ބޭނުންކުރުމުގެ ޚަރަދު</t>
  </si>
  <si>
    <t>އިންޓަރެސްޓް ޚަރަދު</t>
  </si>
  <si>
    <t>ސަބްސިޑީ ދިނުމަށް ކުރާ ޚަރަދު</t>
  </si>
  <si>
    <t>ހިލޭ އެހީ ދިނުމަށް ކުރާ ޚަރަދު</t>
  </si>
  <si>
    <t>އިޖުތިމާއީ ފައިދާއަށް ކުރާ ޚަރަދު</t>
  </si>
  <si>
    <t>އެހެނިހެން ޚަރަދު</t>
  </si>
  <si>
    <t>ނެޓް އޮޕަރޭޓިންގ ބެލެންސް</t>
  </si>
  <si>
    <t>މާލީ ނޫން މުދަލުގެ މުއާމަލާތްތައް</t>
  </si>
  <si>
    <t>ހަރުމުދާ</t>
  </si>
  <si>
    <t>އެހެނިހެން މުދާ</t>
  </si>
  <si>
    <t>ހަރުމުދާ ހޯދުމުގެ ސާފު އަދަދު</t>
  </si>
  <si>
    <t>ޖުމުލަ ޚަރަދު</t>
  </si>
  <si>
    <t>ނެޓް ލެންޑިންގ / (ނެޓް ބޮރޯވިންގ)</t>
  </si>
  <si>
    <t>ދަރަންޏާއި މާލީ މުދަލުގެ މުއާމަލާތްތައް</t>
  </si>
  <si>
    <t>އެތެރޭގެ ފަރާތްތަކުން</t>
  </si>
  <si>
    <t>ބޭރުގެ ފަރާތްތަކުން</t>
  </si>
  <si>
    <t>މާލީ މުދާ އިތުރުވި / (ދަށްވި) މިންވަރު</t>
  </si>
  <si>
    <t>ދަރަނި އިތުރުވި / (ދަށްވި) މިންވަރު</t>
  </si>
  <si>
    <t>Revenue</t>
  </si>
  <si>
    <t>Taxes</t>
  </si>
  <si>
    <t>Grants</t>
  </si>
  <si>
    <t>Other Revenue</t>
  </si>
  <si>
    <t>Total Revenue and Grants</t>
  </si>
  <si>
    <t>Expense</t>
  </si>
  <si>
    <t>Compensation of employees</t>
  </si>
  <si>
    <t>Use of goods and services</t>
  </si>
  <si>
    <t>Interest</t>
  </si>
  <si>
    <t>Subsidies</t>
  </si>
  <si>
    <t>Social benefits</t>
  </si>
  <si>
    <t>Other expense</t>
  </si>
  <si>
    <t>Net operating balance</t>
  </si>
  <si>
    <t>Transations in nonfinancial assets</t>
  </si>
  <si>
    <t>Fixed assets</t>
  </si>
  <si>
    <t>Other assets</t>
  </si>
  <si>
    <t>Net aquisition of nonfinancial assets</t>
  </si>
  <si>
    <t>Total expenditure</t>
  </si>
  <si>
    <t>Net lending / Net borrowing</t>
  </si>
  <si>
    <t xml:space="preserve">Net acquisition of financial assets </t>
  </si>
  <si>
    <t>Domestic</t>
  </si>
  <si>
    <t>Foreign</t>
  </si>
  <si>
    <t>Net incurrence of liabilities</t>
  </si>
  <si>
    <t>Transactions in financial assets and liabilities</t>
  </si>
  <si>
    <t>Table 13.1:   SUMMARY OF GOVERNMENT FINANCE, 2017-2023</t>
  </si>
  <si>
    <t xml:space="preserve"> cscnEnif cfoa IrcTcsinim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</si>
</sst>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8" formatCode="_(* #,##0.0_);_(* \(#,##0.0\);_(* &quot;-&quot;??_);_(@_)"/>
    <numFmt numFmtId="169" formatCode="0.0"/>
    <numFmt numFmtId="170" formatCode="#,##0.00\ ;&quot; (&quot;#,##0.00\);&quot; -&quot;#\ ;@\ "/>
    <numFmt numFmtId="174" formatCode="0.00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i/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b/>
      <sz val="10"/>
      <color theme="1"/>
      <name val="A_Faseyha"/>
    </font>
    <font>
      <b/>
      <sz val="8"/>
      <color theme="1"/>
      <name val="A_Faseyha"/>
    </font>
    <font>
      <sz val="10"/>
      <color theme="1"/>
      <name val="A_Faseyha"/>
    </font>
    <font>
      <b/>
      <sz val="10"/>
      <color theme="1"/>
      <name val="Faruma"/>
    </font>
    <font>
      <sz val="12"/>
      <color theme="1"/>
      <name val="Century Gothic"/>
      <family val="2"/>
    </font>
    <font>
      <b/>
      <sz val="8"/>
      <color theme="1"/>
      <name val="A_Haleem Sameydhaan Rasmee"/>
      <family val="2"/>
      <charset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 tint="4.9989318521683403E-2"/>
      </left>
      <right/>
      <top style="thin">
        <color theme="1" tint="4.9989318521683403E-2"/>
      </top>
      <bottom/>
      <diagonal/>
    </border>
    <border>
      <left style="hair">
        <color theme="1" tint="4.9989318521683403E-2"/>
      </left>
      <right/>
      <top/>
      <bottom/>
      <diagonal/>
    </border>
    <border>
      <left style="hair">
        <color theme="1" tint="4.9989318521683403E-2"/>
      </left>
      <right/>
      <top/>
      <bottom style="thin">
        <color theme="1" tint="4.9989318521683403E-2"/>
      </bottom>
      <diagonal/>
    </border>
    <border>
      <left style="hair">
        <color theme="1" tint="4.9989318521683403E-2"/>
      </left>
      <right/>
      <top/>
      <bottom style="thin">
        <color indexed="64"/>
      </bottom>
      <diagonal/>
    </border>
    <border>
      <left style="hair">
        <color theme="1" tint="4.9989318521683403E-2"/>
      </left>
      <right/>
      <top/>
      <bottom style="hair">
        <color theme="1" tint="4.9989318521683403E-2"/>
      </bottom>
      <diagonal/>
    </border>
    <border>
      <left/>
      <right/>
      <top/>
      <bottom style="hair">
        <color theme="1" tint="4.9989318521683403E-2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6" fillId="0" borderId="0"/>
    <xf numFmtId="170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69" fontId="17" fillId="0" borderId="0"/>
    <xf numFmtId="4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25" fillId="0" borderId="0"/>
    <xf numFmtId="1" fontId="26" fillId="0" borderId="5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8" fillId="0" borderId="0"/>
    <xf numFmtId="40" fontId="18" fillId="0" borderId="0" applyFont="0" applyFill="0" applyBorder="0" applyAlignment="0" applyProtection="0"/>
    <xf numFmtId="0" fontId="18" fillId="0" borderId="0"/>
    <xf numFmtId="0" fontId="2" fillId="0" borderId="0"/>
    <xf numFmtId="1" fontId="26" fillId="0" borderId="5" applyNumberFormat="0"/>
    <xf numFmtId="0" fontId="1" fillId="0" borderId="0"/>
    <xf numFmtId="0" fontId="18" fillId="0" borderId="0"/>
    <xf numFmtId="0" fontId="6" fillId="0" borderId="0" applyFill="0" applyProtection="0"/>
    <xf numFmtId="1" fontId="26" fillId="0" borderId="5" applyNumberFormat="0"/>
    <xf numFmtId="43" fontId="1" fillId="0" borderId="0" applyFont="0" applyFill="0" applyBorder="0" applyAlignment="0" applyProtection="0"/>
    <xf numFmtId="0" fontId="1" fillId="0" borderId="0"/>
    <xf numFmtId="0" fontId="27" fillId="0" borderId="0"/>
    <xf numFmtId="0" fontId="28" fillId="0" borderId="0"/>
    <xf numFmtId="0" fontId="27" fillId="0" borderId="0"/>
    <xf numFmtId="0" fontId="1" fillId="0" borderId="0"/>
    <xf numFmtId="0" fontId="18" fillId="0" borderId="0"/>
    <xf numFmtId="0" fontId="6" fillId="0" borderId="0" applyFill="0" applyProtection="0"/>
  </cellStyleXfs>
  <cellXfs count="59">
    <xf numFmtId="0" fontId="0" fillId="0" borderId="0" xfId="0"/>
    <xf numFmtId="166" fontId="5" fillId="2" borderId="0" xfId="2" applyNumberFormat="1" applyFont="1" applyFill="1" applyAlignment="1" applyProtection="1">
      <alignment horizontal="right" vertical="center"/>
      <protection locked="0"/>
    </xf>
    <xf numFmtId="166" fontId="5" fillId="2" borderId="2" xfId="2" applyNumberFormat="1" applyFont="1" applyFill="1" applyBorder="1" applyAlignment="1">
      <alignment horizontal="right" vertical="center"/>
    </xf>
    <xf numFmtId="166" fontId="12" fillId="2" borderId="0" xfId="2" applyNumberFormat="1" applyFont="1" applyFill="1" applyAlignment="1">
      <alignment vertical="center"/>
    </xf>
    <xf numFmtId="166" fontId="13" fillId="2" borderId="0" xfId="2" applyNumberFormat="1" applyFont="1" applyFill="1" applyAlignment="1">
      <alignment vertical="center"/>
    </xf>
    <xf numFmtId="166" fontId="5" fillId="2" borderId="0" xfId="2" applyNumberFormat="1" applyFont="1" applyFill="1" applyAlignment="1">
      <alignment horizontal="left" vertical="center"/>
    </xf>
    <xf numFmtId="166" fontId="8" fillId="2" borderId="0" xfId="2" applyNumberFormat="1" applyFont="1" applyFill="1" applyAlignment="1">
      <alignment vertical="center"/>
    </xf>
    <xf numFmtId="166" fontId="14" fillId="2" borderId="0" xfId="2" applyNumberFormat="1" applyFont="1" applyFill="1" applyAlignment="1">
      <alignment vertical="center"/>
    </xf>
    <xf numFmtId="166" fontId="13" fillId="2" borderId="1" xfId="2" applyNumberFormat="1" applyFont="1" applyFill="1" applyBorder="1" applyAlignment="1">
      <alignment vertical="center"/>
    </xf>
    <xf numFmtId="166" fontId="8" fillId="2" borderId="0" xfId="2" applyNumberFormat="1" applyFont="1" applyFill="1" applyAlignment="1">
      <alignment horizontal="center" vertical="center"/>
    </xf>
    <xf numFmtId="166" fontId="10" fillId="2" borderId="0" xfId="2" applyNumberFormat="1" applyFont="1" applyFill="1" applyAlignment="1">
      <alignment horizontal="left" vertical="center" indent="2"/>
    </xf>
    <xf numFmtId="166" fontId="11" fillId="2" borderId="0" xfId="2" applyNumberFormat="1" applyFont="1" applyFill="1" applyAlignment="1">
      <alignment horizontal="right" vertical="center"/>
    </xf>
    <xf numFmtId="166" fontId="14" fillId="2" borderId="0" xfId="2" applyNumberFormat="1" applyFont="1" applyFill="1" applyAlignment="1">
      <alignment horizontal="left" vertical="center"/>
    </xf>
    <xf numFmtId="166" fontId="15" fillId="2" borderId="0" xfId="2" applyNumberFormat="1" applyFont="1" applyFill="1" applyAlignment="1">
      <alignment horizontal="left" vertical="center"/>
    </xf>
    <xf numFmtId="168" fontId="12" fillId="2" borderId="0" xfId="1" applyNumberFormat="1" applyFont="1" applyFill="1" applyAlignment="1">
      <alignment vertical="center"/>
    </xf>
    <xf numFmtId="168" fontId="13" fillId="2" borderId="0" xfId="1" applyNumberFormat="1" applyFont="1" applyFill="1" applyAlignment="1">
      <alignment vertical="center"/>
    </xf>
    <xf numFmtId="166" fontId="20" fillId="2" borderId="4" xfId="2" applyNumberFormat="1" applyFont="1" applyFill="1" applyBorder="1" applyAlignment="1">
      <alignment horizontal="right" vertical="center"/>
    </xf>
    <xf numFmtId="166" fontId="21" fillId="2" borderId="0" xfId="2" applyNumberFormat="1" applyFont="1" applyFill="1" applyAlignment="1">
      <alignment horizontal="right" vertical="center"/>
    </xf>
    <xf numFmtId="166" fontId="19" fillId="2" borderId="1" xfId="2" applyNumberFormat="1" applyFont="1" applyFill="1" applyBorder="1" applyAlignment="1">
      <alignment vertical="center"/>
    </xf>
    <xf numFmtId="166" fontId="10" fillId="2" borderId="0" xfId="2" applyNumberFormat="1" applyFont="1" applyFill="1" applyAlignment="1">
      <alignment horizontal="left" vertical="center" wrapText="1" indent="2"/>
    </xf>
    <xf numFmtId="166" fontId="22" fillId="2" borderId="0" xfId="2" applyNumberFormat="1" applyFont="1" applyFill="1" applyAlignment="1">
      <alignment horizontal="right" vertical="center"/>
    </xf>
    <xf numFmtId="166" fontId="24" fillId="2" borderId="4" xfId="2" applyNumberFormat="1" applyFont="1" applyFill="1" applyBorder="1" applyAlignment="1">
      <alignment horizontal="right" vertical="center"/>
    </xf>
    <xf numFmtId="168" fontId="5" fillId="2" borderId="0" xfId="1" applyNumberFormat="1" applyFont="1" applyFill="1" applyAlignment="1">
      <alignment horizontal="right" vertical="center"/>
    </xf>
    <xf numFmtId="168" fontId="10" fillId="2" borderId="0" xfId="1" applyNumberFormat="1" applyFont="1" applyFill="1" applyAlignment="1">
      <alignment horizontal="right" vertical="center"/>
    </xf>
    <xf numFmtId="168" fontId="10" fillId="2" borderId="0" xfId="1" applyNumberFormat="1" applyFont="1" applyFill="1" applyAlignment="1">
      <alignment vertical="center"/>
    </xf>
    <xf numFmtId="168" fontId="10" fillId="2" borderId="0" xfId="1" applyNumberFormat="1" applyFont="1" applyFill="1" applyBorder="1" applyAlignment="1">
      <alignment vertical="center"/>
    </xf>
    <xf numFmtId="168" fontId="10" fillId="2" borderId="0" xfId="1" applyNumberFormat="1" applyFont="1" applyFill="1" applyBorder="1" applyAlignment="1" applyProtection="1">
      <alignment horizontal="right" vertical="center"/>
      <protection locked="0"/>
    </xf>
    <xf numFmtId="166" fontId="13" fillId="2" borderId="0" xfId="2" applyNumberFormat="1" applyFont="1" applyFill="1" applyAlignment="1">
      <alignment horizontal="center" vertical="center"/>
    </xf>
    <xf numFmtId="166" fontId="5" fillId="2" borderId="0" xfId="2" applyNumberFormat="1" applyFont="1" applyFill="1" applyAlignment="1">
      <alignment horizontal="left" vertical="center" indent="2"/>
    </xf>
    <xf numFmtId="168" fontId="5" fillId="2" borderId="0" xfId="1" applyNumberFormat="1" applyFont="1" applyFill="1" applyAlignment="1">
      <alignment vertical="center"/>
    </xf>
    <xf numFmtId="168" fontId="13" fillId="2" borderId="3" xfId="1" applyNumberFormat="1" applyFont="1" applyFill="1" applyBorder="1" applyAlignment="1">
      <alignment vertical="center"/>
    </xf>
    <xf numFmtId="168" fontId="5" fillId="2" borderId="0" xfId="1" applyNumberFormat="1" applyFont="1" applyFill="1" applyBorder="1" applyAlignment="1">
      <alignment horizontal="right" vertical="center"/>
    </xf>
    <xf numFmtId="166" fontId="5" fillId="2" borderId="3" xfId="2" applyNumberFormat="1" applyFont="1" applyFill="1" applyBorder="1" applyAlignment="1">
      <alignment horizontal="left" vertical="center"/>
    </xf>
    <xf numFmtId="166" fontId="11" fillId="2" borderId="0" xfId="2" applyNumberFormat="1" applyFont="1" applyFill="1" applyAlignment="1">
      <alignment vertical="center"/>
    </xf>
    <xf numFmtId="166" fontId="22" fillId="2" borderId="0" xfId="2" applyNumberFormat="1" applyFont="1" applyFill="1" applyAlignment="1">
      <alignment vertical="center"/>
    </xf>
    <xf numFmtId="166" fontId="22" fillId="2" borderId="3" xfId="2" applyNumberFormat="1" applyFont="1" applyFill="1" applyBorder="1" applyAlignment="1">
      <alignment vertical="center"/>
    </xf>
    <xf numFmtId="166" fontId="8" fillId="2" borderId="4" xfId="2" applyNumberFormat="1" applyFont="1" applyFill="1" applyBorder="1" applyAlignment="1">
      <alignment vertical="center"/>
    </xf>
    <xf numFmtId="168" fontId="5" fillId="2" borderId="0" xfId="1" applyNumberFormat="1" applyFont="1" applyFill="1" applyBorder="1" applyAlignment="1">
      <alignment vertical="center"/>
    </xf>
    <xf numFmtId="168" fontId="10" fillId="2" borderId="0" xfId="1" applyNumberFormat="1" applyFont="1" applyFill="1" applyBorder="1" applyAlignment="1">
      <alignment horizontal="right" vertical="center"/>
    </xf>
    <xf numFmtId="168" fontId="5" fillId="2" borderId="3" xfId="1" applyNumberFormat="1" applyFont="1" applyFill="1" applyBorder="1" applyAlignment="1" applyProtection="1">
      <alignment horizontal="right" vertical="center"/>
      <protection locked="0"/>
    </xf>
    <xf numFmtId="166" fontId="5" fillId="2" borderId="8" xfId="2" applyNumberFormat="1" applyFont="1" applyFill="1" applyBorder="1" applyAlignment="1">
      <alignment horizontal="right" vertical="center"/>
    </xf>
    <xf numFmtId="168" fontId="5" fillId="2" borderId="7" xfId="1" applyNumberFormat="1" applyFont="1" applyFill="1" applyBorder="1" applyAlignment="1">
      <alignment horizontal="right" vertical="center"/>
    </xf>
    <xf numFmtId="168" fontId="10" fillId="2" borderId="7" xfId="1" applyNumberFormat="1" applyFont="1" applyFill="1" applyBorder="1" applyAlignment="1">
      <alignment vertical="center"/>
    </xf>
    <xf numFmtId="168" fontId="5" fillId="2" borderId="7" xfId="1" applyNumberFormat="1" applyFont="1" applyFill="1" applyBorder="1" applyAlignment="1">
      <alignment vertical="center"/>
    </xf>
    <xf numFmtId="168" fontId="10" fillId="2" borderId="7" xfId="1" applyNumberFormat="1" applyFont="1" applyFill="1" applyBorder="1" applyAlignment="1">
      <alignment horizontal="right" vertical="center"/>
    </xf>
    <xf numFmtId="168" fontId="5" fillId="2" borderId="9" xfId="1" applyNumberFormat="1" applyFont="1" applyFill="1" applyBorder="1" applyAlignment="1" applyProtection="1">
      <alignment horizontal="right" vertical="center"/>
      <protection locked="0"/>
    </xf>
    <xf numFmtId="166" fontId="9" fillId="2" borderId="0" xfId="2" applyNumberFormat="1" applyFont="1" applyFill="1" applyAlignment="1">
      <alignment horizontal="center" vertical="center"/>
    </xf>
    <xf numFmtId="166" fontId="19" fillId="2" borderId="0" xfId="2" applyNumberFormat="1" applyFont="1" applyFill="1" applyAlignment="1">
      <alignment horizontal="center" vertical="center" wrapText="1"/>
    </xf>
    <xf numFmtId="166" fontId="8" fillId="2" borderId="0" xfId="2" applyNumberFormat="1" applyFont="1" applyFill="1" applyAlignment="1">
      <alignment horizontal="center" vertical="center"/>
    </xf>
    <xf numFmtId="166" fontId="5" fillId="2" borderId="1" xfId="2" applyNumberFormat="1" applyFont="1" applyFill="1" applyBorder="1" applyAlignment="1">
      <alignment horizontal="left" vertical="center"/>
    </xf>
    <xf numFmtId="166" fontId="5" fillId="2" borderId="0" xfId="2" applyNumberFormat="1" applyFont="1" applyFill="1" applyAlignment="1">
      <alignment horizontal="left" vertical="center"/>
    </xf>
    <xf numFmtId="166" fontId="5" fillId="2" borderId="2" xfId="2" applyNumberFormat="1" applyFont="1" applyFill="1" applyBorder="1" applyAlignment="1">
      <alignment horizontal="left" vertical="center"/>
    </xf>
    <xf numFmtId="166" fontId="5" fillId="2" borderId="6" xfId="2" applyNumberFormat="1" applyFont="1" applyFill="1" applyBorder="1" applyAlignment="1" applyProtection="1">
      <alignment horizontal="center" vertical="center"/>
      <protection locked="0"/>
    </xf>
    <xf numFmtId="166" fontId="5" fillId="2" borderId="1" xfId="2" applyNumberFormat="1" applyFont="1" applyFill="1" applyBorder="1" applyAlignment="1" applyProtection="1">
      <alignment horizontal="center" vertical="center"/>
      <protection locked="0"/>
    </xf>
    <xf numFmtId="166" fontId="5" fillId="2" borderId="10" xfId="2" applyNumberFormat="1" applyFont="1" applyFill="1" applyBorder="1" applyAlignment="1" applyProtection="1">
      <alignment horizontal="center" vertical="center"/>
      <protection locked="0"/>
    </xf>
    <xf numFmtId="166" fontId="5" fillId="2" borderId="11" xfId="2" applyNumberFormat="1" applyFont="1" applyFill="1" applyBorder="1" applyAlignment="1" applyProtection="1">
      <alignment horizontal="center" vertical="center"/>
      <protection locked="0"/>
    </xf>
    <xf numFmtId="166" fontId="19" fillId="2" borderId="1" xfId="2" applyNumberFormat="1" applyFont="1" applyFill="1" applyBorder="1" applyAlignment="1">
      <alignment horizontal="right" vertical="center" wrapText="1"/>
    </xf>
    <xf numFmtId="166" fontId="19" fillId="2" borderId="0" xfId="2" applyNumberFormat="1" applyFont="1" applyFill="1" applyBorder="1" applyAlignment="1">
      <alignment horizontal="right" vertical="center" wrapText="1"/>
    </xf>
    <xf numFmtId="166" fontId="19" fillId="2" borderId="2" xfId="2" applyNumberFormat="1" applyFont="1" applyFill="1" applyBorder="1" applyAlignment="1">
      <alignment horizontal="right" vertical="center" wrapText="1"/>
    </xf>
  </cellXfs>
  <cellStyles count="57">
    <cellStyle name="1" xfId="27" xr:uid="{00000000-0005-0000-0000-000000000000}"/>
    <cellStyle name="Comma" xfId="1" builtinId="3"/>
    <cellStyle name="Comma 12" xfId="22" xr:uid="{00000000-0005-0000-0000-000002000000}"/>
    <cellStyle name="Comma 2" xfId="6" xr:uid="{00000000-0005-0000-0000-000003000000}"/>
    <cellStyle name="Comma 2 2" xfId="41" xr:uid="{00000000-0005-0000-0000-000004000000}"/>
    <cellStyle name="Comma 2 2 2 5" xfId="49" xr:uid="{00000000-0005-0000-0000-000005000000}"/>
    <cellStyle name="Comma 3" xfId="7" xr:uid="{00000000-0005-0000-0000-000006000000}"/>
    <cellStyle name="Comma 3 2" xfId="17" xr:uid="{00000000-0005-0000-0000-000007000000}"/>
    <cellStyle name="Comma 3 3" xfId="28" xr:uid="{00000000-0005-0000-0000-000008000000}"/>
    <cellStyle name="Comma 4" xfId="3" xr:uid="{00000000-0005-0000-0000-000009000000}"/>
    <cellStyle name="Comma 4 2" xfId="14" xr:uid="{00000000-0005-0000-0000-00000A000000}"/>
    <cellStyle name="Comma 5" xfId="12" xr:uid="{00000000-0005-0000-0000-00000B000000}"/>
    <cellStyle name="Comma 6" xfId="9" xr:uid="{00000000-0005-0000-0000-00000C000000}"/>
    <cellStyle name="Comma 6 2" xfId="18" xr:uid="{00000000-0005-0000-0000-00000D000000}"/>
    <cellStyle name="Comma 7" xfId="16" xr:uid="{00000000-0005-0000-0000-00000E000000}"/>
    <cellStyle name="Comma 8" xfId="20" xr:uid="{00000000-0005-0000-0000-00000F000000}"/>
    <cellStyle name="Excel Built-in Comma" xfId="5" xr:uid="{00000000-0005-0000-0000-000010000000}"/>
    <cellStyle name="Excel Built-in Normal" xfId="4" xr:uid="{00000000-0005-0000-0000-000011000000}"/>
    <cellStyle name="Normal" xfId="0" builtinId="0"/>
    <cellStyle name="Normal - Style1" xfId="29" xr:uid="{00000000-0005-0000-0000-000013000000}"/>
    <cellStyle name="Normal 10" xfId="35" xr:uid="{00000000-0005-0000-0000-000014000000}"/>
    <cellStyle name="Normal 11" xfId="46" xr:uid="{00000000-0005-0000-0000-000015000000}"/>
    <cellStyle name="Normal 12" xfId="48" xr:uid="{00000000-0005-0000-0000-000016000000}"/>
    <cellStyle name="Normal 2" xfId="10" xr:uid="{00000000-0005-0000-0000-000017000000}"/>
    <cellStyle name="Normal 2 2" xfId="13" xr:uid="{00000000-0005-0000-0000-000018000000}"/>
    <cellStyle name="Normal 2 2 2" xfId="42" xr:uid="{00000000-0005-0000-0000-000019000000}"/>
    <cellStyle name="Normal 2 2 3" xfId="43" xr:uid="{00000000-0005-0000-0000-00001A000000}"/>
    <cellStyle name="Normal 2 2 4" xfId="30" xr:uid="{00000000-0005-0000-0000-00001B000000}"/>
    <cellStyle name="Normal 2 3" xfId="45" xr:uid="{00000000-0005-0000-0000-00001C000000}"/>
    <cellStyle name="Normal 2 3 2" xfId="56" xr:uid="{00000000-0005-0000-0000-00001D000000}"/>
    <cellStyle name="Normal 2 4" xfId="47" xr:uid="{00000000-0005-0000-0000-00001E000000}"/>
    <cellStyle name="Normal 2 5" xfId="51" xr:uid="{00000000-0005-0000-0000-00001F000000}"/>
    <cellStyle name="Normal 2 6" xfId="23" xr:uid="{00000000-0005-0000-0000-000020000000}"/>
    <cellStyle name="Normal 3" xfId="11" xr:uid="{00000000-0005-0000-0000-000021000000}"/>
    <cellStyle name="Normal 3 2" xfId="44" xr:uid="{00000000-0005-0000-0000-000022000000}"/>
    <cellStyle name="Normal 3 2 2" xfId="53" xr:uid="{00000000-0005-0000-0000-000023000000}"/>
    <cellStyle name="Normal 3 3" xfId="31" xr:uid="{00000000-0005-0000-0000-000024000000}"/>
    <cellStyle name="Normal 4" xfId="8" xr:uid="{00000000-0005-0000-0000-000025000000}"/>
    <cellStyle name="Normal 4 2" xfId="32" xr:uid="{00000000-0005-0000-0000-000026000000}"/>
    <cellStyle name="Normal 4 2 2" xfId="37" xr:uid="{00000000-0005-0000-0000-000027000000}"/>
    <cellStyle name="Normal 4 3" xfId="52" xr:uid="{00000000-0005-0000-0000-000028000000}"/>
    <cellStyle name="Normal 4 4" xfId="36" xr:uid="{00000000-0005-0000-0000-000029000000}"/>
    <cellStyle name="Normal 5" xfId="19" xr:uid="{00000000-0005-0000-0000-00002A000000}"/>
    <cellStyle name="Normal 5 2" xfId="25" xr:uid="{00000000-0005-0000-0000-00002B000000}"/>
    <cellStyle name="Normal 5 3" xfId="50" xr:uid="{00000000-0005-0000-0000-00002C000000}"/>
    <cellStyle name="Normal 5 4" xfId="33" xr:uid="{00000000-0005-0000-0000-00002D000000}"/>
    <cellStyle name="Normal 6" xfId="38" xr:uid="{00000000-0005-0000-0000-00002E000000}"/>
    <cellStyle name="Normal 6 2" xfId="54" xr:uid="{00000000-0005-0000-0000-00002F000000}"/>
    <cellStyle name="Normal 7" xfId="39" xr:uid="{00000000-0005-0000-0000-000030000000}"/>
    <cellStyle name="Normal 7 2" xfId="55" xr:uid="{00000000-0005-0000-0000-000031000000}"/>
    <cellStyle name="Normal 8" xfId="40" xr:uid="{00000000-0005-0000-0000-000032000000}"/>
    <cellStyle name="Normal 9" xfId="26" xr:uid="{00000000-0005-0000-0000-000033000000}"/>
    <cellStyle name="Normal_13 Public Finance_done" xfId="2" xr:uid="{00000000-0005-0000-0000-000034000000}"/>
    <cellStyle name="Percent 2" xfId="15" xr:uid="{00000000-0005-0000-0000-000038000000}"/>
    <cellStyle name="Percent 2 2" xfId="24" xr:uid="{00000000-0005-0000-0000-000039000000}"/>
    <cellStyle name="Percent 2 3" xfId="34" xr:uid="{00000000-0005-0000-0000-00003A000000}"/>
    <cellStyle name="Percent 3" xfId="21" xr:uid="{00000000-0005-0000-0000-00003B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32</xdr:row>
      <xdr:rowOff>0</xdr:rowOff>
    </xdr:from>
    <xdr:to>
      <xdr:col>1</xdr:col>
      <xdr:colOff>0</xdr:colOff>
      <xdr:row>32</xdr:row>
      <xdr:rowOff>0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525" y="8391525"/>
          <a:ext cx="30480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32</xdr:row>
      <xdr:rowOff>0</xdr:rowOff>
    </xdr:from>
    <xdr:to>
      <xdr:col>1</xdr:col>
      <xdr:colOff>0</xdr:colOff>
      <xdr:row>32</xdr:row>
      <xdr:rowOff>0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525" y="8153400"/>
          <a:ext cx="30480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  <sheetName val="toc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Q40"/>
  <sheetViews>
    <sheetView showGridLines="0" tabSelected="1" zoomScale="93" zoomScaleNormal="93" zoomScaleSheetLayoutView="100" workbookViewId="0">
      <pane xSplit="1" topLeftCell="B1" activePane="topRight" state="frozen"/>
      <selection pane="topRight" activeCell="Q19" sqref="Q19"/>
    </sheetView>
  </sheetViews>
  <sheetFormatPr defaultColWidth="9.140625" defaultRowHeight="12.75"/>
  <cols>
    <col min="1" max="1" width="40.5703125" style="3" customWidth="1"/>
    <col min="2" max="2" width="13.5703125" style="3" bestFit="1" customWidth="1"/>
    <col min="3" max="3" width="12.5703125" style="3" bestFit="1" customWidth="1"/>
    <col min="4" max="4" width="13.5703125" style="3" customWidth="1"/>
    <col min="5" max="6" width="12.5703125" style="3" bestFit="1" customWidth="1"/>
    <col min="7" max="8" width="12.140625" style="3" bestFit="1" customWidth="1"/>
    <col min="9" max="9" width="12.42578125" style="3" bestFit="1" customWidth="1"/>
    <col min="10" max="11" width="12.7109375" style="3" bestFit="1" customWidth="1"/>
    <col min="12" max="12" width="30.7109375" style="3" customWidth="1"/>
    <col min="13" max="13" width="2.42578125" style="3" customWidth="1"/>
    <col min="14" max="14" width="9.140625" style="27"/>
    <col min="15" max="16384" width="9.140625" style="3"/>
  </cols>
  <sheetData>
    <row r="1" spans="1:251" s="4" customFormat="1" ht="15">
      <c r="A1" s="46" t="s">
        <v>58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N1" s="27"/>
    </row>
    <row r="2" spans="1:251" s="4" customFormat="1" ht="15.75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N2" s="27"/>
    </row>
    <row r="3" spans="1:251" s="4" customForma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N3" s="27"/>
    </row>
    <row r="4" spans="1:251" s="6" customFormat="1" ht="15.75" customHeight="1">
      <c r="A4" s="49" t="s">
        <v>2</v>
      </c>
      <c r="B4" s="8"/>
      <c r="C4" s="18"/>
      <c r="D4" s="36"/>
      <c r="E4" s="16"/>
      <c r="F4" s="8"/>
      <c r="G4" s="8"/>
      <c r="H4" s="21" t="s">
        <v>3</v>
      </c>
      <c r="I4" s="52" t="s">
        <v>7</v>
      </c>
      <c r="J4" s="53"/>
      <c r="K4" s="53"/>
      <c r="L4" s="56" t="s">
        <v>4</v>
      </c>
      <c r="N4" s="9"/>
    </row>
    <row r="5" spans="1:251" s="9" customFormat="1" ht="12.75" customHeight="1">
      <c r="A5" s="50"/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6</v>
      </c>
      <c r="I5" s="54"/>
      <c r="J5" s="55"/>
      <c r="K5" s="55"/>
      <c r="L5" s="57"/>
    </row>
    <row r="6" spans="1:251" s="7" customFormat="1" ht="12.75" customHeight="1">
      <c r="A6" s="51"/>
      <c r="B6" s="2">
        <v>2017</v>
      </c>
      <c r="C6" s="2">
        <v>2018</v>
      </c>
      <c r="D6" s="2">
        <v>2019</v>
      </c>
      <c r="E6" s="2">
        <v>2020</v>
      </c>
      <c r="F6" s="2">
        <v>2021</v>
      </c>
      <c r="G6" s="2">
        <v>2022</v>
      </c>
      <c r="H6" s="2">
        <v>2023</v>
      </c>
      <c r="I6" s="40">
        <v>2024</v>
      </c>
      <c r="J6" s="2">
        <v>2025</v>
      </c>
      <c r="K6" s="2">
        <v>2026</v>
      </c>
      <c r="L6" s="58"/>
      <c r="N6" s="9"/>
    </row>
    <row r="7" spans="1:251" s="6" customFormat="1" ht="18.75" customHeight="1">
      <c r="A7" s="5" t="s">
        <v>34</v>
      </c>
      <c r="B7" s="22"/>
      <c r="C7" s="22"/>
      <c r="D7" s="22"/>
      <c r="E7" s="22"/>
      <c r="F7" s="22"/>
      <c r="G7" s="22"/>
      <c r="H7" s="31"/>
      <c r="I7" s="41"/>
      <c r="J7" s="31"/>
      <c r="K7" s="31"/>
      <c r="L7" s="20" t="s">
        <v>9</v>
      </c>
      <c r="N7" s="9"/>
    </row>
    <row r="8" spans="1:251" s="7" customFormat="1" ht="18.75" customHeight="1">
      <c r="A8" s="10" t="s">
        <v>35</v>
      </c>
      <c r="B8" s="24">
        <v>13706.574452000001</v>
      </c>
      <c r="C8" s="24">
        <v>14923.711117999999</v>
      </c>
      <c r="D8" s="24">
        <v>15529.053258</v>
      </c>
      <c r="E8" s="24">
        <v>10576.635604999999</v>
      </c>
      <c r="F8" s="24">
        <v>14124.145703</v>
      </c>
      <c r="G8" s="24">
        <v>18562.401998000001</v>
      </c>
      <c r="H8" s="25">
        <v>22867.048914999999</v>
      </c>
      <c r="I8" s="42">
        <v>24417.064470000001</v>
      </c>
      <c r="J8" s="25">
        <v>26935.954215999998</v>
      </c>
      <c r="K8" s="25">
        <v>28976.997275000002</v>
      </c>
      <c r="L8" s="11" t="s">
        <v>10</v>
      </c>
      <c r="N8" s="9"/>
      <c r="O8" s="9"/>
      <c r="P8" s="9"/>
      <c r="Q8" s="9"/>
      <c r="R8" s="9"/>
      <c r="S8" s="9"/>
      <c r="T8" s="9"/>
    </row>
    <row r="9" spans="1:251" s="7" customFormat="1" ht="18.75" customHeight="1">
      <c r="A9" s="10" t="s">
        <v>36</v>
      </c>
      <c r="B9" s="24">
        <v>341.68886600000002</v>
      </c>
      <c r="C9" s="24">
        <v>819.80752299999995</v>
      </c>
      <c r="D9" s="24">
        <v>1154.143366</v>
      </c>
      <c r="E9" s="24">
        <v>943.35823100000005</v>
      </c>
      <c r="F9" s="24">
        <v>1031.84799</v>
      </c>
      <c r="G9" s="24">
        <v>1041.6923260000001</v>
      </c>
      <c r="H9" s="25">
        <v>505.14246900000001</v>
      </c>
      <c r="I9" s="42">
        <v>1270.0000279999999</v>
      </c>
      <c r="J9" s="25">
        <v>1110.0552130000001</v>
      </c>
      <c r="K9" s="25">
        <v>1010.846676</v>
      </c>
      <c r="L9" s="11" t="s">
        <v>11</v>
      </c>
      <c r="N9" s="9"/>
    </row>
    <row r="10" spans="1:251" s="7" customFormat="1" ht="18.75" customHeight="1">
      <c r="A10" s="10" t="s">
        <v>37</v>
      </c>
      <c r="B10" s="24">
        <v>5876.801727</v>
      </c>
      <c r="C10" s="24">
        <v>6158.6024809999999</v>
      </c>
      <c r="D10" s="24">
        <v>6463.6254220000001</v>
      </c>
      <c r="E10" s="24">
        <v>3699.4452190000002</v>
      </c>
      <c r="F10" s="24">
        <v>6107.1185560000004</v>
      </c>
      <c r="G10" s="24">
        <v>9412.581709</v>
      </c>
      <c r="H10" s="25">
        <v>9079.1799100000007</v>
      </c>
      <c r="I10" s="42">
        <v>7855.6417570000003</v>
      </c>
      <c r="J10" s="25">
        <v>8498.5873680000004</v>
      </c>
      <c r="K10" s="25">
        <v>9035.8065640000004</v>
      </c>
      <c r="L10" s="11" t="s">
        <v>12</v>
      </c>
      <c r="N10" s="9"/>
      <c r="O10" s="9"/>
      <c r="P10" s="9"/>
      <c r="Q10" s="9"/>
      <c r="R10" s="9"/>
      <c r="S10" s="9"/>
      <c r="T10" s="9"/>
    </row>
    <row r="11" spans="1:251" s="7" customFormat="1" ht="18.75" customHeight="1">
      <c r="A11" s="28" t="s">
        <v>38</v>
      </c>
      <c r="B11" s="22">
        <v>19925.065044999999</v>
      </c>
      <c r="C11" s="22">
        <v>21902.121122</v>
      </c>
      <c r="D11" s="22">
        <v>23146.822046000001</v>
      </c>
      <c r="E11" s="22">
        <v>15219.439055000001</v>
      </c>
      <c r="F11" s="22">
        <v>21263.112249000002</v>
      </c>
      <c r="G11" s="22">
        <v>29016.676033</v>
      </c>
      <c r="H11" s="31">
        <v>32451.371294</v>
      </c>
      <c r="I11" s="41">
        <v>33542.706254999997</v>
      </c>
      <c r="J11" s="31">
        <v>36544.596796999998</v>
      </c>
      <c r="K11" s="31">
        <v>39023.650515000001</v>
      </c>
      <c r="L11" s="11" t="s">
        <v>13</v>
      </c>
      <c r="M11" s="12"/>
      <c r="N11" s="9"/>
      <c r="O11" s="6"/>
      <c r="P11" s="6"/>
      <c r="Q11" s="6"/>
      <c r="R11" s="6"/>
      <c r="S11" s="6"/>
      <c r="T11" s="6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</row>
    <row r="12" spans="1:251" s="7" customFormat="1" ht="18.75" customHeight="1">
      <c r="A12" s="10"/>
      <c r="B12" s="24"/>
      <c r="C12" s="24"/>
      <c r="D12" s="24"/>
      <c r="E12" s="24"/>
      <c r="F12" s="24"/>
      <c r="G12" s="24"/>
      <c r="H12" s="25"/>
      <c r="I12" s="42"/>
      <c r="J12" s="25"/>
      <c r="K12" s="25"/>
      <c r="L12" s="11"/>
      <c r="N12" s="9"/>
      <c r="O12" s="6"/>
      <c r="P12" s="6"/>
      <c r="Q12" s="6"/>
      <c r="R12" s="6"/>
      <c r="S12" s="6"/>
      <c r="T12" s="6"/>
    </row>
    <row r="13" spans="1:251" ht="18.75">
      <c r="A13" s="5" t="s">
        <v>39</v>
      </c>
      <c r="B13" s="29">
        <v>14992.023142</v>
      </c>
      <c r="C13" s="29">
        <v>18328.295645999999</v>
      </c>
      <c r="D13" s="29">
        <v>21383.981932999999</v>
      </c>
      <c r="E13" s="29">
        <v>20320.759587</v>
      </c>
      <c r="F13" s="29">
        <v>24071.266126999999</v>
      </c>
      <c r="G13" s="29">
        <v>28180.935936000002</v>
      </c>
      <c r="H13" s="29">
        <v>32699.641013</v>
      </c>
      <c r="I13" s="43">
        <v>35855.313955999998</v>
      </c>
      <c r="J13" s="37">
        <v>36216.546906000003</v>
      </c>
      <c r="K13" s="29">
        <v>37816.884149999998</v>
      </c>
      <c r="L13" s="20" t="s">
        <v>14</v>
      </c>
      <c r="N13" s="9"/>
    </row>
    <row r="14" spans="1:251" s="7" customFormat="1" ht="21.75" customHeight="1">
      <c r="A14" s="10" t="s">
        <v>40</v>
      </c>
      <c r="B14" s="24">
        <v>7499.5055840000005</v>
      </c>
      <c r="C14" s="24">
        <v>8260.7605469999999</v>
      </c>
      <c r="D14" s="24">
        <v>8901.6940109999996</v>
      </c>
      <c r="E14" s="24">
        <v>8842.7456110000003</v>
      </c>
      <c r="F14" s="24">
        <v>9300.2195699999993</v>
      </c>
      <c r="G14" s="24">
        <v>10019.676957</v>
      </c>
      <c r="H14" s="25">
        <v>10673.3199</v>
      </c>
      <c r="I14" s="42">
        <v>13009.243844000001</v>
      </c>
      <c r="J14" s="25">
        <v>13553.005375999999</v>
      </c>
      <c r="K14" s="25">
        <v>14071.223532</v>
      </c>
      <c r="L14" s="11" t="s">
        <v>15</v>
      </c>
      <c r="N14" s="9"/>
    </row>
    <row r="15" spans="1:251" s="7" customFormat="1" ht="21.75" customHeight="1">
      <c r="A15" s="10" t="s">
        <v>41</v>
      </c>
      <c r="B15" s="24">
        <v>2910.8360510000002</v>
      </c>
      <c r="C15" s="24">
        <v>3770.7117159999998</v>
      </c>
      <c r="D15" s="24">
        <v>4272.9974709999997</v>
      </c>
      <c r="E15" s="24">
        <v>3478.4966239999999</v>
      </c>
      <c r="F15" s="24">
        <v>4654.1686879999997</v>
      </c>
      <c r="G15" s="24">
        <v>4219.6350750000001</v>
      </c>
      <c r="H15" s="25">
        <v>4671.5442629999998</v>
      </c>
      <c r="I15" s="42">
        <v>5873.9302619999999</v>
      </c>
      <c r="J15" s="25">
        <v>5732.4954440000001</v>
      </c>
      <c r="K15" s="25">
        <v>5773.6063180000001</v>
      </c>
      <c r="L15" s="11" t="s">
        <v>16</v>
      </c>
      <c r="N15" s="9"/>
    </row>
    <row r="16" spans="1:251" s="7" customFormat="1" ht="21.75" customHeight="1">
      <c r="A16" s="10" t="s">
        <v>42</v>
      </c>
      <c r="B16" s="24">
        <v>1096.946659</v>
      </c>
      <c r="C16" s="24">
        <v>1440.2569269999999</v>
      </c>
      <c r="D16" s="24">
        <v>1540.813124</v>
      </c>
      <c r="E16" s="24">
        <v>1603.859134</v>
      </c>
      <c r="F16" s="24">
        <v>2104.4655419999999</v>
      </c>
      <c r="G16" s="24">
        <v>3452.422247</v>
      </c>
      <c r="H16" s="25">
        <v>5095.6525199999996</v>
      </c>
      <c r="I16" s="42">
        <v>5244.0341040000003</v>
      </c>
      <c r="J16" s="25">
        <v>5934.9636620000001</v>
      </c>
      <c r="K16" s="25">
        <v>6595.2060540000002</v>
      </c>
      <c r="L16" s="11" t="s">
        <v>17</v>
      </c>
      <c r="N16" s="9"/>
      <c r="O16" s="6"/>
      <c r="P16" s="6"/>
      <c r="Q16" s="6"/>
      <c r="R16" s="6"/>
      <c r="S16" s="6"/>
      <c r="T16" s="6"/>
    </row>
    <row r="17" spans="1:20" s="7" customFormat="1" ht="21.75" customHeight="1">
      <c r="A17" s="10" t="s">
        <v>43</v>
      </c>
      <c r="B17" s="24">
        <v>287.527469</v>
      </c>
      <c r="C17" s="24">
        <v>595.08640200000002</v>
      </c>
      <c r="D17" s="24">
        <v>789.54117199999996</v>
      </c>
      <c r="E17" s="24">
        <v>1084.421182</v>
      </c>
      <c r="F17" s="24">
        <v>1434.8469680000001</v>
      </c>
      <c r="G17" s="24">
        <v>3717.950613</v>
      </c>
      <c r="H17" s="25">
        <v>4162.2824609999998</v>
      </c>
      <c r="I17" s="42">
        <v>2828.2653070000001</v>
      </c>
      <c r="J17" s="25">
        <v>803.41853100000003</v>
      </c>
      <c r="K17" s="25">
        <v>759.02071599999999</v>
      </c>
      <c r="L17" s="11" t="s">
        <v>18</v>
      </c>
      <c r="N17" s="9"/>
    </row>
    <row r="18" spans="1:20" s="7" customFormat="1" ht="21.75" customHeight="1">
      <c r="A18" s="19" t="s">
        <v>36</v>
      </c>
      <c r="B18" s="24">
        <v>0</v>
      </c>
      <c r="C18" s="24">
        <v>31.390172</v>
      </c>
      <c r="D18" s="24">
        <v>126.25328399999999</v>
      </c>
      <c r="E18" s="24">
        <v>947.21775000000002</v>
      </c>
      <c r="F18" s="24">
        <v>1404.986257</v>
      </c>
      <c r="G18" s="24">
        <v>1652.053416</v>
      </c>
      <c r="H18" s="25">
        <v>1843.6560440000001</v>
      </c>
      <c r="I18" s="42">
        <v>2225.1906829999998</v>
      </c>
      <c r="J18" s="25">
        <v>2389.0983209999999</v>
      </c>
      <c r="K18" s="25">
        <v>2487.1843709999998</v>
      </c>
      <c r="L18" s="11" t="s">
        <v>19</v>
      </c>
      <c r="N18" s="9"/>
      <c r="O18" s="9"/>
      <c r="P18" s="9"/>
      <c r="Q18" s="9"/>
      <c r="R18" s="9"/>
      <c r="S18" s="9"/>
      <c r="T18" s="9"/>
    </row>
    <row r="19" spans="1:20" s="7" customFormat="1" ht="21.75" customHeight="1">
      <c r="A19" s="19" t="s">
        <v>44</v>
      </c>
      <c r="B19" s="24">
        <v>2532.629355</v>
      </c>
      <c r="C19" s="24">
        <v>3272.8302210000002</v>
      </c>
      <c r="D19" s="24">
        <v>3120.7742629999998</v>
      </c>
      <c r="E19" s="24">
        <v>3219.747805</v>
      </c>
      <c r="F19" s="24">
        <v>3936.9809780000001</v>
      </c>
      <c r="G19" s="24">
        <v>4258.8344559999996</v>
      </c>
      <c r="H19" s="25">
        <v>4871.32161</v>
      </c>
      <c r="I19" s="42">
        <v>4766.2450760000002</v>
      </c>
      <c r="J19" s="25">
        <v>5094.5420379999996</v>
      </c>
      <c r="K19" s="25">
        <v>5402.2349549999999</v>
      </c>
      <c r="L19" s="11" t="s">
        <v>20</v>
      </c>
      <c r="N19" s="9"/>
    </row>
    <row r="20" spans="1:20" s="7" customFormat="1" ht="14.25" customHeight="1">
      <c r="A20" s="19" t="s">
        <v>45</v>
      </c>
      <c r="B20" s="26">
        <v>664.57802400000003</v>
      </c>
      <c r="C20" s="26">
        <v>957.25966100000005</v>
      </c>
      <c r="D20" s="25">
        <v>2631.9086080000002</v>
      </c>
      <c r="E20" s="26">
        <v>1144.271481</v>
      </c>
      <c r="F20" s="25">
        <v>1235.5981240000001</v>
      </c>
      <c r="G20" s="25">
        <v>860.36317199999996</v>
      </c>
      <c r="H20" s="25">
        <v>1381.8642150000001</v>
      </c>
      <c r="I20" s="42">
        <v>1908.4046800000001</v>
      </c>
      <c r="J20" s="25">
        <v>2709.0235339999999</v>
      </c>
      <c r="K20" s="25">
        <v>2728.4082039999998</v>
      </c>
      <c r="L20" s="11" t="s">
        <v>21</v>
      </c>
      <c r="N20" s="9"/>
    </row>
    <row r="21" spans="1:20" ht="18.75">
      <c r="B21" s="24"/>
      <c r="C21" s="24"/>
      <c r="D21" s="24"/>
      <c r="E21" s="24"/>
      <c r="F21" s="24"/>
      <c r="G21" s="24"/>
      <c r="H21" s="24"/>
      <c r="I21" s="42"/>
      <c r="J21" s="25"/>
      <c r="K21" s="24"/>
      <c r="L21" s="33"/>
      <c r="N21" s="9"/>
    </row>
    <row r="22" spans="1:20" s="6" customFormat="1" ht="18.75">
      <c r="A22" s="28" t="s">
        <v>46</v>
      </c>
      <c r="B22" s="29">
        <v>4933.0419030000003</v>
      </c>
      <c r="C22" s="29">
        <v>3573.825476</v>
      </c>
      <c r="D22" s="29">
        <v>1762.840113</v>
      </c>
      <c r="E22" s="29">
        <v>-5101.3205319999997</v>
      </c>
      <c r="F22" s="29">
        <v>-2808.1538780000001</v>
      </c>
      <c r="G22" s="29">
        <v>835.74009699999999</v>
      </c>
      <c r="H22" s="37">
        <v>-248.26971900000001</v>
      </c>
      <c r="I22" s="43">
        <v>-2312.6077009999999</v>
      </c>
      <c r="J22" s="37">
        <v>328.049891</v>
      </c>
      <c r="K22" s="37">
        <v>1206.766365</v>
      </c>
      <c r="L22" s="20" t="s">
        <v>22</v>
      </c>
      <c r="N22" s="9"/>
    </row>
    <row r="23" spans="1:20" s="7" customFormat="1" ht="18.75">
      <c r="A23" s="10"/>
      <c r="B23" s="24"/>
      <c r="C23" s="24"/>
      <c r="D23" s="24"/>
      <c r="E23" s="24"/>
      <c r="F23" s="24"/>
      <c r="G23" s="24"/>
      <c r="H23" s="25"/>
      <c r="I23" s="42"/>
      <c r="J23" s="25"/>
      <c r="K23" s="25"/>
      <c r="L23" s="11"/>
      <c r="N23" s="9"/>
    </row>
    <row r="24" spans="1:20" s="6" customFormat="1" ht="18.75">
      <c r="A24" s="5" t="s">
        <v>47</v>
      </c>
      <c r="B24" s="29"/>
      <c r="C24" s="29"/>
      <c r="D24" s="29"/>
      <c r="E24" s="29"/>
      <c r="F24" s="29"/>
      <c r="G24" s="29"/>
      <c r="H24" s="37"/>
      <c r="I24" s="43"/>
      <c r="J24" s="37"/>
      <c r="K24" s="37"/>
      <c r="L24" s="20" t="s">
        <v>23</v>
      </c>
      <c r="N24" s="9"/>
    </row>
    <row r="25" spans="1:20" s="7" customFormat="1" ht="18.75">
      <c r="A25" s="10" t="s">
        <v>48</v>
      </c>
      <c r="B25" s="24">
        <v>6061.3712759999999</v>
      </c>
      <c r="C25" s="24">
        <v>7111.8935680000004</v>
      </c>
      <c r="D25" s="24">
        <v>4417.8668989999996</v>
      </c>
      <c r="E25" s="24">
        <v>3839.2853180000002</v>
      </c>
      <c r="F25" s="24">
        <v>5666.921488</v>
      </c>
      <c r="G25" s="24">
        <v>8508.7481179999995</v>
      </c>
      <c r="H25" s="25">
        <v>10166.116668000001</v>
      </c>
      <c r="I25" s="42">
        <v>8703.9211570000007</v>
      </c>
      <c r="J25" s="25">
        <v>11362.396951000001</v>
      </c>
      <c r="K25" s="25">
        <v>10204.926837999999</v>
      </c>
      <c r="L25" s="11" t="s">
        <v>24</v>
      </c>
      <c r="N25" s="9"/>
    </row>
    <row r="26" spans="1:20" s="7" customFormat="1" ht="18.75">
      <c r="A26" s="10" t="s">
        <v>49</v>
      </c>
      <c r="B26" s="24">
        <v>131.36222000000001</v>
      </c>
      <c r="C26" s="24">
        <v>131.36222000000001</v>
      </c>
      <c r="D26" s="24">
        <v>131.36222000000001</v>
      </c>
      <c r="E26" s="24">
        <v>131.36222000000001</v>
      </c>
      <c r="F26" s="24">
        <v>131.36222000000001</v>
      </c>
      <c r="G26" s="24">
        <v>131.36222000000001</v>
      </c>
      <c r="H26" s="25">
        <v>131.36222000000001</v>
      </c>
      <c r="I26" s="42">
        <v>131.36222000000001</v>
      </c>
      <c r="J26" s="25">
        <v>131.36222000000001</v>
      </c>
      <c r="K26" s="25">
        <v>131.36222000000001</v>
      </c>
      <c r="L26" s="11" t="s">
        <v>25</v>
      </c>
      <c r="N26" s="9"/>
    </row>
    <row r="27" spans="1:20" s="4" customFormat="1" ht="18.75">
      <c r="A27" s="5" t="s">
        <v>50</v>
      </c>
      <c r="B27" s="29">
        <v>6192.7334959999998</v>
      </c>
      <c r="C27" s="29">
        <v>7201.1547060000003</v>
      </c>
      <c r="D27" s="29">
        <v>4691.4096799999998</v>
      </c>
      <c r="E27" s="29">
        <v>5196.9170320000003</v>
      </c>
      <c r="F27" s="29">
        <v>6013.4897410000003</v>
      </c>
      <c r="G27" s="29">
        <v>9279.4111560000001</v>
      </c>
      <c r="H27" s="29">
        <v>11893.104975</v>
      </c>
      <c r="I27" s="43">
        <v>9471.2466629999999</v>
      </c>
      <c r="J27" s="37">
        <v>12157.217605</v>
      </c>
      <c r="K27" s="29">
        <v>11326.843099</v>
      </c>
      <c r="L27" s="34" t="s">
        <v>26</v>
      </c>
      <c r="N27" s="9"/>
    </row>
    <row r="28" spans="1:20" s="6" customFormat="1" ht="18.75">
      <c r="A28" s="5"/>
      <c r="B28" s="22"/>
      <c r="C28" s="22"/>
      <c r="D28" s="22"/>
      <c r="E28" s="22"/>
      <c r="F28" s="22"/>
      <c r="G28" s="22"/>
      <c r="H28" s="31"/>
      <c r="I28" s="41"/>
      <c r="J28" s="31"/>
      <c r="K28" s="31"/>
      <c r="L28" s="20"/>
      <c r="N28" s="9"/>
    </row>
    <row r="29" spans="1:20" s="6" customFormat="1" ht="18.75">
      <c r="A29" s="5" t="s">
        <v>51</v>
      </c>
      <c r="B29" s="22">
        <v>21184.756637999999</v>
      </c>
      <c r="C29" s="22">
        <v>25529.450352</v>
      </c>
      <c r="D29" s="22">
        <v>26075.391613</v>
      </c>
      <c r="E29" s="22">
        <v>25517.676619000002</v>
      </c>
      <c r="F29" s="22">
        <v>30084.755868</v>
      </c>
      <c r="G29" s="22">
        <v>37460.347092000004</v>
      </c>
      <c r="H29" s="31">
        <v>44592.745988000002</v>
      </c>
      <c r="I29" s="41">
        <v>45326.560619000003</v>
      </c>
      <c r="J29" s="31">
        <v>48373.764511000001</v>
      </c>
      <c r="K29" s="31">
        <v>49143.727249000003</v>
      </c>
      <c r="L29" s="20" t="s">
        <v>27</v>
      </c>
      <c r="N29" s="9"/>
    </row>
    <row r="30" spans="1:20" s="7" customFormat="1" ht="18.75">
      <c r="A30" s="10"/>
      <c r="B30" s="23"/>
      <c r="C30" s="23"/>
      <c r="D30" s="23"/>
      <c r="E30" s="23"/>
      <c r="F30" s="23"/>
      <c r="G30" s="23"/>
      <c r="H30" s="38"/>
      <c r="I30" s="44"/>
      <c r="J30" s="38"/>
      <c r="K30" s="38"/>
      <c r="L30" s="11"/>
      <c r="N30" s="9"/>
    </row>
    <row r="31" spans="1:20" s="6" customFormat="1" ht="18.75">
      <c r="A31" s="28" t="s">
        <v>52</v>
      </c>
      <c r="B31" s="31">
        <f>B11-B29</f>
        <v>-1259.6915929999996</v>
      </c>
      <c r="C31" s="31">
        <f t="shared" ref="C31:K31" si="0">C11-C29</f>
        <v>-3627.3292299999994</v>
      </c>
      <c r="D31" s="31">
        <f t="shared" si="0"/>
        <v>-2928.5695669999986</v>
      </c>
      <c r="E31" s="31">
        <f t="shared" si="0"/>
        <v>-10298.237564000001</v>
      </c>
      <c r="F31" s="31">
        <f t="shared" si="0"/>
        <v>-8821.6436189999986</v>
      </c>
      <c r="G31" s="31">
        <f t="shared" si="0"/>
        <v>-8443.6710590000039</v>
      </c>
      <c r="H31" s="31">
        <f t="shared" si="0"/>
        <v>-12141.374694000002</v>
      </c>
      <c r="I31" s="41">
        <f t="shared" si="0"/>
        <v>-11783.854364000006</v>
      </c>
      <c r="J31" s="31">
        <f t="shared" si="0"/>
        <v>-11829.167714000003</v>
      </c>
      <c r="K31" s="31">
        <f t="shared" si="0"/>
        <v>-10120.076734000002</v>
      </c>
      <c r="L31" s="20" t="s">
        <v>28</v>
      </c>
      <c r="N31" s="9"/>
    </row>
    <row r="32" spans="1:20" s="7" customFormat="1" ht="18.75">
      <c r="A32" s="13"/>
      <c r="B32" s="14"/>
      <c r="C32" s="14"/>
      <c r="D32" s="14"/>
      <c r="E32" s="14"/>
      <c r="F32" s="14"/>
      <c r="G32" s="22"/>
      <c r="H32" s="31"/>
      <c r="I32" s="41"/>
      <c r="J32" s="31"/>
      <c r="K32" s="31"/>
      <c r="L32" s="11"/>
      <c r="N32" s="9"/>
    </row>
    <row r="33" spans="1:14" s="6" customFormat="1" ht="18.75">
      <c r="A33" s="4" t="s">
        <v>57</v>
      </c>
      <c r="B33" s="15"/>
      <c r="C33" s="15"/>
      <c r="D33" s="15"/>
      <c r="E33" s="15"/>
      <c r="F33" s="15"/>
      <c r="G33" s="29"/>
      <c r="H33" s="37"/>
      <c r="I33" s="43"/>
      <c r="J33" s="37"/>
      <c r="K33" s="37"/>
      <c r="L33" s="34" t="s">
        <v>29</v>
      </c>
      <c r="N33" s="9"/>
    </row>
    <row r="34" spans="1:14" ht="18.75">
      <c r="A34" s="10" t="s">
        <v>54</v>
      </c>
      <c r="B34" s="14">
        <v>1076.1761469999999</v>
      </c>
      <c r="C34" s="14">
        <v>834.84894599999996</v>
      </c>
      <c r="D34" s="14">
        <v>2747.28532</v>
      </c>
      <c r="E34" s="14">
        <v>3225.0008349999998</v>
      </c>
      <c r="F34" s="14">
        <v>2932.2724039999998</v>
      </c>
      <c r="G34" s="24">
        <v>3071.4774619999998</v>
      </c>
      <c r="H34" s="25">
        <v>4906.5943399999996</v>
      </c>
      <c r="I34" s="42">
        <v>3510.0873270000002</v>
      </c>
      <c r="J34" s="25">
        <v>-1098.5463910000001</v>
      </c>
      <c r="K34" s="25">
        <v>-1138.079802</v>
      </c>
      <c r="L34" s="33" t="s">
        <v>30</v>
      </c>
      <c r="N34" s="9"/>
    </row>
    <row r="35" spans="1:14" ht="16.5" customHeight="1">
      <c r="A35" s="10" t="s">
        <v>55</v>
      </c>
      <c r="B35" s="14">
        <v>49.168303999999999</v>
      </c>
      <c r="C35" s="14">
        <v>10.266794000000001</v>
      </c>
      <c r="D35" s="14">
        <v>8.9390350000000005</v>
      </c>
      <c r="E35" s="14">
        <v>9.8662690000000008</v>
      </c>
      <c r="F35" s="14">
        <v>12.185377000000001</v>
      </c>
      <c r="G35" s="24">
        <v>27.412842999999999</v>
      </c>
      <c r="H35" s="25">
        <v>32.739527000000002</v>
      </c>
      <c r="I35" s="42">
        <v>30.692484</v>
      </c>
      <c r="J35" s="25">
        <v>25.380942999999998</v>
      </c>
      <c r="K35" s="25">
        <v>22.248298999999999</v>
      </c>
      <c r="L35" s="33" t="s">
        <v>31</v>
      </c>
      <c r="N35" s="9"/>
    </row>
    <row r="36" spans="1:14" s="4" customFormat="1" ht="18.75">
      <c r="A36" s="5" t="s">
        <v>53</v>
      </c>
      <c r="B36" s="15">
        <f>SUM(B34:B35)</f>
        <v>1125.3444509999999</v>
      </c>
      <c r="C36" s="15">
        <f t="shared" ref="C36:K36" si="1">SUM(C34:C35)</f>
        <v>845.11573999999996</v>
      </c>
      <c r="D36" s="15">
        <f t="shared" si="1"/>
        <v>2756.2243549999998</v>
      </c>
      <c r="E36" s="15">
        <f t="shared" si="1"/>
        <v>3234.8671039999999</v>
      </c>
      <c r="F36" s="15">
        <f t="shared" si="1"/>
        <v>2944.4577809999996</v>
      </c>
      <c r="G36" s="29">
        <f t="shared" si="1"/>
        <v>3098.8903049999999</v>
      </c>
      <c r="H36" s="37">
        <f t="shared" si="1"/>
        <v>4939.3338669999994</v>
      </c>
      <c r="I36" s="43">
        <f t="shared" si="1"/>
        <v>3540.7798110000003</v>
      </c>
      <c r="J36" s="37">
        <f t="shared" si="1"/>
        <v>-1073.1654480000002</v>
      </c>
      <c r="K36" s="37">
        <f t="shared" si="1"/>
        <v>-1115.8315029999999</v>
      </c>
      <c r="L36" s="34" t="s">
        <v>32</v>
      </c>
      <c r="N36" s="9"/>
    </row>
    <row r="37" spans="1:14" ht="18.75">
      <c r="A37" s="10" t="s">
        <v>54</v>
      </c>
      <c r="B37" s="14">
        <v>-524.79238699999996</v>
      </c>
      <c r="C37" s="14">
        <v>-201.47041999999999</v>
      </c>
      <c r="D37" s="14">
        <v>5698.3593179999998</v>
      </c>
      <c r="E37" s="14">
        <v>11243.507554</v>
      </c>
      <c r="F37" s="14">
        <v>6658.6374459999997</v>
      </c>
      <c r="G37" s="24">
        <v>8996.4016869999996</v>
      </c>
      <c r="H37" s="25">
        <v>8910.4555959999998</v>
      </c>
      <c r="I37" s="42">
        <v>4928.6445620000004</v>
      </c>
      <c r="J37" s="25">
        <v>6085.4063230000002</v>
      </c>
      <c r="K37" s="25">
        <v>5844.5771260000001</v>
      </c>
      <c r="L37" s="33" t="s">
        <v>30</v>
      </c>
      <c r="N37" s="9"/>
    </row>
    <row r="38" spans="1:14" ht="18.75">
      <c r="A38" s="10" t="s">
        <v>55</v>
      </c>
      <c r="B38" s="14">
        <v>3378.696386919999</v>
      </c>
      <c r="C38" s="14">
        <v>5797.0497189999996</v>
      </c>
      <c r="D38" s="14">
        <v>1333.9442200000001</v>
      </c>
      <c r="E38" s="14">
        <v>2519.1325139999999</v>
      </c>
      <c r="F38" s="14">
        <v>8128.8329620000004</v>
      </c>
      <c r="G38" s="24">
        <v>2546.1596770000001</v>
      </c>
      <c r="H38" s="24">
        <v>8170.2529649999997</v>
      </c>
      <c r="I38" s="42">
        <v>10395.989613</v>
      </c>
      <c r="J38" s="25">
        <v>4670.5959430000003</v>
      </c>
      <c r="K38" s="24">
        <v>3159.6681050000002</v>
      </c>
      <c r="L38" s="33" t="s">
        <v>31</v>
      </c>
      <c r="N38" s="9"/>
    </row>
    <row r="39" spans="1:14" s="4" customFormat="1" ht="18.75">
      <c r="A39" s="32" t="s">
        <v>56</v>
      </c>
      <c r="B39" s="30">
        <f>SUM(B37:B38)</f>
        <v>2853.903999919999</v>
      </c>
      <c r="C39" s="30">
        <f t="shared" ref="C39:K39" si="2">SUM(C37:C38)</f>
        <v>5595.579299</v>
      </c>
      <c r="D39" s="30">
        <f t="shared" si="2"/>
        <v>7032.3035380000001</v>
      </c>
      <c r="E39" s="30">
        <f t="shared" si="2"/>
        <v>13762.640068000001</v>
      </c>
      <c r="F39" s="30">
        <f t="shared" si="2"/>
        <v>14787.470408000001</v>
      </c>
      <c r="G39" s="39">
        <f t="shared" si="2"/>
        <v>11542.561363999999</v>
      </c>
      <c r="H39" s="39">
        <f t="shared" si="2"/>
        <v>17080.708560999999</v>
      </c>
      <c r="I39" s="45">
        <f t="shared" si="2"/>
        <v>15324.634174999999</v>
      </c>
      <c r="J39" s="39">
        <f t="shared" si="2"/>
        <v>10756.002266</v>
      </c>
      <c r="K39" s="39">
        <f t="shared" si="2"/>
        <v>9004.2452310000008</v>
      </c>
      <c r="L39" s="35" t="s">
        <v>33</v>
      </c>
      <c r="N39" s="9"/>
    </row>
    <row r="40" spans="1:14" ht="15.75">
      <c r="A40" s="13" t="s">
        <v>8</v>
      </c>
      <c r="L40" s="17" t="s">
        <v>59</v>
      </c>
    </row>
  </sheetData>
  <mergeCells count="6">
    <mergeCell ref="A1:L1"/>
    <mergeCell ref="A2:L2"/>
    <mergeCell ref="A3:L3"/>
    <mergeCell ref="A4:A6"/>
    <mergeCell ref="I4:K5"/>
    <mergeCell ref="L4:L6"/>
  </mergeCells>
  <pageMargins left="0.18" right="0.16" top="0.75" bottom="0.75" header="0.3" footer="0.3"/>
  <pageSetup paperSize="9" scale="67" orientation="landscape" horizontalDpi="4294967295" verticalDpi="4294967295" r:id="rId1"/>
  <customProperties>
    <customPr name="EpmWorksheetKeyString_GUID" r:id="rId2"/>
  </customProperties>
  <ignoredErrors>
    <ignoredError sqref="G39:K39" unlockedFormula="1"/>
  </ignoredError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650295-2D2D-4185-9F87-A8013C75F15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1593d9c1-a9f6-478d-a576-b0943b39c604"/>
    <ds:schemaRef ds:uri="1916c6aa-fa20-4fca-8349-5fbeea1bc48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</vt:lpstr>
      <vt:lpstr>'13.1'!Print_Area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2024-07-15T09:20:20Z</cp:lastPrinted>
  <dcterms:created xsi:type="dcterms:W3CDTF">2014-03-06T08:38:12Z</dcterms:created>
  <dcterms:modified xsi:type="dcterms:W3CDTF">2024-07-15T09:20:34Z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