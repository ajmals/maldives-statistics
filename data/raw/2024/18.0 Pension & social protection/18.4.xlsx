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ension\"/>
    </mc:Choice>
  </mc:AlternateContent>
  <xr:revisionPtr revIDLastSave="0" documentId="13_ncr:1_{F0943F11-F6A1-4515-9EEF-4724F3560817}" xr6:coauthVersionLast="47" xr6:coauthVersionMax="47" xr10:uidLastSave="{00000000-0000-0000-0000-000000000000}"/>
  <bookViews>
    <workbookView xWindow="-120" yWindow="-120" windowWidth="29040" windowHeight="15720" tabRatio="839" xr2:uid="{00000000-000D-0000-FFFF-FFFF00000000}"/>
  </bookViews>
  <sheets>
    <sheet name="18.4" sheetId="4" r:id="rId1"/>
  </sheets>
  <externalReferences>
    <externalReference r:id="rId2"/>
  </externalReferences>
  <definedNames>
    <definedName name="_xlnm.Print_Area" localSheetId="0">'18.4'!$A$1:$P$38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9" i="4" l="1"/>
  <c r="AQ19" i="4"/>
  <c r="AO19" i="4"/>
  <c r="J19" i="4"/>
  <c r="J18" i="4"/>
  <c r="J17" i="4"/>
  <c r="J16" i="4"/>
  <c r="J15" i="4"/>
  <c r="J14" i="4"/>
  <c r="J13" i="4"/>
  <c r="J12" i="4"/>
  <c r="J11" i="4"/>
  <c r="J10" i="4"/>
  <c r="J9" i="4"/>
  <c r="J8" i="4"/>
  <c r="F19" i="4" l="1"/>
  <c r="B19" i="4"/>
  <c r="F18" i="4"/>
  <c r="B18" i="4"/>
  <c r="F17" i="4"/>
  <c r="B17" i="4"/>
  <c r="F16" i="4"/>
  <c r="B16" i="4"/>
  <c r="F15" i="4"/>
  <c r="B15" i="4"/>
  <c r="F14" i="4"/>
  <c r="B14" i="4"/>
  <c r="F13" i="4"/>
  <c r="B13" i="4"/>
  <c r="F12" i="4"/>
  <c r="B12" i="4"/>
  <c r="F11" i="4"/>
  <c r="B11" i="4"/>
  <c r="F10" i="4"/>
  <c r="B10" i="4"/>
  <c r="F9" i="4"/>
  <c r="B9" i="4"/>
  <c r="F8" i="4"/>
  <c r="B8" i="4"/>
</calcChain>
</file>

<file path=xl/sharedStrings.xml><?xml version="1.0" encoding="utf-8"?>
<sst xmlns="http://schemas.openxmlformats.org/spreadsheetml/2006/main" count="46" uniqueCount="38">
  <si>
    <t>Total</t>
  </si>
  <si>
    <t>Source: Maldives Pension Administration</t>
  </si>
  <si>
    <t>މަޢުލޫމާތު ދެއްވި ފަރާތް: މޯލްޑިވްސް ޕެންޝަން އެޑްމިނިސްޓްރޭޝަން</t>
  </si>
  <si>
    <t>Month</t>
  </si>
  <si>
    <t>މަސް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</si>
  <si>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</si>
  <si>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</si>
  <si>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</si>
  <si>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</si>
  <si>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</si>
  <si>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</si>
  <si>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</si>
  <si>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</si>
  <si>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</si>
  <si>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</si>
  <si>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</si>
  <si>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</si>
  <si>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</si>
  <si>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</si>
  <si>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</si>
  <si>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</si>
  <si>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</si>
  <si>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</si>
  <si>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</si>
  <si>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</si>
  <si>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</si>
  <si>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</si>
  <si>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</si>
  <si>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</si>
  <si>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r>
      <rPr>
        <b/>
        <sz val="11"/>
        <color rgb="FF000000"/>
        <rFont val="Calibri"/>
      </rPr>
      <t xml:space="preserve">Age Groups </t>
    </r>
    <r>
      <rPr>
        <b/>
        <sz val="11"/>
        <color rgb="FF000000"/>
        <rFont val="Faruma"/>
      </rPr>
      <t xml:space="preserve">  ޢުމުރުފުރާ   </t>
    </r>
  </si>
  <si>
    <t>65-69</t>
  </si>
  <si>
    <t>70-74</t>
  </si>
  <si>
    <t>75 &amp; over</t>
  </si>
  <si>
    <t>65-69 yrs</t>
  </si>
  <si>
    <t xml:space="preserve">70-74 yrs </t>
  </si>
  <si>
    <t>75  yrs &amp; over</t>
  </si>
  <si>
    <t>TABLE   18.4: NUMBER OF BENEFICIARIES OF BASIC PENSION SCHEME BY AGE, 2021 - 2023</t>
  </si>
  <si>
    <t>ތާވަލު  18.4 : އަސާސީ ޕެންޝަން ލިބޭ މީހުންގެ އަދަދު އަދި ޢުމުރުފުރާތައް، 2021 - 2023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</si>
</sst>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5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Faruma"/>
    </font>
    <font>
      <i/>
      <sz val="10"/>
      <color rgb="FF000000"/>
      <name val="Calibri"/>
    </font>
    <font>
      <sz val="10"/>
      <color rgb="FF000000"/>
      <name val="Faruma"/>
    </font>
    <font>
      <sz val="9"/>
      <color rgb="FF000000"/>
      <name val="Calibri"/>
    </font>
    <font>
      <i/>
      <sz val="9"/>
      <color rgb="FF000000"/>
      <name val="Calibri"/>
    </font>
    <font>
      <sz val="9"/>
      <color rgb="FF000000"/>
      <name val="Faruma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2">
    <xf numFmtId="0" fontId="0" fillId="0" borderId="0"/>
    <xf numFmtId="164" fontId="14" fillId="0" borderId="21"/>
    <xf numFmtId="43" fontId="12" fillId="0" borderId="21" applyFont="0" applyFill="0" applyBorder="0" applyAlignment="0" applyProtection="0"/>
    <xf numFmtId="43" fontId="12" fillId="0" borderId="21" applyFont="0" applyFill="0" applyBorder="0" applyAlignment="0" applyProtection="0"/>
    <xf numFmtId="0" fontId="12" fillId="0" borderId="21"/>
    <xf numFmtId="0" fontId="12" fillId="0" borderId="21"/>
    <xf numFmtId="0" fontId="12" fillId="0" borderId="21"/>
    <xf numFmtId="0" fontId="12" fillId="0" borderId="21"/>
    <xf numFmtId="0" fontId="12" fillId="0" borderId="21"/>
    <xf numFmtId="0" fontId="12" fillId="0" borderId="21"/>
    <xf numFmtId="0" fontId="12" fillId="0" borderId="21"/>
    <xf numFmtId="0" fontId="12" fillId="0" borderId="21"/>
  </cellStyleXfs>
  <cellXfs count="50">
    <xf numFmtId="0" fontId="0" fillId="0" borderId="0" xfId="0"/>
    <xf numFmtId="0" fontId="3" fillId="2" borderId="4" xfId="0" applyFont="1" applyFill="1" applyBorder="1"/>
    <xf numFmtId="0" fontId="4" fillId="2" borderId="14" xfId="0" applyFont="1" applyFill="1" applyBorder="1" applyAlignment="1">
      <alignment horizontal="right" vertical="center"/>
    </xf>
    <xf numFmtId="0" fontId="4" fillId="2" borderId="16" xfId="0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right" vertical="center"/>
    </xf>
    <xf numFmtId="0" fontId="4" fillId="2" borderId="18" xfId="0" applyFont="1" applyFill="1" applyBorder="1" applyAlignment="1">
      <alignment horizontal="right" vertical="center"/>
    </xf>
    <xf numFmtId="164" fontId="3" fillId="2" borderId="4" xfId="0" applyNumberFormat="1" applyFont="1" applyFill="1" applyBorder="1"/>
    <xf numFmtId="0" fontId="3" fillId="2" borderId="4" xfId="0" applyFont="1" applyFill="1" applyBorder="1" applyAlignment="1">
      <alignment horizontal="left" vertical="center"/>
    </xf>
    <xf numFmtId="3" fontId="3" fillId="2" borderId="19" xfId="0" applyNumberFormat="1" applyFont="1" applyFill="1" applyBorder="1" applyAlignment="1">
      <alignment vertical="center"/>
    </xf>
    <xf numFmtId="0" fontId="5" fillId="2" borderId="4" xfId="0" applyFont="1" applyFill="1" applyBorder="1" applyAlignment="1">
      <alignment horizontal="right" vertical="center"/>
    </xf>
    <xf numFmtId="3" fontId="3" fillId="2" borderId="4" xfId="0" applyNumberFormat="1" applyFont="1" applyFill="1" applyBorder="1"/>
    <xf numFmtId="0" fontId="5" fillId="2" borderId="4" xfId="0" applyFont="1" applyFill="1" applyBorder="1" applyAlignment="1">
      <alignment horizontal="right"/>
    </xf>
    <xf numFmtId="0" fontId="3" fillId="2" borderId="14" xfId="0" applyFont="1" applyFill="1" applyBorder="1" applyAlignment="1">
      <alignment horizontal="left" vertical="center"/>
    </xf>
    <xf numFmtId="3" fontId="3" fillId="2" borderId="16" xfId="0" applyNumberFormat="1" applyFont="1" applyFill="1" applyBorder="1" applyAlignment="1">
      <alignment vertical="center"/>
    </xf>
    <xf numFmtId="0" fontId="5" fillId="2" borderId="14" xfId="0" applyFont="1" applyFill="1" applyBorder="1" applyAlignment="1">
      <alignment horizontal="right" vertical="center"/>
    </xf>
    <xf numFmtId="0" fontId="8" fillId="2" borderId="4" xfId="0" applyFont="1" applyFill="1" applyBorder="1"/>
    <xf numFmtId="0" fontId="9" fillId="2" borderId="4" xfId="0" applyFont="1" applyFill="1" applyBorder="1"/>
    <xf numFmtId="0" fontId="10" fillId="2" borderId="4" xfId="0" applyFont="1" applyFill="1" applyBorder="1"/>
    <xf numFmtId="0" fontId="7" fillId="2" borderId="4" xfId="0" applyFont="1" applyFill="1" applyBorder="1"/>
    <xf numFmtId="14" fontId="3" fillId="2" borderId="4" xfId="0" applyNumberFormat="1" applyFont="1" applyFill="1" applyBorder="1"/>
    <xf numFmtId="3" fontId="3" fillId="2" borderId="15" xfId="0" applyNumberFormat="1" applyFont="1" applyFill="1" applyBorder="1" applyAlignment="1">
      <alignment vertical="center"/>
    </xf>
    <xf numFmtId="0" fontId="6" fillId="2" borderId="4" xfId="0" applyFont="1" applyFill="1" applyBorder="1"/>
    <xf numFmtId="0" fontId="4" fillId="2" borderId="4" xfId="0" applyFont="1" applyFill="1" applyBorder="1" applyAlignment="1">
      <alignment horizontal="right" vertical="center"/>
    </xf>
    <xf numFmtId="1" fontId="3" fillId="2" borderId="4" xfId="0" applyNumberFormat="1" applyFont="1" applyFill="1" applyBorder="1"/>
    <xf numFmtId="165" fontId="3" fillId="2" borderId="4" xfId="0" applyNumberFormat="1" applyFont="1" applyFill="1" applyBorder="1"/>
    <xf numFmtId="0" fontId="0" fillId="3" borderId="0" xfId="0" applyFill="1"/>
    <xf numFmtId="3" fontId="3" fillId="4" borderId="4" xfId="0" applyNumberFormat="1" applyFont="1" applyFill="1" applyBorder="1" applyAlignment="1">
      <alignment vertical="center"/>
    </xf>
    <xf numFmtId="3" fontId="3" fillId="4" borderId="14" xfId="0" applyNumberFormat="1" applyFont="1" applyFill="1" applyBorder="1" applyAlignment="1">
      <alignment vertical="center"/>
    </xf>
    <xf numFmtId="0" fontId="4" fillId="2" borderId="22" xfId="0" applyFont="1" applyFill="1" applyBorder="1" applyAlignment="1">
      <alignment horizontal="right" vertical="center"/>
    </xf>
    <xf numFmtId="3" fontId="3" fillId="2" borderId="21" xfId="0" applyNumberFormat="1" applyFont="1" applyFill="1" applyBorder="1" applyAlignment="1">
      <alignment vertical="center"/>
    </xf>
    <xf numFmtId="3" fontId="3" fillId="2" borderId="22" xfId="0" applyNumberFormat="1" applyFont="1" applyFill="1" applyBorder="1" applyAlignment="1">
      <alignment vertical="center"/>
    </xf>
    <xf numFmtId="3" fontId="3" fillId="4" borderId="21" xfId="0" applyNumberFormat="1" applyFont="1" applyFill="1" applyBorder="1" applyAlignment="1">
      <alignment vertical="center"/>
    </xf>
    <xf numFmtId="3" fontId="3" fillId="4" borderId="22" xfId="0" applyNumberFormat="1" applyFont="1" applyFill="1" applyBorder="1" applyAlignment="1">
      <alignment vertical="center"/>
    </xf>
    <xf numFmtId="3" fontId="3" fillId="2" borderId="20" xfId="0" applyNumberFormat="1" applyFont="1" applyFill="1" applyBorder="1" applyAlignment="1">
      <alignment vertical="center"/>
    </xf>
    <xf numFmtId="0" fontId="2" fillId="3" borderId="8" xfId="0" applyFont="1" applyFill="1" applyBorder="1"/>
    <xf numFmtId="0" fontId="2" fillId="3" borderId="9" xfId="0" applyFont="1" applyFill="1" applyBorder="1"/>
    <xf numFmtId="0" fontId="2" fillId="3" borderId="11" xfId="0" applyFont="1" applyFill="1" applyBorder="1"/>
    <xf numFmtId="0" fontId="2" fillId="3" borderId="10" xfId="0" applyFont="1" applyFill="1" applyBorder="1"/>
    <xf numFmtId="0" fontId="2" fillId="3" borderId="2" xfId="0" applyFont="1" applyFill="1" applyBorder="1"/>
    <xf numFmtId="0" fontId="2" fillId="3" borderId="21" xfId="0" applyFont="1" applyFill="1" applyBorder="1"/>
    <xf numFmtId="0" fontId="2" fillId="3" borderId="3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2" fillId="3" borderId="7" xfId="0" applyFont="1" applyFill="1" applyBorder="1"/>
    <xf numFmtId="0" fontId="2" fillId="3" borderId="13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</cellXfs>
  <cellStyles count="12">
    <cellStyle name="Comma 23" xfId="2" xr:uid="{3E5BAF3C-F617-4E2D-A85B-C690E04E58B3}"/>
    <cellStyle name="Comma 3" xfId="3" xr:uid="{6D4A6997-1191-41C6-BFD1-905BCFA15FB4}"/>
    <cellStyle name="Normal" xfId="0" builtinId="0"/>
    <cellStyle name="Normal 10" xfId="5" xr:uid="{06DA859A-5D9A-4216-AE3D-7F80C4883077}"/>
    <cellStyle name="Normal 2" xfId="1" xr:uid="{F2AF85D4-6C8D-4AD8-963A-A6E1AB9E7E54}"/>
    <cellStyle name="Normal 30 2" xfId="4" xr:uid="{C71C314A-D15E-4E30-8A14-8D449AD00B59}"/>
    <cellStyle name="Normal 39" xfId="6" xr:uid="{4F4E8F7A-67E6-4096-8E34-05E38D8ED152}"/>
    <cellStyle name="Normal 40" xfId="7" xr:uid="{033E8D92-629F-4AC2-AC89-1CD1CA9F4E8C}"/>
    <cellStyle name="Normal 41" xfId="8" xr:uid="{5187C0CE-C1F8-4630-ADBD-B30A1ED7A0DC}"/>
    <cellStyle name="Normal 44" xfId="9" xr:uid="{E4C0E057-F35D-4158-B0F8-9AA77ED2402B}"/>
    <cellStyle name="Normal 58" xfId="11" xr:uid="{49593C51-6AD9-47F1-9876-4E87D3F435A6}"/>
    <cellStyle name="Normal 59" xfId="10" xr:uid="{35463A83-6A14-47E2-8F60-A12790F7E977}"/>
  </cellStyles>
  <dxfs count="0"/>
  <tableStyles count="0" defaultTableStyle="TableStyleMedium2" defaultPivotStyle="PivotStyleLight16"/>
  <colors>
    <mruColors>
      <color rgb="FF00EEE8"/>
      <color rgb="FFE7FFFF"/>
      <color rgb="FF009999"/>
      <color rgb="FF00CCC7"/>
      <color rgb="FF61FFFF"/>
      <color rgb="FF9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6946031746031746"/>
          <c:y val="0.18825876177242551"/>
          <c:w val="0.42592592592592593"/>
          <c:h val="0.83333333333333348"/>
        </c:manualLayout>
      </c:layout>
      <c:doughnutChart>
        <c:varyColors val="1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dPt>
            <c:idx val="0"/>
            <c:bubble3D val="0"/>
            <c:spPr>
              <a:solidFill>
                <a:srgbClr val="61FFFF"/>
              </a:solidFill>
            </c:spPr>
            <c:extLst>
              <c:ext xmlns:c16="http://schemas.microsoft.com/office/drawing/2014/chart" uri="{C3380CC4-5D6E-409C-BE32-E72D297353CC}">
                <c16:uniqueId val="{00000001-6746-4C76-A938-A47E6CEA7C52}"/>
              </c:ext>
            </c:extLst>
          </c:dPt>
          <c:dPt>
            <c:idx val="1"/>
            <c:bubble3D val="0"/>
            <c:spPr>
              <a:solidFill>
                <a:srgbClr val="E7FFFF"/>
              </a:solidFill>
            </c:spPr>
            <c:extLst>
              <c:ext xmlns:c16="http://schemas.microsoft.com/office/drawing/2014/chart" uri="{C3380CC4-5D6E-409C-BE32-E72D297353CC}">
                <c16:uniqueId val="{00000003-6746-4C76-A938-A47E6CEA7C52}"/>
              </c:ext>
            </c:extLst>
          </c:dPt>
          <c:dPt>
            <c:idx val="2"/>
            <c:bubble3D val="0"/>
            <c:spPr>
              <a:solidFill>
                <a:srgbClr val="009999"/>
              </a:solidFill>
            </c:spPr>
            <c:extLst>
              <c:ext xmlns:c16="http://schemas.microsoft.com/office/drawing/2014/chart" uri="{C3380CC4-5D6E-409C-BE32-E72D297353CC}">
                <c16:uniqueId val="{00000004-6746-4C76-A938-A47E6CEA7C5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6220901436354608E-2"/>
                      <c:h val="0.117971830985915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746-4C76-A938-A47E6CEA7C5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b="1">
                      <a:solidFill>
                        <a:schemeClr val="bg2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341753343239227"/>
                      <c:h val="0.163042253521126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6746-4C76-A938-A47E6CEA7C5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'18.4'!$AO$18:$AQ$18</c:f>
              <c:strCache>
                <c:ptCount val="3"/>
                <c:pt idx="0">
                  <c:v>65-69 yrs</c:v>
                </c:pt>
                <c:pt idx="1">
                  <c:v>70-74 yrs </c:v>
                </c:pt>
                <c:pt idx="2">
                  <c:v>75  yrs &amp; over</c:v>
                </c:pt>
              </c:strCache>
            </c:strRef>
          </c:cat>
          <c:val>
            <c:numRef>
              <c:f>'18.4'!$AO$19:$AQ$19</c:f>
              <c:numCache>
                <c:formatCode>#,##0</c:formatCode>
                <c:ptCount val="3"/>
                <c:pt idx="0">
                  <c:v>8296</c:v>
                </c:pt>
                <c:pt idx="1">
                  <c:v>5324</c:v>
                </c:pt>
                <c:pt idx="2">
                  <c:v>8403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46-4C76-A938-A47E6CEA7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461502</xdr:colOff>
      <xdr:row>20</xdr:row>
      <xdr:rowOff>115017</xdr:rowOff>
    </xdr:from>
    <xdr:ext cx="6410325" cy="3381375"/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682728</xdr:colOff>
      <xdr:row>21</xdr:row>
      <xdr:rowOff>135501</xdr:rowOff>
    </xdr:from>
    <xdr:ext cx="5991225" cy="266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409905" y="5717356"/>
          <a:ext cx="5991225" cy="2667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63"/>
            <a:buFont typeface="Consolas"/>
            <a:buNone/>
          </a:pPr>
          <a:r>
            <a:rPr lang="en-US" sz="105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18.6: Percentage share of beneficiaries of basic pension scheme by age group, 2023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latin typeface="Consolas"/>
            <a:ea typeface="Consolas"/>
            <a:cs typeface="Consolas"/>
            <a:sym typeface="Consolas"/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8\st4\Dissemination\Publications\Statistical%20Year%20Book\YEARBOOK%202023\RECEIVED\18.%20PENSION%20AND%20SOCIAL%20PROTECTION%20-%20NSPA%20&amp;%20Aasandha.xlsx" TargetMode="External"/><Relationship Id="rId1" Type="http://schemas.openxmlformats.org/officeDocument/2006/relationships/externalLinkPath" Target="/Dissemination/Publications/Statistical%20Year%20Book/YEARBOOK%202023/RECEIVED/18.%20PENSION%20AND%20SOCIAL%20PROTECTION%20-%20NSPA%20&amp;%20Aasand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8.18"/>
      <sheetName val="18.19"/>
      <sheetName val="18.20"/>
      <sheetName val="18.21"/>
      <sheetName val="18.22"/>
      <sheetName val="18.23"/>
      <sheetName val="18.24"/>
      <sheetName val="18.25"/>
      <sheetName val="18.26"/>
      <sheetName val="18.27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1630627599.4917998</v>
          </cell>
        </row>
        <row r="8">
          <cell r="A8" t="str">
            <v>Atolls</v>
          </cell>
          <cell r="B8">
            <v>870548839.8180002</v>
          </cell>
        </row>
        <row r="9">
          <cell r="A9" t="str">
            <v>Overseas</v>
          </cell>
          <cell r="B9">
            <v>321919608.7554</v>
          </cell>
        </row>
        <row r="11">
          <cell r="X11">
            <v>2016</v>
          </cell>
          <cell r="Y11">
            <v>2017</v>
          </cell>
          <cell r="Z11">
            <v>2018</v>
          </cell>
          <cell r="AA11">
            <v>2019</v>
          </cell>
          <cell r="AB11">
            <v>2020</v>
          </cell>
          <cell r="AC11">
            <v>2021</v>
          </cell>
        </row>
        <row r="12">
          <cell r="U12" t="str">
            <v>Republic</v>
          </cell>
          <cell r="X12">
            <v>1675199187.0308001</v>
          </cell>
          <cell r="Y12">
            <v>1797290685.4405</v>
          </cell>
          <cell r="Z12">
            <v>2164672441.0613999</v>
          </cell>
          <cell r="AA12">
            <v>2433716952.1484995</v>
          </cell>
          <cell r="AB12">
            <v>2014669790.0487001</v>
          </cell>
          <cell r="AC12">
            <v>2823096048.0652003</v>
          </cell>
        </row>
        <row r="13">
          <cell r="U13" t="str">
            <v xml:space="preserve">Male' </v>
          </cell>
          <cell r="X13">
            <v>899761456.92000008</v>
          </cell>
          <cell r="Y13">
            <v>1040187042.5204999</v>
          </cell>
          <cell r="Z13">
            <v>1255240833.9584999</v>
          </cell>
          <cell r="AA13">
            <v>1488868041.2019994</v>
          </cell>
          <cell r="AB13">
            <v>1164428500.4760997</v>
          </cell>
          <cell r="AC13">
            <v>1630627599.4917998</v>
          </cell>
        </row>
        <row r="14">
          <cell r="U14" t="str">
            <v>Atolls</v>
          </cell>
          <cell r="X14">
            <v>552084045.86000001</v>
          </cell>
          <cell r="Y14">
            <v>582040521.91999996</v>
          </cell>
          <cell r="Z14">
            <v>642497891.10289991</v>
          </cell>
          <cell r="AA14">
            <v>665276794.77769983</v>
          </cell>
          <cell r="AB14">
            <v>725519558.47500014</v>
          </cell>
          <cell r="AC14">
            <v>870548839.8180002</v>
          </cell>
        </row>
        <row r="15">
          <cell r="U15" t="str">
            <v>Overseas</v>
          </cell>
          <cell r="X15">
            <v>223353684.25080001</v>
          </cell>
          <cell r="Y15">
            <v>175063121</v>
          </cell>
          <cell r="Z15">
            <v>266933716</v>
          </cell>
          <cell r="AA15">
            <v>279572116.1688</v>
          </cell>
          <cell r="AB15">
            <v>124721731.0976</v>
          </cell>
          <cell r="AC15">
            <v>321919608.7554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S1000"/>
  <sheetViews>
    <sheetView tabSelected="1" zoomScale="93" zoomScaleNormal="93" workbookViewId="0">
      <selection activeCell="V11" sqref="V11"/>
    </sheetView>
  </sheetViews>
  <sheetFormatPr defaultColWidth="14.42578125" defaultRowHeight="15" customHeight="1"/>
  <cols>
    <col min="1" max="1" width="10.85546875" style="25" customWidth="1"/>
    <col min="2" max="13" width="11" style="25" customWidth="1"/>
    <col min="14" max="14" width="14.5703125" style="25" customWidth="1"/>
    <col min="15" max="15" width="3.28515625" style="25" customWidth="1"/>
    <col min="16" max="40" width="8" style="25" customWidth="1"/>
    <col min="41" max="43" width="12.7109375" style="25" customWidth="1"/>
    <col min="44" max="44" width="8" style="25" customWidth="1"/>
    <col min="45" max="45" width="15.140625" style="25" customWidth="1"/>
    <col min="46" max="16384" width="14.42578125" style="25"/>
  </cols>
  <sheetData>
    <row r="1" spans="1: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16.5" customHeight="1">
      <c r="A2" s="45" t="s">
        <v>37</v>
      </c>
      <c r="B2" s="38"/>
      <c r="C2" s="38"/>
      <c r="D2" s="38"/>
      <c r="E2" s="38"/>
      <c r="F2" s="38"/>
      <c r="G2" s="38"/>
      <c r="H2" s="38"/>
      <c r="I2" s="38"/>
      <c r="J2" s="39"/>
      <c r="K2" s="39"/>
      <c r="L2" s="39"/>
      <c r="M2" s="39"/>
      <c r="N2" s="40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ht="14.25" customHeight="1">
      <c r="A3" s="46" t="s">
        <v>36</v>
      </c>
      <c r="B3" s="38"/>
      <c r="C3" s="38"/>
      <c r="D3" s="38"/>
      <c r="E3" s="38"/>
      <c r="F3" s="38"/>
      <c r="G3" s="38"/>
      <c r="H3" s="38"/>
      <c r="I3" s="38"/>
      <c r="J3" s="39"/>
      <c r="K3" s="39"/>
      <c r="L3" s="39"/>
      <c r="M3" s="39"/>
      <c r="N3" s="40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ht="6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21" customHeight="1">
      <c r="A5" s="41" t="s">
        <v>3</v>
      </c>
      <c r="B5" s="49" t="s">
        <v>29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4" t="s">
        <v>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42"/>
      <c r="B6" s="48">
        <v>2021</v>
      </c>
      <c r="C6" s="36"/>
      <c r="D6" s="36"/>
      <c r="E6" s="37"/>
      <c r="F6" s="47">
        <v>2022</v>
      </c>
      <c r="G6" s="34"/>
      <c r="H6" s="34"/>
      <c r="I6" s="35"/>
      <c r="J6" s="47">
        <v>2023</v>
      </c>
      <c r="K6" s="34"/>
      <c r="L6" s="34"/>
      <c r="M6" s="35"/>
      <c r="N6" s="42"/>
      <c r="O6" s="1"/>
      <c r="P6" s="1"/>
      <c r="Q6" s="19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43"/>
      <c r="B7" s="28" t="s">
        <v>0</v>
      </c>
      <c r="C7" s="28" t="s">
        <v>30</v>
      </c>
      <c r="D7" s="28" t="s">
        <v>31</v>
      </c>
      <c r="E7" s="5" t="s">
        <v>32</v>
      </c>
      <c r="F7" s="3" t="s">
        <v>0</v>
      </c>
      <c r="G7" s="2" t="s">
        <v>30</v>
      </c>
      <c r="H7" s="2" t="s">
        <v>31</v>
      </c>
      <c r="I7" s="4" t="s">
        <v>32</v>
      </c>
      <c r="J7" s="3" t="s">
        <v>0</v>
      </c>
      <c r="K7" s="2" t="s">
        <v>30</v>
      </c>
      <c r="L7" s="2" t="s">
        <v>31</v>
      </c>
      <c r="M7" s="4" t="s">
        <v>32</v>
      </c>
      <c r="N7" s="43"/>
      <c r="O7" s="1"/>
      <c r="P7" s="1"/>
      <c r="Q7" s="19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ht="24.75" customHeight="1">
      <c r="A8" s="7" t="s">
        <v>5</v>
      </c>
      <c r="B8" s="29">
        <f t="shared" ref="B8:B19" si="0">SUM(C8:E8)</f>
        <v>18788</v>
      </c>
      <c r="C8" s="29">
        <v>5987</v>
      </c>
      <c r="D8" s="29">
        <v>4478</v>
      </c>
      <c r="E8" s="33">
        <v>8323</v>
      </c>
      <c r="F8" s="8">
        <f t="shared" ref="F8:F19" si="1">SUM(G8:I8)</f>
        <v>19823</v>
      </c>
      <c r="G8" s="26">
        <v>6770</v>
      </c>
      <c r="H8" s="26">
        <v>4771</v>
      </c>
      <c r="I8" s="26">
        <v>8282</v>
      </c>
      <c r="J8" s="8">
        <f t="shared" ref="J8:J19" si="2">SUM(K8:M8)</f>
        <v>21175</v>
      </c>
      <c r="K8" s="31">
        <v>7830</v>
      </c>
      <c r="L8" s="31">
        <v>5021</v>
      </c>
      <c r="M8" s="31">
        <v>8324</v>
      </c>
      <c r="N8" s="9" t="s">
        <v>6</v>
      </c>
      <c r="O8" s="1"/>
      <c r="P8" s="1"/>
      <c r="Q8" s="19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ht="24.75" customHeight="1">
      <c r="A9" s="7" t="s">
        <v>7</v>
      </c>
      <c r="B9" s="29">
        <f t="shared" si="0"/>
        <v>18884</v>
      </c>
      <c r="C9" s="29">
        <v>6068</v>
      </c>
      <c r="D9" s="29">
        <v>4472</v>
      </c>
      <c r="E9" s="33">
        <v>8344</v>
      </c>
      <c r="F9" s="8">
        <f t="shared" si="1"/>
        <v>19904</v>
      </c>
      <c r="G9" s="26">
        <v>6876</v>
      </c>
      <c r="H9" s="26">
        <v>4792</v>
      </c>
      <c r="I9" s="26">
        <v>8236</v>
      </c>
      <c r="J9" s="8">
        <f t="shared" si="2"/>
        <v>21321</v>
      </c>
      <c r="K9" s="31">
        <v>7969</v>
      </c>
      <c r="L9" s="31">
        <v>5041</v>
      </c>
      <c r="M9" s="31">
        <v>8311</v>
      </c>
      <c r="N9" s="9" t="s">
        <v>8</v>
      </c>
      <c r="O9" s="1"/>
      <c r="P9" s="1"/>
      <c r="Q9" s="19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ht="24.75" customHeight="1">
      <c r="A10" s="7" t="s">
        <v>9</v>
      </c>
      <c r="B10" s="29">
        <f t="shared" si="0"/>
        <v>19003</v>
      </c>
      <c r="C10" s="29">
        <v>6170</v>
      </c>
      <c r="D10" s="29">
        <v>4529</v>
      </c>
      <c r="E10" s="33">
        <v>8304</v>
      </c>
      <c r="F10" s="8">
        <f t="shared" si="1"/>
        <v>19981</v>
      </c>
      <c r="G10" s="26">
        <v>7039</v>
      </c>
      <c r="H10" s="26">
        <v>4778</v>
      </c>
      <c r="I10" s="26">
        <v>8164</v>
      </c>
      <c r="J10" s="8">
        <f t="shared" si="2"/>
        <v>21409</v>
      </c>
      <c r="K10" s="31">
        <v>8126</v>
      </c>
      <c r="L10" s="31">
        <v>5031</v>
      </c>
      <c r="M10" s="31">
        <v>8252</v>
      </c>
      <c r="N10" s="9" t="s">
        <v>10</v>
      </c>
      <c r="O10" s="1"/>
      <c r="P10" s="1"/>
      <c r="Q10" s="19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ht="24.75" customHeight="1">
      <c r="A11" s="7" t="s">
        <v>11</v>
      </c>
      <c r="B11" s="29">
        <f t="shared" si="0"/>
        <v>19044</v>
      </c>
      <c r="C11" s="29">
        <v>6233</v>
      </c>
      <c r="D11" s="29">
        <v>4499</v>
      </c>
      <c r="E11" s="33">
        <v>8312</v>
      </c>
      <c r="F11" s="8">
        <f t="shared" si="1"/>
        <v>20120</v>
      </c>
      <c r="G11" s="26">
        <v>7140</v>
      </c>
      <c r="H11" s="26">
        <v>4813</v>
      </c>
      <c r="I11" s="26">
        <v>8167</v>
      </c>
      <c r="J11" s="8">
        <f t="shared" si="2"/>
        <v>21497</v>
      </c>
      <c r="K11" s="31">
        <v>8182</v>
      </c>
      <c r="L11" s="31">
        <v>5112</v>
      </c>
      <c r="M11" s="31">
        <v>8203</v>
      </c>
      <c r="N11" s="9" t="s">
        <v>12</v>
      </c>
      <c r="O11" s="1"/>
      <c r="P11" s="1"/>
      <c r="Q11" s="19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ht="24.75" customHeight="1">
      <c r="A12" s="7" t="s">
        <v>13</v>
      </c>
      <c r="B12" s="29">
        <f t="shared" si="0"/>
        <v>19072</v>
      </c>
      <c r="C12" s="29">
        <v>6293</v>
      </c>
      <c r="D12" s="29">
        <v>4541</v>
      </c>
      <c r="E12" s="33">
        <v>8238</v>
      </c>
      <c r="F12" s="8">
        <f t="shared" si="1"/>
        <v>20199</v>
      </c>
      <c r="G12" s="26">
        <v>7284</v>
      </c>
      <c r="H12" s="26">
        <v>4807</v>
      </c>
      <c r="I12" s="26">
        <v>8108</v>
      </c>
      <c r="J12" s="8">
        <f t="shared" si="2"/>
        <v>21505</v>
      </c>
      <c r="K12" s="31">
        <v>8291</v>
      </c>
      <c r="L12" s="31">
        <v>5057</v>
      </c>
      <c r="M12" s="31">
        <v>8157</v>
      </c>
      <c r="N12" s="9" t="s">
        <v>14</v>
      </c>
      <c r="O12" s="1"/>
      <c r="P12" s="1"/>
      <c r="Q12" s="19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ht="24.75" customHeight="1">
      <c r="A13" s="7" t="s">
        <v>15</v>
      </c>
      <c r="B13" s="29">
        <f t="shared" si="0"/>
        <v>19059</v>
      </c>
      <c r="C13" s="29">
        <v>6349</v>
      </c>
      <c r="D13" s="29">
        <v>4508</v>
      </c>
      <c r="E13" s="33">
        <v>8202</v>
      </c>
      <c r="F13" s="8">
        <f t="shared" si="1"/>
        <v>20323</v>
      </c>
      <c r="G13" s="26">
        <v>7332</v>
      </c>
      <c r="H13" s="26">
        <v>4862</v>
      </c>
      <c r="I13" s="26">
        <v>8129</v>
      </c>
      <c r="J13" s="8">
        <f t="shared" si="2"/>
        <v>21598</v>
      </c>
      <c r="K13" s="31">
        <v>8341</v>
      </c>
      <c r="L13" s="31">
        <v>5109</v>
      </c>
      <c r="M13" s="31">
        <v>8148</v>
      </c>
      <c r="N13" s="9" t="s">
        <v>16</v>
      </c>
      <c r="O13" s="1"/>
      <c r="P13" s="1"/>
      <c r="Q13" s="19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ht="24.75" customHeight="1">
      <c r="A14" s="7" t="s">
        <v>17</v>
      </c>
      <c r="B14" s="29">
        <f t="shared" si="0"/>
        <v>19106</v>
      </c>
      <c r="C14" s="29">
        <v>6441</v>
      </c>
      <c r="D14" s="29">
        <v>4534</v>
      </c>
      <c r="E14" s="33">
        <v>8131</v>
      </c>
      <c r="F14" s="8">
        <f t="shared" si="1"/>
        <v>20383</v>
      </c>
      <c r="G14" s="26">
        <v>7443</v>
      </c>
      <c r="H14" s="26">
        <v>4858</v>
      </c>
      <c r="I14" s="26">
        <v>8082</v>
      </c>
      <c r="J14" s="8">
        <f t="shared" si="2"/>
        <v>21693</v>
      </c>
      <c r="K14" s="31">
        <v>8507</v>
      </c>
      <c r="L14" s="31">
        <v>5073</v>
      </c>
      <c r="M14" s="31">
        <v>8113</v>
      </c>
      <c r="N14" s="9" t="s">
        <v>18</v>
      </c>
      <c r="O14" s="1"/>
      <c r="P14" s="1"/>
      <c r="Q14" s="19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ht="24.75" customHeight="1">
      <c r="A15" s="7" t="s">
        <v>19</v>
      </c>
      <c r="B15" s="29">
        <f t="shared" si="0"/>
        <v>19169</v>
      </c>
      <c r="C15" s="29">
        <v>6147</v>
      </c>
      <c r="D15" s="29">
        <v>4950</v>
      </c>
      <c r="E15" s="33">
        <v>8072</v>
      </c>
      <c r="F15" s="8">
        <f t="shared" si="1"/>
        <v>20433</v>
      </c>
      <c r="G15" s="26">
        <v>7520</v>
      </c>
      <c r="H15" s="26">
        <v>4879</v>
      </c>
      <c r="I15" s="26">
        <v>8034</v>
      </c>
      <c r="J15" s="8">
        <f t="shared" si="2"/>
        <v>21805</v>
      </c>
      <c r="K15" s="31">
        <v>8610</v>
      </c>
      <c r="L15" s="31">
        <v>5090</v>
      </c>
      <c r="M15" s="31">
        <v>8105</v>
      </c>
      <c r="N15" s="9" t="s">
        <v>20</v>
      </c>
      <c r="O15" s="1"/>
      <c r="P15" s="1"/>
      <c r="Q15" s="19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ht="24.75" customHeight="1">
      <c r="A16" s="7" t="s">
        <v>21</v>
      </c>
      <c r="B16" s="29">
        <f t="shared" si="0"/>
        <v>19225</v>
      </c>
      <c r="C16" s="29">
        <v>6205</v>
      </c>
      <c r="D16" s="29">
        <v>4665</v>
      </c>
      <c r="E16" s="33">
        <v>8355</v>
      </c>
      <c r="F16" s="8">
        <f t="shared" si="1"/>
        <v>20487</v>
      </c>
      <c r="G16" s="26">
        <v>7154</v>
      </c>
      <c r="H16" s="26">
        <v>4962</v>
      </c>
      <c r="I16" s="26">
        <v>8371</v>
      </c>
      <c r="J16" s="8">
        <f t="shared" si="2"/>
        <v>21852</v>
      </c>
      <c r="K16" s="31">
        <v>8146</v>
      </c>
      <c r="L16" s="31">
        <v>5260</v>
      </c>
      <c r="M16" s="31">
        <v>8446</v>
      </c>
      <c r="N16" s="9" t="s">
        <v>22</v>
      </c>
      <c r="O16" s="1"/>
      <c r="P16" s="1"/>
      <c r="Q16" s="19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ht="24.75" customHeight="1">
      <c r="A17" s="7" t="s">
        <v>23</v>
      </c>
      <c r="B17" s="29">
        <f t="shared" si="0"/>
        <v>19297</v>
      </c>
      <c r="C17" s="29">
        <v>6244</v>
      </c>
      <c r="D17" s="29">
        <v>4704</v>
      </c>
      <c r="E17" s="33">
        <v>8349</v>
      </c>
      <c r="F17" s="8">
        <f t="shared" si="1"/>
        <v>20538</v>
      </c>
      <c r="G17" s="26">
        <v>7217</v>
      </c>
      <c r="H17" s="26">
        <v>4965</v>
      </c>
      <c r="I17" s="26">
        <v>8356</v>
      </c>
      <c r="J17" s="8">
        <f t="shared" si="2"/>
        <v>21928</v>
      </c>
      <c r="K17" s="31">
        <v>8182</v>
      </c>
      <c r="L17" s="31">
        <v>5306</v>
      </c>
      <c r="M17" s="31">
        <v>8440</v>
      </c>
      <c r="N17" s="9" t="s">
        <v>24</v>
      </c>
      <c r="O17" s="1"/>
      <c r="P17" s="1"/>
      <c r="Q17" s="19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ht="24.75" customHeight="1">
      <c r="A18" s="7" t="s">
        <v>25</v>
      </c>
      <c r="B18" s="29">
        <f t="shared" si="0"/>
        <v>19283</v>
      </c>
      <c r="C18" s="29">
        <v>6251</v>
      </c>
      <c r="D18" s="29">
        <v>4722</v>
      </c>
      <c r="E18" s="33">
        <v>8310</v>
      </c>
      <c r="F18" s="8">
        <f t="shared" si="1"/>
        <v>20574</v>
      </c>
      <c r="G18" s="26">
        <v>7227</v>
      </c>
      <c r="H18" s="26">
        <v>4999</v>
      </c>
      <c r="I18" s="26">
        <v>8348</v>
      </c>
      <c r="J18" s="8">
        <f t="shared" si="2"/>
        <v>21975</v>
      </c>
      <c r="K18" s="31">
        <v>8242</v>
      </c>
      <c r="L18" s="31">
        <v>5314</v>
      </c>
      <c r="M18" s="31">
        <v>8419</v>
      </c>
      <c r="N18" s="11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2" t="s">
        <v>33</v>
      </c>
      <c r="AP18" s="2" t="s">
        <v>34</v>
      </c>
      <c r="AQ18" s="4" t="s">
        <v>35</v>
      </c>
      <c r="AR18" s="1"/>
      <c r="AS18" s="1"/>
    </row>
    <row r="19" spans="1:45" ht="24.75" customHeight="1">
      <c r="A19" s="12" t="s">
        <v>27</v>
      </c>
      <c r="B19" s="30">
        <f t="shared" si="0"/>
        <v>19331</v>
      </c>
      <c r="C19" s="30">
        <v>6289</v>
      </c>
      <c r="D19" s="30">
        <v>4750</v>
      </c>
      <c r="E19" s="20">
        <v>8292</v>
      </c>
      <c r="F19" s="13">
        <f t="shared" si="1"/>
        <v>20593</v>
      </c>
      <c r="G19" s="27">
        <v>7257</v>
      </c>
      <c r="H19" s="27">
        <v>5003</v>
      </c>
      <c r="I19" s="27">
        <v>8333</v>
      </c>
      <c r="J19" s="13">
        <f t="shared" si="2"/>
        <v>22023</v>
      </c>
      <c r="K19" s="32">
        <v>8296</v>
      </c>
      <c r="L19" s="32">
        <v>5324</v>
      </c>
      <c r="M19" s="32">
        <v>8403</v>
      </c>
      <c r="N19" s="14" t="s">
        <v>28</v>
      </c>
      <c r="O19" s="1"/>
      <c r="P19" s="10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0">
        <f>K19</f>
        <v>8296</v>
      </c>
      <c r="AP19" s="10">
        <f t="shared" ref="AP19:AQ19" si="3">L19</f>
        <v>5324</v>
      </c>
      <c r="AQ19" s="10">
        <f t="shared" si="3"/>
        <v>8403</v>
      </c>
      <c r="AR19" s="1"/>
      <c r="AS19" s="1"/>
    </row>
    <row r="20" spans="1:45" ht="17.25" customHeight="1">
      <c r="A20" s="16" t="s">
        <v>1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7" t="s">
        <v>2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"/>
    </row>
    <row r="21" spans="1:45" ht="18.75" customHeight="1">
      <c r="A21" s="2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22"/>
      <c r="AP31" s="22"/>
      <c r="AQ31" s="22"/>
      <c r="AR31" s="1"/>
      <c r="AS31" s="1"/>
    </row>
    <row r="32" spans="1:4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23"/>
      <c r="AN32" s="23"/>
      <c r="AO32" s="23"/>
      <c r="AP32" s="23"/>
      <c r="AQ32" s="23"/>
      <c r="AR32" s="24"/>
      <c r="AS32" s="1"/>
    </row>
    <row r="33" spans="1:4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ht="17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22"/>
      <c r="AN36" s="22"/>
      <c r="AO36" s="22"/>
      <c r="AP36" s="22"/>
      <c r="AQ36" s="22"/>
      <c r="AR36" s="1"/>
      <c r="AS36" s="1"/>
    </row>
    <row r="37" spans="1:4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24"/>
      <c r="AN37" s="24"/>
      <c r="AO37" s="24"/>
      <c r="AP37" s="24"/>
      <c r="AQ37" s="24"/>
      <c r="AR37" s="1"/>
      <c r="AS37" s="1"/>
    </row>
    <row r="38" spans="1:4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6"/>
      <c r="AN38" s="6"/>
      <c r="AO38" s="6"/>
      <c r="AP38" s="6"/>
      <c r="AQ38" s="6"/>
      <c r="AR38" s="6"/>
      <c r="AS38" s="1"/>
    </row>
    <row r="39" spans="1:4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pans="1:4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spans="1:4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spans="1:4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spans="1:4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spans="1:4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spans="1:4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spans="1:4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spans="1:4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 spans="1:4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spans="1:4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 spans="1:4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spans="1:4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 spans="1:4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spans="1:4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 spans="1:4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spans="1:4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spans="1:4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 spans="1:4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 spans="1:4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 spans="1:4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 spans="1:4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spans="1:4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spans="1:4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spans="1:4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spans="1:4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 spans="1:4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 spans="1:4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 spans="1:4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 spans="1:4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 spans="1:4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 spans="1:4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 spans="1:4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 spans="1:4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 spans="1:4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 spans="1:4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 spans="1:4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 spans="1:4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 spans="1:4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 spans="1:4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 spans="1:4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 spans="1:4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 spans="1:4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 spans="1:4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spans="1:4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 spans="1:4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spans="1:4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 spans="1: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spans="1:4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 spans="1:4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 spans="1:4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 spans="1:4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 spans="1:4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 spans="1:4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 spans="1:4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 spans="1:4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 spans="1:4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 spans="1:4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 spans="1:4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 spans="1:4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 spans="1:4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 spans="1:4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 spans="1:4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 spans="1:4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 spans="1:4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 spans="1:4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spans="1:4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 spans="1:4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 spans="1:4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 spans="1:4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 spans="1:4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 spans="1:4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 spans="1:4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 spans="1:4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 spans="1:4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 spans="1:4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 spans="1:4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 spans="1:4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 spans="1:4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 spans="1:4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 spans="1:4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 spans="1:4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 spans="1:4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 spans="1:4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 spans="1:4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 spans="1:4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 spans="1:4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 spans="1:4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 spans="1:4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 spans="1:4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spans="1:4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 spans="1:4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 spans="1:4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 spans="1:4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spans="1:4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 spans="1:4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 spans="1:4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 spans="1:4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 spans="1:4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 spans="1:4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 spans="1:4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 spans="1:4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 spans="1:4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 spans="1:4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 spans="1:4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 spans="1:4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 spans="1:4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 spans="1:4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spans="1:4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 spans="1:4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spans="1:4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 spans="1:4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 spans="1:4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 spans="1:4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 spans="1:4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 spans="1:4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 spans="1:4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 spans="1:4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 spans="1:4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 spans="1:4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 spans="1:4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 spans="1:4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 spans="1:4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 spans="1:4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 spans="1:4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 spans="1:4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 spans="1:4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 spans="1:4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 spans="1:4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 spans="1:4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 spans="1:4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 spans="1:4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 spans="1:4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 spans="1:4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 spans="1:4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spans="1:4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spans="1:4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 spans="1:4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 spans="1:4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 spans="1:4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 spans="1:4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 spans="1:4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 spans="1:4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 spans="1:4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 spans="1:4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 spans="1:4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 spans="1:4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 spans="1: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 spans="1:4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 spans="1:4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 spans="1:4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 spans="1:4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spans="1:4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 spans="1:4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 spans="1:4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 spans="1:4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spans="1:4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 spans="1:4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 spans="1:4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 spans="1:4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spans="1:4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 spans="1:4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 spans="1:4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 spans="1:4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 spans="1:4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 spans="1:4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 spans="1:4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 spans="1:4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 spans="1:4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 spans="1:4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 spans="1:4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 spans="1:4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 spans="1:4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 spans="1:4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spans="1:4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 spans="1:4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spans="1:4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 spans="1:4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 spans="1:4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 spans="1:4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 spans="1:4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 spans="1:4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 spans="1:4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 spans="1:4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spans="1:4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 spans="1:4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 spans="1:4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 spans="1:4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 spans="1:4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 spans="1:4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 spans="1:4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 spans="1:4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 spans="1:4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 spans="1:4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spans="1:4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 spans="1:4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spans="1:4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 spans="1:4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 spans="1:4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 spans="1:4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 spans="1:4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 spans="1:4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spans="1:4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 spans="1:4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 spans="1:4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 spans="1:4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 spans="1:4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 spans="1:4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 spans="1:4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 spans="1:4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 spans="1:4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 spans="1:4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 spans="1:4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 spans="1:4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spans="1:4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 spans="1:4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spans="1:4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 spans="1:4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spans="1:4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 spans="1:4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spans="1:4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 spans="1:4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spans="1:4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 spans="1:4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spans="1:4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 spans="1:4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 spans="1:4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 spans="1:4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 spans="1:4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 spans="1:4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 spans="1:4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 spans="1:4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spans="1:4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 spans="1:4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spans="1:4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 spans="1:4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 spans="1:4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 spans="1:4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spans="1:4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spans="1:4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spans="1:4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 spans="1:4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spans="1:4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 spans="1:4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spans="1:4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 spans="1:4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 spans="1:4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 spans="1: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 spans="1:4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 spans="1:4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 spans="1:4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 spans="1:4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spans="1:4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 spans="1:4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 spans="1:4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 spans="1:4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 spans="1:4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 spans="1:4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 spans="1:4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 spans="1:4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 spans="1:4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 spans="1:4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spans="1:4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 spans="1:4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spans="1:4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 spans="1:4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 spans="1:4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 spans="1:4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 spans="1:4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 spans="1:4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 spans="1:4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 spans="1:4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 spans="1:4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 spans="1:4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 spans="1:4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 spans="1:4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 spans="1:4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 spans="1:4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 spans="1:4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 spans="1:4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spans="1:4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 spans="1:4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spans="1:4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spans="1:4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spans="1:4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 spans="1:4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spans="1:4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 spans="1:4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spans="1:4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 spans="1:4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 spans="1:4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 spans="1:4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 spans="1:4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 spans="1:4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 spans="1:4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 spans="1:4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 spans="1:4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 spans="1:4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 spans="1:4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 spans="1:4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 spans="1:4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 spans="1:4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 spans="1:4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 spans="1:4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 spans="1:4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 spans="1:4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 spans="1:4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 spans="1:4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 spans="1:4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 spans="1:4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 spans="1:4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 spans="1:4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spans="1:4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 spans="1:4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 spans="1:4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 spans="1:4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 spans="1:4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 spans="1:4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 spans="1:4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 spans="1:4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 spans="1:4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 spans="1:4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 spans="1:4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 spans="1:4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spans="1:4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spans="1:4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 spans="1:4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 spans="1:4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 spans="1:4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 spans="1:4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 spans="1:4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 spans="1:4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 spans="1:4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 spans="1:4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spans="1:4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 spans="1:4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 spans="1:4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 spans="1:4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 spans="1:4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 spans="1:4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 spans="1:4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 spans="1:4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 spans="1:4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 spans="1:4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 spans="1:4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 spans="1:4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 spans="1:4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 spans="1: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 spans="1:4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 spans="1:4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 spans="1:4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 spans="1:4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 spans="1:4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 spans="1:4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 spans="1:4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 spans="1:4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 spans="1:4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 spans="1:4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 spans="1:4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 spans="1:4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 spans="1:4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 spans="1:4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 spans="1:4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 spans="1:4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 spans="1:4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 spans="1:4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spans="1:4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 spans="1:4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spans="1:4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 spans="1:4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 spans="1:4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 spans="1:4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 spans="1:4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 spans="1:4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 spans="1:4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 spans="1:4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 spans="1:4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 spans="1:4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 spans="1:4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 spans="1:4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spans="1:4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 spans="1:4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 spans="1:4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 spans="1:4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 spans="1:4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 spans="1:4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 spans="1:4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 spans="1:4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 spans="1:4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 spans="1:4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 spans="1:4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 spans="1:4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 spans="1:4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 spans="1:4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 spans="1:4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 spans="1:4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 spans="1:4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 spans="1:4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spans="1:4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 spans="1:4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spans="1:4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 spans="1:4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spans="1:4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 spans="1:4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spans="1:4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 spans="1:4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 spans="1:4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 spans="1:4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 spans="1:4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 spans="1:4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spans="1:4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 spans="1:4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 spans="1:4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 spans="1:4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spans="1:4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 spans="1:4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spans="1:4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 spans="1:4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spans="1:4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 spans="1:4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spans="1:4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 spans="1:4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spans="1:4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 spans="1:4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spans="1:4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 spans="1:4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spans="1:4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 spans="1:4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spans="1:4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 spans="1:4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spans="1:4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 spans="1:4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spans="1:4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spans="1:4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spans="1:4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 spans="1:4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spans="1:4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spans="1:4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spans="1:4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spans="1:4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spans="1:4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 spans="1:4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spans="1:4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 spans="1:4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spans="1:4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 spans="1:4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spans="1:4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 spans="1: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spans="1:4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 spans="1:4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spans="1:4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 spans="1:4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spans="1:4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spans="1:4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spans="1:4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 spans="1:4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spans="1:4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 spans="1:4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spans="1:4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spans="1:4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spans="1:4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spans="1:4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spans="1:4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spans="1:4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spans="1:4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 spans="1:4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spans="1:4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 spans="1:4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spans="1:4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 spans="1:4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spans="1:4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 spans="1:4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spans="1:4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 spans="1:4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spans="1:4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 spans="1:4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spans="1:4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spans="1:4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spans="1:4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spans="1:4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spans="1:4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spans="1:4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spans="1:4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spans="1:4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spans="1:4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spans="1:4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spans="1:4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 spans="1:4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spans="1:4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 spans="1:4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spans="1:4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 spans="1:4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spans="1:4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spans="1:4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spans="1:4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spans="1:4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spans="1:4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spans="1:4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spans="1:45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spans="1:45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spans="1:45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spans="1:45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 spans="1:45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</sheetData>
  <mergeCells count="8">
    <mergeCell ref="B6:E6"/>
    <mergeCell ref="A2:N2"/>
    <mergeCell ref="A3:N3"/>
    <mergeCell ref="A5:A7"/>
    <mergeCell ref="N5:N7"/>
    <mergeCell ref="F6:I6"/>
    <mergeCell ref="J6:M6"/>
    <mergeCell ref="B5:M5"/>
  </mergeCells>
  <pageMargins left="0.7" right="0.7" top="0.75" bottom="0.75" header="0" footer="0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18.4</vt:lpstr>
      <vt:lpstr>'18.4'!Print_Area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2024-08-06T10:03:28Z</cp:lastPrinted>
  <dcterms:modified xsi:type="dcterms:W3CDTF">2024-08-06T10:03:34Z</dcterms:modified>
</cp:coreProperties>
</file>