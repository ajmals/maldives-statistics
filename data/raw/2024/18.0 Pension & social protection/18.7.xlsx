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7E92989D-D627-4F59-AAB1-FAA0A95E0AF0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18.7" sheetId="7" r:id="rId1"/>
  </sheets>
  <externalReferences>
    <externalReference r:id="rId2"/>
  </externalReferences>
  <definedNames>
    <definedName name="_xlnm.Print_Area" localSheetId="0">'18.7'!$A$1:$T$22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7" l="1"/>
  <c r="J19" i="7"/>
  <c r="F19" i="7"/>
  <c r="B19" i="7"/>
  <c r="N18" i="7"/>
  <c r="J18" i="7"/>
  <c r="F18" i="7"/>
  <c r="B18" i="7"/>
  <c r="N17" i="7"/>
  <c r="J17" i="7"/>
  <c r="F17" i="7"/>
  <c r="B17" i="7"/>
  <c r="N16" i="7"/>
  <c r="J16" i="7"/>
  <c r="F16" i="7"/>
  <c r="B16" i="7"/>
  <c r="N15" i="7"/>
  <c r="J15" i="7"/>
  <c r="F15" i="7"/>
  <c r="B15" i="7"/>
  <c r="N14" i="7"/>
  <c r="J14" i="7"/>
  <c r="F14" i="7"/>
  <c r="B14" i="7"/>
  <c r="N13" i="7"/>
  <c r="J13" i="7"/>
  <c r="F13" i="7"/>
  <c r="B13" i="7"/>
  <c r="N12" i="7"/>
  <c r="J12" i="7"/>
  <c r="F12" i="7"/>
  <c r="B12" i="7"/>
  <c r="N11" i="7"/>
  <c r="J11" i="7"/>
  <c r="F11" i="7"/>
  <c r="B11" i="7"/>
  <c r="N10" i="7"/>
  <c r="J10" i="7"/>
  <c r="F10" i="7"/>
  <c r="B10" i="7"/>
  <c r="N9" i="7"/>
  <c r="J9" i="7"/>
  <c r="F9" i="7"/>
  <c r="B9" i="7"/>
  <c r="N8" i="7"/>
  <c r="J8" i="7"/>
  <c r="F8" i="7"/>
  <c r="B8" i="7"/>
</calcChain>
</file>

<file path=xl/sharedStrings.xml><?xml version="1.0" encoding="utf-8"?>
<sst xmlns="http://schemas.openxmlformats.org/spreadsheetml/2006/main" count="51" uniqueCount="39">
  <si>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</si>
  <si>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</si>
  <si>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</si>
  <si>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</si>
  <si>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</si>
  <si>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</si>
  <si>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</si>
  <si>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</si>
  <si>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</si>
  <si>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</si>
  <si>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</si>
  <si>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</si>
  <si>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</si>
  <si>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</si>
  <si>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</si>
  <si>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</si>
  <si>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</si>
  <si>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</si>
  <si>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</si>
  <si>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</si>
  <si>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</si>
  <si>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</si>
  <si>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</si>
  <si>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</si>
  <si>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</si>
  <si>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</si>
  <si>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</si>
  <si>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</si>
  <si>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65-69</t>
  </si>
  <si>
    <t>70-74</t>
  </si>
  <si>
    <t>75 +</t>
  </si>
  <si>
    <r>
      <rPr>
        <b/>
        <sz val="11"/>
        <color rgb="FF000000"/>
        <rFont val="Calibri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</si>
  <si>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</si>
  <si>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</si>
  <si>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</rPr>
      <t xml:space="preserve"> </t>
    </r>
  </si>
  <si>
    <r>
      <rPr>
        <i/>
        <sz val="9"/>
        <color rgb="FF000000"/>
        <rFont val="Calibri"/>
      </rPr>
      <t>Senior Citizen Allowance was introduced in February 2014 and</t>
    </r>
    <r>
      <rPr>
        <i/>
        <sz val="9"/>
        <color rgb="FFFF0000"/>
        <rFont val="Calibri"/>
      </rPr>
      <t xml:space="preserve"> discontinued in March 2019.</t>
    </r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</si>
  <si>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</si>
  <si>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TABLE 18.7: NUMBER OF BENEFICIARIES OF SENIOR CITIZEN ALLOWANCE BY AGE, 2016- 2019</t>
  </si>
  <si>
    <t>ތާވަލު  18.7: ސީނިއަރ ސިޓިޒަން އެލަވަންސް ލިބޭ މީހުންގެ އަދަދު އަދި ޢުމުރުފުރާތައް، 2016 - 2019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</si>
</sst>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sz val="9"/>
      <color rgb="FF000000"/>
      <name val="Calibri"/>
    </font>
    <font>
      <i/>
      <sz val="9"/>
      <color rgb="FF000000"/>
      <name val="Calibri"/>
    </font>
    <font>
      <sz val="9"/>
      <color rgb="FF000000"/>
      <name val="Faruma"/>
    </font>
    <font>
      <sz val="8"/>
      <color rgb="FF000000"/>
      <name val="Faruma"/>
    </font>
    <font>
      <i/>
      <sz val="9"/>
      <color rgb="FFFF0000"/>
      <name val="Calibri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2">
    <xf numFmtId="0" fontId="0" fillId="0" borderId="0"/>
    <xf numFmtId="164" fontId="13" fillId="0" borderId="25"/>
    <xf numFmtId="43" fontId="11" fillId="0" borderId="25" applyFont="0" applyFill="0" applyBorder="0" applyAlignment="0" applyProtection="0"/>
    <xf numFmtId="43" fontId="11" fillId="0" borderId="25" applyFont="0" applyFill="0" applyBorder="0" applyAlignment="0" applyProtection="0"/>
    <xf numFmtId="0" fontId="11" fillId="0" borderId="25"/>
    <xf numFmtId="0" fontId="11" fillId="0" borderId="25"/>
    <xf numFmtId="0" fontId="11" fillId="0" borderId="25"/>
    <xf numFmtId="0" fontId="11" fillId="0" borderId="25"/>
    <xf numFmtId="0" fontId="11" fillId="0" borderId="25"/>
    <xf numFmtId="0" fontId="11" fillId="0" borderId="25"/>
    <xf numFmtId="0" fontId="11" fillId="0" borderId="25"/>
    <xf numFmtId="0" fontId="11" fillId="0" borderId="25"/>
  </cellStyleXfs>
  <cellXfs count="42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right"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1" fillId="2" borderId="4" xfId="0" applyFont="1" applyFill="1" applyBorder="1"/>
    <xf numFmtId="0" fontId="3" fillId="2" borderId="16" xfId="0" applyFont="1" applyFill="1" applyBorder="1"/>
    <xf numFmtId="164" fontId="3" fillId="2" borderId="4" xfId="0" applyNumberFormat="1" applyFont="1" applyFill="1" applyBorder="1"/>
    <xf numFmtId="0" fontId="5" fillId="2" borderId="4" xfId="0" applyFont="1" applyFill="1" applyBorder="1" applyAlignment="1">
      <alignment horizontal="right" vertical="center"/>
    </xf>
    <xf numFmtId="0" fontId="5" fillId="2" borderId="16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vertical="center"/>
    </xf>
    <xf numFmtId="0" fontId="6" fillId="2" borderId="4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164" fontId="3" fillId="2" borderId="4" xfId="0" applyNumberFormat="1" applyFont="1" applyFill="1" applyBorder="1" applyAlignment="1">
      <alignment horizontal="right" vertical="center"/>
    </xf>
    <xf numFmtId="164" fontId="3" fillId="2" borderId="16" xfId="0" applyNumberFormat="1" applyFont="1" applyFill="1" applyBorder="1" applyAlignment="1">
      <alignment horizontal="right" vertical="center"/>
    </xf>
    <xf numFmtId="164" fontId="3" fillId="2" borderId="23" xfId="0" applyNumberFormat="1" applyFont="1" applyFill="1" applyBorder="1" applyAlignment="1">
      <alignment horizontal="right" vertical="center"/>
    </xf>
    <xf numFmtId="164" fontId="3" fillId="2" borderId="16" xfId="0" applyNumberFormat="1" applyFont="1" applyFill="1" applyBorder="1"/>
    <xf numFmtId="164" fontId="3" fillId="2" borderId="18" xfId="0" applyNumberFormat="1" applyFont="1" applyFill="1" applyBorder="1" applyAlignment="1">
      <alignment horizontal="right" vertical="center"/>
    </xf>
    <xf numFmtId="0" fontId="4" fillId="2" borderId="16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64" fontId="3" fillId="2" borderId="22" xfId="0" applyNumberFormat="1" applyFont="1" applyFill="1" applyBorder="1" applyAlignment="1">
      <alignment horizontal="right" vertical="center"/>
    </xf>
    <xf numFmtId="164" fontId="3" fillId="2" borderId="17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2" fillId="0" borderId="15" xfId="0" applyFont="1" applyBorder="1"/>
    <xf numFmtId="0" fontId="4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1" fillId="2" borderId="24" xfId="0" applyFont="1" applyFill="1" applyBorder="1" applyAlignment="1">
      <alignment horizontal="center" vertical="center"/>
    </xf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EEE8"/>
      <color rgb="FFE7FFFF"/>
      <color rgb="FF009999"/>
      <color rgb="FF00CCC7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F1000"/>
  <sheetViews>
    <sheetView tabSelected="1" zoomScaleNormal="100" workbookViewId="0">
      <selection activeCell="N42" sqref="N42"/>
    </sheetView>
  </sheetViews>
  <sheetFormatPr defaultColWidth="14.42578125" defaultRowHeight="15" customHeight="1"/>
  <cols>
    <col min="1" max="1" width="9" customWidth="1"/>
    <col min="2" max="4" width="13.85546875" customWidth="1"/>
    <col min="5" max="5" width="1.5703125" customWidth="1"/>
    <col min="6" max="17" width="13.85546875" customWidth="1"/>
    <col min="18" max="18" width="13.7109375" customWidth="1"/>
    <col min="19" max="19" width="1.140625" customWidth="1"/>
    <col min="20" max="20" width="7.42578125" customWidth="1"/>
    <col min="21" max="21" width="9" customWidth="1"/>
    <col min="22" max="22" width="8.42578125" customWidth="1"/>
    <col min="23" max="23" width="8.140625" customWidth="1"/>
    <col min="24" max="24" width="9" customWidth="1"/>
    <col min="25" max="25" width="9.28515625" customWidth="1"/>
    <col min="26" max="26" width="7.42578125" customWidth="1"/>
    <col min="27" max="27" width="9" customWidth="1"/>
    <col min="28" max="28" width="8.42578125" customWidth="1"/>
    <col min="29" max="29" width="8.140625" customWidth="1"/>
    <col min="30" max="30" width="9" customWidth="1"/>
    <col min="31" max="31" width="12.7109375" customWidth="1"/>
    <col min="32" max="32" width="1.7109375" customWidth="1"/>
  </cols>
  <sheetData>
    <row r="1" spans="1:32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1" customHeight="1">
      <c r="A2" s="26" t="s">
        <v>38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5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>
      <c r="A3" s="27" t="s">
        <v>37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5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1"/>
    </row>
    <row r="5" spans="1:32">
      <c r="A5" s="28" t="s">
        <v>3</v>
      </c>
      <c r="B5" s="38">
        <v>2016</v>
      </c>
      <c r="C5" s="39"/>
      <c r="D5" s="39"/>
      <c r="E5" s="40"/>
      <c r="F5" s="38">
        <v>2017</v>
      </c>
      <c r="G5" s="39"/>
      <c r="H5" s="39"/>
      <c r="I5" s="40"/>
      <c r="J5" s="38">
        <v>2018</v>
      </c>
      <c r="K5" s="39"/>
      <c r="L5" s="39"/>
      <c r="M5" s="40"/>
      <c r="N5" s="38">
        <v>2019</v>
      </c>
      <c r="O5" s="39"/>
      <c r="P5" s="39"/>
      <c r="Q5" s="40"/>
      <c r="R5" s="22"/>
      <c r="S5" s="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1"/>
    </row>
    <row r="6" spans="1:32" ht="21" customHeight="1">
      <c r="A6" s="36"/>
      <c r="B6" s="29" t="s">
        <v>31</v>
      </c>
      <c r="C6" s="31"/>
      <c r="D6" s="31"/>
      <c r="E6" s="32"/>
      <c r="F6" s="29" t="s">
        <v>32</v>
      </c>
      <c r="G6" s="31"/>
      <c r="H6" s="31"/>
      <c r="I6" s="33"/>
      <c r="J6" s="30" t="s">
        <v>33</v>
      </c>
      <c r="K6" s="31"/>
      <c r="L6" s="31"/>
      <c r="M6" s="32"/>
      <c r="N6" s="30" t="s">
        <v>34</v>
      </c>
      <c r="O6" s="31"/>
      <c r="P6" s="31"/>
      <c r="Q6" s="32"/>
      <c r="R6" s="41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5" customHeight="1">
      <c r="A7" s="37"/>
      <c r="B7" s="4" t="s">
        <v>0</v>
      </c>
      <c r="C7" s="4" t="s">
        <v>28</v>
      </c>
      <c r="D7" s="4" t="s">
        <v>29</v>
      </c>
      <c r="E7" s="4" t="s">
        <v>30</v>
      </c>
      <c r="F7" s="4" t="s">
        <v>0</v>
      </c>
      <c r="G7" s="4" t="s">
        <v>28</v>
      </c>
      <c r="H7" s="4" t="s">
        <v>29</v>
      </c>
      <c r="I7" s="5" t="s">
        <v>30</v>
      </c>
      <c r="J7" s="6" t="s">
        <v>0</v>
      </c>
      <c r="K7" s="4" t="s">
        <v>28</v>
      </c>
      <c r="L7" s="4" t="s">
        <v>29</v>
      </c>
      <c r="M7" s="4" t="s">
        <v>30</v>
      </c>
      <c r="N7" s="6" t="s">
        <v>0</v>
      </c>
      <c r="O7" s="4" t="s">
        <v>28</v>
      </c>
      <c r="P7" s="4" t="s">
        <v>29</v>
      </c>
      <c r="Q7" s="4" t="s">
        <v>30</v>
      </c>
      <c r="R7" s="37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21" customHeight="1">
      <c r="A8" s="1" t="s">
        <v>4</v>
      </c>
      <c r="B8" s="9">
        <f t="shared" ref="B8:B19" si="0">SUM(C8:E8)</f>
        <v>16804</v>
      </c>
      <c r="C8" s="9">
        <v>4426</v>
      </c>
      <c r="D8" s="9">
        <v>4631</v>
      </c>
      <c r="E8" s="9">
        <v>7747</v>
      </c>
      <c r="F8" s="16">
        <f t="shared" ref="F8:F19" si="1">SUM(G8:I8)</f>
        <v>16855</v>
      </c>
      <c r="G8" s="16">
        <v>4554</v>
      </c>
      <c r="H8" s="16">
        <v>4388</v>
      </c>
      <c r="I8" s="23">
        <v>7913</v>
      </c>
      <c r="J8" s="18">
        <f t="shared" ref="J8:J19" si="2">SUM(K8:M8)</f>
        <v>17250</v>
      </c>
      <c r="K8" s="16">
        <v>4826</v>
      </c>
      <c r="L8" s="16">
        <v>4264</v>
      </c>
      <c r="M8" s="16">
        <v>8160</v>
      </c>
      <c r="N8" s="18">
        <f t="shared" ref="N8:N19" si="3">SUM(O8:Q8)</f>
        <v>17580</v>
      </c>
      <c r="O8" s="16">
        <v>5077</v>
      </c>
      <c r="P8" s="16">
        <v>4296</v>
      </c>
      <c r="Q8" s="16">
        <v>8207</v>
      </c>
      <c r="R8" s="10" t="s">
        <v>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1" customHeight="1">
      <c r="A9" s="1" t="s">
        <v>6</v>
      </c>
      <c r="B9" s="9">
        <f t="shared" si="0"/>
        <v>16874</v>
      </c>
      <c r="C9" s="9">
        <v>4504</v>
      </c>
      <c r="D9" s="9">
        <v>4633</v>
      </c>
      <c r="E9" s="9">
        <v>7737</v>
      </c>
      <c r="F9" s="16">
        <f t="shared" si="1"/>
        <v>16905</v>
      </c>
      <c r="G9" s="16">
        <v>4600</v>
      </c>
      <c r="H9" s="16">
        <v>4381</v>
      </c>
      <c r="I9" s="23">
        <v>7924</v>
      </c>
      <c r="J9" s="18">
        <f t="shared" si="2"/>
        <v>17336</v>
      </c>
      <c r="K9" s="16">
        <v>4935</v>
      </c>
      <c r="L9" s="16">
        <v>4268</v>
      </c>
      <c r="M9" s="16">
        <v>8133</v>
      </c>
      <c r="N9" s="18">
        <f t="shared" si="3"/>
        <v>17676</v>
      </c>
      <c r="O9" s="16">
        <v>5191</v>
      </c>
      <c r="P9" s="16">
        <v>4291</v>
      </c>
      <c r="Q9" s="16">
        <v>8194</v>
      </c>
      <c r="R9" s="10" t="s">
        <v>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21" customHeight="1">
      <c r="A10" s="1" t="s">
        <v>8</v>
      </c>
      <c r="B10" s="9">
        <f t="shared" si="0"/>
        <v>16871</v>
      </c>
      <c r="C10" s="9">
        <v>4540</v>
      </c>
      <c r="D10" s="9">
        <v>4664</v>
      </c>
      <c r="E10" s="9">
        <v>7667</v>
      </c>
      <c r="F10" s="16">
        <f t="shared" si="1"/>
        <v>16877</v>
      </c>
      <c r="G10" s="16">
        <v>4681</v>
      </c>
      <c r="H10" s="16">
        <v>4348</v>
      </c>
      <c r="I10" s="23">
        <v>7848</v>
      </c>
      <c r="J10" s="18">
        <f t="shared" si="2"/>
        <v>17347</v>
      </c>
      <c r="K10" s="16">
        <v>5019</v>
      </c>
      <c r="L10" s="16">
        <v>4254</v>
      </c>
      <c r="M10" s="16">
        <v>8074</v>
      </c>
      <c r="N10" s="18">
        <f t="shared" si="3"/>
        <v>0</v>
      </c>
      <c r="O10" s="16">
        <v>0</v>
      </c>
      <c r="P10" s="16">
        <v>0</v>
      </c>
      <c r="Q10" s="16">
        <v>0</v>
      </c>
      <c r="R10" s="10" t="s">
        <v>9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21" customHeight="1">
      <c r="A11" s="1" t="s">
        <v>10</v>
      </c>
      <c r="B11" s="9">
        <f t="shared" si="0"/>
        <v>16884</v>
      </c>
      <c r="C11" s="9">
        <v>4578</v>
      </c>
      <c r="D11" s="9">
        <v>4626</v>
      </c>
      <c r="E11" s="9">
        <v>7680</v>
      </c>
      <c r="F11" s="16">
        <f t="shared" si="1"/>
        <v>16957</v>
      </c>
      <c r="G11" s="16">
        <v>4751</v>
      </c>
      <c r="H11" s="16">
        <v>4339</v>
      </c>
      <c r="I11" s="23">
        <v>7867</v>
      </c>
      <c r="J11" s="18">
        <f t="shared" si="2"/>
        <v>17367</v>
      </c>
      <c r="K11" s="16">
        <v>5031</v>
      </c>
      <c r="L11" s="16">
        <v>4238</v>
      </c>
      <c r="M11" s="16">
        <v>8098</v>
      </c>
      <c r="N11" s="18">
        <f t="shared" si="3"/>
        <v>0</v>
      </c>
      <c r="O11" s="16">
        <v>0</v>
      </c>
      <c r="P11" s="16">
        <v>0</v>
      </c>
      <c r="Q11" s="16">
        <v>0</v>
      </c>
      <c r="R11" s="10" t="s">
        <v>11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21" customHeight="1">
      <c r="A12" s="1" t="s">
        <v>12</v>
      </c>
      <c r="B12" s="9">
        <f t="shared" si="0"/>
        <v>16914</v>
      </c>
      <c r="C12" s="9">
        <v>4592</v>
      </c>
      <c r="D12" s="9">
        <v>4662</v>
      </c>
      <c r="E12" s="9">
        <v>7660</v>
      </c>
      <c r="F12" s="16">
        <f t="shared" si="1"/>
        <v>16998</v>
      </c>
      <c r="G12" s="16">
        <v>4814</v>
      </c>
      <c r="H12" s="16">
        <v>4378</v>
      </c>
      <c r="I12" s="23">
        <v>7806</v>
      </c>
      <c r="J12" s="18">
        <f t="shared" si="2"/>
        <v>17336</v>
      </c>
      <c r="K12" s="16">
        <v>5095</v>
      </c>
      <c r="L12" s="16">
        <v>4229</v>
      </c>
      <c r="M12" s="16">
        <v>8012</v>
      </c>
      <c r="N12" s="18">
        <f t="shared" si="3"/>
        <v>0</v>
      </c>
      <c r="O12" s="16">
        <v>0</v>
      </c>
      <c r="P12" s="16">
        <v>0</v>
      </c>
      <c r="Q12" s="16">
        <v>0</v>
      </c>
      <c r="R12" s="10" t="s">
        <v>13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21" customHeight="1">
      <c r="A13" s="1" t="s">
        <v>14</v>
      </c>
      <c r="B13" s="9">
        <f t="shared" si="0"/>
        <v>16851</v>
      </c>
      <c r="C13" s="9">
        <v>4614</v>
      </c>
      <c r="D13" s="9">
        <v>4630</v>
      </c>
      <c r="E13" s="9">
        <v>7607</v>
      </c>
      <c r="F13" s="16">
        <f t="shared" si="1"/>
        <v>17024</v>
      </c>
      <c r="G13" s="16">
        <v>4860</v>
      </c>
      <c r="H13" s="16">
        <v>4338</v>
      </c>
      <c r="I13" s="23">
        <v>7826</v>
      </c>
      <c r="J13" s="18">
        <f t="shared" si="2"/>
        <v>17330</v>
      </c>
      <c r="K13" s="16">
        <v>5097</v>
      </c>
      <c r="L13" s="16">
        <v>4246</v>
      </c>
      <c r="M13" s="16">
        <v>7987</v>
      </c>
      <c r="N13" s="18">
        <f t="shared" si="3"/>
        <v>0</v>
      </c>
      <c r="O13" s="16">
        <v>0</v>
      </c>
      <c r="P13" s="16">
        <v>0</v>
      </c>
      <c r="Q13" s="16">
        <v>0</v>
      </c>
      <c r="R13" s="10" t="s">
        <v>15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21" customHeight="1">
      <c r="A14" s="1" t="s">
        <v>16</v>
      </c>
      <c r="B14" s="9">
        <f t="shared" si="0"/>
        <v>16843</v>
      </c>
      <c r="C14" s="9">
        <v>4623</v>
      </c>
      <c r="D14" s="9">
        <v>4640</v>
      </c>
      <c r="E14" s="9">
        <v>7580</v>
      </c>
      <c r="F14" s="16">
        <f t="shared" si="1"/>
        <v>17019</v>
      </c>
      <c r="G14" s="16">
        <v>4918</v>
      </c>
      <c r="H14" s="16">
        <v>4349</v>
      </c>
      <c r="I14" s="23">
        <v>7752</v>
      </c>
      <c r="J14" s="18">
        <f t="shared" si="2"/>
        <v>17352</v>
      </c>
      <c r="K14" s="16">
        <v>5188</v>
      </c>
      <c r="L14" s="16">
        <v>4236</v>
      </c>
      <c r="M14" s="16">
        <v>7928</v>
      </c>
      <c r="N14" s="18">
        <f t="shared" si="3"/>
        <v>0</v>
      </c>
      <c r="O14" s="16">
        <v>0</v>
      </c>
      <c r="P14" s="16">
        <v>0</v>
      </c>
      <c r="Q14" s="16">
        <v>0</v>
      </c>
      <c r="R14" s="10" t="s">
        <v>17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21" customHeight="1">
      <c r="A15" s="1" t="s">
        <v>18</v>
      </c>
      <c r="B15" s="9">
        <f t="shared" si="0"/>
        <v>16837</v>
      </c>
      <c r="C15" s="9">
        <v>4316</v>
      </c>
      <c r="D15" s="9">
        <v>4981</v>
      </c>
      <c r="E15" s="9">
        <v>7540</v>
      </c>
      <c r="F15" s="16">
        <f t="shared" si="1"/>
        <v>17044</v>
      </c>
      <c r="G15" s="16">
        <v>4565</v>
      </c>
      <c r="H15" s="16">
        <v>4727</v>
      </c>
      <c r="I15" s="23">
        <v>7752</v>
      </c>
      <c r="J15" s="18">
        <f t="shared" si="2"/>
        <v>17371</v>
      </c>
      <c r="K15" s="16">
        <v>5220</v>
      </c>
      <c r="L15" s="16">
        <v>4245</v>
      </c>
      <c r="M15" s="16">
        <v>7906</v>
      </c>
      <c r="N15" s="18">
        <f t="shared" si="3"/>
        <v>0</v>
      </c>
      <c r="O15" s="16">
        <v>0</v>
      </c>
      <c r="P15" s="16">
        <v>0</v>
      </c>
      <c r="Q15" s="16">
        <v>0</v>
      </c>
      <c r="R15" s="10" t="s">
        <v>19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21" customHeight="1">
      <c r="A16" s="1" t="s">
        <v>20</v>
      </c>
      <c r="B16" s="9">
        <f t="shared" si="0"/>
        <v>16849</v>
      </c>
      <c r="C16" s="9">
        <v>4347</v>
      </c>
      <c r="D16" s="9">
        <v>4503</v>
      </c>
      <c r="E16" s="9">
        <v>7999</v>
      </c>
      <c r="F16" s="16">
        <f t="shared" si="1"/>
        <v>17073</v>
      </c>
      <c r="G16" s="16">
        <v>4602</v>
      </c>
      <c r="H16" s="16">
        <v>4250</v>
      </c>
      <c r="I16" s="23">
        <v>8221</v>
      </c>
      <c r="J16" s="18">
        <f t="shared" si="2"/>
        <v>17364</v>
      </c>
      <c r="K16" s="16">
        <v>4797</v>
      </c>
      <c r="L16" s="16">
        <v>4290</v>
      </c>
      <c r="M16" s="16">
        <v>8277</v>
      </c>
      <c r="N16" s="18">
        <f t="shared" si="3"/>
        <v>0</v>
      </c>
      <c r="O16" s="16">
        <v>0</v>
      </c>
      <c r="P16" s="16">
        <v>0</v>
      </c>
      <c r="Q16" s="16">
        <v>0</v>
      </c>
      <c r="R16" s="10" t="s">
        <v>21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21" customHeight="1">
      <c r="A17" s="1" t="s">
        <v>22</v>
      </c>
      <c r="B17" s="9">
        <f t="shared" si="0"/>
        <v>16814</v>
      </c>
      <c r="C17" s="9">
        <v>4355</v>
      </c>
      <c r="D17" s="9">
        <v>4470</v>
      </c>
      <c r="E17" s="9">
        <v>7989</v>
      </c>
      <c r="F17" s="16">
        <f t="shared" si="1"/>
        <v>17035</v>
      </c>
      <c r="G17" s="16">
        <v>4587</v>
      </c>
      <c r="H17" s="16">
        <v>4260</v>
      </c>
      <c r="I17" s="23">
        <v>8188</v>
      </c>
      <c r="J17" s="18">
        <f t="shared" si="2"/>
        <v>17337</v>
      </c>
      <c r="K17" s="16">
        <v>4793</v>
      </c>
      <c r="L17" s="16">
        <v>4297</v>
      </c>
      <c r="M17" s="16">
        <v>8247</v>
      </c>
      <c r="N17" s="18">
        <f t="shared" si="3"/>
        <v>0</v>
      </c>
      <c r="O17" s="16">
        <v>0</v>
      </c>
      <c r="P17" s="16">
        <v>0</v>
      </c>
      <c r="Q17" s="16">
        <v>0</v>
      </c>
      <c r="R17" s="10" t="s">
        <v>23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21" customHeight="1">
      <c r="A18" s="1" t="s">
        <v>24</v>
      </c>
      <c r="B18" s="9">
        <f t="shared" si="0"/>
        <v>16774</v>
      </c>
      <c r="C18" s="9">
        <v>4348</v>
      </c>
      <c r="D18" s="9">
        <v>4437</v>
      </c>
      <c r="E18" s="9">
        <v>7989</v>
      </c>
      <c r="F18" s="16">
        <f t="shared" si="1"/>
        <v>17034</v>
      </c>
      <c r="G18" s="16">
        <v>4601</v>
      </c>
      <c r="H18" s="16">
        <v>4251</v>
      </c>
      <c r="I18" s="23">
        <v>8182</v>
      </c>
      <c r="J18" s="18">
        <f t="shared" si="2"/>
        <v>17315</v>
      </c>
      <c r="K18" s="16">
        <v>4788</v>
      </c>
      <c r="L18" s="16">
        <v>4302</v>
      </c>
      <c r="M18" s="16">
        <v>8225</v>
      </c>
      <c r="N18" s="18">
        <f t="shared" si="3"/>
        <v>0</v>
      </c>
      <c r="O18" s="16">
        <v>0</v>
      </c>
      <c r="P18" s="16">
        <v>0</v>
      </c>
      <c r="Q18" s="16">
        <v>0</v>
      </c>
      <c r="R18" s="10" t="s">
        <v>25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21" customHeight="1">
      <c r="A19" s="8" t="s">
        <v>26</v>
      </c>
      <c r="B19" s="19">
        <f t="shared" si="0"/>
        <v>16779</v>
      </c>
      <c r="C19" s="19">
        <v>4354</v>
      </c>
      <c r="D19" s="19">
        <v>4430</v>
      </c>
      <c r="E19" s="19">
        <v>7995</v>
      </c>
      <c r="F19" s="17">
        <f t="shared" si="1"/>
        <v>17007</v>
      </c>
      <c r="G19" s="17">
        <v>4584</v>
      </c>
      <c r="H19" s="17">
        <v>4255</v>
      </c>
      <c r="I19" s="24">
        <v>8168</v>
      </c>
      <c r="J19" s="20">
        <f t="shared" si="2"/>
        <v>17310</v>
      </c>
      <c r="K19" s="17">
        <v>4797</v>
      </c>
      <c r="L19" s="17">
        <v>4298</v>
      </c>
      <c r="M19" s="17">
        <v>8215</v>
      </c>
      <c r="N19" s="20">
        <f t="shared" si="3"/>
        <v>0</v>
      </c>
      <c r="O19" s="17">
        <v>0</v>
      </c>
      <c r="P19" s="17">
        <v>0</v>
      </c>
      <c r="Q19" s="17">
        <v>0</v>
      </c>
      <c r="R19" s="11" t="s">
        <v>27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6.5" customHeight="1">
      <c r="A20" s="12" t="s">
        <v>35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25" t="s">
        <v>36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7.25" customHeight="1">
      <c r="A21" s="14" t="s">
        <v>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5" t="s">
        <v>2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1:3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5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12">
    <mergeCell ref="B6:E6"/>
    <mergeCell ref="F6:I6"/>
    <mergeCell ref="J6:M6"/>
    <mergeCell ref="N6:Q6"/>
    <mergeCell ref="A2:R2"/>
    <mergeCell ref="A3:R3"/>
    <mergeCell ref="A5:A7"/>
    <mergeCell ref="B5:E5"/>
    <mergeCell ref="F5:I5"/>
    <mergeCell ref="J5:M5"/>
    <mergeCell ref="N5:Q5"/>
    <mergeCell ref="R6:R7"/>
  </mergeCells>
  <pageMargins left="0.7" right="0.7" top="0.75" bottom="0.75" header="0" footer="0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2024-08-07T03:07:57Z</cp:lastPrinted>
  <dcterms:modified xsi:type="dcterms:W3CDTF">2024-08-07T03:11:24Z</dcterms:modified>
</cp:coreProperties>
</file>