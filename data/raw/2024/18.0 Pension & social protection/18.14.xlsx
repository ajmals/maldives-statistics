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ension\"/>
    </mc:Choice>
  </mc:AlternateContent>
  <xr:revisionPtr revIDLastSave="0" documentId="13_ncr:1_{6CEC4172-6D3A-4EAC-A91E-D0B2D97ED6AD}" xr6:coauthVersionLast="47" xr6:coauthVersionMax="47" xr10:uidLastSave="{00000000-0000-0000-0000-000000000000}"/>
  <bookViews>
    <workbookView xWindow="-120" yWindow="-120" windowWidth="29040" windowHeight="15720" tabRatio="680" xr2:uid="{00000000-000D-0000-FFFF-FFFF00000000}"/>
  </bookViews>
  <sheets>
    <sheet name="18.14" sheetId="14" r:id="rId1"/>
  </sheets>
  <externalReferences>
    <externalReference r:id="rId2"/>
  </externalReferences>
  <definedNames>
    <definedName name="_xlnm.Print_Area" localSheetId="0">'18.14'!$A$1:$J$35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4" l="1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F6" i="14"/>
  <c r="E6" i="14"/>
  <c r="D6" i="14"/>
  <c r="C6" i="14"/>
  <c r="B6" i="14"/>
  <c r="G6" i="14" l="1"/>
  <c r="H17" i="14" s="1"/>
  <c r="H14" i="14"/>
  <c r="H26" i="14"/>
  <c r="H31" i="14"/>
  <c r="H12" i="14"/>
  <c r="H22" i="14"/>
  <c r="H19" i="14"/>
  <c r="H10" i="14"/>
  <c r="H8" i="14"/>
  <c r="H24" i="14" l="1"/>
  <c r="H16" i="14"/>
  <c r="H27" i="14"/>
  <c r="H9" i="14"/>
  <c r="H6" i="14"/>
  <c r="H32" i="14"/>
  <c r="H25" i="14"/>
  <c r="H23" i="14"/>
  <c r="H30" i="14"/>
  <c r="H29" i="14"/>
  <c r="H7" i="14"/>
  <c r="H11" i="14"/>
  <c r="H28" i="14"/>
  <c r="H15" i="14"/>
  <c r="H18" i="14"/>
  <c r="H13" i="14"/>
  <c r="H20" i="14"/>
  <c r="H21" i="14"/>
</calcChain>
</file>

<file path=xl/sharedStrings.xml><?xml version="1.0" encoding="utf-8"?>
<sst xmlns="http://schemas.openxmlformats.org/spreadsheetml/2006/main" count="69" uniqueCount="68">
  <si>
    <t>% share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</si>
  <si>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</si>
  <si>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</si>
  <si>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</si>
  <si>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</si>
  <si>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Sector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</si>
  <si>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</si>
  <si>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</si>
  <si>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</si>
  <si>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</si>
  <si>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</si>
  <si>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</si>
  <si>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</si>
  <si>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</si>
  <si>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</si>
  <si>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</si>
  <si>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</si>
  <si>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</si>
  <si>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</si>
  <si>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</si>
  <si>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</si>
  <si>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</si>
  <si>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</si>
  <si>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</si>
  <si>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</si>
  <si>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</si>
  <si>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</si>
  <si>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</si>
  <si>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</si>
  <si>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</si>
  <si>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</si>
  <si>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</si>
  <si>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</si>
  <si>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</si>
  <si>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</si>
  <si>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Others</t>
  </si>
  <si>
    <t>ފެރީގެ ޙިދުމަތް</t>
  </si>
  <si>
    <t>Passenger Ferries</t>
  </si>
  <si>
    <t>ބޭސް ފިހާރަތައް</t>
  </si>
  <si>
    <t>Pharmacies</t>
  </si>
  <si>
    <t>ރެސްޓޯރަންޓްތައް</t>
  </si>
  <si>
    <t>Restaurants</t>
  </si>
  <si>
    <t>ސްޕެއަރޕާޓް ވިއްކުން</t>
  </si>
  <si>
    <t>Sales of Motor Vehicles</t>
  </si>
  <si>
    <t>ސްކޫލްތަކާއި ތަޢުލީމްދޭ މަރުކަޒުތައް</t>
  </si>
  <si>
    <t>Schools and educational centers</t>
  </si>
  <si>
    <t xml:space="preserve">ކަނޑުދަތުރުފަތުރު، ޝިޕިންގ </t>
  </si>
  <si>
    <t>Sea Transportation, shipping</t>
  </si>
  <si>
    <t>ކުދި އަދި މެދުފަންތީގެ ވިޔަފާރި</t>
  </si>
  <si>
    <t>Shops, small and medium commercial retail</t>
  </si>
  <si>
    <t>މުވާސަލާތީ ޚިދުމަތް</t>
  </si>
  <si>
    <t>Telecommunications</t>
  </si>
  <si>
    <t>ފެން އުފެއްދުން</t>
  </si>
  <si>
    <t>Water processing</t>
  </si>
  <si>
    <t>ހޯލްސޭލް ރީޓެއިލާރސް</t>
  </si>
  <si>
    <t>Wholesale retailers</t>
  </si>
  <si>
    <t>އެހެނިހެން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</si>
  <si>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</si>
  <si>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</si>
  <si>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</si>
  <si>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</si>
  <si>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</si>
  <si>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</si>
  <si>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 xml:space="preserve">Housing Development </t>
  </si>
  <si>
    <t>Employment size</t>
  </si>
  <si>
    <t xml:space="preserve">Note: The Difference between values in this table  is due to  some members having multiple contracts with more than one employer </t>
  </si>
  <si>
    <t>TABLE   18.14: EMPLOYEES  REGISTERED IN THE RETIREMENT PENSION SCHEME, BY EMPLOYMENT SIZE, END  2023</t>
  </si>
  <si>
    <t>ތާވަލު  18.14 : އެކި ދާއިރާތަކުން ރިޓާޔަމަންޓް ޕެންޝަން ސްކީމްގައި ރެޖިސްޓަރކޮށްފައިވާ މުވައްޒަފުންގެ ޢަދަދު، ތަނުގެމުވައްޒަފުންގެ ގިންތިން،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</si>
</sst>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3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Faruma"/>
    </font>
    <font>
      <sz val="10"/>
      <color rgb="FF000000"/>
      <name val="Faruma"/>
    </font>
    <font>
      <sz val="9"/>
      <color rgb="FF00000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ourier"/>
      <family val="3"/>
    </font>
    <font>
      <sz val="11"/>
      <name val="Calibri"/>
      <family val="2"/>
    </font>
    <font>
      <i/>
      <sz val="10"/>
      <color rgb="FF000000"/>
      <name val="Calibri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indexed="64"/>
      </bottom>
      <diagonal/>
    </border>
  </borders>
  <cellStyleXfs count="12">
    <xf numFmtId="0" fontId="0" fillId="0" borderId="0"/>
    <xf numFmtId="164" fontId="9" fillId="0" borderId="7"/>
    <xf numFmtId="43" fontId="8" fillId="0" borderId="7" applyFont="0" applyFill="0" applyBorder="0" applyAlignment="0" applyProtection="0"/>
    <xf numFmtId="43" fontId="8" fillId="0" borderId="7" applyFont="0" applyFill="0" applyBorder="0" applyAlignment="0" applyProtection="0"/>
    <xf numFmtId="0" fontId="8" fillId="0" borderId="7"/>
    <xf numFmtId="0" fontId="8" fillId="0" borderId="7"/>
    <xf numFmtId="0" fontId="8" fillId="0" borderId="7"/>
    <xf numFmtId="0" fontId="8" fillId="0" borderId="7"/>
    <xf numFmtId="0" fontId="8" fillId="0" borderId="7"/>
    <xf numFmtId="0" fontId="8" fillId="0" borderId="7"/>
    <xf numFmtId="0" fontId="8" fillId="0" borderId="7"/>
    <xf numFmtId="0" fontId="8" fillId="0" borderId="7"/>
  </cellStyleXfs>
  <cellXfs count="4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4" fillId="2" borderId="7" xfId="0" applyFont="1" applyFill="1" applyBorder="1"/>
    <xf numFmtId="3" fontId="8" fillId="4" borderId="7" xfId="0" applyNumberFormat="1" applyFont="1" applyFill="1" applyBorder="1" applyAlignment="1">
      <alignment horizontal="right" vertical="center"/>
    </xf>
    <xf numFmtId="3" fontId="8" fillId="4" borderId="10" xfId="0" applyNumberFormat="1" applyFont="1" applyFill="1" applyBorder="1" applyAlignment="1">
      <alignment horizontal="right" vertical="center"/>
    </xf>
    <xf numFmtId="0" fontId="8" fillId="2" borderId="7" xfId="0" applyFont="1" applyFill="1" applyBorder="1"/>
    <xf numFmtId="0" fontId="7" fillId="2" borderId="4" xfId="0" applyFont="1" applyFill="1" applyBorder="1" applyAlignment="1">
      <alignment horizontal="left" vertical="center"/>
    </xf>
    <xf numFmtId="49" fontId="7" fillId="2" borderId="8" xfId="0" applyNumberFormat="1" applyFont="1" applyFill="1" applyBorder="1" applyAlignment="1">
      <alignment horizontal="right" vertical="center"/>
    </xf>
    <xf numFmtId="3" fontId="7" fillId="2" borderId="4" xfId="0" applyNumberFormat="1" applyFont="1" applyFill="1" applyBorder="1" applyAlignment="1">
      <alignment horizontal="right" vertical="center"/>
    </xf>
    <xf numFmtId="0" fontId="1" fillId="2" borderId="7" xfId="0" applyFont="1" applyFill="1" applyBorder="1"/>
    <xf numFmtId="0" fontId="8" fillId="2" borderId="7" xfId="0" applyFont="1" applyFill="1" applyBorder="1" applyAlignment="1">
      <alignment horizontal="left" vertical="center"/>
    </xf>
    <xf numFmtId="3" fontId="8" fillId="2" borderId="7" xfId="0" applyNumberFormat="1" applyFont="1" applyFill="1" applyBorder="1" applyAlignment="1">
      <alignment horizontal="right" vertical="center"/>
    </xf>
    <xf numFmtId="165" fontId="8" fillId="2" borderId="6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8" fillId="2" borderId="8" xfId="0" applyFont="1" applyFill="1" applyBorder="1" applyAlignment="1">
      <alignment horizontal="left" vertical="center"/>
    </xf>
    <xf numFmtId="165" fontId="8" fillId="2" borderId="9" xfId="0" applyNumberFormat="1" applyFont="1" applyFill="1" applyBorder="1" applyAlignment="1">
      <alignment horizontal="center" vertical="center"/>
    </xf>
    <xf numFmtId="0" fontId="4" fillId="2" borderId="8" xfId="0" applyFont="1" applyFill="1" applyBorder="1"/>
    <xf numFmtId="0" fontId="6" fillId="2" borderId="7" xfId="0" applyFont="1" applyFill="1" applyBorder="1"/>
    <xf numFmtId="0" fontId="8" fillId="2" borderId="7" xfId="0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right" vertical="center"/>
    </xf>
    <xf numFmtId="165" fontId="7" fillId="2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/>
    <xf numFmtId="0" fontId="11" fillId="2" borderId="7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11" fillId="2" borderId="7" xfId="0" applyFont="1" applyFill="1" applyBorder="1"/>
    <xf numFmtId="3" fontId="8" fillId="4" borderId="7" xfId="0" applyNumberFormat="1" applyFont="1" applyFill="1" applyBorder="1" applyAlignment="1">
      <alignment horizontal="right" vertical="center" wrapText="1"/>
    </xf>
    <xf numFmtId="3" fontId="8" fillId="4" borderId="8" xfId="0" applyNumberFormat="1" applyFont="1" applyFill="1" applyBorder="1" applyAlignment="1">
      <alignment horizontal="right" vertical="center"/>
    </xf>
    <xf numFmtId="0" fontId="10" fillId="3" borderId="7" xfId="0" applyFont="1" applyFill="1" applyBorder="1"/>
    <xf numFmtId="0" fontId="7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10" fillId="3" borderId="2" xfId="0" applyFont="1" applyFill="1" applyBorder="1"/>
    <xf numFmtId="0" fontId="7" fillId="2" borderId="5" xfId="0" applyFont="1" applyFill="1" applyBorder="1" applyAlignment="1">
      <alignment horizontal="center" vertical="center"/>
    </xf>
    <xf numFmtId="0" fontId="10" fillId="3" borderId="9" xfId="0" applyFont="1" applyFill="1" applyBorder="1"/>
    <xf numFmtId="0" fontId="1" fillId="2" borderId="4" xfId="0" applyFont="1" applyFill="1" applyBorder="1" applyAlignment="1">
      <alignment horizontal="right" vertical="center"/>
    </xf>
    <xf numFmtId="0" fontId="10" fillId="3" borderId="8" xfId="0" applyFont="1" applyFill="1" applyBorder="1"/>
    <xf numFmtId="0" fontId="1" fillId="2" borderId="7" xfId="0" applyFont="1" applyFill="1" applyBorder="1" applyAlignment="1">
      <alignment horizontal="center"/>
    </xf>
  </cellXfs>
  <cellStyles count="12"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0 2" xfId="4" xr:uid="{C71C314A-D15E-4E30-8A14-8D449AD00B59}"/>
    <cellStyle name="Normal 39" xfId="6" xr:uid="{4F4E8F7A-67E6-4096-8E34-05E38D8ED152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8" xfId="11" xr:uid="{49593C51-6AD9-47F1-9876-4E87D3F435A6}"/>
    <cellStyle name="Normal 59" xfId="10" xr:uid="{35463A83-6A14-47E2-8F60-A12790F7E977}"/>
  </cellStyles>
  <dxfs count="0"/>
  <tableStyles count="0" defaultTableStyle="TableStyleMedium2" defaultPivotStyle="PivotStyleLight16"/>
  <colors>
    <mruColors>
      <color rgb="FF00EEE8"/>
      <color rgb="FFE7FFFF"/>
      <color rgb="FF009999"/>
      <color rgb="FF00CCC7"/>
      <color rgb="FF61FFFF"/>
      <color rgb="FF9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C36"/>
  <sheetViews>
    <sheetView tabSelected="1" topLeftCell="A4" zoomScaleNormal="100" workbookViewId="0">
      <selection activeCell="B7" sqref="B7:G22"/>
    </sheetView>
  </sheetViews>
  <sheetFormatPr defaultColWidth="14.42578125" defaultRowHeight="15" customHeight="1" x14ac:dyDescent="0.25"/>
  <cols>
    <col min="1" max="1" width="51.5703125" style="4" customWidth="1"/>
    <col min="2" max="7" width="11.42578125" style="4" customWidth="1"/>
    <col min="8" max="8" width="12.140625" style="4" customWidth="1"/>
    <col min="9" max="9" width="41.42578125" style="4" customWidth="1"/>
    <col min="10" max="10" width="5.85546875" style="4" customWidth="1"/>
    <col min="11" max="29" width="12.7109375" style="4" customWidth="1"/>
    <col min="30" max="16384" width="14.42578125" style="4"/>
  </cols>
  <sheetData>
    <row r="1" spans="1:29" ht="21" customHeight="1" x14ac:dyDescent="0.55000000000000004">
      <c r="A1" s="41" t="s">
        <v>67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33" t="s">
        <v>66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8"/>
      <c r="B3" s="22"/>
      <c r="C3" s="22"/>
      <c r="D3" s="22"/>
      <c r="E3" s="22"/>
      <c r="F3" s="22"/>
      <c r="G3" s="22"/>
      <c r="H3" s="23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34" t="s">
        <v>5</v>
      </c>
      <c r="B4" s="35" t="s">
        <v>64</v>
      </c>
      <c r="C4" s="36"/>
      <c r="D4" s="36"/>
      <c r="E4" s="36"/>
      <c r="F4" s="36"/>
      <c r="G4" s="36"/>
      <c r="H4" s="37" t="s">
        <v>0</v>
      </c>
      <c r="I4" s="39" t="s">
        <v>57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1"/>
      <c r="AB4" s="1"/>
      <c r="AC4" s="1"/>
    </row>
    <row r="5" spans="1:29" ht="15" customHeight="1" x14ac:dyDescent="0.25">
      <c r="A5" s="32"/>
      <c r="B5" s="10" t="s">
        <v>58</v>
      </c>
      <c r="C5" s="10" t="s">
        <v>59</v>
      </c>
      <c r="D5" s="10" t="s">
        <v>60</v>
      </c>
      <c r="E5" s="10" t="s">
        <v>61</v>
      </c>
      <c r="F5" s="24" t="s">
        <v>62</v>
      </c>
      <c r="G5" s="24" t="s">
        <v>2</v>
      </c>
      <c r="H5" s="38"/>
      <c r="I5" s="40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1"/>
      <c r="AB5" s="1"/>
      <c r="AC5" s="1"/>
    </row>
    <row r="6" spans="1:29" ht="21" customHeight="1" x14ac:dyDescent="0.55000000000000004">
      <c r="A6" s="9" t="s">
        <v>2</v>
      </c>
      <c r="B6" s="11">
        <f t="shared" ref="B6:G6" si="0">SUM(B7:B32)</f>
        <v>4551</v>
      </c>
      <c r="C6" s="11">
        <f t="shared" si="0"/>
        <v>14599</v>
      </c>
      <c r="D6" s="11">
        <f t="shared" si="0"/>
        <v>11996</v>
      </c>
      <c r="E6" s="11">
        <f t="shared" si="0"/>
        <v>27663</v>
      </c>
      <c r="F6" s="11">
        <f t="shared" si="0"/>
        <v>59103</v>
      </c>
      <c r="G6" s="11">
        <f t="shared" si="0"/>
        <v>117912</v>
      </c>
      <c r="H6" s="25">
        <f>G6/G6*100</f>
        <v>100</v>
      </c>
      <c r="I6" s="12" t="s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"/>
      <c r="AB6" s="1"/>
      <c r="AC6" s="1"/>
    </row>
    <row r="7" spans="1:29" ht="21" customHeight="1" x14ac:dyDescent="0.55000000000000004">
      <c r="A7" s="13" t="s">
        <v>6</v>
      </c>
      <c r="B7" s="6">
        <v>18</v>
      </c>
      <c r="C7" s="6">
        <v>41</v>
      </c>
      <c r="D7" s="6">
        <v>62</v>
      </c>
      <c r="E7" s="6">
        <v>110</v>
      </c>
      <c r="F7" s="6">
        <v>0</v>
      </c>
      <c r="G7" s="6">
        <f t="shared" ref="G7:G32" si="1">SUM(B7:F7)</f>
        <v>231</v>
      </c>
      <c r="H7" s="15">
        <f>G7/$G$6*100</f>
        <v>0.19590881335233057</v>
      </c>
      <c r="I7" s="5" t="s">
        <v>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1" customHeight="1" x14ac:dyDescent="0.55000000000000004">
      <c r="A8" s="13" t="s">
        <v>8</v>
      </c>
      <c r="B8" s="6">
        <v>17</v>
      </c>
      <c r="C8" s="6">
        <v>89</v>
      </c>
      <c r="D8" s="6">
        <v>55</v>
      </c>
      <c r="E8" s="6">
        <v>298</v>
      </c>
      <c r="F8" s="6">
        <v>5810</v>
      </c>
      <c r="G8" s="6">
        <f t="shared" si="1"/>
        <v>6269</v>
      </c>
      <c r="H8" s="15">
        <f t="shared" ref="H8:H21" si="2">G8/$G$6*100</f>
        <v>5.3166768437478797</v>
      </c>
      <c r="I8" s="5" t="s">
        <v>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1" customHeight="1" x14ac:dyDescent="0.55000000000000004">
      <c r="A9" s="13" t="s">
        <v>10</v>
      </c>
      <c r="B9" s="6">
        <v>10</v>
      </c>
      <c r="C9" s="6">
        <v>0</v>
      </c>
      <c r="D9" s="6">
        <v>0</v>
      </c>
      <c r="E9" s="6">
        <v>0</v>
      </c>
      <c r="F9" s="6">
        <v>0</v>
      </c>
      <c r="G9" s="6">
        <f t="shared" si="1"/>
        <v>10</v>
      </c>
      <c r="H9" s="15">
        <f>G9/$G$6*100</f>
        <v>8.4809010109234001E-3</v>
      </c>
      <c r="I9" s="5" t="s">
        <v>11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1" customHeight="1" x14ac:dyDescent="0.55000000000000004">
      <c r="A10" s="13" t="s">
        <v>12</v>
      </c>
      <c r="B10" s="6">
        <v>32</v>
      </c>
      <c r="C10" s="6">
        <v>11</v>
      </c>
      <c r="D10" s="6">
        <v>0</v>
      </c>
      <c r="E10" s="6">
        <v>0</v>
      </c>
      <c r="F10" s="6">
        <v>0</v>
      </c>
      <c r="G10" s="6">
        <f t="shared" si="1"/>
        <v>43</v>
      </c>
      <c r="H10" s="15">
        <f t="shared" si="2"/>
        <v>3.6467874346970623E-2</v>
      </c>
      <c r="I10" s="5" t="s">
        <v>13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21" customHeight="1" x14ac:dyDescent="0.55000000000000004">
      <c r="A11" s="13" t="s">
        <v>14</v>
      </c>
      <c r="B11" s="6">
        <v>313</v>
      </c>
      <c r="C11" s="6">
        <v>582</v>
      </c>
      <c r="D11" s="6">
        <v>275</v>
      </c>
      <c r="E11" s="6">
        <v>397</v>
      </c>
      <c r="F11" s="6">
        <v>1812</v>
      </c>
      <c r="G11" s="6">
        <f t="shared" si="1"/>
        <v>3379</v>
      </c>
      <c r="H11" s="15">
        <f t="shared" si="2"/>
        <v>2.8656964515910168</v>
      </c>
      <c r="I11" s="5" t="s">
        <v>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1" customHeight="1" x14ac:dyDescent="0.55000000000000004">
      <c r="A12" s="13" t="s">
        <v>16</v>
      </c>
      <c r="B12" s="6">
        <v>46</v>
      </c>
      <c r="C12" s="6">
        <v>0</v>
      </c>
      <c r="D12" s="6">
        <v>125</v>
      </c>
      <c r="E12" s="6">
        <v>0</v>
      </c>
      <c r="F12" s="6">
        <v>0</v>
      </c>
      <c r="G12" s="6">
        <f t="shared" si="1"/>
        <v>171</v>
      </c>
      <c r="H12" s="15">
        <f t="shared" si="2"/>
        <v>0.14502340728679014</v>
      </c>
      <c r="I12" s="5" t="s">
        <v>17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39.75" customHeight="1" x14ac:dyDescent="0.25">
      <c r="A13" s="16" t="s">
        <v>18</v>
      </c>
      <c r="B13" s="30">
        <v>134</v>
      </c>
      <c r="C13" s="30">
        <v>601</v>
      </c>
      <c r="D13" s="30">
        <v>370</v>
      </c>
      <c r="E13" s="30">
        <v>892</v>
      </c>
      <c r="F13" s="30">
        <v>4104</v>
      </c>
      <c r="G13" s="6">
        <f t="shared" si="1"/>
        <v>6101</v>
      </c>
      <c r="H13" s="15">
        <f>G13/$G$6*100</f>
        <v>5.1741977067643665</v>
      </c>
      <c r="I13" s="17" t="s">
        <v>19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3.25" customHeight="1" x14ac:dyDescent="0.55000000000000004">
      <c r="A14" s="13" t="s">
        <v>20</v>
      </c>
      <c r="B14" s="6">
        <v>48</v>
      </c>
      <c r="C14" s="6">
        <v>0</v>
      </c>
      <c r="D14" s="6">
        <v>55</v>
      </c>
      <c r="E14" s="6">
        <v>181</v>
      </c>
      <c r="F14" s="6">
        <v>942</v>
      </c>
      <c r="G14" s="6">
        <f t="shared" si="1"/>
        <v>1226</v>
      </c>
      <c r="H14" s="15">
        <f t="shared" si="2"/>
        <v>1.039758463939209</v>
      </c>
      <c r="I14" s="5" t="s">
        <v>21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1" customHeight="1" x14ac:dyDescent="0.55000000000000004">
      <c r="A15" s="13" t="s">
        <v>22</v>
      </c>
      <c r="B15" s="6">
        <v>22</v>
      </c>
      <c r="C15" s="6">
        <v>103</v>
      </c>
      <c r="D15" s="6">
        <v>87</v>
      </c>
      <c r="E15" s="6">
        <v>0</v>
      </c>
      <c r="F15" s="6">
        <v>0</v>
      </c>
      <c r="G15" s="6">
        <f t="shared" si="1"/>
        <v>212</v>
      </c>
      <c r="H15" s="15">
        <f>G15/$G$6*100</f>
        <v>0.17979510143157609</v>
      </c>
      <c r="I15" s="5" t="s">
        <v>23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21" customHeight="1" x14ac:dyDescent="0.55000000000000004">
      <c r="A16" s="13" t="s">
        <v>24</v>
      </c>
      <c r="B16" s="6">
        <v>196</v>
      </c>
      <c r="C16" s="6">
        <v>5969</v>
      </c>
      <c r="D16" s="6">
        <v>4543</v>
      </c>
      <c r="E16" s="6">
        <v>10460</v>
      </c>
      <c r="F16" s="6">
        <v>22190</v>
      </c>
      <c r="G16" s="6">
        <f t="shared" si="1"/>
        <v>43358</v>
      </c>
      <c r="H16" s="15">
        <f t="shared" si="2"/>
        <v>36.771490603161681</v>
      </c>
      <c r="I16" s="5" t="s"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1" customHeight="1" x14ac:dyDescent="0.55000000000000004">
      <c r="A17" s="13" t="s">
        <v>26</v>
      </c>
      <c r="B17" s="6">
        <v>95</v>
      </c>
      <c r="C17" s="6">
        <v>411</v>
      </c>
      <c r="D17" s="6">
        <v>141</v>
      </c>
      <c r="E17" s="6">
        <v>217</v>
      </c>
      <c r="F17" s="6">
        <v>754</v>
      </c>
      <c r="G17" s="6">
        <f t="shared" si="1"/>
        <v>1618</v>
      </c>
      <c r="H17" s="15">
        <f>G17/$G$6*100</f>
        <v>1.3722097835674063</v>
      </c>
      <c r="I17" s="5" t="s">
        <v>27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1" customHeight="1" x14ac:dyDescent="0.55000000000000004">
      <c r="A18" s="13" t="s">
        <v>28</v>
      </c>
      <c r="B18" s="6">
        <v>609</v>
      </c>
      <c r="C18" s="6">
        <v>1352</v>
      </c>
      <c r="D18" s="6">
        <v>3808</v>
      </c>
      <c r="E18" s="6">
        <v>9874</v>
      </c>
      <c r="F18" s="6">
        <v>3681</v>
      </c>
      <c r="G18" s="6">
        <f t="shared" si="1"/>
        <v>19324</v>
      </c>
      <c r="H18" s="15">
        <f t="shared" si="2"/>
        <v>16.388493113508378</v>
      </c>
      <c r="I18" s="5" t="s">
        <v>29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21" customHeight="1" x14ac:dyDescent="0.55000000000000004">
      <c r="A19" s="13" t="s">
        <v>63</v>
      </c>
      <c r="B19" s="6">
        <v>15</v>
      </c>
      <c r="C19" s="6">
        <v>43</v>
      </c>
      <c r="D19" s="6">
        <v>69</v>
      </c>
      <c r="E19" s="6">
        <v>0</v>
      </c>
      <c r="F19" s="6">
        <v>0</v>
      </c>
      <c r="G19" s="6">
        <f t="shared" si="1"/>
        <v>127</v>
      </c>
      <c r="H19" s="15">
        <f t="shared" si="2"/>
        <v>0.1077074428387272</v>
      </c>
      <c r="I19" s="5" t="s">
        <v>30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1" customHeight="1" x14ac:dyDescent="0.55000000000000004">
      <c r="A20" s="13" t="s">
        <v>31</v>
      </c>
      <c r="B20" s="6">
        <v>5</v>
      </c>
      <c r="C20" s="6">
        <v>36</v>
      </c>
      <c r="D20" s="6">
        <v>0</v>
      </c>
      <c r="E20" s="6">
        <v>0</v>
      </c>
      <c r="F20" s="6">
        <v>682</v>
      </c>
      <c r="G20" s="6">
        <f t="shared" si="1"/>
        <v>723</v>
      </c>
      <c r="H20" s="15">
        <f t="shared" si="2"/>
        <v>0.61316914308976189</v>
      </c>
      <c r="I20" s="5" t="s">
        <v>32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1" customHeight="1" x14ac:dyDescent="0.55000000000000004">
      <c r="A21" s="13" t="s">
        <v>33</v>
      </c>
      <c r="B21" s="6">
        <v>5</v>
      </c>
      <c r="C21" s="6">
        <v>0</v>
      </c>
      <c r="D21" s="6">
        <v>0</v>
      </c>
      <c r="E21" s="6">
        <v>0</v>
      </c>
      <c r="F21" s="6">
        <v>0</v>
      </c>
      <c r="G21" s="6">
        <f t="shared" si="1"/>
        <v>5</v>
      </c>
      <c r="H21" s="15">
        <f t="shared" si="2"/>
        <v>4.2404505054617E-3</v>
      </c>
      <c r="I21" s="5" t="s">
        <v>34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1" customHeight="1" x14ac:dyDescent="0.25">
      <c r="A22" s="13" t="s">
        <v>37</v>
      </c>
      <c r="B22" s="6">
        <v>1</v>
      </c>
      <c r="C22" s="6">
        <v>0</v>
      </c>
      <c r="D22" s="6">
        <v>0</v>
      </c>
      <c r="E22" s="6">
        <v>0</v>
      </c>
      <c r="F22" s="6">
        <v>0</v>
      </c>
      <c r="G22" s="6">
        <f t="shared" si="1"/>
        <v>1</v>
      </c>
      <c r="H22" s="15">
        <f t="shared" ref="H22:H31" si="3">G22/$G$6*100</f>
        <v>8.4809010109234014E-4</v>
      </c>
      <c r="I22" s="26" t="s">
        <v>36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1" customHeight="1" x14ac:dyDescent="0.55000000000000004">
      <c r="A23" s="13" t="s">
        <v>39</v>
      </c>
      <c r="B23" s="6">
        <v>26</v>
      </c>
      <c r="C23" s="6">
        <v>109</v>
      </c>
      <c r="D23" s="6">
        <v>0</v>
      </c>
      <c r="E23" s="6">
        <v>0</v>
      </c>
      <c r="F23" s="6">
        <v>0</v>
      </c>
      <c r="G23" s="6">
        <f t="shared" si="1"/>
        <v>135</v>
      </c>
      <c r="H23" s="15">
        <f t="shared" si="3"/>
        <v>0.11449216364746591</v>
      </c>
      <c r="I23" s="5" t="s">
        <v>38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1" customHeight="1" x14ac:dyDescent="0.55000000000000004">
      <c r="A24" s="13" t="s">
        <v>41</v>
      </c>
      <c r="B24" s="6">
        <v>110</v>
      </c>
      <c r="C24" s="6">
        <v>72</v>
      </c>
      <c r="D24" s="6">
        <v>0</v>
      </c>
      <c r="E24" s="6">
        <v>0</v>
      </c>
      <c r="F24" s="6">
        <v>0</v>
      </c>
      <c r="G24" s="6">
        <f t="shared" si="1"/>
        <v>182</v>
      </c>
      <c r="H24" s="15">
        <f t="shared" si="3"/>
        <v>0.15435239839880591</v>
      </c>
      <c r="I24" s="5" t="s">
        <v>40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1" customHeight="1" x14ac:dyDescent="0.55000000000000004">
      <c r="A25" s="13" t="s">
        <v>43</v>
      </c>
      <c r="B25" s="6">
        <v>0</v>
      </c>
      <c r="C25" s="6">
        <v>26</v>
      </c>
      <c r="D25" s="6">
        <v>66</v>
      </c>
      <c r="E25" s="6">
        <v>0</v>
      </c>
      <c r="F25" s="6">
        <v>0</v>
      </c>
      <c r="G25" s="6">
        <f t="shared" si="1"/>
        <v>92</v>
      </c>
      <c r="H25" s="15">
        <f>G25/$G$6*100</f>
        <v>7.8024289300495292E-2</v>
      </c>
      <c r="I25" s="5" t="s">
        <v>42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1" customHeight="1" x14ac:dyDescent="0.55000000000000004">
      <c r="A26" s="13" t="s">
        <v>45</v>
      </c>
      <c r="B26" s="6">
        <v>136</v>
      </c>
      <c r="C26" s="6">
        <v>597</v>
      </c>
      <c r="D26" s="6">
        <v>713</v>
      </c>
      <c r="E26" s="6">
        <v>1187</v>
      </c>
      <c r="F26" s="6">
        <v>672</v>
      </c>
      <c r="G26" s="6">
        <f t="shared" si="1"/>
        <v>3305</v>
      </c>
      <c r="H26" s="15">
        <f t="shared" si="3"/>
        <v>2.8029377841101839</v>
      </c>
      <c r="I26" s="5" t="s">
        <v>44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21" customHeight="1" x14ac:dyDescent="0.55000000000000004">
      <c r="A27" s="13" t="s">
        <v>47</v>
      </c>
      <c r="B27" s="6">
        <v>122</v>
      </c>
      <c r="C27" s="6">
        <v>245</v>
      </c>
      <c r="D27" s="6">
        <v>175</v>
      </c>
      <c r="E27" s="6">
        <v>647</v>
      </c>
      <c r="F27" s="6">
        <v>4271</v>
      </c>
      <c r="G27" s="6">
        <f t="shared" si="1"/>
        <v>5460</v>
      </c>
      <c r="H27" s="15">
        <f>G27/$G$6*100</f>
        <v>4.6305719519641766</v>
      </c>
      <c r="I27" s="5" t="s">
        <v>46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1" customHeight="1" x14ac:dyDescent="0.55000000000000004">
      <c r="A28" s="13" t="s">
        <v>49</v>
      </c>
      <c r="B28" s="6">
        <v>640</v>
      </c>
      <c r="C28" s="6">
        <v>1495</v>
      </c>
      <c r="D28" s="6">
        <v>203</v>
      </c>
      <c r="E28" s="6">
        <v>911</v>
      </c>
      <c r="F28" s="6">
        <v>0</v>
      </c>
      <c r="G28" s="6">
        <f t="shared" si="1"/>
        <v>3249</v>
      </c>
      <c r="H28" s="15">
        <f>G28/$G$6*100</f>
        <v>2.7554447384490128</v>
      </c>
      <c r="I28" s="5" t="s">
        <v>48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1" customHeight="1" x14ac:dyDescent="0.55000000000000004">
      <c r="A29" s="13" t="s">
        <v>51</v>
      </c>
      <c r="B29" s="6">
        <v>23</v>
      </c>
      <c r="C29" s="6">
        <v>225</v>
      </c>
      <c r="D29" s="6">
        <v>0</v>
      </c>
      <c r="E29" s="6">
        <v>135</v>
      </c>
      <c r="F29" s="6">
        <v>1120</v>
      </c>
      <c r="G29" s="6">
        <f t="shared" si="1"/>
        <v>1503</v>
      </c>
      <c r="H29" s="15">
        <f t="shared" si="3"/>
        <v>1.2746794219417872</v>
      </c>
      <c r="I29" s="5" t="s">
        <v>50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1" customHeight="1" x14ac:dyDescent="0.55000000000000004">
      <c r="A30" s="13" t="s">
        <v>53</v>
      </c>
      <c r="B30" s="6">
        <v>5</v>
      </c>
      <c r="C30" s="6">
        <v>11</v>
      </c>
      <c r="D30" s="6">
        <v>0</v>
      </c>
      <c r="E30" s="6">
        <v>0</v>
      </c>
      <c r="F30" s="6">
        <v>0</v>
      </c>
      <c r="G30" s="6">
        <f t="shared" si="1"/>
        <v>16</v>
      </c>
      <c r="H30" s="15">
        <f t="shared" si="3"/>
        <v>1.3569441617477442E-2</v>
      </c>
      <c r="I30" s="5" t="s">
        <v>52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21" customHeight="1" x14ac:dyDescent="0.55000000000000004">
      <c r="A31" s="13" t="s">
        <v>55</v>
      </c>
      <c r="B31" s="6">
        <v>430</v>
      </c>
      <c r="C31" s="6">
        <v>753</v>
      </c>
      <c r="D31" s="6">
        <v>474</v>
      </c>
      <c r="E31" s="6">
        <v>223</v>
      </c>
      <c r="F31" s="6">
        <v>2374</v>
      </c>
      <c r="G31" s="6">
        <f t="shared" si="1"/>
        <v>4254</v>
      </c>
      <c r="H31" s="15">
        <f t="shared" si="3"/>
        <v>3.6077752900468147</v>
      </c>
      <c r="I31" s="5" t="s">
        <v>54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8.75" customHeight="1" x14ac:dyDescent="0.55000000000000004">
      <c r="A32" s="18" t="s">
        <v>35</v>
      </c>
      <c r="B32" s="31">
        <v>1493</v>
      </c>
      <c r="C32" s="31">
        <v>1828</v>
      </c>
      <c r="D32" s="31">
        <v>775</v>
      </c>
      <c r="E32" s="31">
        <v>2131</v>
      </c>
      <c r="F32" s="31">
        <v>10691</v>
      </c>
      <c r="G32" s="7">
        <f t="shared" si="1"/>
        <v>16918</v>
      </c>
      <c r="H32" s="19">
        <f>G32/$G$6*100</f>
        <v>14.347988330280209</v>
      </c>
      <c r="I32" s="20" t="s">
        <v>56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25">
      <c r="A33" s="27" t="s">
        <v>65</v>
      </c>
      <c r="B33" s="14"/>
      <c r="C33" s="14"/>
      <c r="D33" s="14"/>
      <c r="E33" s="14"/>
      <c r="F33" s="14"/>
      <c r="G33" s="22"/>
      <c r="H33" s="2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45">
      <c r="A34" s="29" t="s">
        <v>3</v>
      </c>
      <c r="B34" s="22"/>
      <c r="C34" s="22"/>
      <c r="D34" s="22"/>
      <c r="E34" s="22"/>
      <c r="F34" s="22"/>
      <c r="G34" s="22"/>
      <c r="H34" s="23"/>
      <c r="I34" s="21" t="s">
        <v>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5">
      <c r="A35" s="8"/>
      <c r="B35" s="22"/>
      <c r="C35" s="22"/>
      <c r="D35" s="22"/>
      <c r="E35" s="22"/>
      <c r="F35" s="22"/>
      <c r="G35" s="22"/>
      <c r="H35" s="23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5">
      <c r="A36" s="8"/>
      <c r="B36" s="22"/>
      <c r="C36" s="22"/>
      <c r="D36" s="22"/>
      <c r="E36" s="22"/>
      <c r="F36" s="22"/>
      <c r="G36" s="22"/>
      <c r="H36" s="23"/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</sheetData>
  <mergeCells count="6">
    <mergeCell ref="A1:I1"/>
    <mergeCell ref="A2:I2"/>
    <mergeCell ref="A4:A5"/>
    <mergeCell ref="B4:G4"/>
    <mergeCell ref="H4:H5"/>
    <mergeCell ref="I4:I5"/>
  </mergeCells>
  <pageMargins left="0.7" right="0.7" top="0.75" bottom="0.75" header="0" footer="0"/>
  <pageSetup paperSize="9" scale="70" orientation="landscape" r:id="rId1"/>
  <rowBreaks count="1" manualBreakCount="1">
    <brk id="35" max="9" man="1"/>
  </rowBreaks>
  <ignoredErrors>
    <ignoredError sqref="C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18.14</vt:lpstr>
      <vt:lpstr>'18.14'!Print_Area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2024-08-07T03:42:04Z</cp:lastPrinted>
  <dcterms:modified xsi:type="dcterms:W3CDTF">2024-08-07T03:42:35Z</dcterms:modified>
</cp:coreProperties>
</file>