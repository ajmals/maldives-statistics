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A3462444-C95B-4EC2-B9CB-2610B8089A29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18.6" sheetId="6" r:id="rId1"/>
  </sheets>
  <externalReferences>
    <externalReference r:id="rId2"/>
  </externalReferences>
  <definedNames>
    <definedName name="_xlnm.Print_Area" localSheetId="0">'18.6'!$A$1:$P$680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B18" i="6" l="1"/>
  <c r="B17" i="6"/>
  <c r="B16" i="6"/>
  <c r="B15" i="6"/>
  <c r="B14" i="6"/>
  <c r="B13" i="6"/>
  <c r="B12" i="6"/>
  <c r="B11" i="6"/>
  <c r="B10" i="6"/>
  <c r="B9" i="6"/>
  <c r="B8" i="6"/>
  <c r="B7" i="6"/>
</calcChain>
</file>

<file path=xl/sharedStrings.xml><?xml version="1.0" encoding="utf-8"?>
<sst xmlns="http://schemas.openxmlformats.org/spreadsheetml/2006/main" count="44" uniqueCount="38">
  <si>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</si>
  <si>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</si>
  <si>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</si>
  <si>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</si>
  <si>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</si>
  <si>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</si>
  <si>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</si>
  <si>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</si>
  <si>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</si>
  <si>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</si>
  <si>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</si>
  <si>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</si>
  <si>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</si>
  <si>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</si>
  <si>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</si>
  <si>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</si>
  <si>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</si>
  <si>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</si>
  <si>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</si>
  <si>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</si>
  <si>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</si>
  <si>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</si>
  <si>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</si>
  <si>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</si>
  <si>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</si>
  <si>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</si>
  <si>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</si>
  <si>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</si>
  <si>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</si>
  <si>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65-69</t>
  </si>
  <si>
    <t>70-74</t>
  </si>
  <si>
    <r>
      <rPr>
        <b/>
        <sz val="11"/>
        <color rgb="FF000000"/>
        <rFont val="Calibri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</si>
  <si>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</rPr>
      <t xml:space="preserve"> </t>
    </r>
  </si>
  <si>
    <t>&lt; 55</t>
  </si>
  <si>
    <t>55-64</t>
  </si>
  <si>
    <t>75 +</t>
  </si>
  <si>
    <t>TABLE   18.6: NUMBER OF BENEFICIARIES OF OTHER PENSION SCHEMES BY AGE, 2022 - 2023</t>
  </si>
  <si>
    <t>ތާވަލު  18.6 :އެހެނިހެން ޕެންޝަން ލިބޭ މީހުންގެ އަދަދު އަދި ޢުމުރުފުރާތައް، 2022 - 2023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</si>
</sst>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i/>
      <sz val="9"/>
      <color rgb="FF000000"/>
      <name val="Calibri"/>
    </font>
    <font>
      <sz val="9"/>
      <color rgb="FF00000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2">
    <xf numFmtId="0" fontId="0" fillId="0" borderId="0"/>
    <xf numFmtId="164" fontId="10" fillId="0" borderId="26"/>
    <xf numFmtId="43" fontId="9" fillId="0" borderId="26" applyFont="0" applyFill="0" applyBorder="0" applyAlignment="0" applyProtection="0"/>
    <xf numFmtId="43" fontId="9" fillId="0" borderId="26" applyFont="0" applyFill="0" applyBorder="0" applyAlignment="0" applyProtection="0"/>
    <xf numFmtId="0" fontId="9" fillId="0" borderId="26"/>
    <xf numFmtId="0" fontId="9" fillId="0" borderId="26"/>
    <xf numFmtId="0" fontId="9" fillId="0" borderId="26"/>
    <xf numFmtId="0" fontId="9" fillId="0" borderId="26"/>
    <xf numFmtId="0" fontId="9" fillId="0" borderId="26"/>
    <xf numFmtId="0" fontId="9" fillId="0" borderId="26"/>
    <xf numFmtId="0" fontId="9" fillId="0" borderId="26"/>
    <xf numFmtId="0" fontId="9" fillId="0" borderId="26"/>
  </cellStyleXfs>
  <cellXfs count="45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/>
    </xf>
    <xf numFmtId="0" fontId="3" fillId="2" borderId="17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14" fontId="3" fillId="2" borderId="4" xfId="0" applyNumberFormat="1" applyFont="1" applyFill="1" applyBorder="1"/>
    <xf numFmtId="165" fontId="3" fillId="2" borderId="4" xfId="0" applyNumberFormat="1" applyFont="1" applyFill="1" applyBorder="1"/>
    <xf numFmtId="164" fontId="3" fillId="2" borderId="23" xfId="0" applyNumberFormat="1" applyFont="1" applyFill="1" applyBorder="1" applyAlignment="1">
      <alignment horizontal="right" vertical="center"/>
    </xf>
    <xf numFmtId="164" fontId="3" fillId="2" borderId="19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/>
    </xf>
    <xf numFmtId="0" fontId="0" fillId="3" borderId="0" xfId="0" applyFill="1"/>
    <xf numFmtId="164" fontId="3" fillId="2" borderId="26" xfId="0" applyNumberFormat="1" applyFont="1" applyFill="1" applyBorder="1" applyAlignment="1">
      <alignment horizontal="right" vertical="center"/>
    </xf>
    <xf numFmtId="164" fontId="3" fillId="4" borderId="26" xfId="0" applyNumberFormat="1" applyFont="1" applyFill="1" applyBorder="1" applyAlignment="1">
      <alignment horizontal="right" vertical="center" wrapText="1"/>
    </xf>
    <xf numFmtId="164" fontId="3" fillId="4" borderId="24" xfId="0" applyNumberFormat="1" applyFont="1" applyFill="1" applyBorder="1" applyAlignment="1">
      <alignment horizontal="right" vertical="center" wrapText="1"/>
    </xf>
    <xf numFmtId="164" fontId="3" fillId="2" borderId="27" xfId="0" applyNumberFormat="1" applyFont="1" applyFill="1" applyBorder="1" applyAlignment="1">
      <alignment horizontal="right" vertical="center"/>
    </xf>
    <xf numFmtId="164" fontId="3" fillId="4" borderId="27" xfId="0" applyNumberFormat="1" applyFont="1" applyFill="1" applyBorder="1" applyAlignment="1">
      <alignment horizontal="right" vertical="center" wrapText="1"/>
    </xf>
    <xf numFmtId="164" fontId="3" fillId="4" borderId="18" xfId="0" applyNumberFormat="1" applyFont="1" applyFill="1" applyBorder="1" applyAlignment="1">
      <alignment horizontal="right" vertical="center" wrapText="1"/>
    </xf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4" xfId="0" applyFont="1" applyFill="1" applyBorder="1"/>
    <xf numFmtId="0" fontId="2" fillId="3" borderId="13" xfId="0" applyFont="1" applyFill="1" applyBorder="1"/>
    <xf numFmtId="0" fontId="2" fillId="3" borderId="2" xfId="0" applyFont="1" applyFill="1" applyBorder="1"/>
    <xf numFmtId="0" fontId="2" fillId="3" borderId="26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2" fillId="3" borderId="16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2" fillId="3" borderId="8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2" fillId="3" borderId="9" xfId="0" applyFont="1" applyFill="1" applyBorder="1"/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EEE8"/>
      <color rgb="FFE7FFFF"/>
      <color rgb="FF009999"/>
      <color rgb="FF00CCC7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9868772590221998"/>
          <c:y val="0.14821673468164573"/>
          <c:w val="0.44931851478093066"/>
          <c:h val="0.81731864805242904"/>
        </c:manualLayout>
      </c:layout>
      <c:doughnutChart>
        <c:varyColors val="1"/>
        <c:ser>
          <c:idx val="0"/>
          <c:order val="0"/>
          <c:spPr>
            <a:solidFill>
              <a:schemeClr val="accent5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9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7EA-4FD2-978C-A35F9146B315}"/>
              </c:ext>
            </c:extLst>
          </c:dPt>
          <c:dPt>
            <c:idx val="1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6-47EA-4FD2-978C-A35F9146B315}"/>
              </c:ext>
            </c:extLst>
          </c:dPt>
          <c:dPt>
            <c:idx val="2"/>
            <c:bubble3D val="0"/>
            <c:spPr>
              <a:solidFill>
                <a:srgbClr val="00EEE8"/>
              </a:solidFill>
            </c:spPr>
            <c:extLst>
              <c:ext xmlns:c16="http://schemas.microsoft.com/office/drawing/2014/chart" uri="{C3380CC4-5D6E-409C-BE32-E72D297353CC}">
                <c16:uniqueId val="{00000003-47EA-4FD2-978C-A35F9146B315}"/>
              </c:ext>
            </c:extLst>
          </c:dPt>
          <c:dPt>
            <c:idx val="3"/>
            <c:bubble3D val="0"/>
            <c:spPr>
              <a:solidFill>
                <a:srgbClr val="00CCC7"/>
              </a:solidFill>
            </c:spPr>
            <c:extLst>
              <c:ext xmlns:c16="http://schemas.microsoft.com/office/drawing/2014/chart" uri="{C3380CC4-5D6E-409C-BE32-E72D297353CC}">
                <c16:uniqueId val="{00000005-47EA-4FD2-978C-A35F9146B315}"/>
              </c:ext>
            </c:extLst>
          </c:dPt>
          <c:dPt>
            <c:idx val="4"/>
            <c:bubble3D val="0"/>
            <c:spPr>
              <a:solidFill>
                <a:srgbClr val="E7FFFF"/>
              </a:solidFill>
            </c:spPr>
            <c:extLst>
              <c:ext xmlns:c16="http://schemas.microsoft.com/office/drawing/2014/chart" uri="{C3380CC4-5D6E-409C-BE32-E72D297353CC}">
                <c16:uniqueId val="{00000004-47EA-4FD2-978C-A35F9146B315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47EA-4FD2-978C-A35F9146B31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7EA-4FD2-978C-A35F9146B31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62714097496706"/>
                      <c:h val="0.202340647857889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7EA-4FD2-978C-A35F9146B3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'18.6'!$I$6:$M$6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'18.6'!$I$18:$M$18</c:f>
              <c:numCache>
                <c:formatCode>_(* #,##0_);_(* \(#,##0\);_(* "-"??_);_(@_)</c:formatCode>
                <c:ptCount val="5"/>
                <c:pt idx="0">
                  <c:v>799</c:v>
                </c:pt>
                <c:pt idx="1">
                  <c:v>2505</c:v>
                </c:pt>
                <c:pt idx="2">
                  <c:v>1357</c:v>
                </c:pt>
                <c:pt idx="3">
                  <c:v>922</c:v>
                </c:pt>
                <c:pt idx="4">
                  <c:v>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A-4FD2-978C-A35F9146B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66675</xdr:rowOff>
    </xdr:from>
    <xdr:ext cx="7229475" cy="3038475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219075</xdr:colOff>
      <xdr:row>20</xdr:row>
      <xdr:rowOff>85725</xdr:rowOff>
    </xdr:from>
    <xdr:to>
      <xdr:col>11</xdr:col>
      <xdr:colOff>114300</xdr:colOff>
      <xdr:row>22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E215FC-2D25-9928-DD07-0FBB37748D85}"/>
            </a:ext>
          </a:extLst>
        </xdr:cNvPr>
        <xdr:cNvSpPr txBox="1"/>
      </xdr:nvSpPr>
      <xdr:spPr>
        <a:xfrm>
          <a:off x="1447800" y="4810125"/>
          <a:ext cx="55530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18.6: Percentage share of beneficiaries of Other pension scheme by age group, 2023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0.14361</cdr:x>
      <cdr:y>0.05016</cdr:y>
    </cdr:from>
    <cdr:to>
      <cdr:x>0.78261</cdr:x>
      <cdr:y>0.1442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6B0BDFE-79F3-A279-BE1A-77968C5D5042}"/>
            </a:ext>
          </a:extLst>
        </cdr:cNvPr>
        <cdr:cNvSpPr txBox="1"/>
      </cdr:nvSpPr>
      <cdr:spPr>
        <a:xfrm xmlns:a="http://schemas.openxmlformats.org/drawingml/2006/main">
          <a:off x="1038225" y="152400"/>
          <a:ext cx="46196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Y1000"/>
  <sheetViews>
    <sheetView tabSelected="1" zoomScaleNormal="100" workbookViewId="0">
      <selection activeCell="Y14" sqref="Y14"/>
    </sheetView>
  </sheetViews>
  <sheetFormatPr defaultColWidth="14.42578125" defaultRowHeight="15" customHeight="1"/>
  <cols>
    <col min="1" max="1" width="9" style="17" customWidth="1"/>
    <col min="2" max="13" width="9.42578125" style="17" customWidth="1"/>
    <col min="14" max="14" width="12.7109375" style="17" customWidth="1"/>
    <col min="15" max="15" width="1.7109375" style="17" customWidth="1"/>
    <col min="16" max="18" width="8" style="17" customWidth="1"/>
    <col min="19" max="19" width="26.140625" style="17" customWidth="1"/>
    <col min="20" max="23" width="8" style="17" customWidth="1"/>
    <col min="24" max="16384" width="14.42578125" style="17"/>
  </cols>
  <sheetData>
    <row r="1" spans="1:23" ht="21" customHeight="1">
      <c r="A1" s="31" t="s">
        <v>37</v>
      </c>
      <c r="B1" s="28"/>
      <c r="C1" s="28"/>
      <c r="D1" s="28"/>
      <c r="E1" s="28"/>
      <c r="F1" s="28"/>
      <c r="G1" s="28"/>
      <c r="H1" s="29"/>
      <c r="I1" s="29"/>
      <c r="J1" s="29"/>
      <c r="K1" s="29"/>
      <c r="L1" s="29"/>
      <c r="M1" s="29"/>
      <c r="N1" s="30"/>
      <c r="O1" s="1"/>
      <c r="P1" s="1"/>
      <c r="Q1" s="1"/>
      <c r="R1" s="1"/>
      <c r="S1" s="1"/>
      <c r="T1" s="1"/>
      <c r="U1" s="1"/>
      <c r="V1" s="1"/>
      <c r="W1" s="1"/>
    </row>
    <row r="2" spans="1:23">
      <c r="A2" s="39" t="s">
        <v>36</v>
      </c>
      <c r="B2" s="28"/>
      <c r="C2" s="28"/>
      <c r="D2" s="28"/>
      <c r="E2" s="28"/>
      <c r="F2" s="28"/>
      <c r="G2" s="28"/>
      <c r="H2" s="29"/>
      <c r="I2" s="29"/>
      <c r="J2" s="29"/>
      <c r="K2" s="29"/>
      <c r="L2" s="29"/>
      <c r="M2" s="29"/>
      <c r="N2" s="30"/>
      <c r="O2" s="1"/>
      <c r="P2" s="1"/>
      <c r="Q2" s="1"/>
      <c r="R2" s="1"/>
      <c r="S2" s="1"/>
      <c r="T2" s="1"/>
      <c r="U2" s="1"/>
      <c r="V2" s="1"/>
      <c r="W2" s="1"/>
    </row>
    <row r="3" spans="1:23" ht="5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32" t="s">
        <v>3</v>
      </c>
      <c r="B4" s="43">
        <v>2022</v>
      </c>
      <c r="C4" s="44"/>
      <c r="D4" s="44"/>
      <c r="E4" s="44"/>
      <c r="F4" s="44"/>
      <c r="G4" s="38"/>
      <c r="H4" s="42">
        <v>2023</v>
      </c>
      <c r="I4" s="35"/>
      <c r="J4" s="35"/>
      <c r="K4" s="35"/>
      <c r="L4" s="35"/>
      <c r="M4" s="36"/>
      <c r="N4" s="37" t="s">
        <v>4</v>
      </c>
      <c r="O4" s="1"/>
      <c r="P4" s="1"/>
      <c r="Q4" s="1"/>
      <c r="R4" s="1"/>
      <c r="S4" s="1"/>
      <c r="T4" s="1"/>
      <c r="U4" s="1"/>
      <c r="V4" s="1"/>
      <c r="W4" s="1"/>
    </row>
    <row r="5" spans="1:23" ht="21" customHeight="1">
      <c r="A5" s="33"/>
      <c r="B5" s="41" t="s">
        <v>32</v>
      </c>
      <c r="C5" s="26"/>
      <c r="D5" s="26"/>
      <c r="E5" s="26"/>
      <c r="F5" s="26"/>
      <c r="G5" s="27"/>
      <c r="H5" s="40" t="s">
        <v>31</v>
      </c>
      <c r="I5" s="24"/>
      <c r="J5" s="24"/>
      <c r="K5" s="24"/>
      <c r="L5" s="24"/>
      <c r="M5" s="25"/>
      <c r="N5" s="33"/>
      <c r="O5" s="1"/>
      <c r="P5" s="12"/>
      <c r="Q5" s="12"/>
      <c r="R5" s="12"/>
      <c r="S5" s="12"/>
      <c r="T5" s="12"/>
      <c r="U5" s="12"/>
      <c r="V5" s="12"/>
      <c r="W5" s="1"/>
    </row>
    <row r="6" spans="1:23" ht="14.25" customHeight="1">
      <c r="A6" s="34"/>
      <c r="B6" s="3" t="s">
        <v>0</v>
      </c>
      <c r="C6" s="3" t="s">
        <v>33</v>
      </c>
      <c r="D6" s="3" t="s">
        <v>34</v>
      </c>
      <c r="E6" s="3" t="s">
        <v>29</v>
      </c>
      <c r="F6" s="3" t="s">
        <v>30</v>
      </c>
      <c r="G6" s="4" t="s">
        <v>35</v>
      </c>
      <c r="H6" s="5" t="s">
        <v>0</v>
      </c>
      <c r="I6" s="3" t="s">
        <v>33</v>
      </c>
      <c r="J6" s="3" t="s">
        <v>34</v>
      </c>
      <c r="K6" s="3" t="s">
        <v>29</v>
      </c>
      <c r="L6" s="3" t="s">
        <v>30</v>
      </c>
      <c r="M6" s="3" t="s">
        <v>35</v>
      </c>
      <c r="N6" s="34"/>
      <c r="O6" s="1"/>
      <c r="P6" s="12"/>
      <c r="Q6" s="12"/>
      <c r="R6" s="12"/>
      <c r="S6" s="12"/>
      <c r="T6" s="12"/>
      <c r="U6" s="12"/>
      <c r="V6" s="12"/>
      <c r="W6" s="1"/>
    </row>
    <row r="7" spans="1:23" ht="15" customHeight="1">
      <c r="A7" s="6" t="s">
        <v>5</v>
      </c>
      <c r="B7" s="18">
        <f t="shared" ref="B7:B18" si="0">SUM(C7:G7)</f>
        <v>7174</v>
      </c>
      <c r="C7" s="19">
        <v>1244</v>
      </c>
      <c r="D7" s="19">
        <v>2230</v>
      </c>
      <c r="E7" s="19">
        <v>1154</v>
      </c>
      <c r="F7" s="19">
        <v>919</v>
      </c>
      <c r="G7" s="20">
        <v>1627</v>
      </c>
      <c r="H7" s="14">
        <f t="shared" ref="H7:H18" si="1">SUM(I7:M7)</f>
        <v>7244</v>
      </c>
      <c r="I7" s="19">
        <v>993</v>
      </c>
      <c r="J7" s="19">
        <v>2438</v>
      </c>
      <c r="K7" s="19">
        <v>1248</v>
      </c>
      <c r="L7" s="19">
        <v>945</v>
      </c>
      <c r="M7" s="19">
        <v>1620</v>
      </c>
      <c r="N7" s="7" t="s">
        <v>6</v>
      </c>
      <c r="O7" s="1"/>
      <c r="P7" s="12"/>
      <c r="Q7" s="12"/>
      <c r="R7" s="12"/>
      <c r="S7" s="12"/>
      <c r="T7" s="12"/>
      <c r="U7" s="12"/>
      <c r="V7" s="12"/>
      <c r="W7" s="1"/>
    </row>
    <row r="8" spans="1:23" ht="21" customHeight="1">
      <c r="A8" s="6" t="s">
        <v>7</v>
      </c>
      <c r="B8" s="18">
        <f t="shared" si="0"/>
        <v>7169</v>
      </c>
      <c r="C8" s="19">
        <v>1224</v>
      </c>
      <c r="D8" s="19">
        <v>2250</v>
      </c>
      <c r="E8" s="19">
        <v>1169</v>
      </c>
      <c r="F8" s="19">
        <v>921</v>
      </c>
      <c r="G8" s="20">
        <v>1605</v>
      </c>
      <c r="H8" s="14">
        <f t="shared" si="1"/>
        <v>7227</v>
      </c>
      <c r="I8" s="19">
        <v>978</v>
      </c>
      <c r="J8" s="19">
        <v>2444</v>
      </c>
      <c r="K8" s="19">
        <v>1261</v>
      </c>
      <c r="L8" s="19">
        <v>929</v>
      </c>
      <c r="M8" s="19">
        <v>1615</v>
      </c>
      <c r="N8" s="7" t="s">
        <v>8</v>
      </c>
      <c r="O8" s="1"/>
      <c r="P8" s="12"/>
      <c r="Q8" s="12"/>
      <c r="R8" s="12"/>
      <c r="S8" s="12"/>
      <c r="T8" s="12"/>
      <c r="U8" s="12"/>
      <c r="V8" s="12"/>
      <c r="W8" s="1"/>
    </row>
    <row r="9" spans="1:23" ht="21" customHeight="1">
      <c r="A9" s="6" t="s">
        <v>9</v>
      </c>
      <c r="B9" s="18">
        <f t="shared" si="0"/>
        <v>7158</v>
      </c>
      <c r="C9" s="19">
        <v>1224</v>
      </c>
      <c r="D9" s="19">
        <v>2258</v>
      </c>
      <c r="E9" s="19">
        <v>1177</v>
      </c>
      <c r="F9" s="19">
        <v>916</v>
      </c>
      <c r="G9" s="20">
        <v>1583</v>
      </c>
      <c r="H9" s="14">
        <f t="shared" si="1"/>
        <v>7237</v>
      </c>
      <c r="I9" s="19">
        <v>978</v>
      </c>
      <c r="J9" s="19">
        <v>2448</v>
      </c>
      <c r="K9" s="19">
        <v>1280</v>
      </c>
      <c r="L9" s="19">
        <v>927</v>
      </c>
      <c r="M9" s="19">
        <v>1604</v>
      </c>
      <c r="N9" s="7" t="s">
        <v>10</v>
      </c>
      <c r="O9" s="1"/>
      <c r="P9" s="12"/>
      <c r="Q9" s="12"/>
      <c r="R9" s="12"/>
      <c r="S9" s="12"/>
      <c r="T9" s="12"/>
      <c r="U9" s="12"/>
      <c r="V9" s="12"/>
      <c r="W9" s="1"/>
    </row>
    <row r="10" spans="1:23" ht="21" customHeight="1">
      <c r="A10" s="6" t="s">
        <v>11</v>
      </c>
      <c r="B10" s="18">
        <f t="shared" si="0"/>
        <v>7185</v>
      </c>
      <c r="C10" s="19">
        <v>1181</v>
      </c>
      <c r="D10" s="19">
        <v>2293</v>
      </c>
      <c r="E10" s="19">
        <v>1183</v>
      </c>
      <c r="F10" s="19">
        <v>936</v>
      </c>
      <c r="G10" s="20">
        <v>1592</v>
      </c>
      <c r="H10" s="14">
        <f t="shared" si="1"/>
        <v>7262</v>
      </c>
      <c r="I10" s="19">
        <v>967</v>
      </c>
      <c r="J10" s="19">
        <v>2441</v>
      </c>
      <c r="K10" s="19">
        <v>1302</v>
      </c>
      <c r="L10" s="19">
        <v>941</v>
      </c>
      <c r="M10" s="19">
        <v>1611</v>
      </c>
      <c r="N10" s="7" t="s">
        <v>12</v>
      </c>
      <c r="O10" s="1"/>
      <c r="P10" s="12"/>
      <c r="Q10" s="12"/>
      <c r="R10" s="12"/>
      <c r="S10" s="12"/>
      <c r="T10" s="12"/>
      <c r="U10" s="12"/>
      <c r="V10" s="12"/>
      <c r="W10" s="1"/>
    </row>
    <row r="11" spans="1:23" ht="21" customHeight="1">
      <c r="A11" s="6" t="s">
        <v>13</v>
      </c>
      <c r="B11" s="18">
        <f t="shared" si="0"/>
        <v>7164</v>
      </c>
      <c r="C11" s="19">
        <v>1181</v>
      </c>
      <c r="D11" s="19">
        <v>2303</v>
      </c>
      <c r="E11" s="19">
        <v>1188</v>
      </c>
      <c r="F11" s="19">
        <v>921</v>
      </c>
      <c r="G11" s="20">
        <v>1571</v>
      </c>
      <c r="H11" s="14">
        <f t="shared" si="1"/>
        <v>7225</v>
      </c>
      <c r="I11" s="19">
        <v>951</v>
      </c>
      <c r="J11" s="19">
        <v>2458</v>
      </c>
      <c r="K11" s="19">
        <v>1300</v>
      </c>
      <c r="L11" s="19">
        <v>918</v>
      </c>
      <c r="M11" s="19">
        <v>1598</v>
      </c>
      <c r="N11" s="7" t="s">
        <v>14</v>
      </c>
      <c r="O11" s="1"/>
      <c r="P11" s="12"/>
      <c r="Q11" s="12"/>
      <c r="R11" s="12"/>
      <c r="S11" s="12"/>
      <c r="T11" s="12"/>
      <c r="U11" s="12"/>
      <c r="V11" s="12"/>
      <c r="W11" s="1"/>
    </row>
    <row r="12" spans="1:23" ht="21" customHeight="1">
      <c r="A12" s="6" t="s">
        <v>15</v>
      </c>
      <c r="B12" s="18">
        <f t="shared" si="0"/>
        <v>7165</v>
      </c>
      <c r="C12" s="19">
        <v>1133</v>
      </c>
      <c r="D12" s="19">
        <v>2340</v>
      </c>
      <c r="E12" s="19">
        <v>1190</v>
      </c>
      <c r="F12" s="19">
        <v>925</v>
      </c>
      <c r="G12" s="20">
        <v>1577</v>
      </c>
      <c r="H12" s="14">
        <f t="shared" si="1"/>
        <v>7229</v>
      </c>
      <c r="I12" s="19">
        <v>933</v>
      </c>
      <c r="J12" s="19">
        <v>2462</v>
      </c>
      <c r="K12" s="19">
        <v>1314</v>
      </c>
      <c r="L12" s="19">
        <v>920</v>
      </c>
      <c r="M12" s="19">
        <v>1600</v>
      </c>
      <c r="N12" s="7" t="s">
        <v>16</v>
      </c>
      <c r="O12" s="1"/>
      <c r="P12" s="12"/>
      <c r="Q12" s="12"/>
      <c r="R12" s="12"/>
      <c r="S12" s="12"/>
      <c r="T12" s="12"/>
      <c r="U12" s="12"/>
      <c r="V12" s="12"/>
      <c r="W12" s="1"/>
    </row>
    <row r="13" spans="1:23" ht="21" customHeight="1">
      <c r="A13" s="6" t="s">
        <v>17</v>
      </c>
      <c r="B13" s="18">
        <f t="shared" si="0"/>
        <v>7200</v>
      </c>
      <c r="C13" s="19">
        <v>1136</v>
      </c>
      <c r="D13" s="19">
        <v>2347</v>
      </c>
      <c r="E13" s="19">
        <v>1204</v>
      </c>
      <c r="F13" s="19">
        <v>937</v>
      </c>
      <c r="G13" s="20">
        <v>1576</v>
      </c>
      <c r="H13" s="14">
        <f t="shared" si="1"/>
        <v>7251</v>
      </c>
      <c r="I13" s="19">
        <v>909</v>
      </c>
      <c r="J13" s="19">
        <v>2494</v>
      </c>
      <c r="K13" s="19">
        <v>1327</v>
      </c>
      <c r="L13" s="19">
        <v>922</v>
      </c>
      <c r="M13" s="19">
        <v>1599</v>
      </c>
      <c r="N13" s="7" t="s">
        <v>18</v>
      </c>
      <c r="O13" s="1"/>
      <c r="P13" s="12"/>
      <c r="Q13" s="12"/>
      <c r="R13" s="12"/>
      <c r="S13" s="12"/>
      <c r="T13" s="12"/>
      <c r="U13" s="12"/>
      <c r="V13" s="12"/>
      <c r="W13" s="1"/>
    </row>
    <row r="14" spans="1:23" ht="21" customHeight="1">
      <c r="A14" s="6" t="s">
        <v>19</v>
      </c>
      <c r="B14" s="18">
        <f t="shared" si="0"/>
        <v>7176</v>
      </c>
      <c r="C14" s="19">
        <v>1118</v>
      </c>
      <c r="D14" s="19">
        <v>2357</v>
      </c>
      <c r="E14" s="19">
        <v>1213</v>
      </c>
      <c r="F14" s="19">
        <v>927</v>
      </c>
      <c r="G14" s="20">
        <v>1561</v>
      </c>
      <c r="H14" s="14">
        <f t="shared" si="1"/>
        <v>7232</v>
      </c>
      <c r="I14" s="19">
        <v>891</v>
      </c>
      <c r="J14" s="19">
        <v>2506</v>
      </c>
      <c r="K14" s="19">
        <v>1336</v>
      </c>
      <c r="L14" s="19">
        <v>908</v>
      </c>
      <c r="M14" s="19">
        <v>1591</v>
      </c>
      <c r="N14" s="7" t="s">
        <v>20</v>
      </c>
      <c r="O14" s="1"/>
      <c r="P14" s="12"/>
      <c r="Q14" s="12"/>
      <c r="R14" s="12"/>
      <c r="S14" s="12"/>
      <c r="T14" s="12"/>
      <c r="U14" s="12"/>
      <c r="V14" s="12"/>
      <c r="W14" s="1"/>
    </row>
    <row r="15" spans="1:23" ht="21" customHeight="1">
      <c r="A15" s="6" t="s">
        <v>21</v>
      </c>
      <c r="B15" s="18">
        <f t="shared" si="0"/>
        <v>7165</v>
      </c>
      <c r="C15" s="19">
        <v>1071</v>
      </c>
      <c r="D15" s="19">
        <v>2364</v>
      </c>
      <c r="E15" s="19">
        <v>1186</v>
      </c>
      <c r="F15" s="19">
        <v>929</v>
      </c>
      <c r="G15" s="20">
        <v>1615</v>
      </c>
      <c r="H15" s="14">
        <f t="shared" si="1"/>
        <v>7225</v>
      </c>
      <c r="I15" s="19">
        <v>851</v>
      </c>
      <c r="J15" s="19">
        <v>2485</v>
      </c>
      <c r="K15" s="19">
        <v>1309</v>
      </c>
      <c r="L15" s="19">
        <v>915</v>
      </c>
      <c r="M15" s="19">
        <v>1665</v>
      </c>
      <c r="N15" s="7" t="s">
        <v>22</v>
      </c>
      <c r="O15" s="1"/>
      <c r="P15" s="12"/>
      <c r="Q15" s="12"/>
      <c r="R15" s="12"/>
      <c r="S15" s="12"/>
      <c r="T15" s="12"/>
      <c r="U15" s="12"/>
      <c r="V15" s="12"/>
      <c r="W15" s="1"/>
    </row>
    <row r="16" spans="1:23" ht="21" customHeight="1">
      <c r="A16" s="6" t="s">
        <v>23</v>
      </c>
      <c r="B16" s="18">
        <f t="shared" si="0"/>
        <v>7143</v>
      </c>
      <c r="C16" s="19">
        <v>1054</v>
      </c>
      <c r="D16" s="19">
        <v>2355</v>
      </c>
      <c r="E16" s="19">
        <v>1205</v>
      </c>
      <c r="F16" s="19">
        <v>935</v>
      </c>
      <c r="G16" s="20">
        <v>1594</v>
      </c>
      <c r="H16" s="14">
        <f t="shared" si="1"/>
        <v>7257</v>
      </c>
      <c r="I16" s="19">
        <v>829</v>
      </c>
      <c r="J16" s="19">
        <v>2498</v>
      </c>
      <c r="K16" s="19">
        <v>1327</v>
      </c>
      <c r="L16" s="19">
        <v>932</v>
      </c>
      <c r="M16" s="19">
        <v>1671</v>
      </c>
      <c r="N16" s="7" t="s">
        <v>24</v>
      </c>
      <c r="O16" s="1"/>
      <c r="P16" s="12"/>
      <c r="Q16" s="12"/>
      <c r="R16" s="12"/>
      <c r="S16" s="12"/>
      <c r="T16" s="12"/>
      <c r="U16" s="12"/>
      <c r="V16" s="12"/>
      <c r="W16" s="1"/>
    </row>
    <row r="17" spans="1:23" ht="21" customHeight="1">
      <c r="A17" s="6" t="s">
        <v>25</v>
      </c>
      <c r="B17" s="18">
        <f t="shared" si="0"/>
        <v>7182</v>
      </c>
      <c r="C17" s="19">
        <v>1035</v>
      </c>
      <c r="D17" s="19">
        <v>2392</v>
      </c>
      <c r="E17" s="19">
        <v>1213</v>
      </c>
      <c r="F17" s="19">
        <v>928</v>
      </c>
      <c r="G17" s="20">
        <v>1614</v>
      </c>
      <c r="H17" s="14">
        <f t="shared" si="1"/>
        <v>7235</v>
      </c>
      <c r="I17" s="19">
        <v>811</v>
      </c>
      <c r="J17" s="19">
        <v>2502</v>
      </c>
      <c r="K17" s="19">
        <v>1335</v>
      </c>
      <c r="L17" s="19">
        <v>923</v>
      </c>
      <c r="M17" s="19">
        <v>1664</v>
      </c>
      <c r="N17" s="7" t="s">
        <v>26</v>
      </c>
      <c r="O17" s="1"/>
      <c r="P17" s="12"/>
      <c r="Q17" s="12"/>
      <c r="R17" s="12"/>
      <c r="S17" s="12"/>
      <c r="T17" s="12"/>
      <c r="U17" s="12"/>
      <c r="V17" s="12"/>
      <c r="W17" s="1"/>
    </row>
    <row r="18" spans="1:23" ht="21" customHeight="1">
      <c r="A18" s="8" t="s">
        <v>27</v>
      </c>
      <c r="B18" s="21">
        <f t="shared" si="0"/>
        <v>7189</v>
      </c>
      <c r="C18" s="22">
        <v>1012</v>
      </c>
      <c r="D18" s="22">
        <v>2421</v>
      </c>
      <c r="E18" s="22">
        <v>1220</v>
      </c>
      <c r="F18" s="22">
        <v>926</v>
      </c>
      <c r="G18" s="23">
        <v>1610</v>
      </c>
      <c r="H18" s="15">
        <f t="shared" si="1"/>
        <v>7241</v>
      </c>
      <c r="I18" s="22">
        <v>799</v>
      </c>
      <c r="J18" s="22">
        <v>2505</v>
      </c>
      <c r="K18" s="22">
        <v>1357</v>
      </c>
      <c r="L18" s="22">
        <v>922</v>
      </c>
      <c r="M18" s="22">
        <v>1658</v>
      </c>
      <c r="N18" s="9" t="s">
        <v>28</v>
      </c>
      <c r="O18" s="1"/>
      <c r="P18" s="12"/>
      <c r="Q18" s="12"/>
      <c r="R18" s="12"/>
      <c r="S18" s="12"/>
      <c r="T18" s="12"/>
      <c r="U18" s="12"/>
      <c r="V18" s="12"/>
      <c r="W18" s="1"/>
    </row>
    <row r="19" spans="1:23" ht="19.5" customHeight="1">
      <c r="A19" s="10" t="s">
        <v>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1" t="s">
        <v>2</v>
      </c>
      <c r="O19" s="1"/>
      <c r="P19" s="12"/>
      <c r="Q19" s="12"/>
      <c r="R19" s="12"/>
      <c r="S19" s="12"/>
      <c r="T19" s="12"/>
      <c r="U19" s="12"/>
      <c r="V19" s="12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2"/>
      <c r="Q20" s="12"/>
      <c r="R20" s="12"/>
      <c r="S20" s="12"/>
      <c r="T20" s="12"/>
      <c r="U20" s="12"/>
      <c r="V20" s="12"/>
      <c r="W20" s="1"/>
    </row>
    <row r="21" spans="1:2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"/>
      <c r="B23" s="1"/>
      <c r="C23" s="13"/>
      <c r="D23" s="13"/>
      <c r="E23" s="13"/>
      <c r="F23" s="13"/>
      <c r="G23" s="13"/>
      <c r="H23" s="1"/>
      <c r="I23" s="13"/>
      <c r="J23" s="13"/>
      <c r="K23" s="13"/>
      <c r="L23" s="13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3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1"/>
      <c r="C31" s="16"/>
      <c r="D31" s="1"/>
      <c r="E31" s="1"/>
      <c r="F31" s="1"/>
      <c r="G31" s="1"/>
      <c r="H31" s="1"/>
      <c r="I31" s="1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5.5" customHeight="1">
      <c r="A32" s="2"/>
      <c r="B32" s="2"/>
      <c r="C32" s="2"/>
      <c r="D32" s="2"/>
      <c r="E32" s="2"/>
      <c r="F32" s="1"/>
      <c r="G32" s="1"/>
      <c r="H32" s="2"/>
      <c r="I32" s="2"/>
      <c r="J32" s="2"/>
      <c r="K32" s="2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8">
    <mergeCell ref="H4:M4"/>
    <mergeCell ref="H5:M5"/>
    <mergeCell ref="B4:G4"/>
    <mergeCell ref="A1:N1"/>
    <mergeCell ref="A2:N2"/>
    <mergeCell ref="A4:A6"/>
    <mergeCell ref="N4:N6"/>
    <mergeCell ref="B5:G5"/>
  </mergeCells>
  <pageMargins left="0.7" right="0.7" top="0.75" bottom="0.75" header="0" footer="0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2024-08-07T03:04:46Z</cp:lastPrinted>
  <dcterms:modified xsi:type="dcterms:W3CDTF">2024-08-07T03:04:54Z</dcterms:modified>
</cp:coreProperties>
</file>