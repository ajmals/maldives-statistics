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8. PENSION AND SOCIAL PROTECTION\"/>
    </mc:Choice>
  </mc:AlternateContent>
  <xr:revisionPtr revIDLastSave="0" documentId="13_ncr:1_{592A82C0-53CE-4610-9E56-CDC4FE55A5EB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18.25" sheetId="25" r:id="rId1"/>
  </sheets>
  <definedNames>
    <definedName name="_xlnm.Print_Area" localSheetId="0">'18.25'!$A$1:$O$51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25" l="1"/>
  <c r="M6" i="25" s="1"/>
  <c r="L8" i="25"/>
  <c r="L6" i="25" s="1"/>
  <c r="K8" i="25"/>
  <c r="K6" i="25" s="1"/>
  <c r="J8" i="25"/>
  <c r="J6" i="25" s="1"/>
  <c r="I8" i="25"/>
  <c r="I6" i="25" s="1"/>
  <c r="H8" i="25"/>
  <c r="H6" i="25" s="1"/>
  <c r="G8" i="25"/>
  <c r="G6" i="25" s="1"/>
  <c r="F8" i="25"/>
  <c r="F6" i="25" s="1"/>
  <c r="E8" i="25"/>
  <c r="E6" i="25" s="1"/>
  <c r="D8" i="25"/>
  <c r="D6" i="25" s="1"/>
  <c r="C8" i="25"/>
  <c r="C6" i="25" s="1"/>
  <c r="B8" i="25"/>
  <c r="B6" i="25" s="1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<sst xmlns="http://schemas.openxmlformats.org/spreadsheetml/2006/main" count="77" uniqueCount="77">
  <si>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</si>
  <si>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</si>
  <si>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</si>
  <si>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</si>
  <si>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</si>
  <si>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</si>
  <si>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</si>
  <si>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</si>
  <si>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</si>
  <si>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</si>
  <si>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</si>
  <si>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</si>
  <si>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</si>
  <si>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</si>
  <si>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</si>
  <si>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</si>
  <si>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</si>
  <si>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</si>
  <si>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</si>
  <si>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</si>
  <si>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</si>
  <si>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</si>
  <si>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</si>
  <si>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</si>
  <si>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</si>
  <si>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</si>
  <si>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</si>
  <si>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</si>
  <si>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</si>
  <si>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</si>
  <si>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</si>
  <si>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</si>
  <si>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</si>
  <si>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</si>
  <si>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</si>
  <si>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</si>
  <si>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</si>
  <si>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</si>
  <si>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</si>
  <si>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</si>
  <si>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</si>
  <si>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</si>
  <si>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</si>
  <si>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</si>
  <si>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</si>
  <si>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</si>
  <si>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</si>
  <si>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</si>
  <si>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</si>
  <si>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</si>
  <si>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</si>
  <si>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</si>
  <si>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</si>
  <si>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</si>
  <si>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</si>
  <si>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</si>
  <si>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</si>
  <si>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</si>
  <si>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</si>
  <si>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</si>
  <si>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</si>
  <si>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</si>
  <si>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</si>
  <si>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</si>
  <si>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</si>
  <si>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</si>
  <si>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</si>
  <si>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</si>
  <si>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</si>
  <si>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 xml:space="preserve">މަޢުލޫމާތު ދެއްވީ:  އާސަންދަ ޕްރައިވެޓް ލިމިޓެޑް </t>
  </si>
  <si>
    <t>Source:  Aasandha Pvt Ltd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</si>
  <si>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</si>
  <si>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</si>
  <si>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</si>
  <si>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</si>
  <si>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Table 18.25:  EXPENDITURE UNDER HEALTH INSURANCE SCHEMES BY ATOLLS,  2014  - 2023</t>
  </si>
  <si>
    <t xml:space="preserve">ތާވަލް 18.25: އާސަންދައިގެ ދަށުން އަތޮޅުތަކުން ހިނގި ޚަރަދު، 2014 - 2023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</si>
</sst>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7" formatCode="General_)"/>
    <numFmt numFmtId="169" formatCode="_-* #,##0_-;\-* #,##0_-;_-* &quot;-&quot;??_-;_-@_-"/>
  </numFmts>
  <fonts count="31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9"/>
      <color theme="1" tint="0.14999847407452621"/>
      <name val="A_Randhoo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3">
    <xf numFmtId="0" fontId="0" fillId="0" borderId="0"/>
    <xf numFmtId="0" fontId="3" fillId="0" borderId="1"/>
    <xf numFmtId="164" fontId="10" fillId="0" borderId="1"/>
    <xf numFmtId="43" fontId="1" fillId="0" borderId="1" applyFont="0" applyFill="0" applyBorder="0" applyAlignment="0" applyProtection="0"/>
    <xf numFmtId="0" fontId="10" fillId="0" borderId="1"/>
    <xf numFmtId="43" fontId="1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9" fillId="0" borderId="1"/>
    <xf numFmtId="43" fontId="29" fillId="0" borderId="1" applyFont="0" applyFill="0" applyBorder="0" applyAlignment="0" applyProtection="0"/>
    <xf numFmtId="0" fontId="30" fillId="0" borderId="1"/>
  </cellStyleXfs>
  <cellXfs count="47">
    <xf numFmtId="0" fontId="0" fillId="0" borderId="0" xfId="0"/>
    <xf numFmtId="167" fontId="15" fillId="2" borderId="1" xfId="2" applyNumberFormat="1" applyFont="1" applyFill="1" applyAlignment="1">
      <alignment horizontal="left" vertical="center"/>
    </xf>
    <xf numFmtId="167" fontId="9" fillId="2" borderId="1" xfId="4" applyNumberFormat="1" applyFont="1" applyFill="1" applyAlignment="1">
      <alignment horizontal="right" vertical="center"/>
    </xf>
    <xf numFmtId="3" fontId="5" fillId="2" borderId="1" xfId="1" applyNumberFormat="1" applyFont="1" applyFill="1"/>
    <xf numFmtId="0" fontId="18" fillId="2" borderId="0" xfId="0" applyFont="1" applyFill="1"/>
    <xf numFmtId="167" fontId="11" fillId="2" borderId="0" xfId="0" applyNumberFormat="1" applyFont="1" applyFill="1"/>
    <xf numFmtId="167" fontId="11" fillId="2" borderId="1" xfId="0" applyNumberFormat="1" applyFont="1" applyFill="1" applyBorder="1"/>
    <xf numFmtId="167" fontId="19" fillId="2" borderId="1" xfId="2" applyNumberFormat="1" applyFont="1" applyFill="1" applyAlignment="1">
      <alignment horizontal="left" vertical="center"/>
    </xf>
    <xf numFmtId="164" fontId="19" fillId="2" borderId="1" xfId="5" applyNumberFormat="1" applyFont="1" applyFill="1" applyBorder="1" applyAlignment="1" applyProtection="1">
      <alignment horizontal="right" vertical="center"/>
    </xf>
    <xf numFmtId="3" fontId="20" fillId="2" borderId="1" xfId="1" applyNumberFormat="1" applyFont="1" applyFill="1" applyAlignment="1">
      <alignment horizontal="right" vertical="center" indent="2"/>
    </xf>
    <xf numFmtId="167" fontId="21" fillId="2" borderId="0" xfId="0" applyNumberFormat="1" applyFont="1" applyFill="1"/>
    <xf numFmtId="167" fontId="22" fillId="2" borderId="0" xfId="0" applyNumberFormat="1" applyFont="1" applyFill="1"/>
    <xf numFmtId="0" fontId="22" fillId="2" borderId="1" xfId="0" applyFont="1" applyFill="1" applyBorder="1"/>
    <xf numFmtId="43" fontId="22" fillId="2" borderId="1" xfId="5" applyFont="1" applyFill="1" applyBorder="1"/>
    <xf numFmtId="167" fontId="22" fillId="2" borderId="1" xfId="0" applyNumberFormat="1" applyFont="1" applyFill="1" applyBorder="1"/>
    <xf numFmtId="4" fontId="22" fillId="2" borderId="1" xfId="5" applyNumberFormat="1" applyFont="1" applyFill="1" applyBorder="1" applyAlignment="1">
      <alignment horizontal="center" vertical="center"/>
    </xf>
    <xf numFmtId="3" fontId="23" fillId="2" borderId="1" xfId="1" applyNumberFormat="1" applyFont="1" applyFill="1"/>
    <xf numFmtId="164" fontId="24" fillId="2" borderId="1" xfId="5" applyNumberFormat="1" applyFont="1" applyFill="1" applyBorder="1" applyAlignment="1">
      <alignment horizontal="right" vertical="center"/>
    </xf>
    <xf numFmtId="169" fontId="25" fillId="2" borderId="1" xfId="5" applyNumberFormat="1" applyFont="1" applyFill="1"/>
    <xf numFmtId="169" fontId="25" fillId="2" borderId="1" xfId="5" applyNumberFormat="1" applyFont="1" applyFill="1" applyBorder="1"/>
    <xf numFmtId="3" fontId="26" fillId="2" borderId="1" xfId="1" applyNumberFormat="1" applyFont="1" applyFill="1" applyAlignment="1">
      <alignment horizontal="right" vertical="center" indent="2"/>
    </xf>
    <xf numFmtId="4" fontId="27" fillId="2" borderId="1" xfId="5" applyNumberFormat="1" applyFont="1" applyFill="1" applyBorder="1" applyAlignment="1">
      <alignment horizontal="center" vertical="center"/>
    </xf>
    <xf numFmtId="43" fontId="27" fillId="2" borderId="1" xfId="5" applyFont="1" applyFill="1" applyBorder="1"/>
    <xf numFmtId="167" fontId="27" fillId="2" borderId="1" xfId="0" applyNumberFormat="1" applyFont="1" applyFill="1" applyBorder="1"/>
    <xf numFmtId="0" fontId="27" fillId="2" borderId="1" xfId="0" applyFont="1" applyFill="1" applyBorder="1"/>
    <xf numFmtId="3" fontId="23" fillId="2" borderId="2" xfId="1" applyNumberFormat="1" applyFont="1" applyFill="1" applyBorder="1"/>
    <xf numFmtId="164" fontId="24" fillId="2" borderId="2" xfId="5" applyNumberFormat="1" applyFont="1" applyFill="1" applyBorder="1" applyAlignment="1">
      <alignment horizontal="right" vertical="center"/>
    </xf>
    <xf numFmtId="164" fontId="25" fillId="2" borderId="2" xfId="5" applyNumberFormat="1" applyFont="1" applyFill="1" applyBorder="1" applyAlignment="1">
      <alignment horizontal="right" vertical="center"/>
    </xf>
    <xf numFmtId="3" fontId="28" fillId="2" borderId="2" xfId="1" applyNumberFormat="1" applyFont="1" applyFill="1" applyBorder="1" applyAlignment="1">
      <alignment horizontal="right" vertical="center" indent="2"/>
    </xf>
    <xf numFmtId="3" fontId="14" fillId="2" borderId="1" xfId="1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43" fontId="0" fillId="2" borderId="1" xfId="5" applyFont="1" applyFill="1"/>
    <xf numFmtId="167" fontId="0" fillId="2" borderId="0" xfId="0" applyNumberFormat="1" applyFill="1"/>
    <xf numFmtId="167" fontId="16" fillId="2" borderId="1" xfId="4" applyNumberFormat="1" applyFont="1" applyFill="1" applyAlignment="1">
      <alignment horizontal="right" vertical="center"/>
    </xf>
    <xf numFmtId="167" fontId="11" fillId="2" borderId="1" xfId="2" applyNumberFormat="1" applyFont="1" applyFill="1"/>
    <xf numFmtId="3" fontId="6" fillId="2" borderId="1" xfId="1" applyNumberFormat="1" applyFont="1" applyFill="1"/>
    <xf numFmtId="3" fontId="13" fillId="2" borderId="1" xfId="1" applyNumberFormat="1" applyFont="1" applyFill="1"/>
    <xf numFmtId="3" fontId="13" fillId="2" borderId="2" xfId="1" applyNumberFormat="1" applyFont="1" applyFill="1" applyBorder="1"/>
    <xf numFmtId="167" fontId="12" fillId="2" borderId="1" xfId="2" applyNumberFormat="1" applyFont="1" applyFill="1" applyAlignment="1">
      <alignment horizontal="right" vertical="center" wrapText="1"/>
    </xf>
    <xf numFmtId="167" fontId="12" fillId="2" borderId="2" xfId="2" applyNumberFormat="1" applyFont="1" applyFill="1" applyBorder="1" applyAlignment="1">
      <alignment horizontal="right" vertical="center" wrapText="1"/>
    </xf>
    <xf numFmtId="3" fontId="4" fillId="2" borderId="1" xfId="1" applyNumberFormat="1" applyFont="1" applyFill="1" applyAlignment="1">
      <alignment horizontal="center" vertical="center" readingOrder="2"/>
    </xf>
    <xf numFmtId="3" fontId="6" fillId="2" borderId="2" xfId="1" applyNumberFormat="1" applyFont="1" applyFill="1" applyBorder="1" applyAlignment="1">
      <alignment horizontal="center" vertical="center"/>
    </xf>
    <xf numFmtId="3" fontId="7" fillId="2" borderId="1" xfId="1" applyNumberFormat="1" applyFont="1" applyFill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17" fillId="2" borderId="1" xfId="1" applyNumberFormat="1" applyFont="1" applyFill="1" applyAlignment="1">
      <alignment horizontal="right" vertical="center" wrapText="1" indent="2"/>
    </xf>
    <xf numFmtId="3" fontId="17" fillId="2" borderId="2" xfId="1" applyNumberFormat="1" applyFont="1" applyFill="1" applyBorder="1" applyAlignment="1">
      <alignment horizontal="right" vertical="center" wrapText="1" indent="2"/>
    </xf>
    <xf numFmtId="0" fontId="8" fillId="2" borderId="3" xfId="0" applyFont="1" applyFill="1" applyBorder="1" applyAlignment="1">
      <alignment horizontal="center" vertical="center" wrapText="1"/>
    </xf>
  </cellXfs>
  <cellStyles count="23">
    <cellStyle name="Comma 2" xfId="21" xr:uid="{7F072996-EFB5-4BD5-80F0-4011ADE95ED7}"/>
    <cellStyle name="Comma 23" xfId="3" xr:uid="{3E5BAF3C-F617-4E2D-A85B-C690E04E58B3}"/>
    <cellStyle name="Comma 3" xfId="5" xr:uid="{6D4A6997-1191-41C6-BFD1-905BCFA15FB4}"/>
    <cellStyle name="Normal" xfId="0" builtinId="0"/>
    <cellStyle name="Normal 10" xfId="7" xr:uid="{06DA859A-5D9A-4216-AE3D-7F80C4883077}"/>
    <cellStyle name="Normal 2" xfId="2" xr:uid="{F2AF85D4-6C8D-4AD8-963A-A6E1AB9E7E54}"/>
    <cellStyle name="Normal 3" xfId="14" xr:uid="{D43E14DE-E126-4A32-87BE-BF04B90DA0D9}"/>
    <cellStyle name="Normal 3 2" xfId="22" xr:uid="{02AA93B4-549B-4A9B-99AC-3AE1DDD448B1}"/>
    <cellStyle name="Normal 30 2" xfId="6" xr:uid="{C71C314A-D15E-4E30-8A14-8D449AD00B59}"/>
    <cellStyle name="Normal 39" xfId="8" xr:uid="{4F4E8F7A-67E6-4096-8E34-05E38D8ED152}"/>
    <cellStyle name="Normal 4" xfId="15" xr:uid="{87674BD1-2A4B-4DEB-85E4-24C8F4E5A9E4}"/>
    <cellStyle name="Normal 40" xfId="9" xr:uid="{033E8D92-629F-4AC2-AC89-1CD1CA9F4E8C}"/>
    <cellStyle name="Normal 41" xfId="10" xr:uid="{5187C0CE-C1F8-4630-ADBD-B30A1ED7A0DC}"/>
    <cellStyle name="Normal 44" xfId="11" xr:uid="{E4C0E057-F35D-4158-B0F8-9AA77ED2402B}"/>
    <cellStyle name="Normal 5" xfId="16" xr:uid="{0D9ED178-59B5-4CAF-B8D4-8144B790E077}"/>
    <cellStyle name="Normal 58" xfId="13" xr:uid="{49593C51-6AD9-47F1-9876-4E87D3F435A6}"/>
    <cellStyle name="Normal 59" xfId="12" xr:uid="{35463A83-6A14-47E2-8F60-A12790F7E977}"/>
    <cellStyle name="Normal 6" xfId="17" xr:uid="{BE25628A-CB3C-4B02-A4E6-776C00D24871}"/>
    <cellStyle name="Normal 7" xfId="18" xr:uid="{5D3F39AD-5E5C-4B1B-B21D-F67CE4DA4FEF}"/>
    <cellStyle name="Normal 8" xfId="19" xr:uid="{8722E07A-6AD4-4BF6-BD40-785D7B94039E}"/>
    <cellStyle name="Normal 9" xfId="20" xr:uid="{36E17173-69D0-47EB-9185-CAE2A9A43288}"/>
    <cellStyle name="Normal_3 Population." xfId="4" xr:uid="{60B37FA7-ED51-43F8-8472-47540F99DBE1}"/>
    <cellStyle name="Normal_II-15(Population) 2" xfId="1" xr:uid="{95EBC99F-8B2B-487D-886D-8D6969A801CA}"/>
  </cellStyles>
  <dxfs count="0"/>
  <tableStyles count="0" defaultTableStyle="TableStyleMedium2" defaultPivotStyle="PivotStyleLight16"/>
  <colors>
    <mruColors>
      <color rgb="FF9FFFFF"/>
      <color rgb="FF00CCC7"/>
      <color rgb="FF009999"/>
      <color rgb="FF61FFFF"/>
      <color rgb="FFE7FFFF"/>
      <color rgb="FF00E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</a:t>
            </a:r>
            <a:r>
              <a:rPr lang="dv-MV" sz="1050" b="1" i="0" baseline="0">
                <a:latin typeface="+mn-lt"/>
              </a:rPr>
              <a:t>2</a:t>
            </a:r>
            <a:r>
              <a:rPr lang="en-US" sz="1050" b="1" i="0" baseline="0">
                <a:latin typeface="+mn-lt"/>
              </a:rPr>
              <a:t>1 - 2023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'18.25'!$CD$37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'18.25'!$CC$38:$CC$57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'18.25'!$CD$38:$CD$57</c:f>
              <c:numCache>
                <c:formatCode>General_)</c:formatCode>
                <c:ptCount val="20"/>
                <c:pt idx="0">
                  <c:v>41229421.620000005</c:v>
                </c:pt>
                <c:pt idx="1">
                  <c:v>105958272.70000002</c:v>
                </c:pt>
                <c:pt idx="2">
                  <c:v>29752743.100000001</c:v>
                </c:pt>
                <c:pt idx="3">
                  <c:v>23414246.520000003</c:v>
                </c:pt>
                <c:pt idx="4">
                  <c:v>55780460.480000004</c:v>
                </c:pt>
                <c:pt idx="5">
                  <c:v>25608416.110000003</c:v>
                </c:pt>
                <c:pt idx="6">
                  <c:v>26327557.609999999</c:v>
                </c:pt>
                <c:pt idx="7">
                  <c:v>20229516.299999997</c:v>
                </c:pt>
                <c:pt idx="8">
                  <c:v>12415359.02</c:v>
                </c:pt>
                <c:pt idx="9">
                  <c:v>30407880.360000003</c:v>
                </c:pt>
                <c:pt idx="10">
                  <c:v>3630063.0300000003</c:v>
                </c:pt>
                <c:pt idx="11">
                  <c:v>9990856.0899999999</c:v>
                </c:pt>
                <c:pt idx="12">
                  <c:v>13273690.779999999</c:v>
                </c:pt>
                <c:pt idx="13">
                  <c:v>15311144.699999999</c:v>
                </c:pt>
                <c:pt idx="14">
                  <c:v>24058552.030000001</c:v>
                </c:pt>
                <c:pt idx="15">
                  <c:v>47038499.760000005</c:v>
                </c:pt>
                <c:pt idx="16">
                  <c:v>30808424.960000001</c:v>
                </c:pt>
                <c:pt idx="17">
                  <c:v>43636279.200900003</c:v>
                </c:pt>
                <c:pt idx="18">
                  <c:v>30315608.859999999</c:v>
                </c:pt>
                <c:pt idx="19">
                  <c:v>150113676.64999998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B-40FE-9FEE-1370643DA620}"/>
            </c:ext>
          </c:extLst>
        </c:ser>
        <c:ser>
          <c:idx val="2"/>
          <c:order val="1"/>
          <c:tx>
            <c:strRef>
              <c:f>'18.25'!$CE$37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cat>
            <c:strRef>
              <c:f>'18.25'!$CC$38:$CC$57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'18.25'!$CE$38:$CE$57</c:f>
              <c:numCache>
                <c:formatCode>General_)</c:formatCode>
                <c:ptCount val="20"/>
                <c:pt idx="0">
                  <c:v>42951407.969999999</c:v>
                </c:pt>
                <c:pt idx="1">
                  <c:v>121253541.48999999</c:v>
                </c:pt>
                <c:pt idx="2">
                  <c:v>34656334.549999997</c:v>
                </c:pt>
                <c:pt idx="3">
                  <c:v>26306259.119999997</c:v>
                </c:pt>
                <c:pt idx="4">
                  <c:v>67478231.180000007</c:v>
                </c:pt>
                <c:pt idx="5">
                  <c:v>29304323.180000007</c:v>
                </c:pt>
                <c:pt idx="6">
                  <c:v>30959571.039999999</c:v>
                </c:pt>
                <c:pt idx="7">
                  <c:v>21165979.760000002</c:v>
                </c:pt>
                <c:pt idx="8">
                  <c:v>13048614.539999999</c:v>
                </c:pt>
                <c:pt idx="9">
                  <c:v>33097189.898000006</c:v>
                </c:pt>
                <c:pt idx="10">
                  <c:v>3690326.27</c:v>
                </c:pt>
                <c:pt idx="11">
                  <c:v>12502296.09</c:v>
                </c:pt>
                <c:pt idx="12">
                  <c:v>16978604.119999997</c:v>
                </c:pt>
                <c:pt idx="13">
                  <c:v>16488463.48</c:v>
                </c:pt>
                <c:pt idx="14">
                  <c:v>28197213.939999998</c:v>
                </c:pt>
                <c:pt idx="15">
                  <c:v>58600261.460000008</c:v>
                </c:pt>
                <c:pt idx="16">
                  <c:v>37493968.349999994</c:v>
                </c:pt>
                <c:pt idx="17">
                  <c:v>57037692.870000005</c:v>
                </c:pt>
                <c:pt idx="18">
                  <c:v>36794336.82</c:v>
                </c:pt>
                <c:pt idx="19">
                  <c:v>182544223.68999997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B-40FE-9FEE-1370643DA620}"/>
            </c:ext>
          </c:extLst>
        </c:ser>
        <c:ser>
          <c:idx val="3"/>
          <c:order val="2"/>
          <c:tx>
            <c:strRef>
              <c:f>'18.25'!$CF$37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61FFFF"/>
            </a:solidFill>
          </c:spPr>
          <c:invertIfNegative val="0"/>
          <c:cat>
            <c:strRef>
              <c:f>'18.25'!$CC$38:$CC$57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'18.25'!$CF$38:$CF$57</c:f>
              <c:numCache>
                <c:formatCode>General_)</c:formatCode>
                <c:ptCount val="20"/>
                <c:pt idx="0">
                  <c:v>52807094</c:v>
                </c:pt>
                <c:pt idx="1">
                  <c:v>135518677</c:v>
                </c:pt>
                <c:pt idx="2">
                  <c:v>37015411</c:v>
                </c:pt>
                <c:pt idx="3">
                  <c:v>30654991</c:v>
                </c:pt>
                <c:pt idx="4">
                  <c:v>74023708</c:v>
                </c:pt>
                <c:pt idx="5">
                  <c:v>34806121</c:v>
                </c:pt>
                <c:pt idx="6">
                  <c:v>34780623</c:v>
                </c:pt>
                <c:pt idx="7">
                  <c:v>26425053</c:v>
                </c:pt>
                <c:pt idx="8">
                  <c:v>14643615</c:v>
                </c:pt>
                <c:pt idx="9">
                  <c:v>35660575</c:v>
                </c:pt>
                <c:pt idx="10">
                  <c:v>3899750</c:v>
                </c:pt>
                <c:pt idx="11">
                  <c:v>13554997</c:v>
                </c:pt>
                <c:pt idx="12">
                  <c:v>17662545</c:v>
                </c:pt>
                <c:pt idx="13">
                  <c:v>21439218</c:v>
                </c:pt>
                <c:pt idx="14">
                  <c:v>32795764</c:v>
                </c:pt>
                <c:pt idx="15">
                  <c:v>67136712</c:v>
                </c:pt>
                <c:pt idx="16">
                  <c:v>43465566</c:v>
                </c:pt>
                <c:pt idx="17">
                  <c:v>70699432</c:v>
                </c:pt>
                <c:pt idx="18">
                  <c:v>43185139</c:v>
                </c:pt>
                <c:pt idx="19">
                  <c:v>191276933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B-40FE-9FEE-1370643DA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210000000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31</xdr:row>
      <xdr:rowOff>42546</xdr:rowOff>
    </xdr:from>
    <xdr:to>
      <xdr:col>12</xdr:col>
      <xdr:colOff>581025</xdr:colOff>
      <xdr:row>48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00829-8C64-4DEE-B7E6-A399545CC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90DA-9CA3-4DE4-B4C5-C310DE0121E7}">
  <sheetPr>
    <tabColor rgb="FF92D050"/>
  </sheetPr>
  <dimension ref="A1:CF57"/>
  <sheetViews>
    <sheetView tabSelected="1" topLeftCell="A5" zoomScaleNormal="100" zoomScaleSheetLayoutView="86" workbookViewId="0">
      <selection activeCell="AI53" sqref="AI53"/>
    </sheetView>
  </sheetViews>
  <sheetFormatPr defaultColWidth="9.140625" defaultRowHeight="15" x14ac:dyDescent="0.25"/>
  <cols>
    <col min="1" max="1" width="25" style="32" customWidth="1"/>
    <col min="2" max="3" width="20.7109375" style="30" hidden="1" customWidth="1"/>
    <col min="4" max="13" width="14.85546875" style="30" customWidth="1"/>
    <col min="14" max="14" width="30.5703125" style="32" customWidth="1"/>
    <col min="15" max="34" width="2.7109375" style="31" customWidth="1"/>
    <col min="35" max="79" width="7.28515625" style="31" customWidth="1"/>
    <col min="80" max="80" width="27.140625" style="31" customWidth="1"/>
    <col min="81" max="81" width="11.28515625" style="32" customWidth="1"/>
    <col min="82" max="83" width="13.5703125" style="32" customWidth="1"/>
    <col min="84" max="84" width="13" style="32" customWidth="1"/>
    <col min="85" max="16384" width="9.140625" style="32"/>
  </cols>
  <sheetData>
    <row r="1" spans="1:80" s="3" customFormat="1" ht="21" x14ac:dyDescent="0.2">
      <c r="A1" s="40" t="s">
        <v>76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1:80" s="3" customFormat="1" x14ac:dyDescent="0.2">
      <c r="A2" s="41" t="s">
        <v>75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80" s="4" customFormat="1" ht="21" x14ac:dyDescent="0.55000000000000004">
      <c r="A3" s="42" t="s">
        <v>1</v>
      </c>
      <c r="B3" s="46" t="s">
        <v>71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4" t="s">
        <v>0</v>
      </c>
    </row>
    <row r="4" spans="1:80" s="5" customFormat="1" ht="12" customHeight="1" x14ac:dyDescent="0.15">
      <c r="A4" s="42"/>
      <c r="B4" s="38">
        <v>2012</v>
      </c>
      <c r="C4" s="38">
        <v>2013</v>
      </c>
      <c r="D4" s="38">
        <v>2014</v>
      </c>
      <c r="E4" s="38">
        <v>2015</v>
      </c>
      <c r="F4" s="38">
        <v>2016</v>
      </c>
      <c r="G4" s="38">
        <v>2017</v>
      </c>
      <c r="H4" s="38">
        <v>2018</v>
      </c>
      <c r="I4" s="38">
        <v>2019</v>
      </c>
      <c r="J4" s="38">
        <v>2020</v>
      </c>
      <c r="K4" s="38">
        <v>2021</v>
      </c>
      <c r="L4" s="38">
        <v>2022</v>
      </c>
      <c r="M4" s="38">
        <v>2023</v>
      </c>
      <c r="N4" s="44"/>
    </row>
    <row r="5" spans="1:80" s="6" customFormat="1" ht="12" customHeight="1" x14ac:dyDescent="0.15">
      <c r="A5" s="43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5"/>
    </row>
    <row r="6" spans="1:80" s="11" customFormat="1" ht="19.5" x14ac:dyDescent="0.25">
      <c r="A6" s="7" t="s">
        <v>2</v>
      </c>
      <c r="B6" s="8">
        <f t="shared" ref="B6:G6" si="0">B7+B8+B29</f>
        <v>782126477</v>
      </c>
      <c r="C6" s="8">
        <f t="shared" si="0"/>
        <v>744921544.64999926</v>
      </c>
      <c r="D6" s="8">
        <f t="shared" si="0"/>
        <v>1063054680.1289002</v>
      </c>
      <c r="E6" s="8">
        <f t="shared" si="0"/>
        <v>1400609841.9116001</v>
      </c>
      <c r="F6" s="8">
        <f t="shared" si="0"/>
        <v>1675199186.7772999</v>
      </c>
      <c r="G6" s="8">
        <f t="shared" si="0"/>
        <v>1797290685.4303999</v>
      </c>
      <c r="H6" s="8">
        <f t="shared" ref="H6:M6" si="1">H7+H8+H29</f>
        <v>2164672440.9014001</v>
      </c>
      <c r="I6" s="8">
        <f t="shared" si="1"/>
        <v>2433716952.1485</v>
      </c>
      <c r="J6" s="8">
        <f t="shared" si="1"/>
        <v>2014669790.0486999</v>
      </c>
      <c r="K6" s="8">
        <f t="shared" si="1"/>
        <v>2282636912.9889998</v>
      </c>
      <c r="L6" s="8">
        <f t="shared" si="1"/>
        <v>2823096048.0652008</v>
      </c>
      <c r="M6" s="8">
        <f t="shared" si="1"/>
        <v>3265956454</v>
      </c>
      <c r="N6" s="9" t="s">
        <v>3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</row>
    <row r="7" spans="1:80" s="14" customFormat="1" ht="19.5" x14ac:dyDescent="0.25">
      <c r="A7" s="7" t="s">
        <v>72</v>
      </c>
      <c r="B7" s="8">
        <v>448843963</v>
      </c>
      <c r="C7" s="8">
        <v>403043430</v>
      </c>
      <c r="D7" s="8">
        <v>529844339.34140003</v>
      </c>
      <c r="E7" s="8">
        <v>694778647.79130006</v>
      </c>
      <c r="F7" s="8">
        <v>899761456.66649997</v>
      </c>
      <c r="G7" s="8">
        <v>1040187042.5204</v>
      </c>
      <c r="H7" s="8">
        <v>1255240833.7985001</v>
      </c>
      <c r="I7" s="8">
        <v>1480247823.2519999</v>
      </c>
      <c r="J7" s="8">
        <v>1164428500.4761</v>
      </c>
      <c r="K7" s="8">
        <v>1327177554.8576999</v>
      </c>
      <c r="L7" s="8">
        <v>1630627599.4918005</v>
      </c>
      <c r="M7" s="8">
        <v>1836429198</v>
      </c>
      <c r="N7" s="9" t="s">
        <v>4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3"/>
    </row>
    <row r="8" spans="1:80" s="14" customFormat="1" ht="19.5" x14ac:dyDescent="0.25">
      <c r="A8" s="7" t="s">
        <v>5</v>
      </c>
      <c r="B8" s="8">
        <f t="shared" ref="B8:C8" si="2">SUM(B9:B28)</f>
        <v>264760139</v>
      </c>
      <c r="C8" s="8">
        <f t="shared" si="2"/>
        <v>267510730.38999927</v>
      </c>
      <c r="D8" s="8">
        <f>SUM(D9:D28)</f>
        <v>364203693.46630007</v>
      </c>
      <c r="E8" s="8">
        <f t="shared" ref="E8:L8" si="3">SUM(E9:E28)</f>
        <v>483525096.47309995</v>
      </c>
      <c r="F8" s="8">
        <f t="shared" si="3"/>
        <v>552084045.86000001</v>
      </c>
      <c r="G8" s="8">
        <f t="shared" si="3"/>
        <v>582040521.90999997</v>
      </c>
      <c r="H8" s="8">
        <f t="shared" si="3"/>
        <v>642497891.10289991</v>
      </c>
      <c r="I8" s="8">
        <f t="shared" si="3"/>
        <v>673897012.7277</v>
      </c>
      <c r="J8" s="8">
        <f t="shared" si="3"/>
        <v>725519558.4749999</v>
      </c>
      <c r="K8" s="8">
        <f t="shared" si="3"/>
        <v>739300669.88089991</v>
      </c>
      <c r="L8" s="8">
        <f t="shared" si="3"/>
        <v>870548839.81800008</v>
      </c>
      <c r="M8" s="8">
        <f t="shared" ref="M8" si="4">SUM(M9:M28)</f>
        <v>981451924</v>
      </c>
      <c r="N8" s="9" t="s">
        <v>6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5"/>
    </row>
    <row r="9" spans="1:80" s="23" customFormat="1" ht="17.25" x14ac:dyDescent="0.25">
      <c r="A9" s="16" t="s">
        <v>7</v>
      </c>
      <c r="B9" s="17">
        <v>15101822</v>
      </c>
      <c r="C9" s="17">
        <v>16574727.689999968</v>
      </c>
      <c r="D9" s="18">
        <v>21476572.449999999</v>
      </c>
      <c r="E9" s="18">
        <v>28247167.650000002</v>
      </c>
      <c r="F9" s="18">
        <v>30277717.990000002</v>
      </c>
      <c r="G9" s="18">
        <v>34032071.780000001</v>
      </c>
      <c r="H9" s="18">
        <v>37849375.519999996</v>
      </c>
      <c r="I9" s="18">
        <v>40448262.304399997</v>
      </c>
      <c r="J9" s="18">
        <v>42511028.648000002</v>
      </c>
      <c r="K9" s="19">
        <v>41229421.620000005</v>
      </c>
      <c r="L9" s="19">
        <v>42951407.969999999</v>
      </c>
      <c r="M9" s="19">
        <v>52807094</v>
      </c>
      <c r="N9" s="20" t="s">
        <v>8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2"/>
    </row>
    <row r="10" spans="1:80" s="23" customFormat="1" ht="17.25" x14ac:dyDescent="0.25">
      <c r="A10" s="16" t="s">
        <v>9</v>
      </c>
      <c r="B10" s="17">
        <v>41415958</v>
      </c>
      <c r="C10" s="17">
        <v>40695134.079999633</v>
      </c>
      <c r="D10" s="18">
        <v>47757008.690000005</v>
      </c>
      <c r="E10" s="18">
        <v>55532820.670000002</v>
      </c>
      <c r="F10" s="18">
        <v>60034554.979999997</v>
      </c>
      <c r="G10" s="18">
        <v>69991758.379999995</v>
      </c>
      <c r="H10" s="18">
        <v>73741273.559999987</v>
      </c>
      <c r="I10" s="18">
        <v>78971036.104199991</v>
      </c>
      <c r="J10" s="18">
        <v>87106108.945999995</v>
      </c>
      <c r="K10" s="19">
        <v>105958272.70000002</v>
      </c>
      <c r="L10" s="19">
        <v>121253541.48999999</v>
      </c>
      <c r="M10" s="19">
        <v>135518677</v>
      </c>
      <c r="N10" s="20" t="s">
        <v>10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</row>
    <row r="11" spans="1:80" s="23" customFormat="1" ht="17.25" x14ac:dyDescent="0.25">
      <c r="A11" s="16" t="s">
        <v>11</v>
      </c>
      <c r="B11" s="17">
        <v>13338409</v>
      </c>
      <c r="C11" s="17">
        <v>13893985.419999985</v>
      </c>
      <c r="D11" s="18">
        <v>18573633.770000003</v>
      </c>
      <c r="E11" s="18">
        <v>22929493.010000002</v>
      </c>
      <c r="F11" s="18">
        <v>21043099.035</v>
      </c>
      <c r="G11" s="18">
        <v>22385644.167000003</v>
      </c>
      <c r="H11" s="18">
        <v>24133600.373999998</v>
      </c>
      <c r="I11" s="18">
        <v>25952832.935399998</v>
      </c>
      <c r="J11" s="18">
        <v>27517456.108000003</v>
      </c>
      <c r="K11" s="19">
        <v>29752743.100000001</v>
      </c>
      <c r="L11" s="19">
        <v>34656334.549999997</v>
      </c>
      <c r="M11" s="19">
        <v>37015411</v>
      </c>
      <c r="N11" s="20" t="s">
        <v>12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2"/>
    </row>
    <row r="12" spans="1:80" s="23" customFormat="1" ht="17.25" x14ac:dyDescent="0.25">
      <c r="A12" s="16" t="s">
        <v>13</v>
      </c>
      <c r="B12" s="17">
        <v>9433955</v>
      </c>
      <c r="C12" s="17">
        <v>8314019.0199999837</v>
      </c>
      <c r="D12" s="18">
        <v>11788026.339999998</v>
      </c>
      <c r="E12" s="18">
        <v>16282824.6</v>
      </c>
      <c r="F12" s="18">
        <v>16255000.77</v>
      </c>
      <c r="G12" s="18">
        <v>17119918.760000002</v>
      </c>
      <c r="H12" s="18">
        <v>18665154.07</v>
      </c>
      <c r="I12" s="18">
        <v>21571553.8116</v>
      </c>
      <c r="J12" s="18">
        <v>23643840.842</v>
      </c>
      <c r="K12" s="19">
        <v>23414246.520000003</v>
      </c>
      <c r="L12" s="19">
        <v>26306259.119999997</v>
      </c>
      <c r="M12" s="19">
        <v>30654991</v>
      </c>
      <c r="N12" s="20" t="s">
        <v>14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2"/>
    </row>
    <row r="13" spans="1:80" s="23" customFormat="1" ht="17.25" x14ac:dyDescent="0.25">
      <c r="A13" s="16" t="s">
        <v>15</v>
      </c>
      <c r="B13" s="17">
        <v>19126765</v>
      </c>
      <c r="C13" s="17">
        <v>20668283.129999995</v>
      </c>
      <c r="D13" s="18">
        <v>29304498.352999996</v>
      </c>
      <c r="E13" s="18">
        <v>40394300.450999998</v>
      </c>
      <c r="F13" s="18">
        <v>43959957.414999999</v>
      </c>
      <c r="G13" s="18">
        <v>47021244.049999997</v>
      </c>
      <c r="H13" s="18">
        <v>49456949.840000004</v>
      </c>
      <c r="I13" s="18">
        <v>53008180.737800002</v>
      </c>
      <c r="J13" s="18">
        <v>59567614.17400001</v>
      </c>
      <c r="K13" s="19">
        <v>55780460.480000004</v>
      </c>
      <c r="L13" s="19">
        <v>67478231.180000007</v>
      </c>
      <c r="M13" s="19">
        <v>74023708</v>
      </c>
      <c r="N13" s="20" t="s">
        <v>16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2"/>
    </row>
    <row r="14" spans="1:80" s="23" customFormat="1" ht="17.25" x14ac:dyDescent="0.25">
      <c r="A14" s="16" t="s">
        <v>17</v>
      </c>
      <c r="B14" s="17">
        <v>10273872</v>
      </c>
      <c r="C14" s="17">
        <v>9666175.0999999773</v>
      </c>
      <c r="D14" s="18">
        <v>15482386.66</v>
      </c>
      <c r="E14" s="18">
        <v>21675172.101000004</v>
      </c>
      <c r="F14" s="18">
        <v>26651220.369999997</v>
      </c>
      <c r="G14" s="18">
        <v>30149104.175999999</v>
      </c>
      <c r="H14" s="18">
        <v>33634879.120000005</v>
      </c>
      <c r="I14" s="18">
        <v>27044367.550599996</v>
      </c>
      <c r="J14" s="18">
        <v>25655929.811999999</v>
      </c>
      <c r="K14" s="19">
        <v>25608416.110000003</v>
      </c>
      <c r="L14" s="19">
        <v>29304323.180000007</v>
      </c>
      <c r="M14" s="19">
        <v>34806121</v>
      </c>
      <c r="N14" s="20" t="s">
        <v>18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2"/>
    </row>
    <row r="15" spans="1:80" s="23" customFormat="1" ht="17.25" x14ac:dyDescent="0.25">
      <c r="A15" s="16" t="s">
        <v>19</v>
      </c>
      <c r="B15" s="17">
        <v>19693974</v>
      </c>
      <c r="C15" s="17">
        <v>17144245.799999915</v>
      </c>
      <c r="D15" s="18">
        <v>23688972.940000001</v>
      </c>
      <c r="E15" s="18">
        <v>27147750.810000002</v>
      </c>
      <c r="F15" s="18">
        <v>31816789.559999999</v>
      </c>
      <c r="G15" s="18">
        <v>38642931.219999999</v>
      </c>
      <c r="H15" s="18">
        <v>35692529.049999997</v>
      </c>
      <c r="I15" s="18">
        <v>32568445.948899999</v>
      </c>
      <c r="J15" s="18">
        <v>27942400.420000002</v>
      </c>
      <c r="K15" s="19">
        <v>26327557.609999999</v>
      </c>
      <c r="L15" s="19">
        <v>30959571.039999999</v>
      </c>
      <c r="M15" s="19">
        <v>34780623</v>
      </c>
      <c r="N15" s="20" t="s">
        <v>20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</row>
    <row r="16" spans="1:80" s="23" customFormat="1" ht="17.25" x14ac:dyDescent="0.25">
      <c r="A16" s="16" t="s">
        <v>21</v>
      </c>
      <c r="B16" s="17">
        <v>4089031</v>
      </c>
      <c r="C16" s="17">
        <v>4086512.3099999996</v>
      </c>
      <c r="D16" s="18">
        <v>7724957.6299999999</v>
      </c>
      <c r="E16" s="18">
        <v>12281541.290000001</v>
      </c>
      <c r="F16" s="18">
        <v>14543865.745000001</v>
      </c>
      <c r="G16" s="18">
        <v>15450866.840299999</v>
      </c>
      <c r="H16" s="18">
        <v>15019880.84</v>
      </c>
      <c r="I16" s="18">
        <v>17197161.118400004</v>
      </c>
      <c r="J16" s="18">
        <v>20342689.015000001</v>
      </c>
      <c r="K16" s="19">
        <v>20229516.299999997</v>
      </c>
      <c r="L16" s="19">
        <v>21165979.760000002</v>
      </c>
      <c r="M16" s="19">
        <v>26425053</v>
      </c>
      <c r="N16" s="20" t="s">
        <v>22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2"/>
    </row>
    <row r="17" spans="1:81" s="23" customFormat="1" ht="17.25" x14ac:dyDescent="0.25">
      <c r="A17" s="16" t="s">
        <v>23</v>
      </c>
      <c r="B17" s="17">
        <v>4155717</v>
      </c>
      <c r="C17" s="17">
        <v>3627549.2800000003</v>
      </c>
      <c r="D17" s="18">
        <v>3540685.44</v>
      </c>
      <c r="E17" s="18">
        <v>7471919.1500000004</v>
      </c>
      <c r="F17" s="18">
        <v>8698613.1500000004</v>
      </c>
      <c r="G17" s="18">
        <v>5947100.96</v>
      </c>
      <c r="H17" s="18">
        <v>10990868.449999999</v>
      </c>
      <c r="I17" s="18">
        <v>11972620.461000001</v>
      </c>
      <c r="J17" s="18">
        <v>12008159.68</v>
      </c>
      <c r="K17" s="19">
        <v>12415359.02</v>
      </c>
      <c r="L17" s="19">
        <v>13048614.539999999</v>
      </c>
      <c r="M17" s="19">
        <v>14643615</v>
      </c>
      <c r="N17" s="20" t="s">
        <v>24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2"/>
    </row>
    <row r="18" spans="1:81" s="23" customFormat="1" ht="17.25" x14ac:dyDescent="0.25">
      <c r="A18" s="16" t="s">
        <v>25</v>
      </c>
      <c r="B18" s="17">
        <v>8195340</v>
      </c>
      <c r="C18" s="17">
        <v>11106707.47999998</v>
      </c>
      <c r="D18" s="18">
        <v>13156080.83</v>
      </c>
      <c r="E18" s="18">
        <v>17498120.029999997</v>
      </c>
      <c r="F18" s="18">
        <v>21983644.324999999</v>
      </c>
      <c r="G18" s="18">
        <v>9181590.7400000021</v>
      </c>
      <c r="H18" s="18">
        <v>25909086.93</v>
      </c>
      <c r="I18" s="18">
        <v>27622860.336999997</v>
      </c>
      <c r="J18" s="18">
        <v>29868861.675999999</v>
      </c>
      <c r="K18" s="19">
        <v>30407880.360000003</v>
      </c>
      <c r="L18" s="19">
        <v>33097189.898000006</v>
      </c>
      <c r="M18" s="19">
        <v>35660575</v>
      </c>
      <c r="N18" s="20" t="s">
        <v>26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</row>
    <row r="19" spans="1:81" s="23" customFormat="1" ht="17.25" x14ac:dyDescent="0.25">
      <c r="A19" s="16" t="s">
        <v>27</v>
      </c>
      <c r="B19" s="17">
        <v>409251</v>
      </c>
      <c r="C19" s="17">
        <v>543378.02999999898</v>
      </c>
      <c r="D19" s="18">
        <v>563786.18999999994</v>
      </c>
      <c r="E19" s="18">
        <v>1773766.73</v>
      </c>
      <c r="F19" s="18">
        <v>2451686.34</v>
      </c>
      <c r="G19" s="18">
        <v>2580520.0900000003</v>
      </c>
      <c r="H19" s="18">
        <v>2433263.37</v>
      </c>
      <c r="I19" s="18">
        <v>2757929.4720000001</v>
      </c>
      <c r="J19" s="18">
        <v>3448993.7300000004</v>
      </c>
      <c r="K19" s="19">
        <v>3630063.0300000003</v>
      </c>
      <c r="L19" s="19">
        <v>3690326.27</v>
      </c>
      <c r="M19" s="19">
        <v>3899750</v>
      </c>
      <c r="N19" s="20" t="s">
        <v>28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s="23" customFormat="1" ht="17.25" x14ac:dyDescent="0.25">
      <c r="A20" s="16" t="s">
        <v>29</v>
      </c>
      <c r="B20" s="17">
        <v>4320592</v>
      </c>
      <c r="C20" s="17">
        <v>4438872.0499999886</v>
      </c>
      <c r="D20" s="18">
        <v>9125266.5999999996</v>
      </c>
      <c r="E20" s="18">
        <v>12610137.149999999</v>
      </c>
      <c r="F20" s="18">
        <v>11946502.880000001</v>
      </c>
      <c r="G20" s="18">
        <v>7909169.9100000001</v>
      </c>
      <c r="H20" s="18">
        <v>11312990.07</v>
      </c>
      <c r="I20" s="18">
        <v>10031071.428399999</v>
      </c>
      <c r="J20" s="18">
        <v>10855208.769999998</v>
      </c>
      <c r="K20" s="19">
        <v>9990856.0899999999</v>
      </c>
      <c r="L20" s="19">
        <v>12502296.09</v>
      </c>
      <c r="M20" s="19">
        <v>13554997</v>
      </c>
      <c r="N20" s="20" t="s">
        <v>30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</row>
    <row r="21" spans="1:81" s="23" customFormat="1" ht="17.25" x14ac:dyDescent="0.25">
      <c r="A21" s="16" t="s">
        <v>31</v>
      </c>
      <c r="B21" s="17">
        <v>5387983</v>
      </c>
      <c r="C21" s="17">
        <v>4886885.8999999873</v>
      </c>
      <c r="D21" s="18">
        <v>6589192.25</v>
      </c>
      <c r="E21" s="18">
        <v>9723321.2799999993</v>
      </c>
      <c r="F21" s="18">
        <v>10153645.829999998</v>
      </c>
      <c r="G21" s="18">
        <v>6358160.0700000003</v>
      </c>
      <c r="H21" s="18">
        <v>13465688.68</v>
      </c>
      <c r="I21" s="18">
        <v>13925732.6666</v>
      </c>
      <c r="J21" s="18">
        <v>14387088.829999998</v>
      </c>
      <c r="K21" s="19">
        <v>13273690.779999999</v>
      </c>
      <c r="L21" s="19">
        <v>16978604.119999997</v>
      </c>
      <c r="M21" s="19">
        <v>17662545</v>
      </c>
      <c r="N21" s="20" t="s">
        <v>32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</row>
    <row r="22" spans="1:81" s="23" customFormat="1" ht="17.25" x14ac:dyDescent="0.25">
      <c r="A22" s="16" t="s">
        <v>33</v>
      </c>
      <c r="B22" s="17">
        <v>9032373</v>
      </c>
      <c r="C22" s="17">
        <v>9196467.5899999663</v>
      </c>
      <c r="D22" s="18">
        <v>9874084.1600000001</v>
      </c>
      <c r="E22" s="18">
        <v>12434694.649999999</v>
      </c>
      <c r="F22" s="18">
        <v>11807838.66</v>
      </c>
      <c r="G22" s="18">
        <v>13061458.859999999</v>
      </c>
      <c r="H22" s="18">
        <v>15100490.25</v>
      </c>
      <c r="I22" s="18">
        <v>17043507.483999997</v>
      </c>
      <c r="J22" s="18">
        <v>16428599.425000001</v>
      </c>
      <c r="K22" s="19">
        <v>15311144.699999999</v>
      </c>
      <c r="L22" s="19">
        <v>16488463.48</v>
      </c>
      <c r="M22" s="19">
        <v>21439218</v>
      </c>
      <c r="N22" s="20" t="s">
        <v>34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2"/>
    </row>
    <row r="23" spans="1:81" s="23" customFormat="1" ht="17.25" x14ac:dyDescent="0.25">
      <c r="A23" s="16" t="s">
        <v>35</v>
      </c>
      <c r="B23" s="17">
        <v>10105484</v>
      </c>
      <c r="C23" s="17">
        <v>10945367.059999999</v>
      </c>
      <c r="D23" s="18">
        <v>15424283.250000004</v>
      </c>
      <c r="E23" s="18">
        <v>20505081.599999994</v>
      </c>
      <c r="F23" s="18">
        <v>22462983.789999999</v>
      </c>
      <c r="G23" s="18">
        <v>23683245.52</v>
      </c>
      <c r="H23" s="18">
        <v>21574058.689999998</v>
      </c>
      <c r="I23" s="18">
        <v>23421048.300000004</v>
      </c>
      <c r="J23" s="18">
        <v>23808645.879999999</v>
      </c>
      <c r="K23" s="19">
        <v>24058552.030000001</v>
      </c>
      <c r="L23" s="19">
        <v>28197213.939999998</v>
      </c>
      <c r="M23" s="19">
        <v>32795764</v>
      </c>
      <c r="N23" s="20" t="s">
        <v>36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</row>
    <row r="24" spans="1:81" s="23" customFormat="1" ht="17.25" x14ac:dyDescent="0.25">
      <c r="A24" s="16" t="s">
        <v>37</v>
      </c>
      <c r="B24" s="17">
        <v>12373132</v>
      </c>
      <c r="C24" s="17">
        <v>11644595.34999999</v>
      </c>
      <c r="D24" s="18">
        <v>19121149.300000001</v>
      </c>
      <c r="E24" s="18">
        <v>27347316.960000001</v>
      </c>
      <c r="F24" s="18">
        <v>30750547.939999998</v>
      </c>
      <c r="G24" s="18">
        <v>32945144.069999997</v>
      </c>
      <c r="H24" s="18">
        <v>34810489.399999999</v>
      </c>
      <c r="I24" s="18">
        <v>42832104.030000001</v>
      </c>
      <c r="J24" s="18">
        <v>50794534.460000008</v>
      </c>
      <c r="K24" s="19">
        <v>47038499.760000005</v>
      </c>
      <c r="L24" s="19">
        <v>58600261.460000008</v>
      </c>
      <c r="M24" s="19">
        <v>67136712</v>
      </c>
      <c r="N24" s="20" t="s">
        <v>38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2"/>
    </row>
    <row r="25" spans="1:81" s="23" customFormat="1" ht="17.25" x14ac:dyDescent="0.25">
      <c r="A25" s="16" t="s">
        <v>39</v>
      </c>
      <c r="B25" s="17">
        <v>12513632</v>
      </c>
      <c r="C25" s="17">
        <v>11341319.889999969</v>
      </c>
      <c r="D25" s="18">
        <v>14483951.450000001</v>
      </c>
      <c r="E25" s="18">
        <v>21910210.289999999</v>
      </c>
      <c r="F25" s="18">
        <v>25050862.829999998</v>
      </c>
      <c r="G25" s="18">
        <v>28968304</v>
      </c>
      <c r="H25" s="18">
        <v>27993704.789999999</v>
      </c>
      <c r="I25" s="18">
        <v>31369978.870000001</v>
      </c>
      <c r="J25" s="18">
        <v>29440804.519999996</v>
      </c>
      <c r="K25" s="19">
        <v>30808424.960000001</v>
      </c>
      <c r="L25" s="19">
        <v>37493968.349999994</v>
      </c>
      <c r="M25" s="19">
        <v>43465566</v>
      </c>
      <c r="N25" s="20" t="s">
        <v>40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2"/>
    </row>
    <row r="26" spans="1:81" s="23" customFormat="1" ht="17.25" x14ac:dyDescent="0.25">
      <c r="A26" s="16" t="s">
        <v>41</v>
      </c>
      <c r="B26" s="17">
        <v>21084401</v>
      </c>
      <c r="C26" s="17">
        <v>22821907.67999997</v>
      </c>
      <c r="D26" s="18">
        <v>27642128.069999993</v>
      </c>
      <c r="E26" s="18">
        <v>34260241.729999997</v>
      </c>
      <c r="F26" s="18">
        <v>39536598.640000008</v>
      </c>
      <c r="G26" s="18">
        <v>44492550.350000001</v>
      </c>
      <c r="H26" s="18">
        <v>46107004.269999996</v>
      </c>
      <c r="I26" s="18">
        <v>52074088.550000012</v>
      </c>
      <c r="J26" s="18">
        <v>52286749.170000002</v>
      </c>
      <c r="K26" s="19">
        <v>43636279.200900003</v>
      </c>
      <c r="L26" s="19">
        <v>57037692.870000005</v>
      </c>
      <c r="M26" s="19">
        <v>70699432</v>
      </c>
      <c r="N26" s="20" t="s">
        <v>42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2"/>
    </row>
    <row r="27" spans="1:81" s="23" customFormat="1" ht="17.25" x14ac:dyDescent="0.25">
      <c r="A27" s="16" t="s">
        <v>43</v>
      </c>
      <c r="B27" s="17">
        <v>12733438</v>
      </c>
      <c r="C27" s="17">
        <v>10712175.139999989</v>
      </c>
      <c r="D27" s="18">
        <v>12905259.859999999</v>
      </c>
      <c r="E27" s="18">
        <v>19379941.390000001</v>
      </c>
      <c r="F27" s="18">
        <v>20312685.899999999</v>
      </c>
      <c r="G27" s="18">
        <v>15456736.35</v>
      </c>
      <c r="H27" s="18">
        <v>23428238.91</v>
      </c>
      <c r="I27" s="18">
        <v>26813330.047800001</v>
      </c>
      <c r="J27" s="18">
        <v>30205366.392999999</v>
      </c>
      <c r="K27" s="19">
        <v>30315608.859999999</v>
      </c>
      <c r="L27" s="19">
        <v>36794336.82</v>
      </c>
      <c r="M27" s="19">
        <v>43185139</v>
      </c>
      <c r="N27" s="20" t="s">
        <v>44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</row>
    <row r="28" spans="1:81" s="23" customFormat="1" ht="17.25" x14ac:dyDescent="0.25">
      <c r="A28" s="16" t="s">
        <v>45</v>
      </c>
      <c r="B28" s="17">
        <v>31975010</v>
      </c>
      <c r="C28" s="17">
        <v>35202422.390000001</v>
      </c>
      <c r="D28" s="18">
        <v>55981769.233300008</v>
      </c>
      <c r="E28" s="18">
        <v>74119274.931099996</v>
      </c>
      <c r="F28" s="18">
        <v>102346229.71000001</v>
      </c>
      <c r="G28" s="18">
        <v>116663001.61669999</v>
      </c>
      <c r="H28" s="18">
        <v>121178364.9189</v>
      </c>
      <c r="I28" s="18">
        <v>117270900.5696</v>
      </c>
      <c r="J28" s="18">
        <v>137699477.97600001</v>
      </c>
      <c r="K28" s="19">
        <v>150113676.64999998</v>
      </c>
      <c r="L28" s="19">
        <v>182544223.68999997</v>
      </c>
      <c r="M28" s="19">
        <v>191276933</v>
      </c>
      <c r="N28" s="20" t="s">
        <v>46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</row>
    <row r="29" spans="1:81" s="23" customFormat="1" ht="19.5" x14ac:dyDescent="0.25">
      <c r="A29" s="25" t="s">
        <v>73</v>
      </c>
      <c r="B29" s="26">
        <v>68522375</v>
      </c>
      <c r="C29" s="26">
        <v>74367384.260000005</v>
      </c>
      <c r="D29" s="27">
        <v>169006647.32120001</v>
      </c>
      <c r="E29" s="27">
        <v>222306097.64719999</v>
      </c>
      <c r="F29" s="27">
        <v>223353684.25080001</v>
      </c>
      <c r="G29" s="27">
        <v>175063121</v>
      </c>
      <c r="H29" s="27">
        <v>266933716</v>
      </c>
      <c r="I29" s="27">
        <v>279572116.1688</v>
      </c>
      <c r="J29" s="27">
        <v>124721731.0976</v>
      </c>
      <c r="K29" s="27">
        <v>216158688.25040001</v>
      </c>
      <c r="L29" s="27">
        <v>321919608.7554</v>
      </c>
      <c r="M29" s="27">
        <v>448075332</v>
      </c>
      <c r="N29" s="28" t="s">
        <v>74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</row>
    <row r="30" spans="1:81" ht="17.25" x14ac:dyDescent="0.25">
      <c r="A30" s="29" t="s">
        <v>67</v>
      </c>
      <c r="N30" s="2" t="s">
        <v>68</v>
      </c>
    </row>
    <row r="31" spans="1:81" ht="17.25" x14ac:dyDescent="0.25">
      <c r="A31" s="1" t="s">
        <v>70</v>
      </c>
      <c r="N31" s="33" t="s">
        <v>69</v>
      </c>
    </row>
    <row r="32" spans="1:81" ht="17.25" x14ac:dyDescent="0.25">
      <c r="A32" s="1"/>
      <c r="N32" s="33"/>
    </row>
    <row r="33" spans="1:84" ht="17.25" x14ac:dyDescent="0.25">
      <c r="A33" s="34"/>
      <c r="N33" s="33"/>
    </row>
    <row r="35" spans="1:84" x14ac:dyDescent="0.25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</row>
    <row r="36" spans="1:84" x14ac:dyDescent="0.25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5"/>
    </row>
    <row r="37" spans="1:84" x14ac:dyDescent="0.25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D37" s="32">
        <v>2021</v>
      </c>
      <c r="CE37" s="32">
        <v>2022</v>
      </c>
      <c r="CF37" s="32">
        <v>2023</v>
      </c>
    </row>
    <row r="38" spans="1:84" x14ac:dyDescent="0.25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6" t="s">
        <v>47</v>
      </c>
      <c r="CD38" s="32">
        <v>41229421.620000005</v>
      </c>
      <c r="CE38" s="32">
        <v>42951407.969999999</v>
      </c>
      <c r="CF38" s="32">
        <v>52807094</v>
      </c>
    </row>
    <row r="39" spans="1:84" x14ac:dyDescent="0.25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6" t="s">
        <v>48</v>
      </c>
      <c r="CD39" s="32">
        <v>105958272.70000002</v>
      </c>
      <c r="CE39" s="32">
        <v>121253541.48999999</v>
      </c>
      <c r="CF39" s="32">
        <v>135518677</v>
      </c>
    </row>
    <row r="40" spans="1:84" x14ac:dyDescent="0.25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6" t="s">
        <v>49</v>
      </c>
      <c r="CD40" s="32">
        <v>29752743.100000001</v>
      </c>
      <c r="CE40" s="32">
        <v>34656334.549999997</v>
      </c>
      <c r="CF40" s="32">
        <v>37015411</v>
      </c>
    </row>
    <row r="41" spans="1:84" x14ac:dyDescent="0.25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6" t="s">
        <v>50</v>
      </c>
      <c r="CD41" s="32">
        <v>23414246.520000003</v>
      </c>
      <c r="CE41" s="32">
        <v>26306259.119999997</v>
      </c>
      <c r="CF41" s="32">
        <v>30654991</v>
      </c>
    </row>
    <row r="42" spans="1:84" x14ac:dyDescent="0.25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6" t="s">
        <v>51</v>
      </c>
      <c r="CD42" s="32">
        <v>55780460.480000004</v>
      </c>
      <c r="CE42" s="32">
        <v>67478231.180000007</v>
      </c>
      <c r="CF42" s="32">
        <v>74023708</v>
      </c>
    </row>
    <row r="43" spans="1:84" x14ac:dyDescent="0.25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6" t="s">
        <v>52</v>
      </c>
      <c r="CD43" s="32">
        <v>25608416.110000003</v>
      </c>
      <c r="CE43" s="32">
        <v>29304323.180000007</v>
      </c>
      <c r="CF43" s="32">
        <v>34806121</v>
      </c>
    </row>
    <row r="44" spans="1:84" x14ac:dyDescent="0.25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6" t="s">
        <v>53</v>
      </c>
      <c r="CD44" s="32">
        <v>26327557.609999999</v>
      </c>
      <c r="CE44" s="32">
        <v>30959571.039999999</v>
      </c>
      <c r="CF44" s="32">
        <v>34780623</v>
      </c>
    </row>
    <row r="45" spans="1:84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6" t="s">
        <v>54</v>
      </c>
      <c r="CD45" s="32">
        <v>20229516.299999997</v>
      </c>
      <c r="CE45" s="32">
        <v>21165979.760000002</v>
      </c>
      <c r="CF45" s="32">
        <v>26425053</v>
      </c>
    </row>
    <row r="46" spans="1:84" x14ac:dyDescent="0.25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6" t="s">
        <v>55</v>
      </c>
      <c r="CD46" s="32">
        <v>12415359.02</v>
      </c>
      <c r="CE46" s="32">
        <v>13048614.539999999</v>
      </c>
      <c r="CF46" s="32">
        <v>14643615</v>
      </c>
    </row>
    <row r="47" spans="1:84" x14ac:dyDescent="0.25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6" t="s">
        <v>56</v>
      </c>
      <c r="CD47" s="32">
        <v>30407880.360000003</v>
      </c>
      <c r="CE47" s="32">
        <v>33097189.898000006</v>
      </c>
      <c r="CF47" s="32">
        <v>35660575</v>
      </c>
    </row>
    <row r="48" spans="1:84" x14ac:dyDescent="0.25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6" t="s">
        <v>57</v>
      </c>
      <c r="CD48" s="32">
        <v>3630063.0300000003</v>
      </c>
      <c r="CE48" s="32">
        <v>3690326.27</v>
      </c>
      <c r="CF48" s="32">
        <v>3899750</v>
      </c>
    </row>
    <row r="49" spans="2:84" x14ac:dyDescent="0.25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6" t="s">
        <v>58</v>
      </c>
      <c r="CD49" s="32">
        <v>9990856.0899999999</v>
      </c>
      <c r="CE49" s="32">
        <v>12502296.09</v>
      </c>
      <c r="CF49" s="32">
        <v>13554997</v>
      </c>
    </row>
    <row r="50" spans="2:84" x14ac:dyDescent="0.25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6" t="s">
        <v>59</v>
      </c>
      <c r="CD50" s="32">
        <v>13273690.779999999</v>
      </c>
      <c r="CE50" s="32">
        <v>16978604.119999997</v>
      </c>
      <c r="CF50" s="32">
        <v>17662545</v>
      </c>
    </row>
    <row r="51" spans="2:84" x14ac:dyDescent="0.25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6" t="s">
        <v>60</v>
      </c>
      <c r="CD51" s="32">
        <v>15311144.699999999</v>
      </c>
      <c r="CE51" s="32">
        <v>16488463.48</v>
      </c>
      <c r="CF51" s="32">
        <v>21439218</v>
      </c>
    </row>
    <row r="52" spans="2:84" x14ac:dyDescent="0.25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6" t="s">
        <v>61</v>
      </c>
      <c r="CD52" s="32">
        <v>24058552.030000001</v>
      </c>
      <c r="CE52" s="32">
        <v>28197213.939999998</v>
      </c>
      <c r="CF52" s="32">
        <v>32795764</v>
      </c>
    </row>
    <row r="53" spans="2:84" x14ac:dyDescent="0.25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6" t="s">
        <v>62</v>
      </c>
      <c r="CD53" s="32">
        <v>47038499.760000005</v>
      </c>
      <c r="CE53" s="32">
        <v>58600261.460000008</v>
      </c>
      <c r="CF53" s="32">
        <v>67136712</v>
      </c>
    </row>
    <row r="54" spans="2:84" x14ac:dyDescent="0.25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6" t="s">
        <v>63</v>
      </c>
      <c r="CD54" s="32">
        <v>30808424.960000001</v>
      </c>
      <c r="CE54" s="32">
        <v>37493968.349999994</v>
      </c>
      <c r="CF54" s="32">
        <v>43465566</v>
      </c>
    </row>
    <row r="55" spans="2:84" x14ac:dyDescent="0.25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6" t="s">
        <v>64</v>
      </c>
      <c r="CD55" s="32">
        <v>43636279.200900003</v>
      </c>
      <c r="CE55" s="32">
        <v>57037692.870000005</v>
      </c>
      <c r="CF55" s="32">
        <v>70699432</v>
      </c>
    </row>
    <row r="56" spans="2:84" x14ac:dyDescent="0.25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6" t="s">
        <v>65</v>
      </c>
      <c r="CD56" s="32">
        <v>30315608.859999999</v>
      </c>
      <c r="CE56" s="32">
        <v>36794336.82</v>
      </c>
      <c r="CF56" s="32">
        <v>43185139</v>
      </c>
    </row>
    <row r="57" spans="2:84" x14ac:dyDescent="0.25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7" t="s">
        <v>66</v>
      </c>
      <c r="CD57" s="32">
        <v>150113676.64999998</v>
      </c>
      <c r="CE57" s="32">
        <v>182544223.68999997</v>
      </c>
      <c r="CF57" s="32">
        <v>191276933</v>
      </c>
    </row>
  </sheetData>
  <mergeCells count="17">
    <mergeCell ref="J4:J5"/>
    <mergeCell ref="K4:K5"/>
    <mergeCell ref="L4:L5"/>
    <mergeCell ref="A1:N1"/>
    <mergeCell ref="A2:N2"/>
    <mergeCell ref="A3:A5"/>
    <mergeCell ref="N3:N5"/>
    <mergeCell ref="B4:B5"/>
    <mergeCell ref="C4:C5"/>
    <mergeCell ref="D4:D5"/>
    <mergeCell ref="E4:E5"/>
    <mergeCell ref="F4:F5"/>
    <mergeCell ref="M4:M5"/>
    <mergeCell ref="B3:M3"/>
    <mergeCell ref="G4:G5"/>
    <mergeCell ref="H4:H5"/>
    <mergeCell ref="I4:I5"/>
  </mergeCells>
  <pageMargins left="0.7" right="0.7" top="0.75" bottom="0.75" header="0.3" footer="0.3"/>
  <pageSetup scale="38" orientation="portrait" r:id="rId1"/>
  <colBreaks count="1" manualBreakCount="1">
    <brk id="79" max="1048575" man="1"/>
  </colBreaks>
  <ignoredErrors>
    <ignoredError sqref="D8:M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18.25</vt:lpstr>
      <vt:lpstr>'18.25'!Print_Area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2024-08-18T03:04:58Z</cp:lastPrinted>
  <dcterms:created xsi:type="dcterms:W3CDTF">2024-08-18T02:39:07Z</dcterms:created>
  <dcterms:modified xsi:type="dcterms:W3CDTF">2024-08-18T03:05:07Z</dcterms:modified>
</cp:coreProperties>
</file>