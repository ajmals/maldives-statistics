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ension\"/>
    </mc:Choice>
  </mc:AlternateContent>
  <xr:revisionPtr revIDLastSave="0" documentId="13_ncr:1_{FF886693-00B9-4491-B3F1-B9EEEF3FDE0E}" xr6:coauthVersionLast="47" xr6:coauthVersionMax="47" xr10:uidLastSave="{00000000-0000-0000-0000-000000000000}"/>
  <bookViews>
    <workbookView xWindow="-120" yWindow="-120" windowWidth="29040" windowHeight="15720" tabRatio="874" xr2:uid="{00000000-000D-0000-FFFF-FFFF00000000}"/>
  </bookViews>
  <sheets>
    <sheet name="18.16 " sheetId="16" r:id="rId1"/>
  </sheets>
  <externalReferences>
    <externalReference r:id="rId2"/>
  </externalReferences>
  <definedNames>
    <definedName name="_xlnm.Print_Area" localSheetId="0">'18.16 '!$A$1:$Y$60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6" l="1"/>
  <c r="X7" i="16"/>
  <c r="W7" i="16"/>
  <c r="V7" i="16"/>
  <c r="U7" i="16"/>
  <c r="T7" i="16"/>
  <c r="S7" i="16"/>
  <c r="R7" i="16"/>
  <c r="Q7" i="16"/>
  <c r="P7" i="16"/>
  <c r="O7" i="16"/>
  <c r="N7" i="16"/>
  <c r="M7" i="16"/>
  <c r="L7" i="16"/>
  <c r="K7" i="16"/>
  <c r="J7" i="16"/>
  <c r="I7" i="16"/>
  <c r="H7" i="16"/>
  <c r="G7" i="16"/>
  <c r="F7" i="16"/>
  <c r="E7" i="16"/>
  <c r="D7" i="16"/>
  <c r="C7" i="16"/>
  <c r="B7" i="16"/>
</calcChain>
</file>

<file path=xl/sharedStrings.xml><?xml version="1.0" encoding="utf-8"?>
<sst xmlns="http://schemas.openxmlformats.org/spreadsheetml/2006/main" count="78" uniqueCount="45">
  <si>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</si>
  <si>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</si>
  <si>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</si>
  <si>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</si>
  <si>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</si>
  <si>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</si>
  <si>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</si>
  <si>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</si>
  <si>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</si>
  <si>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</si>
  <si>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</si>
  <si>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</si>
  <si>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</si>
  <si>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Agriculture</t>
  </si>
  <si>
    <t>Air Transportation</t>
  </si>
  <si>
    <t>Clothing industry</t>
  </si>
  <si>
    <t>Coffee, tea shops</t>
  </si>
  <si>
    <t>Construction</t>
  </si>
  <si>
    <t>Electricity</t>
  </si>
  <si>
    <t>Fishing Industry</t>
  </si>
  <si>
    <t>Garbage, and Recycling industry</t>
  </si>
  <si>
    <t>Health Sector, hospitals, clinics</t>
  </si>
  <si>
    <t>Hotels, Tourist resorts, travel agencies</t>
  </si>
  <si>
    <t>Land Transportation, taxis, buses etc</t>
  </si>
  <si>
    <t>Mining Industry</t>
  </si>
  <si>
    <t>Others</t>
  </si>
  <si>
    <t>Passenger Ferries</t>
  </si>
  <si>
    <t>Pharmacies</t>
  </si>
  <si>
    <t>Restaurants</t>
  </si>
  <si>
    <t>Sales of Motor Vehicles</t>
  </si>
  <si>
    <t>Schools and educational centers</t>
  </si>
  <si>
    <t>Sea Transportation, shipping</t>
  </si>
  <si>
    <t>Shops, small and medium commercial retail</t>
  </si>
  <si>
    <t>Telecommunications</t>
  </si>
  <si>
    <t>Water processing</t>
  </si>
  <si>
    <t>Wholesale retailers</t>
  </si>
  <si>
    <t xml:space="preserve">Housing Development </t>
  </si>
  <si>
    <t>Establishments</t>
  </si>
  <si>
    <t>Employment</t>
  </si>
  <si>
    <t xml:space="preserve">Financial sector, Banks, Investment Funds, Insurance </t>
  </si>
  <si>
    <t>Govt. agencies, public institutions</t>
  </si>
  <si>
    <t xml:space="preserve">Jan </t>
  </si>
  <si>
    <t>Note: The Difference between values in this table is due to some members having multiple contracts with more than one employer</t>
  </si>
  <si>
    <t>Source: Maldives Pension Administration Office</t>
  </si>
  <si>
    <t>TABLE  18.16: EMPLOYEES AND ESTABLISHMENTS REGISTERED IN THE RETIREMENT PENSION SCHEME BY MONTH,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</si>
</sst>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8" formatCode="#,###,##0"/>
  </numFmts>
  <fonts count="15">
    <font>
      <sz val="11"/>
      <color rgb="FF000000"/>
      <name val="Calibri"/>
      <scheme val="minor"/>
    </font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rgb="FF000000"/>
      <name val="Calibri"/>
    </font>
    <font>
      <i/>
      <sz val="11"/>
      <color rgb="FF000000"/>
      <name val="Calibri"/>
    </font>
    <font>
      <b/>
      <sz val="12"/>
      <color theme="1"/>
      <name val="Calibri"/>
    </font>
    <font>
      <sz val="11"/>
      <color rgb="FF000000"/>
      <name val="Arial"/>
    </font>
    <font>
      <sz val="12"/>
      <color rgb="FF000000"/>
      <name val="Calibri"/>
    </font>
    <font>
      <sz val="11"/>
      <color theme="1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E2EFD9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12">
    <xf numFmtId="0" fontId="0" fillId="0" borderId="0"/>
    <xf numFmtId="164" fontId="13" fillId="0" borderId="18"/>
    <xf numFmtId="43" fontId="12" fillId="0" borderId="18" applyFont="0" applyFill="0" applyBorder="0" applyAlignment="0" applyProtection="0"/>
    <xf numFmtId="43" fontId="12" fillId="0" borderId="18" applyFont="0" applyFill="0" applyBorder="0" applyAlignment="0" applyProtection="0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  <xf numFmtId="0" fontId="12" fillId="0" borderId="18"/>
  </cellStyleXfs>
  <cellXfs count="55">
    <xf numFmtId="0" fontId="0" fillId="0" borderId="0" xfId="0"/>
    <xf numFmtId="0" fontId="2" fillId="2" borderId="4" xfId="0" applyFont="1" applyFill="1" applyBorder="1"/>
    <xf numFmtId="0" fontId="3" fillId="2" borderId="11" xfId="0" applyFont="1" applyFill="1" applyBorder="1" applyAlignment="1">
      <alignment horizontal="right" vertical="center"/>
    </xf>
    <xf numFmtId="0" fontId="3" fillId="2" borderId="12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3" fillId="2" borderId="4" xfId="0" applyFont="1" applyFill="1" applyBorder="1" applyAlignment="1">
      <alignment horizontal="righ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3" fontId="3" fillId="2" borderId="4" xfId="0" applyNumberFormat="1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left" vertical="center" wrapText="1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4" xfId="0" applyNumberFormat="1" applyFont="1" applyFill="1" applyBorder="1" applyAlignment="1">
      <alignment horizontal="right" vertical="center" wrapText="1"/>
    </xf>
    <xf numFmtId="0" fontId="10" fillId="2" borderId="4" xfId="0" applyFont="1" applyFill="1" applyBorder="1"/>
    <xf numFmtId="3" fontId="10" fillId="2" borderId="4" xfId="0" applyNumberFormat="1" applyFont="1" applyFill="1" applyBorder="1" applyAlignment="1">
      <alignment horizontal="right" vertical="center"/>
    </xf>
    <xf numFmtId="3" fontId="8" fillId="2" borderId="4" xfId="0" applyNumberFormat="1" applyFont="1" applyFill="1" applyBorder="1" applyAlignment="1">
      <alignment horizontal="right" vertical="center"/>
    </xf>
    <xf numFmtId="168" fontId="4" fillId="2" borderId="4" xfId="0" applyNumberFormat="1" applyFont="1" applyFill="1" applyBorder="1" applyAlignment="1">
      <alignment horizontal="right"/>
    </xf>
    <xf numFmtId="168" fontId="4" fillId="2" borderId="4" xfId="0" applyNumberFormat="1" applyFont="1" applyFill="1" applyBorder="1" applyAlignment="1">
      <alignment horizontal="right" vertical="center"/>
    </xf>
    <xf numFmtId="0" fontId="6" fillId="2" borderId="4" xfId="0" applyFont="1" applyFill="1" applyBorder="1" applyAlignment="1">
      <alignment vertical="center"/>
    </xf>
    <xf numFmtId="0" fontId="4" fillId="2" borderId="4" xfId="0" applyFont="1" applyFill="1" applyBorder="1"/>
    <xf numFmtId="0" fontId="3" fillId="2" borderId="5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0" xfId="0" applyFont="1" applyBorder="1"/>
    <xf numFmtId="0" fontId="7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right" vertical="center" wrapText="1"/>
    </xf>
    <xf numFmtId="0" fontId="14" fillId="3" borderId="18" xfId="0" applyFont="1" applyFill="1" applyBorder="1" applyAlignment="1">
      <alignment horizontal="right" vertical="center" wrapText="1"/>
    </xf>
    <xf numFmtId="0" fontId="12" fillId="3" borderId="17" xfId="0" applyFont="1" applyFill="1" applyBorder="1" applyAlignment="1">
      <alignment horizontal="right" vertical="center" wrapText="1"/>
    </xf>
    <xf numFmtId="0" fontId="14" fillId="3" borderId="16" xfId="0" applyFont="1" applyFill="1" applyBorder="1" applyAlignment="1">
      <alignment horizontal="right" vertical="center" wrapText="1"/>
    </xf>
    <xf numFmtId="0" fontId="12" fillId="3" borderId="18" xfId="0" applyFont="1" applyFill="1" applyBorder="1" applyAlignment="1">
      <alignment horizontal="right" wrapText="1"/>
    </xf>
    <xf numFmtId="0" fontId="12" fillId="3" borderId="17" xfId="0" applyFont="1" applyFill="1" applyBorder="1" applyAlignment="1">
      <alignment horizontal="right" wrapText="1"/>
    </xf>
    <xf numFmtId="0" fontId="12" fillId="3" borderId="16" xfId="0" applyFont="1" applyFill="1" applyBorder="1" applyAlignment="1">
      <alignment horizontal="right" wrapText="1"/>
    </xf>
    <xf numFmtId="3" fontId="14" fillId="3" borderId="18" xfId="0" applyNumberFormat="1" applyFont="1" applyFill="1" applyBorder="1" applyAlignment="1">
      <alignment horizontal="right" vertical="center" wrapText="1"/>
    </xf>
    <xf numFmtId="3" fontId="14" fillId="3" borderId="16" xfId="0" applyNumberFormat="1" applyFont="1" applyFill="1" applyBorder="1" applyAlignment="1">
      <alignment horizontal="right" vertical="center" wrapText="1"/>
    </xf>
    <xf numFmtId="3" fontId="12" fillId="3" borderId="18" xfId="0" applyNumberFormat="1" applyFont="1" applyFill="1" applyBorder="1" applyAlignment="1">
      <alignment horizontal="right" wrapText="1"/>
    </xf>
    <xf numFmtId="3" fontId="12" fillId="3" borderId="16" xfId="0" applyNumberFormat="1" applyFont="1" applyFill="1" applyBorder="1" applyAlignment="1">
      <alignment horizontal="right" wrapText="1"/>
    </xf>
    <xf numFmtId="0" fontId="12" fillId="3" borderId="19" xfId="0" applyFont="1" applyFill="1" applyBorder="1" applyAlignment="1">
      <alignment horizontal="right" vertical="center" wrapText="1"/>
    </xf>
    <xf numFmtId="3" fontId="14" fillId="3" borderId="19" xfId="0" applyNumberFormat="1" applyFont="1" applyFill="1" applyBorder="1" applyAlignment="1">
      <alignment horizontal="right" vertical="center" wrapText="1"/>
    </xf>
    <xf numFmtId="0" fontId="12" fillId="3" borderId="20" xfId="0" applyFont="1" applyFill="1" applyBorder="1" applyAlignment="1">
      <alignment horizontal="right" vertical="center" wrapText="1"/>
    </xf>
    <xf numFmtId="3" fontId="14" fillId="3" borderId="12" xfId="0" applyNumberFormat="1" applyFont="1" applyFill="1" applyBorder="1" applyAlignment="1">
      <alignment horizontal="right" vertical="center" wrapText="1"/>
    </xf>
    <xf numFmtId="0" fontId="12" fillId="3" borderId="23" xfId="0" applyFont="1" applyFill="1" applyBorder="1" applyAlignment="1">
      <alignment horizontal="right" vertical="center" wrapText="1"/>
    </xf>
    <xf numFmtId="0" fontId="14" fillId="3" borderId="21" xfId="0" applyFont="1" applyFill="1" applyBorder="1" applyAlignment="1">
      <alignment horizontal="right" vertical="center" wrapText="1"/>
    </xf>
    <xf numFmtId="3" fontId="14" fillId="3" borderId="22" xfId="0" applyNumberFormat="1" applyFont="1" applyFill="1" applyBorder="1" applyAlignment="1">
      <alignment horizontal="right" vertical="center" wrapText="1"/>
    </xf>
    <xf numFmtId="0" fontId="12" fillId="3" borderId="21" xfId="0" applyFont="1" applyFill="1" applyBorder="1" applyAlignment="1">
      <alignment horizontal="right" wrapText="1"/>
    </xf>
    <xf numFmtId="3" fontId="12" fillId="3" borderId="21" xfId="0" applyNumberFormat="1" applyFont="1" applyFill="1" applyBorder="1" applyAlignment="1">
      <alignment horizontal="right" wrapText="1"/>
    </xf>
    <xf numFmtId="0" fontId="12" fillId="3" borderId="23" xfId="0" applyFont="1" applyFill="1" applyBorder="1" applyAlignment="1">
      <alignment horizontal="right" wrapText="1"/>
    </xf>
    <xf numFmtId="0" fontId="12" fillId="3" borderId="22" xfId="0" applyFont="1" applyFill="1" applyBorder="1" applyAlignment="1">
      <alignment horizontal="right" wrapText="1"/>
    </xf>
    <xf numFmtId="3" fontId="12" fillId="3" borderId="22" xfId="0" applyNumberFormat="1" applyFont="1" applyFill="1" applyBorder="1" applyAlignment="1">
      <alignment horizontal="right" wrapText="1"/>
    </xf>
  </cellXfs>
  <cellStyles count="12">
    <cellStyle name="Comma 23" xfId="2" xr:uid="{3E5BAF3C-F617-4E2D-A85B-C690E04E58B3}"/>
    <cellStyle name="Comma 3" xfId="3" xr:uid="{6D4A6997-1191-41C6-BFD1-905BCFA15FB4}"/>
    <cellStyle name="Normal" xfId="0" builtinId="0"/>
    <cellStyle name="Normal 10" xfId="5" xr:uid="{06DA859A-5D9A-4216-AE3D-7F80C4883077}"/>
    <cellStyle name="Normal 2" xfId="1" xr:uid="{F2AF85D4-6C8D-4AD8-963A-A6E1AB9E7E54}"/>
    <cellStyle name="Normal 30 2" xfId="4" xr:uid="{C71C314A-D15E-4E30-8A14-8D449AD00B59}"/>
    <cellStyle name="Normal 39" xfId="6" xr:uid="{4F4E8F7A-67E6-4096-8E34-05E38D8ED152}"/>
    <cellStyle name="Normal 40" xfId="7" xr:uid="{033E8D92-629F-4AC2-AC89-1CD1CA9F4E8C}"/>
    <cellStyle name="Normal 41" xfId="8" xr:uid="{5187C0CE-C1F8-4630-ADBD-B30A1ED7A0DC}"/>
    <cellStyle name="Normal 44" xfId="9" xr:uid="{E4C0E057-F35D-4158-B0F8-9AA77ED2402B}"/>
    <cellStyle name="Normal 58" xfId="11" xr:uid="{49593C51-6AD9-47F1-9876-4E87D3F435A6}"/>
    <cellStyle name="Normal 59" xfId="10" xr:uid="{35463A83-6A14-47E2-8F60-A12790F7E977}"/>
  </cellStyles>
  <dxfs count="0"/>
  <tableStyles count="0" defaultTableStyle="TableStyleMedium2" defaultPivotStyle="PivotStyleLight16"/>
  <colors>
    <mruColors>
      <color rgb="FF009999"/>
      <color rgb="FF00EEE8"/>
      <color rgb="FFE7FFFF"/>
      <color rgb="FF00CCC7"/>
      <color rgb="FF61FFFF"/>
      <color rgb="FF9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Figure 18.17: Employees registered in the retirement pension scheme by month, 2023</a:t>
            </a:r>
          </a:p>
        </c:rich>
      </c:tx>
      <c:layout>
        <c:manualLayout>
          <c:xMode val="edge"/>
          <c:yMode val="edge"/>
          <c:x val="0.25339860295240874"/>
          <c:y val="5.5848310441015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7792544450462195E-2"/>
          <c:y val="0.17385026423266597"/>
          <c:w val="0.89581468983043788"/>
          <c:h val="0.7355189906194462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9999"/>
            </a:solidFill>
            <a:ln cmpd="sng">
              <a:noFill/>
            </a:ln>
          </c:spPr>
          <c:invertIfNegative val="1"/>
          <c:cat>
            <c:strRef>
              <c:f>'18.16 '!$BD$24:$BO$24</c:f>
              <c:strCache>
                <c:ptCount val="12"/>
                <c:pt idx="0">
                  <c:v>Jan 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'18.16 '!$BD$25:$BO$25</c:f>
              <c:numCache>
                <c:formatCode>#,##0</c:formatCode>
                <c:ptCount val="12"/>
                <c:pt idx="0">
                  <c:v>106774</c:v>
                </c:pt>
                <c:pt idx="1">
                  <c:v>109790</c:v>
                </c:pt>
                <c:pt idx="2">
                  <c:v>111877</c:v>
                </c:pt>
                <c:pt idx="3">
                  <c:v>113702</c:v>
                </c:pt>
                <c:pt idx="4">
                  <c:v>115703</c:v>
                </c:pt>
                <c:pt idx="5">
                  <c:v>111782</c:v>
                </c:pt>
                <c:pt idx="6">
                  <c:v>107183</c:v>
                </c:pt>
                <c:pt idx="7">
                  <c:v>115434</c:v>
                </c:pt>
                <c:pt idx="8">
                  <c:v>113040</c:v>
                </c:pt>
                <c:pt idx="9">
                  <c:v>116210</c:v>
                </c:pt>
                <c:pt idx="10">
                  <c:v>116683</c:v>
                </c:pt>
                <c:pt idx="11">
                  <c:v>117912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FD-49C7-A655-A90AECAB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7727568"/>
        <c:axId val="490272375"/>
      </c:barChart>
      <c:catAx>
        <c:axId val="2037727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0272375"/>
        <c:crosses val="autoZero"/>
        <c:auto val="1"/>
        <c:lblAlgn val="ctr"/>
        <c:lblOffset val="100"/>
        <c:noMultiLvlLbl val="1"/>
      </c:catAx>
      <c:valAx>
        <c:axId val="490272375"/>
        <c:scaling>
          <c:orientation val="minMax"/>
          <c:max val="120000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377275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908266</xdr:colOff>
      <xdr:row>35</xdr:row>
      <xdr:rowOff>60863</xdr:rowOff>
    </xdr:from>
    <xdr:ext cx="10801350" cy="4248150"/>
    <xdr:graphicFrame macro="">
      <xdr:nvGraphicFramePr>
        <xdr:cNvPr id="17" name="Chart 17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8\st4\Dissemination\Publications\Statistical%20Year%20Book\YEARBOOK%202023\RECEIVED\18.%20PENSION%20AND%20SOCIAL%20PROTECTION%20-%20NSPA%20&amp;%20Aasandha.xlsx" TargetMode="External"/><Relationship Id="rId1" Type="http://schemas.openxmlformats.org/officeDocument/2006/relationships/externalLinkPath" Target="/Dissemination/Publications/Statistical%20Year%20Book/YEARBOOK%202023/RECEIVED/18.%20PENSION%20AND%20SOCIAL%20PROTECTION%20-%20NSPA%20&amp;%20Aasandh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8.18"/>
      <sheetName val="18.19"/>
      <sheetName val="18.20"/>
      <sheetName val="18.21"/>
      <sheetName val="18.22"/>
      <sheetName val="18.23"/>
      <sheetName val="18.24"/>
      <sheetName val="18.25"/>
      <sheetName val="18.26"/>
      <sheetName val="18.27"/>
    </sheetNames>
    <sheetDataSet>
      <sheetData sheetId="0"/>
      <sheetData sheetId="1"/>
      <sheetData sheetId="2"/>
      <sheetData sheetId="3">
        <row r="7">
          <cell r="A7" t="str">
            <v xml:space="preserve">Male' </v>
          </cell>
          <cell r="B7">
            <v>1630627599.4917998</v>
          </cell>
        </row>
        <row r="8">
          <cell r="A8" t="str">
            <v>Atolls</v>
          </cell>
          <cell r="B8">
            <v>870548839.8180002</v>
          </cell>
        </row>
        <row r="9">
          <cell r="A9" t="str">
            <v>Overseas</v>
          </cell>
          <cell r="B9">
            <v>321919608.7554</v>
          </cell>
        </row>
        <row r="11">
          <cell r="X11">
            <v>2016</v>
          </cell>
          <cell r="Y11">
            <v>2017</v>
          </cell>
          <cell r="Z11">
            <v>2018</v>
          </cell>
          <cell r="AA11">
            <v>2019</v>
          </cell>
          <cell r="AB11">
            <v>2020</v>
          </cell>
          <cell r="AC11">
            <v>2021</v>
          </cell>
        </row>
        <row r="12">
          <cell r="U12" t="str">
            <v>Republic</v>
          </cell>
          <cell r="X12">
            <v>1675199187.0308001</v>
          </cell>
          <cell r="Y12">
            <v>1797290685.4405</v>
          </cell>
          <cell r="Z12">
            <v>2164672441.0613999</v>
          </cell>
          <cell r="AA12">
            <v>2433716952.1484995</v>
          </cell>
          <cell r="AB12">
            <v>2014669790.0487001</v>
          </cell>
          <cell r="AC12">
            <v>2823096048.0652003</v>
          </cell>
        </row>
        <row r="13">
          <cell r="U13" t="str">
            <v xml:space="preserve">Male' </v>
          </cell>
          <cell r="X13">
            <v>899761456.92000008</v>
          </cell>
          <cell r="Y13">
            <v>1040187042.5204999</v>
          </cell>
          <cell r="Z13">
            <v>1255240833.9584999</v>
          </cell>
          <cell r="AA13">
            <v>1488868041.2019994</v>
          </cell>
          <cell r="AB13">
            <v>1164428500.4760997</v>
          </cell>
          <cell r="AC13">
            <v>1630627599.4917998</v>
          </cell>
        </row>
        <row r="14">
          <cell r="U14" t="str">
            <v>Atolls</v>
          </cell>
          <cell r="X14">
            <v>552084045.86000001</v>
          </cell>
          <cell r="Y14">
            <v>582040521.91999996</v>
          </cell>
          <cell r="Z14">
            <v>642497891.10289991</v>
          </cell>
          <cell r="AA14">
            <v>665276794.77769983</v>
          </cell>
          <cell r="AB14">
            <v>725519558.47500014</v>
          </cell>
          <cell r="AC14">
            <v>870548839.8180002</v>
          </cell>
        </row>
        <row r="15">
          <cell r="U15" t="str">
            <v>Overseas</v>
          </cell>
          <cell r="X15">
            <v>223353684.25080001</v>
          </cell>
          <cell r="Y15">
            <v>175063121</v>
          </cell>
          <cell r="Z15">
            <v>266933716</v>
          </cell>
          <cell r="AA15">
            <v>279572116.1688</v>
          </cell>
          <cell r="AB15">
            <v>124721731.0976</v>
          </cell>
          <cell r="AC15">
            <v>321919608.7554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BO946"/>
  <sheetViews>
    <sheetView tabSelected="1" zoomScale="59" zoomScaleNormal="59" zoomScaleSheetLayoutView="32" workbookViewId="0">
      <selection activeCell="O49" sqref="O49"/>
    </sheetView>
  </sheetViews>
  <sheetFormatPr defaultColWidth="14.42578125" defaultRowHeight="15" customHeight="1"/>
  <cols>
    <col min="1" max="1" width="39.140625" customWidth="1"/>
    <col min="2" max="25" width="21" customWidth="1"/>
    <col min="26" max="67" width="9.140625" customWidth="1"/>
  </cols>
  <sheetData>
    <row r="1" spans="1:67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spans="1:67" ht="18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>
      <c r="A3" s="23" t="s">
        <v>44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7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5.75">
      <c r="A5" s="22"/>
      <c r="B5" s="30" t="s">
        <v>1</v>
      </c>
      <c r="C5" s="24"/>
      <c r="D5" s="29" t="s">
        <v>2</v>
      </c>
      <c r="E5" s="25"/>
      <c r="F5" s="30" t="s">
        <v>3</v>
      </c>
      <c r="G5" s="24"/>
      <c r="H5" s="29" t="s">
        <v>4</v>
      </c>
      <c r="I5" s="25"/>
      <c r="J5" s="30" t="s">
        <v>5</v>
      </c>
      <c r="K5" s="24"/>
      <c r="L5" s="31" t="s">
        <v>6</v>
      </c>
      <c r="M5" s="25"/>
      <c r="N5" s="30" t="s">
        <v>7</v>
      </c>
      <c r="O5" s="24"/>
      <c r="P5" s="29" t="s">
        <v>8</v>
      </c>
      <c r="Q5" s="25"/>
      <c r="R5" s="30" t="s">
        <v>9</v>
      </c>
      <c r="S5" s="24"/>
      <c r="T5" s="29" t="s">
        <v>10</v>
      </c>
      <c r="U5" s="25"/>
      <c r="V5" s="29" t="s">
        <v>11</v>
      </c>
      <c r="W5" s="25"/>
      <c r="X5" s="30" t="s">
        <v>12</v>
      </c>
      <c r="Y5" s="24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spans="1:67">
      <c r="A6" s="28"/>
      <c r="B6" s="2" t="s">
        <v>37</v>
      </c>
      <c r="C6" s="2" t="s">
        <v>38</v>
      </c>
      <c r="D6" s="4" t="s">
        <v>37</v>
      </c>
      <c r="E6" s="3" t="s">
        <v>38</v>
      </c>
      <c r="F6" s="2" t="s">
        <v>37</v>
      </c>
      <c r="G6" s="2" t="s">
        <v>38</v>
      </c>
      <c r="H6" s="4" t="s">
        <v>37</v>
      </c>
      <c r="I6" s="3" t="s">
        <v>38</v>
      </c>
      <c r="J6" s="2" t="s">
        <v>37</v>
      </c>
      <c r="K6" s="2" t="s">
        <v>38</v>
      </c>
      <c r="L6" s="4" t="s">
        <v>37</v>
      </c>
      <c r="M6" s="3" t="s">
        <v>38</v>
      </c>
      <c r="N6" s="2" t="s">
        <v>37</v>
      </c>
      <c r="O6" s="2" t="s">
        <v>38</v>
      </c>
      <c r="P6" s="4" t="s">
        <v>37</v>
      </c>
      <c r="Q6" s="3" t="s">
        <v>38</v>
      </c>
      <c r="R6" s="2" t="s">
        <v>37</v>
      </c>
      <c r="S6" s="2" t="s">
        <v>38</v>
      </c>
      <c r="T6" s="4" t="s">
        <v>37</v>
      </c>
      <c r="U6" s="3" t="s">
        <v>38</v>
      </c>
      <c r="V6" s="4" t="s">
        <v>37</v>
      </c>
      <c r="W6" s="3" t="s">
        <v>38</v>
      </c>
      <c r="X6" s="2" t="s">
        <v>37</v>
      </c>
      <c r="Y6" s="2" t="s">
        <v>38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spans="1:67">
      <c r="A7" s="5" t="s">
        <v>0</v>
      </c>
      <c r="B7" s="11">
        <f t="shared" ref="B7:Y7" si="0">SUM(B8:B33)</f>
        <v>2214</v>
      </c>
      <c r="C7" s="11">
        <f t="shared" si="0"/>
        <v>106774</v>
      </c>
      <c r="D7" s="13">
        <f t="shared" si="0"/>
        <v>2251</v>
      </c>
      <c r="E7" s="14">
        <f t="shared" si="0"/>
        <v>109790</v>
      </c>
      <c r="F7" s="11">
        <f t="shared" si="0"/>
        <v>2302</v>
      </c>
      <c r="G7" s="11">
        <f t="shared" si="0"/>
        <v>111877</v>
      </c>
      <c r="H7" s="13">
        <f t="shared" si="0"/>
        <v>2261</v>
      </c>
      <c r="I7" s="14">
        <f t="shared" si="0"/>
        <v>113702</v>
      </c>
      <c r="J7" s="11">
        <f t="shared" si="0"/>
        <v>2383</v>
      </c>
      <c r="K7" s="11">
        <f t="shared" si="0"/>
        <v>115703</v>
      </c>
      <c r="L7" s="13">
        <f t="shared" si="0"/>
        <v>2212</v>
      </c>
      <c r="M7" s="14">
        <f t="shared" si="0"/>
        <v>111782</v>
      </c>
      <c r="N7" s="11">
        <f t="shared" si="0"/>
        <v>2312</v>
      </c>
      <c r="O7" s="11">
        <f t="shared" si="0"/>
        <v>107183</v>
      </c>
      <c r="P7" s="13">
        <f t="shared" si="0"/>
        <v>2373</v>
      </c>
      <c r="Q7" s="14">
        <f t="shared" si="0"/>
        <v>115434</v>
      </c>
      <c r="R7" s="11">
        <f t="shared" si="0"/>
        <v>2222</v>
      </c>
      <c r="S7" s="11">
        <f t="shared" si="0"/>
        <v>113040</v>
      </c>
      <c r="T7" s="13">
        <f t="shared" si="0"/>
        <v>2411</v>
      </c>
      <c r="U7" s="14">
        <f t="shared" si="0"/>
        <v>116210</v>
      </c>
      <c r="V7" s="13">
        <f t="shared" si="0"/>
        <v>2376</v>
      </c>
      <c r="W7" s="14">
        <f t="shared" si="0"/>
        <v>116683</v>
      </c>
      <c r="X7" s="11">
        <f t="shared" si="0"/>
        <v>2406</v>
      </c>
      <c r="Y7" s="11">
        <f t="shared" si="0"/>
        <v>117912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spans="1:67">
      <c r="A8" s="9" t="s">
        <v>13</v>
      </c>
      <c r="B8" s="32">
        <v>12</v>
      </c>
      <c r="C8" s="33">
        <v>123</v>
      </c>
      <c r="D8" s="34">
        <v>15</v>
      </c>
      <c r="E8" s="35">
        <v>230</v>
      </c>
      <c r="F8" s="32">
        <v>15</v>
      </c>
      <c r="G8" s="33">
        <v>236</v>
      </c>
      <c r="H8" s="34">
        <v>14</v>
      </c>
      <c r="I8" s="35">
        <v>240</v>
      </c>
      <c r="J8" s="36">
        <v>13</v>
      </c>
      <c r="K8" s="36">
        <v>243</v>
      </c>
      <c r="L8" s="37">
        <v>14</v>
      </c>
      <c r="M8" s="38">
        <v>285</v>
      </c>
      <c r="N8" s="36">
        <v>14</v>
      </c>
      <c r="O8" s="36">
        <v>283</v>
      </c>
      <c r="P8" s="37">
        <v>13</v>
      </c>
      <c r="Q8" s="38">
        <v>269</v>
      </c>
      <c r="R8" s="36">
        <v>13</v>
      </c>
      <c r="S8" s="36">
        <v>267</v>
      </c>
      <c r="T8" s="37">
        <v>16</v>
      </c>
      <c r="U8" s="38">
        <v>248</v>
      </c>
      <c r="V8" s="37">
        <v>15</v>
      </c>
      <c r="W8" s="38">
        <v>158</v>
      </c>
      <c r="X8" s="36">
        <v>15</v>
      </c>
      <c r="Y8" s="36">
        <v>231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spans="1:67">
      <c r="A9" s="9" t="s">
        <v>14</v>
      </c>
      <c r="B9" s="32">
        <v>17</v>
      </c>
      <c r="C9" s="39">
        <v>5874</v>
      </c>
      <c r="D9" s="34">
        <v>16</v>
      </c>
      <c r="E9" s="40">
        <v>5762</v>
      </c>
      <c r="F9" s="32">
        <v>18</v>
      </c>
      <c r="G9" s="39">
        <v>6507</v>
      </c>
      <c r="H9" s="34">
        <v>15</v>
      </c>
      <c r="I9" s="40">
        <v>6227</v>
      </c>
      <c r="J9" s="36">
        <v>19</v>
      </c>
      <c r="K9" s="41">
        <v>6192</v>
      </c>
      <c r="L9" s="37">
        <v>13</v>
      </c>
      <c r="M9" s="42">
        <v>5862</v>
      </c>
      <c r="N9" s="36">
        <v>19</v>
      </c>
      <c r="O9" s="41">
        <v>6495</v>
      </c>
      <c r="P9" s="37">
        <v>18</v>
      </c>
      <c r="Q9" s="42">
        <v>6267</v>
      </c>
      <c r="R9" s="36">
        <v>13</v>
      </c>
      <c r="S9" s="41">
        <v>5870</v>
      </c>
      <c r="T9" s="37">
        <v>18</v>
      </c>
      <c r="U9" s="42">
        <v>6403</v>
      </c>
      <c r="V9" s="37">
        <v>18</v>
      </c>
      <c r="W9" s="42">
        <v>6307</v>
      </c>
      <c r="X9" s="36">
        <v>15</v>
      </c>
      <c r="Y9" s="41">
        <v>6269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spans="1:67">
      <c r="A10" s="9" t="s">
        <v>15</v>
      </c>
      <c r="B10" s="32">
        <v>6</v>
      </c>
      <c r="C10" s="33">
        <v>17</v>
      </c>
      <c r="D10" s="34">
        <v>6</v>
      </c>
      <c r="E10" s="35">
        <v>17</v>
      </c>
      <c r="F10" s="32">
        <v>5</v>
      </c>
      <c r="G10" s="33">
        <v>15</v>
      </c>
      <c r="H10" s="34">
        <v>4</v>
      </c>
      <c r="I10" s="35">
        <v>11</v>
      </c>
      <c r="J10" s="36">
        <v>3</v>
      </c>
      <c r="K10" s="36">
        <v>9</v>
      </c>
      <c r="L10" s="37">
        <v>4</v>
      </c>
      <c r="M10" s="38">
        <v>9</v>
      </c>
      <c r="N10" s="36">
        <v>3</v>
      </c>
      <c r="O10" s="36">
        <v>7</v>
      </c>
      <c r="P10" s="37">
        <v>4</v>
      </c>
      <c r="Q10" s="38">
        <v>8</v>
      </c>
      <c r="R10" s="36">
        <v>4</v>
      </c>
      <c r="S10" s="36">
        <v>8</v>
      </c>
      <c r="T10" s="37">
        <v>3</v>
      </c>
      <c r="U10" s="38">
        <v>7</v>
      </c>
      <c r="V10" s="37">
        <v>5</v>
      </c>
      <c r="W10" s="38">
        <v>14</v>
      </c>
      <c r="X10" s="36">
        <v>3</v>
      </c>
      <c r="Y10" s="36">
        <v>10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spans="1:67">
      <c r="A11" s="9" t="s">
        <v>16</v>
      </c>
      <c r="B11" s="32">
        <v>12</v>
      </c>
      <c r="C11" s="33">
        <v>60</v>
      </c>
      <c r="D11" s="34">
        <v>17</v>
      </c>
      <c r="E11" s="35">
        <v>60</v>
      </c>
      <c r="F11" s="32">
        <v>12</v>
      </c>
      <c r="G11" s="33">
        <v>45</v>
      </c>
      <c r="H11" s="34">
        <v>12</v>
      </c>
      <c r="I11" s="35">
        <v>47</v>
      </c>
      <c r="J11" s="36">
        <v>10</v>
      </c>
      <c r="K11" s="36">
        <v>44</v>
      </c>
      <c r="L11" s="37">
        <v>12</v>
      </c>
      <c r="M11" s="38">
        <v>48</v>
      </c>
      <c r="N11" s="36">
        <v>12</v>
      </c>
      <c r="O11" s="36">
        <v>44</v>
      </c>
      <c r="P11" s="37">
        <v>10</v>
      </c>
      <c r="Q11" s="38">
        <v>36</v>
      </c>
      <c r="R11" s="36">
        <v>12</v>
      </c>
      <c r="S11" s="36">
        <v>39</v>
      </c>
      <c r="T11" s="37">
        <v>14</v>
      </c>
      <c r="U11" s="38">
        <v>45</v>
      </c>
      <c r="V11" s="37">
        <v>13</v>
      </c>
      <c r="W11" s="38">
        <v>44</v>
      </c>
      <c r="X11" s="36">
        <v>12</v>
      </c>
      <c r="Y11" s="36">
        <v>43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 spans="1:67">
      <c r="A12" s="9" t="s">
        <v>17</v>
      </c>
      <c r="B12" s="32">
        <v>124</v>
      </c>
      <c r="C12" s="39">
        <v>2619</v>
      </c>
      <c r="D12" s="34">
        <v>134</v>
      </c>
      <c r="E12" s="40">
        <v>2658</v>
      </c>
      <c r="F12" s="32">
        <v>136</v>
      </c>
      <c r="G12" s="39">
        <v>2781</v>
      </c>
      <c r="H12" s="34">
        <v>131</v>
      </c>
      <c r="I12" s="40">
        <v>2865</v>
      </c>
      <c r="J12" s="36">
        <v>138</v>
      </c>
      <c r="K12" s="41">
        <v>2884</v>
      </c>
      <c r="L12" s="37">
        <v>127</v>
      </c>
      <c r="M12" s="42">
        <v>2836</v>
      </c>
      <c r="N12" s="36">
        <v>132</v>
      </c>
      <c r="O12" s="41">
        <v>2906</v>
      </c>
      <c r="P12" s="37">
        <v>146</v>
      </c>
      <c r="Q12" s="42">
        <v>3087</v>
      </c>
      <c r="R12" s="36">
        <v>130</v>
      </c>
      <c r="S12" s="41">
        <v>3166</v>
      </c>
      <c r="T12" s="37">
        <v>140</v>
      </c>
      <c r="U12" s="42">
        <v>3176</v>
      </c>
      <c r="V12" s="37">
        <v>137</v>
      </c>
      <c r="W12" s="42">
        <v>3230</v>
      </c>
      <c r="X12" s="36">
        <v>139</v>
      </c>
      <c r="Y12" s="41">
        <v>3379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spans="1:67">
      <c r="A13" s="9" t="s">
        <v>18</v>
      </c>
      <c r="B13" s="32">
        <v>14</v>
      </c>
      <c r="C13" s="33">
        <v>176</v>
      </c>
      <c r="D13" s="34">
        <v>14</v>
      </c>
      <c r="E13" s="35">
        <v>176</v>
      </c>
      <c r="F13" s="32">
        <v>16</v>
      </c>
      <c r="G13" s="33">
        <v>185</v>
      </c>
      <c r="H13" s="34">
        <v>16</v>
      </c>
      <c r="I13" s="35">
        <v>184</v>
      </c>
      <c r="J13" s="36">
        <v>16</v>
      </c>
      <c r="K13" s="36">
        <v>187</v>
      </c>
      <c r="L13" s="37">
        <v>12</v>
      </c>
      <c r="M13" s="38">
        <v>124</v>
      </c>
      <c r="N13" s="36">
        <v>15</v>
      </c>
      <c r="O13" s="36">
        <v>183</v>
      </c>
      <c r="P13" s="37">
        <v>14</v>
      </c>
      <c r="Q13" s="38">
        <v>172</v>
      </c>
      <c r="R13" s="36">
        <v>16</v>
      </c>
      <c r="S13" s="36">
        <v>180</v>
      </c>
      <c r="T13" s="37">
        <v>15</v>
      </c>
      <c r="U13" s="38">
        <v>163</v>
      </c>
      <c r="V13" s="37">
        <v>13</v>
      </c>
      <c r="W13" s="38">
        <v>116</v>
      </c>
      <c r="X13" s="36">
        <v>15</v>
      </c>
      <c r="Y13" s="36">
        <v>171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spans="1:67" ht="31.5">
      <c r="A14" s="12" t="s">
        <v>39</v>
      </c>
      <c r="B14" s="32">
        <v>63</v>
      </c>
      <c r="C14" s="39">
        <v>4384</v>
      </c>
      <c r="D14" s="34">
        <v>67</v>
      </c>
      <c r="E14" s="40">
        <v>5609</v>
      </c>
      <c r="F14" s="32">
        <v>71</v>
      </c>
      <c r="G14" s="39">
        <v>5703</v>
      </c>
      <c r="H14" s="34">
        <v>71</v>
      </c>
      <c r="I14" s="40">
        <v>5799</v>
      </c>
      <c r="J14" s="36">
        <v>72</v>
      </c>
      <c r="K14" s="41">
        <v>5816</v>
      </c>
      <c r="L14" s="37">
        <v>66</v>
      </c>
      <c r="M14" s="42">
        <v>5656</v>
      </c>
      <c r="N14" s="36">
        <v>67</v>
      </c>
      <c r="O14" s="41">
        <v>5811</v>
      </c>
      <c r="P14" s="37">
        <v>73</v>
      </c>
      <c r="Q14" s="42">
        <v>5943</v>
      </c>
      <c r="R14" s="36">
        <v>61</v>
      </c>
      <c r="S14" s="41">
        <v>5755</v>
      </c>
      <c r="T14" s="37">
        <v>72</v>
      </c>
      <c r="U14" s="42">
        <v>5966</v>
      </c>
      <c r="V14" s="37">
        <v>67</v>
      </c>
      <c r="W14" s="42">
        <v>5913</v>
      </c>
      <c r="X14" s="36">
        <v>71</v>
      </c>
      <c r="Y14" s="41">
        <v>6101</v>
      </c>
      <c r="Z14" s="1"/>
      <c r="AA14" s="1"/>
      <c r="AB14" s="1"/>
      <c r="AC14" s="1"/>
      <c r="AD14" s="1"/>
      <c r="AE14" s="1"/>
      <c r="AF14" s="1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spans="1:67">
      <c r="A15" s="9" t="s">
        <v>19</v>
      </c>
      <c r="B15" s="32">
        <v>16</v>
      </c>
      <c r="C15" s="39">
        <v>1266</v>
      </c>
      <c r="D15" s="34">
        <v>15</v>
      </c>
      <c r="E15" s="40">
        <v>1255</v>
      </c>
      <c r="F15" s="32">
        <v>15</v>
      </c>
      <c r="G15" s="39">
        <v>1252</v>
      </c>
      <c r="H15" s="34">
        <v>17</v>
      </c>
      <c r="I15" s="40">
        <v>1251</v>
      </c>
      <c r="J15" s="36">
        <v>17</v>
      </c>
      <c r="K15" s="41">
        <v>1262</v>
      </c>
      <c r="L15" s="37">
        <v>14</v>
      </c>
      <c r="M15" s="42">
        <v>1191</v>
      </c>
      <c r="N15" s="36">
        <v>16</v>
      </c>
      <c r="O15" s="41">
        <v>1247</v>
      </c>
      <c r="P15" s="37">
        <v>16</v>
      </c>
      <c r="Q15" s="42">
        <v>1219</v>
      </c>
      <c r="R15" s="36">
        <v>16</v>
      </c>
      <c r="S15" s="41">
        <v>1237</v>
      </c>
      <c r="T15" s="37">
        <v>15</v>
      </c>
      <c r="U15" s="42">
        <v>1258</v>
      </c>
      <c r="V15" s="37">
        <v>14</v>
      </c>
      <c r="W15" s="42">
        <v>1191</v>
      </c>
      <c r="X15" s="36">
        <v>15</v>
      </c>
      <c r="Y15" s="41">
        <v>1226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spans="1:67">
      <c r="A16" s="9" t="s">
        <v>20</v>
      </c>
      <c r="B16" s="32">
        <v>10</v>
      </c>
      <c r="C16" s="33">
        <v>184</v>
      </c>
      <c r="D16" s="34">
        <v>11</v>
      </c>
      <c r="E16" s="35">
        <v>196</v>
      </c>
      <c r="F16" s="32">
        <v>11</v>
      </c>
      <c r="G16" s="33">
        <v>205</v>
      </c>
      <c r="H16" s="34">
        <v>12</v>
      </c>
      <c r="I16" s="35">
        <v>182</v>
      </c>
      <c r="J16" s="36">
        <v>15</v>
      </c>
      <c r="K16" s="36">
        <v>220</v>
      </c>
      <c r="L16" s="37">
        <v>15</v>
      </c>
      <c r="M16" s="38">
        <v>222</v>
      </c>
      <c r="N16" s="36">
        <v>12</v>
      </c>
      <c r="O16" s="36">
        <v>217</v>
      </c>
      <c r="P16" s="37">
        <v>12</v>
      </c>
      <c r="Q16" s="38">
        <v>179</v>
      </c>
      <c r="R16" s="36">
        <v>12</v>
      </c>
      <c r="S16" s="36">
        <v>193</v>
      </c>
      <c r="T16" s="37">
        <v>14</v>
      </c>
      <c r="U16" s="38">
        <v>224</v>
      </c>
      <c r="V16" s="37">
        <v>14</v>
      </c>
      <c r="W16" s="38">
        <v>221</v>
      </c>
      <c r="X16" s="36">
        <v>14</v>
      </c>
      <c r="Y16" s="36">
        <v>212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spans="1:67">
      <c r="A17" s="9" t="s">
        <v>40</v>
      </c>
      <c r="B17" s="32">
        <v>382</v>
      </c>
      <c r="C17" s="39">
        <v>37700</v>
      </c>
      <c r="D17" s="34">
        <v>407</v>
      </c>
      <c r="E17" s="40">
        <v>40731</v>
      </c>
      <c r="F17" s="32">
        <v>417</v>
      </c>
      <c r="G17" s="39">
        <v>39194</v>
      </c>
      <c r="H17" s="34">
        <v>404</v>
      </c>
      <c r="I17" s="40">
        <v>41943</v>
      </c>
      <c r="J17" s="36">
        <v>443</v>
      </c>
      <c r="K17" s="41">
        <v>43265</v>
      </c>
      <c r="L17" s="37">
        <v>412</v>
      </c>
      <c r="M17" s="42">
        <v>42604</v>
      </c>
      <c r="N17" s="36">
        <v>415</v>
      </c>
      <c r="O17" s="41">
        <v>42451</v>
      </c>
      <c r="P17" s="37">
        <v>418</v>
      </c>
      <c r="Q17" s="42">
        <v>42731</v>
      </c>
      <c r="R17" s="36">
        <v>389</v>
      </c>
      <c r="S17" s="41">
        <v>43442</v>
      </c>
      <c r="T17" s="37">
        <v>422</v>
      </c>
      <c r="U17" s="42">
        <v>43458</v>
      </c>
      <c r="V17" s="37">
        <v>424</v>
      </c>
      <c r="W17" s="42">
        <v>44348</v>
      </c>
      <c r="X17" s="36">
        <v>435</v>
      </c>
      <c r="Y17" s="41">
        <v>43358</v>
      </c>
      <c r="Z17" s="1"/>
      <c r="AA17" s="1"/>
      <c r="AB17" s="1"/>
      <c r="AC17" s="1"/>
      <c r="AD17" s="1"/>
      <c r="AE17" s="1"/>
      <c r="AF17" s="1"/>
      <c r="AG17" s="16"/>
      <c r="AH17" s="16"/>
      <c r="AI17" s="16"/>
      <c r="AJ17" s="17"/>
      <c r="AK17" s="18"/>
      <c r="AL17" s="18"/>
      <c r="AM17" s="18"/>
      <c r="AN17" s="18"/>
      <c r="AO17" s="18"/>
      <c r="AP17" s="18"/>
      <c r="AQ17" s="18"/>
      <c r="AR17" s="18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spans="1:67">
      <c r="A18" s="9" t="s">
        <v>21</v>
      </c>
      <c r="B18" s="32">
        <v>48</v>
      </c>
      <c r="C18" s="39">
        <v>1656</v>
      </c>
      <c r="D18" s="34">
        <v>47</v>
      </c>
      <c r="E18" s="40">
        <v>1619</v>
      </c>
      <c r="F18" s="32">
        <v>46</v>
      </c>
      <c r="G18" s="39">
        <v>1645</v>
      </c>
      <c r="H18" s="34">
        <v>48</v>
      </c>
      <c r="I18" s="40">
        <v>1660</v>
      </c>
      <c r="J18" s="36">
        <v>47</v>
      </c>
      <c r="K18" s="41">
        <v>1633</v>
      </c>
      <c r="L18" s="37">
        <v>50</v>
      </c>
      <c r="M18" s="42">
        <v>1633</v>
      </c>
      <c r="N18" s="36">
        <v>48</v>
      </c>
      <c r="O18" s="41">
        <v>1644</v>
      </c>
      <c r="P18" s="37">
        <v>45</v>
      </c>
      <c r="Q18" s="42">
        <v>1619</v>
      </c>
      <c r="R18" s="36">
        <v>45</v>
      </c>
      <c r="S18" s="41">
        <v>1412</v>
      </c>
      <c r="T18" s="37">
        <v>43</v>
      </c>
      <c r="U18" s="42">
        <v>1621</v>
      </c>
      <c r="V18" s="37">
        <v>43</v>
      </c>
      <c r="W18" s="42">
        <v>1621</v>
      </c>
      <c r="X18" s="36">
        <v>48</v>
      </c>
      <c r="Y18" s="41">
        <v>1618</v>
      </c>
      <c r="Z18" s="1"/>
      <c r="AA18" s="1"/>
      <c r="AB18" s="1"/>
      <c r="AC18" s="1"/>
      <c r="AD18" s="1"/>
      <c r="AE18" s="1"/>
      <c r="AF18" s="1"/>
      <c r="AG18" s="16"/>
      <c r="AH18" s="16"/>
      <c r="AI18" s="16"/>
      <c r="AJ18" s="17"/>
      <c r="AK18" s="18"/>
      <c r="AL18" s="18"/>
      <c r="AM18" s="18"/>
      <c r="AN18" s="18"/>
      <c r="AO18" s="18"/>
      <c r="AP18" s="18"/>
      <c r="AQ18" s="18"/>
      <c r="AR18" s="18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spans="1:67">
      <c r="A19" s="9" t="s">
        <v>22</v>
      </c>
      <c r="B19" s="32">
        <v>378</v>
      </c>
      <c r="C19" s="39">
        <v>20255</v>
      </c>
      <c r="D19" s="34">
        <v>371</v>
      </c>
      <c r="E19" s="40">
        <v>19945</v>
      </c>
      <c r="F19" s="32">
        <v>380</v>
      </c>
      <c r="G19" s="39">
        <v>20752</v>
      </c>
      <c r="H19" s="34">
        <v>373</v>
      </c>
      <c r="I19" s="40">
        <v>19908</v>
      </c>
      <c r="J19" s="36">
        <v>370</v>
      </c>
      <c r="K19" s="41">
        <v>20150</v>
      </c>
      <c r="L19" s="37">
        <v>347</v>
      </c>
      <c r="M19" s="42">
        <v>18591</v>
      </c>
      <c r="N19" s="36">
        <v>366</v>
      </c>
      <c r="O19" s="41">
        <v>19179</v>
      </c>
      <c r="P19" s="37">
        <v>376</v>
      </c>
      <c r="Q19" s="42">
        <v>19781</v>
      </c>
      <c r="R19" s="36">
        <v>356</v>
      </c>
      <c r="S19" s="41">
        <v>18850</v>
      </c>
      <c r="T19" s="37">
        <v>379</v>
      </c>
      <c r="U19" s="42">
        <v>19570</v>
      </c>
      <c r="V19" s="37">
        <v>368</v>
      </c>
      <c r="W19" s="42">
        <v>19183</v>
      </c>
      <c r="X19" s="36">
        <v>368</v>
      </c>
      <c r="Y19" s="41">
        <v>19324</v>
      </c>
      <c r="Z19" s="1"/>
      <c r="AA19" s="1"/>
      <c r="AB19" s="1"/>
      <c r="AC19" s="1"/>
      <c r="AD19" s="1"/>
      <c r="AE19" s="1"/>
      <c r="AF19" s="1"/>
      <c r="AG19" s="16"/>
      <c r="AH19" s="16"/>
      <c r="AI19" s="16"/>
      <c r="AJ19" s="17"/>
      <c r="AK19" s="18"/>
      <c r="AL19" s="18"/>
      <c r="AM19" s="18"/>
      <c r="AN19" s="18"/>
      <c r="AO19" s="18"/>
      <c r="AP19" s="18"/>
      <c r="AQ19" s="18"/>
      <c r="AR19" s="18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spans="1:67">
      <c r="A20" s="9" t="s">
        <v>36</v>
      </c>
      <c r="B20" s="32">
        <v>9</v>
      </c>
      <c r="C20" s="33">
        <v>111</v>
      </c>
      <c r="D20" s="34">
        <v>7</v>
      </c>
      <c r="E20" s="35">
        <v>54</v>
      </c>
      <c r="F20" s="32">
        <v>10</v>
      </c>
      <c r="G20" s="33">
        <v>123</v>
      </c>
      <c r="H20" s="34">
        <v>7</v>
      </c>
      <c r="I20" s="35">
        <v>114</v>
      </c>
      <c r="J20" s="36">
        <v>8</v>
      </c>
      <c r="K20" s="36">
        <v>113</v>
      </c>
      <c r="L20" s="37">
        <v>7</v>
      </c>
      <c r="M20" s="38">
        <v>115</v>
      </c>
      <c r="N20" s="36">
        <v>9</v>
      </c>
      <c r="O20" s="36">
        <v>120</v>
      </c>
      <c r="P20" s="37">
        <v>9</v>
      </c>
      <c r="Q20" s="38">
        <v>123</v>
      </c>
      <c r="R20" s="36">
        <v>9</v>
      </c>
      <c r="S20" s="36">
        <v>123</v>
      </c>
      <c r="T20" s="37">
        <v>10</v>
      </c>
      <c r="U20" s="38">
        <v>128</v>
      </c>
      <c r="V20" s="37">
        <v>10</v>
      </c>
      <c r="W20" s="38">
        <v>125</v>
      </c>
      <c r="X20" s="36">
        <v>9</v>
      </c>
      <c r="Y20" s="36">
        <v>127</v>
      </c>
      <c r="Z20" s="1"/>
      <c r="AA20" s="1"/>
      <c r="AB20" s="1"/>
      <c r="AC20" s="1"/>
      <c r="AD20" s="1"/>
      <c r="AE20" s="1"/>
      <c r="AF20" s="1"/>
      <c r="AG20" s="16"/>
      <c r="AH20" s="16"/>
      <c r="AI20" s="16"/>
      <c r="AJ20" s="17"/>
      <c r="AK20" s="18"/>
      <c r="AL20" s="18"/>
      <c r="AM20" s="18"/>
      <c r="AN20" s="18"/>
      <c r="AO20" s="18"/>
      <c r="AP20" s="18"/>
      <c r="AQ20" s="18"/>
      <c r="AR20" s="18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spans="1:67" ht="15.75" customHeight="1">
      <c r="A21" s="9" t="s">
        <v>23</v>
      </c>
      <c r="B21" s="32">
        <v>4</v>
      </c>
      <c r="C21" s="33">
        <v>678</v>
      </c>
      <c r="D21" s="34">
        <v>4</v>
      </c>
      <c r="E21" s="35">
        <v>49</v>
      </c>
      <c r="F21" s="32">
        <v>4</v>
      </c>
      <c r="G21" s="33">
        <v>705</v>
      </c>
      <c r="H21" s="34">
        <v>4</v>
      </c>
      <c r="I21" s="35">
        <v>678</v>
      </c>
      <c r="J21" s="36">
        <v>4</v>
      </c>
      <c r="K21" s="36">
        <v>669</v>
      </c>
      <c r="L21" s="37">
        <v>5</v>
      </c>
      <c r="M21" s="38">
        <v>672</v>
      </c>
      <c r="N21" s="36">
        <v>4</v>
      </c>
      <c r="O21" s="36">
        <v>691</v>
      </c>
      <c r="P21" s="37">
        <v>5</v>
      </c>
      <c r="Q21" s="38">
        <v>723</v>
      </c>
      <c r="R21" s="36">
        <v>3</v>
      </c>
      <c r="S21" s="36">
        <v>654</v>
      </c>
      <c r="T21" s="37">
        <v>4</v>
      </c>
      <c r="U21" s="38">
        <v>729</v>
      </c>
      <c r="V21" s="37">
        <v>3</v>
      </c>
      <c r="W21" s="38">
        <v>723</v>
      </c>
      <c r="X21" s="36">
        <v>3</v>
      </c>
      <c r="Y21" s="36">
        <v>723</v>
      </c>
      <c r="Z21" s="1"/>
      <c r="AA21" s="1"/>
      <c r="AB21" s="1"/>
      <c r="AC21" s="1"/>
      <c r="AD21" s="1"/>
      <c r="AE21" s="1"/>
      <c r="AF21" s="1"/>
      <c r="AG21" s="16"/>
      <c r="AH21" s="16"/>
      <c r="AI21" s="16"/>
      <c r="AJ21" s="17"/>
      <c r="AK21" s="18"/>
      <c r="AL21" s="18"/>
      <c r="AM21" s="18"/>
      <c r="AN21" s="18"/>
      <c r="AO21" s="18"/>
      <c r="AP21" s="18"/>
      <c r="AQ21" s="18"/>
      <c r="AR21" s="18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 spans="1:67" ht="15.75" customHeight="1">
      <c r="A22" s="9" t="s">
        <v>24</v>
      </c>
      <c r="B22" s="32">
        <v>1</v>
      </c>
      <c r="C22" s="33">
        <v>7</v>
      </c>
      <c r="D22" s="34">
        <v>1</v>
      </c>
      <c r="E22" s="35">
        <v>7</v>
      </c>
      <c r="F22" s="32">
        <v>0</v>
      </c>
      <c r="G22" s="32">
        <v>0</v>
      </c>
      <c r="H22" s="34">
        <v>1</v>
      </c>
      <c r="I22" s="35">
        <v>7</v>
      </c>
      <c r="J22" s="36">
        <v>1</v>
      </c>
      <c r="K22" s="36">
        <v>6</v>
      </c>
      <c r="L22" s="37">
        <v>0</v>
      </c>
      <c r="M22" s="37">
        <v>0</v>
      </c>
      <c r="N22" s="37">
        <v>1</v>
      </c>
      <c r="O22" s="37">
        <v>6</v>
      </c>
      <c r="P22" s="37">
        <v>0</v>
      </c>
      <c r="Q22" s="37">
        <v>0</v>
      </c>
      <c r="R22" s="37">
        <v>1</v>
      </c>
      <c r="S22" s="37">
        <v>6</v>
      </c>
      <c r="T22" s="37">
        <v>0</v>
      </c>
      <c r="U22" s="37">
        <v>0</v>
      </c>
      <c r="V22" s="37">
        <v>1</v>
      </c>
      <c r="W22" s="38">
        <v>5</v>
      </c>
      <c r="X22" s="36">
        <v>1</v>
      </c>
      <c r="Y22" s="36">
        <v>5</v>
      </c>
      <c r="Z22" s="1"/>
      <c r="AA22" s="1"/>
      <c r="AB22" s="1"/>
      <c r="AC22" s="1"/>
      <c r="AD22" s="1"/>
      <c r="AE22" s="1"/>
      <c r="AF22" s="1"/>
      <c r="AG22" s="16"/>
      <c r="AH22" s="16"/>
      <c r="AI22" s="16"/>
      <c r="AJ22" s="17"/>
      <c r="AK22" s="18"/>
      <c r="AL22" s="18"/>
      <c r="AM22" s="18"/>
      <c r="AN22" s="18"/>
      <c r="AO22" s="18"/>
      <c r="AP22" s="18"/>
      <c r="AQ22" s="18"/>
      <c r="AR22" s="18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</row>
    <row r="23" spans="1:67" ht="15.75" customHeight="1">
      <c r="A23" s="9" t="s">
        <v>25</v>
      </c>
      <c r="B23" s="32">
        <v>484</v>
      </c>
      <c r="C23" s="39">
        <v>14221</v>
      </c>
      <c r="D23" s="34">
        <v>491</v>
      </c>
      <c r="E23" s="40">
        <v>13887</v>
      </c>
      <c r="F23" s="32">
        <v>502</v>
      </c>
      <c r="G23" s="33">
        <v>14680</v>
      </c>
      <c r="H23" s="34">
        <v>498</v>
      </c>
      <c r="I23" s="40">
        <v>14608</v>
      </c>
      <c r="J23" s="36">
        <v>531</v>
      </c>
      <c r="K23" s="41">
        <v>14931</v>
      </c>
      <c r="L23" s="37">
        <v>491</v>
      </c>
      <c r="M23" s="38">
        <v>14326</v>
      </c>
      <c r="N23" s="36">
        <v>518</v>
      </c>
      <c r="O23" s="41">
        <v>8151</v>
      </c>
      <c r="P23" s="37">
        <v>540</v>
      </c>
      <c r="Q23" s="38">
        <v>15222</v>
      </c>
      <c r="R23" s="36">
        <v>489</v>
      </c>
      <c r="S23" s="41">
        <v>14016</v>
      </c>
      <c r="T23" s="37">
        <v>559</v>
      </c>
      <c r="U23" s="38">
        <v>15060</v>
      </c>
      <c r="V23" s="37">
        <v>556</v>
      </c>
      <c r="W23" s="42">
        <v>15216</v>
      </c>
      <c r="X23" s="36">
        <v>585</v>
      </c>
      <c r="Y23" s="41">
        <v>16918</v>
      </c>
      <c r="Z23" s="1"/>
      <c r="AA23" s="1"/>
      <c r="AB23" s="1"/>
      <c r="AC23" s="1"/>
      <c r="AD23" s="1"/>
      <c r="AE23" s="1"/>
      <c r="AF23" s="1"/>
      <c r="AG23" s="16"/>
      <c r="AH23" s="16"/>
      <c r="AI23" s="16"/>
      <c r="AJ23" s="17"/>
      <c r="AK23" s="19"/>
      <c r="AL23" s="19"/>
      <c r="AM23" s="19"/>
      <c r="AN23" s="19"/>
      <c r="AO23" s="19"/>
      <c r="AP23" s="19"/>
      <c r="AQ23" s="19"/>
      <c r="AR23" s="19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</row>
    <row r="24" spans="1:67" ht="15.75" customHeight="1">
      <c r="A24" s="6" t="s">
        <v>26</v>
      </c>
      <c r="B24" s="32">
        <v>1</v>
      </c>
      <c r="C24" s="33">
        <v>2</v>
      </c>
      <c r="D24" s="34">
        <v>1</v>
      </c>
      <c r="E24" s="35">
        <v>2</v>
      </c>
      <c r="F24" s="32">
        <v>1</v>
      </c>
      <c r="G24" s="39">
        <v>2</v>
      </c>
      <c r="H24" s="34">
        <v>1</v>
      </c>
      <c r="I24" s="35">
        <v>2</v>
      </c>
      <c r="J24" s="36">
        <v>1</v>
      </c>
      <c r="K24" s="36">
        <v>1</v>
      </c>
      <c r="L24" s="37">
        <v>1</v>
      </c>
      <c r="M24" s="42">
        <v>1</v>
      </c>
      <c r="N24" s="36">
        <v>1</v>
      </c>
      <c r="O24" s="36">
        <v>1</v>
      </c>
      <c r="P24" s="37">
        <v>1</v>
      </c>
      <c r="Q24" s="42">
        <v>1</v>
      </c>
      <c r="R24" s="36">
        <v>1</v>
      </c>
      <c r="S24" s="36">
        <v>1</v>
      </c>
      <c r="T24" s="37">
        <v>0</v>
      </c>
      <c r="U24" s="37">
        <v>0</v>
      </c>
      <c r="V24" s="37">
        <v>0</v>
      </c>
      <c r="W24" s="37">
        <v>0</v>
      </c>
      <c r="X24" s="36">
        <v>1</v>
      </c>
      <c r="Y24" s="36">
        <v>1</v>
      </c>
      <c r="Z24" s="1"/>
      <c r="AA24" s="1"/>
      <c r="AB24" s="1"/>
      <c r="AC24" s="1"/>
      <c r="AD24" s="1"/>
      <c r="AE24" s="1"/>
      <c r="AF24" s="1"/>
      <c r="AG24" s="16"/>
      <c r="AH24" s="16"/>
      <c r="AI24" s="16"/>
      <c r="AJ24" s="17"/>
      <c r="AK24" s="18"/>
      <c r="AL24" s="18"/>
      <c r="AM24" s="18"/>
      <c r="AN24" s="18"/>
      <c r="AO24" s="18"/>
      <c r="AP24" s="18"/>
      <c r="AQ24" s="18"/>
      <c r="AR24" s="18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8" t="s">
        <v>41</v>
      </c>
      <c r="BE24" s="8" t="s">
        <v>2</v>
      </c>
      <c r="BF24" s="8" t="s">
        <v>3</v>
      </c>
      <c r="BG24" s="8" t="s">
        <v>4</v>
      </c>
      <c r="BH24" s="8" t="s">
        <v>5</v>
      </c>
      <c r="BI24" s="8" t="s">
        <v>6</v>
      </c>
      <c r="BJ24" s="8" t="s">
        <v>7</v>
      </c>
      <c r="BK24" s="8" t="s">
        <v>8</v>
      </c>
      <c r="BL24" s="8" t="s">
        <v>9</v>
      </c>
      <c r="BM24" s="8" t="s">
        <v>10</v>
      </c>
      <c r="BN24" s="8" t="s">
        <v>11</v>
      </c>
      <c r="BO24" s="8" t="s">
        <v>12</v>
      </c>
    </row>
    <row r="25" spans="1:67" ht="15.75" customHeight="1">
      <c r="A25" s="9" t="s">
        <v>27</v>
      </c>
      <c r="B25" s="32">
        <v>14</v>
      </c>
      <c r="C25" s="33">
        <v>125</v>
      </c>
      <c r="D25" s="34">
        <v>15</v>
      </c>
      <c r="E25" s="35">
        <v>135</v>
      </c>
      <c r="F25" s="32">
        <v>15</v>
      </c>
      <c r="G25" s="33">
        <v>125</v>
      </c>
      <c r="H25" s="34">
        <v>15</v>
      </c>
      <c r="I25" s="35">
        <v>129</v>
      </c>
      <c r="J25" s="36">
        <v>14</v>
      </c>
      <c r="K25" s="36">
        <v>121</v>
      </c>
      <c r="L25" s="37">
        <v>14</v>
      </c>
      <c r="M25" s="38">
        <v>124</v>
      </c>
      <c r="N25" s="36">
        <v>14</v>
      </c>
      <c r="O25" s="36">
        <v>125</v>
      </c>
      <c r="P25" s="37">
        <v>15</v>
      </c>
      <c r="Q25" s="38">
        <v>136</v>
      </c>
      <c r="R25" s="36">
        <v>13</v>
      </c>
      <c r="S25" s="36">
        <v>126</v>
      </c>
      <c r="T25" s="37">
        <v>15</v>
      </c>
      <c r="U25" s="42">
        <v>128</v>
      </c>
      <c r="V25" s="37">
        <v>14</v>
      </c>
      <c r="W25" s="38">
        <v>114</v>
      </c>
      <c r="X25" s="36">
        <v>14</v>
      </c>
      <c r="Y25" s="36">
        <v>135</v>
      </c>
      <c r="Z25" s="1"/>
      <c r="AA25" s="1"/>
      <c r="AB25" s="1"/>
      <c r="AC25" s="1"/>
      <c r="AD25" s="1"/>
      <c r="AE25" s="1"/>
      <c r="AF25" s="1"/>
      <c r="AG25" s="16"/>
      <c r="AH25" s="16"/>
      <c r="AI25" s="16"/>
      <c r="AJ25" s="17"/>
      <c r="AK25" s="18"/>
      <c r="AL25" s="18"/>
      <c r="AM25" s="18"/>
      <c r="AN25" s="18"/>
      <c r="AO25" s="18"/>
      <c r="AP25" s="18"/>
      <c r="AQ25" s="18"/>
      <c r="AR25" s="18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1">
        <v>106774</v>
      </c>
      <c r="BE25" s="11">
        <v>109790</v>
      </c>
      <c r="BF25" s="11">
        <v>111877</v>
      </c>
      <c r="BG25" s="11">
        <v>113702</v>
      </c>
      <c r="BH25" s="11">
        <v>115703</v>
      </c>
      <c r="BI25" s="11">
        <v>111782</v>
      </c>
      <c r="BJ25" s="11">
        <v>107183</v>
      </c>
      <c r="BK25" s="11">
        <v>115434</v>
      </c>
      <c r="BL25" s="11">
        <v>113040</v>
      </c>
      <c r="BM25" s="11">
        <v>116210</v>
      </c>
      <c r="BN25" s="11">
        <v>116683</v>
      </c>
      <c r="BO25" s="11">
        <v>117912</v>
      </c>
    </row>
    <row r="26" spans="1:67" ht="15.75" customHeight="1">
      <c r="A26" s="9" t="s">
        <v>28</v>
      </c>
      <c r="B26" s="32">
        <v>33</v>
      </c>
      <c r="C26" s="33">
        <v>204</v>
      </c>
      <c r="D26" s="34">
        <v>30</v>
      </c>
      <c r="E26" s="35">
        <v>178</v>
      </c>
      <c r="F26" s="32">
        <v>26</v>
      </c>
      <c r="G26" s="33">
        <v>184</v>
      </c>
      <c r="H26" s="34">
        <v>33</v>
      </c>
      <c r="I26" s="35">
        <v>185</v>
      </c>
      <c r="J26" s="36">
        <v>32</v>
      </c>
      <c r="K26" s="36">
        <v>182</v>
      </c>
      <c r="L26" s="37">
        <v>30</v>
      </c>
      <c r="M26" s="38">
        <v>172</v>
      </c>
      <c r="N26" s="36">
        <v>33</v>
      </c>
      <c r="O26" s="36">
        <v>187</v>
      </c>
      <c r="P26" s="37">
        <v>34</v>
      </c>
      <c r="Q26" s="38">
        <v>180</v>
      </c>
      <c r="R26" s="36">
        <v>32</v>
      </c>
      <c r="S26" s="36">
        <v>181</v>
      </c>
      <c r="T26" s="37">
        <v>32</v>
      </c>
      <c r="U26" s="38">
        <v>154</v>
      </c>
      <c r="V26" s="37">
        <v>31</v>
      </c>
      <c r="W26" s="38">
        <v>176</v>
      </c>
      <c r="X26" s="36">
        <v>34</v>
      </c>
      <c r="Y26" s="36">
        <v>182</v>
      </c>
      <c r="Z26" s="1"/>
      <c r="AA26" s="1"/>
      <c r="AB26" s="1"/>
      <c r="AC26" s="1"/>
      <c r="AD26" s="1"/>
      <c r="AE26" s="1"/>
      <c r="AF26" s="1"/>
      <c r="AG26" s="16"/>
      <c r="AH26" s="16"/>
      <c r="AI26" s="16"/>
      <c r="AJ26" s="17"/>
      <c r="AK26" s="18"/>
      <c r="AL26" s="18"/>
      <c r="AM26" s="18"/>
      <c r="AN26" s="18"/>
      <c r="AO26" s="18"/>
      <c r="AP26" s="18"/>
      <c r="AQ26" s="18"/>
      <c r="AR26" s="18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</row>
    <row r="27" spans="1:67" ht="15.75" customHeight="1">
      <c r="A27" s="9" t="s">
        <v>29</v>
      </c>
      <c r="B27" s="32">
        <v>2</v>
      </c>
      <c r="C27" s="33">
        <v>93</v>
      </c>
      <c r="D27" s="34">
        <v>2</v>
      </c>
      <c r="E27" s="35">
        <v>92</v>
      </c>
      <c r="F27" s="32">
        <v>2</v>
      </c>
      <c r="G27" s="33">
        <v>91</v>
      </c>
      <c r="H27" s="34">
        <v>2</v>
      </c>
      <c r="I27" s="35">
        <v>93</v>
      </c>
      <c r="J27" s="36">
        <v>2</v>
      </c>
      <c r="K27" s="36">
        <v>91</v>
      </c>
      <c r="L27" s="37">
        <v>2</v>
      </c>
      <c r="M27" s="38">
        <v>91</v>
      </c>
      <c r="N27" s="36">
        <v>2</v>
      </c>
      <c r="O27" s="36">
        <v>95</v>
      </c>
      <c r="P27" s="37">
        <v>2</v>
      </c>
      <c r="Q27" s="38">
        <v>91</v>
      </c>
      <c r="R27" s="36">
        <v>2</v>
      </c>
      <c r="S27" s="36">
        <v>92</v>
      </c>
      <c r="T27" s="37">
        <v>2</v>
      </c>
      <c r="U27" s="38">
        <v>94</v>
      </c>
      <c r="V27" s="37">
        <v>2</v>
      </c>
      <c r="W27" s="38">
        <v>92</v>
      </c>
      <c r="X27" s="36">
        <v>2</v>
      </c>
      <c r="Y27" s="36">
        <v>92</v>
      </c>
      <c r="Z27" s="1"/>
      <c r="AA27" s="1"/>
      <c r="AB27" s="1"/>
      <c r="AC27" s="1"/>
      <c r="AD27" s="1"/>
      <c r="AE27" s="1"/>
      <c r="AF27" s="1"/>
      <c r="AG27" s="16"/>
      <c r="AH27" s="16"/>
      <c r="AI27" s="16"/>
      <c r="AJ27" s="17"/>
      <c r="AK27" s="18"/>
      <c r="AL27" s="18"/>
      <c r="AM27" s="18"/>
      <c r="AN27" s="18"/>
      <c r="AO27" s="18"/>
      <c r="AP27" s="18"/>
      <c r="AQ27" s="18"/>
      <c r="AR27" s="18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spans="1:67" ht="15.75" customHeight="1">
      <c r="A28" s="9" t="s">
        <v>30</v>
      </c>
      <c r="B28" s="32">
        <v>67</v>
      </c>
      <c r="C28" s="39">
        <v>3036</v>
      </c>
      <c r="D28" s="34">
        <v>70</v>
      </c>
      <c r="E28" s="40">
        <v>3157</v>
      </c>
      <c r="F28" s="32">
        <v>72</v>
      </c>
      <c r="G28" s="33">
        <v>3186</v>
      </c>
      <c r="H28" s="34">
        <v>70</v>
      </c>
      <c r="I28" s="40">
        <v>3320</v>
      </c>
      <c r="J28" s="36">
        <v>73</v>
      </c>
      <c r="K28" s="41">
        <v>3314</v>
      </c>
      <c r="L28" s="37">
        <v>73</v>
      </c>
      <c r="M28" s="38">
        <v>3268</v>
      </c>
      <c r="N28" s="36">
        <v>69</v>
      </c>
      <c r="O28" s="41">
        <v>3069</v>
      </c>
      <c r="P28" s="37">
        <v>72</v>
      </c>
      <c r="Q28" s="38">
        <v>3176</v>
      </c>
      <c r="R28" s="36">
        <v>75</v>
      </c>
      <c r="S28" s="41">
        <v>3164</v>
      </c>
      <c r="T28" s="37">
        <v>79</v>
      </c>
      <c r="U28" s="38">
        <v>3317</v>
      </c>
      <c r="V28" s="37">
        <v>80</v>
      </c>
      <c r="W28" s="38">
        <v>3303</v>
      </c>
      <c r="X28" s="36">
        <v>74</v>
      </c>
      <c r="Y28" s="41">
        <v>3305</v>
      </c>
      <c r="Z28" s="1"/>
      <c r="AA28" s="1"/>
      <c r="AB28" s="1"/>
      <c r="AC28" s="1"/>
      <c r="AD28" s="1"/>
      <c r="AE28" s="1"/>
      <c r="AF28" s="1"/>
      <c r="AG28" s="16"/>
      <c r="AH28" s="16"/>
      <c r="AI28" s="16"/>
      <c r="AJ28" s="17"/>
      <c r="AK28" s="18"/>
      <c r="AL28" s="18"/>
      <c r="AM28" s="18"/>
      <c r="AN28" s="18"/>
      <c r="AO28" s="18"/>
      <c r="AP28" s="18"/>
      <c r="AQ28" s="18"/>
      <c r="AR28" s="18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spans="1:67" ht="15.75" customHeight="1">
      <c r="A29" s="9" t="s">
        <v>31</v>
      </c>
      <c r="B29" s="32">
        <v>46</v>
      </c>
      <c r="C29" s="39">
        <v>4919</v>
      </c>
      <c r="D29" s="34">
        <v>52</v>
      </c>
      <c r="E29" s="40">
        <v>5024</v>
      </c>
      <c r="F29" s="32">
        <v>58</v>
      </c>
      <c r="G29" s="39">
        <v>5061</v>
      </c>
      <c r="H29" s="34">
        <v>50</v>
      </c>
      <c r="I29" s="40">
        <v>5113</v>
      </c>
      <c r="J29" s="36">
        <v>58</v>
      </c>
      <c r="K29" s="41">
        <v>5216</v>
      </c>
      <c r="L29" s="37">
        <v>52</v>
      </c>
      <c r="M29" s="42">
        <v>5127</v>
      </c>
      <c r="N29" s="36">
        <v>52</v>
      </c>
      <c r="O29" s="41">
        <v>5128</v>
      </c>
      <c r="P29" s="37">
        <v>54</v>
      </c>
      <c r="Q29" s="42">
        <v>5221</v>
      </c>
      <c r="R29" s="36">
        <v>56</v>
      </c>
      <c r="S29" s="41">
        <v>5197</v>
      </c>
      <c r="T29" s="37">
        <v>60</v>
      </c>
      <c r="U29" s="38">
        <v>5350</v>
      </c>
      <c r="V29" s="37">
        <v>59</v>
      </c>
      <c r="W29" s="42">
        <v>5449</v>
      </c>
      <c r="X29" s="36">
        <v>59</v>
      </c>
      <c r="Y29" s="41">
        <v>5460</v>
      </c>
      <c r="Z29" s="1"/>
      <c r="AA29" s="1"/>
      <c r="AB29" s="1"/>
      <c r="AC29" s="1"/>
      <c r="AD29" s="1"/>
      <c r="AE29" s="1"/>
      <c r="AF29" s="1"/>
      <c r="AG29" s="16"/>
      <c r="AH29" s="16"/>
      <c r="AI29" s="16"/>
      <c r="AJ29" s="17"/>
      <c r="AK29" s="18"/>
      <c r="AL29" s="18"/>
      <c r="AM29" s="18"/>
      <c r="AN29" s="18"/>
      <c r="AO29" s="18"/>
      <c r="AP29" s="18"/>
      <c r="AQ29" s="18"/>
      <c r="AR29" s="18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spans="1:67" ht="15.75" customHeight="1">
      <c r="A30" s="9" t="s">
        <v>32</v>
      </c>
      <c r="B30" s="32">
        <v>274</v>
      </c>
      <c r="C30" s="39">
        <v>3335</v>
      </c>
      <c r="D30" s="34">
        <v>265</v>
      </c>
      <c r="E30" s="40">
        <v>3181</v>
      </c>
      <c r="F30" s="32">
        <v>267</v>
      </c>
      <c r="G30" s="39">
        <v>3257</v>
      </c>
      <c r="H30" s="34">
        <v>267</v>
      </c>
      <c r="I30" s="40">
        <v>3290</v>
      </c>
      <c r="J30" s="36">
        <v>292</v>
      </c>
      <c r="K30" s="41">
        <v>3328</v>
      </c>
      <c r="L30" s="37">
        <v>259</v>
      </c>
      <c r="M30" s="42">
        <v>3042</v>
      </c>
      <c r="N30" s="36">
        <v>283</v>
      </c>
      <c r="O30" s="41">
        <v>3214</v>
      </c>
      <c r="P30" s="37">
        <v>286</v>
      </c>
      <c r="Q30" s="42">
        <v>3285</v>
      </c>
      <c r="R30" s="36">
        <v>273</v>
      </c>
      <c r="S30" s="41">
        <v>3186</v>
      </c>
      <c r="T30" s="37">
        <v>286</v>
      </c>
      <c r="U30" s="42">
        <v>3218</v>
      </c>
      <c r="V30" s="37">
        <v>280</v>
      </c>
      <c r="W30" s="42">
        <v>3256</v>
      </c>
      <c r="X30" s="36">
        <v>275</v>
      </c>
      <c r="Y30" s="41">
        <v>3249</v>
      </c>
      <c r="Z30" s="1"/>
      <c r="AA30" s="1"/>
      <c r="AB30" s="1"/>
      <c r="AC30" s="1"/>
      <c r="AD30" s="1"/>
      <c r="AE30" s="1"/>
      <c r="AF30" s="1"/>
      <c r="AG30" s="16"/>
      <c r="AH30" s="16"/>
      <c r="AI30" s="16"/>
      <c r="AJ30" s="17"/>
      <c r="AK30" s="18"/>
      <c r="AL30" s="18"/>
      <c r="AM30" s="18"/>
      <c r="AN30" s="18"/>
      <c r="AO30" s="18"/>
      <c r="AP30" s="18"/>
      <c r="AQ30" s="18"/>
      <c r="AR30" s="18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spans="1:67" ht="15.75" customHeight="1">
      <c r="A31" s="9" t="s">
        <v>33</v>
      </c>
      <c r="B31" s="32">
        <v>16</v>
      </c>
      <c r="C31" s="39">
        <v>1492</v>
      </c>
      <c r="D31" s="34">
        <v>18</v>
      </c>
      <c r="E31" s="40">
        <v>1474</v>
      </c>
      <c r="F31" s="32">
        <v>21</v>
      </c>
      <c r="G31" s="39">
        <v>1523</v>
      </c>
      <c r="H31" s="34">
        <v>18</v>
      </c>
      <c r="I31" s="40">
        <v>1483</v>
      </c>
      <c r="J31" s="36">
        <v>21</v>
      </c>
      <c r="K31" s="41">
        <v>1533</v>
      </c>
      <c r="L31" s="37">
        <v>18</v>
      </c>
      <c r="M31" s="42">
        <v>1483</v>
      </c>
      <c r="N31" s="36">
        <v>20</v>
      </c>
      <c r="O31" s="41">
        <v>1595</v>
      </c>
      <c r="P31" s="37">
        <v>21</v>
      </c>
      <c r="Q31" s="42">
        <v>1590</v>
      </c>
      <c r="R31" s="36">
        <v>21</v>
      </c>
      <c r="S31" s="41">
        <v>1553</v>
      </c>
      <c r="T31" s="37">
        <v>18</v>
      </c>
      <c r="U31" s="42">
        <v>1541</v>
      </c>
      <c r="V31" s="37">
        <v>20</v>
      </c>
      <c r="W31" s="42">
        <v>1551</v>
      </c>
      <c r="X31" s="36">
        <v>17</v>
      </c>
      <c r="Y31" s="41">
        <v>1503</v>
      </c>
      <c r="Z31" s="1"/>
      <c r="AA31" s="1"/>
      <c r="AB31" s="1"/>
      <c r="AC31" s="1"/>
      <c r="AD31" s="1"/>
      <c r="AE31" s="1"/>
      <c r="AF31" s="1"/>
      <c r="AG31" s="16"/>
      <c r="AH31" s="16"/>
      <c r="AI31" s="16"/>
      <c r="AJ31" s="17"/>
      <c r="AK31" s="18"/>
      <c r="AL31" s="18"/>
      <c r="AM31" s="18"/>
      <c r="AN31" s="18"/>
      <c r="AO31" s="18"/>
      <c r="AP31" s="18"/>
      <c r="AQ31" s="18"/>
      <c r="AR31" s="18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spans="1:67" ht="15.75" customHeight="1">
      <c r="A32" s="9" t="s">
        <v>34</v>
      </c>
      <c r="B32" s="32">
        <v>2</v>
      </c>
      <c r="C32" s="33">
        <v>16</v>
      </c>
      <c r="D32" s="34">
        <v>2</v>
      </c>
      <c r="E32" s="35">
        <v>17</v>
      </c>
      <c r="F32" s="32">
        <v>3</v>
      </c>
      <c r="G32" s="39">
        <v>35</v>
      </c>
      <c r="H32" s="34">
        <v>2</v>
      </c>
      <c r="I32" s="35">
        <v>18</v>
      </c>
      <c r="J32" s="36">
        <v>2</v>
      </c>
      <c r="K32" s="36">
        <v>18</v>
      </c>
      <c r="L32" s="37">
        <v>3</v>
      </c>
      <c r="M32" s="42">
        <v>34</v>
      </c>
      <c r="N32" s="36">
        <v>2</v>
      </c>
      <c r="O32" s="36">
        <v>15</v>
      </c>
      <c r="P32" s="37">
        <v>3</v>
      </c>
      <c r="Q32" s="42">
        <v>34</v>
      </c>
      <c r="R32" s="36">
        <v>2</v>
      </c>
      <c r="S32" s="36">
        <v>16</v>
      </c>
      <c r="T32" s="37">
        <v>2</v>
      </c>
      <c r="U32" s="42">
        <v>16</v>
      </c>
      <c r="V32" s="37">
        <v>3</v>
      </c>
      <c r="W32" s="42">
        <v>36</v>
      </c>
      <c r="X32" s="36">
        <v>2</v>
      </c>
      <c r="Y32" s="36">
        <v>16</v>
      </c>
      <c r="Z32" s="1"/>
      <c r="AA32" s="1"/>
      <c r="AB32" s="1"/>
      <c r="AC32" s="1"/>
      <c r="AD32" s="1"/>
      <c r="AE32" s="1"/>
      <c r="AF32" s="1"/>
      <c r="AG32" s="16"/>
      <c r="AH32" s="16"/>
      <c r="AI32" s="16"/>
      <c r="AJ32" s="17"/>
      <c r="AK32" s="18"/>
      <c r="AL32" s="18"/>
      <c r="AM32" s="18"/>
      <c r="AN32" s="18"/>
      <c r="AO32" s="18"/>
      <c r="AP32" s="18"/>
      <c r="AQ32" s="18"/>
      <c r="AR32" s="18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spans="1:67" ht="15.75" customHeight="1">
      <c r="A33" s="10" t="s">
        <v>35</v>
      </c>
      <c r="B33" s="43">
        <v>179</v>
      </c>
      <c r="C33" s="44">
        <v>4221</v>
      </c>
      <c r="D33" s="45">
        <v>173</v>
      </c>
      <c r="E33" s="46">
        <v>4275</v>
      </c>
      <c r="F33" s="47">
        <v>179</v>
      </c>
      <c r="G33" s="48">
        <v>4385</v>
      </c>
      <c r="H33" s="47">
        <v>176</v>
      </c>
      <c r="I33" s="49">
        <v>4345</v>
      </c>
      <c r="J33" s="50">
        <v>181</v>
      </c>
      <c r="K33" s="51">
        <v>4275</v>
      </c>
      <c r="L33" s="52">
        <v>171</v>
      </c>
      <c r="M33" s="53">
        <v>4266</v>
      </c>
      <c r="N33" s="50">
        <v>185</v>
      </c>
      <c r="O33" s="51">
        <v>4319</v>
      </c>
      <c r="P33" s="52">
        <v>186</v>
      </c>
      <c r="Q33" s="53">
        <v>4341</v>
      </c>
      <c r="R33" s="50">
        <v>178</v>
      </c>
      <c r="S33" s="51">
        <v>4306</v>
      </c>
      <c r="T33" s="52">
        <v>193</v>
      </c>
      <c r="U33" s="54">
        <v>4336</v>
      </c>
      <c r="V33" s="52">
        <v>186</v>
      </c>
      <c r="W33" s="53">
        <v>4291</v>
      </c>
      <c r="X33" s="50">
        <v>180</v>
      </c>
      <c r="Y33" s="51">
        <v>4254</v>
      </c>
      <c r="Z33" s="1"/>
      <c r="AA33" s="1"/>
      <c r="AB33" s="1"/>
      <c r="AC33" s="1"/>
      <c r="AD33" s="1"/>
      <c r="AE33" s="1"/>
      <c r="AF33" s="1"/>
      <c r="AG33" s="16"/>
      <c r="AH33" s="16"/>
      <c r="AI33" s="16"/>
      <c r="AJ33" s="17"/>
      <c r="AK33" s="18"/>
      <c r="AL33" s="18"/>
      <c r="AM33" s="18"/>
      <c r="AN33" s="18"/>
      <c r="AO33" s="18"/>
      <c r="AP33" s="18"/>
      <c r="AQ33" s="18"/>
      <c r="AR33" s="18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spans="1:67" ht="19.5" customHeight="1">
      <c r="A34" s="20" t="s">
        <v>42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1"/>
      <c r="AA34" s="1"/>
      <c r="AB34" s="1"/>
      <c r="AC34" s="1"/>
      <c r="AD34" s="1"/>
      <c r="AE34" s="1"/>
      <c r="AF34" s="1"/>
      <c r="AG34" s="16"/>
      <c r="AH34" s="16"/>
      <c r="AI34" s="16"/>
      <c r="AJ34" s="17"/>
      <c r="AK34" s="18"/>
      <c r="AL34" s="18"/>
      <c r="AM34" s="18"/>
      <c r="AN34" s="18"/>
      <c r="AO34" s="18"/>
      <c r="AP34" s="18"/>
      <c r="AQ34" s="18"/>
      <c r="AR34" s="18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spans="1:67" ht="14.25" customHeight="1">
      <c r="A35" s="7" t="s">
        <v>43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1"/>
      <c r="AA35" s="1"/>
      <c r="AB35" s="1"/>
      <c r="AC35" s="1"/>
      <c r="AD35" s="1"/>
      <c r="AE35" s="1"/>
      <c r="AF35" s="1"/>
      <c r="AG35" s="16"/>
      <c r="AH35" s="16"/>
      <c r="AI35" s="16"/>
      <c r="AJ35" s="17"/>
      <c r="AK35" s="18"/>
      <c r="AL35" s="18"/>
      <c r="AM35" s="18"/>
      <c r="AN35" s="18"/>
      <c r="AO35" s="18"/>
      <c r="AP35" s="18"/>
      <c r="AQ35" s="18"/>
      <c r="AR35" s="18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spans="1:67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1"/>
      <c r="AA36" s="1"/>
      <c r="AB36" s="1"/>
      <c r="AC36" s="1"/>
      <c r="AD36" s="1"/>
      <c r="AE36" s="1"/>
      <c r="AF36" s="1"/>
      <c r="AG36" s="16"/>
      <c r="AH36" s="16"/>
      <c r="AI36" s="16"/>
      <c r="AJ36" s="17"/>
      <c r="AK36" s="18"/>
      <c r="AL36" s="18"/>
      <c r="AM36" s="18"/>
      <c r="AN36" s="18"/>
      <c r="AO36" s="18"/>
      <c r="AP36" s="18"/>
      <c r="AQ36" s="18"/>
      <c r="AR36" s="18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spans="1:67" ht="30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1"/>
      <c r="AA37" s="1"/>
      <c r="AB37" s="1"/>
      <c r="AC37" s="1"/>
      <c r="AD37" s="1"/>
      <c r="AE37" s="1"/>
      <c r="AF37" s="1"/>
      <c r="AG37" s="16"/>
      <c r="AH37" s="16"/>
      <c r="AI37" s="16"/>
      <c r="AJ37" s="17"/>
      <c r="AK37" s="18"/>
      <c r="AL37" s="18"/>
      <c r="AM37" s="18"/>
      <c r="AN37" s="18"/>
      <c r="AO37" s="18"/>
      <c r="AP37" s="18"/>
      <c r="AQ37" s="18"/>
      <c r="AR37" s="18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spans="1:67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6"/>
      <c r="AH38" s="16"/>
      <c r="AI38" s="16"/>
      <c r="AJ38" s="17"/>
      <c r="AK38" s="18"/>
      <c r="AL38" s="18"/>
      <c r="AM38" s="18"/>
      <c r="AN38" s="18"/>
      <c r="AO38" s="18"/>
      <c r="AP38" s="18"/>
      <c r="AQ38" s="18"/>
      <c r="AR38" s="18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spans="1:67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6"/>
      <c r="AH39" s="16"/>
      <c r="AI39" s="16"/>
      <c r="AJ39" s="17"/>
      <c r="AK39" s="18"/>
      <c r="AL39" s="18"/>
      <c r="AM39" s="18"/>
      <c r="AN39" s="18"/>
      <c r="AO39" s="18"/>
      <c r="AP39" s="18"/>
      <c r="AQ39" s="18"/>
      <c r="AR39" s="18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spans="1:67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6"/>
      <c r="AH40" s="16"/>
      <c r="AI40" s="16"/>
      <c r="AJ40" s="17"/>
      <c r="AK40" s="18"/>
      <c r="AL40" s="18"/>
      <c r="AM40" s="18"/>
      <c r="AN40" s="18"/>
      <c r="AO40" s="18"/>
      <c r="AP40" s="18"/>
      <c r="AQ40" s="18"/>
      <c r="AR40" s="18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spans="1:67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6"/>
      <c r="AH41" s="16"/>
      <c r="AI41" s="16"/>
      <c r="AJ41" s="17"/>
      <c r="AK41" s="18"/>
      <c r="AL41" s="18"/>
      <c r="AM41" s="18"/>
      <c r="AN41" s="18"/>
      <c r="AO41" s="18"/>
      <c r="AP41" s="18"/>
      <c r="AQ41" s="18"/>
      <c r="AR41" s="18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spans="1:67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6"/>
      <c r="AH42" s="16"/>
      <c r="AI42" s="16"/>
      <c r="AJ42" s="17"/>
      <c r="AK42" s="18"/>
      <c r="AL42" s="18"/>
      <c r="AM42" s="18"/>
      <c r="AN42" s="18"/>
      <c r="AO42" s="18"/>
      <c r="AP42" s="18"/>
      <c r="AQ42" s="18"/>
      <c r="AR42" s="18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spans="1:67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spans="1:67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spans="1:67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spans="1:67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spans="1:6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spans="1:67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spans="1:67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spans="1:67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spans="1:67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spans="1:67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spans="1:67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spans="1:67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spans="1:67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spans="1:67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spans="1:6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spans="1:67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spans="1:67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spans="1:67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spans="1:67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spans="1:67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spans="1:67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spans="1:67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spans="1:67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spans="1:67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spans="1: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</row>
    <row r="68" spans="1:67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spans="1:67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spans="1:67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spans="1:67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spans="1:67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spans="1:67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spans="1:67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spans="1:67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spans="1:67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spans="1:6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spans="1:67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spans="1:67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spans="1:67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spans="1:67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spans="1:67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spans="1:67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spans="1:67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spans="1:67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spans="1:67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spans="1:6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spans="1:67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spans="1:67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spans="1:67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spans="1:67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spans="1:67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spans="1:67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spans="1:67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spans="1:67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spans="1:67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spans="1:6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spans="1:67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spans="1:67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spans="1:67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spans="1:67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spans="1:67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spans="1:67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spans="1:67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spans="1:67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spans="1:67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spans="1:6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spans="1:67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spans="1:67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spans="1:67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spans="1:67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spans="1:67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spans="1:67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spans="1:67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spans="1:67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spans="1:67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spans="1:6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spans="1:67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spans="1:67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spans="1:67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spans="1:67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spans="1:67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spans="1:67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spans="1:67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spans="1:67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spans="1:67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spans="1:6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spans="1:67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spans="1:67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spans="1:67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spans="1:67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spans="1:67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spans="1:67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spans="1:67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spans="1:67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spans="1:67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spans="1:6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spans="1:67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spans="1:67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spans="1:67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spans="1:67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spans="1:67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spans="1:67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spans="1:67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spans="1:67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spans="1:67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spans="1:6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spans="1:67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spans="1:67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spans="1:67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spans="1:67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spans="1:67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spans="1:67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spans="1:67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spans="1:67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spans="1:67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spans="1:6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spans="1:67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spans="1:67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spans="1:67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spans="1:67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spans="1:67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spans="1:67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spans="1:67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spans="1:67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spans="1:67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spans="1: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spans="1:67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spans="1:67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spans="1:67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spans="1:67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spans="1:67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spans="1:67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spans="1:67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spans="1:67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spans="1:67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spans="1:6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spans="1:67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spans="1:67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spans="1:67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spans="1:67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spans="1:67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spans="1:67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spans="1:67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spans="1:67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spans="1:67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spans="1:6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spans="1:67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spans="1:67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spans="1:67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spans="1:67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spans="1:67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spans="1:67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spans="1:67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spans="1:67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spans="1:67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spans="1:6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spans="1:67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spans="1:67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spans="1:67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spans="1:67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spans="1:67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spans="1:67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spans="1:67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spans="1:67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spans="1:67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spans="1:6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spans="1:67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spans="1:67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spans="1:67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spans="1:67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spans="1:67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spans="1:67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spans="1:67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spans="1:67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spans="1:67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spans="1:6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spans="1:67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spans="1:67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spans="1:67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spans="1:67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spans="1:67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spans="1:67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spans="1:67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spans="1:67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spans="1:67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spans="1:6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spans="1:67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spans="1:67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spans="1:67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spans="1:67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spans="1:67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spans="1:67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spans="1:67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spans="1:67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spans="1:67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spans="1:6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spans="1:67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spans="1:67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spans="1:67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spans="1:67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spans="1:67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spans="1:67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spans="1:67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spans="1:67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spans="1:67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spans="1:6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spans="1:67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spans="1:67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spans="1:67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spans="1:67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spans="1:67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spans="1:67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spans="1:67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spans="1:67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spans="1:67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spans="1:6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spans="1:67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spans="1:67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spans="1:67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spans="1:67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spans="1:67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spans="1:67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spans="1:67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spans="1:67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spans="1:67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spans="1: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spans="1:67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spans="1:67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spans="1:67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spans="1:67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spans="1:67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spans="1:67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spans="1:67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spans="1:67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spans="1:67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spans="1:6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spans="1:67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spans="1:67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spans="1:67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spans="1:67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spans="1:67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spans="1:67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spans="1:67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spans="1:67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spans="1:67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spans="1:6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spans="1:67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spans="1:67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spans="1:67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spans="1:67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spans="1:67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spans="1:67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spans="1:67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spans="1:67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spans="1:67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spans="1:6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spans="1:67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spans="1:67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spans="1:67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spans="1:67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spans="1:67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spans="1:67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spans="1:67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spans="1:67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spans="1:67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spans="1:6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spans="1:67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spans="1:67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spans="1:67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spans="1:67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spans="1:67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spans="1:67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spans="1:67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spans="1:67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spans="1:67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spans="1:6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spans="1:67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spans="1:67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spans="1:67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spans="1:67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spans="1:67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spans="1:67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spans="1:67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spans="1:67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spans="1:67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spans="1:6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spans="1:67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spans="1:67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spans="1:67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spans="1:67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spans="1:67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spans="1:67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spans="1:67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spans="1:67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spans="1:67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spans="1:6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spans="1:67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spans="1:67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spans="1:67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spans="1:67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spans="1:67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spans="1:67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spans="1:67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spans="1:67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spans="1:67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spans="1:6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spans="1:67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spans="1:67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spans="1:67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spans="1:67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spans="1:67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spans="1:67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spans="1:67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spans="1:67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spans="1:67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spans="1:6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spans="1:67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spans="1:67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spans="1:67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spans="1:67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spans="1:67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spans="1:67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spans="1:67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spans="1:67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spans="1:67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spans="1: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spans="1:67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spans="1:67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spans="1:67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spans="1:67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spans="1:67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spans="1:67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spans="1:67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spans="1:67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spans="1:67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spans="1:6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spans="1:67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spans="1:67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spans="1:67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spans="1:67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spans="1:67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spans="1:67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spans="1:67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spans="1:67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spans="1:67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spans="1:6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spans="1:67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spans="1:67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spans="1:67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spans="1:67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spans="1:67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spans="1:67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spans="1:67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spans="1:67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spans="1:67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spans="1:6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spans="1:67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spans="1:67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spans="1:67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spans="1:67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spans="1:67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spans="1:67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spans="1:67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spans="1:67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spans="1:67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spans="1:6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spans="1:67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spans="1:67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spans="1:67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spans="1:67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spans="1:67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spans="1:67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spans="1:67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spans="1:67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spans="1:67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spans="1:6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spans="1:67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spans="1:67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spans="1:67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spans="1:67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spans="1:67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spans="1:67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spans="1:67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spans="1:67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spans="1:67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spans="1:6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spans="1:67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spans="1:67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spans="1:67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spans="1:67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spans="1:67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spans="1:67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spans="1:67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spans="1:67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spans="1:67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spans="1:6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spans="1:67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spans="1:67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spans="1:67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spans="1:67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spans="1:67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spans="1:67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spans="1:67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spans="1:67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spans="1:67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spans="1:6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spans="1:67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spans="1:67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spans="1:67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spans="1:67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spans="1:67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spans="1:67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spans="1:67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spans="1:67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spans="1:67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spans="1:6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spans="1:67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spans="1:67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spans="1:67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spans="1:67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spans="1:67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spans="1:67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spans="1:67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spans="1:67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spans="1:67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spans="1: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spans="1:67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spans="1:67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spans="1:67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spans="1:67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spans="1:67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spans="1:67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spans="1:67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spans="1:67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spans="1:67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spans="1:6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spans="1:67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spans="1:67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spans="1:67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spans="1:67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spans="1:67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spans="1:67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spans="1:67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spans="1:67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spans="1:67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spans="1:6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spans="1:67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spans="1:67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spans="1:67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spans="1:67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spans="1:67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spans="1:67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spans="1:67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spans="1:67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spans="1:67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spans="1:6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spans="1:67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spans="1:67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spans="1:67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spans="1:67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spans="1:67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spans="1:67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spans="1:67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spans="1:67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spans="1:67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spans="1:6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spans="1:67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spans="1:67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spans="1:67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spans="1:67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spans="1:67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spans="1:67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spans="1:67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spans="1:67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spans="1:67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spans="1:6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spans="1:67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spans="1:67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spans="1:67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spans="1:67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spans="1:67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spans="1:67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spans="1:67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spans="1:67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spans="1:67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spans="1:6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spans="1:67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spans="1:67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spans="1:67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spans="1:67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spans="1:67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spans="1:67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spans="1:67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spans="1:67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spans="1:67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spans="1:6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spans="1:67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spans="1:67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spans="1:67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spans="1:67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spans="1:67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spans="1:67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spans="1:67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spans="1:67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spans="1:67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spans="1:6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spans="1:67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spans="1:67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spans="1:67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spans="1:67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spans="1:67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spans="1:67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spans="1:67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spans="1:67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spans="1:67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spans="1:6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spans="1:67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spans="1:67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spans="1:67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spans="1:67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spans="1:67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spans="1:67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spans="1:67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spans="1:67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spans="1:67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spans="1: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spans="1:67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spans="1:67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spans="1:67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spans="1:67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spans="1:67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spans="1:67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spans="1:67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spans="1:67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spans="1:67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spans="1:6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spans="1:67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spans="1:67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spans="1:67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spans="1:67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spans="1:67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spans="1:67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spans="1:67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spans="1:67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spans="1:67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spans="1:6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spans="1:67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spans="1:67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spans="1:67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spans="1:67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spans="1:67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spans="1:67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spans="1:67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spans="1:67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spans="1:67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spans="1:6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spans="1:67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spans="1:67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spans="1:67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spans="1:67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spans="1:67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spans="1:67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spans="1:67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spans="1:67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spans="1:67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spans="1:6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spans="1:67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spans="1:67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spans="1:67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spans="1:67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spans="1:67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spans="1:67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spans="1:67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spans="1:67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spans="1:67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spans="1:6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spans="1:67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spans="1:67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spans="1:67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spans="1:67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spans="1:67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spans="1:67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spans="1:67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spans="1:67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spans="1:67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spans="1:6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spans="1:67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spans="1:67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spans="1:67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spans="1:67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spans="1:67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spans="1:67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spans="1:67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spans="1:67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spans="1:67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spans="1:6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spans="1:67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spans="1:67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spans="1:67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spans="1:67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spans="1:67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spans="1:67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spans="1:67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spans="1:67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spans="1:67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spans="1:6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spans="1:67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spans="1:67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spans="1:67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spans="1:67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spans="1:67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spans="1:67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spans="1:67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spans="1:67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spans="1:67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spans="1:6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spans="1:67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spans="1:67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spans="1:67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spans="1:67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spans="1:67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spans="1:67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spans="1:67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spans="1:67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spans="1:67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spans="1: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spans="1:67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spans="1:67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spans="1:67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spans="1:67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spans="1:67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spans="1:67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spans="1:67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spans="1:67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spans="1:67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spans="1:6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spans="1:67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spans="1:67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spans="1:67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spans="1:67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spans="1:67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spans="1:67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spans="1:67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spans="1:67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spans="1:67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spans="1:6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spans="1:67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spans="1:67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spans="1:67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spans="1:67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spans="1:67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spans="1:67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spans="1:67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spans="1:67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spans="1:67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spans="1:6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spans="1:67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spans="1:67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spans="1:67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spans="1:67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spans="1:67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spans="1:67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spans="1:67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spans="1:67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spans="1:67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spans="1:6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spans="1:67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spans="1:67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spans="1:67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spans="1:67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spans="1:67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spans="1:67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spans="1:67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spans="1:67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spans="1:67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spans="1:6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spans="1:67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spans="1:67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spans="1:67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spans="1:67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spans="1:67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spans="1:67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spans="1:67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spans="1:67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spans="1:67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spans="1:6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spans="1:67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spans="1:67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spans="1:67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spans="1:67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spans="1:67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spans="1:67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spans="1:67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spans="1:67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spans="1:67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spans="1:6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spans="1:67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spans="1:67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spans="1:67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spans="1:67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spans="1:67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spans="1:67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spans="1:67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spans="1:67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spans="1:67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spans="1:6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spans="1:67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spans="1:67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spans="1:67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spans="1:67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spans="1:67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spans="1:67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spans="1:67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spans="1:67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spans="1:67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spans="1:6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spans="1:67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spans="1:67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spans="1:67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spans="1:67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spans="1:67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spans="1:67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spans="1:67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spans="1:67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spans="1:67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spans="1: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spans="1:67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spans="1:67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spans="1:67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spans="1:67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spans="1:67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spans="1:67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spans="1:67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spans="1:67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spans="1:67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spans="1:6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spans="1:67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spans="1:67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spans="1:67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spans="1:67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spans="1:67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spans="1:67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spans="1:67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spans="1:67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spans="1:67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spans="1:6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spans="1:67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spans="1:67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spans="1:67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spans="1:67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spans="1:67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spans="1:67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spans="1:67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spans="1:67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spans="1:67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spans="1:6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spans="1:67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spans="1:67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spans="1:67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spans="1:67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spans="1:67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spans="1:67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spans="1:67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spans="1:67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spans="1:67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spans="1:6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spans="1:67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spans="1:67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spans="1:67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spans="1:67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spans="1:67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spans="1:67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spans="1:67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spans="1:67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spans="1:67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spans="1:6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spans="1:67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spans="1:67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spans="1:67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spans="1:67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spans="1:67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spans="1:67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spans="1:67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spans="1:67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spans="1:67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spans="1:6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spans="1:67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spans="1:67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spans="1:67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spans="1:67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spans="1:67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spans="1:67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spans="1:67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spans="1:67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spans="1:67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spans="1:6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spans="1:67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spans="1:67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spans="1:67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spans="1:67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spans="1:67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spans="1:67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spans="1:67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spans="1:67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spans="1:67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spans="1:6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spans="1:67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spans="1:67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spans="1:67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spans="1:67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spans="1:67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spans="1:67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spans="1:67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spans="1:67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spans="1:67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spans="1:6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spans="1:67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spans="1:67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spans="1:67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spans="1:67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spans="1:67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spans="1:67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spans="1:67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spans="1:67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spans="1:67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spans="1: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spans="1:67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spans="1:67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spans="1:67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spans="1:67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spans="1:67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spans="1:67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spans="1:67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spans="1:67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spans="1:67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spans="1:6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spans="1:67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spans="1:67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spans="1:67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spans="1:67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spans="1:67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spans="1:67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spans="1:67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spans="1:67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spans="1:67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spans="1:6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spans="1:67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spans="1:67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spans="1:67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spans="1:67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spans="1:67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spans="1:67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spans="1:67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spans="1:67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spans="1:67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spans="1:6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spans="1:67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spans="1:67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spans="1:67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spans="1:67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spans="1:67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spans="1:67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spans="1:67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spans="1:67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spans="1:67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spans="1:6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spans="1:67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spans="1:67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spans="1:67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spans="1:67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spans="1:67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spans="1:67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spans="1:67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spans="1:67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spans="1:67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spans="1:6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spans="1:67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spans="1:67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spans="1:67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spans="1:67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spans="1:67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spans="1:67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spans="1:67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spans="1:67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spans="1:67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spans="1:6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spans="1:67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spans="1:67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spans="1:67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spans="1:67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spans="1:67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spans="1:67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spans="1:67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spans="1:67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spans="1:67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spans="1:6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spans="1:67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spans="1:67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spans="1:67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spans="1:67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spans="1:67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spans="1:67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spans="1:67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spans="1:67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spans="1:67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</sheetData>
  <mergeCells count="14">
    <mergeCell ref="V5:W5"/>
    <mergeCell ref="A3:Y3"/>
    <mergeCell ref="A5:A6"/>
    <mergeCell ref="B5:C5"/>
    <mergeCell ref="D5:E5"/>
    <mergeCell ref="F5:G5"/>
    <mergeCell ref="H5:I5"/>
    <mergeCell ref="J5:K5"/>
    <mergeCell ref="X5:Y5"/>
    <mergeCell ref="L5:M5"/>
    <mergeCell ref="N5:O5"/>
    <mergeCell ref="P5:Q5"/>
    <mergeCell ref="R5:S5"/>
    <mergeCell ref="T5:U5"/>
  </mergeCells>
  <pageMargins left="0.7" right="0.7" top="0.75" bottom="0.75" header="0" footer="0"/>
  <pageSetup paperSize="9" scale="30" orientation="landscape" r:id="rId1"/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 </vt:lpstr>
      <vt:lpstr>'18.16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2024-08-08T02:59:57Z</cp:lastPrinted>
  <dcterms:modified xsi:type="dcterms:W3CDTF">2024-08-08T03:00:02Z</dcterms:modified>
</cp:coreProperties>
</file>