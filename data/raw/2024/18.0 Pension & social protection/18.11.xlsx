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D3D6E51F-296A-44DF-B97F-56BCE6294921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11" sheetId="11" r:id="rId1"/>
  </sheets>
  <externalReferences>
    <externalReference r:id="rId2"/>
  </externalReferences>
  <definedNames>
    <definedName name="_xlnm.Print_Area" localSheetId="0">'18.11'!$A$1:$O$34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" l="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<sst xmlns="http://schemas.openxmlformats.org/spreadsheetml/2006/main" count="72" uniqueCount="71">
  <si>
    <t>ޖުމްލަ</t>
  </si>
  <si>
    <t>Source: Maldives Pension Administration</t>
  </si>
  <si>
    <t>މަޢުލޫމާތު ދެއްވި ފަރާތް: މޯލްޑިވްސް ޕެންޝަން އެޑްމިނިސްޓްރޭޝަން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</si>
  <si>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</si>
  <si>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</si>
  <si>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</si>
  <si>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</si>
  <si>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</si>
  <si>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</si>
  <si>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</si>
  <si>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</si>
  <si>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</si>
  <si>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</si>
  <si>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</si>
  <si>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</si>
  <si>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</si>
  <si>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</si>
  <si>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</si>
  <si>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</si>
  <si>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</si>
  <si>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</si>
  <si>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</si>
  <si>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</si>
  <si>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</si>
  <si>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</si>
  <si>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</si>
  <si>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</si>
  <si>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</si>
  <si>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</si>
  <si>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</si>
  <si>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</si>
  <si>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</si>
  <si>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</si>
  <si>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</si>
  <si>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</si>
  <si>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</si>
  <si>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</si>
  <si>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</si>
  <si>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</si>
  <si>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</si>
  <si>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</si>
  <si>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Housing Development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</si>
  <si>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</si>
  <si>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</si>
  <si>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</si>
  <si>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</si>
  <si>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</si>
  <si>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</si>
  <si>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</si>
  <si>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</si>
  <si>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</si>
  <si>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</si>
  <si>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</si>
  <si>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</si>
  <si>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</si>
  <si>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</si>
  <si>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</si>
  <si>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</si>
  <si>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</si>
  <si>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</si>
  <si>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</si>
  <si>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</si>
  <si>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</si>
  <si>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</si>
  <si>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</si>
  <si>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</si>
  <si>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</si>
  <si>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</si>
  <si>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</si>
  <si>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>TABLE   18.11:   AMOUNT OF CONTRIBUTION TO RETIREMENT PENSION SCHEME BY SECTOR BY MONTH,  2023</t>
  </si>
  <si>
    <t>ތާވަލު 18.11 :މަސްމަހުގެ ގޮތުން ރިޓާޔަމަންޓް ޕެންޝަން ސްކީމްއަށް ޕަބްލިކް އަދި ޕްރައިވެޓް ސެކްޓަރއިން ފައިސާދެއްކި މިންވަރު،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</si>
</sst>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2">
    <xf numFmtId="0" fontId="0" fillId="0" borderId="0"/>
    <xf numFmtId="164" fontId="15" fillId="0" borderId="8"/>
    <xf numFmtId="43" fontId="12" fillId="0" borderId="8" applyFont="0" applyFill="0" applyBorder="0" applyAlignment="0" applyProtection="0"/>
    <xf numFmtId="43" fontId="12" fillId="0" borderId="8" applyFont="0" applyFill="0" applyBorder="0" applyAlignment="0" applyProtection="0"/>
    <xf numFmtId="0" fontId="12" fillId="0" borderId="8"/>
    <xf numFmtId="0" fontId="12" fillId="0" borderId="8"/>
    <xf numFmtId="0" fontId="12" fillId="0" borderId="8"/>
    <xf numFmtId="0" fontId="12" fillId="0" borderId="8"/>
    <xf numFmtId="0" fontId="12" fillId="0" borderId="8"/>
    <xf numFmtId="0" fontId="12" fillId="0" borderId="8"/>
    <xf numFmtId="0" fontId="12" fillId="0" borderId="8"/>
    <xf numFmtId="0" fontId="12" fillId="0" borderId="8"/>
  </cellStyleXfs>
  <cellXfs count="32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6" fillId="2" borderId="4" xfId="0" applyFont="1" applyFill="1" applyBorder="1"/>
    <xf numFmtId="0" fontId="3" fillId="2" borderId="7" xfId="0" applyFont="1" applyFill="1" applyBorder="1"/>
    <xf numFmtId="0" fontId="6" fillId="2" borderId="7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3" fontId="4" fillId="2" borderId="7" xfId="0" applyNumberFormat="1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3" fontId="9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/>
    </xf>
    <xf numFmtId="0" fontId="0" fillId="3" borderId="0" xfId="0" applyFill="1"/>
    <xf numFmtId="3" fontId="13" fillId="2" borderId="4" xfId="0" applyNumberFormat="1" applyFont="1" applyFill="1" applyBorder="1" applyAlignment="1">
      <alignment horizontal="right" vertical="center"/>
    </xf>
    <xf numFmtId="3" fontId="13" fillId="2" borderId="7" xfId="0" applyNumberFormat="1" applyFont="1" applyFill="1" applyBorder="1" applyAlignment="1">
      <alignment horizontal="right" vertical="center"/>
    </xf>
    <xf numFmtId="3" fontId="3" fillId="4" borderId="8" xfId="0" applyNumberFormat="1" applyFont="1" applyFill="1" applyBorder="1" applyAlignment="1">
      <alignment horizontal="right" vertical="center" wrapText="1"/>
    </xf>
    <xf numFmtId="3" fontId="6" fillId="4" borderId="8" xfId="0" applyNumberFormat="1" applyFont="1" applyFill="1" applyBorder="1" applyAlignment="1">
      <alignment horizontal="right" vertical="center" wrapText="1"/>
    </xf>
    <xf numFmtId="3" fontId="3" fillId="4" borderId="9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6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3" borderId="12" xfId="0" applyFont="1" applyFill="1" applyBorder="1"/>
    <xf numFmtId="0" fontId="3" fillId="2" borderId="5" xfId="0" applyFont="1" applyFill="1" applyBorder="1" applyAlignment="1">
      <alignment horizont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Z37"/>
  <sheetViews>
    <sheetView tabSelected="1" topLeftCell="B1" zoomScaleNormal="100" workbookViewId="0">
      <selection activeCell="V24" sqref="V24"/>
    </sheetView>
  </sheetViews>
  <sheetFormatPr defaultColWidth="14.42578125" defaultRowHeight="15" customHeight="1"/>
  <cols>
    <col min="1" max="1" width="43.7109375" style="16" customWidth="1"/>
    <col min="2" max="2" width="14.28515625" style="16" customWidth="1"/>
    <col min="3" max="14" width="12" style="16" customWidth="1"/>
    <col min="15" max="15" width="39.140625" style="16" customWidth="1"/>
    <col min="16" max="26" width="8.7109375" style="16" customWidth="1"/>
    <col min="27" max="16384" width="14.42578125" style="16"/>
  </cols>
  <sheetData>
    <row r="1" spans="1:26" ht="27" customHeight="1">
      <c r="A1" s="24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6" t="s">
        <v>69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27" t="s">
        <v>16</v>
      </c>
      <c r="B4" s="28">
        <v>2023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  <c r="O4" s="3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5"/>
      <c r="B5" s="9" t="s">
        <v>15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2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>
      <c r="A6" s="10" t="s">
        <v>15</v>
      </c>
      <c r="B6" s="11">
        <f t="shared" ref="B6:B32" si="0">SUM(C6:N6)</f>
        <v>1625387928.54</v>
      </c>
      <c r="C6" s="11">
        <f t="shared" ref="C6:L6" si="1">SUM(C7:C31)</f>
        <v>121884150.45999999</v>
      </c>
      <c r="D6" s="11">
        <f t="shared" si="1"/>
        <v>132372433.53000002</v>
      </c>
      <c r="E6" s="11">
        <f t="shared" si="1"/>
        <v>130525025.98999999</v>
      </c>
      <c r="F6" s="11">
        <f t="shared" si="1"/>
        <v>136298475.31999999</v>
      </c>
      <c r="G6" s="11">
        <f t="shared" si="1"/>
        <v>135295423.82999998</v>
      </c>
      <c r="H6" s="11">
        <f t="shared" si="1"/>
        <v>129678754.34</v>
      </c>
      <c r="I6" s="11">
        <f t="shared" si="1"/>
        <v>133113741.96000001</v>
      </c>
      <c r="J6" s="11">
        <f t="shared" si="1"/>
        <v>137838538.32000005</v>
      </c>
      <c r="K6" s="11">
        <f t="shared" si="1"/>
        <v>132514193.43000001</v>
      </c>
      <c r="L6" s="11">
        <f t="shared" si="1"/>
        <v>138818009.55999997</v>
      </c>
      <c r="M6" s="11">
        <f t="shared" ref="M6:N6" si="2">SUM(M7:M32)</f>
        <v>150916489.11999997</v>
      </c>
      <c r="N6" s="11">
        <f t="shared" si="2"/>
        <v>146132692.68000001</v>
      </c>
      <c r="O6" s="2" t="s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12" t="s">
        <v>17</v>
      </c>
      <c r="B7" s="17">
        <f t="shared" si="0"/>
        <v>3141961.9000000004</v>
      </c>
      <c r="C7" s="19">
        <v>116934.46</v>
      </c>
      <c r="D7" s="19">
        <v>235830.7</v>
      </c>
      <c r="E7" s="19">
        <v>241954.06</v>
      </c>
      <c r="F7" s="19">
        <v>235474.32</v>
      </c>
      <c r="G7" s="19">
        <v>251437.64</v>
      </c>
      <c r="H7" s="19">
        <v>321641.96000000002</v>
      </c>
      <c r="I7" s="19">
        <v>289385.64</v>
      </c>
      <c r="J7" s="19">
        <v>292043.32</v>
      </c>
      <c r="K7" s="19">
        <v>287097.46000000002</v>
      </c>
      <c r="L7" s="19">
        <v>438505.74</v>
      </c>
      <c r="M7" s="19">
        <v>173602.8</v>
      </c>
      <c r="N7" s="19">
        <v>258053.8</v>
      </c>
      <c r="O7" s="3" t="s">
        <v>18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>
      <c r="A8" s="12" t="s">
        <v>19</v>
      </c>
      <c r="B8" s="17">
        <f t="shared" si="0"/>
        <v>108521670.14000002</v>
      </c>
      <c r="C8" s="19">
        <v>8048885.4500000002</v>
      </c>
      <c r="D8" s="19">
        <v>8769583.5999999996</v>
      </c>
      <c r="E8" s="19">
        <v>10991859.390000001</v>
      </c>
      <c r="F8" s="19">
        <v>8943579.9399999995</v>
      </c>
      <c r="G8" s="19">
        <v>8989742.7799999993</v>
      </c>
      <c r="H8" s="19">
        <v>8620378.2200000007</v>
      </c>
      <c r="I8" s="19">
        <v>9370651.4000000004</v>
      </c>
      <c r="J8" s="19">
        <v>8897223.4199999999</v>
      </c>
      <c r="K8" s="19">
        <v>8547980.1400000006</v>
      </c>
      <c r="L8" s="19">
        <v>8609433.1999999993</v>
      </c>
      <c r="M8" s="19">
        <v>10088134.32</v>
      </c>
      <c r="N8" s="19">
        <v>8644218.2799999993</v>
      </c>
      <c r="O8" s="3" t="s">
        <v>20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>
      <c r="A9" s="12" t="s">
        <v>21</v>
      </c>
      <c r="B9" s="17">
        <f t="shared" si="0"/>
        <v>96658.38</v>
      </c>
      <c r="C9" s="19">
        <v>10695.22</v>
      </c>
      <c r="D9" s="19">
        <v>10873.86</v>
      </c>
      <c r="E9" s="19">
        <v>8089.7</v>
      </c>
      <c r="F9" s="19">
        <v>8583.9</v>
      </c>
      <c r="G9" s="19">
        <v>6120.48</v>
      </c>
      <c r="H9" s="19">
        <v>7300.12</v>
      </c>
      <c r="I9" s="19">
        <v>5040</v>
      </c>
      <c r="J9" s="19">
        <v>5550.06</v>
      </c>
      <c r="K9" s="19">
        <v>5600</v>
      </c>
      <c r="L9" s="19">
        <v>4220.32</v>
      </c>
      <c r="M9" s="19">
        <v>13512.62</v>
      </c>
      <c r="N9" s="19">
        <v>11072.1</v>
      </c>
      <c r="O9" s="3" t="s">
        <v>22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2" t="s">
        <v>23</v>
      </c>
      <c r="B10" s="17">
        <f t="shared" si="0"/>
        <v>406286.87</v>
      </c>
      <c r="C10" s="19">
        <v>37550.800000000003</v>
      </c>
      <c r="D10" s="19">
        <v>75452.08</v>
      </c>
      <c r="E10" s="19">
        <v>28463.759999999998</v>
      </c>
      <c r="F10" s="19">
        <v>24564.02</v>
      </c>
      <c r="G10" s="19">
        <v>28319.95</v>
      </c>
      <c r="H10" s="19">
        <v>29360.76</v>
      </c>
      <c r="I10" s="19">
        <v>33787.519999999997</v>
      </c>
      <c r="J10" s="19">
        <v>18902.48</v>
      </c>
      <c r="K10" s="19">
        <v>45082.96</v>
      </c>
      <c r="L10" s="19">
        <v>34408.94</v>
      </c>
      <c r="M10" s="19">
        <v>29195.88</v>
      </c>
      <c r="N10" s="19">
        <v>21197.72</v>
      </c>
      <c r="O10" s="3" t="s">
        <v>24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>
      <c r="A11" s="12" t="s">
        <v>25</v>
      </c>
      <c r="B11" s="17">
        <f t="shared" si="0"/>
        <v>39787234.139999993</v>
      </c>
      <c r="C11" s="19">
        <v>3005148.95</v>
      </c>
      <c r="D11" s="19">
        <v>3203257.37</v>
      </c>
      <c r="E11" s="19">
        <v>3236495.72</v>
      </c>
      <c r="F11" s="19">
        <v>3494698.68</v>
      </c>
      <c r="G11" s="20">
        <v>3191111.76</v>
      </c>
      <c r="H11" s="19">
        <v>2904182.72</v>
      </c>
      <c r="I11" s="19">
        <v>3106602.84</v>
      </c>
      <c r="J11" s="19">
        <v>3455549.47</v>
      </c>
      <c r="K11" s="19">
        <v>3532140.72</v>
      </c>
      <c r="L11" s="19">
        <v>3263474.16</v>
      </c>
      <c r="M11" s="19">
        <v>3373290.64</v>
      </c>
      <c r="N11" s="19">
        <v>4021281.11</v>
      </c>
      <c r="O11" s="3" t="s">
        <v>26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>
      <c r="A12" s="12" t="s">
        <v>27</v>
      </c>
      <c r="B12" s="17">
        <f t="shared" si="0"/>
        <v>2485042.4999999995</v>
      </c>
      <c r="C12" s="19">
        <v>215081.76</v>
      </c>
      <c r="D12" s="19">
        <v>222575</v>
      </c>
      <c r="E12" s="19">
        <v>228974.18</v>
      </c>
      <c r="F12" s="19">
        <v>231451.88</v>
      </c>
      <c r="G12" s="19">
        <v>234131.06</v>
      </c>
      <c r="H12" s="19">
        <v>160262.01999999999</v>
      </c>
      <c r="I12" s="19">
        <v>214393.22</v>
      </c>
      <c r="J12" s="19">
        <v>227329.2</v>
      </c>
      <c r="K12" s="19">
        <v>199629.7</v>
      </c>
      <c r="L12" s="19">
        <v>179936.36</v>
      </c>
      <c r="M12" s="19">
        <v>142301.76000000001</v>
      </c>
      <c r="N12" s="19">
        <v>228976.36</v>
      </c>
      <c r="O12" s="3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3" t="s">
        <v>29</v>
      </c>
      <c r="B13" s="17">
        <f t="shared" si="0"/>
        <v>109583204.26000001</v>
      </c>
      <c r="C13" s="19">
        <v>6255917.5</v>
      </c>
      <c r="D13" s="19">
        <v>9220419.6400000006</v>
      </c>
      <c r="E13" s="19">
        <v>9051545.3399999999</v>
      </c>
      <c r="F13" s="19">
        <v>9367804.9199999999</v>
      </c>
      <c r="G13" s="19">
        <v>9213183.8800000008</v>
      </c>
      <c r="H13" s="19">
        <v>8774953.2599999998</v>
      </c>
      <c r="I13" s="19">
        <v>9642030.0199999996</v>
      </c>
      <c r="J13" s="19">
        <v>9451179.4000000004</v>
      </c>
      <c r="K13" s="19">
        <v>9103063.2200000007</v>
      </c>
      <c r="L13" s="19">
        <v>9759054.0999999996</v>
      </c>
      <c r="M13" s="19">
        <v>9638210.4800000004</v>
      </c>
      <c r="N13" s="19">
        <v>10105842.5</v>
      </c>
      <c r="O13" s="14" t="s">
        <v>30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>
      <c r="A14" s="12" t="s">
        <v>31</v>
      </c>
      <c r="B14" s="17">
        <f t="shared" si="0"/>
        <v>12814025.66</v>
      </c>
      <c r="C14" s="19">
        <v>1062940.5900000001</v>
      </c>
      <c r="D14" s="19">
        <v>1046816.64</v>
      </c>
      <c r="E14" s="19">
        <v>1021302.2</v>
      </c>
      <c r="F14" s="19">
        <v>1042337.28</v>
      </c>
      <c r="G14" s="19">
        <v>1061445.79</v>
      </c>
      <c r="H14" s="19">
        <v>969593.68</v>
      </c>
      <c r="I14" s="19">
        <v>1166116.26</v>
      </c>
      <c r="J14" s="19">
        <v>1070184.8700000001</v>
      </c>
      <c r="K14" s="19">
        <v>1039745.89</v>
      </c>
      <c r="L14" s="19">
        <v>1105156.2</v>
      </c>
      <c r="M14" s="19">
        <v>1028570.3</v>
      </c>
      <c r="N14" s="19">
        <v>1199815.96</v>
      </c>
      <c r="O14" s="3" t="s">
        <v>32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>
      <c r="A15" s="12" t="s">
        <v>33</v>
      </c>
      <c r="B15" s="17">
        <f t="shared" si="0"/>
        <v>3551201.24</v>
      </c>
      <c r="C15" s="19">
        <v>210408.52</v>
      </c>
      <c r="D15" s="19">
        <v>250967.9</v>
      </c>
      <c r="E15" s="19">
        <v>404581.04</v>
      </c>
      <c r="F15" s="19">
        <v>244184.04</v>
      </c>
      <c r="G15" s="19">
        <v>376783.46</v>
      </c>
      <c r="H15" s="19">
        <v>294665.71999999997</v>
      </c>
      <c r="I15" s="19">
        <v>293819.76</v>
      </c>
      <c r="J15" s="19">
        <v>265697.15999999997</v>
      </c>
      <c r="K15" s="19">
        <v>380353.22</v>
      </c>
      <c r="L15" s="19">
        <v>291228.76</v>
      </c>
      <c r="M15" s="19">
        <v>270971.08</v>
      </c>
      <c r="N15" s="19">
        <v>267540.58</v>
      </c>
      <c r="O15" s="3" t="s">
        <v>34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>
      <c r="A16" s="12" t="s">
        <v>35</v>
      </c>
      <c r="B16" s="17">
        <f t="shared" si="0"/>
        <v>594163275.59000003</v>
      </c>
      <c r="C16" s="19">
        <v>42178948.469999999</v>
      </c>
      <c r="D16" s="19">
        <v>51287781.840000004</v>
      </c>
      <c r="E16" s="19">
        <v>43330430.799999997</v>
      </c>
      <c r="F16" s="19">
        <v>51412658.509999998</v>
      </c>
      <c r="G16" s="19">
        <v>50085450.380000003</v>
      </c>
      <c r="H16" s="19">
        <v>48991846.119999997</v>
      </c>
      <c r="I16" s="19">
        <v>51609950.560000002</v>
      </c>
      <c r="J16" s="19">
        <v>49178634.539999999</v>
      </c>
      <c r="K16" s="19">
        <v>51410561.990000002</v>
      </c>
      <c r="L16" s="19">
        <v>51624415.719999999</v>
      </c>
      <c r="M16" s="19">
        <v>51781697.229999997</v>
      </c>
      <c r="N16" s="19">
        <v>51270899.43</v>
      </c>
      <c r="O16" s="3" t="s">
        <v>36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>
      <c r="A17" s="12" t="s">
        <v>37</v>
      </c>
      <c r="B17" s="17">
        <f t="shared" si="0"/>
        <v>19575890.119999997</v>
      </c>
      <c r="C17" s="19">
        <v>1595138.89</v>
      </c>
      <c r="D17" s="19">
        <v>1584197.76</v>
      </c>
      <c r="E17" s="19">
        <v>1573292.95</v>
      </c>
      <c r="F17" s="19">
        <v>1711080.4</v>
      </c>
      <c r="G17" s="19">
        <v>1602495.77</v>
      </c>
      <c r="H17" s="19">
        <v>1599605.18</v>
      </c>
      <c r="I17" s="19">
        <v>1644498.86</v>
      </c>
      <c r="J17" s="19">
        <v>1843120.68</v>
      </c>
      <c r="K17" s="19">
        <v>1432340.5</v>
      </c>
      <c r="L17" s="19">
        <v>1637865.86</v>
      </c>
      <c r="M17" s="19">
        <v>1694655.48</v>
      </c>
      <c r="N17" s="19">
        <v>1657597.79</v>
      </c>
      <c r="O17" s="3" t="s">
        <v>38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>
      <c r="A18" s="12" t="s">
        <v>39</v>
      </c>
      <c r="B18" s="17">
        <f t="shared" si="0"/>
        <v>363839980.82000005</v>
      </c>
      <c r="C18" s="19">
        <v>29282669.039999999</v>
      </c>
      <c r="D18" s="19">
        <v>29804885.140000001</v>
      </c>
      <c r="E18" s="19">
        <v>31689878.219999999</v>
      </c>
      <c r="F18" s="19">
        <v>29556757.27</v>
      </c>
      <c r="G18" s="19">
        <v>30669040.129999999</v>
      </c>
      <c r="H18" s="19">
        <v>28358147.260000002</v>
      </c>
      <c r="I18" s="19">
        <v>30002180</v>
      </c>
      <c r="J18" s="19">
        <v>32344538.59</v>
      </c>
      <c r="K18" s="19">
        <v>28287211.960000001</v>
      </c>
      <c r="L18" s="19">
        <v>30771397.989999998</v>
      </c>
      <c r="M18" s="19">
        <v>32343571.440000001</v>
      </c>
      <c r="N18" s="19">
        <v>30729703.780000001</v>
      </c>
      <c r="O18" s="3" t="s">
        <v>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>
      <c r="A19" s="12" t="s">
        <v>41</v>
      </c>
      <c r="B19" s="17">
        <f t="shared" si="0"/>
        <v>1978633.5799999998</v>
      </c>
      <c r="C19" s="19">
        <v>151192.35999999999</v>
      </c>
      <c r="D19" s="19">
        <v>95223.62</v>
      </c>
      <c r="E19" s="19">
        <v>224238.84</v>
      </c>
      <c r="F19" s="19">
        <v>159918.32</v>
      </c>
      <c r="G19" s="19">
        <v>156481.51999999999</v>
      </c>
      <c r="H19" s="19">
        <v>162378.88</v>
      </c>
      <c r="I19" s="19">
        <v>163062.98000000001</v>
      </c>
      <c r="J19" s="19">
        <v>167243.70000000001</v>
      </c>
      <c r="K19" s="19">
        <v>171699.6</v>
      </c>
      <c r="L19" s="19">
        <v>176309.42</v>
      </c>
      <c r="M19" s="19">
        <v>172313.4</v>
      </c>
      <c r="N19" s="19">
        <v>178570.94</v>
      </c>
      <c r="O19" s="3" t="s">
        <v>42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>
      <c r="A20" s="12" t="s">
        <v>43</v>
      </c>
      <c r="B20" s="17">
        <f t="shared" si="0"/>
        <v>8774387.120000001</v>
      </c>
      <c r="C20" s="19">
        <v>713617.62</v>
      </c>
      <c r="D20" s="19">
        <v>22032.18</v>
      </c>
      <c r="E20" s="19">
        <v>740573.6</v>
      </c>
      <c r="F20" s="19">
        <v>1407526.34</v>
      </c>
      <c r="G20" s="19">
        <v>710007.36</v>
      </c>
      <c r="H20" s="19">
        <v>706318.46</v>
      </c>
      <c r="I20" s="19">
        <v>749454.88</v>
      </c>
      <c r="J20" s="19">
        <v>767152.1</v>
      </c>
      <c r="K20" s="19">
        <v>713131</v>
      </c>
      <c r="L20" s="19">
        <v>750990.84</v>
      </c>
      <c r="M20" s="19">
        <v>745520.28</v>
      </c>
      <c r="N20" s="19">
        <v>748062.46</v>
      </c>
      <c r="O20" s="3" t="s">
        <v>44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>
      <c r="A21" s="12" t="s">
        <v>45</v>
      </c>
      <c r="B21" s="17">
        <f t="shared" si="0"/>
        <v>41931.339999999997</v>
      </c>
      <c r="C21" s="19">
        <v>3724</v>
      </c>
      <c r="D21" s="19">
        <v>3732.66</v>
      </c>
      <c r="E21" s="19">
        <v>0</v>
      </c>
      <c r="F21" s="19">
        <v>7475.9</v>
      </c>
      <c r="G21" s="19">
        <v>6611.88</v>
      </c>
      <c r="H21" s="19">
        <v>0</v>
      </c>
      <c r="I21" s="19">
        <v>3304</v>
      </c>
      <c r="J21" s="19">
        <v>0</v>
      </c>
      <c r="K21" s="19">
        <v>8836.26</v>
      </c>
      <c r="L21" s="19">
        <v>0</v>
      </c>
      <c r="M21" s="19">
        <v>2744</v>
      </c>
      <c r="N21" s="19">
        <v>5502.64</v>
      </c>
      <c r="O21" s="3" t="s">
        <v>46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>
      <c r="A22" s="12" t="s">
        <v>47</v>
      </c>
      <c r="B22" s="17">
        <f t="shared" si="0"/>
        <v>159845603.36000001</v>
      </c>
      <c r="C22" s="19">
        <v>13081688.85</v>
      </c>
      <c r="D22" s="19">
        <v>11337388.890000001</v>
      </c>
      <c r="E22" s="19">
        <v>12411162.59</v>
      </c>
      <c r="F22" s="19">
        <v>12835737.460000001</v>
      </c>
      <c r="G22" s="19">
        <v>12867916.619999999</v>
      </c>
      <c r="H22" s="19">
        <v>12474910.5</v>
      </c>
      <c r="I22" s="19">
        <v>8873993.3399999999</v>
      </c>
      <c r="J22" s="19">
        <v>13836758.73</v>
      </c>
      <c r="K22" s="19">
        <v>11854648.65</v>
      </c>
      <c r="L22" s="19">
        <v>14122443.630000001</v>
      </c>
      <c r="M22" s="19">
        <v>19158826.670000002</v>
      </c>
      <c r="N22" s="19">
        <v>16990127.43</v>
      </c>
      <c r="O22" s="3" t="s">
        <v>48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>
      <c r="A23" s="12" t="s">
        <v>49</v>
      </c>
      <c r="B23" s="17">
        <f t="shared" si="0"/>
        <v>8330.380000000001</v>
      </c>
      <c r="C23" s="19">
        <v>1610</v>
      </c>
      <c r="D23" s="19">
        <v>1120</v>
      </c>
      <c r="E23" s="19">
        <v>1120</v>
      </c>
      <c r="F23" s="19">
        <v>1120</v>
      </c>
      <c r="G23" s="19">
        <v>560</v>
      </c>
      <c r="H23" s="19">
        <v>560</v>
      </c>
      <c r="I23" s="19">
        <v>560.38</v>
      </c>
      <c r="J23" s="19">
        <v>560</v>
      </c>
      <c r="K23" s="19">
        <v>560</v>
      </c>
      <c r="L23" s="19">
        <v>0</v>
      </c>
      <c r="M23" s="19">
        <v>0</v>
      </c>
      <c r="N23" s="19">
        <v>560</v>
      </c>
      <c r="O23" s="3" t="s">
        <v>50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>
      <c r="A24" s="12" t="s">
        <v>51</v>
      </c>
      <c r="B24" s="17">
        <f t="shared" si="0"/>
        <v>1378714.12</v>
      </c>
      <c r="C24" s="19">
        <v>114338.52</v>
      </c>
      <c r="D24" s="19">
        <v>118837.58</v>
      </c>
      <c r="E24" s="19">
        <v>107501.36</v>
      </c>
      <c r="F24" s="19">
        <v>113345.8</v>
      </c>
      <c r="G24" s="19">
        <v>105076.66</v>
      </c>
      <c r="H24" s="19">
        <v>108169.96</v>
      </c>
      <c r="I24" s="19">
        <v>109444.68</v>
      </c>
      <c r="J24" s="19">
        <v>127245.48</v>
      </c>
      <c r="K24" s="19">
        <v>109964.32</v>
      </c>
      <c r="L24" s="19">
        <v>113391.9</v>
      </c>
      <c r="M24" s="19">
        <v>87972.38</v>
      </c>
      <c r="N24" s="19">
        <v>163425.48000000001</v>
      </c>
      <c r="O24" s="3" t="s">
        <v>52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>
      <c r="A25" s="12" t="s">
        <v>53</v>
      </c>
      <c r="B25" s="17">
        <f t="shared" si="0"/>
        <v>2252360.7999999998</v>
      </c>
      <c r="C25" s="19">
        <v>445090.82</v>
      </c>
      <c r="D25" s="19">
        <v>142219.22</v>
      </c>
      <c r="E25" s="19">
        <v>155223.29999999999</v>
      </c>
      <c r="F25" s="19">
        <v>181341.28</v>
      </c>
      <c r="G25" s="19">
        <v>166145.38</v>
      </c>
      <c r="H25" s="19">
        <v>136490.56</v>
      </c>
      <c r="I25" s="19">
        <v>173148.68</v>
      </c>
      <c r="J25" s="19">
        <v>195847.8</v>
      </c>
      <c r="K25" s="19">
        <v>156124.6</v>
      </c>
      <c r="L25" s="19">
        <v>117391.72</v>
      </c>
      <c r="M25" s="19">
        <v>233630.02</v>
      </c>
      <c r="N25" s="19">
        <v>149707.42000000001</v>
      </c>
      <c r="O25" s="3" t="s">
        <v>54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>
      <c r="A26" s="12" t="s">
        <v>55</v>
      </c>
      <c r="B26" s="17">
        <f t="shared" si="0"/>
        <v>493369.58</v>
      </c>
      <c r="C26" s="19">
        <v>40656.6</v>
      </c>
      <c r="D26" s="19">
        <v>40164.18</v>
      </c>
      <c r="E26" s="19">
        <v>38749.919999999998</v>
      </c>
      <c r="F26" s="19">
        <v>40546.18</v>
      </c>
      <c r="G26" s="19">
        <v>40349.919999999998</v>
      </c>
      <c r="H26" s="19">
        <v>41359.68</v>
      </c>
      <c r="I26" s="19">
        <v>41249.760000000002</v>
      </c>
      <c r="J26" s="19">
        <v>41267.9</v>
      </c>
      <c r="K26" s="19">
        <v>41524.800000000003</v>
      </c>
      <c r="L26" s="19">
        <v>42927.72</v>
      </c>
      <c r="M26" s="19">
        <v>42737.82</v>
      </c>
      <c r="N26" s="19">
        <v>41835.1</v>
      </c>
      <c r="O26" s="3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>
      <c r="A27" s="12" t="s">
        <v>57</v>
      </c>
      <c r="B27" s="17">
        <f t="shared" si="0"/>
        <v>43050909.380000003</v>
      </c>
      <c r="C27" s="19">
        <v>3348917.72</v>
      </c>
      <c r="D27" s="19">
        <v>3583569.06</v>
      </c>
      <c r="E27" s="19">
        <v>3468629.9</v>
      </c>
      <c r="F27" s="19">
        <v>3753970.88</v>
      </c>
      <c r="G27" s="19">
        <v>3814313.76</v>
      </c>
      <c r="H27" s="19">
        <v>3664309.84</v>
      </c>
      <c r="I27" s="19">
        <v>3432476.1</v>
      </c>
      <c r="J27" s="19">
        <v>3467591.64</v>
      </c>
      <c r="K27" s="19">
        <v>3432271.14</v>
      </c>
      <c r="L27" s="19">
        <v>3814028.46</v>
      </c>
      <c r="M27" s="19">
        <v>3559024.32</v>
      </c>
      <c r="N27" s="19">
        <v>3711806.56</v>
      </c>
      <c r="O27" s="3" t="s">
        <v>58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2" t="s">
        <v>59</v>
      </c>
      <c r="B28" s="17">
        <f t="shared" si="0"/>
        <v>59938328.560000002</v>
      </c>
      <c r="C28" s="19">
        <v>4700172.0199999996</v>
      </c>
      <c r="D28" s="19">
        <v>4830664.38</v>
      </c>
      <c r="E28" s="19">
        <v>4838972.1399999997</v>
      </c>
      <c r="F28" s="19">
        <v>4866470.8</v>
      </c>
      <c r="G28" s="19">
        <v>4951859.6399999997</v>
      </c>
      <c r="H28" s="19">
        <v>4944598.0599999996</v>
      </c>
      <c r="I28" s="19">
        <v>4879168.26</v>
      </c>
      <c r="J28" s="19">
        <v>5002106.1399999997</v>
      </c>
      <c r="K28" s="19">
        <v>4941957.82</v>
      </c>
      <c r="L28" s="19">
        <v>5128039.58</v>
      </c>
      <c r="M28" s="19">
        <v>5481920.5599999996</v>
      </c>
      <c r="N28" s="19">
        <v>5372399.1600000001</v>
      </c>
      <c r="O28" s="3" t="s">
        <v>60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>
      <c r="A29" s="12" t="s">
        <v>61</v>
      </c>
      <c r="B29" s="17">
        <f t="shared" si="0"/>
        <v>43722417.979999997</v>
      </c>
      <c r="C29" s="19">
        <v>4246067.32</v>
      </c>
      <c r="D29" s="19">
        <v>3405063.37</v>
      </c>
      <c r="E29" s="19">
        <v>3617596.39</v>
      </c>
      <c r="F29" s="19">
        <v>3586881.83</v>
      </c>
      <c r="G29" s="19">
        <v>3628493.06</v>
      </c>
      <c r="H29" s="19">
        <v>3219694.72</v>
      </c>
      <c r="I29" s="19">
        <v>3565662.36</v>
      </c>
      <c r="J29" s="19">
        <v>3716393.22</v>
      </c>
      <c r="K29" s="19">
        <v>3524588.33</v>
      </c>
      <c r="L29" s="19">
        <v>3555088.9</v>
      </c>
      <c r="M29" s="19">
        <v>3964806.63</v>
      </c>
      <c r="N29" s="19">
        <v>3692081.85</v>
      </c>
      <c r="O29" s="3" t="s">
        <v>62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>
      <c r="A30" s="12" t="s">
        <v>63</v>
      </c>
      <c r="B30" s="17">
        <f t="shared" si="0"/>
        <v>38675033.25</v>
      </c>
      <c r="C30" s="19">
        <v>3001595.26</v>
      </c>
      <c r="D30" s="19">
        <v>3064061.98</v>
      </c>
      <c r="E30" s="19">
        <v>3048902.49</v>
      </c>
      <c r="F30" s="19">
        <v>3054781.25</v>
      </c>
      <c r="G30" s="19">
        <v>3122147.95</v>
      </c>
      <c r="H30" s="19">
        <v>3120770.88</v>
      </c>
      <c r="I30" s="19">
        <v>3730157.5</v>
      </c>
      <c r="J30" s="19">
        <v>3416324.18</v>
      </c>
      <c r="K30" s="19">
        <v>3273354.07</v>
      </c>
      <c r="L30" s="19">
        <v>3263581.28</v>
      </c>
      <c r="M30" s="19">
        <v>3340331.19</v>
      </c>
      <c r="N30" s="19">
        <v>3239025.22</v>
      </c>
      <c r="O30" s="3" t="s">
        <v>64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>
      <c r="A31" s="12" t="s">
        <v>65</v>
      </c>
      <c r="B31" s="17">
        <f t="shared" si="0"/>
        <v>376900.3</v>
      </c>
      <c r="C31" s="19">
        <v>15159.72</v>
      </c>
      <c r="D31" s="19">
        <v>15714.88</v>
      </c>
      <c r="E31" s="19">
        <v>65488.1</v>
      </c>
      <c r="F31" s="19">
        <v>16184.12</v>
      </c>
      <c r="G31" s="19">
        <v>16197</v>
      </c>
      <c r="H31" s="19">
        <v>67255.78</v>
      </c>
      <c r="I31" s="19">
        <v>13602.96</v>
      </c>
      <c r="J31" s="19">
        <v>50094.239999999998</v>
      </c>
      <c r="K31" s="19">
        <v>14725.08</v>
      </c>
      <c r="L31" s="19">
        <v>14718.76</v>
      </c>
      <c r="M31" s="19">
        <v>73037.64</v>
      </c>
      <c r="N31" s="19">
        <v>14722.02</v>
      </c>
      <c r="O31" s="3" t="s">
        <v>66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>
      <c r="A32" s="15" t="s">
        <v>67</v>
      </c>
      <c r="B32" s="18">
        <f t="shared" si="0"/>
        <v>41613267.780000001</v>
      </c>
      <c r="C32" s="21">
        <v>3504286.26</v>
      </c>
      <c r="D32" s="21">
        <v>3392444.8</v>
      </c>
      <c r="E32" s="21">
        <v>3487821.12</v>
      </c>
      <c r="F32" s="21">
        <v>3492661.3</v>
      </c>
      <c r="G32" s="21">
        <v>3436093.56</v>
      </c>
      <c r="H32" s="21">
        <v>3452541.22</v>
      </c>
      <c r="I32" s="21">
        <v>3463961.92</v>
      </c>
      <c r="J32" s="21">
        <v>3508102.8</v>
      </c>
      <c r="K32" s="21">
        <v>3452497.36</v>
      </c>
      <c r="L32" s="21">
        <v>3538280.27</v>
      </c>
      <c r="M32" s="21">
        <v>3475910.18</v>
      </c>
      <c r="N32" s="21">
        <v>3408666.99</v>
      </c>
      <c r="O32" s="5" t="s">
        <v>68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>
      <c r="A33" s="6" t="s">
        <v>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" t="s">
        <v>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</sheetData>
  <mergeCells count="5">
    <mergeCell ref="A1:O1"/>
    <mergeCell ref="A2:O2"/>
    <mergeCell ref="A4:A5"/>
    <mergeCell ref="B4:N4"/>
    <mergeCell ref="O4:O5"/>
  </mergeCells>
  <pageMargins left="0.7" right="0.7" top="0.75" bottom="0.75" header="0" footer="0"/>
  <pageSetup paperSize="9" scale="54" orientation="landscape" r:id="rId1"/>
  <ignoredErrors>
    <ignoredError sqref="C6:N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2024-08-07T03:24:34Z</cp:lastPrinted>
  <dcterms:modified xsi:type="dcterms:W3CDTF">2024-08-07T03:24:39Z</dcterms:modified>
</cp:coreProperties>
</file>