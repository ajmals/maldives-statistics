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ension\"/>
    </mc:Choice>
  </mc:AlternateContent>
  <xr:revisionPtr revIDLastSave="0" documentId="13_ncr:1_{A1E43C96-F2B6-47B6-A77A-AC6DBE778A44}" xr6:coauthVersionLast="47" xr6:coauthVersionMax="47" xr10:uidLastSave="{00000000-0000-0000-0000-000000000000}"/>
  <bookViews>
    <workbookView xWindow="-120" yWindow="-120" windowWidth="29040" windowHeight="15720" tabRatio="874" xr2:uid="{00000000-000D-0000-FFFF-FFFF00000000}"/>
  </bookViews>
  <sheets>
    <sheet name="18.13" sheetId="13" r:id="rId1"/>
  </sheets>
  <externalReferences>
    <externalReference r:id="rId2"/>
  </externalReferences>
  <definedNames>
    <definedName name="_xlnm.Print_Area" localSheetId="0">'18.13'!$A$1:$K$49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13" l="1"/>
  <c r="I32" i="13"/>
  <c r="I18" i="13"/>
  <c r="I14" i="13"/>
  <c r="I12" i="13"/>
  <c r="I7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F6" i="13"/>
  <c r="E6" i="13"/>
  <c r="D6" i="13"/>
  <c r="C6" i="13"/>
  <c r="B6" i="13"/>
  <c r="G6" i="13" l="1"/>
  <c r="I11" i="13" s="1"/>
  <c r="I16" i="13" l="1"/>
  <c r="I10" i="13"/>
  <c r="I27" i="13"/>
  <c r="I9" i="13"/>
  <c r="I26" i="13"/>
  <c r="I30" i="13"/>
  <c r="I19" i="13"/>
  <c r="I22" i="13"/>
  <c r="I21" i="13"/>
  <c r="I15" i="13"/>
  <c r="I31" i="13"/>
  <c r="I20" i="13"/>
  <c r="I24" i="13"/>
  <c r="I25" i="13"/>
  <c r="I8" i="13"/>
  <c r="I13" i="13"/>
  <c r="I29" i="13"/>
  <c r="I17" i="13"/>
  <c r="I23" i="13"/>
  <c r="I6" i="13" l="1"/>
</calcChain>
</file>

<file path=xl/sharedStrings.xml><?xml version="1.0" encoding="utf-8"?>
<sst xmlns="http://schemas.openxmlformats.org/spreadsheetml/2006/main" count="68" uniqueCount="67">
  <si>
    <t>% share</t>
  </si>
  <si>
    <t>ޖުމްލަ</t>
  </si>
  <si>
    <t>Total</t>
  </si>
  <si>
    <t>Source: Maldives Pension Administration</t>
  </si>
  <si>
    <t>މަޢުލޫމާތު ދެއްވި ފަރާތް: މޯލްޑިވްސް ޕެންޝަން އެޑްމިނިސްޓްރޭޝަން</t>
  </si>
  <si>
    <t>Sector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</si>
  <si>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</si>
  <si>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</si>
  <si>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</si>
  <si>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</si>
  <si>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</si>
  <si>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</si>
  <si>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</si>
  <si>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</si>
  <si>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</si>
  <si>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</si>
  <si>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</si>
  <si>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</si>
  <si>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</si>
  <si>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</si>
  <si>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</si>
  <si>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</si>
  <si>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</si>
  <si>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</si>
  <si>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</si>
  <si>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</si>
  <si>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</si>
  <si>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</si>
  <si>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</si>
  <si>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</si>
  <si>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</si>
  <si>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</si>
  <si>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</si>
  <si>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</si>
  <si>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</si>
  <si>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Others</t>
  </si>
  <si>
    <t>ފެރީގެ ޙިދުމަތް</t>
  </si>
  <si>
    <t>Passenger Ferries</t>
  </si>
  <si>
    <t>ބޭސް ފިހާރަތައް</t>
  </si>
  <si>
    <t>Pharmacies</t>
  </si>
  <si>
    <t>ރެސްޓޯރަންޓްތައް</t>
  </si>
  <si>
    <t>Restaurants</t>
  </si>
  <si>
    <t>ސްޕެއަރޕާޓް ވިއްކުން</t>
  </si>
  <si>
    <t>Sales of Motor Vehicles</t>
  </si>
  <si>
    <t>ސްކޫލްތަކާއި ތަޢުލީމްދޭ މަރުކަޒުތައް</t>
  </si>
  <si>
    <t>Schools and educational centers</t>
  </si>
  <si>
    <t xml:space="preserve">ކަނޑުދަތުރުފަތުރު، ޝިޕިންގ </t>
  </si>
  <si>
    <t>Sea Transportation, shipping</t>
  </si>
  <si>
    <t>ކުދި އަދި މެދުފަންތީގެ ވިޔަފާރި</t>
  </si>
  <si>
    <t>Shops, small and medium commercial retail</t>
  </si>
  <si>
    <t>މުވާސަލާތީ ޚިދުމަތް</t>
  </si>
  <si>
    <t>Telecommunications</t>
  </si>
  <si>
    <t>ފެން އުފެއްދުން</t>
  </si>
  <si>
    <t>Water processing</t>
  </si>
  <si>
    <t>ހޯލްސޭލް ރީޓެއިލާރސް</t>
  </si>
  <si>
    <t>Wholesale retailers</t>
  </si>
  <si>
    <t>އެހެނިހެން</t>
  </si>
  <si>
    <t xml:space="preserve">Establishments by Employment size </t>
  </si>
  <si>
    <t xml:space="preserve">މަސައްކަތްކުރާ ތަނުގެ ދާއިރާ </t>
  </si>
  <si>
    <t>0-9</t>
  </si>
  <si>
    <t>10-49</t>
  </si>
  <si>
    <t>50-99</t>
  </si>
  <si>
    <t>100-299</t>
  </si>
  <si>
    <t>&gt;300</t>
  </si>
  <si>
    <t xml:space="preserve">Housing Development </t>
  </si>
  <si>
    <t>TABLE   18.13:   ESTABLISHMENTS REGISTERED IN THE RETIREMENT PENSION SCHEME, BY EMPLOYMENT SIZE, END 2023</t>
  </si>
  <si>
    <t>ތާވަލު  18.13 : އެކި ދާއިރާތަކުން ރިޓާޔަމަންޓް ޕެންޝަން ސްކީމްގައި ރެޖިސްޓްރީކޮށްފައިވާ ތަންތަނުގެ ޢަދަދު، ތަނުގެމުވައްޒަފުންގެ ގިންތިން ،2023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</si>
</sst>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3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Faruma"/>
    </font>
    <font>
      <sz val="9"/>
      <color rgb="FF000000"/>
      <name val="Calibri"/>
    </font>
    <font>
      <sz val="9"/>
      <color rgb="FF000000"/>
      <name val="Faruma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Courier"/>
      <family val="3"/>
    </font>
    <font>
      <sz val="11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</borders>
  <cellStyleXfs count="12">
    <xf numFmtId="0" fontId="0" fillId="0" borderId="0"/>
    <xf numFmtId="164" fontId="9" fillId="0" borderId="7"/>
    <xf numFmtId="43" fontId="8" fillId="0" borderId="7" applyFont="0" applyFill="0" applyBorder="0" applyAlignment="0" applyProtection="0"/>
    <xf numFmtId="43" fontId="8" fillId="0" borderId="7" applyFont="0" applyFill="0" applyBorder="0" applyAlignment="0" applyProtection="0"/>
    <xf numFmtId="0" fontId="8" fillId="0" borderId="7"/>
    <xf numFmtId="0" fontId="8" fillId="0" borderId="7"/>
    <xf numFmtId="0" fontId="8" fillId="0" borderId="7"/>
    <xf numFmtId="0" fontId="8" fillId="0" borderId="7"/>
    <xf numFmtId="0" fontId="8" fillId="0" borderId="7"/>
    <xf numFmtId="0" fontId="8" fillId="0" borderId="7"/>
    <xf numFmtId="0" fontId="8" fillId="0" borderId="7"/>
    <xf numFmtId="0" fontId="8" fillId="0" borderId="7"/>
  </cellStyleXfs>
  <cellXfs count="47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43" fontId="2" fillId="2" borderId="1" xfId="0" applyNumberFormat="1" applyFont="1" applyFill="1" applyBorder="1"/>
    <xf numFmtId="3" fontId="2" fillId="2" borderId="1" xfId="0" applyNumberFormat="1" applyFont="1" applyFill="1" applyBorder="1"/>
    <xf numFmtId="0" fontId="5" fillId="2" borderId="1" xfId="0" applyFont="1" applyFill="1" applyBorder="1"/>
    <xf numFmtId="0" fontId="2" fillId="2" borderId="1" xfId="0" applyFont="1" applyFill="1" applyBorder="1" applyAlignment="1">
      <alignment horizontal="right" vertical="center" wrapText="1"/>
    </xf>
    <xf numFmtId="49" fontId="2" fillId="2" borderId="1" xfId="0" applyNumberFormat="1" applyFont="1" applyFill="1" applyBorder="1"/>
    <xf numFmtId="0" fontId="0" fillId="3" borderId="0" xfId="0" applyFill="1"/>
    <xf numFmtId="0" fontId="4" fillId="2" borderId="7" xfId="0" applyFont="1" applyFill="1" applyBorder="1"/>
    <xf numFmtId="3" fontId="8" fillId="4" borderId="7" xfId="0" applyNumberFormat="1" applyFont="1" applyFill="1" applyBorder="1" applyAlignment="1">
      <alignment horizontal="right" vertical="center"/>
    </xf>
    <xf numFmtId="0" fontId="8" fillId="2" borderId="7" xfId="0" applyFont="1" applyFill="1" applyBorder="1"/>
    <xf numFmtId="0" fontId="7" fillId="2" borderId="4" xfId="0" applyFont="1" applyFill="1" applyBorder="1" applyAlignment="1">
      <alignment horizontal="left" vertical="center"/>
    </xf>
    <xf numFmtId="49" fontId="7" fillId="2" borderId="8" xfId="0" applyNumberFormat="1" applyFont="1" applyFill="1" applyBorder="1" applyAlignment="1">
      <alignment horizontal="right" vertical="center"/>
    </xf>
    <xf numFmtId="3" fontId="7" fillId="2" borderId="4" xfId="0" applyNumberFormat="1" applyFont="1" applyFill="1" applyBorder="1" applyAlignment="1">
      <alignment horizontal="right" vertical="center"/>
    </xf>
    <xf numFmtId="3" fontId="7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/>
    <xf numFmtId="0" fontId="8" fillId="2" borderId="7" xfId="0" applyFont="1" applyFill="1" applyBorder="1" applyAlignment="1">
      <alignment horizontal="left" vertical="center"/>
    </xf>
    <xf numFmtId="3" fontId="8" fillId="2" borderId="7" xfId="0" applyNumberFormat="1" applyFont="1" applyFill="1" applyBorder="1" applyAlignment="1">
      <alignment horizontal="right" vertical="center"/>
    </xf>
    <xf numFmtId="165" fontId="8" fillId="2" borderId="6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 wrapText="1"/>
    </xf>
    <xf numFmtId="3" fontId="8" fillId="2" borderId="7" xfId="0" applyNumberFormat="1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right" vertical="center" wrapText="1"/>
    </xf>
    <xf numFmtId="0" fontId="8" fillId="2" borderId="8" xfId="0" applyFont="1" applyFill="1" applyBorder="1" applyAlignment="1">
      <alignment horizontal="left" vertical="center"/>
    </xf>
    <xf numFmtId="3" fontId="8" fillId="2" borderId="8" xfId="0" applyNumberFormat="1" applyFont="1" applyFill="1" applyBorder="1" applyAlignment="1">
      <alignment horizontal="right" vertical="center"/>
    </xf>
    <xf numFmtId="165" fontId="8" fillId="2" borderId="9" xfId="0" applyNumberFormat="1" applyFont="1" applyFill="1" applyBorder="1" applyAlignment="1">
      <alignment horizontal="center" vertical="center"/>
    </xf>
    <xf numFmtId="0" fontId="4" fillId="2" borderId="8" xfId="0" applyFont="1" applyFill="1" applyBorder="1"/>
    <xf numFmtId="0" fontId="11" fillId="2" borderId="7" xfId="0" applyFont="1" applyFill="1" applyBorder="1"/>
    <xf numFmtId="0" fontId="12" fillId="2" borderId="7" xfId="0" applyFont="1" applyFill="1" applyBorder="1"/>
    <xf numFmtId="0" fontId="12" fillId="2" borderId="4" xfId="0" applyFont="1" applyFill="1" applyBorder="1"/>
    <xf numFmtId="0" fontId="6" fillId="2" borderId="7" xfId="0" applyFont="1" applyFill="1" applyBorder="1"/>
    <xf numFmtId="49" fontId="8" fillId="2" borderId="7" xfId="0" applyNumberFormat="1" applyFont="1" applyFill="1" applyBorder="1"/>
    <xf numFmtId="3" fontId="8" fillId="4" borderId="7" xfId="0" applyNumberFormat="1" applyFont="1" applyFill="1" applyBorder="1" applyAlignment="1">
      <alignment horizontal="right" vertical="center" wrapText="1"/>
    </xf>
    <xf numFmtId="3" fontId="8" fillId="4" borderId="8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center" vertical="center"/>
    </xf>
    <xf numFmtId="0" fontId="10" fillId="3" borderId="7" xfId="0" applyFont="1" applyFill="1" applyBorder="1"/>
    <xf numFmtId="0" fontId="7" fillId="2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10" fillId="3" borderId="3" xfId="0" applyFont="1" applyFill="1" applyBorder="1"/>
    <xf numFmtId="0" fontId="10" fillId="3" borderId="2" xfId="0" applyFont="1" applyFill="1" applyBorder="1"/>
    <xf numFmtId="0" fontId="7" fillId="2" borderId="5" xfId="0" applyFont="1" applyFill="1" applyBorder="1" applyAlignment="1">
      <alignment horizontal="center" vertical="center"/>
    </xf>
    <xf numFmtId="0" fontId="10" fillId="3" borderId="9" xfId="0" applyFont="1" applyFill="1" applyBorder="1"/>
    <xf numFmtId="0" fontId="1" fillId="2" borderId="4" xfId="0" applyFont="1" applyFill="1" applyBorder="1" applyAlignment="1">
      <alignment horizontal="right" vertical="center"/>
    </xf>
    <xf numFmtId="0" fontId="10" fillId="3" borderId="8" xfId="0" applyFont="1" applyFill="1" applyBorder="1"/>
  </cellXfs>
  <cellStyles count="12">
    <cellStyle name="Comma 23" xfId="2" xr:uid="{3E5BAF3C-F617-4E2D-A85B-C690E04E58B3}"/>
    <cellStyle name="Comma 3" xfId="3" xr:uid="{6D4A6997-1191-41C6-BFD1-905BCFA15FB4}"/>
    <cellStyle name="Normal" xfId="0" builtinId="0"/>
    <cellStyle name="Normal 10" xfId="5" xr:uid="{06DA859A-5D9A-4216-AE3D-7F80C4883077}"/>
    <cellStyle name="Normal 2" xfId="1" xr:uid="{F2AF85D4-6C8D-4AD8-963A-A6E1AB9E7E54}"/>
    <cellStyle name="Normal 30 2" xfId="4" xr:uid="{C71C314A-D15E-4E30-8A14-8D449AD00B59}"/>
    <cellStyle name="Normal 39" xfId="6" xr:uid="{4F4E8F7A-67E6-4096-8E34-05E38D8ED152}"/>
    <cellStyle name="Normal 40" xfId="7" xr:uid="{033E8D92-629F-4AC2-AC89-1CD1CA9F4E8C}"/>
    <cellStyle name="Normal 41" xfId="8" xr:uid="{5187C0CE-C1F8-4630-ADBD-B30A1ED7A0DC}"/>
    <cellStyle name="Normal 44" xfId="9" xr:uid="{E4C0E057-F35D-4158-B0F8-9AA77ED2402B}"/>
    <cellStyle name="Normal 58" xfId="11" xr:uid="{49593C51-6AD9-47F1-9876-4E87D3F435A6}"/>
    <cellStyle name="Normal 59" xfId="10" xr:uid="{35463A83-6A14-47E2-8F60-A12790F7E977}"/>
  </cellStyles>
  <dxfs count="0"/>
  <tableStyles count="0" defaultTableStyle="TableStyleMedium2" defaultPivotStyle="PivotStyleLight16"/>
  <colors>
    <mruColors>
      <color rgb="FF61FFFF"/>
      <color rgb="FF00CCC7"/>
      <color rgb="FFE7FFFF"/>
      <color rgb="FF00EEE8"/>
      <color rgb="FF009999"/>
      <color rgb="FF9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841831189210537"/>
          <c:y val="0.23628762313801685"/>
          <c:w val="0.86693185988236143"/>
          <c:h val="0.64817056958789232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00CCC7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'18.13'!$B$5:$F$5</c:f>
              <c:strCache>
                <c:ptCount val="5"/>
                <c:pt idx="0">
                  <c:v>0-9</c:v>
                </c:pt>
                <c:pt idx="1">
                  <c:v>10-49</c:v>
                </c:pt>
                <c:pt idx="2">
                  <c:v>50-99</c:v>
                </c:pt>
                <c:pt idx="3">
                  <c:v>100-299</c:v>
                </c:pt>
                <c:pt idx="4">
                  <c:v>&gt;300</c:v>
                </c:pt>
              </c:strCache>
            </c:strRef>
          </c:cat>
          <c:val>
            <c:numRef>
              <c:f>'18.13'!$B$6:$F$6</c:f>
              <c:numCache>
                <c:formatCode>#,##0</c:formatCode>
                <c:ptCount val="5"/>
                <c:pt idx="0">
                  <c:v>1367</c:v>
                </c:pt>
                <c:pt idx="1">
                  <c:v>632</c:v>
                </c:pt>
                <c:pt idx="2">
                  <c:v>172</c:v>
                </c:pt>
                <c:pt idx="3">
                  <c:v>172</c:v>
                </c:pt>
                <c:pt idx="4">
                  <c:v>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703-41BD-9FA7-84D609755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3465695"/>
        <c:axId val="602819506"/>
      </c:barChart>
      <c:catAx>
        <c:axId val="533465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2819506"/>
        <c:crosses val="autoZero"/>
        <c:auto val="1"/>
        <c:lblAlgn val="ctr"/>
        <c:lblOffset val="100"/>
        <c:noMultiLvlLbl val="1"/>
      </c:catAx>
      <c:valAx>
        <c:axId val="602819506"/>
        <c:scaling>
          <c:orientation val="minMax"/>
        </c:scaling>
        <c:delete val="0"/>
        <c:axPos val="l"/>
        <c:majorGridlines>
          <c:spPr>
            <a:ln>
              <a:solidFill>
                <a:srgbClr val="61FFF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In Numbers</a:t>
                </a:r>
              </a:p>
            </c:rich>
          </c:tx>
          <c:layout>
            <c:manualLayout>
              <c:xMode val="edge"/>
              <c:yMode val="edge"/>
              <c:x val="9.2778482583152477E-3"/>
              <c:y val="0.40158502914408417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33465695"/>
        <c:crosses val="autoZero"/>
        <c:crossBetween val="between"/>
      </c:valAx>
      <c:spPr>
        <a:solidFill>
          <a:srgbClr val="E7FFFF"/>
        </a:solidFill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1285875</xdr:colOff>
      <xdr:row>33</xdr:row>
      <xdr:rowOff>52387</xdr:rowOff>
    </xdr:from>
    <xdr:ext cx="7153275" cy="2933700"/>
    <xdr:graphicFrame macro="">
      <xdr:nvGraphicFramePr>
        <xdr:cNvPr id="14" name="Chart 14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2304118</xdr:colOff>
      <xdr:row>34</xdr:row>
      <xdr:rowOff>12942</xdr:rowOff>
    </xdr:from>
    <xdr:ext cx="5838825" cy="452956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/>
      </xdr:nvSpPr>
      <xdr:spPr>
        <a:xfrm>
          <a:off x="2304118" y="8901216"/>
          <a:ext cx="5838825" cy="45295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onsolas"/>
            <a:buNone/>
          </a:pPr>
          <a:r>
            <a:rPr lang="en-US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18.15: Establishments registered in the retirement pension scheme, by employment size, 2023 </a:t>
          </a:r>
          <a:endParaRPr sz="1100">
            <a:latin typeface="Consolas"/>
            <a:ea typeface="Consolas"/>
            <a:cs typeface="Consolas"/>
            <a:sym typeface="Consola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\st4\Dissemination\Publications\Statistical%20Year%20Book\YEARBOOK%202023\RECEIVED\18.%20PENSION%20AND%20SOCIAL%20PROTECTION%20-%20NSPA%20&amp;%20Aasandha.xlsx" TargetMode="External"/><Relationship Id="rId1" Type="http://schemas.openxmlformats.org/officeDocument/2006/relationships/externalLinkPath" Target="/Dissemination/Publications/Statistical%20Year%20Book/YEARBOOK%202023/RECEIVED/18.%20PENSION%20AND%20SOCIAL%20PROTECTION%20-%20NSPA%20&amp;%20Aasand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8.18"/>
      <sheetName val="18.19"/>
      <sheetName val="18.20"/>
      <sheetName val="18.21"/>
      <sheetName val="18.22"/>
      <sheetName val="18.23"/>
      <sheetName val="18.24"/>
      <sheetName val="18.25"/>
      <sheetName val="18.26"/>
      <sheetName val="18.27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1630627599.4917998</v>
          </cell>
        </row>
        <row r="8">
          <cell r="A8" t="str">
            <v>Atolls</v>
          </cell>
          <cell r="B8">
            <v>870548839.8180002</v>
          </cell>
        </row>
        <row r="9">
          <cell r="A9" t="str">
            <v>Overseas</v>
          </cell>
          <cell r="B9">
            <v>321919608.7554</v>
          </cell>
        </row>
        <row r="11">
          <cell r="X11">
            <v>2016</v>
          </cell>
          <cell r="Y11">
            <v>2017</v>
          </cell>
          <cell r="Z11">
            <v>2018</v>
          </cell>
          <cell r="AA11">
            <v>2019</v>
          </cell>
          <cell r="AB11">
            <v>2020</v>
          </cell>
          <cell r="AC11">
            <v>2021</v>
          </cell>
        </row>
        <row r="12">
          <cell r="U12" t="str">
            <v>Republic</v>
          </cell>
          <cell r="X12">
            <v>1675199187.0308001</v>
          </cell>
          <cell r="Y12">
            <v>1797290685.4405</v>
          </cell>
          <cell r="Z12">
            <v>2164672441.0613999</v>
          </cell>
          <cell r="AA12">
            <v>2433716952.1484995</v>
          </cell>
          <cell r="AB12">
            <v>2014669790.0487001</v>
          </cell>
          <cell r="AC12">
            <v>2823096048.0652003</v>
          </cell>
        </row>
        <row r="13">
          <cell r="U13" t="str">
            <v xml:space="preserve">Male' </v>
          </cell>
          <cell r="X13">
            <v>899761456.92000008</v>
          </cell>
          <cell r="Y13">
            <v>1040187042.5204999</v>
          </cell>
          <cell r="Z13">
            <v>1255240833.9584999</v>
          </cell>
          <cell r="AA13">
            <v>1488868041.2019994</v>
          </cell>
          <cell r="AB13">
            <v>1164428500.4760997</v>
          </cell>
          <cell r="AC13">
            <v>1630627599.4917998</v>
          </cell>
        </row>
        <row r="14">
          <cell r="U14" t="str">
            <v>Atolls</v>
          </cell>
          <cell r="X14">
            <v>552084045.86000001</v>
          </cell>
          <cell r="Y14">
            <v>582040521.91999996</v>
          </cell>
          <cell r="Z14">
            <v>642497891.10289991</v>
          </cell>
          <cell r="AA14">
            <v>665276794.77769983</v>
          </cell>
          <cell r="AB14">
            <v>725519558.47500014</v>
          </cell>
          <cell r="AC14">
            <v>870548839.8180002</v>
          </cell>
        </row>
        <row r="15">
          <cell r="U15" t="str">
            <v>Overseas</v>
          </cell>
          <cell r="X15">
            <v>223353684.25080001</v>
          </cell>
          <cell r="Y15">
            <v>175063121</v>
          </cell>
          <cell r="Z15">
            <v>266933716</v>
          </cell>
          <cell r="AA15">
            <v>279572116.1688</v>
          </cell>
          <cell r="AB15">
            <v>124721731.0976</v>
          </cell>
          <cell r="AC15">
            <v>321919608.7554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AD52"/>
  <sheetViews>
    <sheetView tabSelected="1" zoomScale="87" zoomScaleNormal="87" zoomScaleSheetLayoutView="124" workbookViewId="0">
      <selection activeCell="N39" sqref="N39"/>
    </sheetView>
  </sheetViews>
  <sheetFormatPr defaultColWidth="14.42578125" defaultRowHeight="15" customHeight="1" x14ac:dyDescent="0.25"/>
  <cols>
    <col min="1" max="1" width="37.28515625" style="10" customWidth="1"/>
    <col min="2" max="2" width="8" style="10" customWidth="1"/>
    <col min="3" max="3" width="8.5703125" style="10" customWidth="1"/>
    <col min="4" max="4" width="10.140625" style="10" customWidth="1"/>
    <col min="5" max="5" width="9.7109375" style="10" customWidth="1"/>
    <col min="6" max="7" width="8.85546875" style="10" customWidth="1"/>
    <col min="8" max="8" width="2.42578125" style="10" customWidth="1"/>
    <col min="9" max="9" width="10.140625" style="10" customWidth="1"/>
    <col min="10" max="10" width="38.42578125" style="10" customWidth="1"/>
    <col min="11" max="11" width="4.140625" style="10" customWidth="1"/>
    <col min="12" max="25" width="8" style="10" customWidth="1"/>
    <col min="26" max="26" width="40.28515625" style="10" customWidth="1"/>
    <col min="27" max="30" width="8" style="10" customWidth="1"/>
    <col min="31" max="16384" width="14.42578125" style="10"/>
  </cols>
  <sheetData>
    <row r="1" spans="1:30" ht="17.25" customHeight="1" x14ac:dyDescent="0.25">
      <c r="A1" s="36" t="s">
        <v>66</v>
      </c>
      <c r="B1" s="37"/>
      <c r="C1" s="37"/>
      <c r="D1" s="37"/>
      <c r="E1" s="37"/>
      <c r="F1" s="37"/>
      <c r="G1" s="37"/>
      <c r="H1" s="37"/>
      <c r="I1" s="37"/>
      <c r="J1" s="3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7.25" customHeight="1" x14ac:dyDescent="0.25">
      <c r="A2" s="38" t="s">
        <v>65</v>
      </c>
      <c r="B2" s="37"/>
      <c r="C2" s="37"/>
      <c r="D2" s="37"/>
      <c r="E2" s="37"/>
      <c r="F2" s="37"/>
      <c r="G2" s="37"/>
      <c r="H2" s="37"/>
      <c r="I2" s="37"/>
      <c r="J2" s="3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3.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3.5" customHeight="1" x14ac:dyDescent="0.25">
      <c r="A4" s="39" t="s">
        <v>5</v>
      </c>
      <c r="B4" s="40" t="s">
        <v>57</v>
      </c>
      <c r="C4" s="41"/>
      <c r="D4" s="41"/>
      <c r="E4" s="41"/>
      <c r="F4" s="41"/>
      <c r="G4" s="41"/>
      <c r="H4" s="42"/>
      <c r="I4" s="43" t="s">
        <v>0</v>
      </c>
      <c r="J4" s="45" t="s">
        <v>58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5" customHeight="1" x14ac:dyDescent="0.25">
      <c r="A5" s="37"/>
      <c r="B5" s="15" t="s">
        <v>59</v>
      </c>
      <c r="C5" s="15" t="s">
        <v>60</v>
      </c>
      <c r="D5" s="15" t="s">
        <v>61</v>
      </c>
      <c r="E5" s="15" t="s">
        <v>62</v>
      </c>
      <c r="F5" s="15" t="s">
        <v>63</v>
      </c>
      <c r="G5" s="15" t="s">
        <v>2</v>
      </c>
      <c r="H5" s="15"/>
      <c r="I5" s="44"/>
      <c r="J5" s="4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21" customHeight="1" x14ac:dyDescent="0.55000000000000004">
      <c r="A6" s="14" t="s">
        <v>2</v>
      </c>
      <c r="B6" s="16">
        <f t="shared" ref="B6:G6" si="0">SUM(B7:B32)</f>
        <v>1367</v>
      </c>
      <c r="C6" s="16">
        <f t="shared" si="0"/>
        <v>632</v>
      </c>
      <c r="D6" s="16">
        <f t="shared" si="0"/>
        <v>172</v>
      </c>
      <c r="E6" s="16">
        <f t="shared" si="0"/>
        <v>172</v>
      </c>
      <c r="F6" s="16">
        <f t="shared" si="0"/>
        <v>63</v>
      </c>
      <c r="G6" s="16">
        <f t="shared" si="0"/>
        <v>2406</v>
      </c>
      <c r="H6" s="16"/>
      <c r="I6" s="17">
        <f>SUM(I7:I32)</f>
        <v>99.999999999999986</v>
      </c>
      <c r="J6" s="18" t="s">
        <v>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1" customHeight="1" x14ac:dyDescent="0.55000000000000004">
      <c r="A7" s="19" t="s">
        <v>6</v>
      </c>
      <c r="B7" s="12">
        <v>10</v>
      </c>
      <c r="C7" s="12">
        <v>3</v>
      </c>
      <c r="D7" s="12">
        <v>1</v>
      </c>
      <c r="E7" s="12">
        <v>1</v>
      </c>
      <c r="F7" s="12">
        <v>0</v>
      </c>
      <c r="G7" s="20">
        <f t="shared" ref="G7:G32" si="1">SUM(B7:F7)</f>
        <v>15</v>
      </c>
      <c r="H7" s="20"/>
      <c r="I7" s="21">
        <f>G7/$G$6*100</f>
        <v>0.62344139650872821</v>
      </c>
      <c r="J7" s="11" t="s">
        <v>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21" customHeight="1" x14ac:dyDescent="0.55000000000000004">
      <c r="A8" s="19" t="s">
        <v>8</v>
      </c>
      <c r="B8" s="12">
        <v>5</v>
      </c>
      <c r="C8" s="12">
        <v>3</v>
      </c>
      <c r="D8" s="12">
        <v>1</v>
      </c>
      <c r="E8" s="12">
        <v>2</v>
      </c>
      <c r="F8" s="12">
        <v>4</v>
      </c>
      <c r="G8" s="20">
        <f t="shared" si="1"/>
        <v>15</v>
      </c>
      <c r="H8" s="20"/>
      <c r="I8" s="21">
        <f t="shared" ref="I7:I32" si="2">G8/$G$6*100</f>
        <v>0.62344139650872821</v>
      </c>
      <c r="J8" s="11" t="s">
        <v>9</v>
      </c>
      <c r="K8" s="1"/>
      <c r="L8" s="1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1" customHeight="1" x14ac:dyDescent="0.55000000000000004">
      <c r="A9" s="19" t="s">
        <v>10</v>
      </c>
      <c r="B9" s="12">
        <v>3</v>
      </c>
      <c r="C9" s="12">
        <v>0</v>
      </c>
      <c r="D9" s="12">
        <v>0</v>
      </c>
      <c r="E9" s="12">
        <v>0</v>
      </c>
      <c r="F9" s="12">
        <v>0</v>
      </c>
      <c r="G9" s="20">
        <f t="shared" si="1"/>
        <v>3</v>
      </c>
      <c r="H9" s="20"/>
      <c r="I9" s="21">
        <f t="shared" si="2"/>
        <v>0.12468827930174563</v>
      </c>
      <c r="J9" s="11" t="s">
        <v>11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21" customHeight="1" x14ac:dyDescent="0.55000000000000004">
      <c r="A10" s="19" t="s">
        <v>12</v>
      </c>
      <c r="B10" s="12">
        <v>11</v>
      </c>
      <c r="C10" s="12">
        <v>1</v>
      </c>
      <c r="D10" s="12">
        <v>0</v>
      </c>
      <c r="E10" s="12">
        <v>0</v>
      </c>
      <c r="F10" s="12">
        <v>0</v>
      </c>
      <c r="G10" s="20">
        <f t="shared" si="1"/>
        <v>12</v>
      </c>
      <c r="H10" s="20"/>
      <c r="I10" s="21">
        <f t="shared" si="2"/>
        <v>0.49875311720698251</v>
      </c>
      <c r="J10" s="11" t="s">
        <v>13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21" customHeight="1" x14ac:dyDescent="0.55000000000000004">
      <c r="A11" s="19" t="s">
        <v>14</v>
      </c>
      <c r="B11" s="12">
        <v>105</v>
      </c>
      <c r="C11" s="12">
        <v>26</v>
      </c>
      <c r="D11" s="12">
        <v>4</v>
      </c>
      <c r="E11" s="12">
        <v>3</v>
      </c>
      <c r="F11" s="12">
        <v>1</v>
      </c>
      <c r="G11" s="20">
        <f t="shared" si="1"/>
        <v>139</v>
      </c>
      <c r="H11" s="20"/>
      <c r="I11" s="21">
        <f t="shared" si="2"/>
        <v>5.7772236076475476</v>
      </c>
      <c r="J11" s="11" t="s">
        <v>15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21" customHeight="1" x14ac:dyDescent="0.55000000000000004">
      <c r="A12" s="19" t="s">
        <v>16</v>
      </c>
      <c r="B12" s="12">
        <v>13</v>
      </c>
      <c r="C12" s="12">
        <v>0</v>
      </c>
      <c r="D12" s="12">
        <v>2</v>
      </c>
      <c r="E12" s="12">
        <v>0</v>
      </c>
      <c r="F12" s="12">
        <v>0</v>
      </c>
      <c r="G12" s="20">
        <f t="shared" si="1"/>
        <v>15</v>
      </c>
      <c r="H12" s="20"/>
      <c r="I12" s="21">
        <f>G12/$G$6*100</f>
        <v>0.62344139650872821</v>
      </c>
      <c r="J12" s="11" t="s">
        <v>17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44.25" customHeight="1" x14ac:dyDescent="0.25">
      <c r="A13" s="22" t="s">
        <v>18</v>
      </c>
      <c r="B13" s="34">
        <v>28</v>
      </c>
      <c r="C13" s="34">
        <v>29</v>
      </c>
      <c r="D13" s="34">
        <v>6</v>
      </c>
      <c r="E13" s="34">
        <v>4</v>
      </c>
      <c r="F13" s="34">
        <v>4</v>
      </c>
      <c r="G13" s="20">
        <f t="shared" si="1"/>
        <v>71</v>
      </c>
      <c r="H13" s="23"/>
      <c r="I13" s="21">
        <f t="shared" si="2"/>
        <v>2.9509559434746464</v>
      </c>
      <c r="J13" s="24" t="s">
        <v>19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21" customHeight="1" x14ac:dyDescent="0.55000000000000004">
      <c r="A14" s="19" t="s">
        <v>20</v>
      </c>
      <c r="B14" s="12">
        <v>12</v>
      </c>
      <c r="C14" s="12">
        <v>0</v>
      </c>
      <c r="D14" s="12">
        <v>1</v>
      </c>
      <c r="E14" s="12">
        <v>1</v>
      </c>
      <c r="F14" s="12">
        <v>1</v>
      </c>
      <c r="G14" s="20">
        <f t="shared" si="1"/>
        <v>15</v>
      </c>
      <c r="H14" s="20"/>
      <c r="I14" s="21">
        <f>G14/$G$6*100</f>
        <v>0.62344139650872821</v>
      </c>
      <c r="J14" s="11" t="s">
        <v>21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21" customHeight="1" x14ac:dyDescent="0.55000000000000004">
      <c r="A15" s="19" t="s">
        <v>22</v>
      </c>
      <c r="B15" s="12">
        <v>7</v>
      </c>
      <c r="C15" s="12">
        <v>6</v>
      </c>
      <c r="D15" s="12">
        <v>1</v>
      </c>
      <c r="E15" s="12">
        <v>0</v>
      </c>
      <c r="F15" s="12">
        <v>0</v>
      </c>
      <c r="G15" s="20">
        <f t="shared" si="1"/>
        <v>14</v>
      </c>
      <c r="H15" s="20"/>
      <c r="I15" s="21">
        <f t="shared" si="2"/>
        <v>0.58187863674147966</v>
      </c>
      <c r="J15" s="11" t="s">
        <v>23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21" customHeight="1" x14ac:dyDescent="0.55000000000000004">
      <c r="A16" s="19" t="s">
        <v>24</v>
      </c>
      <c r="B16" s="12">
        <v>65</v>
      </c>
      <c r="C16" s="12">
        <v>216</v>
      </c>
      <c r="D16" s="12">
        <v>64</v>
      </c>
      <c r="E16" s="12">
        <v>61</v>
      </c>
      <c r="F16" s="12">
        <v>29</v>
      </c>
      <c r="G16" s="20">
        <f t="shared" si="1"/>
        <v>435</v>
      </c>
      <c r="H16" s="20"/>
      <c r="I16" s="21">
        <f t="shared" si="2"/>
        <v>18.079800498753119</v>
      </c>
      <c r="J16" s="11" t="s">
        <v>25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21" customHeight="1" x14ac:dyDescent="0.55000000000000004">
      <c r="A17" s="19" t="s">
        <v>26</v>
      </c>
      <c r="B17" s="12">
        <v>23</v>
      </c>
      <c r="C17" s="12">
        <v>20</v>
      </c>
      <c r="D17" s="12">
        <v>2</v>
      </c>
      <c r="E17" s="12">
        <v>1</v>
      </c>
      <c r="F17" s="12">
        <v>2</v>
      </c>
      <c r="G17" s="20">
        <f t="shared" si="1"/>
        <v>48</v>
      </c>
      <c r="H17" s="20"/>
      <c r="I17" s="21">
        <f t="shared" si="2"/>
        <v>1.99501246882793</v>
      </c>
      <c r="J17" s="11" t="s">
        <v>27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21" customHeight="1" x14ac:dyDescent="0.55000000000000004">
      <c r="A18" s="19" t="s">
        <v>28</v>
      </c>
      <c r="B18" s="12">
        <v>173</v>
      </c>
      <c r="C18" s="12">
        <v>66</v>
      </c>
      <c r="D18" s="12">
        <v>53</v>
      </c>
      <c r="E18" s="12">
        <v>67</v>
      </c>
      <c r="F18" s="12">
        <v>9</v>
      </c>
      <c r="G18" s="20">
        <f t="shared" si="1"/>
        <v>368</v>
      </c>
      <c r="H18" s="20"/>
      <c r="I18" s="21">
        <f>G18/$G$6*100</f>
        <v>15.295095594347465</v>
      </c>
      <c r="J18" s="11" t="s">
        <v>29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21" customHeight="1" x14ac:dyDescent="0.55000000000000004">
      <c r="A19" s="19" t="s">
        <v>64</v>
      </c>
      <c r="B19" s="12">
        <v>7</v>
      </c>
      <c r="C19" s="12">
        <v>1</v>
      </c>
      <c r="D19" s="12">
        <v>1</v>
      </c>
      <c r="E19" s="12">
        <v>0</v>
      </c>
      <c r="F19" s="12">
        <v>0</v>
      </c>
      <c r="G19" s="20">
        <f t="shared" si="1"/>
        <v>9</v>
      </c>
      <c r="H19" s="20"/>
      <c r="I19" s="21">
        <f t="shared" si="2"/>
        <v>0.37406483790523692</v>
      </c>
      <c r="J19" s="11" t="s">
        <v>30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21" customHeight="1" x14ac:dyDescent="0.55000000000000004">
      <c r="A20" s="19" t="s">
        <v>31</v>
      </c>
      <c r="B20" s="12">
        <v>1</v>
      </c>
      <c r="C20" s="12">
        <v>1</v>
      </c>
      <c r="D20" s="12">
        <v>0</v>
      </c>
      <c r="E20" s="12">
        <v>0</v>
      </c>
      <c r="F20" s="12">
        <v>1</v>
      </c>
      <c r="G20" s="20">
        <f t="shared" si="1"/>
        <v>3</v>
      </c>
      <c r="H20" s="20"/>
      <c r="I20" s="21">
        <f t="shared" si="2"/>
        <v>0.12468827930174563</v>
      </c>
      <c r="J20" s="11" t="s">
        <v>32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21" customHeight="1" x14ac:dyDescent="0.55000000000000004">
      <c r="A21" s="19" t="s">
        <v>33</v>
      </c>
      <c r="B21" s="12">
        <v>1</v>
      </c>
      <c r="C21" s="12">
        <v>0</v>
      </c>
      <c r="D21" s="12">
        <v>0</v>
      </c>
      <c r="E21" s="12">
        <v>0</v>
      </c>
      <c r="F21" s="12">
        <v>0</v>
      </c>
      <c r="G21" s="20">
        <f t="shared" si="1"/>
        <v>1</v>
      </c>
      <c r="H21" s="20"/>
      <c r="I21" s="21">
        <f t="shared" si="2"/>
        <v>4.1562759767248547E-2</v>
      </c>
      <c r="J21" s="11" t="s">
        <v>34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21" customHeight="1" x14ac:dyDescent="0.55000000000000004">
      <c r="A22" s="19" t="s">
        <v>37</v>
      </c>
      <c r="B22" s="12">
        <v>1</v>
      </c>
      <c r="C22" s="12">
        <v>0</v>
      </c>
      <c r="D22" s="12">
        <v>0</v>
      </c>
      <c r="E22" s="12">
        <v>0</v>
      </c>
      <c r="F22" s="12">
        <v>0</v>
      </c>
      <c r="G22" s="20">
        <f t="shared" si="1"/>
        <v>1</v>
      </c>
      <c r="H22" s="20"/>
      <c r="I22" s="21">
        <f t="shared" si="2"/>
        <v>4.1562759767248547E-2</v>
      </c>
      <c r="J22" s="11" t="s">
        <v>36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21" customHeight="1" x14ac:dyDescent="0.55000000000000004">
      <c r="A23" s="19" t="s">
        <v>39</v>
      </c>
      <c r="B23" s="12">
        <v>7</v>
      </c>
      <c r="C23" s="12">
        <v>7</v>
      </c>
      <c r="D23" s="12">
        <v>0</v>
      </c>
      <c r="E23" s="12">
        <v>0</v>
      </c>
      <c r="F23" s="12">
        <v>0</v>
      </c>
      <c r="G23" s="20">
        <f t="shared" si="1"/>
        <v>14</v>
      </c>
      <c r="H23" s="20"/>
      <c r="I23" s="21">
        <f t="shared" si="2"/>
        <v>0.58187863674147966</v>
      </c>
      <c r="J23" s="11" t="s">
        <v>38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21" customHeight="1" x14ac:dyDescent="0.55000000000000004">
      <c r="A24" s="19" t="s">
        <v>41</v>
      </c>
      <c r="B24" s="12">
        <v>31</v>
      </c>
      <c r="C24" s="12">
        <v>3</v>
      </c>
      <c r="D24" s="12">
        <v>0</v>
      </c>
      <c r="E24" s="12">
        <v>0</v>
      </c>
      <c r="F24" s="12">
        <v>0</v>
      </c>
      <c r="G24" s="20">
        <f t="shared" si="1"/>
        <v>34</v>
      </c>
      <c r="H24" s="20"/>
      <c r="I24" s="21">
        <f t="shared" si="2"/>
        <v>1.4131338320864506</v>
      </c>
      <c r="J24" s="11" t="s">
        <v>40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21" customHeight="1" x14ac:dyDescent="0.55000000000000004">
      <c r="A25" s="19" t="s">
        <v>43</v>
      </c>
      <c r="B25" s="12">
        <v>0</v>
      </c>
      <c r="C25" s="12">
        <v>1</v>
      </c>
      <c r="D25" s="12">
        <v>1</v>
      </c>
      <c r="E25" s="12">
        <v>0</v>
      </c>
      <c r="F25" s="12">
        <v>0</v>
      </c>
      <c r="G25" s="20">
        <f t="shared" si="1"/>
        <v>2</v>
      </c>
      <c r="H25" s="20"/>
      <c r="I25" s="21">
        <f t="shared" si="2"/>
        <v>8.3125519534497094E-2</v>
      </c>
      <c r="J25" s="11" t="s">
        <v>42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21" customHeight="1" x14ac:dyDescent="0.55000000000000004">
      <c r="A26" s="19" t="s">
        <v>45</v>
      </c>
      <c r="B26" s="12">
        <v>31</v>
      </c>
      <c r="C26" s="12">
        <v>23</v>
      </c>
      <c r="D26" s="12">
        <v>11</v>
      </c>
      <c r="E26" s="12">
        <v>7</v>
      </c>
      <c r="F26" s="12">
        <v>2</v>
      </c>
      <c r="G26" s="20">
        <f t="shared" si="1"/>
        <v>74</v>
      </c>
      <c r="H26" s="20"/>
      <c r="I26" s="21">
        <f t="shared" si="2"/>
        <v>3.0756442227763925</v>
      </c>
      <c r="J26" s="11" t="s">
        <v>44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21" customHeight="1" x14ac:dyDescent="0.55000000000000004">
      <c r="A27" s="19" t="s">
        <v>47</v>
      </c>
      <c r="B27" s="12">
        <v>39</v>
      </c>
      <c r="C27" s="12">
        <v>10</v>
      </c>
      <c r="D27" s="12">
        <v>3</v>
      </c>
      <c r="E27" s="12">
        <v>5</v>
      </c>
      <c r="F27" s="12">
        <v>2</v>
      </c>
      <c r="G27" s="20">
        <f t="shared" si="1"/>
        <v>59</v>
      </c>
      <c r="H27" s="20"/>
      <c r="I27" s="21">
        <f t="shared" si="2"/>
        <v>2.4522028262676643</v>
      </c>
      <c r="J27" s="11" t="s">
        <v>46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21" customHeight="1" x14ac:dyDescent="0.55000000000000004">
      <c r="A28" s="19" t="s">
        <v>49</v>
      </c>
      <c r="B28" s="12">
        <v>199</v>
      </c>
      <c r="C28" s="12">
        <v>68</v>
      </c>
      <c r="D28" s="12">
        <v>3</v>
      </c>
      <c r="E28" s="12">
        <v>5</v>
      </c>
      <c r="F28" s="12">
        <v>0</v>
      </c>
      <c r="G28" s="20">
        <f t="shared" si="1"/>
        <v>275</v>
      </c>
      <c r="H28" s="20"/>
      <c r="I28" s="21">
        <f>G28/$G$6*100</f>
        <v>11.42975893599335</v>
      </c>
      <c r="J28" s="11" t="s">
        <v>48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21" customHeight="1" x14ac:dyDescent="0.55000000000000004">
      <c r="A29" s="19" t="s">
        <v>51</v>
      </c>
      <c r="B29" s="12">
        <v>6</v>
      </c>
      <c r="C29" s="12">
        <v>8</v>
      </c>
      <c r="D29" s="12">
        <v>0</v>
      </c>
      <c r="E29" s="12">
        <v>1</v>
      </c>
      <c r="F29" s="12">
        <v>2</v>
      </c>
      <c r="G29" s="20">
        <f t="shared" si="1"/>
        <v>17</v>
      </c>
      <c r="H29" s="20"/>
      <c r="I29" s="21">
        <f t="shared" si="2"/>
        <v>0.7065669160432253</v>
      </c>
      <c r="J29" s="11" t="s">
        <v>50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21" customHeight="1" x14ac:dyDescent="0.55000000000000004">
      <c r="A30" s="19" t="s">
        <v>53</v>
      </c>
      <c r="B30" s="12">
        <v>1</v>
      </c>
      <c r="C30" s="12">
        <v>1</v>
      </c>
      <c r="D30" s="12">
        <v>0</v>
      </c>
      <c r="E30" s="12">
        <v>0</v>
      </c>
      <c r="F30" s="12">
        <v>0</v>
      </c>
      <c r="G30" s="20">
        <f t="shared" si="1"/>
        <v>2</v>
      </c>
      <c r="H30" s="20"/>
      <c r="I30" s="21">
        <f t="shared" si="2"/>
        <v>8.3125519534497094E-2</v>
      </c>
      <c r="J30" s="11" t="s">
        <v>52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7.25" customHeight="1" x14ac:dyDescent="0.55000000000000004">
      <c r="A31" s="19" t="s">
        <v>55</v>
      </c>
      <c r="B31" s="12">
        <v>129</v>
      </c>
      <c r="C31" s="12">
        <v>42</v>
      </c>
      <c r="D31" s="12">
        <v>6</v>
      </c>
      <c r="E31" s="12">
        <v>1</v>
      </c>
      <c r="F31" s="12">
        <v>2</v>
      </c>
      <c r="G31" s="20">
        <f t="shared" si="1"/>
        <v>180</v>
      </c>
      <c r="H31" s="20"/>
      <c r="I31" s="21">
        <f t="shared" si="2"/>
        <v>7.4812967581047385</v>
      </c>
      <c r="J31" s="11" t="s">
        <v>54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21.75" customHeight="1" x14ac:dyDescent="0.55000000000000004">
      <c r="A32" s="25" t="s">
        <v>35</v>
      </c>
      <c r="B32" s="35">
        <v>459</v>
      </c>
      <c r="C32" s="35">
        <v>97</v>
      </c>
      <c r="D32" s="35">
        <v>12</v>
      </c>
      <c r="E32" s="35">
        <v>13</v>
      </c>
      <c r="F32" s="35">
        <v>4</v>
      </c>
      <c r="G32" s="20">
        <f t="shared" si="1"/>
        <v>585</v>
      </c>
      <c r="H32" s="26"/>
      <c r="I32" s="27">
        <f>G32/$G$6*100</f>
        <v>24.314214463840401</v>
      </c>
      <c r="J32" s="28" t="s">
        <v>56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5.75" customHeight="1" x14ac:dyDescent="0.45">
      <c r="A33" s="29" t="s">
        <v>3</v>
      </c>
      <c r="B33" s="13"/>
      <c r="C33" s="30"/>
      <c r="D33" s="30"/>
      <c r="E33" s="30"/>
      <c r="F33" s="30"/>
      <c r="G33" s="31"/>
      <c r="H33" s="30"/>
      <c r="I33" s="30"/>
      <c r="J33" s="32" t="s">
        <v>4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customHeight="1" x14ac:dyDescent="0.25">
      <c r="A34" s="13"/>
      <c r="B34" s="13"/>
      <c r="C34" s="13"/>
      <c r="D34" s="33"/>
      <c r="E34" s="33"/>
      <c r="F34" s="33"/>
      <c r="G34" s="13"/>
      <c r="H34" s="13"/>
      <c r="I34" s="13"/>
      <c r="J34" s="1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9"/>
      <c r="AD35" s="9"/>
    </row>
    <row r="36" spans="1:30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6"/>
      <c r="AD36" s="6"/>
    </row>
    <row r="37" spans="1:30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</sheetData>
  <mergeCells count="6">
    <mergeCell ref="A1:J1"/>
    <mergeCell ref="A2:J2"/>
    <mergeCell ref="A4:A5"/>
    <mergeCell ref="B4:H4"/>
    <mergeCell ref="I4:I5"/>
    <mergeCell ref="J4:J5"/>
  </mergeCells>
  <pageMargins left="0.7" right="0.7" top="0.75" bottom="0.75" header="0" footer="0"/>
  <pageSetup paperSize="9" scale="53" orientation="landscape" r:id="rId1"/>
  <rowBreaks count="1" manualBreakCount="1">
    <brk id="49" max="10" man="1"/>
  </rowBreaks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18.13</vt:lpstr>
      <vt:lpstr>'18.13'!Print_Area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2024-08-07T03:37:44Z</cp:lastPrinted>
  <dcterms:modified xsi:type="dcterms:W3CDTF">2024-08-07T03:37:59Z</dcterms:modified>
</cp:coreProperties>
</file>