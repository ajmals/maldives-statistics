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1C1DA6C0-3C2D-4C10-8CF6-60023C49369A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18.5" sheetId="5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5" l="1"/>
  <c r="E18" i="5"/>
  <c r="E17" i="5"/>
  <c r="E16" i="5"/>
  <c r="E15" i="5"/>
  <c r="E14" i="5"/>
  <c r="E13" i="5"/>
  <c r="E12" i="5"/>
  <c r="E11" i="5"/>
  <c r="E10" i="5"/>
  <c r="E9" i="5"/>
  <c r="E8" i="5"/>
</calcChain>
</file>

<file path=xl/sharedStrings.xml><?xml version="1.0" encoding="utf-8"?>
<sst xmlns="http://schemas.openxmlformats.org/spreadsheetml/2006/main" count="39" uniqueCount="36">
  <si>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</si>
  <si>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</si>
  <si>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</si>
  <si>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</si>
  <si>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</si>
  <si>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</si>
  <si>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</si>
  <si>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</si>
  <si>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</si>
  <si>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</si>
  <si>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</si>
  <si>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</si>
  <si>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</si>
  <si>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</si>
  <si>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</si>
  <si>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</si>
  <si>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</si>
  <si>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</si>
  <si>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</si>
  <si>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</si>
  <si>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</si>
  <si>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</si>
  <si>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</si>
  <si>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</si>
  <si>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</si>
  <si>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</si>
  <si>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</si>
  <si>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</si>
  <si>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</si>
  <si>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65-69</t>
  </si>
  <si>
    <t>70-74</t>
  </si>
  <si>
    <r>
      <rPr>
        <b/>
        <sz val="11"/>
        <color rgb="FF000000"/>
        <rFont val="Calibri"/>
      </rP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</si>
  <si>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&lt; 65</t>
  </si>
  <si>
    <t>75+</t>
  </si>
  <si>
    <t>TABLE   18.5: NUMBER OF BENEFICIARIES OF RETIREMENT PENSION SCHEME BY AGE, 2022 - 2023</t>
  </si>
  <si>
    <t>ތާވަލު  18.5 :ރިޓާޔަމަންޓް ޕެންޝަން ލިބޭ މީހުންގެ އަދަދު އަދި ޢުމުރުފުރާތައް، 2022 - 2023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</si>
</sst>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sz val="9"/>
      <color rgb="FF000000"/>
      <name val="Calibri"/>
    </font>
    <font>
      <i/>
      <sz val="9"/>
      <color rgb="FF000000"/>
      <name val="Calibri"/>
    </font>
    <font>
      <sz val="9"/>
      <color rgb="FF000000"/>
      <name val="Faruma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2">
    <xf numFmtId="0" fontId="0" fillId="0" borderId="0"/>
    <xf numFmtId="164" fontId="11" fillId="0" borderId="19"/>
    <xf numFmtId="43" fontId="9" fillId="0" borderId="19" applyFont="0" applyFill="0" applyBorder="0" applyAlignment="0" applyProtection="0"/>
    <xf numFmtId="43" fontId="9" fillId="0" borderId="19" applyFont="0" applyFill="0" applyBorder="0" applyAlignment="0" applyProtection="0"/>
    <xf numFmtId="0" fontId="9" fillId="0" borderId="19"/>
    <xf numFmtId="0" fontId="9" fillId="0" borderId="19"/>
    <xf numFmtId="0" fontId="9" fillId="0" borderId="19"/>
    <xf numFmtId="0" fontId="9" fillId="0" borderId="19"/>
    <xf numFmtId="0" fontId="9" fillId="0" borderId="19"/>
    <xf numFmtId="0" fontId="9" fillId="0" borderId="19"/>
    <xf numFmtId="0" fontId="9" fillId="0" borderId="19"/>
    <xf numFmtId="0" fontId="9" fillId="0" borderId="19"/>
  </cellStyleXfs>
  <cellXfs count="41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14" fontId="3" fillId="2" borderId="4" xfId="0" applyNumberFormat="1" applyFont="1" applyFill="1" applyBorder="1"/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horizontal="right" vertical="center" wrapText="1"/>
    </xf>
    <xf numFmtId="0" fontId="4" fillId="2" borderId="16" xfId="0" applyFont="1" applyFill="1" applyBorder="1" applyAlignment="1">
      <alignment horizontal="right" vertical="center" wrapText="1"/>
    </xf>
    <xf numFmtId="3" fontId="3" fillId="2" borderId="17" xfId="0" applyNumberFormat="1" applyFont="1" applyFill="1" applyBorder="1" applyAlignment="1">
      <alignment vertical="center" wrapText="1"/>
    </xf>
    <xf numFmtId="3" fontId="3" fillId="2" borderId="16" xfId="0" applyNumberFormat="1" applyFont="1" applyFill="1" applyBorder="1" applyAlignment="1">
      <alignment vertical="center" wrapText="1"/>
    </xf>
    <xf numFmtId="0" fontId="6" fillId="2" borderId="4" xfId="0" applyFont="1" applyFill="1" applyBorder="1" applyAlignment="1">
      <alignment wrapText="1"/>
    </xf>
    <xf numFmtId="2" fontId="3" fillId="2" borderId="4" xfId="0" applyNumberFormat="1" applyFont="1" applyFill="1" applyBorder="1" applyAlignment="1">
      <alignment wrapText="1"/>
    </xf>
    <xf numFmtId="0" fontId="0" fillId="3" borderId="0" xfId="0" applyFill="1"/>
    <xf numFmtId="0" fontId="4" fillId="2" borderId="20" xfId="0" applyFont="1" applyFill="1" applyBorder="1" applyAlignment="1">
      <alignment horizontal="right" vertical="center" wrapText="1"/>
    </xf>
    <xf numFmtId="164" fontId="3" fillId="4" borderId="19" xfId="0" applyNumberFormat="1" applyFont="1" applyFill="1" applyBorder="1" applyAlignment="1">
      <alignment vertical="center" wrapText="1"/>
    </xf>
    <xf numFmtId="164" fontId="3" fillId="4" borderId="18" xfId="0" applyNumberFormat="1" applyFont="1" applyFill="1" applyBorder="1" applyAlignment="1">
      <alignment vertical="center" wrapText="1"/>
    </xf>
    <xf numFmtId="164" fontId="3" fillId="4" borderId="20" xfId="0" applyNumberFormat="1" applyFont="1" applyFill="1" applyBorder="1" applyAlignment="1">
      <alignment vertical="center" wrapText="1"/>
    </xf>
    <xf numFmtId="164" fontId="3" fillId="4" borderId="15" xfId="0" applyNumberFormat="1" applyFont="1" applyFill="1" applyBorder="1" applyAlignment="1">
      <alignment vertical="center" wrapText="1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11" xfId="0" applyFont="1" applyFill="1" applyBorder="1"/>
    <xf numFmtId="0" fontId="2" fillId="3" borderId="10" xfId="0" applyFont="1" applyFill="1" applyBorder="1"/>
    <xf numFmtId="0" fontId="2" fillId="3" borderId="2" xfId="0" applyFont="1" applyFill="1" applyBorder="1"/>
    <xf numFmtId="0" fontId="2" fillId="3" borderId="19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2" fillId="3" borderId="7" xfId="0" applyFont="1" applyFill="1" applyBorder="1"/>
    <xf numFmtId="0" fontId="2" fillId="3" borderId="13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/>
    </xf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CCC7"/>
      <color rgb="FF00EEE8"/>
      <color rgb="FF009999"/>
      <color rgb="FFE7FFFF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8170167886122355"/>
          <c:y val="0.19600135466937602"/>
          <c:w val="0.37867997808685128"/>
          <c:h val="0.7842340191347048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EBEB"/>
              </a:solidFill>
            </c:spPr>
            <c:extLst>
              <c:ext xmlns:c16="http://schemas.microsoft.com/office/drawing/2014/chart" uri="{C3380CC4-5D6E-409C-BE32-E72D297353CC}">
                <c16:uniqueId val="{00000001-D0D5-4741-ABEF-049C0AF4E0EF}"/>
              </c:ext>
            </c:extLst>
          </c:dPt>
          <c:dPt>
            <c:idx val="1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3-D0D5-4741-ABEF-049C0AF4E0EF}"/>
              </c:ext>
            </c:extLst>
          </c:dPt>
          <c:dPt>
            <c:idx val="2"/>
            <c:bubble3D val="0"/>
            <c:spPr>
              <a:solidFill>
                <a:srgbClr val="00EEE8"/>
              </a:solidFill>
            </c:spPr>
            <c:extLst>
              <c:ext xmlns:c16="http://schemas.microsoft.com/office/drawing/2014/chart" uri="{C3380CC4-5D6E-409C-BE32-E72D297353CC}">
                <c16:uniqueId val="{00000004-D0D5-4741-ABEF-049C0AF4E0EF}"/>
              </c:ext>
            </c:extLst>
          </c:dPt>
          <c:dPt>
            <c:idx val="3"/>
            <c:bubble3D val="0"/>
            <c:spPr>
              <a:solidFill>
                <a:srgbClr val="00CCC7"/>
              </a:solidFill>
            </c:spPr>
            <c:extLst>
              <c:ext xmlns:c16="http://schemas.microsoft.com/office/drawing/2014/chart" uri="{C3380CC4-5D6E-409C-BE32-E72D297353CC}">
                <c16:uniqueId val="{00000005-D0D5-4741-ABEF-049C0AF4E0EF}"/>
              </c:ext>
            </c:extLst>
          </c:dPt>
          <c:dLbls>
            <c:dLbl>
              <c:idx val="0"/>
              <c:layout>
                <c:manualLayout>
                  <c:x val="1.1448770356809758E-2"/>
                  <c:y val="-0.1378659112370160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258916776750313E-2"/>
                      <c:h val="0.122417374881964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0D5-4741-ABEF-049C0AF4E0EF}"/>
                </c:ext>
              </c:extLst>
            </c:dLbl>
            <c:dLbl>
              <c:idx val="1"/>
              <c:layout>
                <c:manualLayout>
                  <c:x val="-9.3350946719506889E-2"/>
                  <c:y val="4.53257790368271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5-4741-ABEF-049C0AF4E0EF}"/>
                </c:ext>
              </c:extLst>
            </c:dLbl>
            <c:dLbl>
              <c:idx val="2"/>
              <c:layout>
                <c:manualLayout>
                  <c:x val="1.7613386173491853E-3"/>
                  <c:y val="2.6440037771482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D5-4741-ABEF-049C0AF4E0EF}"/>
                </c:ext>
              </c:extLst>
            </c:dLbl>
            <c:dLbl>
              <c:idx val="3"/>
              <c:layout>
                <c:manualLayout>
                  <c:x val="-5.2840158520476204E-3"/>
                  <c:y val="-1.88857412653446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D5-4741-ABEF-049C0AF4E0E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'18.5'!$F$7:$I$7</c:f>
              <c:strCache>
                <c:ptCount val="4"/>
                <c:pt idx="0">
                  <c:v>&lt; 65</c:v>
                </c:pt>
                <c:pt idx="1">
                  <c:v>65-69</c:v>
                </c:pt>
                <c:pt idx="2">
                  <c:v>70-74</c:v>
                </c:pt>
                <c:pt idx="3">
                  <c:v>75+</c:v>
                </c:pt>
              </c:strCache>
            </c:strRef>
          </c:cat>
          <c:val>
            <c:numRef>
              <c:f>'18.5'!$F$19:$I$19</c:f>
              <c:numCache>
                <c:formatCode>_(* #,##0_);_(* \(#,##0\);_(* "-"??_);_(@_)</c:formatCode>
                <c:ptCount val="4"/>
                <c:pt idx="0">
                  <c:v>16</c:v>
                </c:pt>
                <c:pt idx="1">
                  <c:v>1500</c:v>
                </c:pt>
                <c:pt idx="2">
                  <c:v>246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5-4741-ABEF-049C0AF4E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85725</xdr:rowOff>
    </xdr:from>
    <xdr:ext cx="7210425" cy="3362325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0.12021</cdr:x>
      <cdr:y>0.03966</cdr:y>
    </cdr:from>
    <cdr:to>
      <cdr:x>0.95879</cdr:x>
      <cdr:y>0.14448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F81A318-CE6B-782D-8264-81F5EE1E3A9F}"/>
            </a:ext>
          </a:extLst>
        </cdr:cNvPr>
        <cdr:cNvSpPr txBox="1"/>
      </cdr:nvSpPr>
      <cdr:spPr>
        <a:xfrm xmlns:a="http://schemas.openxmlformats.org/drawingml/2006/main">
          <a:off x="866775" y="133350"/>
          <a:ext cx="6046531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effectLst/>
              <a:latin typeface="+mn-lt"/>
              <a:ea typeface="+mn-ea"/>
              <a:cs typeface="+mn-cs"/>
            </a:rPr>
            <a:t>Figure 18.7: Percentage share of beneficiaries of retirement pension scheme by age group, 2023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H1000"/>
  <sheetViews>
    <sheetView tabSelected="1" zoomScale="77" zoomScaleNormal="77" workbookViewId="0">
      <selection activeCell="S13" sqref="S13"/>
    </sheetView>
  </sheetViews>
  <sheetFormatPr defaultColWidth="14.42578125" defaultRowHeight="15" customHeight="1"/>
  <cols>
    <col min="1" max="1" width="9.85546875" style="20" customWidth="1"/>
    <col min="2" max="9" width="10.85546875" style="20" customWidth="1"/>
    <col min="10" max="10" width="13.42578125" style="20" customWidth="1"/>
    <col min="11" max="11" width="3.7109375" style="20" customWidth="1"/>
    <col min="12" max="24" width="8" style="20" customWidth="1"/>
    <col min="25" max="25" width="11.85546875" style="20" customWidth="1"/>
    <col min="26" max="33" width="8" style="20" customWidth="1"/>
    <col min="34" max="34" width="14.42578125" style="20" customWidth="1"/>
    <col min="35" max="16384" width="14.42578125" style="20"/>
  </cols>
  <sheetData>
    <row r="1" spans="1:34" ht="4.5" customHeight="1">
      <c r="A1" s="1"/>
      <c r="B1" s="11"/>
      <c r="C1" s="11"/>
      <c r="D1" s="11"/>
      <c r="E1" s="11"/>
      <c r="F1" s="11"/>
      <c r="G1" s="11"/>
      <c r="H1" s="11"/>
      <c r="I1" s="1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" customHeight="1">
      <c r="A2" s="33" t="s">
        <v>35</v>
      </c>
      <c r="B2" s="30"/>
      <c r="C2" s="30"/>
      <c r="D2" s="30"/>
      <c r="E2" s="31"/>
      <c r="F2" s="31"/>
      <c r="G2" s="31"/>
      <c r="H2" s="31"/>
      <c r="I2" s="31"/>
      <c r="J2" s="3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"/>
      <c r="AF2" s="1"/>
      <c r="AG2" s="1"/>
      <c r="AH2" s="1"/>
    </row>
    <row r="3" spans="1:34" ht="15.75" customHeight="1">
      <c r="A3" s="38" t="s">
        <v>34</v>
      </c>
      <c r="B3" s="30"/>
      <c r="C3" s="30"/>
      <c r="D3" s="30"/>
      <c r="E3" s="31"/>
      <c r="F3" s="31"/>
      <c r="G3" s="31"/>
      <c r="H3" s="31"/>
      <c r="I3" s="31"/>
      <c r="J3" s="3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9" customHeight="1">
      <c r="A4" s="1"/>
      <c r="B4" s="11"/>
      <c r="C4" s="11"/>
      <c r="D4" s="11"/>
      <c r="E4" s="11"/>
      <c r="F4" s="11"/>
      <c r="G4" s="11"/>
      <c r="H4" s="11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8" customHeight="1">
      <c r="A5" s="34" t="s">
        <v>3</v>
      </c>
      <c r="B5" s="40" t="s">
        <v>31</v>
      </c>
      <c r="C5" s="40"/>
      <c r="D5" s="40"/>
      <c r="E5" s="40"/>
      <c r="F5" s="40"/>
      <c r="G5" s="40"/>
      <c r="H5" s="40"/>
      <c r="I5" s="40"/>
      <c r="J5" s="37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5" customHeight="1">
      <c r="A6" s="35"/>
      <c r="B6" s="28"/>
      <c r="C6" s="28"/>
      <c r="D6" s="29"/>
      <c r="E6" s="39">
        <v>2023</v>
      </c>
      <c r="F6" s="26"/>
      <c r="G6" s="26"/>
      <c r="H6" s="26"/>
      <c r="I6" s="27"/>
      <c r="J6" s="3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" customHeight="1">
      <c r="A7" s="36"/>
      <c r="B7" s="21" t="s">
        <v>29</v>
      </c>
      <c r="C7" s="21" t="s">
        <v>30</v>
      </c>
      <c r="D7" s="14" t="s">
        <v>33</v>
      </c>
      <c r="E7" s="15" t="s">
        <v>0</v>
      </c>
      <c r="F7" s="13" t="s">
        <v>32</v>
      </c>
      <c r="G7" s="13" t="s">
        <v>29</v>
      </c>
      <c r="H7" s="13" t="s">
        <v>30</v>
      </c>
      <c r="I7" s="13" t="s">
        <v>33</v>
      </c>
      <c r="J7" s="36"/>
      <c r="K7" s="1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1" customHeight="1">
      <c r="A8" s="2" t="s">
        <v>5</v>
      </c>
      <c r="B8" s="22">
        <v>1276</v>
      </c>
      <c r="C8" s="22">
        <v>261</v>
      </c>
      <c r="D8" s="23">
        <v>99</v>
      </c>
      <c r="E8" s="16">
        <f t="shared" ref="E8:E19" si="0">SUM(F8:I8)</f>
        <v>1818</v>
      </c>
      <c r="F8" s="22">
        <v>20</v>
      </c>
      <c r="G8" s="22">
        <v>1441</v>
      </c>
      <c r="H8" s="22">
        <v>253</v>
      </c>
      <c r="I8" s="22">
        <v>104</v>
      </c>
      <c r="J8" s="3" t="s">
        <v>6</v>
      </c>
      <c r="K8" s="1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1" customHeight="1">
      <c r="A9" s="2" t="s">
        <v>7</v>
      </c>
      <c r="B9" s="22">
        <v>1311</v>
      </c>
      <c r="C9" s="22">
        <v>267</v>
      </c>
      <c r="D9" s="23">
        <v>101</v>
      </c>
      <c r="E9" s="16">
        <f t="shared" si="0"/>
        <v>1852</v>
      </c>
      <c r="F9" s="22">
        <v>9</v>
      </c>
      <c r="G9" s="22">
        <v>1476</v>
      </c>
      <c r="H9" s="22">
        <v>260</v>
      </c>
      <c r="I9" s="22">
        <v>107</v>
      </c>
      <c r="J9" s="3" t="s">
        <v>8</v>
      </c>
      <c r="K9" s="1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1" customHeight="1">
      <c r="A10" s="2" t="s">
        <v>9</v>
      </c>
      <c r="B10" s="22">
        <v>1276</v>
      </c>
      <c r="C10" s="22">
        <v>259</v>
      </c>
      <c r="D10" s="23">
        <v>99</v>
      </c>
      <c r="E10" s="16">
        <f t="shared" si="0"/>
        <v>1849</v>
      </c>
      <c r="F10" s="22">
        <v>27</v>
      </c>
      <c r="G10" s="22">
        <v>1471</v>
      </c>
      <c r="H10" s="22">
        <v>245</v>
      </c>
      <c r="I10" s="22">
        <v>106</v>
      </c>
      <c r="J10" s="3" t="s">
        <v>10</v>
      </c>
      <c r="K10" s="1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1" customHeight="1">
      <c r="A11" s="2" t="s">
        <v>11</v>
      </c>
      <c r="B11" s="22">
        <v>1284</v>
      </c>
      <c r="C11" s="22">
        <v>264</v>
      </c>
      <c r="D11" s="23">
        <v>97</v>
      </c>
      <c r="E11" s="16">
        <f t="shared" si="0"/>
        <v>1851</v>
      </c>
      <c r="F11" s="22">
        <v>22</v>
      </c>
      <c r="G11" s="22">
        <v>1481</v>
      </c>
      <c r="H11" s="22">
        <v>244</v>
      </c>
      <c r="I11" s="22">
        <v>104</v>
      </c>
      <c r="J11" s="3" t="s">
        <v>12</v>
      </c>
      <c r="K11" s="1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1" customHeight="1">
      <c r="A12" s="2" t="s">
        <v>13</v>
      </c>
      <c r="B12" s="22">
        <v>1297</v>
      </c>
      <c r="C12" s="22">
        <v>256</v>
      </c>
      <c r="D12" s="23">
        <v>96</v>
      </c>
      <c r="E12" s="16">
        <f t="shared" si="0"/>
        <v>1838</v>
      </c>
      <c r="F12" s="22">
        <v>23</v>
      </c>
      <c r="G12" s="22">
        <v>1473</v>
      </c>
      <c r="H12" s="22">
        <v>236</v>
      </c>
      <c r="I12" s="22">
        <v>106</v>
      </c>
      <c r="J12" s="3" t="s">
        <v>14</v>
      </c>
      <c r="K12" s="1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1" customHeight="1">
      <c r="A13" s="2" t="s">
        <v>15</v>
      </c>
      <c r="B13" s="22">
        <v>1329</v>
      </c>
      <c r="C13" s="22">
        <v>257</v>
      </c>
      <c r="D13" s="23">
        <v>96</v>
      </c>
      <c r="E13" s="16">
        <f t="shared" si="0"/>
        <v>1839</v>
      </c>
      <c r="F13" s="22">
        <v>14</v>
      </c>
      <c r="G13" s="22">
        <v>1482</v>
      </c>
      <c r="H13" s="22">
        <v>236</v>
      </c>
      <c r="I13" s="22">
        <v>107</v>
      </c>
      <c r="J13" s="3" t="s">
        <v>16</v>
      </c>
      <c r="K13" s="1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1" customHeight="1">
      <c r="A14" s="2" t="s">
        <v>17</v>
      </c>
      <c r="B14" s="22">
        <v>1343</v>
      </c>
      <c r="C14" s="22">
        <v>246</v>
      </c>
      <c r="D14" s="23">
        <v>93</v>
      </c>
      <c r="E14" s="16">
        <f t="shared" si="0"/>
        <v>1841</v>
      </c>
      <c r="F14" s="22">
        <v>12</v>
      </c>
      <c r="G14" s="22">
        <v>1496</v>
      </c>
      <c r="H14" s="22">
        <v>226</v>
      </c>
      <c r="I14" s="22">
        <v>107</v>
      </c>
      <c r="J14" s="3" t="s">
        <v>18</v>
      </c>
      <c r="K14" s="1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1" customHeight="1">
      <c r="A15" s="2" t="s">
        <v>19</v>
      </c>
      <c r="B15" s="22">
        <v>1335</v>
      </c>
      <c r="C15" s="22">
        <v>250</v>
      </c>
      <c r="D15" s="23">
        <v>96</v>
      </c>
      <c r="E15" s="16">
        <f t="shared" si="0"/>
        <v>1857</v>
      </c>
      <c r="F15" s="22">
        <v>12</v>
      </c>
      <c r="G15" s="22">
        <v>1518</v>
      </c>
      <c r="H15" s="22">
        <v>219</v>
      </c>
      <c r="I15" s="22">
        <v>108</v>
      </c>
      <c r="J15" s="3" t="s">
        <v>20</v>
      </c>
      <c r="K15" s="1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1" customHeight="1">
      <c r="A16" s="2" t="s">
        <v>21</v>
      </c>
      <c r="B16" s="22">
        <v>1306</v>
      </c>
      <c r="C16" s="22">
        <v>266</v>
      </c>
      <c r="D16" s="23">
        <v>105</v>
      </c>
      <c r="E16" s="16">
        <f t="shared" si="0"/>
        <v>1874</v>
      </c>
      <c r="F16" s="22">
        <v>24</v>
      </c>
      <c r="G16" s="22">
        <v>1491</v>
      </c>
      <c r="H16" s="22">
        <v>251</v>
      </c>
      <c r="I16" s="22">
        <v>108</v>
      </c>
      <c r="J16" s="3" t="s">
        <v>22</v>
      </c>
      <c r="K16" s="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1" customHeight="1">
      <c r="A17" s="2" t="s">
        <v>23</v>
      </c>
      <c r="B17" s="22">
        <v>1300</v>
      </c>
      <c r="C17" s="22">
        <v>264</v>
      </c>
      <c r="D17" s="23">
        <v>103</v>
      </c>
      <c r="E17" s="16">
        <f t="shared" si="0"/>
        <v>1875</v>
      </c>
      <c r="F17" s="22">
        <v>15</v>
      </c>
      <c r="G17" s="22">
        <v>1504</v>
      </c>
      <c r="H17" s="22">
        <v>245</v>
      </c>
      <c r="I17" s="22">
        <v>111</v>
      </c>
      <c r="J17" s="3" t="s">
        <v>24</v>
      </c>
      <c r="K17" s="1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1" customHeight="1">
      <c r="A18" s="2" t="s">
        <v>25</v>
      </c>
      <c r="B18" s="22">
        <v>1282</v>
      </c>
      <c r="C18" s="22">
        <v>261</v>
      </c>
      <c r="D18" s="23">
        <v>105</v>
      </c>
      <c r="E18" s="16">
        <f t="shared" si="0"/>
        <v>1878</v>
      </c>
      <c r="F18" s="22">
        <v>16</v>
      </c>
      <c r="G18" s="22">
        <v>1510</v>
      </c>
      <c r="H18" s="22">
        <v>245</v>
      </c>
      <c r="I18" s="22">
        <v>107</v>
      </c>
      <c r="J18" s="4" t="s">
        <v>26</v>
      </c>
      <c r="K18" s="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1" customHeight="1">
      <c r="A19" s="5" t="s">
        <v>27</v>
      </c>
      <c r="B19" s="24">
        <v>1283</v>
      </c>
      <c r="C19" s="24">
        <v>259</v>
      </c>
      <c r="D19" s="25">
        <v>106</v>
      </c>
      <c r="E19" s="17">
        <f t="shared" si="0"/>
        <v>1869</v>
      </c>
      <c r="F19" s="24">
        <v>16</v>
      </c>
      <c r="G19" s="24">
        <v>1500</v>
      </c>
      <c r="H19" s="24">
        <v>246</v>
      </c>
      <c r="I19" s="24">
        <v>107</v>
      </c>
      <c r="J19" s="6" t="s">
        <v>28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5.75" customHeight="1">
      <c r="A20" s="8" t="s">
        <v>1</v>
      </c>
      <c r="B20" s="18"/>
      <c r="C20" s="18"/>
      <c r="D20" s="18"/>
      <c r="E20" s="18"/>
      <c r="F20" s="18"/>
      <c r="G20" s="18"/>
      <c r="H20" s="18"/>
      <c r="I20" s="18"/>
      <c r="J20" s="9" t="s">
        <v>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 customHeight="1">
      <c r="A22" s="1"/>
      <c r="B22" s="11"/>
      <c r="C22" s="11"/>
      <c r="D22" s="11"/>
      <c r="E22" s="11"/>
      <c r="F22" s="11"/>
      <c r="G22" s="11"/>
      <c r="H22" s="11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customHeight="1">
      <c r="A23" s="1"/>
      <c r="B23" s="11"/>
      <c r="C23" s="11"/>
      <c r="D23" s="11"/>
      <c r="E23" s="11"/>
      <c r="F23" s="11"/>
      <c r="G23" s="11"/>
      <c r="H23" s="11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customHeight="1">
      <c r="A24" s="1"/>
      <c r="B24" s="11"/>
      <c r="C24" s="11"/>
      <c r="D24" s="11"/>
      <c r="E24" s="11"/>
      <c r="F24" s="11"/>
      <c r="G24" s="11"/>
      <c r="H24" s="11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>
      <c r="A25" s="1"/>
      <c r="B25" s="11"/>
      <c r="C25" s="11"/>
      <c r="D25" s="11"/>
      <c r="E25" s="11"/>
      <c r="F25" s="11"/>
      <c r="G25" s="11"/>
      <c r="H25" s="11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5.75" customHeight="1">
      <c r="A26" s="1"/>
      <c r="B26" s="11"/>
      <c r="C26" s="11"/>
      <c r="D26" s="11"/>
      <c r="E26" s="11"/>
      <c r="F26" s="19"/>
      <c r="G26" s="11"/>
      <c r="H26" s="11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5.75" customHeight="1">
      <c r="A27" s="1"/>
      <c r="B27" s="11"/>
      <c r="C27" s="11"/>
      <c r="D27" s="11"/>
      <c r="E27" s="11"/>
      <c r="F27" s="11"/>
      <c r="G27" s="11"/>
      <c r="H27" s="11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7"/>
      <c r="AD27" s="1"/>
      <c r="AE27" s="1"/>
      <c r="AF27" s="1"/>
      <c r="AG27" s="1"/>
      <c r="AH27" s="1"/>
    </row>
    <row r="28" spans="1:34" ht="15.75" customHeight="1">
      <c r="A28" s="1"/>
      <c r="B28" s="11"/>
      <c r="C28" s="11"/>
      <c r="D28" s="11"/>
      <c r="E28" s="11"/>
      <c r="F28" s="11"/>
      <c r="G28" s="11"/>
      <c r="H28" s="11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customHeight="1">
      <c r="A29" s="1"/>
      <c r="B29" s="11"/>
      <c r="C29" s="11"/>
      <c r="D29" s="11"/>
      <c r="E29" s="11"/>
      <c r="F29" s="11"/>
      <c r="G29" s="11"/>
      <c r="H29" s="11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>
      <c r="A30" s="1"/>
      <c r="B30" s="11"/>
      <c r="C30" s="11"/>
      <c r="D30" s="11"/>
      <c r="E30" s="11"/>
      <c r="F30" s="11"/>
      <c r="G30" s="11"/>
      <c r="H30" s="11"/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>
      <c r="A31" s="1"/>
      <c r="B31" s="11"/>
      <c r="C31" s="11"/>
      <c r="D31" s="11"/>
      <c r="E31" s="11"/>
      <c r="F31" s="11"/>
      <c r="G31" s="11"/>
      <c r="H31" s="11"/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.75" customHeight="1">
      <c r="A32" s="1"/>
      <c r="B32" s="11"/>
      <c r="C32" s="11"/>
      <c r="D32" s="11"/>
      <c r="E32" s="11"/>
      <c r="F32" s="11"/>
      <c r="G32" s="11"/>
      <c r="H32" s="11"/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customHeight="1">
      <c r="A33" s="1"/>
      <c r="B33" s="11"/>
      <c r="C33" s="11"/>
      <c r="D33" s="11"/>
      <c r="E33" s="11"/>
      <c r="F33" s="11"/>
      <c r="G33" s="11"/>
      <c r="H33" s="11"/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5.75" customHeight="1">
      <c r="A34" s="1"/>
      <c r="B34" s="11"/>
      <c r="C34" s="11"/>
      <c r="D34" s="11"/>
      <c r="E34" s="11"/>
      <c r="F34" s="11"/>
      <c r="G34" s="11"/>
      <c r="H34" s="11"/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>
      <c r="A35" s="1"/>
      <c r="B35" s="11"/>
      <c r="C35" s="11"/>
      <c r="D35" s="11"/>
      <c r="E35" s="11"/>
      <c r="F35" s="11"/>
      <c r="G35" s="11"/>
      <c r="H35" s="11"/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.75" customHeight="1">
      <c r="A36" s="1"/>
      <c r="B36" s="11"/>
      <c r="C36" s="11"/>
      <c r="D36" s="11"/>
      <c r="E36" s="11"/>
      <c r="F36" s="11"/>
      <c r="G36" s="11"/>
      <c r="H36" s="11"/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75" customHeight="1">
      <c r="A37" s="1"/>
      <c r="B37" s="11"/>
      <c r="C37" s="11"/>
      <c r="D37" s="11"/>
      <c r="E37" s="11"/>
      <c r="F37" s="11"/>
      <c r="G37" s="11"/>
      <c r="H37" s="11"/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customHeight="1">
      <c r="A38" s="1"/>
      <c r="B38" s="11"/>
      <c r="C38" s="11"/>
      <c r="D38" s="11"/>
      <c r="E38" s="11"/>
      <c r="F38" s="11"/>
      <c r="G38" s="11"/>
      <c r="H38" s="11"/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75" customHeight="1">
      <c r="A39" s="1"/>
      <c r="B39" s="11"/>
      <c r="C39" s="11"/>
      <c r="D39" s="11"/>
      <c r="E39" s="11"/>
      <c r="F39" s="11"/>
      <c r="G39" s="11"/>
      <c r="H39" s="11"/>
      <c r="I39" s="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7">
    <mergeCell ref="A2:J2"/>
    <mergeCell ref="A3:J3"/>
    <mergeCell ref="A5:A7"/>
    <mergeCell ref="J5:J7"/>
    <mergeCell ref="B6:D6"/>
    <mergeCell ref="E6:I6"/>
    <mergeCell ref="B5:I5"/>
  </mergeCells>
  <pageMargins left="0.7" right="0.7" top="0.75" bottom="0.75" header="0" footer="0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2024-08-06T10:04:42Z</cp:lastPrinted>
  <dcterms:modified xsi:type="dcterms:W3CDTF">2024-08-06T10:05:16Z</dcterms:modified>
</cp:coreProperties>
</file>