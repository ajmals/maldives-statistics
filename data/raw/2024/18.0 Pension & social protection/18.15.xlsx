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F74CCA67-177B-4CA2-944F-C901F10E58E3}" xr6:coauthVersionLast="47" xr6:coauthVersionMax="47" xr10:uidLastSave="{00000000-0000-0000-0000-000000000000}"/>
  <bookViews>
    <workbookView xWindow="-120" yWindow="-120" windowWidth="29040" windowHeight="15720" tabRatio="687" xr2:uid="{00000000-000D-0000-FFFF-FFFF00000000}"/>
  </bookViews>
  <sheets>
    <sheet name="18.15" sheetId="15" r:id="rId1"/>
  </sheets>
  <externalReferences>
    <externalReference r:id="rId2"/>
  </externalReferences>
  <definedNames>
    <definedName name="_xlnm.Print_Area" localSheetId="0">'18.15'!$A$1:$G$55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5" l="1"/>
  <c r="E17" i="15"/>
  <c r="E9" i="15"/>
  <c r="E8" i="15"/>
  <c r="AF19" i="15"/>
  <c r="B7" i="15" l="1"/>
  <c r="D7" i="15"/>
  <c r="E10" i="15" l="1"/>
  <c r="E11" i="15"/>
  <c r="E23" i="15"/>
  <c r="E12" i="15"/>
  <c r="E24" i="15"/>
  <c r="E28" i="15"/>
  <c r="E29" i="15"/>
  <c r="E19" i="15"/>
  <c r="E31" i="15"/>
  <c r="E32" i="15"/>
  <c r="E13" i="15"/>
  <c r="E25" i="15"/>
  <c r="E14" i="15"/>
  <c r="E26" i="15"/>
  <c r="E27" i="15"/>
  <c r="E16" i="15"/>
  <c r="E18" i="15"/>
  <c r="E30" i="15"/>
  <c r="E20" i="15"/>
  <c r="E21" i="15"/>
  <c r="E22" i="15"/>
  <c r="E15" i="15"/>
  <c r="E7" i="15"/>
</calcChain>
</file>

<file path=xl/sharedStrings.xml><?xml version="1.0" encoding="utf-8"?>
<sst xmlns="http://schemas.openxmlformats.org/spreadsheetml/2006/main" count="95" uniqueCount="69">
  <si>
    <t>އިންސައްތަ</t>
  </si>
  <si>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</si>
  <si>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</si>
  <si>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</si>
  <si>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</si>
  <si>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</si>
  <si>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މުވައްޒަފުންގެ އަދަދު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</si>
  <si>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</si>
  <si>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</si>
  <si>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</si>
  <si>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</si>
  <si>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</si>
  <si>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</si>
  <si>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</si>
  <si>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</si>
  <si>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</si>
  <si>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</si>
  <si>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</si>
  <si>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</si>
  <si>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</si>
  <si>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</si>
  <si>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</si>
  <si>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</si>
  <si>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</si>
  <si>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</si>
  <si>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</si>
  <si>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</si>
  <si>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</si>
  <si>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</si>
  <si>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</si>
  <si>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</si>
  <si>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</si>
  <si>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Others</t>
  </si>
  <si>
    <t>ފެރީގެ ޙިދުމަތް</t>
  </si>
  <si>
    <t>Passenger Ferries</t>
  </si>
  <si>
    <t>ބޭސް ފިހާރަތައް</t>
  </si>
  <si>
    <t>Pharmacies</t>
  </si>
  <si>
    <t>ރެސްޓޯރަންޓްތައް</t>
  </si>
  <si>
    <t>Restaurants</t>
  </si>
  <si>
    <t>ސްޕެއަރޕާޓް ވިއްކުން</t>
  </si>
  <si>
    <t>Sales of Motor Vehicles</t>
  </si>
  <si>
    <t>ސްކޫލްތަކާއި ތަޢުލީމްދޭ މަރުކަޒުތައް</t>
  </si>
  <si>
    <t>Schools and educational centers</t>
  </si>
  <si>
    <t xml:space="preserve">ކަނޑުދަތުރުފަތުރު، ޝިޕިންގ </t>
  </si>
  <si>
    <t>Sea Transportation, shipping</t>
  </si>
  <si>
    <t>ކުދި އަދި މެދުފަންތީގެ ވިޔަފާރި</t>
  </si>
  <si>
    <t>Shops, small and medium commercial retail</t>
  </si>
  <si>
    <t>މުވާސަލާތީ ޚިދުމަތް</t>
  </si>
  <si>
    <t>Telecommunications</t>
  </si>
  <si>
    <t>ފެން އުފެއްދުން</t>
  </si>
  <si>
    <t>Water processing</t>
  </si>
  <si>
    <t>ހޯލްސޭލް ރީޓެއިލާރސް</t>
  </si>
  <si>
    <t>Wholesale retailers</t>
  </si>
  <si>
    <t>އެހެނިހެން</t>
  </si>
  <si>
    <t xml:space="preserve">މަސައްކަތްކުރާ ތަނުގެ ދާއިރާ </t>
  </si>
  <si>
    <t xml:space="preserve">Housing Development 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</si>
  <si>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</si>
  <si>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</si>
  <si>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</si>
  <si>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</si>
  <si>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</si>
  <si>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</si>
  <si>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</si>
  <si>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</si>
  <si>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Govt. agencies, public institutions</t>
  </si>
  <si>
    <t xml:space="preserve">ތާވަލު  18.15 : އެކި ދާއިރާތަކުން ރިޓާޔަމަންޓް ޕެންޝަން ސްކީމްގައި ރެޖިސްޓްރީކޮށްފައިވާ ތަންތަނުގެ ޢަދަދާއި މުވައްޒަފުންގެ އަދަދު، 2023 </t>
  </si>
  <si>
    <t>TABLE   18.15: EMPLOYEES AND ESTABLISHMENTS REGISTERED IN THE RETIREMENT PENSION SCHEME, END OF 2023</t>
  </si>
  <si>
    <t>މައިނިން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</si>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</sst>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#,##0.0"/>
  </numFmts>
  <fonts count="16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i/>
      <sz val="10"/>
      <color rgb="FF000000"/>
      <name val="Calibri"/>
    </font>
    <font>
      <sz val="10"/>
      <color rgb="FF000000"/>
      <name val="Faruma"/>
    </font>
    <font>
      <i/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Courier"/>
      <family val="3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3" fillId="0" borderId="11"/>
    <xf numFmtId="43" fontId="11" fillId="0" borderId="11" applyFont="0" applyFill="0" applyBorder="0" applyAlignment="0" applyProtection="0"/>
    <xf numFmtId="43" fontId="11" fillId="0" borderId="11" applyFont="0" applyFill="0" applyBorder="0" applyAlignment="0" applyProtection="0"/>
    <xf numFmtId="0" fontId="11" fillId="0" borderId="11"/>
    <xf numFmtId="0" fontId="11" fillId="0" borderId="11"/>
    <xf numFmtId="0" fontId="11" fillId="0" borderId="11"/>
    <xf numFmtId="0" fontId="11" fillId="0" borderId="11"/>
    <xf numFmtId="0" fontId="11" fillId="0" borderId="11"/>
    <xf numFmtId="0" fontId="11" fillId="0" borderId="11"/>
    <xf numFmtId="0" fontId="11" fillId="0" borderId="11"/>
    <xf numFmtId="0" fontId="11" fillId="0" borderId="11"/>
  </cellStyleXfs>
  <cellXfs count="45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6" fillId="2" borderId="4" xfId="0" applyFont="1" applyFill="1" applyBorder="1"/>
    <xf numFmtId="0" fontId="8" fillId="2" borderId="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horizontal="right" vertical="center" wrapText="1"/>
    </xf>
    <xf numFmtId="3" fontId="9" fillId="2" borderId="4" xfId="0" applyNumberFormat="1" applyFont="1" applyFill="1" applyBorder="1" applyAlignment="1">
      <alignment horizontal="right" vertical="center" wrapText="1"/>
    </xf>
    <xf numFmtId="167" fontId="3" fillId="2" borderId="4" xfId="0" applyNumberFormat="1" applyFont="1" applyFill="1" applyBorder="1" applyAlignment="1">
      <alignment horizontal="right" vertical="center" wrapText="1"/>
    </xf>
    <xf numFmtId="0" fontId="0" fillId="3" borderId="0" xfId="0" applyFill="1"/>
    <xf numFmtId="0" fontId="3" fillId="2" borderId="11" xfId="0" applyFont="1" applyFill="1" applyBorder="1"/>
    <xf numFmtId="0" fontId="5" fillId="2" borderId="11" xfId="0" applyFont="1" applyFill="1" applyBorder="1"/>
    <xf numFmtId="0" fontId="3" fillId="2" borderId="11" xfId="0" applyFont="1" applyFill="1" applyBorder="1" applyAlignment="1">
      <alignment vertical="center"/>
    </xf>
    <xf numFmtId="0" fontId="11" fillId="2" borderId="11" xfId="0" applyFont="1" applyFill="1" applyBorder="1" applyAlignment="1">
      <alignment horizontal="left" vertical="center"/>
    </xf>
    <xf numFmtId="3" fontId="11" fillId="2" borderId="11" xfId="0" applyNumberFormat="1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 wrapText="1"/>
    </xf>
    <xf numFmtId="0" fontId="11" fillId="2" borderId="12" xfId="0" applyFont="1" applyFill="1" applyBorder="1" applyAlignment="1">
      <alignment horizontal="left" vertical="center"/>
    </xf>
    <xf numFmtId="3" fontId="11" fillId="2" borderId="12" xfId="0" applyNumberFormat="1" applyFont="1" applyFill="1" applyBorder="1" applyAlignment="1">
      <alignment horizontal="right" vertical="center"/>
    </xf>
    <xf numFmtId="0" fontId="5" fillId="2" borderId="12" xfId="0" applyFont="1" applyFill="1" applyBorder="1"/>
    <xf numFmtId="0" fontId="14" fillId="2" borderId="11" xfId="0" applyFont="1" applyFill="1" applyBorder="1"/>
    <xf numFmtId="0" fontId="15" fillId="2" borderId="11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vertical="center"/>
    </xf>
    <xf numFmtId="0" fontId="7" fillId="2" borderId="11" xfId="0" applyFont="1" applyFill="1" applyBorder="1"/>
    <xf numFmtId="0" fontId="4" fillId="2" borderId="1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6" xfId="0" applyFont="1" applyFill="1" applyBorder="1"/>
    <xf numFmtId="0" fontId="2" fillId="3" borderId="9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right" vertical="center" wrapText="1"/>
    </xf>
    <xf numFmtId="167" fontId="3" fillId="2" borderId="14" xfId="0" applyNumberFormat="1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6456234337614268E-2"/>
          <c:y val="0.12111104992994758"/>
          <c:w val="0.9198002767639657"/>
          <c:h val="0.3827035956169814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9999"/>
            </a:solidFill>
            <a:ln cmpd="sng">
              <a:noFill/>
            </a:ln>
          </c:spPr>
          <c:invertIfNegative val="1"/>
          <c:cat>
            <c:strRef>
              <c:f>'18.15'!$AE$6:$AE$19</c:f>
              <c:strCache>
                <c:ptCount val="14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Air Transportation</c:v>
                </c:pt>
                <c:pt idx="4">
                  <c:v>Financial sector, Banks, Investment Funds, Insurance </c:v>
                </c:pt>
                <c:pt idx="5">
                  <c:v>Sea Transportation, shipping</c:v>
                </c:pt>
                <c:pt idx="6">
                  <c:v>Wholesale retailers</c:v>
                </c:pt>
                <c:pt idx="7">
                  <c:v>Construction</c:v>
                </c:pt>
                <c:pt idx="8">
                  <c:v>Schools and educational centers</c:v>
                </c:pt>
                <c:pt idx="9">
                  <c:v>Shops, small and medium commercial retail</c:v>
                </c:pt>
                <c:pt idx="10">
                  <c:v>Health Sector, hospitals, clinics</c:v>
                </c:pt>
                <c:pt idx="11">
                  <c:v>Telecommunications</c:v>
                </c:pt>
                <c:pt idx="12">
                  <c:v>Fishing Industry</c:v>
                </c:pt>
                <c:pt idx="13">
                  <c:v>others</c:v>
                </c:pt>
              </c:strCache>
            </c:strRef>
          </c:cat>
          <c:val>
            <c:numRef>
              <c:f>'18.15'!$AF$6:$AF$19</c:f>
              <c:numCache>
                <c:formatCode>General</c:formatCode>
                <c:ptCount val="14"/>
                <c:pt idx="0">
                  <c:v>38.147776663323299</c:v>
                </c:pt>
                <c:pt idx="1">
                  <c:v>17.001882841506976</c:v>
                </c:pt>
                <c:pt idx="2">
                  <c:v>14.885005894877615</c:v>
                </c:pt>
                <c:pt idx="3">
                  <c:v>5.5156698164669447</c:v>
                </c:pt>
                <c:pt idx="4">
                  <c:v>5.3678579598444456</c:v>
                </c:pt>
                <c:pt idx="5">
                  <c:v>4.8038853402312194</c:v>
                </c:pt>
                <c:pt idx="6">
                  <c:v>3.7428073694768513</c:v>
                </c:pt>
                <c:pt idx="7">
                  <c:v>2.9729539495680024</c:v>
                </c:pt>
                <c:pt idx="8">
                  <c:v>2.9078463460557109</c:v>
                </c:pt>
                <c:pt idx="9">
                  <c:v>2.8585757271815444</c:v>
                </c:pt>
                <c:pt idx="10">
                  <c:v>1.4235689524714494</c:v>
                </c:pt>
                <c:pt idx="11">
                  <c:v>1.3223882172834294</c:v>
                </c:pt>
                <c:pt idx="12">
                  <c:v>1.078674620352285</c:v>
                </c:pt>
                <c:pt idx="13">
                  <c:v>1.7139136708370724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33-4C21-99F4-5FE7997DA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2291295"/>
        <c:axId val="437148107"/>
      </c:barChart>
      <c:catAx>
        <c:axId val="105229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7148107"/>
        <c:crosses val="autoZero"/>
        <c:auto val="1"/>
        <c:lblAlgn val="ctr"/>
        <c:lblOffset val="100"/>
        <c:noMultiLvlLbl val="1"/>
      </c:catAx>
      <c:valAx>
        <c:axId val="437148107"/>
        <c:scaling>
          <c:orientation val="minMax"/>
        </c:scaling>
        <c:delete val="0"/>
        <c:axPos val="l"/>
        <c:majorGridlines>
          <c:spPr>
            <a:ln>
              <a:solidFill>
                <a:srgbClr val="00EEE8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291295"/>
        <c:crosses val="autoZero"/>
        <c:crossBetween val="between"/>
      </c:valAx>
      <c:spPr>
        <a:solidFill>
          <a:srgbClr val="E7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34</xdr:row>
      <xdr:rowOff>114300</xdr:rowOff>
    </xdr:from>
    <xdr:ext cx="9267825" cy="4086225"/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1962150</xdr:colOff>
      <xdr:row>34</xdr:row>
      <xdr:rowOff>190499</xdr:rowOff>
    </xdr:from>
    <xdr:ext cx="6715125" cy="3333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1962150" y="9124949"/>
          <a:ext cx="6715125" cy="3333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18.17: Percentage distribution of employees registered  in the retirement pension scheme by sector, 2023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434497</xdr:colOff>
      <xdr:row>37</xdr:row>
      <xdr:rowOff>110778</xdr:rowOff>
    </xdr:from>
    <xdr:ext cx="219075" cy="9525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 rot="-5400000">
          <a:off x="67785" y="10132969"/>
          <a:ext cx="952500" cy="219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H55"/>
  <sheetViews>
    <sheetView tabSelected="1" zoomScaleNormal="100" workbookViewId="0">
      <selection activeCell="E4" sqref="E4"/>
    </sheetView>
  </sheetViews>
  <sheetFormatPr defaultColWidth="14.42578125" defaultRowHeight="15" customHeight="1"/>
  <cols>
    <col min="1" max="1" width="50.140625" style="17" customWidth="1"/>
    <col min="2" max="2" width="20.42578125" style="17" customWidth="1"/>
    <col min="3" max="3" width="1.85546875" style="17" customWidth="1"/>
    <col min="4" max="5" width="16" style="17" customWidth="1"/>
    <col min="6" max="6" width="52.85546875" style="17" customWidth="1"/>
    <col min="7" max="31" width="8" style="17" customWidth="1"/>
    <col min="32" max="32" width="15.85546875" style="17" customWidth="1"/>
    <col min="33" max="34" width="8" style="17" customWidth="1"/>
    <col min="35" max="16384" width="14.42578125" style="17"/>
  </cols>
  <sheetData>
    <row r="1" spans="1:34" ht="21" customHeight="1">
      <c r="A1" s="39" t="s">
        <v>65</v>
      </c>
      <c r="B1" s="33"/>
      <c r="C1" s="33"/>
      <c r="D1" s="33"/>
      <c r="E1" s="33"/>
      <c r="F1" s="34"/>
      <c r="G1" s="6"/>
      <c r="H1" s="6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6"/>
      <c r="AD1" s="43"/>
      <c r="AE1" s="43"/>
      <c r="AF1" s="43"/>
      <c r="AG1" s="43"/>
      <c r="AH1" s="43"/>
    </row>
    <row r="2" spans="1:34">
      <c r="A2" s="40" t="s">
        <v>66</v>
      </c>
      <c r="B2" s="33"/>
      <c r="C2" s="33"/>
      <c r="D2" s="33"/>
      <c r="E2" s="33"/>
      <c r="F2" s="34"/>
      <c r="G2" s="1"/>
      <c r="H2" s="1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"/>
      <c r="AD2" s="18"/>
      <c r="AE2" s="18"/>
      <c r="AF2" s="18"/>
      <c r="AG2" s="18"/>
      <c r="AH2" s="18"/>
    </row>
    <row r="3" spans="1:34" ht="5.25" customHeight="1">
      <c r="A3" s="1"/>
      <c r="B3" s="1"/>
      <c r="C3" s="1"/>
      <c r="D3" s="1"/>
      <c r="E3" s="1"/>
      <c r="F3" s="1"/>
      <c r="G3" s="1"/>
      <c r="H3" s="1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"/>
      <c r="AD3" s="18"/>
      <c r="AE3" s="18"/>
      <c r="AF3" s="18"/>
      <c r="AG3" s="18"/>
      <c r="AH3" s="18"/>
    </row>
    <row r="4" spans="1:34" ht="15.75" customHeight="1">
      <c r="A4" s="35" t="s">
        <v>56</v>
      </c>
      <c r="B4" s="9" t="s">
        <v>57</v>
      </c>
      <c r="C4" s="9"/>
      <c r="D4" s="9" t="s">
        <v>58</v>
      </c>
      <c r="E4" s="9" t="s">
        <v>1</v>
      </c>
      <c r="F4" s="38" t="s">
        <v>54</v>
      </c>
      <c r="G4" s="1"/>
      <c r="H4" s="1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"/>
      <c r="AD4" s="18"/>
      <c r="AE4" s="18"/>
      <c r="AF4" s="18"/>
      <c r="AG4" s="18"/>
      <c r="AH4" s="18"/>
    </row>
    <row r="5" spans="1:34" ht="28.5" customHeight="1">
      <c r="A5" s="36"/>
      <c r="B5" s="10" t="s">
        <v>59</v>
      </c>
      <c r="C5" s="10"/>
      <c r="D5" s="41" t="s">
        <v>6</v>
      </c>
      <c r="E5" s="11" t="s">
        <v>60</v>
      </c>
      <c r="F5" s="36"/>
      <c r="G5" s="2"/>
      <c r="H5" s="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2"/>
      <c r="AD5" s="32"/>
      <c r="AE5" s="32"/>
      <c r="AF5" s="32"/>
      <c r="AG5" s="32"/>
      <c r="AH5" s="32"/>
    </row>
    <row r="6" spans="1:34" ht="24" customHeight="1">
      <c r="A6" s="37"/>
      <c r="B6" s="12" t="s">
        <v>61</v>
      </c>
      <c r="C6" s="12"/>
      <c r="D6" s="37"/>
      <c r="E6" s="13" t="s">
        <v>0</v>
      </c>
      <c r="F6" s="37"/>
      <c r="G6" s="2"/>
      <c r="H6" s="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2"/>
      <c r="AD6" s="32"/>
      <c r="AE6" s="20" t="s">
        <v>64</v>
      </c>
      <c r="AF6" s="20">
        <v>38.147776663323299</v>
      </c>
      <c r="AG6" s="32"/>
      <c r="AH6" s="32"/>
    </row>
    <row r="7" spans="1:34" ht="21" customHeight="1">
      <c r="A7" s="5" t="s">
        <v>3</v>
      </c>
      <c r="B7" s="14">
        <f>SUM(B8:B32)</f>
        <v>2226</v>
      </c>
      <c r="C7" s="14"/>
      <c r="D7" s="15">
        <f>SUM(D8:D32)</f>
        <v>113658</v>
      </c>
      <c r="E7" s="14">
        <f>D7/D7*100</f>
        <v>100</v>
      </c>
      <c r="F7" s="3" t="s">
        <v>2</v>
      </c>
      <c r="G7" s="2"/>
      <c r="H7" s="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2"/>
      <c r="AD7" s="32"/>
      <c r="AE7" s="20" t="s">
        <v>26</v>
      </c>
      <c r="AF7" s="20">
        <v>17.001882841506976</v>
      </c>
      <c r="AG7" s="32"/>
      <c r="AH7" s="32"/>
    </row>
    <row r="8" spans="1:34" ht="21" customHeight="1">
      <c r="A8" s="21" t="s">
        <v>7</v>
      </c>
      <c r="B8" s="22">
        <v>15</v>
      </c>
      <c r="C8" s="22"/>
      <c r="D8" s="22">
        <v>231</v>
      </c>
      <c r="E8" s="16">
        <f>D8/$D$7*100</f>
        <v>0.20324130285593622</v>
      </c>
      <c r="F8" s="19" t="s">
        <v>8</v>
      </c>
      <c r="G8" s="4"/>
      <c r="H8" s="4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4"/>
      <c r="AD8" s="20"/>
      <c r="AE8" s="20" t="s">
        <v>32</v>
      </c>
      <c r="AF8" s="20">
        <v>14.885005894877615</v>
      </c>
      <c r="AG8" s="20"/>
      <c r="AH8" s="20"/>
    </row>
    <row r="9" spans="1:34" ht="25.5" customHeight="1">
      <c r="A9" s="21" t="s">
        <v>9</v>
      </c>
      <c r="B9" s="22">
        <v>15</v>
      </c>
      <c r="C9" s="22"/>
      <c r="D9" s="22">
        <v>6269</v>
      </c>
      <c r="E9" s="16">
        <f>D9/$D$7*100</f>
        <v>5.5156698164669447</v>
      </c>
      <c r="F9" s="19" t="s">
        <v>10</v>
      </c>
      <c r="G9" s="4"/>
      <c r="H9" s="4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4"/>
      <c r="AD9" s="20"/>
      <c r="AE9" s="32" t="s">
        <v>9</v>
      </c>
      <c r="AF9" s="32">
        <v>5.5156698164669447</v>
      </c>
      <c r="AG9" s="20"/>
      <c r="AH9" s="20"/>
    </row>
    <row r="10" spans="1:34" ht="27.75" customHeight="1">
      <c r="A10" s="21" t="s">
        <v>11</v>
      </c>
      <c r="B10" s="22">
        <v>3</v>
      </c>
      <c r="C10" s="22"/>
      <c r="D10" s="22">
        <v>10</v>
      </c>
      <c r="E10" s="16">
        <f t="shared" ref="E8:E33" si="0">D10/$D$7*100</f>
        <v>8.7983247989582777E-3</v>
      </c>
      <c r="F10" s="19" t="s">
        <v>12</v>
      </c>
      <c r="G10" s="4"/>
      <c r="H10" s="4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4"/>
      <c r="AD10" s="20"/>
      <c r="AE10" s="20" t="s">
        <v>62</v>
      </c>
      <c r="AF10" s="20">
        <v>5.3678579598444456</v>
      </c>
      <c r="AG10" s="20"/>
      <c r="AH10" s="20"/>
    </row>
    <row r="11" spans="1:34" ht="18.75" customHeight="1">
      <c r="A11" s="21" t="s">
        <v>13</v>
      </c>
      <c r="B11" s="22">
        <v>12</v>
      </c>
      <c r="C11" s="22"/>
      <c r="D11" s="22">
        <v>43</v>
      </c>
      <c r="E11" s="16">
        <f t="shared" si="0"/>
        <v>3.7832796635520596E-2</v>
      </c>
      <c r="F11" s="19" t="s">
        <v>14</v>
      </c>
      <c r="G11" s="4"/>
      <c r="H11" s="4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4"/>
      <c r="AD11" s="20"/>
      <c r="AE11" s="20" t="s">
        <v>44</v>
      </c>
      <c r="AF11" s="20">
        <v>4.8038853402312194</v>
      </c>
      <c r="AG11" s="20"/>
      <c r="AH11" s="20"/>
    </row>
    <row r="12" spans="1:34" ht="21" customHeight="1">
      <c r="A12" s="21" t="s">
        <v>15</v>
      </c>
      <c r="B12" s="22">
        <v>139</v>
      </c>
      <c r="C12" s="22"/>
      <c r="D12" s="22">
        <v>3379</v>
      </c>
      <c r="E12" s="16">
        <f t="shared" si="0"/>
        <v>2.9729539495680024</v>
      </c>
      <c r="F12" s="19" t="s">
        <v>16</v>
      </c>
      <c r="G12" s="4"/>
      <c r="H12" s="4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4"/>
      <c r="AD12" s="20"/>
      <c r="AE12" s="20" t="s">
        <v>52</v>
      </c>
      <c r="AF12" s="20">
        <v>3.7428073694768513</v>
      </c>
      <c r="AG12" s="20"/>
      <c r="AH12" s="20"/>
    </row>
    <row r="13" spans="1:34" ht="21" customHeight="1">
      <c r="A13" s="21" t="s">
        <v>17</v>
      </c>
      <c r="B13" s="22">
        <v>15</v>
      </c>
      <c r="C13" s="22"/>
      <c r="D13" s="22">
        <v>171</v>
      </c>
      <c r="E13" s="16">
        <f t="shared" si="0"/>
        <v>0.15045135406218654</v>
      </c>
      <c r="F13" s="19" t="s">
        <v>18</v>
      </c>
      <c r="G13" s="4"/>
      <c r="H13" s="4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4"/>
      <c r="AD13" s="20"/>
      <c r="AE13" s="20" t="s">
        <v>15</v>
      </c>
      <c r="AF13" s="20">
        <v>2.9729539495680024</v>
      </c>
      <c r="AG13" s="20"/>
      <c r="AH13" s="20"/>
    </row>
    <row r="14" spans="1:34" ht="25.5" customHeight="1">
      <c r="A14" s="28" t="s">
        <v>62</v>
      </c>
      <c r="B14" s="22">
        <v>71</v>
      </c>
      <c r="C14" s="22"/>
      <c r="D14" s="22">
        <v>6101</v>
      </c>
      <c r="E14" s="16">
        <f t="shared" si="0"/>
        <v>5.3678579598444456</v>
      </c>
      <c r="F14" s="23" t="s">
        <v>63</v>
      </c>
      <c r="G14" s="4"/>
      <c r="H14" s="4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4"/>
      <c r="AD14" s="20"/>
      <c r="AE14" s="20" t="s">
        <v>42</v>
      </c>
      <c r="AF14" s="20">
        <v>2.9078463460557109</v>
      </c>
      <c r="AG14" s="20"/>
      <c r="AH14" s="20"/>
    </row>
    <row r="15" spans="1:34" ht="21" customHeight="1">
      <c r="A15" s="21" t="s">
        <v>19</v>
      </c>
      <c r="B15" s="22">
        <v>15</v>
      </c>
      <c r="C15" s="22"/>
      <c r="D15" s="22">
        <v>1226</v>
      </c>
      <c r="E15" s="16">
        <f t="shared" si="0"/>
        <v>1.078674620352285</v>
      </c>
      <c r="F15" s="19" t="s">
        <v>20</v>
      </c>
      <c r="G15" s="4"/>
      <c r="H15" s="4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4"/>
      <c r="AD15" s="20"/>
      <c r="AE15" s="20" t="s">
        <v>46</v>
      </c>
      <c r="AF15" s="20">
        <v>2.8585757271815444</v>
      </c>
      <c r="AG15" s="20"/>
      <c r="AH15" s="20"/>
    </row>
    <row r="16" spans="1:34" ht="21" customHeight="1">
      <c r="A16" s="21" t="s">
        <v>21</v>
      </c>
      <c r="B16" s="22">
        <v>14</v>
      </c>
      <c r="C16" s="22"/>
      <c r="D16" s="22">
        <v>212</v>
      </c>
      <c r="E16" s="16">
        <f t="shared" si="0"/>
        <v>0.1865244857379155</v>
      </c>
      <c r="F16" s="19" t="s">
        <v>22</v>
      </c>
      <c r="G16" s="4"/>
      <c r="H16" s="4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4"/>
      <c r="AD16" s="20"/>
      <c r="AE16" s="20" t="s">
        <v>24</v>
      </c>
      <c r="AF16" s="20">
        <v>1.4235689524714494</v>
      </c>
      <c r="AG16" s="20"/>
      <c r="AH16" s="20"/>
    </row>
    <row r="17" spans="1:34" ht="21" customHeight="1">
      <c r="A17" s="21" t="s">
        <v>64</v>
      </c>
      <c r="B17" s="22">
        <v>435</v>
      </c>
      <c r="C17" s="22"/>
      <c r="D17" s="22">
        <v>43358</v>
      </c>
      <c r="E17" s="16">
        <f>D17/$D$7*100</f>
        <v>38.147776663323299</v>
      </c>
      <c r="F17" s="19" t="s">
        <v>23</v>
      </c>
      <c r="G17" s="4"/>
      <c r="H17" s="4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4"/>
      <c r="AD17" s="20"/>
      <c r="AE17" s="20" t="s">
        <v>48</v>
      </c>
      <c r="AF17" s="20">
        <v>1.3223882172834294</v>
      </c>
      <c r="AG17" s="20"/>
      <c r="AH17" s="20"/>
    </row>
    <row r="18" spans="1:34" ht="21" customHeight="1">
      <c r="A18" s="21" t="s">
        <v>24</v>
      </c>
      <c r="B18" s="22">
        <v>48</v>
      </c>
      <c r="C18" s="22"/>
      <c r="D18" s="22">
        <v>1618</v>
      </c>
      <c r="E18" s="16">
        <f t="shared" si="0"/>
        <v>1.4235689524714494</v>
      </c>
      <c r="F18" s="19" t="s">
        <v>25</v>
      </c>
      <c r="G18" s="4"/>
      <c r="H18" s="4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4"/>
      <c r="AD18" s="20"/>
      <c r="AE18" s="20" t="s">
        <v>19</v>
      </c>
      <c r="AF18" s="20">
        <v>1.078674620352285</v>
      </c>
      <c r="AG18" s="20"/>
      <c r="AH18" s="20"/>
    </row>
    <row r="19" spans="1:34" ht="21" customHeight="1">
      <c r="A19" s="21" t="s">
        <v>26</v>
      </c>
      <c r="B19" s="22">
        <v>368</v>
      </c>
      <c r="C19" s="22"/>
      <c r="D19" s="22">
        <v>19324</v>
      </c>
      <c r="E19" s="16">
        <f t="shared" si="0"/>
        <v>17.001882841506976</v>
      </c>
      <c r="F19" s="19" t="s">
        <v>27</v>
      </c>
      <c r="G19" s="4"/>
      <c r="H19" s="4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4"/>
      <c r="AD19" s="20"/>
      <c r="AE19" s="17" t="s">
        <v>68</v>
      </c>
      <c r="AF19" s="17">
        <f>SUM(AF20:AF32)</f>
        <v>1.7139136708370724</v>
      </c>
      <c r="AG19" s="20"/>
      <c r="AH19" s="20"/>
    </row>
    <row r="20" spans="1:34" ht="21" customHeight="1">
      <c r="A20" s="21" t="s">
        <v>55</v>
      </c>
      <c r="B20" s="22">
        <v>9</v>
      </c>
      <c r="C20" s="22"/>
      <c r="D20" s="22">
        <v>127</v>
      </c>
      <c r="E20" s="16">
        <f t="shared" si="0"/>
        <v>0.11173872494677013</v>
      </c>
      <c r="F20" s="19" t="s">
        <v>28</v>
      </c>
      <c r="G20" s="4"/>
      <c r="H20" s="4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4"/>
      <c r="AD20" s="20"/>
      <c r="AE20" s="20" t="s">
        <v>29</v>
      </c>
      <c r="AF20" s="20">
        <v>0.63611888296468355</v>
      </c>
      <c r="AG20" s="20"/>
      <c r="AH20" s="20"/>
    </row>
    <row r="21" spans="1:34" ht="21" customHeight="1">
      <c r="A21" s="21" t="s">
        <v>29</v>
      </c>
      <c r="B21" s="22">
        <v>3</v>
      </c>
      <c r="C21" s="22"/>
      <c r="D21" s="22">
        <v>723</v>
      </c>
      <c r="E21" s="16">
        <f t="shared" si="0"/>
        <v>0.63611888296468355</v>
      </c>
      <c r="F21" s="19" t="s">
        <v>30</v>
      </c>
      <c r="G21" s="4"/>
      <c r="H21" s="4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4"/>
      <c r="AD21" s="20"/>
      <c r="AE21" s="32" t="s">
        <v>7</v>
      </c>
      <c r="AF21" s="32">
        <v>0.20324130285593622</v>
      </c>
      <c r="AG21" s="20"/>
      <c r="AH21" s="20"/>
    </row>
    <row r="22" spans="1:34" ht="21" customHeight="1">
      <c r="A22" s="29" t="s">
        <v>31</v>
      </c>
      <c r="B22" s="22">
        <v>1</v>
      </c>
      <c r="C22" s="22"/>
      <c r="D22" s="22">
        <v>5</v>
      </c>
      <c r="E22" s="16">
        <f t="shared" si="0"/>
        <v>4.3991623994791389E-3</v>
      </c>
      <c r="F22" s="27" t="s">
        <v>67</v>
      </c>
      <c r="G22" s="4"/>
      <c r="H22" s="4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4"/>
      <c r="AD22" s="20"/>
      <c r="AE22" s="20" t="s">
        <v>21</v>
      </c>
      <c r="AF22" s="20">
        <v>0.1865244857379155</v>
      </c>
      <c r="AG22" s="20"/>
      <c r="AH22" s="20"/>
    </row>
    <row r="23" spans="1:34" ht="21" customHeight="1">
      <c r="A23" s="21" t="s">
        <v>32</v>
      </c>
      <c r="B23" s="22">
        <v>585</v>
      </c>
      <c r="C23" s="22"/>
      <c r="D23" s="22">
        <v>16918</v>
      </c>
      <c r="E23" s="16">
        <f t="shared" si="0"/>
        <v>14.885005894877615</v>
      </c>
      <c r="F23" s="19" t="s">
        <v>53</v>
      </c>
      <c r="G23" s="4"/>
      <c r="H23" s="4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4"/>
      <c r="AD23" s="20"/>
      <c r="AE23" s="20" t="s">
        <v>38</v>
      </c>
      <c r="AF23" s="20">
        <v>0.16012951134104067</v>
      </c>
      <c r="AG23" s="20"/>
      <c r="AH23" s="20"/>
    </row>
    <row r="24" spans="1:34" ht="21" customHeight="1">
      <c r="A24" s="21" t="s">
        <v>34</v>
      </c>
      <c r="B24" s="22">
        <v>1</v>
      </c>
      <c r="C24" s="22"/>
      <c r="D24" s="22">
        <v>1</v>
      </c>
      <c r="E24" s="16">
        <f t="shared" si="0"/>
        <v>8.7983247989582782E-4</v>
      </c>
      <c r="F24" s="30" t="s">
        <v>33</v>
      </c>
      <c r="G24" s="4"/>
      <c r="H24" s="4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4"/>
      <c r="AD24" s="20"/>
      <c r="AE24" s="20" t="s">
        <v>17</v>
      </c>
      <c r="AF24" s="20">
        <v>0.15045135406218654</v>
      </c>
      <c r="AG24" s="20"/>
      <c r="AH24" s="20"/>
    </row>
    <row r="25" spans="1:34" ht="21" customHeight="1">
      <c r="A25" s="21" t="s">
        <v>36</v>
      </c>
      <c r="B25" s="22">
        <v>14</v>
      </c>
      <c r="C25" s="22"/>
      <c r="D25" s="22">
        <v>135</v>
      </c>
      <c r="E25" s="16">
        <f t="shared" si="0"/>
        <v>0.11877738478593676</v>
      </c>
      <c r="F25" s="19" t="s">
        <v>35</v>
      </c>
      <c r="G25" s="4"/>
      <c r="H25" s="4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4"/>
      <c r="AD25" s="20"/>
      <c r="AE25" s="20" t="s">
        <v>36</v>
      </c>
      <c r="AF25" s="20">
        <v>0.11877738478593676</v>
      </c>
      <c r="AG25" s="20"/>
      <c r="AH25" s="20"/>
    </row>
    <row r="26" spans="1:34" ht="21" customHeight="1">
      <c r="A26" s="21" t="s">
        <v>38</v>
      </c>
      <c r="B26" s="22">
        <v>34</v>
      </c>
      <c r="C26" s="22"/>
      <c r="D26" s="22">
        <v>182</v>
      </c>
      <c r="E26" s="16">
        <f t="shared" si="0"/>
        <v>0.16012951134104067</v>
      </c>
      <c r="F26" s="19" t="s">
        <v>37</v>
      </c>
      <c r="G26" s="4"/>
      <c r="H26" s="4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4"/>
      <c r="AD26" s="20"/>
      <c r="AE26" s="20" t="s">
        <v>55</v>
      </c>
      <c r="AF26" s="20">
        <v>0.11173872494677013</v>
      </c>
      <c r="AG26" s="20"/>
      <c r="AH26" s="20"/>
    </row>
    <row r="27" spans="1:34" ht="21" customHeight="1">
      <c r="A27" s="21" t="s">
        <v>40</v>
      </c>
      <c r="B27" s="22">
        <v>2</v>
      </c>
      <c r="C27" s="22"/>
      <c r="D27" s="22">
        <v>92</v>
      </c>
      <c r="E27" s="16">
        <f t="shared" si="0"/>
        <v>8.0944588150416164E-2</v>
      </c>
      <c r="F27" s="19" t="s">
        <v>39</v>
      </c>
      <c r="G27" s="4"/>
      <c r="H27" s="4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4"/>
      <c r="AD27" s="20"/>
      <c r="AE27" s="20" t="s">
        <v>40</v>
      </c>
      <c r="AF27" s="20">
        <v>8.0944588150416164E-2</v>
      </c>
      <c r="AG27" s="20"/>
      <c r="AH27" s="20"/>
    </row>
    <row r="28" spans="1:34" ht="21" customHeight="1">
      <c r="A28" s="21" t="s">
        <v>42</v>
      </c>
      <c r="B28" s="22">
        <v>74</v>
      </c>
      <c r="C28" s="22"/>
      <c r="D28" s="22">
        <v>3305</v>
      </c>
      <c r="E28" s="16">
        <f t="shared" si="0"/>
        <v>2.9078463460557109</v>
      </c>
      <c r="F28" s="19" t="s">
        <v>41</v>
      </c>
      <c r="G28" s="4"/>
      <c r="H28" s="4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4"/>
      <c r="AD28" s="20"/>
      <c r="AE28" s="20" t="s">
        <v>13</v>
      </c>
      <c r="AF28" s="20">
        <v>3.7832796635520596E-2</v>
      </c>
      <c r="AG28" s="20"/>
      <c r="AH28" s="20"/>
    </row>
    <row r="29" spans="1:34" ht="21" customHeight="1">
      <c r="A29" s="21" t="s">
        <v>44</v>
      </c>
      <c r="B29" s="22">
        <v>59</v>
      </c>
      <c r="C29" s="22"/>
      <c r="D29" s="22">
        <v>5460</v>
      </c>
      <c r="E29" s="16">
        <f t="shared" si="0"/>
        <v>4.8038853402312194</v>
      </c>
      <c r="F29" s="19" t="s">
        <v>43</v>
      </c>
      <c r="G29" s="4"/>
      <c r="H29" s="4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4"/>
      <c r="AD29" s="20"/>
      <c r="AE29" s="20" t="s">
        <v>50</v>
      </c>
      <c r="AF29" s="20">
        <v>1.4077319678333245E-2</v>
      </c>
      <c r="AG29" s="20"/>
      <c r="AH29" s="20"/>
    </row>
    <row r="30" spans="1:34" ht="21" customHeight="1">
      <c r="A30" s="21" t="s">
        <v>46</v>
      </c>
      <c r="B30" s="22">
        <v>275</v>
      </c>
      <c r="C30" s="22"/>
      <c r="D30" s="22">
        <v>3249</v>
      </c>
      <c r="E30" s="16">
        <f t="shared" si="0"/>
        <v>2.8585757271815444</v>
      </c>
      <c r="F30" s="19" t="s">
        <v>45</v>
      </c>
      <c r="G30" s="4"/>
      <c r="H30" s="4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4"/>
      <c r="AD30" s="20"/>
      <c r="AE30" s="20" t="s">
        <v>11</v>
      </c>
      <c r="AF30" s="20">
        <v>8.7983247989582777E-3</v>
      </c>
      <c r="AG30" s="20"/>
      <c r="AH30" s="20"/>
    </row>
    <row r="31" spans="1:34" ht="21" customHeight="1">
      <c r="A31" s="21" t="s">
        <v>48</v>
      </c>
      <c r="B31" s="22">
        <v>17</v>
      </c>
      <c r="C31" s="22"/>
      <c r="D31" s="22">
        <v>1503</v>
      </c>
      <c r="E31" s="16">
        <f t="shared" si="0"/>
        <v>1.3223882172834294</v>
      </c>
      <c r="F31" s="19" t="s">
        <v>47</v>
      </c>
      <c r="G31" s="4"/>
      <c r="H31" s="4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4"/>
      <c r="AD31" s="20"/>
      <c r="AE31" s="20" t="s">
        <v>31</v>
      </c>
      <c r="AF31" s="20">
        <v>4.3991623994791389E-3</v>
      </c>
      <c r="AG31" s="20"/>
      <c r="AH31" s="20"/>
    </row>
    <row r="32" spans="1:34" ht="21" customHeight="1">
      <c r="A32" s="21" t="s">
        <v>50</v>
      </c>
      <c r="B32" s="22">
        <v>2</v>
      </c>
      <c r="C32" s="22"/>
      <c r="D32" s="22">
        <v>16</v>
      </c>
      <c r="E32" s="16">
        <f t="shared" si="0"/>
        <v>1.4077319678333245E-2</v>
      </c>
      <c r="F32" s="19" t="s">
        <v>49</v>
      </c>
      <c r="G32" s="8"/>
      <c r="H32" s="8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8"/>
      <c r="AD32" s="44"/>
      <c r="AE32" s="20" t="s">
        <v>34</v>
      </c>
      <c r="AF32" s="20">
        <v>8.7983247989582782E-4</v>
      </c>
      <c r="AG32" s="44"/>
      <c r="AH32" s="44"/>
    </row>
    <row r="33" spans="1:34" ht="18.75" customHeight="1">
      <c r="A33" s="24" t="s">
        <v>52</v>
      </c>
      <c r="B33" s="25">
        <v>180</v>
      </c>
      <c r="C33" s="25"/>
      <c r="D33" s="25">
        <v>4254</v>
      </c>
      <c r="E33" s="42">
        <f>D33/$D$7*100</f>
        <v>3.7428073694768513</v>
      </c>
      <c r="F33" s="26" t="s">
        <v>51</v>
      </c>
      <c r="G33" s="1"/>
      <c r="H33" s="1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"/>
      <c r="AD33" s="18"/>
      <c r="AE33" s="18"/>
      <c r="AF33" s="18"/>
      <c r="AG33" s="18"/>
      <c r="AH33" s="18"/>
    </row>
    <row r="34" spans="1:34" ht="15.75" customHeight="1">
      <c r="A34" s="7" t="s">
        <v>4</v>
      </c>
      <c r="B34" s="1"/>
      <c r="C34" s="1"/>
      <c r="D34" s="1"/>
      <c r="E34" s="1"/>
      <c r="F34" s="31" t="s">
        <v>5</v>
      </c>
      <c r="G34" s="1"/>
      <c r="H34" s="1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"/>
      <c r="AD34" s="18"/>
      <c r="AE34" s="18"/>
      <c r="AF34" s="18"/>
      <c r="AG34" s="18"/>
      <c r="AH34" s="18"/>
    </row>
    <row r="35" spans="1:34" ht="15.75" customHeight="1">
      <c r="A35" s="1"/>
      <c r="B35" s="1"/>
      <c r="C35" s="1"/>
      <c r="D35" s="1"/>
      <c r="E35" s="1"/>
      <c r="F35" s="1"/>
      <c r="G35" s="1"/>
      <c r="H35" s="1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"/>
      <c r="AD35" s="18"/>
      <c r="AE35" s="18"/>
      <c r="AF35" s="18"/>
      <c r="AG35" s="18"/>
      <c r="AH35" s="18"/>
    </row>
    <row r="36" spans="1:34" ht="36.75" customHeight="1">
      <c r="A36" s="1"/>
      <c r="B36" s="1"/>
      <c r="C36" s="1"/>
      <c r="D36" s="1"/>
      <c r="E36" s="1"/>
      <c r="F36" s="1"/>
      <c r="G36" s="1"/>
      <c r="H36" s="1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"/>
      <c r="AD36" s="18"/>
      <c r="AE36" s="18"/>
      <c r="AF36" s="18"/>
      <c r="AG36" s="18"/>
      <c r="AH36" s="18"/>
    </row>
    <row r="37" spans="1:34" ht="15.75" customHeight="1">
      <c r="A37" s="1"/>
      <c r="B37" s="1"/>
      <c r="C37" s="1"/>
      <c r="D37" s="1"/>
      <c r="E37" s="1"/>
      <c r="F37" s="1"/>
      <c r="G37" s="1"/>
      <c r="H37" s="1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"/>
      <c r="AD37" s="18"/>
      <c r="AE37" s="18"/>
      <c r="AF37" s="18"/>
      <c r="AG37" s="18"/>
      <c r="AH37" s="18"/>
    </row>
    <row r="38" spans="1:34" ht="15.75" customHeight="1">
      <c r="A38" s="1"/>
      <c r="B38" s="1"/>
      <c r="C38" s="1"/>
      <c r="D38" s="1"/>
      <c r="E38" s="1"/>
      <c r="F38" s="1"/>
      <c r="G38" s="1"/>
      <c r="H38" s="1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"/>
      <c r="AD38" s="18"/>
      <c r="AE38" s="18"/>
      <c r="AF38" s="18"/>
      <c r="AG38" s="18"/>
      <c r="AH38" s="18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"/>
      <c r="AD39" s="18"/>
      <c r="AE39" s="18"/>
      <c r="AF39" s="18"/>
      <c r="AG39" s="18"/>
      <c r="AH39" s="18"/>
    </row>
    <row r="40" spans="1:34" ht="15.75" customHeight="1">
      <c r="A40" s="1"/>
      <c r="B40" s="1"/>
      <c r="C40" s="1"/>
      <c r="D40" s="1"/>
      <c r="E40" s="1"/>
      <c r="F40" s="1"/>
      <c r="G40" s="1"/>
      <c r="H40" s="1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"/>
      <c r="AD40" s="18"/>
      <c r="AE40" s="18"/>
      <c r="AF40" s="18"/>
      <c r="AG40" s="18"/>
      <c r="AH40" s="18"/>
    </row>
    <row r="41" spans="1:34" ht="15.75" customHeight="1">
      <c r="A41" s="1"/>
      <c r="B41" s="1"/>
      <c r="C41" s="1"/>
      <c r="D41" s="1"/>
      <c r="E41" s="1"/>
      <c r="F41" s="1"/>
      <c r="G41" s="1"/>
      <c r="H41" s="1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"/>
      <c r="AD41" s="18"/>
      <c r="AE41" s="18"/>
      <c r="AF41" s="18"/>
      <c r="AG41" s="18"/>
      <c r="AH41" s="18"/>
    </row>
    <row r="42" spans="1:34" ht="15.75" customHeight="1">
      <c r="A42" s="1"/>
      <c r="B42" s="1"/>
      <c r="C42" s="1"/>
      <c r="D42" s="1"/>
      <c r="E42" s="1"/>
      <c r="F42" s="1"/>
      <c r="G42" s="1"/>
      <c r="H42" s="1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"/>
      <c r="AD42" s="18"/>
      <c r="AE42" s="18"/>
      <c r="AF42" s="18"/>
      <c r="AG42" s="18"/>
      <c r="AH42" s="18"/>
    </row>
    <row r="43" spans="1:34" ht="15.75" customHeight="1">
      <c r="A43" s="1"/>
      <c r="B43" s="1"/>
      <c r="C43" s="1"/>
      <c r="D43" s="1"/>
      <c r="E43" s="1"/>
      <c r="F43" s="1"/>
      <c r="G43" s="1"/>
      <c r="H43" s="1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"/>
      <c r="AD43" s="18"/>
      <c r="AE43" s="18"/>
      <c r="AF43" s="18"/>
      <c r="AG43" s="18"/>
      <c r="AH43" s="18"/>
    </row>
    <row r="44" spans="1:34" ht="15.75" customHeight="1">
      <c r="A44" s="1"/>
      <c r="B44" s="1"/>
      <c r="C44" s="1"/>
      <c r="D44" s="1"/>
      <c r="E44" s="1"/>
      <c r="F44" s="1"/>
      <c r="G44" s="1"/>
      <c r="H44" s="1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"/>
      <c r="AD44" s="18"/>
      <c r="AE44" s="18"/>
      <c r="AF44" s="18"/>
      <c r="AG44" s="18"/>
      <c r="AH44" s="18"/>
    </row>
    <row r="45" spans="1:34" ht="15.75" customHeight="1">
      <c r="A45" s="1"/>
      <c r="B45" s="1"/>
      <c r="C45" s="1"/>
      <c r="D45" s="1"/>
      <c r="E45" s="1"/>
      <c r="F45" s="1"/>
      <c r="G45" s="1"/>
      <c r="H45" s="1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"/>
      <c r="AD45" s="18"/>
      <c r="AE45" s="18"/>
      <c r="AF45" s="18"/>
      <c r="AG45" s="18"/>
      <c r="AH45" s="18"/>
    </row>
    <row r="46" spans="1:34" ht="15.75" customHeight="1">
      <c r="A46" s="1"/>
      <c r="B46" s="1"/>
      <c r="C46" s="1"/>
      <c r="D46" s="1"/>
      <c r="E46" s="1"/>
      <c r="F46" s="1"/>
      <c r="G46" s="1"/>
      <c r="H46" s="1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"/>
      <c r="AD46" s="18"/>
      <c r="AE46" s="18"/>
      <c r="AF46" s="18"/>
      <c r="AG46" s="18"/>
      <c r="AH46" s="18"/>
    </row>
    <row r="47" spans="1:34" ht="15.75" customHeight="1">
      <c r="A47" s="1"/>
      <c r="B47" s="1"/>
      <c r="C47" s="1"/>
      <c r="D47" s="1"/>
      <c r="E47" s="1"/>
      <c r="F47" s="1"/>
      <c r="G47" s="1"/>
      <c r="H47" s="1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"/>
      <c r="AD47" s="18"/>
      <c r="AE47" s="18"/>
      <c r="AF47" s="18"/>
      <c r="AG47" s="18"/>
      <c r="AH47" s="18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"/>
      <c r="AD48" s="18"/>
      <c r="AE48" s="18"/>
      <c r="AF48" s="18"/>
      <c r="AG48" s="18"/>
      <c r="AH48" s="18"/>
    </row>
    <row r="49" spans="1:34" ht="15.75" customHeight="1">
      <c r="A49" s="1"/>
      <c r="B49" s="1"/>
      <c r="C49" s="1"/>
      <c r="D49" s="1"/>
      <c r="E49" s="1"/>
      <c r="F49" s="1"/>
      <c r="G49" s="1"/>
      <c r="H49" s="1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"/>
      <c r="AD49" s="18"/>
      <c r="AE49" s="18"/>
      <c r="AF49" s="18"/>
      <c r="AG49" s="18"/>
      <c r="AH49" s="18"/>
    </row>
    <row r="50" spans="1:34" ht="19.5" customHeight="1">
      <c r="A50" s="1"/>
      <c r="B50" s="1"/>
      <c r="C50" s="1"/>
      <c r="D50" s="1"/>
      <c r="E50" s="1"/>
      <c r="F50" s="1"/>
      <c r="G50" s="1"/>
      <c r="H50" s="1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"/>
      <c r="AD50" s="18"/>
      <c r="AE50" s="18"/>
      <c r="AF50" s="18"/>
      <c r="AG50" s="18"/>
      <c r="AH50" s="18"/>
    </row>
    <row r="51" spans="1:34" ht="15.75" customHeight="1">
      <c r="A51" s="1"/>
      <c r="B51" s="1"/>
      <c r="C51" s="1"/>
      <c r="D51" s="1"/>
      <c r="E51" s="1"/>
      <c r="F51" s="1"/>
      <c r="G51" s="1"/>
      <c r="H51" s="1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"/>
      <c r="AD51" s="18"/>
      <c r="AE51" s="18"/>
      <c r="AF51" s="18"/>
      <c r="AG51" s="18"/>
      <c r="AH51" s="18"/>
    </row>
    <row r="52" spans="1:34" ht="15.75" customHeight="1">
      <c r="A52" s="1"/>
      <c r="B52" s="1"/>
      <c r="C52" s="1"/>
      <c r="D52" s="1"/>
      <c r="E52" s="1"/>
      <c r="F52" s="1"/>
      <c r="G52" s="1"/>
      <c r="H52" s="1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"/>
      <c r="AD52" s="18"/>
      <c r="AE52" s="18"/>
      <c r="AF52" s="18"/>
      <c r="AG52" s="18"/>
      <c r="AH52" s="18"/>
    </row>
    <row r="53" spans="1:34" ht="15.75" customHeight="1">
      <c r="A53" s="1"/>
      <c r="B53" s="1"/>
      <c r="C53" s="1"/>
      <c r="D53" s="1"/>
      <c r="E53" s="1"/>
      <c r="F53" s="1"/>
      <c r="G53" s="1"/>
      <c r="H53" s="1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"/>
      <c r="AD53" s="18"/>
      <c r="AE53" s="18"/>
      <c r="AF53" s="18"/>
      <c r="AG53" s="18"/>
      <c r="AH53" s="18"/>
    </row>
    <row r="54" spans="1:34" ht="15.75" customHeight="1">
      <c r="A54" s="1"/>
      <c r="B54" s="1"/>
      <c r="C54" s="1"/>
      <c r="D54" s="1"/>
      <c r="E54" s="1"/>
      <c r="F54" s="1"/>
      <c r="G54" s="1"/>
      <c r="H54" s="1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"/>
      <c r="AD54" s="18"/>
      <c r="AE54" s="18"/>
      <c r="AF54" s="18"/>
      <c r="AG54" s="18"/>
      <c r="AH54" s="18"/>
    </row>
    <row r="55" spans="1:34" ht="15.75" customHeight="1">
      <c r="A55" s="1"/>
      <c r="B55" s="1"/>
      <c r="C55" s="1"/>
      <c r="D55" s="1"/>
      <c r="E55" s="1"/>
      <c r="F55" s="1"/>
      <c r="G55" s="1"/>
      <c r="H55" s="1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"/>
      <c r="AD55" s="18"/>
      <c r="AE55" s="18"/>
      <c r="AF55" s="18"/>
      <c r="AG55" s="18"/>
      <c r="AH55" s="18"/>
    </row>
  </sheetData>
  <sortState xmlns:xlrd2="http://schemas.microsoft.com/office/spreadsheetml/2017/richdata2" ref="AE6:AF31">
    <sortCondition descending="1" ref="AF6:AF31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47" orientation="landscape" r:id="rId1"/>
  <ignoredErrors>
    <ignoredError sqref="B7:D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2024-08-08T02:51:42Z</cp:lastPrinted>
  <dcterms:modified xsi:type="dcterms:W3CDTF">2024-08-08T02:51:52Z</dcterms:modified>
</cp:coreProperties>
</file>