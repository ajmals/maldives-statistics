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192.168.1.8\st4\Dissemination\Publications\Statistical Year Book\YEARBOOK 2023\FINAL\Human Rights\"/>
    </mc:Choice>
  </mc:AlternateContent>
  <xr:revisionPtr revIDLastSave="0" documentId="13_ncr:1_{58E896D6-B17E-475B-876B-76EC70FFF926}" xr6:coauthVersionLast="47" xr6:coauthVersionMax="47" xr10:uidLastSave="{00000000-0000-0000-0000-000000000000}"/>
  <bookViews>
    <workbookView xWindow="-120" yWindow="-120" windowWidth="29040" windowHeight="15840" xr2:uid="{00000000-000D-0000-FFFF-FFFF00000000}"/>
  </bookViews>
  <sheets>
    <sheet name="19.3" sheetId="3" r:id="rId1"/>
  </sheets>
  <definedNames>
    <definedName name="_xlnm.Print_Area" localSheetId="0">'19.3'!$A$1:$AE$89</definedName>
    <definedName name="_xlnm.Print_Titles" localSheetId="0">'19.3'!$4:$6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7" i="3" l="1"/>
  <c r="AB7" i="3" l="1"/>
  <c r="AA7" i="3"/>
  <c r="V7" i="3"/>
  <c r="Y7" i="3"/>
  <c r="Z7" i="3"/>
  <c r="X7" i="3" l="1"/>
  <c r="U7" i="3"/>
  <c r="O87" i="3" l="1"/>
  <c r="O86" i="3"/>
  <c r="O85" i="3"/>
  <c r="O84" i="3"/>
  <c r="L84" i="3"/>
  <c r="O83" i="3"/>
  <c r="O81" i="3"/>
  <c r="O80" i="3"/>
  <c r="L80" i="3"/>
  <c r="O79" i="3"/>
  <c r="L79" i="3"/>
  <c r="O78" i="3"/>
  <c r="L78" i="3"/>
  <c r="O76" i="3"/>
  <c r="O75" i="3"/>
  <c r="O74" i="3"/>
  <c r="O72" i="3"/>
  <c r="O71" i="3"/>
  <c r="O70" i="3"/>
  <c r="O69" i="3"/>
  <c r="O68" i="3"/>
  <c r="O67" i="3"/>
  <c r="L67" i="3"/>
  <c r="O66" i="3"/>
  <c r="O65" i="3"/>
  <c r="L65" i="3"/>
  <c r="O60" i="3"/>
  <c r="L60" i="3"/>
  <c r="O57" i="3"/>
  <c r="L57" i="3"/>
  <c r="O56" i="3"/>
  <c r="O55" i="3"/>
  <c r="O54" i="3"/>
  <c r="O53" i="3"/>
  <c r="O52" i="3"/>
  <c r="O51" i="3"/>
  <c r="L51" i="3"/>
  <c r="O50" i="3"/>
  <c r="L50" i="3"/>
  <c r="O49" i="3"/>
  <c r="O48" i="3"/>
  <c r="L48" i="3"/>
  <c r="O45" i="3"/>
  <c r="L45" i="3"/>
  <c r="O44" i="3"/>
  <c r="O41" i="3"/>
  <c r="L41" i="3"/>
  <c r="O40" i="3"/>
  <c r="L40" i="3"/>
  <c r="O39" i="3"/>
  <c r="O36" i="3"/>
  <c r="L36" i="3"/>
  <c r="O35" i="3"/>
  <c r="O34" i="3"/>
  <c r="L34" i="3"/>
  <c r="O33" i="3"/>
  <c r="L33" i="3"/>
  <c r="O32" i="3"/>
  <c r="O31" i="3"/>
  <c r="O30" i="3"/>
  <c r="O29" i="3"/>
  <c r="O28" i="3"/>
  <c r="L28" i="3"/>
  <c r="O27" i="3"/>
  <c r="O26" i="3"/>
  <c r="O25" i="3"/>
  <c r="O24" i="3"/>
  <c r="O23" i="3"/>
  <c r="L23" i="3"/>
  <c r="O22" i="3"/>
  <c r="O21" i="3"/>
  <c r="L21" i="3"/>
  <c r="O20" i="3"/>
  <c r="O19" i="3"/>
  <c r="O18" i="3"/>
  <c r="L18" i="3"/>
  <c r="O16" i="3"/>
  <c r="L16" i="3"/>
  <c r="O15" i="3"/>
  <c r="L15" i="3"/>
  <c r="O14" i="3"/>
  <c r="L14" i="3"/>
  <c r="O13" i="3"/>
  <c r="L13" i="3"/>
  <c r="O12" i="3"/>
  <c r="O10" i="3"/>
  <c r="O9" i="3"/>
  <c r="O8" i="3"/>
  <c r="Q7" i="3"/>
  <c r="P7" i="3"/>
  <c r="N7" i="3"/>
  <c r="K7" i="3"/>
  <c r="J7" i="3"/>
  <c r="I7" i="3"/>
  <c r="H7" i="3"/>
  <c r="G7" i="3"/>
  <c r="C7" i="3"/>
  <c r="L7" i="3" l="1"/>
  <c r="O7" i="3"/>
</calcChain>
</file>

<file path=xl/sharedStrings.xml><?xml version="1.0" encoding="utf-8"?>
<sst xmlns="http://schemas.openxmlformats.org/spreadsheetml/2006/main" count="294" uniqueCount="217">
  <si>
    <t>މައްސަލަތަކުގެ ބާވަތް</t>
  </si>
  <si>
    <t>Total</t>
  </si>
  <si>
    <t>ޖުމްލަ</t>
  </si>
  <si>
    <t>Non-discrimination</t>
  </si>
  <si>
    <t>ތަފާތުނުކުރުން</t>
  </si>
  <si>
    <t>Duty of the State</t>
  </si>
  <si>
    <t>ދައުލަތުގެ ވާޖިބު</t>
  </si>
  <si>
    <t>Right to life</t>
  </si>
  <si>
    <t>ދިރިހުރުމުގެ ޙައްޤު</t>
  </si>
  <si>
    <t>Economic and social rights</t>
  </si>
  <si>
    <t>އިޤްތިޞާދީ އަދި އިޖްތިމާޢީ ޙައްގުތައް</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</si>
  <si>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</si>
  <si>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</si>
  <si>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</si>
  <si>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</si>
  <si>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</si>
  <si>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</si>
  <si>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</si>
  <si>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</si>
  <si>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</si>
  <si>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 xml:space="preserve">Freedom of acquiring and imparting knowledge </t>
  </si>
  <si>
    <t>މަޢުލޫމާތު ހޯދުމާއި މަޢުލޫމާތު ދިނުމުގެ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</si>
  <si>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</si>
  <si>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</si>
  <si>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</si>
  <si>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</si>
  <si>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</si>
  <si>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</si>
  <si>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Right to marry and establishment of the family</t>
  </si>
  <si>
    <t>ކައިވެނިކުރުމާއި ޢާއިލާ ޤާއިމްކުރުމުގެ ޙައްޤު</t>
  </si>
  <si>
    <t>Social protection to children, young, elderly and disadvantaged people</t>
  </si>
  <si>
    <t>ކުޑަކުދީންނާއި ޅަފުރާގެ ކުދީންނާއި ޢުމުރުން ދުވަސްވީ މީހުންނާއި ޙާއްޞަ އެހީއަށް ބޭނުންވާ މީހުންނަށް ލިބޭ ޙާއްޞަ ރައްކާތެރިކަން</t>
  </si>
  <si>
    <t>Right to education</t>
  </si>
  <si>
    <t>އުނގެނުމުގެ ޙައްޤު</t>
  </si>
  <si>
    <t>Right to work</t>
  </si>
  <si>
    <t>މަސައްކަތްކުރުމުގެ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</si>
  <si>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</si>
  <si>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</si>
  <si>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</si>
  <si>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</si>
  <si>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</si>
  <si>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</si>
  <si>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</si>
  <si>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 xml:space="preserve">Fair administrative action </t>
  </si>
  <si>
    <t>ޢަދުލުވެރިކަމާއެކު އިދާރީ ފިޔަވަޅުތައްއެޅުން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</si>
  <si>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</si>
  <si>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</si>
  <si>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</si>
  <si>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</si>
  <si>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</si>
  <si>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</si>
  <si>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</si>
  <si>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</si>
  <si>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Rights of the accused</t>
  </si>
  <si>
    <t>ކުށެއް ކުރިކަމުގެ ދަޢުވާ އުފުލިފައިވާ މީހުންގެ ޙައްޤުތައް</t>
  </si>
  <si>
    <t>Assistance of legal counsel</t>
  </si>
  <si>
    <t>ޤާނޫނީ ވަކީލެއްގެ އެހީތެރިކަން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</si>
  <si>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</si>
  <si>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</si>
  <si>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</si>
  <si>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</si>
  <si>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</si>
  <si>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</si>
  <si>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</si>
  <si>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</si>
  <si>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Responsibilities and Duties</t>
  </si>
  <si>
    <t>މަސްއޫލިއްޔަތުތަކާއި ވާޖިބުތައް</t>
  </si>
  <si>
    <t>ނަން އިޝޫ</t>
  </si>
  <si>
    <t>Source: Human Rights Commission of the Maldives</t>
  </si>
  <si>
    <t xml:space="preserve">Total Number of Cases submitted </t>
  </si>
  <si>
    <t xml:space="preserve"> އަހަރުތެރޭގައި ހުށަހެޅުނު މައްސަލަތަކުގެ ޖުމްލަ </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</si>
  <si>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</si>
  <si>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</si>
  <si>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</si>
  <si>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</si>
  <si>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</si>
  <si>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</si>
  <si>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</si>
  <si>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</si>
  <si>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</si>
  <si>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</si>
  <si>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</si>
  <si>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</si>
  <si>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</si>
  <si>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</si>
  <si>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</si>
  <si>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</si>
  <si>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</si>
  <si>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</si>
  <si>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</si>
  <si>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</si>
  <si>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</si>
  <si>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</si>
  <si>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</si>
  <si>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</si>
  <si>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</si>
  <si>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</si>
  <si>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</si>
  <si>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</si>
  <si>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</si>
  <si>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</si>
  <si>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</si>
  <si>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</si>
  <si>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</si>
  <si>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</si>
  <si>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</si>
  <si>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</si>
  <si>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</si>
  <si>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</si>
  <si>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</si>
  <si>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</si>
  <si>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</si>
  <si>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</si>
  <si>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</si>
  <si>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</si>
  <si>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</si>
  <si>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</si>
  <si>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</si>
  <si>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</si>
  <si>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</si>
  <si>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</si>
  <si>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</si>
  <si>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</si>
  <si>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</si>
  <si>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</si>
  <si>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</si>
  <si>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</si>
  <si>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</si>
  <si>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</si>
  <si>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</si>
  <si>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</si>
  <si>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</si>
  <si>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</si>
  <si>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</si>
  <si>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</si>
  <si>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</si>
  <si>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</si>
  <si>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</si>
  <si>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</si>
  <si>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</si>
  <si>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</si>
  <si>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</si>
  <si>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</si>
  <si>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</si>
  <si>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</si>
  <si>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</si>
  <si>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</si>
  <si>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</si>
  <si>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</si>
  <si>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47(a)</t>
  </si>
  <si>
    <t>No person shall be subject to search or seizure unless there is reasonable cause.</t>
  </si>
  <si>
    <t>އެކަށީގެންވާ ސަބަބެއްނެތި އެއްވެސް މީހެއްގެ ގަޔަށް އަތްލައި، ފާސްކޮށް، މީހެއްގެ އެއްޗެއް ގަދަކަމުން އަތުލައިގެނެއް ނުވާނެއެވެ.</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</si>
  <si>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</si>
  <si>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</si>
  <si>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</si>
  <si>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</si>
  <si>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</si>
  <si>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</si>
  <si>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</si>
  <si>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</si>
  <si>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</si>
  <si>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</si>
  <si>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</si>
  <si>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</si>
  <si>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</si>
  <si>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</si>
  <si>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</si>
  <si>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</si>
  <si>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</si>
  <si>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</si>
  <si>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</si>
  <si>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</si>
  <si>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</si>
  <si>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</si>
  <si>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</si>
  <si>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</si>
  <si>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51(f)</t>
  </si>
  <si>
    <t>to be tried in person, and to defend himself through legal counsel of his own choosing</t>
  </si>
  <si>
    <t>އެ މީހެއްގެ ހާޒިރުގައި ޝާރީޢަތް ކުރެވުމާއި، އެ މީހަކު އިޙްތިޔާރުކުރާ ޤާނޫނީ ވަކީލެއްގެ އެހީގައި ކުށުން ބަރީއަވުމަށް މަސައްކަތްކުރުމުގެ ޙައްޤު ލިބިގެންވުން</t>
  </si>
  <si>
    <t>51(g)</t>
  </si>
  <si>
    <t xml:space="preserve">to examine the witnesses against him and to obtain the attendance and examination of witnesses </t>
  </si>
  <si>
    <t>ދަޢުވާ ހުށަހަޅާ ފަރާތުން ޝަރީޢަތަށް ހާޒިރުކުރާ ހެކީންނާ ސުވާލުކުރުމާއި، އެ މީހަކު ބޭނުން ހެކީން ޝަރީޢަތަށް ހާޒިރުކޮށްދިނުމަށް ކޯޓުގައި އެދުމާއި، އެ ހެކީންނާ ޝަރީޢަތުގެ މަޖިލީހުގައި ސުވާލު ކުރުމުގެ ޙައްޤު ލިބިގެންވުން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</si>
  <si>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</si>
  <si>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</si>
  <si>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</si>
  <si>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</si>
  <si>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</si>
  <si>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</si>
  <si>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</si>
  <si>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</si>
  <si>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In serious criminal cases, the State shall provide a lawyer for an accused person who cannot afford to engage one</t>
  </si>
  <si>
    <t>ޖިނާއީ ބޮޑެތި މައްސަލަތަކުގައި، ތުހުމަތުކުރެވޭ މީހާއަކީ ޤާނޫނީ ވަކީލެއްގެ އެހީތެރިކަން ހޯދޭ ފަދަ މާލީ ތަނަވަސްކަމެއް ނެތް މީހެއް ނަމަ، އޭނާއަށް ދައުލަތުން ޤާނޫނީ ވަކީލަކު ޢައްޔަން ކޮށްދޭން ވާނެއެވެ.</t>
  </si>
  <si>
    <t>53(b)</t>
  </si>
  <si>
    <t>އިސްތިއުނާފު ކުރުމުގެ ޙައްޤު</t>
  </si>
  <si>
    <t>Compensation collected</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</si>
  <si>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</si>
  <si>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</si>
  <si>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</si>
  <si>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Non-compliance with unlawful orders</t>
  </si>
  <si>
    <t>ޢައިރު ގާނޫނީ އަމުރުތަކަށް ތަބާނުވުމުން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</si>
  <si>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</si>
  <si>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</si>
  <si>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</si>
  <si>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</si>
  <si>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</si>
  <si>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</si>
  <si>
    <t>ތިމާވެށި ހިމާޔަތްކުރުން</t>
  </si>
  <si>
    <t>Protection of the environment</t>
  </si>
  <si>
    <t>ކުށްކުށަށް ތުހުމަތުކުރެވޭ މީހުން މިނިވަންކުރުން</t>
  </si>
  <si>
    <t>Release of accused</t>
  </si>
  <si>
    <t>37(d)</t>
  </si>
  <si>
    <t>ކޮންމެ މީހަކަށްމެ އަރާމުކުރުމާއި މުނިފޫހިފިލުވުމަށް ވަގުތު ހޭދަކުރުމުގެ ހައްޤު ލިބިގެންވެއެވެ. ވަޒީފާއެއް އަދާކުރާ ކޮންމެ މީހަކަށްމެ މި ޙައްޤު ލިބިދިނުމަށްޓަކައި، މަސައްކަތްކުރަންޖެހޭ އެންމެ ގިނަ ވަގުތެއް ކަނޑައަޅާފައި އޮންނަންވާނެއެވެ. އަދި އުޖޫރައާއެކު ލިބޭ ޗުއްޓީ ކަނޑައެޅިފައި އޮންނަންވާނެއެވެ.</t>
  </si>
  <si>
    <t>60(a)</t>
  </si>
  <si>
    <t xml:space="preserve">ޖިނާއީ ކުށެއްގެ ދަޢުވާ މީހެއްގެ މައްޗަށް ސާބިތުނުވާކަމަށް ކޯޓަކުން ހުކުމްކޮށްފިނަމަ، ދެވަނަ ފަހަރަށް ހަމަ އެ ކުށުގެ ނުވަތަ އެ ކުށުގެ ޢަމަލުން ފުރިހަމަވާ އެހެން ކުށެއްގެ ދަޢުވާ އެ މީހެއްގެ މައްޗަށް ނުއުފުލޭނެއެވެ. އަދި ޖިނާއީ ކުށެއްގެ ދަޢުވާ މީހެއްގެ މައްޗަށް ސާބިތުވެއްޖެނަމަ، ދެވަނަ ފަހަރަށް ހަމަ އެ ކުށުގެ ނުވަތަ އެ ކުށުގެ ޢަމަލުން ފުރިހަމަވާ އެހެން ކުށެއްގެ ދަޢުވާ އެ މީހެއްގެ މައްޗަށް ނުއުފުލޭނެއެވެ. </t>
  </si>
  <si>
    <t>If an accused is acquitted of an offence by a court, he shall not be tried again for the same or substantially the same offence. If an accused is found guilty and punished for an offence he shall not be tried or punished again for the same or substantially the same offence.</t>
  </si>
  <si>
    <t>TABLE 19.3:  NUMBER OF CASES SUBMITTED AND COMPLETED BY THE HUMAN RIGHTS COMMISSION,  2019 - 2022</t>
  </si>
  <si>
    <t>ތާވަލު 19.3: ހިއުމަން ރައިޓްސް ކޮމިޝަނަށް ހުށައެޅުނު އަދި ބެލުނު މައްސަލަތައް، 2019 - 2022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</si>
</sst>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 [$€-1];[Red]\-#,##0\ [$€-1]"/>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2"/>
      <name val="Calibri"/>
      <family val="2"/>
      <scheme val="minor"/>
    </font>
    <font>
      <sz val="9"/>
      <color theme="1"/>
      <name val="Calibri"/>
      <family val="2"/>
      <scheme val="minor"/>
    </font>
    <font>
      <sz val="11"/>
      <name val="Calibri"/>
      <family val="2"/>
      <scheme val="minor"/>
    </font>
    <font>
      <sz val="11"/>
      <name val="Faruma"/>
    </font>
    <font>
      <b/>
      <sz val="11"/>
      <name val="Faruma"/>
    </font>
    <font>
      <b/>
      <sz val="11"/>
      <name val="Calibri"/>
      <family val="2"/>
      <scheme val="minor"/>
    </font>
    <font>
      <b/>
      <sz val="10"/>
      <name val="Calibri"/>
      <family val="2"/>
      <scheme val="minor"/>
    </font>
    <font>
      <b/>
      <sz val="10"/>
      <name val="Faruma"/>
    </font>
    <font>
      <b/>
      <sz val="8"/>
      <name val="Faruma"/>
    </font>
    <font>
      <sz val="12"/>
      <name val="Faruma"/>
    </font>
    <font>
      <i/>
      <sz val="9"/>
      <name val="Calibri"/>
      <family val="2"/>
      <scheme val="minor"/>
    </font>
    <font>
      <sz val="9"/>
      <name val="Calibri"/>
      <family val="2"/>
      <scheme val="minor"/>
    </font>
    <font>
      <sz val="9"/>
      <name val="Faruma"/>
    </font>
    <font>
      <sz val="9"/>
      <name val="Faruma"/>
      <family val="3"/>
    </font>
    <font>
      <b/>
      <sz val="10"/>
      <color theme="1"/>
      <name val="Calibri"/>
      <family val="2"/>
      <scheme val="minor"/>
    </font>
    <font>
      <b/>
      <sz val="10"/>
      <color theme="1"/>
      <name val="Faruma"/>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hair">
        <color auto="1"/>
      </bottom>
      <diagonal/>
    </border>
    <border>
      <left/>
      <right style="thin">
        <color indexed="64"/>
      </right>
      <top/>
      <bottom style="hair">
        <color auto="1"/>
      </bottom>
      <diagonal/>
    </border>
    <border>
      <left/>
      <right/>
      <top/>
      <bottom style="dotted">
        <color indexed="64"/>
      </bottom>
      <diagonal/>
    </border>
    <border>
      <left style="thin">
        <color indexed="64"/>
      </left>
      <right/>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dotted">
        <color indexed="64"/>
      </bottom>
      <diagonal/>
    </border>
  </borders>
  <cellStyleXfs count="2">
    <xf numFmtId="0" fontId="0" fillId="0" borderId="0"/>
    <xf numFmtId="43" fontId="1" fillId="0" borderId="0" applyFont="0" applyFill="0" applyBorder="0" applyAlignment="0" applyProtection="0"/>
  </cellStyleXfs>
  <cellXfs count="88">
    <xf numFmtId="0" fontId="0" fillId="0" borderId="0" xfId="0"/>
    <xf numFmtId="0" fontId="4" fillId="2" borderId="0" xfId="0" applyFont="1" applyFill="1" applyAlignment="1">
      <alignment horizontal="right" vertical="center"/>
    </xf>
    <xf numFmtId="0" fontId="6" fillId="2" borderId="0" xfId="0" applyFont="1" applyFill="1" applyAlignment="1">
      <alignment horizontal="right" vertical="center" wrapText="1" indent="1" readingOrder="2"/>
    </xf>
    <xf numFmtId="0" fontId="5" fillId="2" borderId="0" xfId="0" applyFont="1" applyFill="1" applyAlignment="1">
      <alignment horizontal="right" vertical="center" wrapText="1"/>
    </xf>
    <xf numFmtId="0" fontId="5" fillId="2" borderId="0" xfId="0" applyFont="1" applyFill="1" applyAlignment="1">
      <alignment horizontal="right" vertical="center"/>
    </xf>
    <xf numFmtId="0" fontId="5" fillId="2" borderId="13" xfId="0" applyFont="1" applyFill="1" applyBorder="1" applyAlignment="1">
      <alignment horizontal="right" vertical="center"/>
    </xf>
    <xf numFmtId="0" fontId="5" fillId="2" borderId="14" xfId="0" applyFont="1" applyFill="1" applyBorder="1" applyAlignment="1">
      <alignment horizontal="right" vertical="center" wrapText="1"/>
    </xf>
    <xf numFmtId="0" fontId="5" fillId="2" borderId="0" xfId="0" applyFont="1" applyFill="1"/>
    <xf numFmtId="0" fontId="3" fillId="2" borderId="0" xfId="0" applyFont="1" applyFill="1" applyAlignment="1">
      <alignment horizontal="right" vertical="center" wrapText="1"/>
    </xf>
    <xf numFmtId="0" fontId="5" fillId="2" borderId="14" xfId="0" applyFont="1" applyFill="1" applyBorder="1" applyAlignment="1">
      <alignment horizontal="right" vertical="center"/>
    </xf>
    <xf numFmtId="0" fontId="3" fillId="2" borderId="14" xfId="0" applyFont="1" applyFill="1" applyBorder="1" applyAlignment="1">
      <alignment horizontal="right" vertical="center" wrapText="1"/>
    </xf>
    <xf numFmtId="0" fontId="5" fillId="2" borderId="12" xfId="0" applyFont="1" applyFill="1" applyBorder="1" applyAlignment="1">
      <alignment horizontal="right" vertical="center" wrapText="1"/>
    </xf>
    <xf numFmtId="0" fontId="5" fillId="2" borderId="0" xfId="0" applyFont="1" applyFill="1" applyAlignment="1">
      <alignment horizontal="center" vertical="top"/>
    </xf>
    <xf numFmtId="0" fontId="5" fillId="2" borderId="0" xfId="0" applyFont="1" applyFill="1" applyAlignment="1">
      <alignment vertical="center" wrapText="1"/>
    </xf>
    <xf numFmtId="0" fontId="5" fillId="2" borderId="0" xfId="0" applyFont="1" applyFill="1" applyAlignment="1">
      <alignment horizontal="center" vertical="center"/>
    </xf>
    <xf numFmtId="0" fontId="5" fillId="2" borderId="0" xfId="0" applyFont="1" applyFill="1" applyAlignment="1">
      <alignment vertical="center"/>
    </xf>
    <xf numFmtId="0" fontId="5" fillId="2" borderId="2" xfId="0" applyFont="1" applyFill="1" applyBorder="1" applyAlignment="1">
      <alignment horizontal="center" vertical="center"/>
    </xf>
    <xf numFmtId="0" fontId="9" fillId="2" borderId="2" xfId="0" applyFont="1" applyFill="1" applyBorder="1" applyAlignment="1">
      <alignment horizontal="right" vertical="center" wrapText="1"/>
    </xf>
    <xf numFmtId="0" fontId="9" fillId="2" borderId="2" xfId="0" applyFont="1" applyFill="1" applyBorder="1" applyAlignment="1">
      <alignment horizontal="right" vertical="center"/>
    </xf>
    <xf numFmtId="0" fontId="9" fillId="2" borderId="3" xfId="0" applyFont="1" applyFill="1" applyBorder="1" applyAlignment="1">
      <alignment horizontal="right" vertical="center"/>
    </xf>
    <xf numFmtId="0" fontId="9" fillId="2" borderId="4" xfId="0" applyFont="1" applyFill="1" applyBorder="1" applyAlignment="1">
      <alignment horizontal="right" vertical="center" wrapText="1"/>
    </xf>
    <xf numFmtId="0" fontId="6" fillId="2" borderId="0" xfId="0" applyFont="1" applyFill="1" applyAlignment="1">
      <alignment horizontal="center" vertical="center" wrapText="1"/>
    </xf>
    <xf numFmtId="0" fontId="11" fillId="2" borderId="5" xfId="0" applyFont="1" applyFill="1" applyBorder="1" applyAlignment="1">
      <alignment horizontal="right" vertical="center" wrapText="1"/>
    </xf>
    <xf numFmtId="0" fontId="10" fillId="2" borderId="5" xfId="0" applyFont="1" applyFill="1" applyBorder="1" applyAlignment="1">
      <alignment horizontal="right" vertical="center" wrapText="1"/>
    </xf>
    <xf numFmtId="0" fontId="10" fillId="2" borderId="6" xfId="0" applyFont="1" applyFill="1" applyBorder="1" applyAlignment="1">
      <alignment horizontal="right" vertical="center" wrapText="1"/>
    </xf>
    <xf numFmtId="0" fontId="10" fillId="2" borderId="7" xfId="0" applyFont="1" applyFill="1" applyBorder="1" applyAlignment="1">
      <alignment horizontal="right" vertical="center" wrapText="1"/>
    </xf>
    <xf numFmtId="0" fontId="11" fillId="2" borderId="8" xfId="0" applyFont="1" applyFill="1" applyBorder="1" applyAlignment="1">
      <alignment horizontal="right" vertical="center" wrapText="1"/>
    </xf>
    <xf numFmtId="0" fontId="10" fillId="2" borderId="0" xfId="0" applyFont="1" applyFill="1" applyAlignment="1">
      <alignment horizontal="right" vertical="center" wrapText="1"/>
    </xf>
    <xf numFmtId="0" fontId="8" fillId="2" borderId="0" xfId="0" applyFont="1" applyFill="1"/>
    <xf numFmtId="0" fontId="8" fillId="2" borderId="2" xfId="0" applyFont="1" applyFill="1" applyBorder="1" applyAlignment="1">
      <alignment horizontal="left" vertical="center" wrapText="1"/>
    </xf>
    <xf numFmtId="0" fontId="8" fillId="2" borderId="2" xfId="0" applyFont="1" applyFill="1" applyBorder="1" applyAlignment="1">
      <alignment horizontal="right" vertical="center" wrapText="1"/>
    </xf>
    <xf numFmtId="0" fontId="8" fillId="2" borderId="3" xfId="0" applyFont="1" applyFill="1" applyBorder="1" applyAlignment="1">
      <alignment horizontal="right" vertical="center" wrapText="1"/>
    </xf>
    <xf numFmtId="0" fontId="8" fillId="2" borderId="4"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5" fillId="2" borderId="0" xfId="0" applyFont="1" applyFill="1" applyAlignment="1">
      <alignment horizontal="left" vertical="center" wrapText="1"/>
    </xf>
    <xf numFmtId="0" fontId="3" fillId="2" borderId="0" xfId="0" applyFont="1" applyFill="1" applyAlignment="1">
      <alignment horizontal="left" vertical="center" wrapText="1"/>
    </xf>
    <xf numFmtId="0" fontId="5" fillId="2" borderId="13" xfId="0" applyFont="1" applyFill="1" applyBorder="1" applyAlignment="1">
      <alignment horizontal="right" vertical="center" wrapText="1"/>
    </xf>
    <xf numFmtId="0" fontId="6" fillId="2" borderId="0" xfId="0" applyFont="1" applyFill="1" applyAlignment="1">
      <alignment horizontal="right" vertical="center" wrapText="1" indent="1"/>
    </xf>
    <xf numFmtId="165" fontId="5" fillId="2" borderId="0" xfId="0" applyNumberFormat="1" applyFont="1" applyFill="1" applyAlignment="1">
      <alignment horizontal="center" vertical="center"/>
    </xf>
    <xf numFmtId="165" fontId="5" fillId="2" borderId="0" xfId="0" applyNumberFormat="1" applyFont="1" applyFill="1" applyAlignment="1">
      <alignment horizontal="center" vertical="top"/>
    </xf>
    <xf numFmtId="0" fontId="12" fillId="2" borderId="0" xfId="0" applyFont="1" applyFill="1" applyAlignment="1">
      <alignment horizontal="right" vertical="center" wrapText="1" readingOrder="2"/>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right" vertical="center" wrapText="1"/>
    </xf>
    <xf numFmtId="0" fontId="5" fillId="2" borderId="1" xfId="0" applyFont="1" applyFill="1" applyBorder="1" applyAlignment="1">
      <alignment horizontal="right" vertical="center"/>
    </xf>
    <xf numFmtId="0" fontId="5" fillId="2" borderId="11" xfId="0" applyFont="1" applyFill="1" applyBorder="1" applyAlignment="1">
      <alignment horizontal="right" vertical="center"/>
    </xf>
    <xf numFmtId="0" fontId="6" fillId="2" borderId="1" xfId="0" applyFont="1" applyFill="1" applyBorder="1" applyAlignment="1">
      <alignment horizontal="right" vertical="center" wrapText="1" indent="1"/>
    </xf>
    <xf numFmtId="0" fontId="5" fillId="2" borderId="1" xfId="0" applyFont="1" applyFill="1" applyBorder="1" applyAlignment="1">
      <alignment horizontal="center" vertical="top"/>
    </xf>
    <xf numFmtId="0" fontId="13" fillId="2" borderId="0" xfId="0" applyFont="1" applyFill="1" applyAlignment="1">
      <alignment horizontal="left" vertical="center"/>
    </xf>
    <xf numFmtId="0" fontId="13" fillId="2" borderId="0" xfId="0" applyFont="1" applyFill="1" applyAlignment="1">
      <alignment horizontal="right" vertical="center"/>
    </xf>
    <xf numFmtId="0" fontId="14" fillId="2" borderId="0" xfId="0" applyFont="1" applyFill="1" applyAlignment="1">
      <alignment horizontal="right" vertical="center"/>
    </xf>
    <xf numFmtId="0" fontId="15" fillId="2" borderId="0" xfId="0" applyFont="1" applyFill="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0" fillId="2" borderId="0" xfId="0" applyFill="1" applyAlignment="1">
      <alignment horizontal="right" vertical="center"/>
    </xf>
    <xf numFmtId="0" fontId="0" fillId="2" borderId="0" xfId="0" applyFill="1" applyAlignment="1">
      <alignment horizontal="right" vertical="center" wrapText="1"/>
    </xf>
    <xf numFmtId="0" fontId="0" fillId="2" borderId="1" xfId="0" applyFill="1" applyBorder="1" applyAlignment="1">
      <alignment horizontal="righ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xf>
    <xf numFmtId="0" fontId="16" fillId="2" borderId="0" xfId="0" applyFont="1" applyFill="1" applyAlignment="1">
      <alignment vertical="center"/>
    </xf>
    <xf numFmtId="0" fontId="10" fillId="2" borderId="15" xfId="0" applyFont="1" applyFill="1" applyBorder="1" applyAlignment="1">
      <alignment horizontal="right" vertical="center" wrapText="1"/>
    </xf>
    <xf numFmtId="0" fontId="17" fillId="2" borderId="2" xfId="0" applyFont="1" applyFill="1" applyBorder="1" applyAlignment="1">
      <alignment horizontal="right" vertical="center"/>
    </xf>
    <xf numFmtId="0" fontId="18" fillId="2" borderId="7" xfId="0" applyFont="1" applyFill="1" applyBorder="1" applyAlignment="1">
      <alignment horizontal="right" vertical="center" wrapText="1"/>
    </xf>
    <xf numFmtId="164" fontId="2" fillId="2" borderId="0" xfId="1" applyNumberFormat="1" applyFont="1" applyFill="1" applyBorder="1" applyAlignment="1">
      <alignment horizontal="right" vertical="center" wrapText="1"/>
    </xf>
    <xf numFmtId="0" fontId="17" fillId="2" borderId="3" xfId="0" applyFont="1" applyFill="1" applyBorder="1" applyAlignment="1">
      <alignment horizontal="right" vertical="center"/>
    </xf>
    <xf numFmtId="0" fontId="18" fillId="2" borderId="15" xfId="0" applyFont="1" applyFill="1" applyBorder="1" applyAlignment="1">
      <alignment horizontal="right" vertical="center" wrapText="1"/>
    </xf>
    <xf numFmtId="164" fontId="2" fillId="2" borderId="14" xfId="1" applyNumberFormat="1" applyFont="1" applyFill="1" applyBorder="1" applyAlignment="1">
      <alignment horizontal="right" vertical="center" wrapText="1"/>
    </xf>
    <xf numFmtId="0" fontId="2" fillId="2" borderId="3" xfId="0" applyFont="1" applyFill="1" applyBorder="1" applyAlignment="1">
      <alignment horizontal="right" vertical="center" wrapText="1"/>
    </xf>
    <xf numFmtId="0" fontId="0" fillId="2" borderId="13" xfId="0" applyFill="1" applyBorder="1" applyAlignment="1">
      <alignment horizontal="right" vertical="center"/>
    </xf>
    <xf numFmtId="0" fontId="0" fillId="2" borderId="11" xfId="0" applyFill="1" applyBorder="1" applyAlignment="1">
      <alignment horizontal="right" vertical="center"/>
    </xf>
    <xf numFmtId="0" fontId="7" fillId="2" borderId="2"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 xfId="0" applyFont="1" applyFill="1" applyBorder="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2" xfId="0" applyFont="1" applyFill="1" applyBorder="1" applyAlignment="1">
      <alignment horizontal="left" vertical="center"/>
    </xf>
    <xf numFmtId="0" fontId="9" fillId="2" borderId="0" xfId="0" applyFont="1" applyFill="1" applyAlignment="1">
      <alignment horizontal="left" vertical="center"/>
    </xf>
    <xf numFmtId="0" fontId="9" fillId="2" borderId="1" xfId="0" applyFont="1" applyFill="1" applyBorder="1" applyAlignment="1">
      <alignment horizontal="left" vertical="center"/>
    </xf>
    <xf numFmtId="0" fontId="10" fillId="2" borderId="2" xfId="0" applyFont="1" applyFill="1" applyBorder="1" applyAlignment="1">
      <alignment horizontal="right" vertical="center"/>
    </xf>
    <xf numFmtId="0" fontId="10" fillId="2" borderId="0" xfId="0" applyFont="1" applyFill="1" applyAlignment="1">
      <alignment horizontal="right" vertical="center"/>
    </xf>
    <xf numFmtId="0" fontId="10" fillId="2" borderId="1" xfId="0" applyFont="1" applyFill="1" applyBorder="1" applyAlignment="1">
      <alignment horizontal="right"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xf>
    <xf numFmtId="0" fontId="8" fillId="2" borderId="1" xfId="0" applyFont="1" applyFill="1" applyBorder="1" applyAlignment="1">
      <alignment horizontal="center"/>
    </xf>
    <xf numFmtId="0" fontId="8" fillId="2" borderId="11"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FFD1D1"/>
      <color rgb="FFFF9B9B"/>
      <color rgb="FFFFF7F7"/>
      <color rgb="FF33CCCC"/>
      <color rgb="FFEAFAFA"/>
      <color rgb="FF249390"/>
      <color rgb="FFFF9900"/>
      <color rgb="FFDCB894"/>
      <color rgb="FF996633"/>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89"/>
  <sheetViews>
    <sheetView tabSelected="1" topLeftCell="R1" zoomScaleNormal="100" workbookViewId="0">
      <selection activeCell="AI18" sqref="AI18"/>
    </sheetView>
  </sheetViews>
  <sheetFormatPr defaultColWidth="11.85546875" defaultRowHeight="15" x14ac:dyDescent="0.25"/>
  <cols>
    <col min="1" max="1" width="6.28515625" style="14" customWidth="1"/>
    <col min="2" max="2" width="45.140625" style="15" customWidth="1"/>
    <col min="3" max="3" width="13.28515625" style="4" hidden="1" customWidth="1"/>
    <col min="4" max="5" width="9.85546875" style="4" hidden="1" customWidth="1"/>
    <col min="6" max="6" width="1.140625" style="4" hidden="1" customWidth="1"/>
    <col min="7" max="7" width="13.140625" style="4" hidden="1" customWidth="1"/>
    <col min="8" max="9" width="9.85546875" style="4" hidden="1" customWidth="1"/>
    <col min="10" max="10" width="13.28515625" style="4" hidden="1" customWidth="1"/>
    <col min="11" max="12" width="9.85546875" style="4" hidden="1" customWidth="1"/>
    <col min="13" max="13" width="13.28515625" style="4" hidden="1" customWidth="1"/>
    <col min="14" max="15" width="9.85546875" style="4" hidden="1" customWidth="1"/>
    <col min="16" max="17" width="10.7109375" style="7" hidden="1" customWidth="1"/>
    <col min="18" max="18" width="13.28515625" style="4" customWidth="1"/>
    <col min="19" max="19" width="9.85546875" style="4" customWidth="1"/>
    <col min="20" max="20" width="9.7109375" style="4" bestFit="1" customWidth="1"/>
    <col min="21" max="21" width="13.28515625" style="4" customWidth="1"/>
    <col min="22" max="22" width="9.85546875" style="4" customWidth="1"/>
    <col min="23" max="23" width="9.7109375" style="4" bestFit="1" customWidth="1"/>
    <col min="24" max="24" width="13.28515625" style="4" customWidth="1"/>
    <col min="25" max="25" width="9.85546875" style="4" customWidth="1"/>
    <col min="26" max="26" width="9.7109375" style="54" customWidth="1"/>
    <col min="27" max="27" width="13.28515625" style="4" customWidth="1"/>
    <col min="28" max="28" width="9.85546875" style="4" customWidth="1"/>
    <col min="29" max="29" width="9.7109375" style="54" customWidth="1"/>
    <col min="30" max="30" width="48.7109375" style="7" customWidth="1"/>
    <col min="31" max="31" width="7" style="12" customWidth="1"/>
    <col min="32" max="32" width="28.28515625" style="7" customWidth="1"/>
    <col min="33" max="16384" width="11.85546875" style="7"/>
  </cols>
  <sheetData>
    <row r="1" spans="1:35" ht="18.75" customHeight="1" x14ac:dyDescent="0.25">
      <c r="B1" s="73" t="s">
        <v>216</v>
      </c>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row>
    <row r="2" spans="1:35" ht="18.75" customHeight="1" x14ac:dyDescent="0.25">
      <c r="B2" s="74" t="s">
        <v>215</v>
      </c>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row>
    <row r="3" spans="1:35" ht="6.75" customHeight="1" x14ac:dyDescent="0.25"/>
    <row r="4" spans="1:35" s="14" customFormat="1" ht="36.75" customHeight="1" x14ac:dyDescent="0.25">
      <c r="A4" s="16"/>
      <c r="B4" s="75" t="s">
        <v>71</v>
      </c>
      <c r="C4" s="17" t="s">
        <v>69</v>
      </c>
      <c r="D4" s="18" t="s">
        <v>72</v>
      </c>
      <c r="E4" s="19" t="s">
        <v>73</v>
      </c>
      <c r="F4" s="18"/>
      <c r="G4" s="17" t="s">
        <v>69</v>
      </c>
      <c r="H4" s="18" t="s">
        <v>72</v>
      </c>
      <c r="I4" s="19" t="s">
        <v>73</v>
      </c>
      <c r="J4" s="17" t="s">
        <v>69</v>
      </c>
      <c r="K4" s="18" t="s">
        <v>72</v>
      </c>
      <c r="L4" s="18" t="s">
        <v>73</v>
      </c>
      <c r="M4" s="20" t="s">
        <v>69</v>
      </c>
      <c r="N4" s="18" t="s">
        <v>72</v>
      </c>
      <c r="O4" s="18" t="s">
        <v>73</v>
      </c>
      <c r="Q4" s="18"/>
      <c r="R4" s="20" t="s">
        <v>69</v>
      </c>
      <c r="S4" s="18" t="s">
        <v>72</v>
      </c>
      <c r="T4" s="18" t="s">
        <v>73</v>
      </c>
      <c r="U4" s="20" t="s">
        <v>69</v>
      </c>
      <c r="V4" s="18" t="s">
        <v>72</v>
      </c>
      <c r="W4" s="19" t="s">
        <v>73</v>
      </c>
      <c r="X4" s="20" t="s">
        <v>69</v>
      </c>
      <c r="Y4" s="18" t="s">
        <v>72</v>
      </c>
      <c r="Z4" s="64" t="s">
        <v>73</v>
      </c>
      <c r="AA4" s="17" t="s">
        <v>69</v>
      </c>
      <c r="AB4" s="18" t="s">
        <v>72</v>
      </c>
      <c r="AC4" s="61" t="s">
        <v>73</v>
      </c>
      <c r="AD4" s="78" t="s">
        <v>0</v>
      </c>
      <c r="AE4" s="70" t="s">
        <v>204</v>
      </c>
    </row>
    <row r="5" spans="1:35" s="21" customFormat="1" ht="45.75" customHeight="1" x14ac:dyDescent="0.25">
      <c r="B5" s="76"/>
      <c r="C5" s="22" t="s">
        <v>70</v>
      </c>
      <c r="D5" s="23" t="s">
        <v>74</v>
      </c>
      <c r="E5" s="24" t="s">
        <v>75</v>
      </c>
      <c r="F5" s="23"/>
      <c r="G5" s="22" t="s">
        <v>70</v>
      </c>
      <c r="H5" s="23" t="s">
        <v>74</v>
      </c>
      <c r="I5" s="24" t="s">
        <v>75</v>
      </c>
      <c r="J5" s="22" t="s">
        <v>70</v>
      </c>
      <c r="K5" s="23" t="s">
        <v>74</v>
      </c>
      <c r="L5" s="25" t="s">
        <v>75</v>
      </c>
      <c r="M5" s="26" t="s">
        <v>70</v>
      </c>
      <c r="N5" s="23" t="s">
        <v>74</v>
      </c>
      <c r="O5" s="25" t="s">
        <v>75</v>
      </c>
      <c r="Q5" s="27"/>
      <c r="R5" s="26" t="s">
        <v>70</v>
      </c>
      <c r="S5" s="23" t="s">
        <v>74</v>
      </c>
      <c r="T5" s="25" t="s">
        <v>75</v>
      </c>
      <c r="U5" s="26" t="s">
        <v>70</v>
      </c>
      <c r="V5" s="23" t="s">
        <v>74</v>
      </c>
      <c r="W5" s="60" t="s">
        <v>75</v>
      </c>
      <c r="X5" s="26" t="s">
        <v>70</v>
      </c>
      <c r="Y5" s="23" t="s">
        <v>74</v>
      </c>
      <c r="Z5" s="65" t="s">
        <v>75</v>
      </c>
      <c r="AA5" s="22" t="s">
        <v>70</v>
      </c>
      <c r="AB5" s="23" t="s">
        <v>74</v>
      </c>
      <c r="AC5" s="62" t="s">
        <v>75</v>
      </c>
      <c r="AD5" s="79"/>
      <c r="AE5" s="71"/>
    </row>
    <row r="6" spans="1:35" s="28" customFormat="1" ht="18.75" customHeight="1" x14ac:dyDescent="0.25">
      <c r="A6" s="57"/>
      <c r="B6" s="77"/>
      <c r="C6" s="81">
        <v>2014</v>
      </c>
      <c r="D6" s="81"/>
      <c r="E6" s="82"/>
      <c r="F6" s="57"/>
      <c r="G6" s="83">
        <v>2015</v>
      </c>
      <c r="H6" s="83"/>
      <c r="I6" s="84"/>
      <c r="J6" s="83">
        <v>2016</v>
      </c>
      <c r="K6" s="83"/>
      <c r="L6" s="83"/>
      <c r="M6" s="85">
        <v>2017</v>
      </c>
      <c r="N6" s="86"/>
      <c r="O6" s="86"/>
      <c r="P6" s="87"/>
      <c r="Q6" s="58"/>
      <c r="R6" s="85">
        <v>2019</v>
      </c>
      <c r="S6" s="86"/>
      <c r="T6" s="86"/>
      <c r="U6" s="85">
        <v>2020</v>
      </c>
      <c r="V6" s="86"/>
      <c r="W6" s="87"/>
      <c r="X6" s="85">
        <v>2021</v>
      </c>
      <c r="Y6" s="86"/>
      <c r="Z6" s="87"/>
      <c r="AA6" s="86">
        <v>2022</v>
      </c>
      <c r="AB6" s="86"/>
      <c r="AC6" s="86"/>
      <c r="AD6" s="80"/>
      <c r="AE6" s="72"/>
      <c r="AH6" s="21"/>
      <c r="AI6" s="21"/>
    </row>
    <row r="7" spans="1:35" ht="18.75" customHeight="1" x14ac:dyDescent="0.25">
      <c r="A7" s="14" t="s">
        <v>205</v>
      </c>
      <c r="B7" s="29" t="s">
        <v>1</v>
      </c>
      <c r="C7" s="30">
        <f>SUM(C8:C87)</f>
        <v>523</v>
      </c>
      <c r="D7" s="30">
        <v>285</v>
      </c>
      <c r="E7" s="31">
        <v>244</v>
      </c>
      <c r="F7" s="30"/>
      <c r="G7" s="30">
        <f t="shared" ref="G7:L7" si="0">SUM(G8:G87)</f>
        <v>590</v>
      </c>
      <c r="H7" s="30">
        <f t="shared" si="0"/>
        <v>194</v>
      </c>
      <c r="I7" s="31">
        <f t="shared" si="0"/>
        <v>771</v>
      </c>
      <c r="J7" s="30">
        <f t="shared" si="0"/>
        <v>525</v>
      </c>
      <c r="K7" s="30">
        <f t="shared" si="0"/>
        <v>476</v>
      </c>
      <c r="L7" s="30">
        <f t="shared" si="0"/>
        <v>1186</v>
      </c>
      <c r="M7" s="32">
        <v>365</v>
      </c>
      <c r="N7" s="30">
        <f>SUM(N8:N87)</f>
        <v>164</v>
      </c>
      <c r="O7" s="30">
        <f>SUM(O8:O87)</f>
        <v>569</v>
      </c>
      <c r="P7" s="30">
        <f>SUM(P8:P87)</f>
        <v>455</v>
      </c>
      <c r="Q7" s="30">
        <f>SUM(Q8:Q87)</f>
        <v>114</v>
      </c>
      <c r="R7" s="32">
        <v>562</v>
      </c>
      <c r="S7" s="30">
        <v>294</v>
      </c>
      <c r="T7" s="30">
        <v>352</v>
      </c>
      <c r="U7" s="32">
        <f>SUM(U8:U87)</f>
        <v>627</v>
      </c>
      <c r="V7" s="30">
        <f>SUM(V8:V87)</f>
        <v>616</v>
      </c>
      <c r="W7" s="31">
        <v>324</v>
      </c>
      <c r="X7" s="66">
        <f t="shared" ref="X7:AC7" si="1">SUM(X8:X87)</f>
        <v>520</v>
      </c>
      <c r="Y7" s="30">
        <f t="shared" si="1"/>
        <v>604</v>
      </c>
      <c r="Z7" s="67">
        <f t="shared" si="1"/>
        <v>347</v>
      </c>
      <c r="AA7" s="63">
        <f t="shared" si="1"/>
        <v>543</v>
      </c>
      <c r="AB7" s="30">
        <f t="shared" si="1"/>
        <v>563</v>
      </c>
      <c r="AC7" s="30">
        <f t="shared" si="1"/>
        <v>613</v>
      </c>
      <c r="AD7" s="33" t="s">
        <v>2</v>
      </c>
      <c r="AG7" s="28"/>
      <c r="AH7" s="21"/>
      <c r="AI7" s="21"/>
    </row>
    <row r="8" spans="1:35" ht="24" customHeight="1" x14ac:dyDescent="0.25">
      <c r="A8" s="14">
        <v>17</v>
      </c>
      <c r="B8" s="34" t="s">
        <v>3</v>
      </c>
      <c r="C8" s="3">
        <v>1</v>
      </c>
      <c r="D8" s="4">
        <v>1</v>
      </c>
      <c r="E8" s="5">
        <v>0</v>
      </c>
      <c r="G8" s="3">
        <v>5</v>
      </c>
      <c r="H8" s="4">
        <v>3</v>
      </c>
      <c r="I8" s="5">
        <v>3</v>
      </c>
      <c r="J8" s="3">
        <v>0</v>
      </c>
      <c r="K8" s="4">
        <v>1</v>
      </c>
      <c r="L8" s="4">
        <v>4</v>
      </c>
      <c r="M8" s="6">
        <v>0</v>
      </c>
      <c r="N8" s="4">
        <v>0</v>
      </c>
      <c r="O8" s="4">
        <f>Q8+P8</f>
        <v>3</v>
      </c>
      <c r="P8" s="4"/>
      <c r="Q8" s="4">
        <v>3</v>
      </c>
      <c r="R8" s="6">
        <v>1</v>
      </c>
      <c r="S8" s="4">
        <v>0</v>
      </c>
      <c r="T8" s="4">
        <v>1</v>
      </c>
      <c r="U8" s="6">
        <v>3</v>
      </c>
      <c r="V8" s="54">
        <v>1</v>
      </c>
      <c r="W8" s="5">
        <v>0</v>
      </c>
      <c r="X8" s="9">
        <v>2</v>
      </c>
      <c r="Y8" s="54">
        <v>1</v>
      </c>
      <c r="Z8" s="68">
        <v>2</v>
      </c>
      <c r="AA8" s="4">
        <v>2</v>
      </c>
      <c r="AB8" s="54">
        <v>0</v>
      </c>
      <c r="AC8" s="54">
        <v>0</v>
      </c>
      <c r="AD8" s="2" t="s">
        <v>4</v>
      </c>
      <c r="AE8" s="12">
        <v>17</v>
      </c>
      <c r="AG8" s="28"/>
      <c r="AH8" s="21"/>
      <c r="AI8" s="21"/>
    </row>
    <row r="9" spans="1:35" ht="24" customHeight="1" x14ac:dyDescent="0.25">
      <c r="A9" s="14">
        <v>18</v>
      </c>
      <c r="B9" s="34" t="s">
        <v>5</v>
      </c>
      <c r="C9" s="3">
        <v>0</v>
      </c>
      <c r="D9" s="4">
        <v>0</v>
      </c>
      <c r="E9" s="5">
        <v>0</v>
      </c>
      <c r="G9" s="3">
        <v>0</v>
      </c>
      <c r="H9" s="4">
        <v>0</v>
      </c>
      <c r="I9" s="5">
        <v>0</v>
      </c>
      <c r="J9" s="3">
        <v>0</v>
      </c>
      <c r="K9" s="4">
        <v>0</v>
      </c>
      <c r="L9" s="4">
        <v>0</v>
      </c>
      <c r="M9" s="6">
        <v>0</v>
      </c>
      <c r="N9" s="4">
        <v>0</v>
      </c>
      <c r="O9" s="4">
        <f t="shared" ref="O9:O85" si="2">Q9+P9</f>
        <v>1</v>
      </c>
      <c r="P9" s="4">
        <v>1</v>
      </c>
      <c r="Q9" s="4"/>
      <c r="R9" s="6">
        <v>0</v>
      </c>
      <c r="S9" s="4">
        <v>0</v>
      </c>
      <c r="T9" s="4">
        <v>0</v>
      </c>
      <c r="U9" s="6">
        <v>1</v>
      </c>
      <c r="V9" s="54">
        <v>7</v>
      </c>
      <c r="W9" s="5">
        <v>0</v>
      </c>
      <c r="X9" s="9">
        <v>21</v>
      </c>
      <c r="Y9" s="54">
        <v>10</v>
      </c>
      <c r="Z9" s="68">
        <v>11</v>
      </c>
      <c r="AA9" s="4">
        <v>0</v>
      </c>
      <c r="AB9" s="54">
        <v>0</v>
      </c>
      <c r="AC9" s="54">
        <v>0</v>
      </c>
      <c r="AD9" s="2" t="s">
        <v>6</v>
      </c>
      <c r="AE9" s="12">
        <v>18</v>
      </c>
      <c r="AG9" s="28"/>
      <c r="AH9" s="21"/>
      <c r="AI9" s="21"/>
    </row>
    <row r="10" spans="1:35" ht="24" customHeight="1" x14ac:dyDescent="0.25">
      <c r="A10" s="14">
        <v>21</v>
      </c>
      <c r="B10" s="34" t="s">
        <v>7</v>
      </c>
      <c r="C10" s="3">
        <v>5</v>
      </c>
      <c r="D10" s="4">
        <v>3</v>
      </c>
      <c r="E10" s="5">
        <v>2</v>
      </c>
      <c r="G10" s="3">
        <v>7</v>
      </c>
      <c r="H10" s="4">
        <v>2</v>
      </c>
      <c r="I10" s="5">
        <v>9</v>
      </c>
      <c r="J10" s="3">
        <v>4</v>
      </c>
      <c r="K10" s="4">
        <v>7</v>
      </c>
      <c r="L10" s="4">
        <v>5</v>
      </c>
      <c r="M10" s="6">
        <v>7</v>
      </c>
      <c r="N10" s="4">
        <v>8</v>
      </c>
      <c r="O10" s="4">
        <f t="shared" si="2"/>
        <v>5</v>
      </c>
      <c r="P10" s="4">
        <v>5</v>
      </c>
      <c r="Q10" s="4"/>
      <c r="R10" s="6">
        <v>31</v>
      </c>
      <c r="S10" s="4">
        <v>15</v>
      </c>
      <c r="T10" s="4">
        <v>19</v>
      </c>
      <c r="U10" s="6">
        <v>21</v>
      </c>
      <c r="V10" s="54">
        <v>27</v>
      </c>
      <c r="W10" s="5">
        <v>10</v>
      </c>
      <c r="X10" s="9">
        <v>5</v>
      </c>
      <c r="Y10" s="54">
        <v>27</v>
      </c>
      <c r="Z10" s="68">
        <v>5</v>
      </c>
      <c r="AA10" s="4">
        <v>3</v>
      </c>
      <c r="AB10" s="54">
        <v>1</v>
      </c>
      <c r="AC10" s="54">
        <v>0</v>
      </c>
      <c r="AD10" s="2" t="s">
        <v>8</v>
      </c>
      <c r="AE10" s="12">
        <v>21</v>
      </c>
      <c r="AG10" s="28"/>
      <c r="AH10" s="21"/>
      <c r="AI10" s="21"/>
    </row>
    <row r="11" spans="1:35" ht="24" customHeight="1" x14ac:dyDescent="0.25">
      <c r="A11" s="14">
        <v>22</v>
      </c>
      <c r="B11" s="34" t="s">
        <v>207</v>
      </c>
      <c r="C11" s="3"/>
      <c r="E11" s="5"/>
      <c r="G11" s="3"/>
      <c r="I11" s="5"/>
      <c r="J11" s="3"/>
      <c r="M11" s="6">
        <v>0</v>
      </c>
      <c r="N11" s="4">
        <v>0</v>
      </c>
      <c r="O11" s="4">
        <v>0</v>
      </c>
      <c r="P11" s="4"/>
      <c r="Q11" s="4"/>
      <c r="R11" s="6">
        <v>1</v>
      </c>
      <c r="S11" s="4">
        <v>2</v>
      </c>
      <c r="T11" s="4">
        <v>0</v>
      </c>
      <c r="U11" s="6">
        <v>0</v>
      </c>
      <c r="V11" s="54">
        <v>2</v>
      </c>
      <c r="W11" s="5">
        <v>0</v>
      </c>
      <c r="X11" s="9">
        <v>0</v>
      </c>
      <c r="Y11" s="54">
        <v>2</v>
      </c>
      <c r="Z11" s="68">
        <v>0</v>
      </c>
      <c r="AA11" s="4">
        <v>0</v>
      </c>
      <c r="AB11" s="54">
        <v>1</v>
      </c>
      <c r="AC11" s="54">
        <v>3</v>
      </c>
      <c r="AD11" s="2" t="s">
        <v>206</v>
      </c>
      <c r="AE11" s="12">
        <v>22</v>
      </c>
      <c r="AG11" s="28"/>
      <c r="AH11" s="21"/>
      <c r="AI11" s="21"/>
    </row>
    <row r="12" spans="1:35" ht="24" hidden="1" customHeight="1" x14ac:dyDescent="0.25">
      <c r="A12" s="14">
        <v>23</v>
      </c>
      <c r="B12" s="34" t="s">
        <v>9</v>
      </c>
      <c r="C12" s="3">
        <v>0</v>
      </c>
      <c r="D12" s="4">
        <v>58</v>
      </c>
      <c r="E12" s="5">
        <v>62</v>
      </c>
      <c r="G12" s="3">
        <v>0</v>
      </c>
      <c r="H12" s="4">
        <v>56</v>
      </c>
      <c r="I12" s="5">
        <v>0</v>
      </c>
      <c r="J12" s="3">
        <v>0</v>
      </c>
      <c r="K12" s="4">
        <v>0</v>
      </c>
      <c r="L12" s="5">
        <v>0</v>
      </c>
      <c r="M12" s="6">
        <v>0</v>
      </c>
      <c r="N12" s="4">
        <v>0</v>
      </c>
      <c r="O12" s="4">
        <f>Q12+P12</f>
        <v>0</v>
      </c>
      <c r="P12" s="4"/>
      <c r="Q12" s="4"/>
      <c r="R12" s="6"/>
      <c r="U12" s="6"/>
      <c r="V12" s="54"/>
      <c r="W12" s="5"/>
      <c r="X12" s="9">
        <v>28</v>
      </c>
      <c r="Y12" s="54">
        <v>0</v>
      </c>
      <c r="Z12" s="68">
        <v>0</v>
      </c>
      <c r="AA12" s="4">
        <v>0</v>
      </c>
      <c r="AB12" s="54">
        <v>0</v>
      </c>
      <c r="AD12" s="2" t="s">
        <v>10</v>
      </c>
      <c r="AE12" s="12">
        <v>23</v>
      </c>
      <c r="AG12" s="28"/>
      <c r="AH12" s="21"/>
      <c r="AI12" s="21"/>
    </row>
    <row r="13" spans="1:35" ht="24" customHeight="1" x14ac:dyDescent="0.25">
      <c r="A13" s="14" t="s">
        <v>76</v>
      </c>
      <c r="B13" s="15" t="s">
        <v>77</v>
      </c>
      <c r="C13" s="4">
        <v>9</v>
      </c>
      <c r="D13" s="4">
        <v>0</v>
      </c>
      <c r="E13" s="5">
        <v>0</v>
      </c>
      <c r="G13" s="4">
        <v>0</v>
      </c>
      <c r="H13" s="4">
        <v>0</v>
      </c>
      <c r="I13" s="5">
        <v>2</v>
      </c>
      <c r="J13" s="4">
        <v>1</v>
      </c>
      <c r="K13" s="4">
        <v>0</v>
      </c>
      <c r="L13" s="4">
        <f>6+1</f>
        <v>7</v>
      </c>
      <c r="M13" s="9">
        <v>0</v>
      </c>
      <c r="O13" s="4">
        <f t="shared" si="2"/>
        <v>1</v>
      </c>
      <c r="P13" s="4">
        <v>1</v>
      </c>
      <c r="Q13" s="4"/>
      <c r="R13" s="9">
        <v>3</v>
      </c>
      <c r="S13" s="4">
        <v>1</v>
      </c>
      <c r="T13" s="4">
        <v>1</v>
      </c>
      <c r="U13" s="9">
        <v>17</v>
      </c>
      <c r="V13" s="54">
        <v>8</v>
      </c>
      <c r="W13" s="5">
        <v>12</v>
      </c>
      <c r="X13" s="9">
        <v>2</v>
      </c>
      <c r="Y13" s="54">
        <v>10</v>
      </c>
      <c r="Z13" s="68">
        <v>0</v>
      </c>
      <c r="AA13" s="4">
        <v>4</v>
      </c>
      <c r="AB13" s="54">
        <v>1</v>
      </c>
      <c r="AC13" s="54">
        <v>5</v>
      </c>
      <c r="AD13" s="2" t="s">
        <v>78</v>
      </c>
      <c r="AE13" s="12" t="s">
        <v>76</v>
      </c>
      <c r="AG13" s="28"/>
      <c r="AH13" s="21"/>
      <c r="AI13" s="21"/>
    </row>
    <row r="14" spans="1:35" ht="24" customHeight="1" x14ac:dyDescent="0.25">
      <c r="A14" s="14" t="s">
        <v>79</v>
      </c>
      <c r="B14" s="15" t="s">
        <v>80</v>
      </c>
      <c r="C14" s="4">
        <v>23</v>
      </c>
      <c r="D14" s="4">
        <v>0</v>
      </c>
      <c r="E14" s="5">
        <v>0</v>
      </c>
      <c r="G14" s="4">
        <v>30</v>
      </c>
      <c r="H14" s="4">
        <v>0</v>
      </c>
      <c r="I14" s="5">
        <v>122</v>
      </c>
      <c r="J14" s="4">
        <v>135</v>
      </c>
      <c r="K14" s="4">
        <v>0</v>
      </c>
      <c r="L14" s="4">
        <f>164</f>
        <v>164</v>
      </c>
      <c r="M14" s="9">
        <v>11</v>
      </c>
      <c r="N14" s="4">
        <v>7</v>
      </c>
      <c r="O14" s="4">
        <f t="shared" si="2"/>
        <v>8</v>
      </c>
      <c r="P14" s="4">
        <v>5</v>
      </c>
      <c r="Q14" s="4">
        <v>3</v>
      </c>
      <c r="R14" s="9">
        <v>15</v>
      </c>
      <c r="S14" s="4">
        <v>5</v>
      </c>
      <c r="T14" s="4">
        <v>8</v>
      </c>
      <c r="U14" s="9">
        <v>19</v>
      </c>
      <c r="V14" s="54">
        <v>15</v>
      </c>
      <c r="W14" s="5">
        <v>11</v>
      </c>
      <c r="X14" s="9">
        <v>21</v>
      </c>
      <c r="Y14" s="54">
        <v>23</v>
      </c>
      <c r="Z14" s="68">
        <v>13</v>
      </c>
      <c r="AA14" s="4">
        <v>7</v>
      </c>
      <c r="AB14" s="54">
        <v>12</v>
      </c>
      <c r="AC14" s="54">
        <v>20</v>
      </c>
      <c r="AD14" s="2" t="s">
        <v>81</v>
      </c>
      <c r="AE14" s="12" t="s">
        <v>79</v>
      </c>
      <c r="AG14" s="28"/>
      <c r="AH14" s="21"/>
      <c r="AI14" s="21"/>
    </row>
    <row r="15" spans="1:35" ht="24" customHeight="1" x14ac:dyDescent="0.25">
      <c r="A15" s="14" t="s">
        <v>82</v>
      </c>
      <c r="B15" s="15" t="s">
        <v>83</v>
      </c>
      <c r="C15" s="4">
        <v>78</v>
      </c>
      <c r="D15" s="4">
        <v>0</v>
      </c>
      <c r="E15" s="5">
        <v>0</v>
      </c>
      <c r="G15" s="4">
        <v>83</v>
      </c>
      <c r="H15" s="4">
        <v>0</v>
      </c>
      <c r="I15" s="5">
        <v>97</v>
      </c>
      <c r="J15" s="4">
        <v>69</v>
      </c>
      <c r="K15" s="4">
        <v>78</v>
      </c>
      <c r="L15" s="4">
        <f>118+5</f>
        <v>123</v>
      </c>
      <c r="M15" s="9">
        <v>71</v>
      </c>
      <c r="N15" s="4">
        <v>40</v>
      </c>
      <c r="O15" s="4">
        <f t="shared" si="2"/>
        <v>101</v>
      </c>
      <c r="P15" s="4">
        <v>94</v>
      </c>
      <c r="Q15" s="4">
        <v>7</v>
      </c>
      <c r="R15" s="9">
        <v>148</v>
      </c>
      <c r="S15" s="4">
        <v>90</v>
      </c>
      <c r="T15" s="4">
        <v>104</v>
      </c>
      <c r="U15" s="9">
        <v>131</v>
      </c>
      <c r="V15" s="54">
        <v>156</v>
      </c>
      <c r="W15" s="5">
        <v>54</v>
      </c>
      <c r="X15" s="9">
        <v>139</v>
      </c>
      <c r="Y15" s="54">
        <v>226</v>
      </c>
      <c r="Z15" s="68">
        <v>58</v>
      </c>
      <c r="AA15" s="4">
        <v>219</v>
      </c>
      <c r="AB15" s="54">
        <v>262</v>
      </c>
      <c r="AC15" s="54">
        <v>210</v>
      </c>
      <c r="AD15" s="2" t="s">
        <v>84</v>
      </c>
      <c r="AE15" s="12" t="s">
        <v>82</v>
      </c>
      <c r="AG15" s="28"/>
      <c r="AH15" s="21"/>
      <c r="AI15" s="21"/>
    </row>
    <row r="16" spans="1:35" ht="24" customHeight="1" x14ac:dyDescent="0.25">
      <c r="A16" s="14" t="s">
        <v>85</v>
      </c>
      <c r="B16" s="15" t="s">
        <v>86</v>
      </c>
      <c r="C16" s="4">
        <v>5</v>
      </c>
      <c r="D16" s="4">
        <v>0</v>
      </c>
      <c r="E16" s="5">
        <v>0</v>
      </c>
      <c r="G16" s="4">
        <v>19</v>
      </c>
      <c r="H16" s="4">
        <v>0</v>
      </c>
      <c r="I16" s="5">
        <v>31</v>
      </c>
      <c r="J16" s="4">
        <v>9</v>
      </c>
      <c r="K16" s="4">
        <v>1</v>
      </c>
      <c r="L16" s="4">
        <f>16+2</f>
        <v>18</v>
      </c>
      <c r="M16" s="9">
        <v>1</v>
      </c>
      <c r="N16" s="4">
        <v>3</v>
      </c>
      <c r="O16" s="4">
        <f t="shared" si="2"/>
        <v>5</v>
      </c>
      <c r="P16" s="4">
        <v>4</v>
      </c>
      <c r="Q16" s="4">
        <v>1</v>
      </c>
      <c r="R16" s="9">
        <v>8</v>
      </c>
      <c r="S16" s="4">
        <v>8</v>
      </c>
      <c r="T16" s="4">
        <v>4</v>
      </c>
      <c r="U16" s="9">
        <v>11</v>
      </c>
      <c r="V16" s="54">
        <v>13</v>
      </c>
      <c r="W16" s="5">
        <v>11</v>
      </c>
      <c r="X16" s="9">
        <v>2</v>
      </c>
      <c r="Y16" s="54">
        <v>10</v>
      </c>
      <c r="Z16" s="68">
        <v>2</v>
      </c>
      <c r="AA16" s="4">
        <v>7</v>
      </c>
      <c r="AB16" s="54">
        <v>4</v>
      </c>
      <c r="AC16" s="54">
        <v>8</v>
      </c>
      <c r="AD16" s="2" t="s">
        <v>87</v>
      </c>
      <c r="AE16" s="12" t="s">
        <v>85</v>
      </c>
      <c r="AG16" s="28"/>
      <c r="AH16" s="21"/>
      <c r="AI16" s="21"/>
    </row>
    <row r="17" spans="1:35" ht="45" x14ac:dyDescent="0.25">
      <c r="A17" s="14" t="s">
        <v>88</v>
      </c>
      <c r="B17" s="13" t="s">
        <v>89</v>
      </c>
      <c r="C17" s="4">
        <v>1</v>
      </c>
      <c r="D17" s="4">
        <v>0</v>
      </c>
      <c r="E17" s="5">
        <v>0</v>
      </c>
      <c r="G17" s="4">
        <v>0</v>
      </c>
      <c r="H17" s="4">
        <v>0</v>
      </c>
      <c r="I17" s="5">
        <v>1</v>
      </c>
      <c r="J17" s="4">
        <v>0</v>
      </c>
      <c r="K17" s="4">
        <v>0</v>
      </c>
      <c r="L17" s="4">
        <v>0</v>
      </c>
      <c r="M17" s="9">
        <v>0</v>
      </c>
      <c r="N17" s="4">
        <v>0</v>
      </c>
      <c r="O17" s="4">
        <v>0</v>
      </c>
      <c r="P17" s="4"/>
      <c r="Q17" s="4"/>
      <c r="R17" s="9">
        <v>1</v>
      </c>
      <c r="S17" s="4">
        <v>0</v>
      </c>
      <c r="T17" s="4">
        <v>1</v>
      </c>
      <c r="U17" s="9">
        <v>0</v>
      </c>
      <c r="V17" s="54">
        <v>1</v>
      </c>
      <c r="W17" s="5">
        <v>0</v>
      </c>
      <c r="X17" s="9">
        <v>0</v>
      </c>
      <c r="Y17" s="54">
        <v>1</v>
      </c>
      <c r="Z17" s="68">
        <v>0</v>
      </c>
      <c r="AA17" s="4">
        <v>0</v>
      </c>
      <c r="AB17" s="54">
        <v>0</v>
      </c>
      <c r="AC17" s="54">
        <v>0</v>
      </c>
      <c r="AD17" s="2" t="s">
        <v>90</v>
      </c>
      <c r="AE17" s="12" t="s">
        <v>88</v>
      </c>
      <c r="AG17" s="28"/>
      <c r="AH17" s="21"/>
      <c r="AI17" s="21"/>
    </row>
    <row r="18" spans="1:35" ht="45.75" customHeight="1" x14ac:dyDescent="0.25">
      <c r="A18" s="14" t="s">
        <v>91</v>
      </c>
      <c r="B18" s="13" t="s">
        <v>92</v>
      </c>
      <c r="C18" s="3">
        <v>3</v>
      </c>
      <c r="D18" s="4">
        <v>0</v>
      </c>
      <c r="E18" s="5">
        <v>0</v>
      </c>
      <c r="G18" s="3">
        <v>6</v>
      </c>
      <c r="H18" s="4">
        <v>0</v>
      </c>
      <c r="I18" s="5">
        <v>10</v>
      </c>
      <c r="J18" s="3">
        <v>4</v>
      </c>
      <c r="K18" s="4">
        <v>2</v>
      </c>
      <c r="L18" s="4">
        <f>7+1</f>
        <v>8</v>
      </c>
      <c r="M18" s="6">
        <v>0</v>
      </c>
      <c r="N18" s="4">
        <v>0</v>
      </c>
      <c r="O18" s="4">
        <f t="shared" si="2"/>
        <v>1</v>
      </c>
      <c r="P18" s="4">
        <v>1</v>
      </c>
      <c r="Q18" s="4"/>
      <c r="R18" s="6">
        <v>1</v>
      </c>
      <c r="S18" s="4">
        <v>2</v>
      </c>
      <c r="T18" s="4">
        <v>1</v>
      </c>
      <c r="U18" s="6">
        <v>1</v>
      </c>
      <c r="V18" s="54">
        <v>1</v>
      </c>
      <c r="W18" s="5">
        <v>1</v>
      </c>
      <c r="X18" s="9">
        <v>2</v>
      </c>
      <c r="Y18" s="54">
        <v>1</v>
      </c>
      <c r="Z18" s="68">
        <v>2</v>
      </c>
      <c r="AA18" s="4">
        <v>0</v>
      </c>
      <c r="AB18" s="54">
        <v>0</v>
      </c>
      <c r="AC18" s="54">
        <v>0</v>
      </c>
      <c r="AD18" s="2" t="s">
        <v>93</v>
      </c>
      <c r="AE18" s="12" t="s">
        <v>91</v>
      </c>
      <c r="AG18" s="28"/>
      <c r="AH18" s="21"/>
      <c r="AI18" s="21"/>
    </row>
    <row r="19" spans="1:35" ht="24" customHeight="1" x14ac:dyDescent="0.25">
      <c r="A19" s="14">
        <v>24</v>
      </c>
      <c r="B19" s="34" t="s">
        <v>11</v>
      </c>
      <c r="C19" s="3">
        <v>3</v>
      </c>
      <c r="D19" s="4">
        <v>0</v>
      </c>
      <c r="E19" s="5">
        <v>3</v>
      </c>
      <c r="G19" s="3">
        <v>2</v>
      </c>
      <c r="H19" s="4">
        <v>1</v>
      </c>
      <c r="I19" s="5">
        <v>4</v>
      </c>
      <c r="J19" s="3">
        <v>0</v>
      </c>
      <c r="K19" s="4">
        <v>1</v>
      </c>
      <c r="L19" s="4">
        <v>5</v>
      </c>
      <c r="M19" s="6">
        <v>1</v>
      </c>
      <c r="N19" s="4">
        <v>1</v>
      </c>
      <c r="O19" s="4">
        <f t="shared" si="2"/>
        <v>0</v>
      </c>
      <c r="P19" s="4"/>
      <c r="Q19" s="4"/>
      <c r="R19" s="6">
        <v>3</v>
      </c>
      <c r="S19" s="4">
        <v>1</v>
      </c>
      <c r="T19" s="4">
        <v>1</v>
      </c>
      <c r="U19" s="6">
        <v>1</v>
      </c>
      <c r="V19" s="54">
        <v>3</v>
      </c>
      <c r="W19" s="5">
        <v>2</v>
      </c>
      <c r="X19" s="9">
        <v>2</v>
      </c>
      <c r="Y19" s="54">
        <v>2</v>
      </c>
      <c r="Z19" s="68">
        <v>4</v>
      </c>
      <c r="AA19" s="4">
        <v>3</v>
      </c>
      <c r="AB19" s="54">
        <v>1</v>
      </c>
      <c r="AC19" s="54">
        <v>0</v>
      </c>
      <c r="AD19" s="2" t="s">
        <v>12</v>
      </c>
      <c r="AE19" s="12">
        <v>24</v>
      </c>
      <c r="AG19" s="28"/>
      <c r="AH19" s="21"/>
      <c r="AI19" s="21"/>
    </row>
    <row r="20" spans="1:35" ht="24" customHeight="1" x14ac:dyDescent="0.25">
      <c r="A20" s="14">
        <v>25</v>
      </c>
      <c r="B20" s="34" t="s">
        <v>94</v>
      </c>
      <c r="C20" s="3">
        <v>0</v>
      </c>
      <c r="D20" s="4">
        <v>0</v>
      </c>
      <c r="E20" s="5">
        <v>0</v>
      </c>
      <c r="G20" s="3">
        <v>0</v>
      </c>
      <c r="H20" s="4">
        <v>0</v>
      </c>
      <c r="I20" s="5">
        <v>0</v>
      </c>
      <c r="J20" s="3">
        <v>0</v>
      </c>
      <c r="K20" s="4">
        <v>0</v>
      </c>
      <c r="L20" s="4">
        <v>2</v>
      </c>
      <c r="M20" s="6">
        <v>1</v>
      </c>
      <c r="N20" s="4">
        <v>0</v>
      </c>
      <c r="O20" s="4">
        <f t="shared" si="2"/>
        <v>0</v>
      </c>
      <c r="P20" s="4"/>
      <c r="Q20" s="4"/>
      <c r="R20" s="6">
        <v>0</v>
      </c>
      <c r="S20" s="4">
        <v>0</v>
      </c>
      <c r="T20" s="4">
        <v>0</v>
      </c>
      <c r="U20" s="6">
        <v>0</v>
      </c>
      <c r="V20" s="54">
        <v>1</v>
      </c>
      <c r="W20" s="5">
        <v>0</v>
      </c>
      <c r="X20" s="9">
        <v>0</v>
      </c>
      <c r="Y20" s="54">
        <v>1</v>
      </c>
      <c r="Z20" s="68">
        <v>0</v>
      </c>
      <c r="AA20" s="4">
        <v>1</v>
      </c>
      <c r="AB20" s="54">
        <v>0</v>
      </c>
      <c r="AC20" s="54">
        <v>2</v>
      </c>
      <c r="AD20" s="2" t="s">
        <v>13</v>
      </c>
      <c r="AE20" s="12">
        <v>25</v>
      </c>
      <c r="AG20" s="28"/>
      <c r="AH20" s="21"/>
      <c r="AI20" s="21"/>
    </row>
    <row r="21" spans="1:35" ht="24" customHeight="1" x14ac:dyDescent="0.25">
      <c r="A21" s="14">
        <v>26</v>
      </c>
      <c r="B21" s="34" t="s">
        <v>14</v>
      </c>
      <c r="C21" s="3">
        <v>8</v>
      </c>
      <c r="D21" s="4">
        <v>0</v>
      </c>
      <c r="E21" s="5">
        <v>8</v>
      </c>
      <c r="G21" s="3">
        <v>0</v>
      </c>
      <c r="H21" s="4">
        <v>0</v>
      </c>
      <c r="I21" s="5">
        <v>3</v>
      </c>
      <c r="J21" s="3">
        <v>7</v>
      </c>
      <c r="K21" s="4">
        <v>0</v>
      </c>
      <c r="L21" s="4">
        <f>5+7</f>
        <v>12</v>
      </c>
      <c r="M21" s="6">
        <v>1</v>
      </c>
      <c r="N21" s="4">
        <v>0</v>
      </c>
      <c r="O21" s="4">
        <f t="shared" si="2"/>
        <v>1</v>
      </c>
      <c r="P21" s="4"/>
      <c r="Q21" s="4">
        <v>1</v>
      </c>
      <c r="R21" s="6">
        <v>0</v>
      </c>
      <c r="S21" s="4">
        <v>1</v>
      </c>
      <c r="T21" s="4">
        <v>1</v>
      </c>
      <c r="U21" s="6">
        <v>0</v>
      </c>
      <c r="V21" s="54">
        <v>0</v>
      </c>
      <c r="W21" s="5">
        <v>1</v>
      </c>
      <c r="X21" s="9">
        <v>2</v>
      </c>
      <c r="Y21" s="54">
        <v>0</v>
      </c>
      <c r="Z21" s="68">
        <v>3</v>
      </c>
      <c r="AA21" s="4">
        <v>0</v>
      </c>
      <c r="AB21" s="54">
        <v>0</v>
      </c>
      <c r="AC21" s="54">
        <v>0</v>
      </c>
      <c r="AD21" s="2" t="s">
        <v>15</v>
      </c>
      <c r="AE21" s="12">
        <v>26</v>
      </c>
      <c r="AH21" s="21"/>
      <c r="AI21" s="21"/>
    </row>
    <row r="22" spans="1:35" ht="24" hidden="1" customHeight="1" x14ac:dyDescent="0.25">
      <c r="A22" s="14">
        <v>27</v>
      </c>
      <c r="B22" s="34" t="s">
        <v>16</v>
      </c>
      <c r="C22" s="3">
        <v>0</v>
      </c>
      <c r="D22" s="4">
        <v>0</v>
      </c>
      <c r="E22" s="5">
        <v>0</v>
      </c>
      <c r="G22" s="3">
        <v>32</v>
      </c>
      <c r="H22" s="4">
        <v>18</v>
      </c>
      <c r="I22" s="5">
        <v>14</v>
      </c>
      <c r="J22" s="3">
        <v>0</v>
      </c>
      <c r="K22" s="4">
        <v>1</v>
      </c>
      <c r="L22" s="4">
        <v>20</v>
      </c>
      <c r="M22" s="6">
        <v>0</v>
      </c>
      <c r="N22" s="4">
        <v>0</v>
      </c>
      <c r="O22" s="4">
        <f t="shared" si="2"/>
        <v>0</v>
      </c>
      <c r="P22" s="4"/>
      <c r="Q22" s="4"/>
      <c r="R22" s="6">
        <v>0</v>
      </c>
      <c r="T22" s="4">
        <v>0</v>
      </c>
      <c r="U22" s="6"/>
      <c r="V22" s="54"/>
      <c r="W22" s="5"/>
      <c r="X22" s="9">
        <v>0</v>
      </c>
      <c r="Y22" s="54">
        <v>0</v>
      </c>
      <c r="Z22" s="68">
        <v>0</v>
      </c>
      <c r="AA22" s="4">
        <v>0</v>
      </c>
      <c r="AB22" s="54">
        <v>0</v>
      </c>
      <c r="AD22" s="2" t="s">
        <v>17</v>
      </c>
      <c r="AE22" s="12">
        <v>27</v>
      </c>
      <c r="AH22" s="21"/>
      <c r="AI22" s="21"/>
    </row>
    <row r="23" spans="1:35" ht="24" customHeight="1" x14ac:dyDescent="0.25">
      <c r="A23" s="14">
        <v>28</v>
      </c>
      <c r="B23" s="35" t="s">
        <v>18</v>
      </c>
      <c r="C23" s="8">
        <v>1</v>
      </c>
      <c r="D23" s="4">
        <v>1</v>
      </c>
      <c r="E23" s="5">
        <v>0</v>
      </c>
      <c r="G23" s="8">
        <v>2</v>
      </c>
      <c r="H23" s="4">
        <v>0</v>
      </c>
      <c r="I23" s="5">
        <v>2</v>
      </c>
      <c r="J23" s="8">
        <v>1</v>
      </c>
      <c r="K23" s="4">
        <v>0</v>
      </c>
      <c r="L23" s="4">
        <f>1+1</f>
        <v>2</v>
      </c>
      <c r="M23" s="10">
        <v>0</v>
      </c>
      <c r="N23" s="4">
        <v>0</v>
      </c>
      <c r="O23" s="4">
        <f t="shared" si="2"/>
        <v>0</v>
      </c>
      <c r="P23" s="4"/>
      <c r="Q23" s="4"/>
      <c r="R23" s="10">
        <v>0</v>
      </c>
      <c r="S23" s="4">
        <v>0</v>
      </c>
      <c r="T23" s="4">
        <v>0</v>
      </c>
      <c r="U23" s="10">
        <v>0</v>
      </c>
      <c r="V23" s="54">
        <v>0</v>
      </c>
      <c r="W23" s="5">
        <v>0</v>
      </c>
      <c r="X23" s="6">
        <v>0</v>
      </c>
      <c r="Y23" s="54">
        <v>0</v>
      </c>
      <c r="Z23" s="68">
        <v>0</v>
      </c>
      <c r="AA23" s="3">
        <v>7</v>
      </c>
      <c r="AB23" s="54">
        <v>2</v>
      </c>
      <c r="AC23" s="54">
        <v>2</v>
      </c>
      <c r="AD23" s="2" t="s">
        <v>19</v>
      </c>
      <c r="AE23" s="12">
        <v>28</v>
      </c>
      <c r="AH23" s="21"/>
      <c r="AI23" s="21"/>
    </row>
    <row r="24" spans="1:35" ht="21.75" hidden="1" customHeight="1" x14ac:dyDescent="0.25">
      <c r="A24" s="14">
        <v>29</v>
      </c>
      <c r="B24" s="34" t="s">
        <v>20</v>
      </c>
      <c r="C24" s="3">
        <v>2</v>
      </c>
      <c r="D24" s="4">
        <v>2</v>
      </c>
      <c r="E24" s="5">
        <v>2</v>
      </c>
      <c r="G24" s="3">
        <v>0</v>
      </c>
      <c r="H24" s="4">
        <v>0</v>
      </c>
      <c r="I24" s="5">
        <v>1</v>
      </c>
      <c r="J24" s="3">
        <v>1</v>
      </c>
      <c r="K24" s="4">
        <v>2</v>
      </c>
      <c r="L24" s="4">
        <v>1</v>
      </c>
      <c r="M24" s="6">
        <v>0</v>
      </c>
      <c r="N24" s="4">
        <v>0</v>
      </c>
      <c r="O24" s="4">
        <f t="shared" si="2"/>
        <v>0</v>
      </c>
      <c r="P24" s="4"/>
      <c r="Q24" s="4"/>
      <c r="R24" s="6">
        <v>0</v>
      </c>
      <c r="S24" s="4">
        <v>0</v>
      </c>
      <c r="T24" s="4">
        <v>0</v>
      </c>
      <c r="U24" s="6"/>
      <c r="V24" s="54"/>
      <c r="W24" s="5"/>
      <c r="X24" s="9">
        <v>3</v>
      </c>
      <c r="Y24" s="54">
        <v>0</v>
      </c>
      <c r="Z24" s="68">
        <v>0</v>
      </c>
      <c r="AA24" s="4">
        <v>0</v>
      </c>
      <c r="AB24" s="54">
        <v>0</v>
      </c>
      <c r="AD24" s="2" t="s">
        <v>21</v>
      </c>
      <c r="AE24" s="12">
        <v>29</v>
      </c>
      <c r="AH24" s="21"/>
      <c r="AI24" s="21"/>
    </row>
    <row r="25" spans="1:35" ht="32.25" customHeight="1" x14ac:dyDescent="0.25">
      <c r="A25" s="14">
        <v>30</v>
      </c>
      <c r="B25" s="35" t="s">
        <v>22</v>
      </c>
      <c r="C25" s="8">
        <v>0</v>
      </c>
      <c r="D25" s="4">
        <v>0</v>
      </c>
      <c r="E25" s="5">
        <v>0</v>
      </c>
      <c r="G25" s="8">
        <v>0</v>
      </c>
      <c r="H25" s="4">
        <v>0</v>
      </c>
      <c r="I25" s="5">
        <v>0</v>
      </c>
      <c r="J25" s="8">
        <v>0</v>
      </c>
      <c r="K25" s="4">
        <v>0</v>
      </c>
      <c r="L25" s="4">
        <v>0</v>
      </c>
      <c r="M25" s="10">
        <v>2</v>
      </c>
      <c r="N25" s="4">
        <v>1</v>
      </c>
      <c r="O25" s="4">
        <f t="shared" si="2"/>
        <v>1</v>
      </c>
      <c r="P25" s="4"/>
      <c r="Q25" s="4">
        <v>1</v>
      </c>
      <c r="R25" s="10">
        <v>0</v>
      </c>
      <c r="S25" s="4">
        <v>0</v>
      </c>
      <c r="T25" s="4">
        <v>0</v>
      </c>
      <c r="U25" s="10">
        <v>0</v>
      </c>
      <c r="V25" s="54">
        <v>0</v>
      </c>
      <c r="W25" s="5">
        <v>0</v>
      </c>
      <c r="X25" s="9">
        <v>0</v>
      </c>
      <c r="Y25" s="54">
        <v>0</v>
      </c>
      <c r="Z25" s="68">
        <v>0</v>
      </c>
      <c r="AA25" s="4">
        <v>0</v>
      </c>
      <c r="AB25" s="54">
        <v>2</v>
      </c>
      <c r="AC25" s="54">
        <v>2</v>
      </c>
      <c r="AD25" s="2" t="s">
        <v>23</v>
      </c>
      <c r="AE25" s="12">
        <v>30</v>
      </c>
      <c r="AH25" s="21"/>
      <c r="AI25" s="21"/>
    </row>
    <row r="26" spans="1:35" ht="24" hidden="1" customHeight="1" x14ac:dyDescent="0.25">
      <c r="A26" s="14">
        <v>31</v>
      </c>
      <c r="B26" s="34" t="s">
        <v>25</v>
      </c>
      <c r="C26" s="3">
        <v>0</v>
      </c>
      <c r="D26" s="4">
        <v>0</v>
      </c>
      <c r="E26" s="5">
        <v>0</v>
      </c>
      <c r="G26" s="3">
        <v>0</v>
      </c>
      <c r="H26" s="4">
        <v>1</v>
      </c>
      <c r="I26" s="5">
        <v>0</v>
      </c>
      <c r="J26" s="3">
        <v>0</v>
      </c>
      <c r="K26" s="4">
        <v>0</v>
      </c>
      <c r="M26" s="6">
        <v>0</v>
      </c>
      <c r="N26" s="4">
        <v>0</v>
      </c>
      <c r="O26" s="4">
        <f t="shared" si="2"/>
        <v>0</v>
      </c>
      <c r="P26" s="4"/>
      <c r="Q26" s="4"/>
      <c r="R26" s="6">
        <v>0</v>
      </c>
      <c r="T26" s="4">
        <v>0</v>
      </c>
      <c r="U26" s="6"/>
      <c r="V26" s="54"/>
      <c r="W26" s="5"/>
      <c r="X26" s="9">
        <v>0</v>
      </c>
      <c r="Y26" s="54">
        <v>0</v>
      </c>
      <c r="Z26" s="68">
        <v>0</v>
      </c>
      <c r="AA26" s="4">
        <v>0</v>
      </c>
      <c r="AB26" s="54">
        <v>0</v>
      </c>
      <c r="AD26" s="2" t="s">
        <v>24</v>
      </c>
      <c r="AE26" s="12">
        <v>31</v>
      </c>
      <c r="AH26" s="21"/>
      <c r="AI26" s="21"/>
    </row>
    <row r="27" spans="1:35" ht="42.75" customHeight="1" x14ac:dyDescent="0.25">
      <c r="A27" s="14">
        <v>32</v>
      </c>
      <c r="B27" s="15" t="s">
        <v>95</v>
      </c>
      <c r="C27" s="4">
        <v>1</v>
      </c>
      <c r="D27" s="4">
        <v>0</v>
      </c>
      <c r="E27" s="5">
        <v>0</v>
      </c>
      <c r="G27" s="4">
        <v>5</v>
      </c>
      <c r="I27" s="5">
        <v>5</v>
      </c>
      <c r="J27" s="4">
        <v>2</v>
      </c>
      <c r="K27" s="4">
        <v>0</v>
      </c>
      <c r="L27" s="4">
        <v>2</v>
      </c>
      <c r="M27" s="9">
        <v>1</v>
      </c>
      <c r="N27" s="4">
        <v>0</v>
      </c>
      <c r="O27" s="4">
        <f t="shared" si="2"/>
        <v>2</v>
      </c>
      <c r="P27" s="4">
        <v>2</v>
      </c>
      <c r="Q27" s="4"/>
      <c r="R27" s="9">
        <v>0</v>
      </c>
      <c r="S27" s="4">
        <v>0</v>
      </c>
      <c r="T27" s="4">
        <v>0</v>
      </c>
      <c r="U27" s="9">
        <v>0</v>
      </c>
      <c r="V27" s="54">
        <v>0</v>
      </c>
      <c r="W27" s="5">
        <v>0</v>
      </c>
      <c r="X27" s="9">
        <v>0</v>
      </c>
      <c r="Y27" s="54">
        <v>0</v>
      </c>
      <c r="Z27" s="68">
        <v>0</v>
      </c>
      <c r="AA27" s="4">
        <v>1</v>
      </c>
      <c r="AB27" s="54">
        <v>2</v>
      </c>
      <c r="AC27" s="54">
        <v>0</v>
      </c>
      <c r="AD27" s="2" t="s">
        <v>96</v>
      </c>
      <c r="AE27" s="12">
        <v>32</v>
      </c>
      <c r="AH27" s="21"/>
      <c r="AI27" s="21"/>
    </row>
    <row r="28" spans="1:35" ht="24" customHeight="1" x14ac:dyDescent="0.25">
      <c r="A28" s="14">
        <v>33</v>
      </c>
      <c r="B28" s="34" t="s">
        <v>26</v>
      </c>
      <c r="C28" s="3">
        <v>4</v>
      </c>
      <c r="D28" s="4">
        <v>3</v>
      </c>
      <c r="E28" s="5">
        <v>1</v>
      </c>
      <c r="G28" s="3">
        <v>1</v>
      </c>
      <c r="H28" s="4">
        <v>0</v>
      </c>
      <c r="I28" s="5">
        <v>6</v>
      </c>
      <c r="J28" s="3">
        <v>4</v>
      </c>
      <c r="K28" s="4">
        <v>0</v>
      </c>
      <c r="L28" s="4">
        <f>9+2</f>
        <v>11</v>
      </c>
      <c r="M28" s="6">
        <v>0</v>
      </c>
      <c r="N28" s="4">
        <v>0</v>
      </c>
      <c r="O28" s="4">
        <f t="shared" si="2"/>
        <v>2</v>
      </c>
      <c r="P28" s="4">
        <v>2</v>
      </c>
      <c r="Q28" s="4"/>
      <c r="R28" s="6">
        <v>1</v>
      </c>
      <c r="S28" s="4">
        <v>1</v>
      </c>
      <c r="T28" s="4">
        <v>1</v>
      </c>
      <c r="U28" s="6">
        <v>4</v>
      </c>
      <c r="V28" s="54">
        <v>1</v>
      </c>
      <c r="W28" s="5">
        <v>6</v>
      </c>
      <c r="X28" s="9">
        <v>0</v>
      </c>
      <c r="Y28" s="54">
        <v>1</v>
      </c>
      <c r="Z28" s="68">
        <v>0</v>
      </c>
      <c r="AA28" s="4">
        <v>2</v>
      </c>
      <c r="AB28" s="54">
        <v>0</v>
      </c>
      <c r="AC28" s="54">
        <v>0</v>
      </c>
      <c r="AD28" s="2" t="s">
        <v>27</v>
      </c>
      <c r="AE28" s="12">
        <v>33</v>
      </c>
      <c r="AH28" s="21"/>
      <c r="AI28" s="21"/>
    </row>
    <row r="29" spans="1:35" ht="24" hidden="1" customHeight="1" x14ac:dyDescent="0.25">
      <c r="A29" s="14">
        <v>34</v>
      </c>
      <c r="B29" s="34" t="s">
        <v>28</v>
      </c>
      <c r="C29" s="3">
        <v>0</v>
      </c>
      <c r="D29" s="4">
        <v>10</v>
      </c>
      <c r="E29" s="5">
        <v>9</v>
      </c>
      <c r="G29" s="3">
        <v>0</v>
      </c>
      <c r="H29" s="4">
        <v>1</v>
      </c>
      <c r="I29" s="5">
        <v>0</v>
      </c>
      <c r="J29" s="3">
        <v>0</v>
      </c>
      <c r="K29" s="4">
        <v>0</v>
      </c>
      <c r="L29" s="4">
        <v>0</v>
      </c>
      <c r="M29" s="6">
        <v>0</v>
      </c>
      <c r="N29" s="4">
        <v>0</v>
      </c>
      <c r="O29" s="4">
        <f t="shared" si="2"/>
        <v>0</v>
      </c>
      <c r="R29" s="6"/>
      <c r="U29" s="6"/>
      <c r="V29" s="54"/>
      <c r="W29" s="5"/>
      <c r="X29" s="9">
        <v>21</v>
      </c>
      <c r="Y29" s="54">
        <v>0</v>
      </c>
      <c r="Z29" s="68">
        <v>0</v>
      </c>
      <c r="AA29" s="4">
        <v>0</v>
      </c>
      <c r="AB29" s="54">
        <v>0</v>
      </c>
      <c r="AD29" s="2" t="s">
        <v>29</v>
      </c>
      <c r="AE29" s="12">
        <v>34</v>
      </c>
      <c r="AH29" s="21"/>
      <c r="AI29" s="21"/>
    </row>
    <row r="30" spans="1:35" ht="124.5" customHeight="1" x14ac:dyDescent="0.25">
      <c r="A30" s="14" t="s">
        <v>97</v>
      </c>
      <c r="B30" s="13" t="s">
        <v>98</v>
      </c>
      <c r="C30" s="3">
        <v>5</v>
      </c>
      <c r="D30" s="4">
        <v>0</v>
      </c>
      <c r="E30" s="5">
        <v>0</v>
      </c>
      <c r="G30" s="3">
        <v>0</v>
      </c>
      <c r="H30" s="4">
        <v>0</v>
      </c>
      <c r="I30" s="5">
        <v>0</v>
      </c>
      <c r="J30" s="3">
        <v>3</v>
      </c>
      <c r="K30" s="4">
        <v>0</v>
      </c>
      <c r="L30" s="4">
        <v>9</v>
      </c>
      <c r="M30" s="6">
        <v>0</v>
      </c>
      <c r="N30" s="4">
        <v>5</v>
      </c>
      <c r="O30" s="4">
        <f t="shared" si="2"/>
        <v>2</v>
      </c>
      <c r="P30" s="4">
        <v>2</v>
      </c>
      <c r="Q30" s="4"/>
      <c r="R30" s="6">
        <v>2</v>
      </c>
      <c r="S30" s="4">
        <v>2</v>
      </c>
      <c r="T30" s="4">
        <v>1</v>
      </c>
      <c r="U30" s="6">
        <v>3</v>
      </c>
      <c r="V30" s="54">
        <v>1</v>
      </c>
      <c r="W30" s="5">
        <v>1</v>
      </c>
      <c r="X30" s="9">
        <v>0</v>
      </c>
      <c r="Y30" s="54">
        <v>0</v>
      </c>
      <c r="Z30" s="68">
        <v>1</v>
      </c>
      <c r="AA30" s="4">
        <v>0</v>
      </c>
      <c r="AB30" s="54">
        <v>0</v>
      </c>
      <c r="AC30" s="54">
        <v>1</v>
      </c>
      <c r="AD30" s="2" t="s">
        <v>99</v>
      </c>
      <c r="AE30" s="12" t="s">
        <v>97</v>
      </c>
      <c r="AH30" s="21"/>
      <c r="AI30" s="21"/>
    </row>
    <row r="31" spans="1:35" ht="45" x14ac:dyDescent="0.25">
      <c r="A31" s="14" t="s">
        <v>100</v>
      </c>
      <c r="B31" s="13" t="s">
        <v>101</v>
      </c>
      <c r="C31" s="3">
        <v>14</v>
      </c>
      <c r="D31" s="4">
        <v>0</v>
      </c>
      <c r="E31" s="5">
        <v>0</v>
      </c>
      <c r="G31" s="3">
        <v>7</v>
      </c>
      <c r="H31" s="4">
        <v>0</v>
      </c>
      <c r="I31" s="5">
        <v>12</v>
      </c>
      <c r="J31" s="3">
        <v>1</v>
      </c>
      <c r="K31" s="4">
        <v>12</v>
      </c>
      <c r="L31" s="4">
        <v>0</v>
      </c>
      <c r="M31" s="6">
        <v>0</v>
      </c>
      <c r="N31" s="4">
        <v>0</v>
      </c>
      <c r="O31" s="4">
        <f t="shared" si="2"/>
        <v>4</v>
      </c>
      <c r="P31" s="4">
        <v>4</v>
      </c>
      <c r="Q31" s="4"/>
      <c r="R31" s="6">
        <v>7</v>
      </c>
      <c r="S31" s="4">
        <v>0</v>
      </c>
      <c r="T31" s="4">
        <v>4</v>
      </c>
      <c r="U31" s="6">
        <v>5</v>
      </c>
      <c r="V31" s="55">
        <v>3</v>
      </c>
      <c r="W31" s="5">
        <v>4</v>
      </c>
      <c r="X31" s="9">
        <v>5</v>
      </c>
      <c r="Y31" s="55">
        <v>5</v>
      </c>
      <c r="Z31" s="68">
        <v>3</v>
      </c>
      <c r="AA31" s="4">
        <v>1</v>
      </c>
      <c r="AB31" s="55">
        <v>0</v>
      </c>
      <c r="AC31" s="54">
        <v>3</v>
      </c>
      <c r="AD31" s="2" t="s">
        <v>102</v>
      </c>
      <c r="AE31" s="12" t="s">
        <v>100</v>
      </c>
      <c r="AH31" s="21"/>
      <c r="AI31" s="21"/>
    </row>
    <row r="32" spans="1:35" ht="45.75" hidden="1" customHeight="1" x14ac:dyDescent="0.25">
      <c r="A32" s="14">
        <v>35</v>
      </c>
      <c r="B32" s="34" t="s">
        <v>30</v>
      </c>
      <c r="C32" s="3">
        <v>0</v>
      </c>
      <c r="D32" s="3">
        <v>54</v>
      </c>
      <c r="E32" s="36">
        <v>26</v>
      </c>
      <c r="F32" s="3"/>
      <c r="G32" s="3">
        <v>0</v>
      </c>
      <c r="H32" s="4">
        <v>0</v>
      </c>
      <c r="I32" s="5">
        <v>0</v>
      </c>
      <c r="J32" s="3">
        <v>0</v>
      </c>
      <c r="K32" s="4">
        <v>0</v>
      </c>
      <c r="L32" s="5">
        <v>0</v>
      </c>
      <c r="M32" s="6">
        <v>0</v>
      </c>
      <c r="N32" s="3">
        <v>0</v>
      </c>
      <c r="O32" s="4">
        <f t="shared" si="2"/>
        <v>0</v>
      </c>
      <c r="P32" s="3"/>
      <c r="Q32" s="3"/>
      <c r="R32" s="6"/>
      <c r="S32" s="3"/>
      <c r="U32" s="6"/>
      <c r="V32" s="55"/>
      <c r="W32" s="5"/>
      <c r="X32" s="9">
        <v>0</v>
      </c>
      <c r="Y32" s="55">
        <v>0</v>
      </c>
      <c r="Z32" s="68">
        <v>0</v>
      </c>
      <c r="AA32" s="4">
        <v>0</v>
      </c>
      <c r="AB32" s="55">
        <v>0</v>
      </c>
      <c r="AD32" s="37" t="s">
        <v>31</v>
      </c>
      <c r="AE32" s="12">
        <v>35</v>
      </c>
      <c r="AH32" s="21"/>
      <c r="AI32" s="21"/>
    </row>
    <row r="33" spans="1:35" ht="165" customHeight="1" x14ac:dyDescent="0.25">
      <c r="A33" s="14" t="s">
        <v>103</v>
      </c>
      <c r="B33" s="13" t="s">
        <v>104</v>
      </c>
      <c r="C33" s="3">
        <v>60</v>
      </c>
      <c r="D33" s="4">
        <v>0</v>
      </c>
      <c r="E33" s="5">
        <v>0</v>
      </c>
      <c r="F33" s="3"/>
      <c r="G33" s="3">
        <v>60</v>
      </c>
      <c r="H33" s="4">
        <v>0</v>
      </c>
      <c r="I33" s="5">
        <v>46</v>
      </c>
      <c r="J33" s="3">
        <v>55</v>
      </c>
      <c r="K33" s="3">
        <v>117</v>
      </c>
      <c r="L33" s="3">
        <f>81+7</f>
        <v>88</v>
      </c>
      <c r="M33" s="6">
        <v>37</v>
      </c>
      <c r="N33" s="3">
        <v>43</v>
      </c>
      <c r="O33" s="4">
        <f t="shared" si="2"/>
        <v>93</v>
      </c>
      <c r="P33" s="3">
        <v>87</v>
      </c>
      <c r="Q33" s="3">
        <v>6</v>
      </c>
      <c r="R33" s="6">
        <v>38</v>
      </c>
      <c r="S33" s="3">
        <v>41</v>
      </c>
      <c r="T33" s="4">
        <v>10</v>
      </c>
      <c r="U33" s="6">
        <v>68</v>
      </c>
      <c r="V33" s="55">
        <v>94</v>
      </c>
      <c r="W33" s="5">
        <v>15</v>
      </c>
      <c r="X33" s="9">
        <v>39</v>
      </c>
      <c r="Y33" s="55">
        <v>79</v>
      </c>
      <c r="Z33" s="68">
        <v>24</v>
      </c>
      <c r="AA33" s="4">
        <v>25</v>
      </c>
      <c r="AB33" s="55">
        <v>44</v>
      </c>
      <c r="AC33" s="54">
        <v>86</v>
      </c>
      <c r="AD33" s="37" t="s">
        <v>105</v>
      </c>
      <c r="AE33" s="12" t="s">
        <v>103</v>
      </c>
      <c r="AH33" s="21"/>
      <c r="AI33" s="21"/>
    </row>
    <row r="34" spans="1:35" ht="81" customHeight="1" x14ac:dyDescent="0.25">
      <c r="A34" s="14" t="s">
        <v>106</v>
      </c>
      <c r="B34" s="13" t="s">
        <v>107</v>
      </c>
      <c r="C34" s="3">
        <v>20</v>
      </c>
      <c r="D34" s="4">
        <v>0</v>
      </c>
      <c r="E34" s="5">
        <v>0</v>
      </c>
      <c r="F34" s="3"/>
      <c r="G34" s="3">
        <v>20</v>
      </c>
      <c r="H34" s="4">
        <v>0</v>
      </c>
      <c r="I34" s="5">
        <v>27</v>
      </c>
      <c r="J34" s="3">
        <v>10</v>
      </c>
      <c r="K34" s="3">
        <v>24</v>
      </c>
      <c r="L34" s="3">
        <f>16+2</f>
        <v>18</v>
      </c>
      <c r="M34" s="6">
        <v>20</v>
      </c>
      <c r="N34" s="3">
        <v>11</v>
      </c>
      <c r="O34" s="4">
        <f t="shared" si="2"/>
        <v>27</v>
      </c>
      <c r="P34" s="3">
        <v>19</v>
      </c>
      <c r="Q34" s="3">
        <v>8</v>
      </c>
      <c r="R34" s="6">
        <v>33</v>
      </c>
      <c r="S34" s="3">
        <v>18</v>
      </c>
      <c r="T34" s="4">
        <v>10</v>
      </c>
      <c r="U34" s="6">
        <v>14</v>
      </c>
      <c r="V34" s="54">
        <v>30</v>
      </c>
      <c r="W34" s="5">
        <v>8</v>
      </c>
      <c r="X34" s="9">
        <v>18</v>
      </c>
      <c r="Y34" s="54">
        <v>11</v>
      </c>
      <c r="Z34" s="68">
        <v>21</v>
      </c>
      <c r="AA34" s="4">
        <v>2</v>
      </c>
      <c r="AB34" s="54">
        <v>11</v>
      </c>
      <c r="AC34" s="54">
        <v>23</v>
      </c>
      <c r="AD34" s="37" t="s">
        <v>108</v>
      </c>
      <c r="AE34" s="12" t="s">
        <v>106</v>
      </c>
      <c r="AH34" s="21"/>
      <c r="AI34" s="21"/>
    </row>
    <row r="35" spans="1:35" ht="24" hidden="1" customHeight="1" x14ac:dyDescent="0.25">
      <c r="A35" s="14">
        <v>36</v>
      </c>
      <c r="B35" s="34" t="s">
        <v>32</v>
      </c>
      <c r="C35" s="3">
        <v>0</v>
      </c>
      <c r="D35" s="4">
        <v>10</v>
      </c>
      <c r="E35" s="5">
        <v>8</v>
      </c>
      <c r="G35" s="3">
        <v>0</v>
      </c>
      <c r="H35" s="4">
        <v>6</v>
      </c>
      <c r="I35" s="5">
        <v>0</v>
      </c>
      <c r="J35" s="3">
        <v>0</v>
      </c>
      <c r="K35" s="4">
        <v>0</v>
      </c>
      <c r="L35" s="4">
        <v>0</v>
      </c>
      <c r="M35" s="6">
        <v>0</v>
      </c>
      <c r="N35" s="4">
        <v>0</v>
      </c>
      <c r="O35" s="4">
        <f t="shared" si="2"/>
        <v>0</v>
      </c>
      <c r="P35" s="4"/>
      <c r="Q35" s="4"/>
      <c r="R35" s="6"/>
      <c r="U35" s="6"/>
      <c r="V35" s="54"/>
      <c r="W35" s="5"/>
      <c r="X35" s="9">
        <v>0</v>
      </c>
      <c r="Y35" s="54">
        <v>0</v>
      </c>
      <c r="Z35" s="68">
        <v>0</v>
      </c>
      <c r="AA35" s="4">
        <v>0</v>
      </c>
      <c r="AB35" s="54">
        <v>0</v>
      </c>
      <c r="AD35" s="2" t="s">
        <v>33</v>
      </c>
      <c r="AE35" s="12">
        <v>36</v>
      </c>
      <c r="AH35" s="21"/>
      <c r="AI35" s="21"/>
    </row>
    <row r="36" spans="1:35" ht="49.5" customHeight="1" x14ac:dyDescent="0.25">
      <c r="A36" s="14" t="s">
        <v>109</v>
      </c>
      <c r="B36" s="13" t="s">
        <v>110</v>
      </c>
      <c r="C36" s="3">
        <v>18</v>
      </c>
      <c r="D36" s="4">
        <v>0</v>
      </c>
      <c r="E36" s="5">
        <v>0</v>
      </c>
      <c r="G36" s="3">
        <v>21</v>
      </c>
      <c r="H36" s="4">
        <v>0</v>
      </c>
      <c r="I36" s="5">
        <v>26</v>
      </c>
      <c r="J36" s="3">
        <v>7</v>
      </c>
      <c r="K36" s="4">
        <v>0</v>
      </c>
      <c r="L36" s="4">
        <f>20+1</f>
        <v>21</v>
      </c>
      <c r="M36" s="6">
        <v>3</v>
      </c>
      <c r="N36" s="4">
        <v>1</v>
      </c>
      <c r="O36" s="4">
        <f t="shared" si="2"/>
        <v>4</v>
      </c>
      <c r="P36" s="4">
        <v>1</v>
      </c>
      <c r="Q36" s="4">
        <v>3</v>
      </c>
      <c r="R36" s="6">
        <v>1</v>
      </c>
      <c r="S36" s="4">
        <v>2</v>
      </c>
      <c r="T36" s="4">
        <v>1</v>
      </c>
      <c r="U36" s="6">
        <v>3</v>
      </c>
      <c r="V36" s="54">
        <v>4</v>
      </c>
      <c r="W36" s="5">
        <v>1</v>
      </c>
      <c r="X36" s="9">
        <v>3</v>
      </c>
      <c r="Y36" s="54">
        <v>2</v>
      </c>
      <c r="Z36" s="68">
        <v>3</v>
      </c>
      <c r="AA36" s="4">
        <v>4</v>
      </c>
      <c r="AB36" s="54">
        <v>1</v>
      </c>
      <c r="AC36" s="54">
        <v>4</v>
      </c>
      <c r="AD36" s="2" t="s">
        <v>111</v>
      </c>
      <c r="AE36" s="12" t="s">
        <v>109</v>
      </c>
      <c r="AH36" s="21"/>
      <c r="AI36" s="21"/>
    </row>
    <row r="37" spans="1:35" ht="102.6" customHeight="1" x14ac:dyDescent="0.25">
      <c r="A37" s="14" t="s">
        <v>112</v>
      </c>
      <c r="B37" s="13" t="s">
        <v>113</v>
      </c>
      <c r="C37" s="3">
        <v>0</v>
      </c>
      <c r="D37" s="4">
        <v>0</v>
      </c>
      <c r="E37" s="5">
        <v>0</v>
      </c>
      <c r="G37" s="3">
        <v>2</v>
      </c>
      <c r="H37" s="4">
        <v>0</v>
      </c>
      <c r="I37" s="5">
        <v>2</v>
      </c>
      <c r="J37" s="3">
        <v>0</v>
      </c>
      <c r="K37" s="4">
        <v>0</v>
      </c>
      <c r="L37" s="4">
        <v>0</v>
      </c>
      <c r="M37" s="6">
        <v>0</v>
      </c>
      <c r="N37" s="4">
        <v>0</v>
      </c>
      <c r="O37" s="4">
        <v>0</v>
      </c>
      <c r="P37" s="4"/>
      <c r="Q37" s="4"/>
      <c r="R37" s="6">
        <v>2</v>
      </c>
      <c r="S37" s="4">
        <v>0</v>
      </c>
      <c r="T37" s="4">
        <v>0</v>
      </c>
      <c r="U37" s="6">
        <v>0</v>
      </c>
      <c r="V37" s="54">
        <v>3</v>
      </c>
      <c r="W37" s="5">
        <v>0</v>
      </c>
      <c r="X37" s="9">
        <v>0</v>
      </c>
      <c r="Y37" s="54">
        <v>0</v>
      </c>
      <c r="Z37" s="68">
        <v>0</v>
      </c>
      <c r="AA37" s="4">
        <v>0</v>
      </c>
      <c r="AB37" s="54">
        <v>0</v>
      </c>
      <c r="AC37" s="54">
        <v>0</v>
      </c>
      <c r="AD37" s="2" t="s">
        <v>114</v>
      </c>
      <c r="AE37" s="12" t="s">
        <v>112</v>
      </c>
      <c r="AH37" s="21"/>
      <c r="AI37" s="21"/>
    </row>
    <row r="38" spans="1:35" ht="102.6" customHeight="1" x14ac:dyDescent="0.25">
      <c r="A38" s="14" t="s">
        <v>115</v>
      </c>
      <c r="B38" s="13" t="s">
        <v>116</v>
      </c>
      <c r="C38" s="3">
        <v>0</v>
      </c>
      <c r="D38" s="4">
        <v>0</v>
      </c>
      <c r="E38" s="5">
        <v>0</v>
      </c>
      <c r="G38" s="3">
        <v>0</v>
      </c>
      <c r="H38" s="4">
        <v>0</v>
      </c>
      <c r="I38" s="5">
        <v>0</v>
      </c>
      <c r="J38" s="3">
        <v>0</v>
      </c>
      <c r="K38" s="4">
        <v>0</v>
      </c>
      <c r="L38" s="4">
        <v>0</v>
      </c>
      <c r="M38" s="6">
        <v>0</v>
      </c>
      <c r="N38" s="4">
        <v>0</v>
      </c>
      <c r="O38" s="4">
        <v>0</v>
      </c>
      <c r="P38" s="4"/>
      <c r="Q38" s="4"/>
      <c r="R38" s="6">
        <v>0</v>
      </c>
      <c r="S38" s="4">
        <v>0</v>
      </c>
      <c r="T38" s="4">
        <v>0</v>
      </c>
      <c r="U38" s="6">
        <v>0</v>
      </c>
      <c r="V38" s="54">
        <v>0</v>
      </c>
      <c r="W38" s="5">
        <v>0</v>
      </c>
      <c r="X38" s="9">
        <v>0</v>
      </c>
      <c r="Y38" s="54">
        <v>0</v>
      </c>
      <c r="Z38" s="68">
        <v>0</v>
      </c>
      <c r="AA38" s="4">
        <v>0</v>
      </c>
      <c r="AB38" s="54">
        <v>0</v>
      </c>
      <c r="AC38" s="54">
        <v>0</v>
      </c>
      <c r="AD38" s="2" t="s">
        <v>117</v>
      </c>
      <c r="AE38" s="12" t="s">
        <v>118</v>
      </c>
      <c r="AH38" s="21"/>
      <c r="AI38" s="21"/>
    </row>
    <row r="39" spans="1:35" ht="24" hidden="1" customHeight="1" x14ac:dyDescent="0.25">
      <c r="A39" s="14">
        <v>37</v>
      </c>
      <c r="B39" s="34" t="s">
        <v>34</v>
      </c>
      <c r="C39" s="3">
        <v>0</v>
      </c>
      <c r="D39" s="4">
        <v>12</v>
      </c>
      <c r="E39" s="5">
        <v>36</v>
      </c>
      <c r="G39" s="3">
        <v>0</v>
      </c>
      <c r="H39" s="4">
        <v>14</v>
      </c>
      <c r="I39" s="5">
        <v>0</v>
      </c>
      <c r="J39" s="3">
        <v>0</v>
      </c>
      <c r="K39" s="4">
        <v>0</v>
      </c>
      <c r="L39" s="4">
        <v>0</v>
      </c>
      <c r="M39" s="6">
        <v>0</v>
      </c>
      <c r="N39" s="4">
        <v>0</v>
      </c>
      <c r="O39" s="4">
        <f t="shared" si="2"/>
        <v>0</v>
      </c>
      <c r="P39" s="4"/>
      <c r="Q39" s="4"/>
      <c r="R39" s="6"/>
      <c r="U39" s="6"/>
      <c r="V39" s="54"/>
      <c r="W39" s="5"/>
      <c r="X39" s="9">
        <v>0</v>
      </c>
      <c r="Y39" s="54">
        <v>0</v>
      </c>
      <c r="Z39" s="68">
        <v>0</v>
      </c>
      <c r="AA39" s="4">
        <v>0</v>
      </c>
      <c r="AB39" s="54">
        <v>0</v>
      </c>
      <c r="AD39" s="2" t="s">
        <v>35</v>
      </c>
      <c r="AE39" s="12">
        <v>37</v>
      </c>
      <c r="AH39" s="21"/>
      <c r="AI39" s="21"/>
    </row>
    <row r="40" spans="1:35" ht="51" customHeight="1" x14ac:dyDescent="0.25">
      <c r="A40" s="14" t="s">
        <v>119</v>
      </c>
      <c r="B40" s="13" t="s">
        <v>120</v>
      </c>
      <c r="C40" s="3">
        <v>18</v>
      </c>
      <c r="D40" s="4">
        <v>0</v>
      </c>
      <c r="E40" s="5">
        <v>0</v>
      </c>
      <c r="G40" s="3">
        <v>19</v>
      </c>
      <c r="I40" s="5">
        <v>24</v>
      </c>
      <c r="J40" s="3">
        <v>4</v>
      </c>
      <c r="K40" s="4">
        <v>7</v>
      </c>
      <c r="L40" s="4">
        <f>20+2</f>
        <v>22</v>
      </c>
      <c r="M40" s="6">
        <v>3</v>
      </c>
      <c r="N40" s="4">
        <v>0</v>
      </c>
      <c r="O40" s="4">
        <f t="shared" si="2"/>
        <v>4</v>
      </c>
      <c r="P40" s="4">
        <v>2</v>
      </c>
      <c r="Q40" s="4">
        <v>2</v>
      </c>
      <c r="R40" s="6">
        <v>9</v>
      </c>
      <c r="S40" s="4">
        <v>1</v>
      </c>
      <c r="T40" s="4">
        <v>4</v>
      </c>
      <c r="U40" s="6">
        <v>6</v>
      </c>
      <c r="V40" s="54">
        <v>7</v>
      </c>
      <c r="W40" s="5">
        <v>4</v>
      </c>
      <c r="X40" s="9">
        <v>0</v>
      </c>
      <c r="Y40" s="54">
        <v>2</v>
      </c>
      <c r="Z40" s="68">
        <v>5</v>
      </c>
      <c r="AA40" s="4">
        <v>2</v>
      </c>
      <c r="AB40" s="54">
        <v>1</v>
      </c>
      <c r="AC40" s="54">
        <v>1</v>
      </c>
      <c r="AD40" s="2" t="s">
        <v>121</v>
      </c>
      <c r="AE40" s="12" t="s">
        <v>119</v>
      </c>
      <c r="AH40" s="21"/>
      <c r="AI40" s="21"/>
    </row>
    <row r="41" spans="1:35" ht="127.5" customHeight="1" x14ac:dyDescent="0.25">
      <c r="A41" s="14" t="s">
        <v>122</v>
      </c>
      <c r="B41" s="13" t="s">
        <v>123</v>
      </c>
      <c r="C41" s="3">
        <v>30</v>
      </c>
      <c r="D41" s="4">
        <v>0</v>
      </c>
      <c r="E41" s="5">
        <v>0</v>
      </c>
      <c r="G41" s="3">
        <v>30</v>
      </c>
      <c r="I41" s="5">
        <v>39</v>
      </c>
      <c r="J41" s="3">
        <v>29</v>
      </c>
      <c r="K41" s="4">
        <v>7</v>
      </c>
      <c r="L41" s="4">
        <f>60+19</f>
        <v>79</v>
      </c>
      <c r="M41" s="6">
        <v>10</v>
      </c>
      <c r="N41" s="4">
        <v>5</v>
      </c>
      <c r="O41" s="4">
        <f t="shared" si="2"/>
        <v>18</v>
      </c>
      <c r="P41" s="4">
        <v>15</v>
      </c>
      <c r="Q41" s="4">
        <v>3</v>
      </c>
      <c r="R41" s="6">
        <v>28</v>
      </c>
      <c r="S41" s="4">
        <v>10</v>
      </c>
      <c r="T41" s="4">
        <v>23</v>
      </c>
      <c r="U41" s="6">
        <v>76</v>
      </c>
      <c r="V41" s="54">
        <v>49</v>
      </c>
      <c r="W41" s="5">
        <v>27</v>
      </c>
      <c r="X41" s="9">
        <v>33</v>
      </c>
      <c r="Y41" s="54">
        <v>32</v>
      </c>
      <c r="Z41" s="68">
        <v>28</v>
      </c>
      <c r="AA41" s="4">
        <v>5</v>
      </c>
      <c r="AB41" s="54">
        <v>9</v>
      </c>
      <c r="AC41" s="54">
        <v>24</v>
      </c>
      <c r="AD41" s="2" t="s">
        <v>124</v>
      </c>
      <c r="AE41" s="12" t="s">
        <v>122</v>
      </c>
      <c r="AH41" s="21"/>
      <c r="AI41" s="21"/>
    </row>
    <row r="42" spans="1:35" ht="84" x14ac:dyDescent="0.25">
      <c r="A42" s="14" t="s">
        <v>125</v>
      </c>
      <c r="B42" s="13" t="s">
        <v>126</v>
      </c>
      <c r="C42" s="3">
        <v>0</v>
      </c>
      <c r="D42" s="4">
        <v>0</v>
      </c>
      <c r="E42" s="5">
        <v>0</v>
      </c>
      <c r="G42" s="3">
        <v>0</v>
      </c>
      <c r="H42" s="4">
        <v>0</v>
      </c>
      <c r="I42" s="5">
        <v>0</v>
      </c>
      <c r="J42" s="3">
        <v>1</v>
      </c>
      <c r="K42" s="4">
        <v>0</v>
      </c>
      <c r="L42" s="4">
        <v>0</v>
      </c>
      <c r="M42" s="6">
        <v>0</v>
      </c>
      <c r="N42" s="4">
        <v>0</v>
      </c>
      <c r="O42" s="4">
        <v>0</v>
      </c>
      <c r="P42" s="4"/>
      <c r="Q42" s="4"/>
      <c r="R42" s="6">
        <v>0</v>
      </c>
      <c r="S42" s="4">
        <v>0</v>
      </c>
      <c r="T42" s="4">
        <v>0</v>
      </c>
      <c r="U42" s="6">
        <v>0</v>
      </c>
      <c r="V42" s="54">
        <v>0</v>
      </c>
      <c r="W42" s="5">
        <v>0</v>
      </c>
      <c r="X42" s="9">
        <v>0</v>
      </c>
      <c r="Y42" s="54">
        <v>0</v>
      </c>
      <c r="Z42" s="68">
        <v>0</v>
      </c>
      <c r="AA42" s="4">
        <v>0</v>
      </c>
      <c r="AB42" s="54">
        <v>0</v>
      </c>
      <c r="AC42" s="54">
        <v>0</v>
      </c>
      <c r="AD42" s="2" t="s">
        <v>127</v>
      </c>
      <c r="AE42" s="12" t="s">
        <v>125</v>
      </c>
      <c r="AH42" s="21"/>
      <c r="AI42" s="21"/>
    </row>
    <row r="43" spans="1:35" ht="105" x14ac:dyDescent="0.25">
      <c r="A43" s="14" t="s">
        <v>210</v>
      </c>
      <c r="B43" s="13"/>
      <c r="C43" s="3"/>
      <c r="E43" s="5"/>
      <c r="G43" s="3"/>
      <c r="I43" s="5"/>
      <c r="J43" s="3"/>
      <c r="M43" s="6"/>
      <c r="P43" s="4"/>
      <c r="Q43" s="4"/>
      <c r="R43" s="6">
        <v>0</v>
      </c>
      <c r="S43" s="4">
        <v>0</v>
      </c>
      <c r="T43" s="4">
        <v>0</v>
      </c>
      <c r="U43" s="6">
        <v>1</v>
      </c>
      <c r="V43" s="54">
        <v>0</v>
      </c>
      <c r="W43" s="5">
        <v>1</v>
      </c>
      <c r="X43" s="9">
        <v>1</v>
      </c>
      <c r="Y43" s="54">
        <v>0</v>
      </c>
      <c r="Z43" s="68">
        <v>1</v>
      </c>
      <c r="AA43" s="4">
        <v>0</v>
      </c>
      <c r="AB43" s="54">
        <v>0</v>
      </c>
      <c r="AC43" s="54">
        <v>0</v>
      </c>
      <c r="AD43" s="2" t="s">
        <v>211</v>
      </c>
      <c r="AE43" s="12" t="s">
        <v>210</v>
      </c>
      <c r="AH43" s="21"/>
      <c r="AI43" s="21"/>
    </row>
    <row r="44" spans="1:35" ht="40.5" customHeight="1" x14ac:dyDescent="0.25">
      <c r="A44" s="14">
        <v>38</v>
      </c>
      <c r="B44" s="13" t="s">
        <v>128</v>
      </c>
      <c r="C44" s="3">
        <v>0</v>
      </c>
      <c r="D44" s="4">
        <v>0</v>
      </c>
      <c r="E44" s="5">
        <v>0</v>
      </c>
      <c r="G44" s="3">
        <v>0</v>
      </c>
      <c r="H44" s="4">
        <v>0</v>
      </c>
      <c r="I44" s="5">
        <v>0</v>
      </c>
      <c r="J44" s="3">
        <v>3</v>
      </c>
      <c r="K44" s="4">
        <v>3</v>
      </c>
      <c r="L44" s="4">
        <v>0</v>
      </c>
      <c r="M44" s="6">
        <v>0</v>
      </c>
      <c r="N44" s="4">
        <v>3</v>
      </c>
      <c r="O44" s="4">
        <f t="shared" si="2"/>
        <v>0</v>
      </c>
      <c r="P44" s="4"/>
      <c r="Q44" s="4"/>
      <c r="R44" s="6">
        <v>1</v>
      </c>
      <c r="S44" s="4">
        <v>0</v>
      </c>
      <c r="T44" s="4">
        <v>0</v>
      </c>
      <c r="U44" s="6">
        <v>1</v>
      </c>
      <c r="V44" s="54">
        <v>1</v>
      </c>
      <c r="W44" s="5">
        <v>1</v>
      </c>
      <c r="X44" s="9">
        <v>0</v>
      </c>
      <c r="Y44" s="54">
        <v>1</v>
      </c>
      <c r="Z44" s="68">
        <v>0</v>
      </c>
      <c r="AA44" s="4">
        <v>0</v>
      </c>
      <c r="AB44" s="54">
        <v>0</v>
      </c>
      <c r="AC44" s="54">
        <v>0</v>
      </c>
      <c r="AD44" s="2" t="s">
        <v>36</v>
      </c>
      <c r="AE44" s="12">
        <v>38</v>
      </c>
      <c r="AH44" s="21"/>
      <c r="AI44" s="21"/>
    </row>
    <row r="45" spans="1:35" ht="24" customHeight="1" x14ac:dyDescent="0.25">
      <c r="A45" s="14">
        <v>40</v>
      </c>
      <c r="B45" s="34" t="s">
        <v>37</v>
      </c>
      <c r="C45" s="3">
        <v>0</v>
      </c>
      <c r="D45" s="4">
        <v>0</v>
      </c>
      <c r="E45" s="5">
        <v>1</v>
      </c>
      <c r="G45" s="3">
        <v>0</v>
      </c>
      <c r="H45" s="4">
        <v>2</v>
      </c>
      <c r="I45" s="5">
        <v>0</v>
      </c>
      <c r="J45" s="3">
        <v>2</v>
      </c>
      <c r="K45" s="4">
        <v>1</v>
      </c>
      <c r="L45" s="4">
        <f>7+1</f>
        <v>8</v>
      </c>
      <c r="M45" s="6">
        <v>4</v>
      </c>
      <c r="N45" s="4">
        <v>0</v>
      </c>
      <c r="O45" s="4">
        <f t="shared" si="2"/>
        <v>2</v>
      </c>
      <c r="P45" s="4"/>
      <c r="Q45" s="4">
        <v>2</v>
      </c>
      <c r="R45" s="6">
        <v>0</v>
      </c>
      <c r="S45" s="4">
        <v>0</v>
      </c>
      <c r="T45" s="4">
        <v>0</v>
      </c>
      <c r="U45" s="6">
        <v>0</v>
      </c>
      <c r="V45" s="54">
        <v>0</v>
      </c>
      <c r="W45" s="5">
        <v>0</v>
      </c>
      <c r="X45" s="9">
        <v>0</v>
      </c>
      <c r="Y45" s="54">
        <v>0</v>
      </c>
      <c r="Z45" s="68">
        <v>0</v>
      </c>
      <c r="AA45" s="4">
        <v>0</v>
      </c>
      <c r="AB45" s="54">
        <v>0</v>
      </c>
      <c r="AC45" s="54">
        <v>0</v>
      </c>
      <c r="AD45" s="2" t="s">
        <v>38</v>
      </c>
      <c r="AE45" s="12">
        <v>40</v>
      </c>
      <c r="AH45" s="21"/>
      <c r="AI45" s="21"/>
    </row>
    <row r="46" spans="1:35" ht="45" x14ac:dyDescent="0.25">
      <c r="A46" s="14" t="s">
        <v>129</v>
      </c>
      <c r="B46" s="34" t="s">
        <v>130</v>
      </c>
      <c r="C46" s="3">
        <v>1</v>
      </c>
      <c r="D46" s="4">
        <v>0</v>
      </c>
      <c r="E46" s="5">
        <v>0</v>
      </c>
      <c r="G46" s="3">
        <v>2</v>
      </c>
      <c r="H46" s="4">
        <v>0</v>
      </c>
      <c r="I46" s="5">
        <v>1</v>
      </c>
      <c r="J46" s="3">
        <v>0</v>
      </c>
      <c r="K46" s="4">
        <v>0</v>
      </c>
      <c r="L46" s="4">
        <v>0</v>
      </c>
      <c r="M46" s="6">
        <v>0</v>
      </c>
      <c r="N46" s="4">
        <v>1</v>
      </c>
      <c r="O46" s="4">
        <v>0</v>
      </c>
      <c r="P46" s="4"/>
      <c r="Q46" s="4"/>
      <c r="R46" s="6">
        <v>0</v>
      </c>
      <c r="S46" s="4">
        <v>1</v>
      </c>
      <c r="T46" s="4">
        <v>0</v>
      </c>
      <c r="U46" s="6">
        <v>7</v>
      </c>
      <c r="V46" s="54">
        <v>3</v>
      </c>
      <c r="W46" s="5">
        <v>5</v>
      </c>
      <c r="X46" s="9">
        <v>0</v>
      </c>
      <c r="Y46" s="54">
        <v>3</v>
      </c>
      <c r="Z46" s="68">
        <v>0</v>
      </c>
      <c r="AA46" s="4">
        <v>0</v>
      </c>
      <c r="AB46" s="54">
        <v>0</v>
      </c>
      <c r="AC46" s="54">
        <v>1</v>
      </c>
      <c r="AD46" s="2" t="s">
        <v>131</v>
      </c>
      <c r="AE46" s="12" t="s">
        <v>129</v>
      </c>
      <c r="AH46" s="21"/>
      <c r="AI46" s="21"/>
    </row>
    <row r="47" spans="1:35" ht="147" x14ac:dyDescent="0.25">
      <c r="B47" s="34" t="s">
        <v>132</v>
      </c>
      <c r="C47" s="3">
        <v>0</v>
      </c>
      <c r="D47" s="4">
        <v>0</v>
      </c>
      <c r="E47" s="5">
        <v>0</v>
      </c>
      <c r="G47" s="3">
        <v>0</v>
      </c>
      <c r="H47" s="4">
        <v>0</v>
      </c>
      <c r="I47" s="5">
        <v>1</v>
      </c>
      <c r="J47" s="3">
        <v>0</v>
      </c>
      <c r="K47" s="4">
        <v>0</v>
      </c>
      <c r="L47" s="4">
        <v>0</v>
      </c>
      <c r="M47" s="6">
        <v>0</v>
      </c>
      <c r="N47" s="4">
        <v>0</v>
      </c>
      <c r="O47" s="4">
        <v>0</v>
      </c>
      <c r="P47" s="4"/>
      <c r="Q47" s="4"/>
      <c r="R47" s="6">
        <v>3</v>
      </c>
      <c r="S47" s="4">
        <v>1</v>
      </c>
      <c r="T47" s="4">
        <v>2</v>
      </c>
      <c r="U47" s="6">
        <v>1</v>
      </c>
      <c r="V47" s="54">
        <v>0</v>
      </c>
      <c r="W47" s="5">
        <v>1</v>
      </c>
      <c r="X47" s="6">
        <v>0</v>
      </c>
      <c r="Y47" s="54">
        <v>1</v>
      </c>
      <c r="Z47" s="68">
        <v>0</v>
      </c>
      <c r="AA47" s="3">
        <v>0</v>
      </c>
      <c r="AB47" s="54">
        <v>0</v>
      </c>
      <c r="AC47" s="54">
        <v>0</v>
      </c>
      <c r="AD47" s="2" t="s">
        <v>133</v>
      </c>
      <c r="AE47" s="12" t="s">
        <v>134</v>
      </c>
      <c r="AH47" s="21"/>
      <c r="AI47" s="21"/>
    </row>
    <row r="48" spans="1:35" ht="24" customHeight="1" x14ac:dyDescent="0.25">
      <c r="A48" s="14">
        <v>41</v>
      </c>
      <c r="B48" s="34" t="s">
        <v>39</v>
      </c>
      <c r="C48" s="3">
        <v>0</v>
      </c>
      <c r="D48" s="4">
        <v>0</v>
      </c>
      <c r="E48" s="5">
        <v>0</v>
      </c>
      <c r="G48" s="3">
        <v>0</v>
      </c>
      <c r="H48" s="4">
        <v>0</v>
      </c>
      <c r="I48" s="5">
        <v>2</v>
      </c>
      <c r="J48" s="3">
        <v>10</v>
      </c>
      <c r="K48" s="4">
        <v>1</v>
      </c>
      <c r="L48" s="4">
        <f>2+6</f>
        <v>8</v>
      </c>
      <c r="M48" s="6">
        <v>3</v>
      </c>
      <c r="N48" s="4">
        <v>0</v>
      </c>
      <c r="O48" s="4">
        <f t="shared" si="2"/>
        <v>10</v>
      </c>
      <c r="P48" s="4">
        <v>9</v>
      </c>
      <c r="Q48" s="4">
        <v>1</v>
      </c>
      <c r="R48" s="6">
        <v>5</v>
      </c>
      <c r="S48" s="4">
        <v>1</v>
      </c>
      <c r="T48" s="4">
        <v>3</v>
      </c>
      <c r="U48" s="6">
        <v>25</v>
      </c>
      <c r="V48" s="54">
        <v>8</v>
      </c>
      <c r="W48" s="5">
        <v>19</v>
      </c>
      <c r="X48" s="6">
        <v>0</v>
      </c>
      <c r="Y48" s="54">
        <v>0</v>
      </c>
      <c r="Z48" s="68">
        <v>0</v>
      </c>
      <c r="AA48" s="3">
        <v>2</v>
      </c>
      <c r="AB48" s="54">
        <v>1</v>
      </c>
      <c r="AC48" s="54">
        <v>4</v>
      </c>
      <c r="AD48" s="2" t="s">
        <v>40</v>
      </c>
      <c r="AE48" s="12">
        <v>41</v>
      </c>
      <c r="AH48" s="21"/>
      <c r="AI48" s="21"/>
    </row>
    <row r="49" spans="1:35" ht="24" customHeight="1" x14ac:dyDescent="0.25">
      <c r="A49" s="14">
        <v>42</v>
      </c>
      <c r="B49" s="34" t="s">
        <v>41</v>
      </c>
      <c r="C49" s="3">
        <v>0</v>
      </c>
      <c r="D49" s="4">
        <v>10</v>
      </c>
      <c r="E49" s="5">
        <v>3</v>
      </c>
      <c r="G49" s="3">
        <v>0</v>
      </c>
      <c r="H49" s="4">
        <v>6</v>
      </c>
      <c r="I49" s="5">
        <v>0</v>
      </c>
      <c r="J49" s="3">
        <v>0</v>
      </c>
      <c r="K49" s="4">
        <v>0</v>
      </c>
      <c r="L49" s="4">
        <v>0</v>
      </c>
      <c r="M49" s="6">
        <v>0</v>
      </c>
      <c r="N49" s="4">
        <v>0</v>
      </c>
      <c r="O49" s="4">
        <f t="shared" si="2"/>
        <v>0</v>
      </c>
      <c r="P49" s="4"/>
      <c r="Q49" s="4"/>
      <c r="R49" s="6"/>
      <c r="U49" s="6"/>
      <c r="V49" s="54"/>
      <c r="W49" s="5"/>
      <c r="X49" s="6">
        <v>21</v>
      </c>
      <c r="Y49" s="54">
        <v>3</v>
      </c>
      <c r="Z49" s="68">
        <v>21</v>
      </c>
      <c r="AA49" s="3">
        <v>1</v>
      </c>
      <c r="AB49" s="54">
        <v>2</v>
      </c>
      <c r="AC49" s="54">
        <v>4</v>
      </c>
      <c r="AD49" s="2" t="s">
        <v>42</v>
      </c>
      <c r="AE49" s="12">
        <v>42</v>
      </c>
      <c r="AH49" s="21"/>
      <c r="AI49" s="21"/>
    </row>
    <row r="50" spans="1:35" ht="134.25" customHeight="1" x14ac:dyDescent="0.25">
      <c r="A50" s="14" t="s">
        <v>135</v>
      </c>
      <c r="B50" s="13" t="s">
        <v>136</v>
      </c>
      <c r="C50" s="3">
        <v>10</v>
      </c>
      <c r="D50" s="4">
        <v>0</v>
      </c>
      <c r="E50" s="5">
        <v>0</v>
      </c>
      <c r="G50" s="3">
        <v>5</v>
      </c>
      <c r="H50" s="4">
        <v>0</v>
      </c>
      <c r="I50" s="5">
        <v>9</v>
      </c>
      <c r="J50" s="3">
        <v>2</v>
      </c>
      <c r="K50" s="4">
        <v>0</v>
      </c>
      <c r="L50" s="4">
        <f>13+5</f>
        <v>18</v>
      </c>
      <c r="M50" s="6">
        <v>4</v>
      </c>
      <c r="N50" s="4">
        <v>0</v>
      </c>
      <c r="O50" s="4">
        <f t="shared" si="2"/>
        <v>4</v>
      </c>
      <c r="P50" s="4"/>
      <c r="Q50" s="4">
        <v>4</v>
      </c>
      <c r="R50" s="6">
        <v>5</v>
      </c>
      <c r="S50" s="4">
        <v>17</v>
      </c>
      <c r="T50" s="4">
        <v>3</v>
      </c>
      <c r="U50" s="6">
        <v>3</v>
      </c>
      <c r="V50" s="54">
        <v>2</v>
      </c>
      <c r="W50" s="5">
        <v>4</v>
      </c>
      <c r="X50" s="6">
        <v>0</v>
      </c>
      <c r="Y50" s="54">
        <v>2</v>
      </c>
      <c r="Z50" s="68">
        <v>4</v>
      </c>
      <c r="AA50" s="3">
        <v>0</v>
      </c>
      <c r="AB50" s="54">
        <v>0</v>
      </c>
      <c r="AC50" s="54">
        <v>4</v>
      </c>
      <c r="AD50" s="2" t="s">
        <v>137</v>
      </c>
      <c r="AE50" s="12" t="s">
        <v>135</v>
      </c>
      <c r="AH50" s="21"/>
      <c r="AI50" s="21"/>
    </row>
    <row r="51" spans="1:35" ht="47.25" customHeight="1" x14ac:dyDescent="0.25">
      <c r="A51" s="14" t="s">
        <v>138</v>
      </c>
      <c r="B51" s="13" t="s">
        <v>139</v>
      </c>
      <c r="C51" s="3">
        <v>3</v>
      </c>
      <c r="D51" s="4">
        <v>0</v>
      </c>
      <c r="E51" s="5">
        <v>0</v>
      </c>
      <c r="G51" s="3">
        <v>5</v>
      </c>
      <c r="H51" s="4">
        <v>0</v>
      </c>
      <c r="I51" s="5">
        <v>6</v>
      </c>
      <c r="J51" s="3">
        <v>1</v>
      </c>
      <c r="K51" s="4">
        <v>0</v>
      </c>
      <c r="L51" s="4">
        <f>2+1</f>
        <v>3</v>
      </c>
      <c r="M51" s="6">
        <v>1</v>
      </c>
      <c r="N51" s="4">
        <v>0</v>
      </c>
      <c r="O51" s="4">
        <f t="shared" si="2"/>
        <v>3</v>
      </c>
      <c r="P51" s="4">
        <v>2</v>
      </c>
      <c r="Q51" s="4">
        <v>1</v>
      </c>
      <c r="R51" s="6">
        <v>2</v>
      </c>
      <c r="S51" s="4">
        <v>0</v>
      </c>
      <c r="T51" s="4">
        <v>1</v>
      </c>
      <c r="U51" s="6">
        <v>3</v>
      </c>
      <c r="V51" s="54">
        <v>3</v>
      </c>
      <c r="W51" s="5">
        <v>2</v>
      </c>
      <c r="X51" s="6">
        <v>0</v>
      </c>
      <c r="Y51" s="54">
        <v>3</v>
      </c>
      <c r="Z51" s="68">
        <v>0</v>
      </c>
      <c r="AA51" s="3">
        <v>0</v>
      </c>
      <c r="AB51" s="54">
        <v>0</v>
      </c>
      <c r="AC51" s="54">
        <v>0</v>
      </c>
      <c r="AD51" s="2" t="s">
        <v>140</v>
      </c>
      <c r="AE51" s="12" t="s">
        <v>138</v>
      </c>
      <c r="AH51" s="21"/>
      <c r="AI51" s="21"/>
    </row>
    <row r="52" spans="1:35" ht="24" hidden="1" customHeight="1" x14ac:dyDescent="0.25">
      <c r="A52" s="14">
        <v>43</v>
      </c>
      <c r="B52" s="34" t="s">
        <v>43</v>
      </c>
      <c r="C52" s="3">
        <v>0</v>
      </c>
      <c r="D52" s="4">
        <v>43</v>
      </c>
      <c r="E52" s="5">
        <v>24</v>
      </c>
      <c r="G52" s="3">
        <v>0</v>
      </c>
      <c r="H52" s="4">
        <v>30</v>
      </c>
      <c r="I52" s="5">
        <v>0</v>
      </c>
      <c r="J52" s="3">
        <v>0</v>
      </c>
      <c r="K52" s="4">
        <v>0</v>
      </c>
      <c r="L52" s="4">
        <v>0</v>
      </c>
      <c r="M52" s="6">
        <v>0</v>
      </c>
      <c r="N52" s="4">
        <v>0</v>
      </c>
      <c r="O52" s="4">
        <f t="shared" si="2"/>
        <v>0</v>
      </c>
      <c r="P52" s="4"/>
      <c r="Q52" s="4"/>
      <c r="R52" s="6"/>
      <c r="U52" s="6"/>
      <c r="V52" s="54"/>
      <c r="W52" s="5"/>
      <c r="X52" s="6">
        <v>0</v>
      </c>
      <c r="Y52" s="54">
        <v>0</v>
      </c>
      <c r="Z52" s="68">
        <v>0</v>
      </c>
      <c r="AA52" s="3">
        <v>0</v>
      </c>
      <c r="AB52" s="54">
        <v>0</v>
      </c>
      <c r="AD52" s="2" t="s">
        <v>44</v>
      </c>
      <c r="AE52" s="12">
        <v>43</v>
      </c>
      <c r="AH52" s="21"/>
      <c r="AI52" s="21"/>
    </row>
    <row r="53" spans="1:35" ht="81.75" customHeight="1" x14ac:dyDescent="0.25">
      <c r="A53" s="14" t="s">
        <v>141</v>
      </c>
      <c r="B53" s="13" t="s">
        <v>142</v>
      </c>
      <c r="C53" s="3">
        <v>65</v>
      </c>
      <c r="D53" s="4">
        <v>0</v>
      </c>
      <c r="E53" s="5">
        <v>0</v>
      </c>
      <c r="G53" s="3">
        <v>58</v>
      </c>
      <c r="H53" s="4">
        <v>0</v>
      </c>
      <c r="I53" s="5">
        <v>74</v>
      </c>
      <c r="J53" s="3">
        <v>76</v>
      </c>
      <c r="K53" s="4">
        <v>122</v>
      </c>
      <c r="L53" s="4">
        <v>185</v>
      </c>
      <c r="M53" s="6">
        <v>83</v>
      </c>
      <c r="N53" s="4">
        <v>21</v>
      </c>
      <c r="O53" s="4">
        <f t="shared" si="2"/>
        <v>104</v>
      </c>
      <c r="P53" s="4">
        <v>72</v>
      </c>
      <c r="Q53" s="4">
        <v>32</v>
      </c>
      <c r="R53" s="6">
        <v>83</v>
      </c>
      <c r="S53" s="4">
        <v>33</v>
      </c>
      <c r="T53" s="4">
        <v>65</v>
      </c>
      <c r="U53" s="6">
        <v>83</v>
      </c>
      <c r="V53" s="54">
        <v>67</v>
      </c>
      <c r="W53" s="5">
        <v>54</v>
      </c>
      <c r="X53" s="6">
        <v>41</v>
      </c>
      <c r="Y53" s="54">
        <v>53</v>
      </c>
      <c r="Z53" s="68">
        <v>40</v>
      </c>
      <c r="AA53" s="3">
        <v>79</v>
      </c>
      <c r="AB53" s="54">
        <v>78</v>
      </c>
      <c r="AC53" s="54">
        <v>47</v>
      </c>
      <c r="AD53" s="2" t="s">
        <v>143</v>
      </c>
      <c r="AE53" s="12" t="s">
        <v>141</v>
      </c>
      <c r="AH53" s="21"/>
      <c r="AI53" s="21"/>
    </row>
    <row r="54" spans="1:35" ht="69" customHeight="1" x14ac:dyDescent="0.25">
      <c r="A54" s="14" t="s">
        <v>144</v>
      </c>
      <c r="B54" s="13" t="s">
        <v>145</v>
      </c>
      <c r="C54" s="3">
        <v>2</v>
      </c>
      <c r="D54" s="4">
        <v>0</v>
      </c>
      <c r="E54" s="5">
        <v>0</v>
      </c>
      <c r="G54" s="3">
        <v>7</v>
      </c>
      <c r="H54" s="4">
        <v>0</v>
      </c>
      <c r="I54" s="5">
        <v>4</v>
      </c>
      <c r="J54" s="3">
        <v>0</v>
      </c>
      <c r="K54" s="4">
        <v>0</v>
      </c>
      <c r="L54" s="4">
        <v>5</v>
      </c>
      <c r="M54" s="6">
        <v>0</v>
      </c>
      <c r="N54" s="4">
        <v>1</v>
      </c>
      <c r="O54" s="4">
        <f t="shared" si="2"/>
        <v>0</v>
      </c>
      <c r="P54" s="4"/>
      <c r="Q54" s="4"/>
      <c r="R54" s="6">
        <v>0</v>
      </c>
      <c r="S54" s="4">
        <v>0</v>
      </c>
      <c r="T54" s="4">
        <v>0</v>
      </c>
      <c r="U54" s="6">
        <v>0</v>
      </c>
      <c r="V54" s="54">
        <v>0</v>
      </c>
      <c r="W54" s="5">
        <v>0</v>
      </c>
      <c r="X54" s="6">
        <v>0</v>
      </c>
      <c r="Y54" s="54">
        <v>0</v>
      </c>
      <c r="Z54" s="68">
        <v>0</v>
      </c>
      <c r="AA54" s="3">
        <v>1</v>
      </c>
      <c r="AB54" s="54">
        <v>2</v>
      </c>
      <c r="AC54" s="54">
        <v>7</v>
      </c>
      <c r="AD54" s="2" t="s">
        <v>146</v>
      </c>
      <c r="AE54" s="12" t="s">
        <v>144</v>
      </c>
      <c r="AH54" s="21"/>
      <c r="AI54" s="21"/>
    </row>
    <row r="55" spans="1:35" ht="24" customHeight="1" x14ac:dyDescent="0.25">
      <c r="A55" s="14">
        <v>45</v>
      </c>
      <c r="B55" s="34" t="s">
        <v>45</v>
      </c>
      <c r="C55" s="3">
        <v>3</v>
      </c>
      <c r="D55" s="4">
        <v>2</v>
      </c>
      <c r="E55" s="5">
        <v>1</v>
      </c>
      <c r="G55" s="3">
        <v>14</v>
      </c>
      <c r="H55" s="4">
        <v>6</v>
      </c>
      <c r="I55" s="5">
        <v>13</v>
      </c>
      <c r="J55" s="3">
        <v>13</v>
      </c>
      <c r="K55" s="4">
        <v>6</v>
      </c>
      <c r="L55" s="4">
        <v>28</v>
      </c>
      <c r="M55" s="6">
        <v>9</v>
      </c>
      <c r="N55" s="4">
        <v>3</v>
      </c>
      <c r="O55" s="4">
        <f t="shared" si="2"/>
        <v>13</v>
      </c>
      <c r="P55" s="4">
        <v>8</v>
      </c>
      <c r="Q55" s="4">
        <v>5</v>
      </c>
      <c r="R55" s="6">
        <v>5</v>
      </c>
      <c r="S55" s="4">
        <v>3</v>
      </c>
      <c r="T55" s="4">
        <v>2</v>
      </c>
      <c r="U55" s="6">
        <v>6</v>
      </c>
      <c r="V55" s="54">
        <v>5</v>
      </c>
      <c r="W55" s="5">
        <v>6</v>
      </c>
      <c r="X55" s="6">
        <v>2</v>
      </c>
      <c r="Y55" s="54">
        <v>0</v>
      </c>
      <c r="Z55" s="68">
        <v>12</v>
      </c>
      <c r="AA55" s="3">
        <v>0</v>
      </c>
      <c r="AB55" s="54">
        <v>1</v>
      </c>
      <c r="AC55" s="54">
        <v>3</v>
      </c>
      <c r="AD55" s="2" t="s">
        <v>46</v>
      </c>
      <c r="AE55" s="12">
        <v>45</v>
      </c>
      <c r="AH55" s="21"/>
      <c r="AI55" s="21"/>
    </row>
    <row r="56" spans="1:35" ht="24" customHeight="1" x14ac:dyDescent="0.25">
      <c r="A56" s="14">
        <v>46</v>
      </c>
      <c r="B56" s="34" t="s">
        <v>147</v>
      </c>
      <c r="C56" s="3">
        <v>0</v>
      </c>
      <c r="D56" s="4">
        <v>0</v>
      </c>
      <c r="E56" s="5">
        <v>0</v>
      </c>
      <c r="G56" s="3">
        <v>0</v>
      </c>
      <c r="H56" s="4">
        <v>0</v>
      </c>
      <c r="I56" s="5">
        <v>0</v>
      </c>
      <c r="J56" s="3">
        <v>0</v>
      </c>
      <c r="K56" s="4">
        <v>0</v>
      </c>
      <c r="M56" s="6">
        <v>0</v>
      </c>
      <c r="N56" s="4">
        <v>0</v>
      </c>
      <c r="O56" s="4">
        <f t="shared" si="2"/>
        <v>0</v>
      </c>
      <c r="P56" s="4"/>
      <c r="Q56" s="4"/>
      <c r="R56" s="6">
        <v>3</v>
      </c>
      <c r="S56" s="4">
        <v>0</v>
      </c>
      <c r="T56" s="4">
        <v>1</v>
      </c>
      <c r="U56" s="6">
        <v>0</v>
      </c>
      <c r="V56" s="54">
        <v>1</v>
      </c>
      <c r="W56" s="5">
        <v>2</v>
      </c>
      <c r="X56" s="6">
        <v>0</v>
      </c>
      <c r="Y56" s="54">
        <v>0</v>
      </c>
      <c r="Z56" s="68">
        <v>1</v>
      </c>
      <c r="AA56" s="3">
        <v>0</v>
      </c>
      <c r="AB56" s="54">
        <v>0</v>
      </c>
      <c r="AC56" s="54">
        <v>0</v>
      </c>
      <c r="AD56" s="2" t="s">
        <v>148</v>
      </c>
      <c r="AE56" s="12">
        <v>46</v>
      </c>
      <c r="AH56" s="21"/>
      <c r="AI56" s="21"/>
    </row>
    <row r="57" spans="1:35" ht="24" customHeight="1" x14ac:dyDescent="0.25">
      <c r="A57" s="14">
        <v>47</v>
      </c>
      <c r="B57" s="34" t="s">
        <v>47</v>
      </c>
      <c r="C57" s="3">
        <v>0</v>
      </c>
      <c r="D57" s="4">
        <v>3</v>
      </c>
      <c r="E57" s="5">
        <v>0</v>
      </c>
      <c r="G57" s="3">
        <v>0</v>
      </c>
      <c r="H57" s="4">
        <v>2</v>
      </c>
      <c r="I57" s="5">
        <v>0</v>
      </c>
      <c r="J57" s="3">
        <v>6</v>
      </c>
      <c r="K57" s="4">
        <v>0</v>
      </c>
      <c r="L57" s="4">
        <f>5+3</f>
        <v>8</v>
      </c>
      <c r="M57" s="6">
        <v>3</v>
      </c>
      <c r="N57" s="4">
        <v>0</v>
      </c>
      <c r="O57" s="4">
        <f t="shared" si="2"/>
        <v>3</v>
      </c>
      <c r="P57" s="4"/>
      <c r="Q57" s="4">
        <v>3</v>
      </c>
      <c r="R57" s="6">
        <v>0</v>
      </c>
      <c r="S57" s="4">
        <v>0</v>
      </c>
      <c r="T57" s="4">
        <v>0</v>
      </c>
      <c r="U57" s="6">
        <v>0</v>
      </c>
      <c r="V57" s="54">
        <v>0</v>
      </c>
      <c r="W57" s="5"/>
      <c r="X57" s="6">
        <v>1</v>
      </c>
      <c r="Y57" s="54">
        <v>0</v>
      </c>
      <c r="Z57" s="68">
        <v>2</v>
      </c>
      <c r="AA57" s="3">
        <v>2</v>
      </c>
      <c r="AB57" s="54">
        <v>0</v>
      </c>
      <c r="AC57" s="54">
        <v>0</v>
      </c>
      <c r="AD57" s="2" t="s">
        <v>48</v>
      </c>
      <c r="AE57" s="12">
        <v>47</v>
      </c>
      <c r="AH57" s="21"/>
      <c r="AI57" s="21"/>
    </row>
    <row r="58" spans="1:35" ht="42" hidden="1" x14ac:dyDescent="0.25">
      <c r="A58" s="14" t="s">
        <v>149</v>
      </c>
      <c r="B58" s="34" t="s">
        <v>150</v>
      </c>
      <c r="C58" s="3">
        <v>1</v>
      </c>
      <c r="D58" s="4">
        <v>0</v>
      </c>
      <c r="E58" s="5">
        <v>0</v>
      </c>
      <c r="G58" s="3">
        <v>2</v>
      </c>
      <c r="H58" s="4">
        <v>0</v>
      </c>
      <c r="I58" s="5">
        <v>1</v>
      </c>
      <c r="J58" s="3">
        <v>0</v>
      </c>
      <c r="K58" s="4">
        <v>0</v>
      </c>
      <c r="L58" s="4">
        <v>0</v>
      </c>
      <c r="M58" s="6">
        <v>0</v>
      </c>
      <c r="N58" s="4">
        <v>0</v>
      </c>
      <c r="O58" s="4">
        <v>0</v>
      </c>
      <c r="P58" s="4"/>
      <c r="Q58" s="4"/>
      <c r="R58" s="6">
        <v>0</v>
      </c>
      <c r="S58" s="4">
        <v>0</v>
      </c>
      <c r="T58" s="4">
        <v>0</v>
      </c>
      <c r="U58" s="6"/>
      <c r="V58" s="54"/>
      <c r="W58" s="5"/>
      <c r="X58" s="6">
        <v>0</v>
      </c>
      <c r="Y58" s="54">
        <v>0</v>
      </c>
      <c r="Z58" s="68">
        <v>0</v>
      </c>
      <c r="AA58" s="3">
        <v>0</v>
      </c>
      <c r="AB58" s="54">
        <v>0</v>
      </c>
      <c r="AD58" s="2" t="s">
        <v>151</v>
      </c>
      <c r="AE58" s="12" t="s">
        <v>149</v>
      </c>
      <c r="AH58" s="21"/>
      <c r="AI58" s="21"/>
    </row>
    <row r="59" spans="1:35" ht="126" x14ac:dyDescent="0.25">
      <c r="A59" s="14" t="s">
        <v>152</v>
      </c>
      <c r="B59" s="34" t="s">
        <v>153</v>
      </c>
      <c r="C59" s="3">
        <v>2</v>
      </c>
      <c r="D59" s="4">
        <v>0</v>
      </c>
      <c r="E59" s="5">
        <v>0</v>
      </c>
      <c r="G59" s="3">
        <v>1</v>
      </c>
      <c r="H59" s="4">
        <v>0</v>
      </c>
      <c r="I59" s="5">
        <v>3</v>
      </c>
      <c r="J59" s="3">
        <v>0</v>
      </c>
      <c r="K59" s="4">
        <v>0</v>
      </c>
      <c r="L59" s="4">
        <v>0</v>
      </c>
      <c r="M59" s="6">
        <v>0</v>
      </c>
      <c r="N59" s="4">
        <v>0</v>
      </c>
      <c r="P59" s="4"/>
      <c r="Q59" s="4"/>
      <c r="R59" s="6">
        <v>1</v>
      </c>
      <c r="S59" s="4">
        <v>1</v>
      </c>
      <c r="T59" s="4">
        <v>0</v>
      </c>
      <c r="U59" s="6">
        <v>0</v>
      </c>
      <c r="V59" s="54">
        <v>0</v>
      </c>
      <c r="W59" s="5">
        <v>0</v>
      </c>
      <c r="X59" s="6">
        <v>0</v>
      </c>
      <c r="Y59" s="54">
        <v>0</v>
      </c>
      <c r="Z59" s="68">
        <v>0</v>
      </c>
      <c r="AA59" s="3">
        <v>0</v>
      </c>
      <c r="AB59" s="54">
        <v>0</v>
      </c>
      <c r="AC59" s="54">
        <v>0</v>
      </c>
      <c r="AD59" s="2" t="s">
        <v>154</v>
      </c>
      <c r="AE59" s="12" t="s">
        <v>152</v>
      </c>
      <c r="AH59" s="21"/>
      <c r="AI59" s="21"/>
    </row>
    <row r="60" spans="1:35" ht="24" customHeight="1" x14ac:dyDescent="0.25">
      <c r="A60" s="14">
        <v>48</v>
      </c>
      <c r="B60" s="34" t="s">
        <v>49</v>
      </c>
      <c r="C60" s="3">
        <v>0</v>
      </c>
      <c r="D60" s="4">
        <v>3</v>
      </c>
      <c r="E60" s="5">
        <v>3</v>
      </c>
      <c r="G60" s="3">
        <v>0</v>
      </c>
      <c r="H60" s="4">
        <v>4</v>
      </c>
      <c r="I60" s="5">
        <v>0</v>
      </c>
      <c r="J60" s="3">
        <v>2</v>
      </c>
      <c r="K60" s="4">
        <v>1</v>
      </c>
      <c r="L60" s="4">
        <f>10+2</f>
        <v>12</v>
      </c>
      <c r="M60" s="6">
        <v>0</v>
      </c>
      <c r="N60" s="4">
        <v>0</v>
      </c>
      <c r="O60" s="4">
        <f t="shared" si="2"/>
        <v>2</v>
      </c>
      <c r="P60" s="4">
        <v>2</v>
      </c>
      <c r="Q60" s="4"/>
      <c r="R60" s="6">
        <v>0</v>
      </c>
      <c r="S60" s="4">
        <v>0</v>
      </c>
      <c r="T60" s="4">
        <v>0</v>
      </c>
      <c r="U60" s="6">
        <v>0</v>
      </c>
      <c r="V60" s="54">
        <v>0</v>
      </c>
      <c r="W60" s="5">
        <v>0</v>
      </c>
      <c r="X60" s="6">
        <v>6</v>
      </c>
      <c r="Y60" s="54">
        <v>0</v>
      </c>
      <c r="Z60" s="68">
        <v>3</v>
      </c>
      <c r="AA60" s="3">
        <v>6</v>
      </c>
      <c r="AB60" s="54">
        <v>4</v>
      </c>
      <c r="AC60" s="54">
        <v>0</v>
      </c>
      <c r="AD60" s="2" t="s">
        <v>50</v>
      </c>
      <c r="AE60" s="12">
        <v>48</v>
      </c>
      <c r="AH60" s="21"/>
      <c r="AI60" s="21"/>
    </row>
    <row r="61" spans="1:35" ht="63" x14ac:dyDescent="0.25">
      <c r="A61" s="14" t="s">
        <v>155</v>
      </c>
      <c r="B61" s="34" t="s">
        <v>156</v>
      </c>
      <c r="C61" s="3">
        <v>4</v>
      </c>
      <c r="D61" s="4">
        <v>0</v>
      </c>
      <c r="E61" s="5">
        <v>0</v>
      </c>
      <c r="G61" s="3">
        <v>15</v>
      </c>
      <c r="H61" s="4">
        <v>0</v>
      </c>
      <c r="I61" s="5">
        <v>13</v>
      </c>
      <c r="J61" s="3">
        <v>0</v>
      </c>
      <c r="K61" s="4">
        <v>0</v>
      </c>
      <c r="L61" s="4">
        <v>0</v>
      </c>
      <c r="M61" s="6">
        <v>0</v>
      </c>
      <c r="N61" s="4">
        <v>0</v>
      </c>
      <c r="O61" s="4">
        <v>0</v>
      </c>
      <c r="P61" s="4"/>
      <c r="Q61" s="4"/>
      <c r="R61" s="6">
        <v>0</v>
      </c>
      <c r="S61" s="4">
        <v>6</v>
      </c>
      <c r="T61" s="4">
        <v>0</v>
      </c>
      <c r="U61" s="6">
        <v>0</v>
      </c>
      <c r="V61" s="54">
        <v>0</v>
      </c>
      <c r="W61" s="5">
        <v>0</v>
      </c>
      <c r="X61" s="6">
        <v>0</v>
      </c>
      <c r="Y61" s="54">
        <v>0</v>
      </c>
      <c r="Z61" s="68">
        <v>0</v>
      </c>
      <c r="AA61" s="3">
        <v>0</v>
      </c>
      <c r="AB61" s="54">
        <v>0</v>
      </c>
      <c r="AC61" s="54">
        <v>2</v>
      </c>
      <c r="AD61" s="2" t="s">
        <v>157</v>
      </c>
      <c r="AE61" s="12" t="s">
        <v>155</v>
      </c>
      <c r="AH61" s="21"/>
      <c r="AI61" s="21"/>
    </row>
    <row r="62" spans="1:35" ht="126" x14ac:dyDescent="0.25">
      <c r="A62" s="14" t="s">
        <v>158</v>
      </c>
      <c r="B62" s="34" t="s">
        <v>159</v>
      </c>
      <c r="C62" s="3">
        <v>2</v>
      </c>
      <c r="D62" s="4">
        <v>0</v>
      </c>
      <c r="E62" s="5">
        <v>0</v>
      </c>
      <c r="G62" s="3">
        <v>1</v>
      </c>
      <c r="H62" s="4">
        <v>0</v>
      </c>
      <c r="I62" s="5">
        <v>2</v>
      </c>
      <c r="J62" s="3">
        <v>0</v>
      </c>
      <c r="K62" s="4">
        <v>0</v>
      </c>
      <c r="L62" s="4">
        <v>0</v>
      </c>
      <c r="M62" s="6">
        <v>0</v>
      </c>
      <c r="N62" s="4">
        <v>0</v>
      </c>
      <c r="O62" s="4">
        <v>0</v>
      </c>
      <c r="P62" s="4"/>
      <c r="Q62" s="4"/>
      <c r="R62" s="6">
        <v>0</v>
      </c>
      <c r="S62" s="4">
        <v>0</v>
      </c>
      <c r="T62" s="4">
        <v>0</v>
      </c>
      <c r="U62" s="6">
        <v>1</v>
      </c>
      <c r="V62" s="54">
        <v>0</v>
      </c>
      <c r="W62" s="5">
        <v>0</v>
      </c>
      <c r="X62" s="6">
        <v>0</v>
      </c>
      <c r="Y62" s="54">
        <v>0</v>
      </c>
      <c r="Z62" s="68">
        <v>0</v>
      </c>
      <c r="AA62" s="3">
        <v>0</v>
      </c>
      <c r="AB62" s="54">
        <v>0</v>
      </c>
      <c r="AC62" s="54">
        <v>0</v>
      </c>
      <c r="AD62" s="2" t="s">
        <v>160</v>
      </c>
      <c r="AE62" s="12" t="s">
        <v>158</v>
      </c>
    </row>
    <row r="63" spans="1:35" ht="147" x14ac:dyDescent="0.25">
      <c r="B63" s="34" t="s">
        <v>161</v>
      </c>
      <c r="C63" s="3">
        <v>0</v>
      </c>
      <c r="D63" s="4">
        <v>0</v>
      </c>
      <c r="E63" s="5">
        <v>0</v>
      </c>
      <c r="G63" s="3">
        <v>0</v>
      </c>
      <c r="H63" s="4">
        <v>0</v>
      </c>
      <c r="I63" s="5">
        <v>0</v>
      </c>
      <c r="J63" s="3">
        <v>0</v>
      </c>
      <c r="K63" s="4">
        <v>0</v>
      </c>
      <c r="L63" s="4">
        <v>0</v>
      </c>
      <c r="M63" s="6">
        <v>0</v>
      </c>
      <c r="N63" s="4">
        <v>0</v>
      </c>
      <c r="O63" s="4">
        <v>0</v>
      </c>
      <c r="P63" s="4"/>
      <c r="Q63" s="4"/>
      <c r="R63" s="6">
        <v>0</v>
      </c>
      <c r="S63" s="4">
        <v>0</v>
      </c>
      <c r="T63" s="4">
        <v>0</v>
      </c>
      <c r="U63" s="6">
        <v>0</v>
      </c>
      <c r="V63" s="54">
        <v>0</v>
      </c>
      <c r="W63" s="5">
        <v>0</v>
      </c>
      <c r="X63" s="6">
        <v>0</v>
      </c>
      <c r="Y63" s="54">
        <v>0</v>
      </c>
      <c r="Z63" s="68">
        <v>0</v>
      </c>
      <c r="AA63" s="3">
        <v>0</v>
      </c>
      <c r="AB63" s="54">
        <v>0</v>
      </c>
      <c r="AC63" s="54">
        <v>0</v>
      </c>
      <c r="AD63" s="2" t="s">
        <v>162</v>
      </c>
      <c r="AE63" s="12" t="s">
        <v>163</v>
      </c>
    </row>
    <row r="64" spans="1:35" ht="21" x14ac:dyDescent="0.25">
      <c r="A64" s="14">
        <v>49</v>
      </c>
      <c r="B64" s="34" t="s">
        <v>209</v>
      </c>
      <c r="C64" s="3"/>
      <c r="E64" s="5"/>
      <c r="G64" s="3"/>
      <c r="I64" s="5"/>
      <c r="J64" s="3"/>
      <c r="M64" s="6"/>
      <c r="P64" s="4"/>
      <c r="Q64" s="4"/>
      <c r="R64" s="6">
        <v>1</v>
      </c>
      <c r="S64" s="4">
        <v>0</v>
      </c>
      <c r="T64" s="4">
        <v>1</v>
      </c>
      <c r="U64" s="6">
        <v>2</v>
      </c>
      <c r="V64" s="54">
        <v>2</v>
      </c>
      <c r="W64" s="5">
        <v>1</v>
      </c>
      <c r="X64" s="6">
        <v>0</v>
      </c>
      <c r="Y64" s="54">
        <v>2</v>
      </c>
      <c r="Z64" s="68">
        <v>0</v>
      </c>
      <c r="AA64" s="3">
        <v>0</v>
      </c>
      <c r="AB64" s="54">
        <v>0</v>
      </c>
      <c r="AD64" s="2" t="s">
        <v>208</v>
      </c>
      <c r="AE64" s="12">
        <v>49</v>
      </c>
    </row>
    <row r="65" spans="1:32" ht="24" customHeight="1" x14ac:dyDescent="0.25">
      <c r="A65" s="14">
        <v>50</v>
      </c>
      <c r="B65" s="34" t="s">
        <v>51</v>
      </c>
      <c r="C65" s="3">
        <v>25</v>
      </c>
      <c r="D65" s="4">
        <v>18</v>
      </c>
      <c r="E65" s="5">
        <v>7</v>
      </c>
      <c r="G65" s="3">
        <v>5</v>
      </c>
      <c r="H65" s="4">
        <v>3</v>
      </c>
      <c r="I65" s="5">
        <v>16</v>
      </c>
      <c r="J65" s="3">
        <v>6</v>
      </c>
      <c r="K65" s="4">
        <v>8</v>
      </c>
      <c r="L65" s="4">
        <f>24+3</f>
        <v>27</v>
      </c>
      <c r="M65" s="6">
        <v>9</v>
      </c>
      <c r="N65" s="4">
        <v>1</v>
      </c>
      <c r="O65" s="4">
        <f t="shared" si="2"/>
        <v>14</v>
      </c>
      <c r="P65" s="4">
        <v>8</v>
      </c>
      <c r="Q65" s="4">
        <v>6</v>
      </c>
      <c r="R65" s="6">
        <v>11</v>
      </c>
      <c r="S65" s="4">
        <v>3</v>
      </c>
      <c r="T65" s="4">
        <v>4</v>
      </c>
      <c r="U65" s="6">
        <v>12</v>
      </c>
      <c r="V65" s="54">
        <v>9</v>
      </c>
      <c r="W65" s="5">
        <v>6</v>
      </c>
      <c r="X65" s="6">
        <v>0</v>
      </c>
      <c r="Y65" s="54">
        <v>3</v>
      </c>
      <c r="Z65" s="68">
        <v>0</v>
      </c>
      <c r="AA65" s="3">
        <v>4</v>
      </c>
      <c r="AB65" s="54">
        <v>20</v>
      </c>
      <c r="AC65" s="54">
        <v>13</v>
      </c>
      <c r="AD65" s="2" t="s">
        <v>52</v>
      </c>
      <c r="AE65" s="12">
        <v>50</v>
      </c>
    </row>
    <row r="66" spans="1:32" ht="24" hidden="1" customHeight="1" x14ac:dyDescent="0.25">
      <c r="A66" s="14">
        <v>51</v>
      </c>
      <c r="B66" s="34" t="s">
        <v>53</v>
      </c>
      <c r="C66" s="3">
        <v>0</v>
      </c>
      <c r="D66" s="4">
        <v>13</v>
      </c>
      <c r="E66" s="5">
        <v>2</v>
      </c>
      <c r="G66" s="3">
        <v>0</v>
      </c>
      <c r="H66" s="4">
        <v>5</v>
      </c>
      <c r="I66" s="5">
        <v>0</v>
      </c>
      <c r="J66" s="3">
        <v>0</v>
      </c>
      <c r="K66" s="4">
        <v>2</v>
      </c>
      <c r="L66" s="4">
        <v>0</v>
      </c>
      <c r="M66" s="6">
        <v>0</v>
      </c>
      <c r="N66" s="4">
        <v>0</v>
      </c>
      <c r="O66" s="4">
        <f t="shared" si="2"/>
        <v>0</v>
      </c>
      <c r="P66" s="4"/>
      <c r="Q66" s="4"/>
      <c r="R66" s="6"/>
      <c r="U66" s="6"/>
      <c r="V66" s="54"/>
      <c r="W66" s="5"/>
      <c r="X66" s="6">
        <v>0</v>
      </c>
      <c r="Y66" s="54">
        <v>0</v>
      </c>
      <c r="Z66" s="68">
        <v>0</v>
      </c>
      <c r="AA66" s="3">
        <v>0</v>
      </c>
      <c r="AB66" s="54">
        <v>0</v>
      </c>
      <c r="AD66" s="2" t="s">
        <v>54</v>
      </c>
      <c r="AE66" s="12">
        <v>51</v>
      </c>
    </row>
    <row r="67" spans="1:32" ht="52.5" customHeight="1" x14ac:dyDescent="0.25">
      <c r="A67" s="14" t="s">
        <v>164</v>
      </c>
      <c r="B67" s="15" t="s">
        <v>165</v>
      </c>
      <c r="C67" s="4">
        <v>12</v>
      </c>
      <c r="D67" s="4">
        <v>0</v>
      </c>
      <c r="E67" s="5">
        <v>0</v>
      </c>
      <c r="G67" s="4">
        <v>9</v>
      </c>
      <c r="H67" s="4">
        <v>0</v>
      </c>
      <c r="I67" s="5">
        <v>4</v>
      </c>
      <c r="J67" s="4">
        <v>11</v>
      </c>
      <c r="K67" s="4">
        <v>1</v>
      </c>
      <c r="L67" s="4">
        <f>19+10</f>
        <v>29</v>
      </c>
      <c r="M67" s="9">
        <v>20</v>
      </c>
      <c r="N67" s="4">
        <v>0</v>
      </c>
      <c r="O67" s="4">
        <f t="shared" si="2"/>
        <v>22</v>
      </c>
      <c r="P67" s="4">
        <v>8</v>
      </c>
      <c r="Q67" s="4">
        <v>14</v>
      </c>
      <c r="R67" s="9">
        <v>14</v>
      </c>
      <c r="S67" s="4">
        <v>0</v>
      </c>
      <c r="T67" s="4">
        <v>5</v>
      </c>
      <c r="U67" s="9">
        <v>9</v>
      </c>
      <c r="V67" s="54">
        <v>4</v>
      </c>
      <c r="W67" s="5">
        <v>20</v>
      </c>
      <c r="X67" s="9">
        <v>20</v>
      </c>
      <c r="Y67" s="54">
        <v>2</v>
      </c>
      <c r="Z67" s="68">
        <v>25</v>
      </c>
      <c r="AA67" s="4">
        <v>17</v>
      </c>
      <c r="AB67" s="54">
        <v>15</v>
      </c>
      <c r="AC67" s="54">
        <v>13</v>
      </c>
      <c r="AD67" s="2" t="s">
        <v>166</v>
      </c>
      <c r="AE67" s="12" t="s">
        <v>164</v>
      </c>
    </row>
    <row r="68" spans="1:32" ht="45" customHeight="1" x14ac:dyDescent="0.25">
      <c r="A68" s="14" t="s">
        <v>167</v>
      </c>
      <c r="B68" s="15" t="s">
        <v>168</v>
      </c>
      <c r="C68" s="4">
        <v>0</v>
      </c>
      <c r="D68" s="4">
        <v>0</v>
      </c>
      <c r="E68" s="5">
        <v>0</v>
      </c>
      <c r="G68" s="4">
        <v>0</v>
      </c>
      <c r="H68" s="4">
        <v>0</v>
      </c>
      <c r="I68" s="5">
        <v>0</v>
      </c>
      <c r="J68" s="4">
        <v>0</v>
      </c>
      <c r="K68" s="4">
        <v>0</v>
      </c>
      <c r="L68" s="4">
        <v>1</v>
      </c>
      <c r="M68" s="9">
        <v>0</v>
      </c>
      <c r="N68" s="4">
        <v>0</v>
      </c>
      <c r="O68" s="4">
        <f t="shared" si="2"/>
        <v>0</v>
      </c>
      <c r="P68" s="4"/>
      <c r="Q68" s="4"/>
      <c r="R68" s="9">
        <v>0</v>
      </c>
      <c r="S68" s="4">
        <v>0</v>
      </c>
      <c r="T68" s="4">
        <v>0</v>
      </c>
      <c r="U68" s="9">
        <v>0</v>
      </c>
      <c r="V68" s="54">
        <v>0</v>
      </c>
      <c r="W68" s="5">
        <v>0</v>
      </c>
      <c r="X68" s="9">
        <v>0</v>
      </c>
      <c r="Y68" s="54">
        <v>0</v>
      </c>
      <c r="Z68" s="68">
        <v>0</v>
      </c>
      <c r="AA68" s="4">
        <v>0</v>
      </c>
      <c r="AB68" s="54">
        <v>0</v>
      </c>
      <c r="AC68" s="54">
        <v>0</v>
      </c>
      <c r="AD68" s="2" t="s">
        <v>169</v>
      </c>
      <c r="AE68" s="12" t="s">
        <v>167</v>
      </c>
    </row>
    <row r="69" spans="1:32" ht="67.5" customHeight="1" x14ac:dyDescent="0.25">
      <c r="A69" s="14" t="s">
        <v>170</v>
      </c>
      <c r="B69" s="13" t="s">
        <v>171</v>
      </c>
      <c r="C69" s="3">
        <v>1</v>
      </c>
      <c r="D69" s="4">
        <v>0</v>
      </c>
      <c r="E69" s="5">
        <v>0</v>
      </c>
      <c r="G69" s="3">
        <v>0</v>
      </c>
      <c r="H69" s="4">
        <v>0</v>
      </c>
      <c r="I69" s="5">
        <v>0</v>
      </c>
      <c r="J69" s="3">
        <v>0</v>
      </c>
      <c r="K69" s="4">
        <v>0</v>
      </c>
      <c r="L69" s="4">
        <v>1</v>
      </c>
      <c r="M69" s="6">
        <v>0</v>
      </c>
      <c r="N69" s="4">
        <v>0</v>
      </c>
      <c r="O69" s="4">
        <f t="shared" si="2"/>
        <v>0</v>
      </c>
      <c r="P69" s="4"/>
      <c r="Q69" s="4"/>
      <c r="R69" s="6">
        <v>1</v>
      </c>
      <c r="S69" s="4">
        <v>0</v>
      </c>
      <c r="T69" s="4">
        <v>1</v>
      </c>
      <c r="U69" s="6">
        <v>1</v>
      </c>
      <c r="V69" s="54">
        <v>1</v>
      </c>
      <c r="W69" s="5">
        <v>0</v>
      </c>
      <c r="X69" s="6">
        <v>0</v>
      </c>
      <c r="Y69" s="54">
        <v>0</v>
      </c>
      <c r="Z69" s="68">
        <v>0</v>
      </c>
      <c r="AA69" s="3">
        <v>0</v>
      </c>
      <c r="AB69" s="54">
        <v>1</v>
      </c>
      <c r="AC69" s="54">
        <v>0</v>
      </c>
      <c r="AD69" s="2" t="s">
        <v>172</v>
      </c>
      <c r="AE69" s="12" t="s">
        <v>170</v>
      </c>
    </row>
    <row r="70" spans="1:32" ht="70.5" customHeight="1" x14ac:dyDescent="0.25">
      <c r="A70" s="38" t="s">
        <v>173</v>
      </c>
      <c r="B70" s="13" t="s">
        <v>174</v>
      </c>
      <c r="C70" s="3">
        <v>1</v>
      </c>
      <c r="D70" s="4">
        <v>0</v>
      </c>
      <c r="E70" s="5">
        <v>0</v>
      </c>
      <c r="G70" s="3">
        <v>0</v>
      </c>
      <c r="H70" s="4">
        <v>0</v>
      </c>
      <c r="I70" s="5">
        <v>0</v>
      </c>
      <c r="J70" s="3">
        <v>2</v>
      </c>
      <c r="K70" s="4">
        <v>0</v>
      </c>
      <c r="L70" s="4">
        <v>1</v>
      </c>
      <c r="M70" s="6">
        <v>0</v>
      </c>
      <c r="N70" s="4">
        <v>0</v>
      </c>
      <c r="O70" s="4">
        <f t="shared" si="2"/>
        <v>0</v>
      </c>
      <c r="P70" s="4"/>
      <c r="Q70" s="4"/>
      <c r="R70" s="6">
        <v>1</v>
      </c>
      <c r="S70" s="4">
        <v>0</v>
      </c>
      <c r="T70" s="4">
        <v>1</v>
      </c>
      <c r="U70" s="6">
        <v>2</v>
      </c>
      <c r="V70" s="54">
        <v>1</v>
      </c>
      <c r="W70" s="5">
        <v>0</v>
      </c>
      <c r="X70" s="6">
        <v>0</v>
      </c>
      <c r="Y70" s="54">
        <v>1</v>
      </c>
      <c r="Z70" s="68">
        <v>2</v>
      </c>
      <c r="AA70" s="3">
        <v>2</v>
      </c>
      <c r="AB70" s="54">
        <v>0</v>
      </c>
      <c r="AC70" s="54">
        <v>0</v>
      </c>
      <c r="AD70" s="2" t="s">
        <v>175</v>
      </c>
      <c r="AE70" s="39" t="s">
        <v>173</v>
      </c>
    </row>
    <row r="71" spans="1:32" ht="68.25" hidden="1" customHeight="1" x14ac:dyDescent="0.25">
      <c r="A71" s="14" t="s">
        <v>176</v>
      </c>
      <c r="B71" s="13" t="s">
        <v>177</v>
      </c>
      <c r="C71" s="3">
        <v>1</v>
      </c>
      <c r="D71" s="4">
        <v>0</v>
      </c>
      <c r="E71" s="5">
        <v>0</v>
      </c>
      <c r="G71" s="3">
        <v>0</v>
      </c>
      <c r="H71" s="4">
        <v>0</v>
      </c>
      <c r="I71" s="5">
        <v>0</v>
      </c>
      <c r="J71" s="3">
        <v>0</v>
      </c>
      <c r="K71" s="4">
        <v>0</v>
      </c>
      <c r="L71" s="4">
        <v>2</v>
      </c>
      <c r="M71" s="6">
        <v>0</v>
      </c>
      <c r="N71" s="4">
        <v>0</v>
      </c>
      <c r="O71" s="4">
        <f t="shared" si="2"/>
        <v>0</v>
      </c>
      <c r="P71" s="4"/>
      <c r="Q71" s="4"/>
      <c r="R71" s="6">
        <v>0</v>
      </c>
      <c r="T71" s="4">
        <v>0</v>
      </c>
      <c r="U71" s="6"/>
      <c r="V71" s="54"/>
      <c r="W71" s="5"/>
      <c r="X71" s="6">
        <v>0</v>
      </c>
      <c r="Y71" s="54">
        <v>0</v>
      </c>
      <c r="Z71" s="68">
        <v>0</v>
      </c>
      <c r="AA71" s="3">
        <v>0</v>
      </c>
      <c r="AB71" s="54">
        <v>0</v>
      </c>
      <c r="AD71" s="2" t="s">
        <v>178</v>
      </c>
      <c r="AE71" s="12" t="s">
        <v>176</v>
      </c>
    </row>
    <row r="72" spans="1:32" ht="99" hidden="1" customHeight="1" x14ac:dyDescent="0.25">
      <c r="A72" s="14" t="s">
        <v>179</v>
      </c>
      <c r="B72" s="13" t="s">
        <v>180</v>
      </c>
      <c r="C72" s="3">
        <v>0</v>
      </c>
      <c r="D72" s="4">
        <v>0</v>
      </c>
      <c r="E72" s="5">
        <v>0</v>
      </c>
      <c r="G72" s="3">
        <v>0</v>
      </c>
      <c r="H72" s="4">
        <v>0</v>
      </c>
      <c r="I72" s="5">
        <v>0</v>
      </c>
      <c r="J72" s="3">
        <v>0</v>
      </c>
      <c r="K72" s="4">
        <v>0</v>
      </c>
      <c r="L72" s="4">
        <v>1</v>
      </c>
      <c r="M72" s="6">
        <v>0</v>
      </c>
      <c r="N72" s="4">
        <v>0</v>
      </c>
      <c r="O72" s="4">
        <f t="shared" si="2"/>
        <v>0</v>
      </c>
      <c r="P72" s="4"/>
      <c r="Q72" s="4"/>
      <c r="R72" s="6">
        <v>0</v>
      </c>
      <c r="T72" s="4">
        <v>0</v>
      </c>
      <c r="U72" s="6"/>
      <c r="V72" s="54"/>
      <c r="W72" s="5"/>
      <c r="X72" s="6">
        <v>0</v>
      </c>
      <c r="Y72" s="54">
        <v>0</v>
      </c>
      <c r="Z72" s="68">
        <v>0</v>
      </c>
      <c r="AA72" s="3">
        <v>0</v>
      </c>
      <c r="AB72" s="54">
        <v>0</v>
      </c>
      <c r="AD72" s="2" t="s">
        <v>181</v>
      </c>
      <c r="AE72" s="12" t="s">
        <v>179</v>
      </c>
    </row>
    <row r="73" spans="1:32" ht="63" x14ac:dyDescent="0.25">
      <c r="A73" s="14" t="s">
        <v>182</v>
      </c>
      <c r="B73" s="13" t="s">
        <v>183</v>
      </c>
      <c r="C73" s="3">
        <v>0</v>
      </c>
      <c r="D73" s="4">
        <v>0</v>
      </c>
      <c r="E73" s="5">
        <v>0</v>
      </c>
      <c r="G73" s="3">
        <v>0</v>
      </c>
      <c r="H73" s="4">
        <v>0</v>
      </c>
      <c r="I73" s="5">
        <v>0</v>
      </c>
      <c r="J73" s="3">
        <v>1</v>
      </c>
      <c r="K73" s="4">
        <v>0</v>
      </c>
      <c r="L73" s="4">
        <v>0</v>
      </c>
      <c r="M73" s="6">
        <v>0</v>
      </c>
      <c r="N73" s="4">
        <v>0</v>
      </c>
      <c r="O73" s="4">
        <v>0</v>
      </c>
      <c r="P73" s="4"/>
      <c r="Q73" s="4"/>
      <c r="R73" s="6">
        <v>1</v>
      </c>
      <c r="S73" s="4">
        <v>0</v>
      </c>
      <c r="T73" s="4">
        <v>1</v>
      </c>
      <c r="U73" s="6">
        <v>0</v>
      </c>
      <c r="V73" s="54">
        <v>0</v>
      </c>
      <c r="W73" s="5">
        <v>0</v>
      </c>
      <c r="X73" s="6">
        <v>0</v>
      </c>
      <c r="Y73" s="54">
        <v>0</v>
      </c>
      <c r="Z73" s="68">
        <v>2</v>
      </c>
      <c r="AA73" s="3">
        <v>0</v>
      </c>
      <c r="AB73" s="54">
        <v>0</v>
      </c>
      <c r="AC73" s="54">
        <v>0</v>
      </c>
      <c r="AD73" s="2" t="s">
        <v>184</v>
      </c>
      <c r="AE73" s="12" t="s">
        <v>182</v>
      </c>
    </row>
    <row r="74" spans="1:32" ht="105" x14ac:dyDescent="0.25">
      <c r="A74" s="14">
        <v>52</v>
      </c>
      <c r="B74" s="13" t="s">
        <v>185</v>
      </c>
      <c r="C74" s="3">
        <v>0</v>
      </c>
      <c r="D74" s="4">
        <v>0</v>
      </c>
      <c r="E74" s="5">
        <v>0</v>
      </c>
      <c r="G74" s="3">
        <v>0</v>
      </c>
      <c r="H74" s="4">
        <v>0</v>
      </c>
      <c r="I74" s="5">
        <v>1</v>
      </c>
      <c r="J74" s="3">
        <v>0</v>
      </c>
      <c r="K74" s="4">
        <v>0</v>
      </c>
      <c r="L74" s="4">
        <v>0</v>
      </c>
      <c r="M74" s="6">
        <v>0</v>
      </c>
      <c r="N74" s="4">
        <v>0</v>
      </c>
      <c r="O74" s="4">
        <f t="shared" si="2"/>
        <v>2</v>
      </c>
      <c r="P74" s="4">
        <v>2</v>
      </c>
      <c r="Q74" s="4"/>
      <c r="R74" s="6">
        <v>1</v>
      </c>
      <c r="S74" s="4">
        <v>0</v>
      </c>
      <c r="T74" s="4">
        <v>1</v>
      </c>
      <c r="U74" s="6">
        <v>0</v>
      </c>
      <c r="V74" s="4">
        <v>0</v>
      </c>
      <c r="W74" s="5">
        <v>0</v>
      </c>
      <c r="X74" s="6">
        <v>0</v>
      </c>
      <c r="Y74" s="4">
        <v>0</v>
      </c>
      <c r="Z74" s="68">
        <v>0</v>
      </c>
      <c r="AA74" s="3">
        <v>1</v>
      </c>
      <c r="AB74" s="4">
        <v>0</v>
      </c>
      <c r="AC74" s="54">
        <v>0</v>
      </c>
      <c r="AD74" s="2" t="s">
        <v>186</v>
      </c>
      <c r="AE74" s="12">
        <v>52</v>
      </c>
    </row>
    <row r="75" spans="1:32" ht="24" hidden="1" customHeight="1" x14ac:dyDescent="0.25">
      <c r="A75" s="14">
        <v>53</v>
      </c>
      <c r="B75" s="15" t="s">
        <v>55</v>
      </c>
      <c r="C75" s="4">
        <v>0</v>
      </c>
      <c r="D75" s="4">
        <v>0</v>
      </c>
      <c r="E75" s="5">
        <v>0</v>
      </c>
      <c r="G75" s="4">
        <v>0</v>
      </c>
      <c r="H75" s="4">
        <v>0</v>
      </c>
      <c r="I75" s="5">
        <v>0</v>
      </c>
      <c r="J75" s="4">
        <v>0</v>
      </c>
      <c r="K75" s="4">
        <v>0</v>
      </c>
      <c r="L75" s="4">
        <v>0</v>
      </c>
      <c r="M75" s="9">
        <v>0</v>
      </c>
      <c r="N75" s="4">
        <v>0</v>
      </c>
      <c r="O75" s="4">
        <f t="shared" si="2"/>
        <v>0</v>
      </c>
      <c r="P75" s="4"/>
      <c r="Q75" s="4"/>
      <c r="R75" s="9"/>
      <c r="U75" s="9"/>
      <c r="W75" s="5"/>
      <c r="X75" s="9">
        <v>0</v>
      </c>
      <c r="Y75" s="4">
        <v>0</v>
      </c>
      <c r="Z75" s="68">
        <v>0</v>
      </c>
      <c r="AA75" s="4">
        <v>0</v>
      </c>
      <c r="AB75" s="4">
        <v>0</v>
      </c>
      <c r="AD75" s="2" t="s">
        <v>56</v>
      </c>
      <c r="AE75" s="12">
        <v>53</v>
      </c>
    </row>
    <row r="76" spans="1:32" ht="59.25" customHeight="1" x14ac:dyDescent="0.25">
      <c r="A76" s="14" t="s">
        <v>187</v>
      </c>
      <c r="B76" s="13" t="s">
        <v>188</v>
      </c>
      <c r="C76" s="3">
        <v>0</v>
      </c>
      <c r="D76" s="4">
        <v>0</v>
      </c>
      <c r="E76" s="5">
        <v>0</v>
      </c>
      <c r="G76" s="3">
        <v>2</v>
      </c>
      <c r="H76" s="4">
        <v>0</v>
      </c>
      <c r="I76" s="5">
        <v>1</v>
      </c>
      <c r="J76" s="3">
        <v>1</v>
      </c>
      <c r="K76" s="4">
        <v>1</v>
      </c>
      <c r="L76" s="4">
        <v>2</v>
      </c>
      <c r="M76" s="6">
        <v>1</v>
      </c>
      <c r="N76" s="4">
        <v>0</v>
      </c>
      <c r="O76" s="4">
        <f t="shared" si="2"/>
        <v>1</v>
      </c>
      <c r="P76" s="4"/>
      <c r="Q76" s="4">
        <v>1</v>
      </c>
      <c r="R76" s="6">
        <v>0</v>
      </c>
      <c r="S76" s="4">
        <v>0</v>
      </c>
      <c r="T76" s="4">
        <v>0</v>
      </c>
      <c r="U76" s="6">
        <v>1</v>
      </c>
      <c r="V76" s="54">
        <v>0</v>
      </c>
      <c r="W76" s="5">
        <v>0</v>
      </c>
      <c r="X76" s="6">
        <v>0</v>
      </c>
      <c r="Y76" s="54">
        <v>0</v>
      </c>
      <c r="Z76" s="68">
        <v>0</v>
      </c>
      <c r="AA76" s="3">
        <v>3</v>
      </c>
      <c r="AB76" s="54">
        <v>0</v>
      </c>
      <c r="AC76" s="54">
        <v>2</v>
      </c>
      <c r="AD76" s="2" t="s">
        <v>189</v>
      </c>
      <c r="AE76" s="12" t="s">
        <v>187</v>
      </c>
    </row>
    <row r="77" spans="1:32" ht="84" hidden="1" x14ac:dyDescent="0.25">
      <c r="B77" s="13" t="s">
        <v>190</v>
      </c>
      <c r="C77" s="3">
        <v>0</v>
      </c>
      <c r="D77" s="4">
        <v>0</v>
      </c>
      <c r="E77" s="5">
        <v>0</v>
      </c>
      <c r="G77" s="3">
        <v>1</v>
      </c>
      <c r="H77" s="4">
        <v>0</v>
      </c>
      <c r="I77" s="5">
        <v>1</v>
      </c>
      <c r="J77" s="3">
        <v>0</v>
      </c>
      <c r="K77" s="4">
        <v>0</v>
      </c>
      <c r="L77" s="4">
        <v>0</v>
      </c>
      <c r="M77" s="6">
        <v>0</v>
      </c>
      <c r="N77" s="4">
        <v>0</v>
      </c>
      <c r="O77" s="4">
        <v>0</v>
      </c>
      <c r="P77" s="4"/>
      <c r="Q77" s="4"/>
      <c r="R77" s="6">
        <v>0</v>
      </c>
      <c r="T77" s="4">
        <v>0</v>
      </c>
      <c r="U77" s="6"/>
      <c r="V77" s="54"/>
      <c r="W77" s="5"/>
      <c r="X77" s="6">
        <v>0</v>
      </c>
      <c r="Y77" s="54">
        <v>0</v>
      </c>
      <c r="Z77" s="68">
        <v>0</v>
      </c>
      <c r="AA77" s="3">
        <v>0</v>
      </c>
      <c r="AB77" s="54">
        <v>0</v>
      </c>
      <c r="AD77" s="2" t="s">
        <v>191</v>
      </c>
      <c r="AE77" s="12" t="s">
        <v>192</v>
      </c>
    </row>
    <row r="78" spans="1:32" ht="24" customHeight="1" x14ac:dyDescent="0.25">
      <c r="A78" s="14">
        <v>54</v>
      </c>
      <c r="B78" s="34" t="s">
        <v>57</v>
      </c>
      <c r="C78" s="3">
        <v>33</v>
      </c>
      <c r="D78" s="4">
        <v>15</v>
      </c>
      <c r="E78" s="5">
        <v>18</v>
      </c>
      <c r="G78" s="3">
        <v>78</v>
      </c>
      <c r="H78" s="4">
        <v>20</v>
      </c>
      <c r="I78" s="5">
        <v>103</v>
      </c>
      <c r="J78" s="3">
        <v>32</v>
      </c>
      <c r="K78" s="4">
        <v>61</v>
      </c>
      <c r="L78" s="4">
        <f>188+1</f>
        <v>189</v>
      </c>
      <c r="M78" s="6">
        <v>45</v>
      </c>
      <c r="N78" s="4">
        <v>8</v>
      </c>
      <c r="O78" s="4">
        <f t="shared" si="2"/>
        <v>77</v>
      </c>
      <c r="P78" s="4">
        <v>77</v>
      </c>
      <c r="Q78" s="4"/>
      <c r="R78" s="6">
        <v>69</v>
      </c>
      <c r="S78" s="4">
        <v>20</v>
      </c>
      <c r="T78" s="4">
        <v>54</v>
      </c>
      <c r="U78" s="6">
        <v>66</v>
      </c>
      <c r="V78" s="54">
        <v>67</v>
      </c>
      <c r="W78" s="5">
        <v>21</v>
      </c>
      <c r="X78" s="6">
        <v>68</v>
      </c>
      <c r="Y78" s="54">
        <v>69</v>
      </c>
      <c r="Z78" s="68">
        <v>37</v>
      </c>
      <c r="AA78" s="3">
        <v>111</v>
      </c>
      <c r="AB78" s="54">
        <v>74</v>
      </c>
      <c r="AC78" s="54">
        <v>101</v>
      </c>
      <c r="AD78" s="2" t="s">
        <v>58</v>
      </c>
      <c r="AE78" s="12">
        <v>54</v>
      </c>
    </row>
    <row r="79" spans="1:32" ht="24" customHeight="1" x14ac:dyDescent="0.25">
      <c r="A79" s="14">
        <v>56</v>
      </c>
      <c r="B79" s="15" t="s">
        <v>59</v>
      </c>
      <c r="C79" s="4">
        <v>3</v>
      </c>
      <c r="D79" s="4">
        <v>0</v>
      </c>
      <c r="E79" s="5">
        <v>0</v>
      </c>
      <c r="G79" s="4">
        <v>1</v>
      </c>
      <c r="H79" s="4">
        <v>0</v>
      </c>
      <c r="I79" s="5">
        <v>0</v>
      </c>
      <c r="J79" s="4">
        <v>1</v>
      </c>
      <c r="K79" s="4">
        <v>0</v>
      </c>
      <c r="L79" s="4">
        <f>3+1</f>
        <v>4</v>
      </c>
      <c r="M79" s="9">
        <v>2</v>
      </c>
      <c r="N79" s="4">
        <v>0</v>
      </c>
      <c r="O79" s="4">
        <f t="shared" si="2"/>
        <v>2</v>
      </c>
      <c r="P79" s="4">
        <v>1</v>
      </c>
      <c r="Q79" s="4">
        <v>1</v>
      </c>
      <c r="R79" s="9">
        <v>3</v>
      </c>
      <c r="T79" s="4">
        <v>2</v>
      </c>
      <c r="U79" s="9">
        <v>4</v>
      </c>
      <c r="V79" s="54">
        <v>4</v>
      </c>
      <c r="W79" s="5">
        <v>1</v>
      </c>
      <c r="X79" s="9">
        <v>2</v>
      </c>
      <c r="Y79" s="54">
        <v>4</v>
      </c>
      <c r="Z79" s="68">
        <v>2</v>
      </c>
      <c r="AA79" s="4">
        <v>1</v>
      </c>
      <c r="AB79" s="54">
        <v>0</v>
      </c>
      <c r="AC79" s="54">
        <v>2</v>
      </c>
      <c r="AD79" s="2" t="s">
        <v>193</v>
      </c>
      <c r="AE79" s="12">
        <v>56</v>
      </c>
      <c r="AF79" s="40"/>
    </row>
    <row r="80" spans="1:32" ht="32.25" customHeight="1" x14ac:dyDescent="0.25">
      <c r="A80" s="14">
        <v>57</v>
      </c>
      <c r="B80" s="34" t="s">
        <v>60</v>
      </c>
      <c r="C80" s="3">
        <v>27</v>
      </c>
      <c r="D80" s="4">
        <v>3</v>
      </c>
      <c r="E80" s="5">
        <v>3</v>
      </c>
      <c r="G80" s="3">
        <v>26</v>
      </c>
      <c r="H80" s="4">
        <v>1</v>
      </c>
      <c r="I80" s="5">
        <v>20</v>
      </c>
      <c r="J80" s="3">
        <v>8</v>
      </c>
      <c r="K80" s="4">
        <v>9</v>
      </c>
      <c r="L80" s="4">
        <f>18+2</f>
        <v>20</v>
      </c>
      <c r="M80" s="6">
        <v>7</v>
      </c>
      <c r="N80" s="4">
        <v>1</v>
      </c>
      <c r="O80" s="4">
        <f t="shared" si="2"/>
        <v>22</v>
      </c>
      <c r="P80" s="4">
        <v>18</v>
      </c>
      <c r="Q80" s="4">
        <v>4</v>
      </c>
      <c r="R80" s="6">
        <v>16</v>
      </c>
      <c r="S80" s="4">
        <v>5</v>
      </c>
      <c r="T80" s="4">
        <v>7</v>
      </c>
      <c r="U80" s="6">
        <v>11</v>
      </c>
      <c r="V80" s="54">
        <v>8</v>
      </c>
      <c r="W80" s="5">
        <v>6</v>
      </c>
      <c r="X80" s="6">
        <v>0</v>
      </c>
      <c r="Y80" s="54">
        <v>7</v>
      </c>
      <c r="Z80" s="68">
        <v>1</v>
      </c>
      <c r="AA80" s="3">
        <v>10</v>
      </c>
      <c r="AB80" s="54">
        <v>6</v>
      </c>
      <c r="AC80" s="54">
        <v>4</v>
      </c>
      <c r="AD80" s="2" t="s">
        <v>61</v>
      </c>
      <c r="AE80" s="12">
        <v>57</v>
      </c>
    </row>
    <row r="81" spans="1:31" ht="24" customHeight="1" x14ac:dyDescent="0.25">
      <c r="A81" s="14">
        <v>58</v>
      </c>
      <c r="B81" s="34" t="s">
        <v>194</v>
      </c>
      <c r="C81" s="3">
        <v>1</v>
      </c>
      <c r="D81" s="4">
        <v>17</v>
      </c>
      <c r="E81" s="5">
        <v>10</v>
      </c>
      <c r="G81" s="3">
        <v>1</v>
      </c>
      <c r="H81" s="4">
        <v>11</v>
      </c>
      <c r="I81" s="5">
        <v>2</v>
      </c>
      <c r="J81" s="3">
        <v>0</v>
      </c>
      <c r="K81" s="4">
        <v>0</v>
      </c>
      <c r="L81" s="4">
        <v>0</v>
      </c>
      <c r="M81" s="6">
        <v>0</v>
      </c>
      <c r="N81" s="4">
        <v>0</v>
      </c>
      <c r="O81" s="4">
        <f t="shared" si="2"/>
        <v>0</v>
      </c>
      <c r="P81" s="4"/>
      <c r="Q81" s="4"/>
      <c r="R81" s="6">
        <v>0</v>
      </c>
      <c r="S81" s="4">
        <v>0</v>
      </c>
      <c r="T81" s="4">
        <v>0</v>
      </c>
      <c r="U81" s="6">
        <v>0</v>
      </c>
      <c r="V81" s="54">
        <v>0</v>
      </c>
      <c r="W81" s="5">
        <v>0</v>
      </c>
      <c r="X81" s="6">
        <v>0</v>
      </c>
      <c r="Y81" s="54">
        <v>0</v>
      </c>
      <c r="Z81" s="68">
        <v>0</v>
      </c>
      <c r="AA81" s="3">
        <v>0</v>
      </c>
      <c r="AB81" s="54">
        <v>0</v>
      </c>
      <c r="AC81" s="54">
        <v>0</v>
      </c>
      <c r="AD81" s="2" t="s">
        <v>62</v>
      </c>
      <c r="AE81" s="12">
        <v>58</v>
      </c>
    </row>
    <row r="82" spans="1:31" ht="147" x14ac:dyDescent="0.25">
      <c r="A82" s="14" t="s">
        <v>212</v>
      </c>
      <c r="B82" s="34" t="s">
        <v>214</v>
      </c>
      <c r="C82" s="3"/>
      <c r="E82" s="5"/>
      <c r="G82" s="3"/>
      <c r="I82" s="5"/>
      <c r="J82" s="3"/>
      <c r="M82" s="6"/>
      <c r="P82" s="4"/>
      <c r="Q82" s="4"/>
      <c r="R82" s="6">
        <v>0</v>
      </c>
      <c r="S82" s="4">
        <v>0</v>
      </c>
      <c r="T82" s="4">
        <v>0</v>
      </c>
      <c r="U82" s="6">
        <v>1</v>
      </c>
      <c r="V82" s="54">
        <v>1</v>
      </c>
      <c r="W82" s="5">
        <v>0</v>
      </c>
      <c r="X82" s="6">
        <v>0</v>
      </c>
      <c r="Y82" s="54">
        <v>0</v>
      </c>
      <c r="Z82" s="68">
        <v>0</v>
      </c>
      <c r="AA82" s="3">
        <v>0</v>
      </c>
      <c r="AB82" s="54">
        <v>0</v>
      </c>
      <c r="AC82" s="54">
        <v>4</v>
      </c>
      <c r="AD82" s="2" t="s">
        <v>213</v>
      </c>
      <c r="AE82" s="12" t="s">
        <v>212</v>
      </c>
    </row>
    <row r="83" spans="1:31" ht="24" customHeight="1" x14ac:dyDescent="0.25">
      <c r="A83" s="14">
        <v>62</v>
      </c>
      <c r="B83" s="34" t="s">
        <v>63</v>
      </c>
      <c r="C83" s="3">
        <v>0</v>
      </c>
      <c r="D83" s="4">
        <v>0</v>
      </c>
      <c r="E83" s="5">
        <v>0</v>
      </c>
      <c r="G83" s="3">
        <v>0</v>
      </c>
      <c r="H83" s="4">
        <v>0</v>
      </c>
      <c r="I83" s="5">
        <v>0</v>
      </c>
      <c r="J83" s="3">
        <v>0</v>
      </c>
      <c r="K83" s="4">
        <v>0</v>
      </c>
      <c r="L83" s="4">
        <v>3</v>
      </c>
      <c r="M83" s="6">
        <v>0</v>
      </c>
      <c r="N83" s="4">
        <v>0</v>
      </c>
      <c r="O83" s="4">
        <f t="shared" si="2"/>
        <v>0</v>
      </c>
      <c r="P83" s="4"/>
      <c r="Q83" s="4"/>
      <c r="R83" s="6">
        <v>0</v>
      </c>
      <c r="S83" s="4">
        <v>0</v>
      </c>
      <c r="T83" s="4">
        <v>0</v>
      </c>
      <c r="U83" s="6">
        <v>0</v>
      </c>
      <c r="V83" s="54">
        <v>0</v>
      </c>
      <c r="W83" s="5">
        <v>0</v>
      </c>
      <c r="X83" s="6">
        <v>7</v>
      </c>
      <c r="Y83" s="54">
        <v>1</v>
      </c>
      <c r="Z83" s="68">
        <v>9</v>
      </c>
      <c r="AA83" s="3">
        <v>0</v>
      </c>
      <c r="AB83" s="54">
        <v>0</v>
      </c>
      <c r="AC83" s="54">
        <v>0</v>
      </c>
      <c r="AD83" s="2" t="s">
        <v>64</v>
      </c>
      <c r="AE83" s="12">
        <v>62</v>
      </c>
    </row>
    <row r="84" spans="1:31" ht="65.25" customHeight="1" x14ac:dyDescent="0.25">
      <c r="A84" s="14" t="s">
        <v>195</v>
      </c>
      <c r="B84" s="13" t="s">
        <v>196</v>
      </c>
      <c r="C84" s="3">
        <v>0</v>
      </c>
      <c r="D84" s="4">
        <v>0</v>
      </c>
      <c r="E84" s="5">
        <v>0</v>
      </c>
      <c r="G84" s="3">
        <v>3</v>
      </c>
      <c r="H84" s="4">
        <v>0</v>
      </c>
      <c r="I84" s="5">
        <v>3</v>
      </c>
      <c r="J84" s="3">
        <v>1</v>
      </c>
      <c r="K84" s="4">
        <v>0</v>
      </c>
      <c r="L84" s="4">
        <f>4+2</f>
        <v>6</v>
      </c>
      <c r="M84" s="6">
        <v>3</v>
      </c>
      <c r="N84" s="4">
        <v>0</v>
      </c>
      <c r="O84" s="4">
        <f t="shared" si="2"/>
        <v>5</v>
      </c>
      <c r="P84" s="4">
        <v>3</v>
      </c>
      <c r="Q84" s="4">
        <v>2</v>
      </c>
      <c r="R84" s="6">
        <v>3</v>
      </c>
      <c r="S84" s="4">
        <v>3</v>
      </c>
      <c r="T84" s="4">
        <v>3</v>
      </c>
      <c r="U84" s="6">
        <v>3</v>
      </c>
      <c r="V84" s="54">
        <v>2</v>
      </c>
      <c r="W84" s="5">
        <v>1</v>
      </c>
      <c r="X84" s="6">
        <v>0</v>
      </c>
      <c r="Y84" s="54">
        <v>0</v>
      </c>
      <c r="Z84" s="68">
        <v>0</v>
      </c>
      <c r="AA84" s="3">
        <v>8</v>
      </c>
      <c r="AB84" s="54">
        <v>5</v>
      </c>
      <c r="AC84" s="54">
        <v>8</v>
      </c>
      <c r="AD84" s="2" t="s">
        <v>197</v>
      </c>
      <c r="AE84" s="12" t="s">
        <v>195</v>
      </c>
    </row>
    <row r="85" spans="1:31" ht="24" hidden="1" customHeight="1" x14ac:dyDescent="0.25">
      <c r="A85" s="14">
        <v>64</v>
      </c>
      <c r="B85" s="34" t="s">
        <v>198</v>
      </c>
      <c r="C85" s="3">
        <v>0</v>
      </c>
      <c r="D85" s="4">
        <v>3</v>
      </c>
      <c r="E85" s="5">
        <v>0</v>
      </c>
      <c r="G85" s="3">
        <v>0</v>
      </c>
      <c r="H85" s="4">
        <v>2</v>
      </c>
      <c r="I85" s="5">
        <v>0</v>
      </c>
      <c r="J85" s="3">
        <v>0</v>
      </c>
      <c r="K85" s="4">
        <v>0</v>
      </c>
      <c r="L85" s="4">
        <v>0</v>
      </c>
      <c r="M85" s="6">
        <v>0</v>
      </c>
      <c r="N85" s="4">
        <v>0</v>
      </c>
      <c r="O85" s="4">
        <f t="shared" si="2"/>
        <v>0</v>
      </c>
      <c r="P85" s="4"/>
      <c r="Q85" s="4"/>
      <c r="R85" s="6">
        <v>0</v>
      </c>
      <c r="S85" s="4">
        <v>0</v>
      </c>
      <c r="T85" s="4">
        <v>0</v>
      </c>
      <c r="U85" s="6"/>
      <c r="V85" s="56"/>
      <c r="W85" s="5"/>
      <c r="X85" s="6">
        <v>0</v>
      </c>
      <c r="Y85" s="56">
        <v>0</v>
      </c>
      <c r="Z85" s="68">
        <v>0</v>
      </c>
      <c r="AA85" s="3">
        <v>0</v>
      </c>
      <c r="AB85" s="56">
        <v>0</v>
      </c>
      <c r="AD85" s="2" t="s">
        <v>199</v>
      </c>
      <c r="AE85" s="12">
        <v>64</v>
      </c>
    </row>
    <row r="86" spans="1:31" ht="24" hidden="1" customHeight="1" x14ac:dyDescent="0.25">
      <c r="A86" s="14">
        <v>67</v>
      </c>
      <c r="B86" s="34" t="s">
        <v>65</v>
      </c>
      <c r="C86" s="3">
        <v>0</v>
      </c>
      <c r="D86" s="4">
        <v>0</v>
      </c>
      <c r="E86" s="5">
        <v>0</v>
      </c>
      <c r="G86" s="3">
        <v>0</v>
      </c>
      <c r="H86" s="4">
        <v>0</v>
      </c>
      <c r="I86" s="5">
        <v>2</v>
      </c>
      <c r="J86" s="3">
        <v>0</v>
      </c>
      <c r="K86" s="4">
        <v>0</v>
      </c>
      <c r="L86" s="4">
        <v>0</v>
      </c>
      <c r="M86" s="6">
        <v>0</v>
      </c>
      <c r="N86" s="4">
        <v>0</v>
      </c>
      <c r="O86" s="4">
        <f>Q86+P86</f>
        <v>0</v>
      </c>
      <c r="P86" s="4"/>
      <c r="Q86" s="4"/>
      <c r="R86" s="6">
        <v>0</v>
      </c>
      <c r="T86" s="4">
        <v>0</v>
      </c>
      <c r="U86" s="6"/>
      <c r="W86" s="5"/>
      <c r="X86" s="6">
        <v>0</v>
      </c>
      <c r="Y86" s="4">
        <v>0</v>
      </c>
      <c r="Z86" s="68">
        <v>0</v>
      </c>
      <c r="AA86" s="3">
        <v>0</v>
      </c>
      <c r="AB86" s="4">
        <v>0</v>
      </c>
      <c r="AD86" s="37" t="s">
        <v>66</v>
      </c>
      <c r="AE86" s="12">
        <v>67</v>
      </c>
    </row>
    <row r="87" spans="1:31" ht="24" customHeight="1" x14ac:dyDescent="0.25">
      <c r="A87" s="41"/>
      <c r="B87" s="42" t="s">
        <v>200</v>
      </c>
      <c r="C87" s="43">
        <v>17</v>
      </c>
      <c r="D87" s="44">
        <v>0</v>
      </c>
      <c r="E87" s="45">
        <v>0</v>
      </c>
      <c r="F87" s="44"/>
      <c r="G87" s="43">
        <v>3</v>
      </c>
      <c r="H87" s="44">
        <v>0</v>
      </c>
      <c r="I87" s="45">
        <v>3</v>
      </c>
      <c r="J87" s="43">
        <v>0</v>
      </c>
      <c r="K87" s="44">
        <v>0</v>
      </c>
      <c r="L87" s="44">
        <v>4</v>
      </c>
      <c r="M87" s="11">
        <v>0</v>
      </c>
      <c r="N87" s="44">
        <v>0</v>
      </c>
      <c r="O87" s="44">
        <f>Q87+P87</f>
        <v>0</v>
      </c>
      <c r="P87" s="44"/>
      <c r="Q87" s="44"/>
      <c r="R87" s="11">
        <v>0</v>
      </c>
      <c r="S87" s="44">
        <v>0</v>
      </c>
      <c r="T87" s="44">
        <v>0</v>
      </c>
      <c r="U87" s="11">
        <v>0</v>
      </c>
      <c r="V87" s="44">
        <v>0</v>
      </c>
      <c r="W87" s="45">
        <v>5</v>
      </c>
      <c r="X87" s="11">
        <v>3</v>
      </c>
      <c r="Y87" s="44">
        <v>3</v>
      </c>
      <c r="Z87" s="69">
        <v>0</v>
      </c>
      <c r="AA87" s="43">
        <v>0</v>
      </c>
      <c r="AB87" s="44">
        <v>0</v>
      </c>
      <c r="AC87" s="56">
        <v>0</v>
      </c>
      <c r="AD87" s="46" t="s">
        <v>67</v>
      </c>
      <c r="AE87" s="47"/>
    </row>
    <row r="88" spans="1:31" ht="16.5" customHeight="1" x14ac:dyDescent="0.25">
      <c r="B88" s="48" t="s">
        <v>201</v>
      </c>
      <c r="C88" s="49"/>
      <c r="D88" s="50"/>
      <c r="E88" s="50"/>
      <c r="F88" s="50"/>
      <c r="G88" s="49"/>
      <c r="H88" s="50"/>
      <c r="I88" s="50"/>
      <c r="J88" s="49"/>
      <c r="K88" s="50"/>
      <c r="L88" s="50"/>
      <c r="M88" s="49"/>
      <c r="N88" s="50"/>
      <c r="O88" s="50"/>
      <c r="P88" s="50"/>
      <c r="Q88" s="50"/>
      <c r="R88" s="49"/>
      <c r="S88" s="50"/>
      <c r="T88" s="50"/>
      <c r="U88" s="49"/>
      <c r="V88" s="50"/>
      <c r="W88" s="50"/>
      <c r="X88" s="49"/>
      <c r="Y88" s="50"/>
      <c r="Z88" s="1"/>
      <c r="AA88" s="49"/>
      <c r="AB88" s="50"/>
      <c r="AC88" s="1"/>
      <c r="AD88" s="59" t="s">
        <v>202</v>
      </c>
    </row>
    <row r="89" spans="1:31" ht="18.75" customHeight="1" x14ac:dyDescent="0.25">
      <c r="B89" s="52" t="s">
        <v>68</v>
      </c>
      <c r="C89" s="49"/>
      <c r="D89" s="50"/>
      <c r="E89" s="50"/>
      <c r="F89" s="50"/>
      <c r="G89" s="49"/>
      <c r="H89" s="50"/>
      <c r="I89" s="50"/>
      <c r="J89" s="49"/>
      <c r="K89" s="50"/>
      <c r="L89" s="50"/>
      <c r="M89" s="49"/>
      <c r="N89" s="50"/>
      <c r="O89" s="50"/>
      <c r="P89" s="53"/>
      <c r="Q89" s="53"/>
      <c r="R89" s="49"/>
      <c r="S89" s="50"/>
      <c r="T89" s="50"/>
      <c r="U89" s="49"/>
      <c r="V89" s="50"/>
      <c r="W89" s="50"/>
      <c r="X89" s="49"/>
      <c r="Y89" s="50"/>
      <c r="Z89" s="1"/>
      <c r="AA89" s="49"/>
      <c r="AB89" s="50"/>
      <c r="AC89" s="1"/>
      <c r="AD89" s="51" t="s">
        <v>203</v>
      </c>
    </row>
  </sheetData>
  <mergeCells count="13">
    <mergeCell ref="AE4:AE6"/>
    <mergeCell ref="B1:AD1"/>
    <mergeCell ref="B2:AD2"/>
    <mergeCell ref="B4:B6"/>
    <mergeCell ref="AD4:AD6"/>
    <mergeCell ref="C6:E6"/>
    <mergeCell ref="G6:I6"/>
    <mergeCell ref="J6:L6"/>
    <mergeCell ref="M6:P6"/>
    <mergeCell ref="R6:T6"/>
    <mergeCell ref="U6:W6"/>
    <mergeCell ref="X6:Z6"/>
    <mergeCell ref="AA6:AC6"/>
  </mergeCells>
  <pageMargins left="0.7" right="0.7" top="0.75" bottom="0.75" header="0.3" footer="0.3"/>
  <pageSetup paperSize="9" scale="36" orientation="portrait" horizontalDpi="4294967295" verticalDpi="4294967295" r:id="rId1"/>
  <colBreaks count="1" manualBreakCount="1">
    <brk id="31" max="88"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19.3</vt:lpstr>
      <vt:lpstr>'19.3'!Print_Area</vt:lpstr>
      <vt:lpstr>'19.3'!Print_Titles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2023-06-20T10:59:03Z</cp:lastPrinted>
  <dcterms:created xsi:type="dcterms:W3CDTF">2019-09-11T06:11:12Z</dcterms:created>
  <dcterms:modified xsi:type="dcterms:W3CDTF">2023-06-20T10:59:11Z</dcterms:modified>
</cp:coreProperties>
</file>