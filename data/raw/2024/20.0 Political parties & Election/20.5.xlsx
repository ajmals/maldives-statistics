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20.Political Parties\"/>
    </mc:Choice>
  </mc:AlternateContent>
  <xr:revisionPtr revIDLastSave="0" documentId="13_ncr:1_{141B9C94-FA9B-4022-82F5-BC4DF4A3BF3F}" xr6:coauthVersionLast="47" xr6:coauthVersionMax="47" xr10:uidLastSave="{00000000-0000-0000-0000-000000000000}"/>
  <bookViews>
    <workbookView xWindow="-120" yWindow="-120" windowWidth="29040" windowHeight="15720" tabRatio="770" xr2:uid="{00000000-000D-0000-FFFF-FFFF00000000}"/>
  </bookViews>
  <sheets>
    <sheet name="20.5" sheetId="5" r:id="rId1"/>
  </sheets>
  <definedNames>
    <definedName name="_xlnm.Print_Area" localSheetId="0">'20.5'!$A$1:$K$99</definedName>
    <definedName name="_xlnm.Print_Titles" localSheetId="0">'20.5'!$4:$5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6" i="5" l="1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G8" i="5"/>
  <c r="F8" i="5"/>
  <c r="E8" i="5"/>
  <c r="G7" i="5"/>
  <c r="F7" i="5"/>
  <c r="E7" i="5"/>
  <c r="G6" i="5"/>
  <c r="F6" i="5"/>
  <c r="E6" i="5"/>
  <c r="H8" i="5" l="1"/>
  <c r="H7" i="5"/>
  <c r="H6" i="5"/>
</calcChain>
</file>

<file path=xl/sharedStrings.xml><?xml version="1.0" encoding="utf-8"?>
<sst xmlns="http://schemas.openxmlformats.org/spreadsheetml/2006/main" count="371" uniqueCount="238">
  <si>
    <t>Source: Elections Commission</t>
  </si>
  <si>
    <t xml:space="preserve">މަޢުލޫމާތު ދެއްވި ފަރާތް: އިލެކްޝަންސް ކޮމިޝަން </t>
  </si>
  <si>
    <t>Eligible voters</t>
  </si>
  <si>
    <t>Number voted</t>
  </si>
  <si>
    <t>Voter turnout</t>
  </si>
  <si>
    <t xml:space="preserve">ވޯޓުލުމުގެ ޙައްޤުލިބިފައިވާ މީހުންގެ އަދަދު </t>
  </si>
  <si>
    <t>ވޯޓްލީ މީހުންގެ އަދަދު</t>
  </si>
  <si>
    <t>ވޯޓްލީ މީހުންގެ އިން ސައްތަ</t>
  </si>
  <si>
    <t>Republic</t>
  </si>
  <si>
    <t>މުޅި ރާއްޖެ</t>
  </si>
  <si>
    <t>HA</t>
  </si>
  <si>
    <t>ހއ</t>
  </si>
  <si>
    <t>HDh</t>
  </si>
  <si>
    <t>ހދ</t>
  </si>
  <si>
    <t>Sh</t>
  </si>
  <si>
    <t>ށ</t>
  </si>
  <si>
    <t>N</t>
  </si>
  <si>
    <t>ނ</t>
  </si>
  <si>
    <t>R</t>
  </si>
  <si>
    <t>ރ</t>
  </si>
  <si>
    <t>B</t>
  </si>
  <si>
    <t>ބ</t>
  </si>
  <si>
    <t>Lh</t>
  </si>
  <si>
    <t>ޅ</t>
  </si>
  <si>
    <t>K</t>
  </si>
  <si>
    <t>ކ</t>
  </si>
  <si>
    <t>AA</t>
  </si>
  <si>
    <t>އއ</t>
  </si>
  <si>
    <t>ADh</t>
  </si>
  <si>
    <t>އދ</t>
  </si>
  <si>
    <t>V</t>
  </si>
  <si>
    <t>ވ</t>
  </si>
  <si>
    <t>M</t>
  </si>
  <si>
    <t>މ</t>
  </si>
  <si>
    <t>F</t>
  </si>
  <si>
    <t>ފ</t>
  </si>
  <si>
    <t>Dh</t>
  </si>
  <si>
    <t>ދ</t>
  </si>
  <si>
    <t>Th</t>
  </si>
  <si>
    <t>ތ</t>
  </si>
  <si>
    <t>L</t>
  </si>
  <si>
    <t>ލ</t>
  </si>
  <si>
    <t>GA</t>
  </si>
  <si>
    <t>ގއ</t>
  </si>
  <si>
    <t>GDh</t>
  </si>
  <si>
    <t>ގދ</t>
  </si>
  <si>
    <t>Gn</t>
  </si>
  <si>
    <t>ޏ</t>
  </si>
  <si>
    <t>S</t>
  </si>
  <si>
    <t>ސ</t>
  </si>
  <si>
    <t>Atoll</t>
  </si>
  <si>
    <t>Electoral Area</t>
  </si>
  <si>
    <t xml:space="preserve">Registered population </t>
  </si>
  <si>
    <t>އިންތިހާބީ ދާއިރާ</t>
  </si>
  <si>
    <t>އަތޮޅު</t>
  </si>
  <si>
    <t xml:space="preserve">ރަޖިސްޓްރީވެފައިވާ އާބާދީ </t>
  </si>
  <si>
    <t>Male'</t>
  </si>
  <si>
    <t>މާލެ</t>
  </si>
  <si>
    <t>Atolls</t>
  </si>
  <si>
    <t>އަތޮޅުތައް</t>
  </si>
  <si>
    <t>Hoarafushi Dhaairaa (A01)</t>
  </si>
  <si>
    <t>ހޯރަފުށި ދާއިރާ (A01)</t>
  </si>
  <si>
    <t>Ihavandhoo Dhaairaa (A02)</t>
  </si>
  <si>
    <t>އިހަވަންދޫ ދާއިރާ (A02)</t>
  </si>
  <si>
    <t>Baarshu Dhaairaa (A03)</t>
  </si>
  <si>
    <t>Dhidhoo Dhaairaa (A04)</t>
  </si>
  <si>
    <t>ދިއްދޫ ދާއިރާ (A04)</t>
  </si>
  <si>
    <t>Kelaa Dhaairaa (A05)</t>
  </si>
  <si>
    <t>ކެލާ ދާއިރާ (A05)</t>
  </si>
  <si>
    <t>Hanimaadhoo Dhaairaa (B01)</t>
  </si>
  <si>
    <t>ހަނިމާދޫ ދާއިރާ (B01)</t>
  </si>
  <si>
    <t>Nolhivaram Dhaairaa (B02)</t>
  </si>
  <si>
    <t>ނޮޅިވަރަމް ދާއިރާ (B02)</t>
  </si>
  <si>
    <t>Vaikaradhoo Dhaairaa (B03)</t>
  </si>
  <si>
    <t>ވައިކަރަދޫ ދާއިރާ (B03)</t>
  </si>
  <si>
    <t>Kulhudhufuhi Uthuru Dhaairaa (B04)</t>
  </si>
  <si>
    <t>ކުޅުދުއްފުށިދެކުނު  ދާއިރާ (B04)</t>
  </si>
  <si>
    <t>Kulhudhufuhi Dhekunu Dhaairaa (B05)</t>
  </si>
  <si>
    <t>ކުޅުދުއްފުށި އުތުރު ދާއިރާ (B05)</t>
  </si>
  <si>
    <t>Makunudoo Dhaairaa (B06)</t>
  </si>
  <si>
    <t>މަކުނުދޫ ދާއިރާ (B06)</t>
  </si>
  <si>
    <t>Kanditheem Dhaairaa (C01)</t>
  </si>
  <si>
    <t>ކަނޑިތީމް ދާއިރާ (C01)</t>
  </si>
  <si>
    <t>Milandhoo Dhaairaa (C02)</t>
  </si>
  <si>
    <t>މިލަންދޫ ދާއިރާ (C02)</t>
  </si>
  <si>
    <t>Komandoo Dhaairaa (C03)</t>
  </si>
  <si>
    <t>ކޮމަންޑޫ ދާއިރާ (C03)</t>
  </si>
  <si>
    <t>Funadhoo Dhaairaa (C04)</t>
  </si>
  <si>
    <t>ފުނަދޫ ދާއިރާ (C04)</t>
  </si>
  <si>
    <t>Kendhikulhudhoo Dhaairaa (D01)</t>
  </si>
  <si>
    <t>ކެނދިކުޅުދޫ ދާއިރާ (D01)</t>
  </si>
  <si>
    <t>Manadhoo Dhaairaa (D02)</t>
  </si>
  <si>
    <t>މަނދޫ ދާއިރާ (D02)</t>
  </si>
  <si>
    <t>Velidhoo Dhaairaa (D03)</t>
  </si>
  <si>
    <t>ވެލިދޫ ދާއިރާ (D03)</t>
  </si>
  <si>
    <t>Holhudhoo Dhaairaa (D04)</t>
  </si>
  <si>
    <t>ހޮޅުދޫ ދާއިރާ (D04)</t>
  </si>
  <si>
    <t>Alifushi Dhaairaa (E01)</t>
  </si>
  <si>
    <t>އަލިފުށި ދާއިރާ (E01)</t>
  </si>
  <si>
    <t>Ungoofaaru Dhaairaa (E02)</t>
  </si>
  <si>
    <t>އުނގޫފާރު ދާއިރާ (E02)</t>
  </si>
  <si>
    <t>Dhuvaafaru Dhaairaa (E03)</t>
  </si>
  <si>
    <t>ދުވާފަރު ދާއިރާ (E03)</t>
  </si>
  <si>
    <t>Inguraidhoo Dhaairaa (E04)</t>
  </si>
  <si>
    <t>އިނގުރައިދޫ ދާއިރާ(E04)</t>
  </si>
  <si>
    <t>Maduvvaree Dhaairaa (E05)</t>
  </si>
  <si>
    <t>މަޑުއްވަރީ ދާއިރާ (E05)</t>
  </si>
  <si>
    <t>Thulhaadhoo Dhaairaa (F01)</t>
  </si>
  <si>
    <t>ތުޅާދޫ ދާއިރާ (F01)</t>
  </si>
  <si>
    <t>Eydhafushi Dhaairaa (F02)</t>
  </si>
  <si>
    <t>އޭދަފުށި ދާއިރާ (F02)</t>
  </si>
  <si>
    <t>Kendhoo Dhaairaa (F03)</t>
  </si>
  <si>
    <t>ކެންދު ދާއިރާ (F03)</t>
  </si>
  <si>
    <t>Hinnavaru Dhaairaa (G01)</t>
  </si>
  <si>
    <t>ހިންނަވަރު ދާއިރާ (G01)</t>
  </si>
  <si>
    <t>Naifaru Dhaairaa (G02)</t>
  </si>
  <si>
    <t>ނައިފަރު ދާއިރާ (G02)</t>
  </si>
  <si>
    <t>Kurendhoo Dhaairaa (G03)</t>
  </si>
  <si>
    <t>ކުރެންދޫ ދާއިރާ (G03)</t>
  </si>
  <si>
    <t>Kaashidhoo Dhaairaa (H01)</t>
  </si>
  <si>
    <t>ކާށިދޫ ދާއިރާ (H01)</t>
  </si>
  <si>
    <t>Thulusdhoo Dhaairaa (H02)</t>
  </si>
  <si>
    <t>ތުލުސްދޫ ދާއިރާ (H02)</t>
  </si>
  <si>
    <t>Guraidhoo Dhaairaa (H03)</t>
  </si>
  <si>
    <t>ގުރައިދޫ ދާއިރާ (H03)</t>
  </si>
  <si>
    <t>Mathiveri Dhaairaa (U01)</t>
  </si>
  <si>
    <t>މަތިވެރި ދާއިރާ (U01)</t>
  </si>
  <si>
    <t>Thoddoo Dhaairaa (U02)</t>
  </si>
  <si>
    <t>ތޮއްޑޫ ދާއިރާ (U02)</t>
  </si>
  <si>
    <t>Maamigili Dhaairaa (I01)</t>
  </si>
  <si>
    <t>މާމިގިލި ދާއިރާ (I01)</t>
  </si>
  <si>
    <t>Mahibadhoo Dhaairaa (I02)</t>
  </si>
  <si>
    <t>މަހިބަދޫ ދާއިރާ (I02)</t>
  </si>
  <si>
    <t>Dhangethi Dhaairaa (I03)</t>
  </si>
  <si>
    <t>ދަނގެތި ދާއިރާ (I03)</t>
  </si>
  <si>
    <t>Felidhoo Dhaairaa (J01)</t>
  </si>
  <si>
    <t>ފެލިދޫ ދާއިރާ (J01)</t>
  </si>
  <si>
    <t>Keyodhoo Dhaairaa (J02)</t>
  </si>
  <si>
    <t>ކެޔޮދޫ ދާއިރާ (J02)</t>
  </si>
  <si>
    <t>Dhiggaru Dhaairaa (K01)</t>
  </si>
  <si>
    <t>ދިއްގަރު ދާއިރާ (K01)</t>
  </si>
  <si>
    <t>Mulaku Dhaairaa (K02)</t>
  </si>
  <si>
    <t>މުލަކު ދާއިރާ (K02)</t>
  </si>
  <si>
    <t>Bileydhoo Dhaairaa (L01)</t>
  </si>
  <si>
    <t>ބިލައްދޫ ދާއިރާ (L01)</t>
  </si>
  <si>
    <t>Nilandhoo Dhaairaa (L02)</t>
  </si>
  <si>
    <t>ނިލަންދޫ ދާއިރާ (L02)</t>
  </si>
  <si>
    <t>Meedhoo Dhaairaa (M01)</t>
  </si>
  <si>
    <t>މީދޫ ދާއިރާ (M01)</t>
  </si>
  <si>
    <t>Kudahuvadhoo Dhaairaa (M02)</t>
  </si>
  <si>
    <t>ކުޑަހުވަދޫ ދާއިރާ (M02)</t>
  </si>
  <si>
    <t>Vilufushi Dhaairaa (N01)</t>
  </si>
  <si>
    <t>ވިލުފުށި ދާއިރާ (N01)</t>
  </si>
  <si>
    <t>Thimarafushi Dhaairaa (N02)</t>
  </si>
  <si>
    <t>ތިމަރަފުށި ދާއިރާ (N02)</t>
  </si>
  <si>
    <t>Kinbidhoo Dhaairaa (N03)</t>
  </si>
  <si>
    <t>ކިނބިދޫ ދާއިރާ (N03)</t>
  </si>
  <si>
    <t>Guraidhoo Dhaairaa (N04)</t>
  </si>
  <si>
    <t>ގުރައިދޫ ދާއިރާ (N04)</t>
  </si>
  <si>
    <t>Isdhoo Dhaairaa (O01)</t>
  </si>
  <si>
    <t>އިސްދޫ ދާއިރާ (O01)</t>
  </si>
  <si>
    <t>Gamu Dhaairaa (O02)</t>
  </si>
  <si>
    <t>ގަމު ދާއިރާ (O02)</t>
  </si>
  <si>
    <t>Fonadhoo Dhaairaa (O03)</t>
  </si>
  <si>
    <t>ފޮނަދޫ ދާއިރާ (O03)</t>
  </si>
  <si>
    <t>Maavashu Dhaairaa (O04)</t>
  </si>
  <si>
    <t>މާވަށު ދާއިރާ (O04)</t>
  </si>
  <si>
    <t>Villingilli Dhaairaa (P01)</t>
  </si>
  <si>
    <t>ވިލިނގިލި ދާއިރާ (P01)</t>
  </si>
  <si>
    <t>Dhaandhoo Dhaairaa (P02)</t>
  </si>
  <si>
    <t>ދާންދޫ ދާއިރާ (P02)</t>
  </si>
  <si>
    <t>Gemanafushi Dhaairaa (P03)</t>
  </si>
  <si>
    <t>ގެމަނަފުށި ދާއިރާ (P03)</t>
  </si>
  <si>
    <t>Thinadhoo Uthuru Dhaairaa (Q01)</t>
  </si>
  <si>
    <t>ތިނަދޫ އުތުރު ދާއިރާ (Q01)</t>
  </si>
  <si>
    <t>Thinadhoo Dhekunu Dhaaira (Q02)</t>
  </si>
  <si>
    <t>ތިނަދޫ ދެކުނު ދާއިރާ (Q02)</t>
  </si>
  <si>
    <t>Madaveli Dhaairaa (Q03)</t>
  </si>
  <si>
    <t>މަޑަވެލި ދާއިރާ (Q03)</t>
  </si>
  <si>
    <t>Faresmaathodaa Dhaairaa (Q04)</t>
  </si>
  <si>
    <t>ފަރެސްމާތޮޑާ ދާއިރާ (Q04)</t>
  </si>
  <si>
    <t>Gahdhoo Dhaairaa (Q05)</t>
  </si>
  <si>
    <t>ގައްދޫ ދާއިރާ (Q05)</t>
  </si>
  <si>
    <t>Fuvahmulaku Uthuru Dhaairaa (R01)</t>
  </si>
  <si>
    <t>ފުވައްމުލަކު އުތުރު ދާއިރާ (R01)</t>
  </si>
  <si>
    <t>Fuvahmulaku Medhu Dhaairaa (R02)</t>
  </si>
  <si>
    <t>ފުވައްމުލަކު މެދު ދާއިރާ (R02)</t>
  </si>
  <si>
    <t>Fuvahmulaku Dhekunu Dhaairaa (R03)</t>
  </si>
  <si>
    <t>ފުވައްމުލަކު ދެކުނު ދާއިރާ (R03)</t>
  </si>
  <si>
    <t>Hulhudhoo Dhaairaa (S01)</t>
  </si>
  <si>
    <t>ހުޅުމީދޫ ދާއިރާ (S01)</t>
  </si>
  <si>
    <t>Meedhoo Dhaaira (S02)</t>
  </si>
  <si>
    <t>މީދޫ ދާއިރާ (S02)</t>
  </si>
  <si>
    <t>Feydhoo Dhaairaa (S03)</t>
  </si>
  <si>
    <t>ފޭދޫ ދާއިރާ (S03)</t>
  </si>
  <si>
    <t>Maradhoo Dhaairaa (S04)</t>
  </si>
  <si>
    <t>މަރަދޫ ދާއިރާ (S04)</t>
  </si>
  <si>
    <t>Hithadhoo Uthuru Dhaairaa (S05)</t>
  </si>
  <si>
    <t>ހިތަދޫ އުތުރު ދާއިރާ (S05)</t>
  </si>
  <si>
    <t>Hithadhoo Medhu Dhaairaa (S06)</t>
  </si>
  <si>
    <t>ހިތަދޫ މެދު ދާއިރާ (S06)</t>
  </si>
  <si>
    <t>Hithadhoo Dhekunu Dhaairaa (S07)</t>
  </si>
  <si>
    <t>ހިތަދޫ ދެކުނު ދާއިރާ (S07)</t>
  </si>
  <si>
    <t>MLE</t>
  </si>
  <si>
    <t>Hulhu Henveyru Dhaairaa (T01)</t>
  </si>
  <si>
    <t>Medhu henveyru Dhaairaa (T02)</t>
  </si>
  <si>
    <t>މެދު ހެންވޭރު ދާއިރާ (T02)</t>
  </si>
  <si>
    <t>Henveyru Dhekunu Dhaairaa (T03)</t>
  </si>
  <si>
    <t>ހެންވޭރު ދެކުނު ދާއިރާ (T03)</t>
  </si>
  <si>
    <t>Henveyru Uthuru Dhaaira (T04)</t>
  </si>
  <si>
    <t>ހެންވޭރު އުތުރު ދާއިރާ (T04)</t>
  </si>
  <si>
    <t>Galholhu Uthuru Dhaairaa (T05)</t>
  </si>
  <si>
    <t>ގަލޮޅު އުތުރު ދާއިރާ (T05)</t>
  </si>
  <si>
    <t>Galholhu Dhekunu Dhaairaa (T06)</t>
  </si>
  <si>
    <t>ގަލޮޅު ދެކުނު ދާއިރާ (T06)</t>
  </si>
  <si>
    <t>Mahchangolhi Uthuru Dhaairaa (T07)</t>
  </si>
  <si>
    <t>މައްޗަންގޮޅި އުތުރު ދާއިރާ (T07)</t>
  </si>
  <si>
    <t>Mahchangolhi Dhekunu Dhaairaa (T08)</t>
  </si>
  <si>
    <t>މައްޗަންގޮޅި ދެކުނު ދާއިރާ (T08)</t>
  </si>
  <si>
    <t>Maafannu Uthuru Dhaairaa (T09)</t>
  </si>
  <si>
    <t>މާފަންނު އުތުރު ދާއިރާ (T09)</t>
  </si>
  <si>
    <t>Maafannu Hulhangu Dhaairaa (T10)</t>
  </si>
  <si>
    <t>މާފަންނު ހުޅަނގު ދާއިރާ (T10)</t>
  </si>
  <si>
    <t>Note:  There were no elections in 2015, 2016 &amp; 2017</t>
  </si>
  <si>
    <t>TABLE 205.5: NUMBER OF PERSONS VOTED IN PARLIMENTARY ELECTIONS, 2019</t>
  </si>
  <si>
    <t xml:space="preserve">ތާވަލު 20.5: ރައްޔިތުންގެ މަޖިލީހުގެ އިންތިޚާބު 2019 ގައި އަތޮޅުތަކުން ވޯޓުލީ މިންވަރު  </t>
  </si>
  <si>
    <t>ބާރަށު ދާއިރާ (A03)</t>
  </si>
  <si>
    <t>ހުޅުމާލެ ދާއިރާ (T01)</t>
  </si>
  <si>
    <t>Maafannu Medhu Dhaairaa (T11)</t>
  </si>
  <si>
    <t>މާފަންނު މެދު ދާއިރާ (T11)</t>
  </si>
  <si>
    <t>Maafannu Dhekunu  Dhaairaa (T12)</t>
  </si>
  <si>
    <t>މާފަންނު ދެކުނު ދާއިރާ (T12)</t>
  </si>
  <si>
    <t>Vili Maale Dhaairaa (T13)</t>
  </si>
  <si>
    <t>ވިލިމާލެ ދާއިރާ (T13)</t>
  </si>
  <si>
    <t>Henveyru Hulhangu Dhaairaa (T14)</t>
  </si>
  <si>
    <t>ހެންވޭރު ހުޅަނގު ދާއިރާ (T14)</t>
  </si>
  <si>
    <t>Mahchangolhi Medhu Dhaairaa (T15)</t>
  </si>
  <si>
    <t>މައްޗަންގޮޅި މެދު ދާއިރާ (T15)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</si>
</sst>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b/>
      <sz val="10"/>
      <color theme="1"/>
      <name val="Faruma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2"/>
      <color theme="1"/>
      <name val="Faruma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9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0" fontId="14" fillId="0" borderId="0"/>
    <xf numFmtId="0" fontId="1" fillId="0" borderId="0"/>
  </cellStyleXfs>
  <cellXfs count="6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8" fillId="2" borderId="0" xfId="0" applyFont="1" applyFill="1" applyAlignment="1">
      <alignment vertical="center"/>
    </xf>
    <xf numFmtId="0" fontId="0" fillId="2" borderId="1" xfId="0" applyFill="1" applyBorder="1"/>
    <xf numFmtId="0" fontId="4" fillId="2" borderId="0" xfId="0" applyFont="1" applyFill="1"/>
    <xf numFmtId="0" fontId="0" fillId="2" borderId="1" xfId="0" applyFill="1" applyBorder="1" applyAlignment="1">
      <alignment vertical="center"/>
    </xf>
    <xf numFmtId="0" fontId="4" fillId="2" borderId="1" xfId="0" applyFont="1" applyFill="1" applyBorder="1"/>
    <xf numFmtId="0" fontId="2" fillId="2" borderId="3" xfId="0" applyFont="1" applyFill="1" applyBorder="1" applyAlignment="1">
      <alignment horizontal="right" vertical="center" wrapText="1"/>
    </xf>
    <xf numFmtId="0" fontId="8" fillId="2" borderId="0" xfId="0" applyFont="1" applyFill="1"/>
    <xf numFmtId="0" fontId="6" fillId="2" borderId="0" xfId="0" applyFont="1" applyFill="1"/>
    <xf numFmtId="0" fontId="2" fillId="2" borderId="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2" xfId="0" applyFont="1" applyFill="1" applyBorder="1"/>
    <xf numFmtId="0" fontId="2" fillId="2" borderId="2" xfId="0" applyFont="1" applyFill="1" applyBorder="1" applyAlignment="1">
      <alignment vertical="center"/>
    </xf>
    <xf numFmtId="164" fontId="2" fillId="2" borderId="2" xfId="1" applyNumberFormat="1" applyFont="1" applyFill="1" applyBorder="1" applyAlignment="1">
      <alignment horizontal="center" vertical="center"/>
    </xf>
    <xf numFmtId="164" fontId="2" fillId="2" borderId="2" xfId="1" applyNumberFormat="1" applyFont="1" applyFill="1" applyBorder="1" applyAlignment="1">
      <alignment vertical="center"/>
    </xf>
    <xf numFmtId="3" fontId="7" fillId="2" borderId="2" xfId="2" applyNumberFormat="1" applyFont="1" applyFill="1" applyBorder="1" applyAlignment="1">
      <alignment horizontal="right"/>
    </xf>
    <xf numFmtId="0" fontId="3" fillId="2" borderId="2" xfId="0" applyFont="1" applyFill="1" applyBorder="1"/>
    <xf numFmtId="0" fontId="11" fillId="2" borderId="2" xfId="0" applyFont="1" applyFill="1" applyBorder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164" fontId="2" fillId="2" borderId="0" xfId="1" applyNumberFormat="1" applyFont="1" applyFill="1" applyBorder="1" applyAlignment="1">
      <alignment horizontal="center" vertical="center"/>
    </xf>
    <xf numFmtId="164" fontId="2" fillId="2" borderId="0" xfId="1" applyNumberFormat="1" applyFont="1" applyFill="1" applyBorder="1" applyAlignment="1">
      <alignment vertical="center"/>
    </xf>
    <xf numFmtId="0" fontId="7" fillId="2" borderId="0" xfId="0" applyFont="1" applyFill="1" applyAlignment="1">
      <alignment horizontal="right"/>
    </xf>
    <xf numFmtId="0" fontId="3" fillId="2" borderId="0" xfId="0" applyFont="1" applyFill="1"/>
    <xf numFmtId="0" fontId="11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3" fontId="8" fillId="2" borderId="0" xfId="2" applyNumberFormat="1" applyFont="1" applyFill="1" applyAlignment="1">
      <alignment vertical="center"/>
    </xf>
    <xf numFmtId="164" fontId="0" fillId="2" borderId="0" xfId="1" applyNumberFormat="1" applyFont="1" applyFill="1" applyBorder="1" applyAlignment="1">
      <alignment vertical="center"/>
    </xf>
    <xf numFmtId="0" fontId="10" fillId="2" borderId="0" xfId="0" applyFont="1" applyFill="1" applyAlignment="1">
      <alignment horizontal="right" vertical="center"/>
    </xf>
    <xf numFmtId="1" fontId="0" fillId="2" borderId="0" xfId="0" applyNumberFormat="1" applyFill="1" applyAlignment="1">
      <alignment vertical="center"/>
    </xf>
    <xf numFmtId="0" fontId="4" fillId="2" borderId="0" xfId="0" applyFont="1" applyFill="1" applyAlignment="1">
      <alignment vertical="center" wrapText="1"/>
    </xf>
    <xf numFmtId="1" fontId="0" fillId="2" borderId="0" xfId="0" applyNumberFormat="1" applyFill="1" applyAlignment="1">
      <alignment horizontal="left" vertical="center" indent="7"/>
    </xf>
    <xf numFmtId="0" fontId="12" fillId="2" borderId="0" xfId="0" applyFont="1" applyFill="1" applyAlignment="1">
      <alignment horizontal="right" readingOrder="2"/>
    </xf>
    <xf numFmtId="0" fontId="0" fillId="2" borderId="0" xfId="0" applyFill="1" applyAlignment="1">
      <alignment horizontal="left" vertical="center"/>
    </xf>
    <xf numFmtId="164" fontId="0" fillId="2" borderId="1" xfId="1" applyNumberFormat="1" applyFont="1" applyFill="1" applyBorder="1" applyAlignment="1">
      <alignment vertical="center"/>
    </xf>
    <xf numFmtId="0" fontId="13" fillId="2" borderId="0" xfId="0" applyFont="1" applyFill="1"/>
    <xf numFmtId="0" fontId="8" fillId="2" borderId="0" xfId="0" applyFont="1" applyFill="1" applyAlignment="1">
      <alignment horizontal="center"/>
    </xf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/>
    </xf>
    <xf numFmtId="164" fontId="0" fillId="2" borderId="0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vertical="center"/>
    </xf>
    <xf numFmtId="0" fontId="10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readingOrder="2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</cellXfs>
  <cellStyles count="10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Normal 2" xfId="6" xr:uid="{00000000-0005-0000-0000-000005000000}"/>
    <cellStyle name="Normal 2 2" xfId="8" xr:uid="{00000000-0005-0000-0000-000006000000}"/>
    <cellStyle name="Normal 2 3" xfId="9" xr:uid="{00000000-0005-0000-0000-000007000000}"/>
    <cellStyle name="Normal 3" xfId="5" xr:uid="{00000000-0005-0000-0000-000008000000}"/>
    <cellStyle name="Normal 3 2" xfId="7" xr:uid="{00000000-0005-0000-0000-000009000000}"/>
    <cellStyle name="Normal_II-15(Population) 2" xfId="2" xr:uid="{00000000-0005-0000-0000-00000B000000}"/>
  </cellStyles>
  <dxfs count="0"/>
  <tableStyles count="0" defaultTableStyle="TableStyleMedium2" defaultPivotStyle="PivotStyleLight16"/>
  <colors>
    <mruColors>
      <color rgb="FF004442"/>
      <color rgb="FFEFFFFF"/>
      <color rgb="FF00A29E"/>
      <color rgb="FFFFCC66"/>
      <color rgb="FFE7FFFF"/>
      <color rgb="FFD9FFFF"/>
      <color rgb="FFA7FFFF"/>
      <color rgb="FFF6ECE2"/>
      <color rgb="FFE1C2A3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M101"/>
  <sheetViews>
    <sheetView tabSelected="1" zoomScaleNormal="100" workbookViewId="0">
      <selection activeCell="U21" sqref="U21"/>
    </sheetView>
  </sheetViews>
  <sheetFormatPr defaultColWidth="9.140625" defaultRowHeight="15" x14ac:dyDescent="0.25"/>
  <cols>
    <col min="1" max="1" width="4.28515625" style="29" customWidth="1"/>
    <col min="2" max="2" width="5.7109375" style="1" customWidth="1"/>
    <col min="3" max="3" width="30.28515625" style="1" customWidth="1"/>
    <col min="4" max="4" width="3.85546875" style="1" customWidth="1"/>
    <col min="5" max="5" width="14.42578125" style="42" customWidth="1"/>
    <col min="6" max="6" width="16" style="42" customWidth="1"/>
    <col min="7" max="7" width="14.140625" style="1" customWidth="1"/>
    <col min="8" max="8" width="14.5703125" style="1" customWidth="1"/>
    <col min="9" max="9" width="23.85546875" style="1" customWidth="1"/>
    <col min="10" max="10" width="5.28515625" style="1" customWidth="1"/>
    <col min="11" max="11" width="4.140625" style="32" customWidth="1"/>
    <col min="12" max="12" width="11.5703125" style="1" bestFit="1" customWidth="1"/>
    <col min="13" max="16384" width="9.140625" style="1"/>
  </cols>
  <sheetData>
    <row r="1" spans="1:13" ht="21" x14ac:dyDescent="0.55000000000000004">
      <c r="A1" s="59" t="s">
        <v>225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3" x14ac:dyDescent="0.25">
      <c r="A2" s="53" t="s">
        <v>224</v>
      </c>
      <c r="B2" s="53"/>
      <c r="C2" s="53"/>
      <c r="D2" s="53"/>
      <c r="E2" s="53"/>
      <c r="F2" s="53"/>
      <c r="G2" s="53"/>
      <c r="H2" s="53"/>
      <c r="I2" s="53"/>
      <c r="J2" s="53"/>
      <c r="K2" s="53"/>
    </row>
    <row r="4" spans="1:13" ht="30" x14ac:dyDescent="0.25">
      <c r="A4" s="47"/>
      <c r="B4" s="57" t="s">
        <v>50</v>
      </c>
      <c r="C4" s="54" t="s">
        <v>51</v>
      </c>
      <c r="D4" s="46"/>
      <c r="E4" s="11" t="s">
        <v>52</v>
      </c>
      <c r="F4" s="11" t="s">
        <v>2</v>
      </c>
      <c r="G4" s="11" t="s">
        <v>3</v>
      </c>
      <c r="H4" s="14" t="s">
        <v>4</v>
      </c>
      <c r="I4" s="55" t="s">
        <v>53</v>
      </c>
      <c r="J4" s="55" t="s">
        <v>54</v>
      </c>
      <c r="K4" s="60"/>
    </row>
    <row r="5" spans="1:13" s="2" customFormat="1" ht="63" x14ac:dyDescent="0.25">
      <c r="A5" s="48"/>
      <c r="B5" s="58"/>
      <c r="C5" s="52"/>
      <c r="D5" s="44"/>
      <c r="E5" s="45" t="s">
        <v>55</v>
      </c>
      <c r="F5" s="45" t="s">
        <v>5</v>
      </c>
      <c r="G5" s="45" t="s">
        <v>6</v>
      </c>
      <c r="H5" s="15" t="s">
        <v>7</v>
      </c>
      <c r="I5" s="56"/>
      <c r="J5" s="56"/>
      <c r="K5" s="61"/>
    </row>
    <row r="6" spans="1:13" s="5" customFormat="1" ht="21" x14ac:dyDescent="0.55000000000000004">
      <c r="A6" s="49"/>
      <c r="B6" s="16"/>
      <c r="C6" s="17" t="s">
        <v>8</v>
      </c>
      <c r="D6" s="17"/>
      <c r="E6" s="18">
        <f>SUM(E10:E96)</f>
        <v>361556</v>
      </c>
      <c r="F6" s="18">
        <f>SUM(F10:F96)</f>
        <v>264442</v>
      </c>
      <c r="G6" s="18">
        <f>SUM(G10:G96)</f>
        <v>215053</v>
      </c>
      <c r="H6" s="19">
        <f>(G6/F6)*100</f>
        <v>81.323314753329655</v>
      </c>
      <c r="I6" s="20" t="s">
        <v>9</v>
      </c>
      <c r="J6" s="21"/>
      <c r="K6" s="22"/>
    </row>
    <row r="7" spans="1:13" s="5" customFormat="1" ht="21" x14ac:dyDescent="0.55000000000000004">
      <c r="A7" s="23"/>
      <c r="C7" s="4" t="s">
        <v>56</v>
      </c>
      <c r="D7" s="4"/>
      <c r="E7" s="24">
        <f>SUM(E82:E96)</f>
        <v>72294</v>
      </c>
      <c r="F7" s="24">
        <f>SUM(F82:F96)</f>
        <v>48781</v>
      </c>
      <c r="G7" s="24">
        <f>SUM(G82:G96)</f>
        <v>31644</v>
      </c>
      <c r="H7" s="25">
        <f>(G7/F7)*100</f>
        <v>64.869518870051863</v>
      </c>
      <c r="I7" s="26" t="s">
        <v>57</v>
      </c>
      <c r="J7" s="27"/>
      <c r="K7" s="28"/>
    </row>
    <row r="8" spans="1:13" s="5" customFormat="1" ht="21" x14ac:dyDescent="0.55000000000000004">
      <c r="A8" s="23"/>
      <c r="C8" s="4" t="s">
        <v>58</v>
      </c>
      <c r="D8" s="4"/>
      <c r="E8" s="24">
        <f>SUM(E10:E81)</f>
        <v>289262</v>
      </c>
      <c r="F8" s="24">
        <f>SUM(F10:F81)</f>
        <v>215661</v>
      </c>
      <c r="G8" s="24">
        <f>SUM(G10:G81)</f>
        <v>183409</v>
      </c>
      <c r="H8" s="25">
        <f>(G8/F8)*100</f>
        <v>85.045047551481261</v>
      </c>
      <c r="I8" s="26" t="s">
        <v>59</v>
      </c>
      <c r="J8" s="27"/>
      <c r="K8" s="28"/>
    </row>
    <row r="9" spans="1:13" ht="3.75" customHeight="1" x14ac:dyDescent="0.55000000000000004">
      <c r="C9" s="30"/>
      <c r="D9" s="30"/>
      <c r="E9" s="43"/>
      <c r="F9" s="43"/>
      <c r="G9" s="43"/>
      <c r="H9" s="31"/>
      <c r="J9" s="8"/>
    </row>
    <row r="10" spans="1:13" ht="21" x14ac:dyDescent="0.55000000000000004">
      <c r="A10" s="29">
        <v>1</v>
      </c>
      <c r="B10" s="1" t="s">
        <v>10</v>
      </c>
      <c r="C10" s="3" t="s">
        <v>60</v>
      </c>
      <c r="D10" s="3"/>
      <c r="E10" s="43">
        <v>4477</v>
      </c>
      <c r="F10" s="43">
        <v>3423</v>
      </c>
      <c r="G10" s="43">
        <v>3116</v>
      </c>
      <c r="H10" s="33">
        <f>(G10/F10)*100</f>
        <v>91.031259129418643</v>
      </c>
      <c r="I10" s="8" t="s">
        <v>61</v>
      </c>
      <c r="J10" s="8" t="s">
        <v>11</v>
      </c>
      <c r="K10" s="32">
        <v>1</v>
      </c>
    </row>
    <row r="11" spans="1:13" ht="21" x14ac:dyDescent="0.55000000000000004">
      <c r="A11" s="29">
        <v>2</v>
      </c>
      <c r="B11" s="1" t="s">
        <v>10</v>
      </c>
      <c r="C11" s="3" t="s">
        <v>62</v>
      </c>
      <c r="D11" s="3"/>
      <c r="E11" s="43">
        <v>4354</v>
      </c>
      <c r="F11" s="43">
        <v>3189</v>
      </c>
      <c r="G11" s="43">
        <v>2871</v>
      </c>
      <c r="H11" s="33">
        <f>(G11/F11)*100</f>
        <v>90.028222013170279</v>
      </c>
      <c r="I11" s="8" t="s">
        <v>63</v>
      </c>
      <c r="J11" s="8" t="s">
        <v>11</v>
      </c>
      <c r="K11" s="32">
        <v>2</v>
      </c>
    </row>
    <row r="12" spans="1:13" ht="21" x14ac:dyDescent="0.55000000000000004">
      <c r="A12" s="29">
        <v>3</v>
      </c>
      <c r="B12" s="1" t="s">
        <v>10</v>
      </c>
      <c r="C12" s="3" t="s">
        <v>64</v>
      </c>
      <c r="D12" s="3"/>
      <c r="E12" s="43">
        <v>4549</v>
      </c>
      <c r="F12" s="43">
        <v>3322</v>
      </c>
      <c r="G12" s="43">
        <v>3070</v>
      </c>
      <c r="H12" s="33">
        <f t="shared" ref="H12:H75" si="0">(G12/F12)*100</f>
        <v>92.41420830824805</v>
      </c>
      <c r="I12" s="34" t="s">
        <v>226</v>
      </c>
      <c r="J12" s="8" t="s">
        <v>11</v>
      </c>
      <c r="K12" s="32">
        <v>3</v>
      </c>
      <c r="M12" s="35"/>
    </row>
    <row r="13" spans="1:13" ht="21" x14ac:dyDescent="0.55000000000000004">
      <c r="A13" s="29">
        <v>4</v>
      </c>
      <c r="B13" s="1" t="s">
        <v>10</v>
      </c>
      <c r="C13" s="3" t="s">
        <v>65</v>
      </c>
      <c r="D13" s="3"/>
      <c r="E13" s="43">
        <v>3983</v>
      </c>
      <c r="F13" s="43">
        <v>2918</v>
      </c>
      <c r="G13" s="43">
        <v>2618</v>
      </c>
      <c r="H13" s="33">
        <f t="shared" si="0"/>
        <v>89.718985606579849</v>
      </c>
      <c r="I13" s="8" t="s">
        <v>66</v>
      </c>
      <c r="J13" s="8" t="s">
        <v>11</v>
      </c>
      <c r="K13" s="32">
        <v>4</v>
      </c>
    </row>
    <row r="14" spans="1:13" ht="21" x14ac:dyDescent="0.55000000000000004">
      <c r="A14" s="29">
        <v>5</v>
      </c>
      <c r="B14" s="1" t="s">
        <v>10</v>
      </c>
      <c r="C14" s="3" t="s">
        <v>67</v>
      </c>
      <c r="D14" s="3"/>
      <c r="E14" s="43">
        <v>4145</v>
      </c>
      <c r="F14" s="43">
        <v>3056</v>
      </c>
      <c r="G14" s="43">
        <v>2518</v>
      </c>
      <c r="H14" s="33">
        <f t="shared" si="0"/>
        <v>82.395287958115176</v>
      </c>
      <c r="I14" s="8" t="s">
        <v>68</v>
      </c>
      <c r="J14" s="8" t="s">
        <v>11</v>
      </c>
      <c r="K14" s="32">
        <v>5</v>
      </c>
    </row>
    <row r="15" spans="1:13" ht="21" x14ac:dyDescent="0.55000000000000004">
      <c r="A15" s="29">
        <v>6</v>
      </c>
      <c r="B15" s="1" t="s">
        <v>12</v>
      </c>
      <c r="C15" s="3" t="s">
        <v>69</v>
      </c>
      <c r="D15" s="3"/>
      <c r="E15" s="43">
        <v>3816</v>
      </c>
      <c r="F15" s="43">
        <v>2956</v>
      </c>
      <c r="G15" s="43">
        <v>2549</v>
      </c>
      <c r="H15" s="33">
        <f t="shared" si="0"/>
        <v>86.231393775372126</v>
      </c>
      <c r="I15" s="8" t="s">
        <v>70</v>
      </c>
      <c r="J15" s="8" t="s">
        <v>13</v>
      </c>
      <c r="K15" s="32">
        <v>6</v>
      </c>
    </row>
    <row r="16" spans="1:13" ht="21" x14ac:dyDescent="0.55000000000000004">
      <c r="A16" s="29">
        <v>7</v>
      </c>
      <c r="B16" s="1" t="s">
        <v>12</v>
      </c>
      <c r="C16" s="3" t="s">
        <v>71</v>
      </c>
      <c r="D16" s="3"/>
      <c r="E16" s="43">
        <v>4186</v>
      </c>
      <c r="F16" s="43">
        <v>3112</v>
      </c>
      <c r="G16" s="43">
        <v>2421</v>
      </c>
      <c r="H16" s="33">
        <f t="shared" si="0"/>
        <v>77.795629820051417</v>
      </c>
      <c r="I16" s="8" t="s">
        <v>72</v>
      </c>
      <c r="J16" s="8" t="s">
        <v>13</v>
      </c>
      <c r="K16" s="32">
        <v>7</v>
      </c>
    </row>
    <row r="17" spans="1:11" ht="21" x14ac:dyDescent="0.55000000000000004">
      <c r="A17" s="29">
        <v>8</v>
      </c>
      <c r="B17" s="1" t="s">
        <v>12</v>
      </c>
      <c r="C17" s="3" t="s">
        <v>73</v>
      </c>
      <c r="D17" s="3"/>
      <c r="E17" s="43">
        <v>3712</v>
      </c>
      <c r="F17" s="43">
        <v>2736</v>
      </c>
      <c r="G17" s="43">
        <v>2324</v>
      </c>
      <c r="H17" s="33">
        <f t="shared" si="0"/>
        <v>84.941520467836256</v>
      </c>
      <c r="I17" s="8" t="s">
        <v>74</v>
      </c>
      <c r="J17" s="8" t="s">
        <v>13</v>
      </c>
      <c r="K17" s="32">
        <v>8</v>
      </c>
    </row>
    <row r="18" spans="1:11" ht="21" x14ac:dyDescent="0.55000000000000004">
      <c r="A18" s="29">
        <v>9</v>
      </c>
      <c r="B18" s="1" t="s">
        <v>12</v>
      </c>
      <c r="C18" s="3" t="s">
        <v>75</v>
      </c>
      <c r="D18" s="3"/>
      <c r="E18" s="43">
        <v>4652</v>
      </c>
      <c r="F18" s="43">
        <v>3423</v>
      </c>
      <c r="G18" s="43">
        <v>2622</v>
      </c>
      <c r="H18" s="33">
        <f t="shared" si="0"/>
        <v>76.599474145486411</v>
      </c>
      <c r="I18" s="8" t="s">
        <v>76</v>
      </c>
      <c r="J18" s="8" t="s">
        <v>13</v>
      </c>
      <c r="K18" s="32">
        <v>9</v>
      </c>
    </row>
    <row r="19" spans="1:11" ht="21" x14ac:dyDescent="0.55000000000000004">
      <c r="A19" s="29">
        <v>10</v>
      </c>
      <c r="B19" s="1" t="s">
        <v>12</v>
      </c>
      <c r="C19" s="3" t="s">
        <v>77</v>
      </c>
      <c r="D19" s="3"/>
      <c r="E19" s="43">
        <v>4363</v>
      </c>
      <c r="F19" s="43">
        <v>3199</v>
      </c>
      <c r="G19" s="43">
        <v>2275</v>
      </c>
      <c r="H19" s="33">
        <f t="shared" si="0"/>
        <v>71.115973741794321</v>
      </c>
      <c r="I19" s="8" t="s">
        <v>78</v>
      </c>
      <c r="J19" s="8" t="s">
        <v>13</v>
      </c>
      <c r="K19" s="32">
        <v>10</v>
      </c>
    </row>
    <row r="20" spans="1:11" ht="21" x14ac:dyDescent="0.55000000000000004">
      <c r="A20" s="29">
        <v>11</v>
      </c>
      <c r="B20" s="1" t="s">
        <v>12</v>
      </c>
      <c r="C20" s="3" t="s">
        <v>79</v>
      </c>
      <c r="D20" s="3"/>
      <c r="E20" s="43">
        <v>4366</v>
      </c>
      <c r="F20" s="43">
        <v>3257</v>
      </c>
      <c r="G20" s="43">
        <v>2786</v>
      </c>
      <c r="H20" s="33">
        <f t="shared" si="0"/>
        <v>85.538839422781692</v>
      </c>
      <c r="I20" s="8" t="s">
        <v>80</v>
      </c>
      <c r="J20" s="8" t="s">
        <v>13</v>
      </c>
      <c r="K20" s="32">
        <v>11</v>
      </c>
    </row>
    <row r="21" spans="1:11" ht="21" x14ac:dyDescent="0.55000000000000004">
      <c r="A21" s="29">
        <v>12</v>
      </c>
      <c r="B21" s="1" t="s">
        <v>14</v>
      </c>
      <c r="C21" s="3" t="s">
        <v>81</v>
      </c>
      <c r="D21" s="3"/>
      <c r="E21" s="43">
        <v>4413</v>
      </c>
      <c r="F21" s="43">
        <v>3294</v>
      </c>
      <c r="G21" s="43">
        <v>2841</v>
      </c>
      <c r="H21" s="33">
        <f t="shared" si="0"/>
        <v>86.247723132969028</v>
      </c>
      <c r="I21" s="8" t="s">
        <v>82</v>
      </c>
      <c r="J21" s="8" t="s">
        <v>15</v>
      </c>
      <c r="K21" s="32">
        <v>12</v>
      </c>
    </row>
    <row r="22" spans="1:11" ht="21" x14ac:dyDescent="0.55000000000000004">
      <c r="A22" s="29">
        <v>13</v>
      </c>
      <c r="B22" s="1" t="s">
        <v>14</v>
      </c>
      <c r="C22" s="3" t="s">
        <v>83</v>
      </c>
      <c r="D22" s="3"/>
      <c r="E22" s="43">
        <v>3877</v>
      </c>
      <c r="F22" s="43">
        <v>2873</v>
      </c>
      <c r="G22" s="43">
        <v>2683</v>
      </c>
      <c r="H22" s="33">
        <f t="shared" si="0"/>
        <v>93.38670379394361</v>
      </c>
      <c r="I22" s="8" t="s">
        <v>84</v>
      </c>
      <c r="J22" s="8" t="s">
        <v>15</v>
      </c>
      <c r="K22" s="32">
        <v>13</v>
      </c>
    </row>
    <row r="23" spans="1:11" ht="21" x14ac:dyDescent="0.55000000000000004">
      <c r="A23" s="29">
        <v>14</v>
      </c>
      <c r="B23" s="1" t="s">
        <v>14</v>
      </c>
      <c r="C23" s="3" t="s">
        <v>85</v>
      </c>
      <c r="D23" s="3"/>
      <c r="E23" s="43">
        <v>4330</v>
      </c>
      <c r="F23" s="43">
        <v>3217</v>
      </c>
      <c r="G23" s="43">
        <v>2825</v>
      </c>
      <c r="H23" s="33">
        <f t="shared" si="0"/>
        <v>87.814734224432698</v>
      </c>
      <c r="I23" s="8" t="s">
        <v>86</v>
      </c>
      <c r="J23" s="8" t="s">
        <v>15</v>
      </c>
      <c r="K23" s="32">
        <v>14</v>
      </c>
    </row>
    <row r="24" spans="1:11" ht="21" x14ac:dyDescent="0.55000000000000004">
      <c r="A24" s="29">
        <v>15</v>
      </c>
      <c r="B24" s="1" t="s">
        <v>14</v>
      </c>
      <c r="C24" s="3" t="s">
        <v>87</v>
      </c>
      <c r="D24" s="3"/>
      <c r="E24" s="43">
        <v>4203</v>
      </c>
      <c r="F24" s="43">
        <v>3093</v>
      </c>
      <c r="G24" s="43">
        <v>2662</v>
      </c>
      <c r="H24" s="33">
        <f t="shared" si="0"/>
        <v>86.065308761720019</v>
      </c>
      <c r="I24" s="8" t="s">
        <v>88</v>
      </c>
      <c r="J24" s="8" t="s">
        <v>15</v>
      </c>
      <c r="K24" s="32">
        <v>15</v>
      </c>
    </row>
    <row r="25" spans="1:11" ht="21" x14ac:dyDescent="0.55000000000000004">
      <c r="A25" s="29">
        <v>16</v>
      </c>
      <c r="B25" s="1" t="s">
        <v>16</v>
      </c>
      <c r="C25" s="3" t="s">
        <v>89</v>
      </c>
      <c r="D25" s="3"/>
      <c r="E25" s="43">
        <v>4039</v>
      </c>
      <c r="F25" s="43">
        <v>3045</v>
      </c>
      <c r="G25" s="43">
        <v>2768</v>
      </c>
      <c r="H25" s="33">
        <f t="shared" si="0"/>
        <v>90.903119868637106</v>
      </c>
      <c r="I25" s="8" t="s">
        <v>90</v>
      </c>
      <c r="J25" s="8" t="s">
        <v>17</v>
      </c>
      <c r="K25" s="32">
        <v>16</v>
      </c>
    </row>
    <row r="26" spans="1:11" ht="21" x14ac:dyDescent="0.55000000000000004">
      <c r="A26" s="29">
        <v>17</v>
      </c>
      <c r="B26" s="1" t="s">
        <v>16</v>
      </c>
      <c r="C26" s="3" t="s">
        <v>91</v>
      </c>
      <c r="D26" s="3"/>
      <c r="E26" s="43">
        <v>3924</v>
      </c>
      <c r="F26" s="43">
        <v>2945</v>
      </c>
      <c r="G26" s="43">
        <v>2501</v>
      </c>
      <c r="H26" s="33">
        <f t="shared" si="0"/>
        <v>84.923599320882843</v>
      </c>
      <c r="I26" s="8" t="s">
        <v>92</v>
      </c>
      <c r="J26" s="8" t="s">
        <v>17</v>
      </c>
      <c r="K26" s="32">
        <v>17</v>
      </c>
    </row>
    <row r="27" spans="1:11" ht="21" x14ac:dyDescent="0.55000000000000004">
      <c r="A27" s="29">
        <v>18</v>
      </c>
      <c r="B27" s="1" t="s">
        <v>16</v>
      </c>
      <c r="C27" s="3" t="s">
        <v>93</v>
      </c>
      <c r="D27" s="3"/>
      <c r="E27" s="43">
        <v>3760</v>
      </c>
      <c r="F27" s="43">
        <v>2889</v>
      </c>
      <c r="G27" s="43">
        <v>2585</v>
      </c>
      <c r="H27" s="33">
        <f t="shared" si="0"/>
        <v>89.477327795084804</v>
      </c>
      <c r="I27" s="8" t="s">
        <v>94</v>
      </c>
      <c r="J27" s="8" t="s">
        <v>17</v>
      </c>
      <c r="K27" s="32">
        <v>18</v>
      </c>
    </row>
    <row r="28" spans="1:11" ht="21" x14ac:dyDescent="0.55000000000000004">
      <c r="A28" s="29">
        <v>19</v>
      </c>
      <c r="B28" s="1" t="s">
        <v>16</v>
      </c>
      <c r="C28" s="3" t="s">
        <v>95</v>
      </c>
      <c r="D28" s="3"/>
      <c r="E28" s="43">
        <v>3927</v>
      </c>
      <c r="F28" s="43">
        <v>2957</v>
      </c>
      <c r="G28" s="43">
        <v>2623</v>
      </c>
      <c r="H28" s="33">
        <f t="shared" si="0"/>
        <v>88.70476834629693</v>
      </c>
      <c r="I28" s="8" t="s">
        <v>96</v>
      </c>
      <c r="J28" s="8" t="s">
        <v>17</v>
      </c>
      <c r="K28" s="32">
        <v>19</v>
      </c>
    </row>
    <row r="29" spans="1:11" ht="21" x14ac:dyDescent="0.55000000000000004">
      <c r="A29" s="29">
        <v>20</v>
      </c>
      <c r="B29" s="1" t="s">
        <v>18</v>
      </c>
      <c r="C29" s="3" t="s">
        <v>97</v>
      </c>
      <c r="D29" s="3"/>
      <c r="E29" s="43">
        <v>4585</v>
      </c>
      <c r="F29" s="43">
        <v>3436</v>
      </c>
      <c r="G29" s="43">
        <v>2799</v>
      </c>
      <c r="H29" s="33">
        <f t="shared" si="0"/>
        <v>81.461001164144349</v>
      </c>
      <c r="I29" s="8" t="s">
        <v>98</v>
      </c>
      <c r="J29" s="8" t="s">
        <v>19</v>
      </c>
      <c r="K29" s="32">
        <v>20</v>
      </c>
    </row>
    <row r="30" spans="1:11" ht="21" x14ac:dyDescent="0.55000000000000004">
      <c r="A30" s="29">
        <v>21</v>
      </c>
      <c r="B30" s="1" t="s">
        <v>18</v>
      </c>
      <c r="C30" s="3" t="s">
        <v>99</v>
      </c>
      <c r="D30" s="3"/>
      <c r="E30" s="43">
        <v>4143</v>
      </c>
      <c r="F30" s="43">
        <v>3074</v>
      </c>
      <c r="G30" s="43">
        <v>2456</v>
      </c>
      <c r="H30" s="33">
        <f t="shared" si="0"/>
        <v>79.895901106050744</v>
      </c>
      <c r="I30" s="8" t="s">
        <v>100</v>
      </c>
      <c r="J30" s="8" t="s">
        <v>19</v>
      </c>
      <c r="K30" s="32">
        <v>21</v>
      </c>
    </row>
    <row r="31" spans="1:11" ht="21" x14ac:dyDescent="0.55000000000000004">
      <c r="A31" s="29">
        <v>22</v>
      </c>
      <c r="B31" s="1" t="s">
        <v>18</v>
      </c>
      <c r="C31" s="3" t="s">
        <v>101</v>
      </c>
      <c r="D31" s="3"/>
      <c r="E31" s="43">
        <v>4378</v>
      </c>
      <c r="F31" s="43">
        <v>3163</v>
      </c>
      <c r="G31" s="43">
        <v>2702</v>
      </c>
      <c r="H31" s="33">
        <f t="shared" si="0"/>
        <v>85.425229212772678</v>
      </c>
      <c r="I31" s="8" t="s">
        <v>102</v>
      </c>
      <c r="J31" s="8" t="s">
        <v>19</v>
      </c>
      <c r="K31" s="32">
        <v>22</v>
      </c>
    </row>
    <row r="32" spans="1:11" ht="21.75" x14ac:dyDescent="0.55000000000000004">
      <c r="A32" s="29">
        <v>23</v>
      </c>
      <c r="B32" s="1" t="s">
        <v>18</v>
      </c>
      <c r="C32" s="3" t="s">
        <v>103</v>
      </c>
      <c r="D32" s="3"/>
      <c r="E32" s="43">
        <v>4404</v>
      </c>
      <c r="F32" s="43">
        <v>3313</v>
      </c>
      <c r="G32" s="43">
        <v>3023</v>
      </c>
      <c r="H32" s="33">
        <f t="shared" si="0"/>
        <v>91.246604286145484</v>
      </c>
      <c r="I32" s="36" t="s">
        <v>104</v>
      </c>
      <c r="J32" s="8" t="s">
        <v>19</v>
      </c>
      <c r="K32" s="32">
        <v>23</v>
      </c>
    </row>
    <row r="33" spans="1:11" ht="21" x14ac:dyDescent="0.55000000000000004">
      <c r="A33" s="29">
        <v>24</v>
      </c>
      <c r="B33" s="1" t="s">
        <v>18</v>
      </c>
      <c r="C33" s="3" t="s">
        <v>105</v>
      </c>
      <c r="D33" s="3"/>
      <c r="E33" s="43">
        <v>4225</v>
      </c>
      <c r="F33" s="43">
        <v>3150</v>
      </c>
      <c r="G33" s="43">
        <v>2734</v>
      </c>
      <c r="H33" s="33">
        <f t="shared" si="0"/>
        <v>86.793650793650784</v>
      </c>
      <c r="I33" s="8" t="s">
        <v>106</v>
      </c>
      <c r="J33" s="8" t="s">
        <v>19</v>
      </c>
      <c r="K33" s="32">
        <v>24</v>
      </c>
    </row>
    <row r="34" spans="1:11" ht="21" x14ac:dyDescent="0.55000000000000004">
      <c r="A34" s="29">
        <v>25</v>
      </c>
      <c r="B34" s="1" t="s">
        <v>20</v>
      </c>
      <c r="C34" s="3" t="s">
        <v>107</v>
      </c>
      <c r="D34" s="3"/>
      <c r="E34" s="43">
        <v>4144</v>
      </c>
      <c r="F34" s="43">
        <v>3215</v>
      </c>
      <c r="G34" s="43">
        <v>2585</v>
      </c>
      <c r="H34" s="33">
        <f t="shared" si="0"/>
        <v>80.404354587869364</v>
      </c>
      <c r="I34" s="8" t="s">
        <v>108</v>
      </c>
      <c r="J34" s="8" t="s">
        <v>21</v>
      </c>
      <c r="K34" s="32">
        <v>25</v>
      </c>
    </row>
    <row r="35" spans="1:11" ht="21" x14ac:dyDescent="0.55000000000000004">
      <c r="A35" s="29">
        <v>26</v>
      </c>
      <c r="B35" s="1" t="s">
        <v>20</v>
      </c>
      <c r="C35" s="3" t="s">
        <v>109</v>
      </c>
      <c r="D35" s="3"/>
      <c r="E35" s="43">
        <v>5063</v>
      </c>
      <c r="F35" s="43">
        <v>3878</v>
      </c>
      <c r="G35" s="43">
        <v>3230</v>
      </c>
      <c r="H35" s="33">
        <f t="shared" si="0"/>
        <v>83.290355853532745</v>
      </c>
      <c r="I35" s="8" t="s">
        <v>110</v>
      </c>
      <c r="J35" s="8" t="s">
        <v>21</v>
      </c>
      <c r="K35" s="32">
        <v>26</v>
      </c>
    </row>
    <row r="36" spans="1:11" ht="21" x14ac:dyDescent="0.55000000000000004">
      <c r="A36" s="29">
        <v>27</v>
      </c>
      <c r="B36" s="1" t="s">
        <v>20</v>
      </c>
      <c r="C36" s="3" t="s">
        <v>111</v>
      </c>
      <c r="D36" s="3"/>
      <c r="E36" s="43">
        <v>4299</v>
      </c>
      <c r="F36" s="43">
        <v>3216</v>
      </c>
      <c r="G36" s="43">
        <v>2609</v>
      </c>
      <c r="H36" s="33">
        <f t="shared" si="0"/>
        <v>81.125621890547265</v>
      </c>
      <c r="I36" s="8" t="s">
        <v>112</v>
      </c>
      <c r="J36" s="8" t="s">
        <v>21</v>
      </c>
      <c r="K36" s="32">
        <v>27</v>
      </c>
    </row>
    <row r="37" spans="1:11" ht="21" x14ac:dyDescent="0.55000000000000004">
      <c r="A37" s="29">
        <v>28</v>
      </c>
      <c r="B37" s="1" t="s">
        <v>22</v>
      </c>
      <c r="C37" s="3" t="s">
        <v>113</v>
      </c>
      <c r="D37" s="3"/>
      <c r="E37" s="43">
        <v>4648</v>
      </c>
      <c r="F37" s="43">
        <v>3697</v>
      </c>
      <c r="G37" s="43">
        <v>3084</v>
      </c>
      <c r="H37" s="33">
        <f t="shared" si="0"/>
        <v>83.418988368947794</v>
      </c>
      <c r="I37" s="8" t="s">
        <v>114</v>
      </c>
      <c r="J37" s="8" t="s">
        <v>23</v>
      </c>
      <c r="K37" s="32">
        <v>28</v>
      </c>
    </row>
    <row r="38" spans="1:11" ht="21" x14ac:dyDescent="0.55000000000000004">
      <c r="A38" s="29">
        <v>29</v>
      </c>
      <c r="B38" s="1" t="s">
        <v>22</v>
      </c>
      <c r="C38" s="3" t="s">
        <v>115</v>
      </c>
      <c r="D38" s="3"/>
      <c r="E38" s="43">
        <v>5082</v>
      </c>
      <c r="F38" s="43">
        <v>3875</v>
      </c>
      <c r="G38" s="43">
        <v>3219</v>
      </c>
      <c r="H38" s="33">
        <f t="shared" si="0"/>
        <v>83.07096774193549</v>
      </c>
      <c r="I38" s="8" t="s">
        <v>116</v>
      </c>
      <c r="J38" s="8" t="s">
        <v>23</v>
      </c>
      <c r="K38" s="32">
        <v>29</v>
      </c>
    </row>
    <row r="39" spans="1:11" ht="21" x14ac:dyDescent="0.55000000000000004">
      <c r="A39" s="29">
        <v>30</v>
      </c>
      <c r="B39" s="1" t="s">
        <v>22</v>
      </c>
      <c r="C39" s="3" t="s">
        <v>117</v>
      </c>
      <c r="D39" s="3"/>
      <c r="E39" s="43">
        <v>2618</v>
      </c>
      <c r="F39" s="43">
        <v>1987</v>
      </c>
      <c r="G39" s="43">
        <v>1834</v>
      </c>
      <c r="H39" s="33">
        <f t="shared" si="0"/>
        <v>92.29994967287368</v>
      </c>
      <c r="I39" s="8" t="s">
        <v>118</v>
      </c>
      <c r="J39" s="8" t="s">
        <v>23</v>
      </c>
      <c r="K39" s="32">
        <v>30</v>
      </c>
    </row>
    <row r="40" spans="1:11" ht="21" x14ac:dyDescent="0.55000000000000004">
      <c r="A40" s="29">
        <v>31</v>
      </c>
      <c r="B40" s="1" t="s">
        <v>24</v>
      </c>
      <c r="C40" s="3" t="s">
        <v>119</v>
      </c>
      <c r="D40" s="3"/>
      <c r="E40" s="43">
        <v>3551</v>
      </c>
      <c r="F40" s="43">
        <v>2615</v>
      </c>
      <c r="G40" s="43">
        <v>2384</v>
      </c>
      <c r="H40" s="33">
        <f t="shared" si="0"/>
        <v>91.166347992351817</v>
      </c>
      <c r="I40" s="8" t="s">
        <v>120</v>
      </c>
      <c r="J40" s="8" t="s">
        <v>25</v>
      </c>
      <c r="K40" s="32">
        <v>31</v>
      </c>
    </row>
    <row r="41" spans="1:11" ht="21" x14ac:dyDescent="0.55000000000000004">
      <c r="A41" s="29">
        <v>32</v>
      </c>
      <c r="B41" s="1" t="s">
        <v>24</v>
      </c>
      <c r="C41" s="3" t="s">
        <v>121</v>
      </c>
      <c r="D41" s="3"/>
      <c r="E41" s="43">
        <v>4545</v>
      </c>
      <c r="F41" s="43">
        <v>3461</v>
      </c>
      <c r="G41" s="43">
        <v>3026</v>
      </c>
      <c r="H41" s="33">
        <f t="shared" si="0"/>
        <v>87.4313782143889</v>
      </c>
      <c r="I41" s="8" t="s">
        <v>122</v>
      </c>
      <c r="J41" s="8" t="s">
        <v>25</v>
      </c>
      <c r="K41" s="32">
        <v>32</v>
      </c>
    </row>
    <row r="42" spans="1:11" ht="21" x14ac:dyDescent="0.55000000000000004">
      <c r="A42" s="29">
        <v>33</v>
      </c>
      <c r="B42" s="1" t="s">
        <v>24</v>
      </c>
      <c r="C42" s="3" t="s">
        <v>123</v>
      </c>
      <c r="D42" s="3"/>
      <c r="E42" s="43">
        <v>4202</v>
      </c>
      <c r="F42" s="43">
        <v>3139</v>
      </c>
      <c r="G42" s="43">
        <v>2636</v>
      </c>
      <c r="H42" s="33">
        <f t="shared" si="0"/>
        <v>83.975788467664856</v>
      </c>
      <c r="I42" s="8" t="s">
        <v>124</v>
      </c>
      <c r="J42" s="8" t="s">
        <v>25</v>
      </c>
      <c r="K42" s="32">
        <v>33</v>
      </c>
    </row>
    <row r="43" spans="1:11" ht="21" x14ac:dyDescent="0.55000000000000004">
      <c r="A43" s="29">
        <v>34</v>
      </c>
      <c r="B43" s="1" t="s">
        <v>26</v>
      </c>
      <c r="C43" s="3" t="s">
        <v>125</v>
      </c>
      <c r="D43" s="3"/>
      <c r="E43" s="43">
        <v>3728</v>
      </c>
      <c r="F43" s="43">
        <v>2725</v>
      </c>
      <c r="G43" s="43">
        <v>2292</v>
      </c>
      <c r="H43" s="33">
        <f t="shared" si="0"/>
        <v>84.11009174311927</v>
      </c>
      <c r="I43" s="8" t="s">
        <v>126</v>
      </c>
      <c r="J43" s="8" t="s">
        <v>27</v>
      </c>
      <c r="K43" s="32">
        <v>34</v>
      </c>
    </row>
    <row r="44" spans="1:11" ht="21" x14ac:dyDescent="0.55000000000000004">
      <c r="A44" s="29">
        <v>35</v>
      </c>
      <c r="B44" s="1" t="s">
        <v>26</v>
      </c>
      <c r="C44" s="3" t="s">
        <v>127</v>
      </c>
      <c r="D44" s="3"/>
      <c r="E44" s="43">
        <v>3811</v>
      </c>
      <c r="F44" s="43">
        <v>2711</v>
      </c>
      <c r="G44" s="43">
        <v>2326</v>
      </c>
      <c r="H44" s="33">
        <f t="shared" si="0"/>
        <v>85.798598303209147</v>
      </c>
      <c r="I44" s="8" t="s">
        <v>128</v>
      </c>
      <c r="J44" s="8" t="s">
        <v>27</v>
      </c>
      <c r="K44" s="32">
        <v>35</v>
      </c>
    </row>
    <row r="45" spans="1:11" ht="21" x14ac:dyDescent="0.55000000000000004">
      <c r="A45" s="29">
        <v>36</v>
      </c>
      <c r="B45" s="1" t="s">
        <v>28</v>
      </c>
      <c r="C45" s="3" t="s">
        <v>129</v>
      </c>
      <c r="D45" s="3"/>
      <c r="E45" s="43">
        <v>3647</v>
      </c>
      <c r="F45" s="43">
        <v>2724</v>
      </c>
      <c r="G45" s="43">
        <v>2295</v>
      </c>
      <c r="H45" s="33">
        <f t="shared" si="0"/>
        <v>84.251101321585907</v>
      </c>
      <c r="I45" s="8" t="s">
        <v>130</v>
      </c>
      <c r="J45" s="8" t="s">
        <v>29</v>
      </c>
      <c r="K45" s="32">
        <v>36</v>
      </c>
    </row>
    <row r="46" spans="1:11" ht="21" x14ac:dyDescent="0.55000000000000004">
      <c r="A46" s="29">
        <v>37</v>
      </c>
      <c r="B46" s="1" t="s">
        <v>28</v>
      </c>
      <c r="C46" s="3" t="s">
        <v>131</v>
      </c>
      <c r="D46" s="3"/>
      <c r="E46" s="43">
        <v>3480</v>
      </c>
      <c r="F46" s="43">
        <v>2530</v>
      </c>
      <c r="G46" s="43">
        <v>2307</v>
      </c>
      <c r="H46" s="33">
        <f t="shared" si="0"/>
        <v>91.185770750988141</v>
      </c>
      <c r="I46" s="8" t="s">
        <v>132</v>
      </c>
      <c r="J46" s="8" t="s">
        <v>29</v>
      </c>
      <c r="K46" s="32">
        <v>37</v>
      </c>
    </row>
    <row r="47" spans="1:11" ht="21" x14ac:dyDescent="0.55000000000000004">
      <c r="A47" s="29">
        <v>38</v>
      </c>
      <c r="B47" s="1" t="s">
        <v>28</v>
      </c>
      <c r="C47" s="3" t="s">
        <v>133</v>
      </c>
      <c r="D47" s="3"/>
      <c r="E47" s="43">
        <v>3201</v>
      </c>
      <c r="F47" s="43">
        <v>2349</v>
      </c>
      <c r="G47" s="43">
        <v>2094</v>
      </c>
      <c r="H47" s="33">
        <f t="shared" si="0"/>
        <v>89.144316730523627</v>
      </c>
      <c r="I47" s="8" t="s">
        <v>134</v>
      </c>
      <c r="J47" s="8" t="s">
        <v>29</v>
      </c>
      <c r="K47" s="32">
        <v>38</v>
      </c>
    </row>
    <row r="48" spans="1:11" ht="21" x14ac:dyDescent="0.55000000000000004">
      <c r="A48" s="29">
        <v>39</v>
      </c>
      <c r="B48" s="1" t="s">
        <v>30</v>
      </c>
      <c r="C48" s="3" t="s">
        <v>135</v>
      </c>
      <c r="D48" s="3"/>
      <c r="E48" s="43">
        <v>1285</v>
      </c>
      <c r="F48" s="43">
        <v>988</v>
      </c>
      <c r="G48" s="43">
        <v>923</v>
      </c>
      <c r="H48" s="33">
        <f t="shared" si="0"/>
        <v>93.421052631578945</v>
      </c>
      <c r="I48" s="8" t="s">
        <v>136</v>
      </c>
      <c r="J48" s="8" t="s">
        <v>31</v>
      </c>
      <c r="K48" s="32">
        <v>39</v>
      </c>
    </row>
    <row r="49" spans="1:11" ht="21" x14ac:dyDescent="0.55000000000000004">
      <c r="A49" s="29">
        <v>40</v>
      </c>
      <c r="B49" s="1" t="s">
        <v>30</v>
      </c>
      <c r="C49" s="3" t="s">
        <v>137</v>
      </c>
      <c r="D49" s="3"/>
      <c r="E49" s="43">
        <v>1161</v>
      </c>
      <c r="F49" s="43">
        <v>877</v>
      </c>
      <c r="G49" s="43">
        <v>785</v>
      </c>
      <c r="H49" s="33">
        <f t="shared" si="0"/>
        <v>89.509692132269109</v>
      </c>
      <c r="I49" s="8" t="s">
        <v>138</v>
      </c>
      <c r="J49" s="8" t="s">
        <v>31</v>
      </c>
      <c r="K49" s="32">
        <v>40</v>
      </c>
    </row>
    <row r="50" spans="1:11" ht="21" x14ac:dyDescent="0.55000000000000004">
      <c r="A50" s="29">
        <v>41</v>
      </c>
      <c r="B50" s="1" t="s">
        <v>32</v>
      </c>
      <c r="C50" s="3" t="s">
        <v>139</v>
      </c>
      <c r="D50" s="3"/>
      <c r="E50" s="43">
        <v>3463</v>
      </c>
      <c r="F50" s="43">
        <v>2640</v>
      </c>
      <c r="G50" s="43">
        <v>2214</v>
      </c>
      <c r="H50" s="33">
        <f t="shared" si="0"/>
        <v>83.86363636363636</v>
      </c>
      <c r="I50" s="8" t="s">
        <v>140</v>
      </c>
      <c r="J50" s="8" t="s">
        <v>33</v>
      </c>
      <c r="K50" s="32">
        <v>41</v>
      </c>
    </row>
    <row r="51" spans="1:11" ht="21" x14ac:dyDescent="0.55000000000000004">
      <c r="A51" s="29">
        <v>42</v>
      </c>
      <c r="B51" s="1" t="s">
        <v>32</v>
      </c>
      <c r="C51" s="3" t="s">
        <v>141</v>
      </c>
      <c r="D51" s="3"/>
      <c r="E51" s="43">
        <v>3516</v>
      </c>
      <c r="F51" s="43">
        <v>2677</v>
      </c>
      <c r="G51" s="43">
        <v>2264</v>
      </c>
      <c r="H51" s="33">
        <f t="shared" si="0"/>
        <v>84.572282405677996</v>
      </c>
      <c r="I51" s="8" t="s">
        <v>142</v>
      </c>
      <c r="J51" s="8" t="s">
        <v>33</v>
      </c>
      <c r="K51" s="32">
        <v>42</v>
      </c>
    </row>
    <row r="52" spans="1:11" ht="21" x14ac:dyDescent="0.55000000000000004">
      <c r="A52" s="29">
        <v>43</v>
      </c>
      <c r="B52" s="1" t="s">
        <v>34</v>
      </c>
      <c r="C52" s="37" t="s">
        <v>143</v>
      </c>
      <c r="D52" s="37"/>
      <c r="E52" s="43">
        <v>3105</v>
      </c>
      <c r="F52" s="43">
        <v>2263</v>
      </c>
      <c r="G52" s="43">
        <v>2038</v>
      </c>
      <c r="H52" s="33">
        <f t="shared" si="0"/>
        <v>90.057445868316393</v>
      </c>
      <c r="I52" s="8" t="s">
        <v>144</v>
      </c>
      <c r="J52" s="8" t="s">
        <v>35</v>
      </c>
      <c r="K52" s="32">
        <v>43</v>
      </c>
    </row>
    <row r="53" spans="1:11" ht="21" x14ac:dyDescent="0.55000000000000004">
      <c r="A53" s="29">
        <v>44</v>
      </c>
      <c r="B53" s="1" t="s">
        <v>34</v>
      </c>
      <c r="C53" s="37" t="s">
        <v>145</v>
      </c>
      <c r="D53" s="37"/>
      <c r="E53" s="43">
        <v>2444</v>
      </c>
      <c r="F53" s="43">
        <v>1789</v>
      </c>
      <c r="G53" s="43">
        <v>1712</v>
      </c>
      <c r="H53" s="33">
        <f t="shared" si="0"/>
        <v>95.695919508105092</v>
      </c>
      <c r="I53" s="8" t="s">
        <v>146</v>
      </c>
      <c r="J53" s="8" t="s">
        <v>35</v>
      </c>
      <c r="K53" s="32">
        <v>44</v>
      </c>
    </row>
    <row r="54" spans="1:11" ht="21" x14ac:dyDescent="0.55000000000000004">
      <c r="A54" s="29">
        <v>45</v>
      </c>
      <c r="B54" s="1" t="s">
        <v>36</v>
      </c>
      <c r="C54" s="3" t="s">
        <v>147</v>
      </c>
      <c r="D54" s="3"/>
      <c r="E54" s="43">
        <v>3608</v>
      </c>
      <c r="F54" s="43">
        <v>2548</v>
      </c>
      <c r="G54" s="43">
        <v>2293</v>
      </c>
      <c r="H54" s="33">
        <f t="shared" si="0"/>
        <v>89.992150706436419</v>
      </c>
      <c r="I54" s="8" t="s">
        <v>148</v>
      </c>
      <c r="J54" s="8" t="s">
        <v>37</v>
      </c>
      <c r="K54" s="32">
        <v>45</v>
      </c>
    </row>
    <row r="55" spans="1:11" ht="21" x14ac:dyDescent="0.55000000000000004">
      <c r="A55" s="29">
        <v>46</v>
      </c>
      <c r="B55" s="1" t="s">
        <v>36</v>
      </c>
      <c r="C55" s="3" t="s">
        <v>149</v>
      </c>
      <c r="D55" s="3"/>
      <c r="E55" s="43">
        <v>3854</v>
      </c>
      <c r="F55" s="43">
        <v>2869</v>
      </c>
      <c r="G55" s="43">
        <v>2633</v>
      </c>
      <c r="H55" s="33">
        <f t="shared" si="0"/>
        <v>91.774137330080165</v>
      </c>
      <c r="I55" s="8" t="s">
        <v>150</v>
      </c>
      <c r="J55" s="8" t="s">
        <v>37</v>
      </c>
      <c r="K55" s="32">
        <v>46</v>
      </c>
    </row>
    <row r="56" spans="1:11" ht="21" x14ac:dyDescent="0.55000000000000004">
      <c r="A56" s="29">
        <v>47</v>
      </c>
      <c r="B56" s="1" t="s">
        <v>38</v>
      </c>
      <c r="C56" s="3" t="s">
        <v>151</v>
      </c>
      <c r="D56" s="3"/>
      <c r="E56" s="43">
        <v>4002</v>
      </c>
      <c r="F56" s="43">
        <v>2797</v>
      </c>
      <c r="G56" s="43">
        <v>2444</v>
      </c>
      <c r="H56" s="33">
        <f t="shared" si="0"/>
        <v>87.379335001787624</v>
      </c>
      <c r="I56" s="8" t="s">
        <v>152</v>
      </c>
      <c r="J56" s="8" t="s">
        <v>39</v>
      </c>
      <c r="K56" s="32">
        <v>47</v>
      </c>
    </row>
    <row r="57" spans="1:11" ht="21" x14ac:dyDescent="0.55000000000000004">
      <c r="A57" s="29">
        <v>48</v>
      </c>
      <c r="B57" s="1" t="s">
        <v>38</v>
      </c>
      <c r="C57" s="3" t="s">
        <v>153</v>
      </c>
      <c r="D57" s="3"/>
      <c r="E57" s="43">
        <v>3930</v>
      </c>
      <c r="F57" s="43">
        <v>2708</v>
      </c>
      <c r="G57" s="43">
        <v>2364</v>
      </c>
      <c r="H57" s="33">
        <f t="shared" si="0"/>
        <v>87.296898079763665</v>
      </c>
      <c r="I57" s="8" t="s">
        <v>154</v>
      </c>
      <c r="J57" s="8" t="s">
        <v>39</v>
      </c>
      <c r="K57" s="32">
        <v>48</v>
      </c>
    </row>
    <row r="58" spans="1:11" ht="21" x14ac:dyDescent="0.55000000000000004">
      <c r="A58" s="29">
        <v>49</v>
      </c>
      <c r="B58" s="1" t="s">
        <v>38</v>
      </c>
      <c r="C58" s="3" t="s">
        <v>155</v>
      </c>
      <c r="D58" s="3"/>
      <c r="E58" s="43">
        <v>4290</v>
      </c>
      <c r="F58" s="43">
        <v>3125</v>
      </c>
      <c r="G58" s="43">
        <v>2638</v>
      </c>
      <c r="H58" s="33">
        <f t="shared" si="0"/>
        <v>84.415999999999997</v>
      </c>
      <c r="I58" s="8" t="s">
        <v>156</v>
      </c>
      <c r="J58" s="8" t="s">
        <v>39</v>
      </c>
      <c r="K58" s="32">
        <v>49</v>
      </c>
    </row>
    <row r="59" spans="1:11" ht="21" x14ac:dyDescent="0.55000000000000004">
      <c r="A59" s="29">
        <v>50</v>
      </c>
      <c r="B59" s="1" t="s">
        <v>38</v>
      </c>
      <c r="C59" s="3" t="s">
        <v>157</v>
      </c>
      <c r="D59" s="3"/>
      <c r="E59" s="43">
        <v>3489</v>
      </c>
      <c r="F59" s="43">
        <v>2576</v>
      </c>
      <c r="G59" s="43">
        <v>2360</v>
      </c>
      <c r="H59" s="33">
        <f t="shared" si="0"/>
        <v>91.614906832298132</v>
      </c>
      <c r="I59" s="8" t="s">
        <v>158</v>
      </c>
      <c r="J59" s="8" t="s">
        <v>39</v>
      </c>
      <c r="K59" s="32">
        <v>50</v>
      </c>
    </row>
    <row r="60" spans="1:11" ht="21" x14ac:dyDescent="0.55000000000000004">
      <c r="A60" s="29">
        <v>51</v>
      </c>
      <c r="B60" s="1" t="s">
        <v>40</v>
      </c>
      <c r="C60" s="3" t="s">
        <v>159</v>
      </c>
      <c r="D60" s="3"/>
      <c r="E60" s="43">
        <v>4294</v>
      </c>
      <c r="F60" s="43">
        <v>3146</v>
      </c>
      <c r="G60" s="43">
        <v>2692</v>
      </c>
      <c r="H60" s="33">
        <f t="shared" si="0"/>
        <v>85.568976478067384</v>
      </c>
      <c r="I60" s="8" t="s">
        <v>160</v>
      </c>
      <c r="J60" s="8" t="s">
        <v>41</v>
      </c>
      <c r="K60" s="32">
        <v>51</v>
      </c>
    </row>
    <row r="61" spans="1:11" ht="21" x14ac:dyDescent="0.55000000000000004">
      <c r="A61" s="29">
        <v>52</v>
      </c>
      <c r="B61" s="1" t="s">
        <v>40</v>
      </c>
      <c r="C61" s="3" t="s">
        <v>161</v>
      </c>
      <c r="D61" s="3"/>
      <c r="E61" s="43">
        <v>4677</v>
      </c>
      <c r="F61" s="43">
        <v>3523</v>
      </c>
      <c r="G61" s="43">
        <v>3095</v>
      </c>
      <c r="H61" s="33">
        <f t="shared" si="0"/>
        <v>87.851263128015901</v>
      </c>
      <c r="I61" s="8" t="s">
        <v>162</v>
      </c>
      <c r="J61" s="8" t="s">
        <v>41</v>
      </c>
      <c r="K61" s="32">
        <v>52</v>
      </c>
    </row>
    <row r="62" spans="1:11" ht="21" x14ac:dyDescent="0.55000000000000004">
      <c r="A62" s="29">
        <v>53</v>
      </c>
      <c r="B62" s="1" t="s">
        <v>40</v>
      </c>
      <c r="C62" s="3" t="s">
        <v>163</v>
      </c>
      <c r="D62" s="3"/>
      <c r="E62" s="43">
        <v>3786</v>
      </c>
      <c r="F62" s="43">
        <v>2837</v>
      </c>
      <c r="G62" s="43">
        <v>2535</v>
      </c>
      <c r="H62" s="33">
        <f t="shared" si="0"/>
        <v>89.354952414522387</v>
      </c>
      <c r="I62" s="8" t="s">
        <v>164</v>
      </c>
      <c r="J62" s="8" t="s">
        <v>41</v>
      </c>
      <c r="K62" s="32">
        <v>53</v>
      </c>
    </row>
    <row r="63" spans="1:11" ht="21" x14ac:dyDescent="0.55000000000000004">
      <c r="A63" s="29">
        <v>54</v>
      </c>
      <c r="B63" s="1" t="s">
        <v>40</v>
      </c>
      <c r="C63" s="3" t="s">
        <v>165</v>
      </c>
      <c r="D63" s="3"/>
      <c r="E63" s="43">
        <v>3770</v>
      </c>
      <c r="F63" s="43">
        <v>2789</v>
      </c>
      <c r="G63" s="43">
        <v>2422</v>
      </c>
      <c r="H63" s="33">
        <f t="shared" si="0"/>
        <v>86.841161706704924</v>
      </c>
      <c r="I63" s="8" t="s">
        <v>166</v>
      </c>
      <c r="J63" s="8" t="s">
        <v>41</v>
      </c>
      <c r="K63" s="32">
        <v>54</v>
      </c>
    </row>
    <row r="64" spans="1:11" ht="21" x14ac:dyDescent="0.55000000000000004">
      <c r="A64" s="29">
        <v>55</v>
      </c>
      <c r="B64" s="1" t="s">
        <v>42</v>
      </c>
      <c r="C64" s="3" t="s">
        <v>167</v>
      </c>
      <c r="D64" s="3"/>
      <c r="E64" s="43">
        <v>5023</v>
      </c>
      <c r="F64" s="43">
        <v>3817</v>
      </c>
      <c r="G64" s="43">
        <v>3445</v>
      </c>
      <c r="H64" s="33">
        <f t="shared" si="0"/>
        <v>90.25412627718103</v>
      </c>
      <c r="I64" s="8" t="s">
        <v>168</v>
      </c>
      <c r="J64" s="8" t="s">
        <v>43</v>
      </c>
      <c r="K64" s="32">
        <v>55</v>
      </c>
    </row>
    <row r="65" spans="1:11" ht="21" x14ac:dyDescent="0.55000000000000004">
      <c r="A65" s="29">
        <v>56</v>
      </c>
      <c r="B65" s="1" t="s">
        <v>42</v>
      </c>
      <c r="C65" s="3" t="s">
        <v>169</v>
      </c>
      <c r="D65" s="3"/>
      <c r="E65" s="43">
        <v>4405</v>
      </c>
      <c r="F65" s="43">
        <v>3104</v>
      </c>
      <c r="G65" s="43">
        <v>2680</v>
      </c>
      <c r="H65" s="33">
        <f t="shared" si="0"/>
        <v>86.340206185567013</v>
      </c>
      <c r="I65" s="8" t="s">
        <v>170</v>
      </c>
      <c r="J65" s="8" t="s">
        <v>43</v>
      </c>
      <c r="K65" s="32">
        <v>56</v>
      </c>
    </row>
    <row r="66" spans="1:11" ht="21" x14ac:dyDescent="0.55000000000000004">
      <c r="A66" s="29">
        <v>57</v>
      </c>
      <c r="B66" s="1" t="s">
        <v>42</v>
      </c>
      <c r="C66" s="3" t="s">
        <v>171</v>
      </c>
      <c r="D66" s="3"/>
      <c r="E66" s="43">
        <v>4187</v>
      </c>
      <c r="F66" s="43">
        <v>3142</v>
      </c>
      <c r="G66" s="43">
        <v>2797</v>
      </c>
      <c r="H66" s="33">
        <f t="shared" si="0"/>
        <v>89.019732654360283</v>
      </c>
      <c r="I66" s="8" t="s">
        <v>172</v>
      </c>
      <c r="J66" s="8" t="s">
        <v>43</v>
      </c>
      <c r="K66" s="32">
        <v>57</v>
      </c>
    </row>
    <row r="67" spans="1:11" ht="21" x14ac:dyDescent="0.55000000000000004">
      <c r="A67" s="29">
        <v>58</v>
      </c>
      <c r="B67" s="1" t="s">
        <v>44</v>
      </c>
      <c r="C67" s="3" t="s">
        <v>173</v>
      </c>
      <c r="D67" s="3"/>
      <c r="E67" s="43">
        <v>3603</v>
      </c>
      <c r="F67" s="43">
        <v>2689</v>
      </c>
      <c r="G67" s="43">
        <v>2122</v>
      </c>
      <c r="H67" s="33">
        <f t="shared" si="0"/>
        <v>78.914094458906661</v>
      </c>
      <c r="I67" s="8" t="s">
        <v>174</v>
      </c>
      <c r="J67" s="8" t="s">
        <v>45</v>
      </c>
      <c r="K67" s="32">
        <v>58</v>
      </c>
    </row>
    <row r="68" spans="1:11" ht="21" x14ac:dyDescent="0.55000000000000004">
      <c r="A68" s="29">
        <v>59</v>
      </c>
      <c r="B68" s="1" t="s">
        <v>44</v>
      </c>
      <c r="C68" s="1" t="s">
        <v>175</v>
      </c>
      <c r="E68" s="43">
        <v>3493</v>
      </c>
      <c r="F68" s="43">
        <v>2544</v>
      </c>
      <c r="G68" s="43">
        <v>2135</v>
      </c>
      <c r="H68" s="33">
        <f t="shared" si="0"/>
        <v>83.922955974842779</v>
      </c>
      <c r="I68" s="8" t="s">
        <v>176</v>
      </c>
      <c r="J68" s="8" t="s">
        <v>45</v>
      </c>
      <c r="K68" s="32">
        <v>59</v>
      </c>
    </row>
    <row r="69" spans="1:11" ht="21" x14ac:dyDescent="0.55000000000000004">
      <c r="A69" s="29">
        <v>60</v>
      </c>
      <c r="B69" s="1" t="s">
        <v>44</v>
      </c>
      <c r="C69" s="3" t="s">
        <v>177</v>
      </c>
      <c r="D69" s="3"/>
      <c r="E69" s="43">
        <v>4208</v>
      </c>
      <c r="F69" s="43">
        <v>2943</v>
      </c>
      <c r="G69" s="43">
        <v>2479</v>
      </c>
      <c r="H69" s="33">
        <f t="shared" si="0"/>
        <v>84.233775059463127</v>
      </c>
      <c r="I69" s="8" t="s">
        <v>178</v>
      </c>
      <c r="J69" s="8" t="s">
        <v>45</v>
      </c>
      <c r="K69" s="32">
        <v>60</v>
      </c>
    </row>
    <row r="70" spans="1:11" ht="21" x14ac:dyDescent="0.55000000000000004">
      <c r="A70" s="29">
        <v>61</v>
      </c>
      <c r="B70" s="1" t="s">
        <v>44</v>
      </c>
      <c r="C70" s="3" t="s">
        <v>179</v>
      </c>
      <c r="D70" s="3"/>
      <c r="E70" s="43">
        <v>4458</v>
      </c>
      <c r="F70" s="43">
        <v>3362</v>
      </c>
      <c r="G70" s="43">
        <v>2786</v>
      </c>
      <c r="H70" s="33">
        <f t="shared" si="0"/>
        <v>82.867340868530633</v>
      </c>
      <c r="I70" s="8" t="s">
        <v>180</v>
      </c>
      <c r="J70" s="8" t="s">
        <v>45</v>
      </c>
      <c r="K70" s="32">
        <v>61</v>
      </c>
    </row>
    <row r="71" spans="1:11" ht="21" x14ac:dyDescent="0.55000000000000004">
      <c r="A71" s="29">
        <v>62</v>
      </c>
      <c r="B71" s="1" t="s">
        <v>44</v>
      </c>
      <c r="C71" s="3" t="s">
        <v>181</v>
      </c>
      <c r="D71" s="3"/>
      <c r="E71" s="43">
        <v>4342</v>
      </c>
      <c r="F71" s="43">
        <v>3310</v>
      </c>
      <c r="G71" s="43">
        <v>2710</v>
      </c>
      <c r="H71" s="33">
        <f t="shared" si="0"/>
        <v>81.873111782477338</v>
      </c>
      <c r="I71" s="8" t="s">
        <v>182</v>
      </c>
      <c r="J71" s="8" t="s">
        <v>45</v>
      </c>
      <c r="K71" s="32">
        <v>62</v>
      </c>
    </row>
    <row r="72" spans="1:11" ht="21" x14ac:dyDescent="0.55000000000000004">
      <c r="A72" s="29">
        <v>63</v>
      </c>
      <c r="B72" s="1" t="s">
        <v>46</v>
      </c>
      <c r="C72" s="3" t="s">
        <v>183</v>
      </c>
      <c r="D72" s="3"/>
      <c r="E72" s="43">
        <v>4632</v>
      </c>
      <c r="F72" s="43">
        <v>3392</v>
      </c>
      <c r="G72" s="43">
        <v>3047</v>
      </c>
      <c r="H72" s="33">
        <f t="shared" si="0"/>
        <v>89.829009433962256</v>
      </c>
      <c r="I72" s="8" t="s">
        <v>184</v>
      </c>
      <c r="J72" s="8" t="s">
        <v>47</v>
      </c>
      <c r="K72" s="32">
        <v>63</v>
      </c>
    </row>
    <row r="73" spans="1:11" ht="21" x14ac:dyDescent="0.55000000000000004">
      <c r="A73" s="29">
        <v>64</v>
      </c>
      <c r="B73" s="1" t="s">
        <v>46</v>
      </c>
      <c r="C73" s="3" t="s">
        <v>185</v>
      </c>
      <c r="D73" s="3"/>
      <c r="E73" s="43">
        <v>3840</v>
      </c>
      <c r="F73" s="43">
        <v>2820</v>
      </c>
      <c r="G73" s="43">
        <v>2507</v>
      </c>
      <c r="H73" s="33">
        <f t="shared" si="0"/>
        <v>88.900709219858157</v>
      </c>
      <c r="I73" s="8" t="s">
        <v>186</v>
      </c>
      <c r="J73" s="8" t="s">
        <v>47</v>
      </c>
      <c r="K73" s="32">
        <v>64</v>
      </c>
    </row>
    <row r="74" spans="1:11" ht="21" x14ac:dyDescent="0.55000000000000004">
      <c r="A74" s="29">
        <v>65</v>
      </c>
      <c r="B74" s="1" t="s">
        <v>46</v>
      </c>
      <c r="C74" s="3" t="s">
        <v>187</v>
      </c>
      <c r="D74" s="3"/>
      <c r="E74" s="43">
        <v>3505</v>
      </c>
      <c r="F74" s="43">
        <v>2646</v>
      </c>
      <c r="G74" s="43">
        <v>2283</v>
      </c>
      <c r="H74" s="33">
        <f t="shared" si="0"/>
        <v>86.281179138321988</v>
      </c>
      <c r="I74" s="8" t="s">
        <v>188</v>
      </c>
      <c r="J74" s="8" t="s">
        <v>47</v>
      </c>
      <c r="K74" s="32">
        <v>65</v>
      </c>
    </row>
    <row r="75" spans="1:11" ht="21" x14ac:dyDescent="0.55000000000000004">
      <c r="A75" s="29">
        <v>66</v>
      </c>
      <c r="B75" s="1" t="s">
        <v>48</v>
      </c>
      <c r="C75" s="3" t="s">
        <v>189</v>
      </c>
      <c r="D75" s="3"/>
      <c r="E75" s="43">
        <v>3686</v>
      </c>
      <c r="F75" s="43">
        <v>2788</v>
      </c>
      <c r="G75" s="43">
        <v>2360</v>
      </c>
      <c r="H75" s="33">
        <f t="shared" si="0"/>
        <v>84.64849354375896</v>
      </c>
      <c r="I75" s="8" t="s">
        <v>190</v>
      </c>
      <c r="J75" s="8" t="s">
        <v>49</v>
      </c>
      <c r="K75" s="32">
        <v>66</v>
      </c>
    </row>
    <row r="76" spans="1:11" ht="21" x14ac:dyDescent="0.55000000000000004">
      <c r="A76" s="29">
        <v>67</v>
      </c>
      <c r="B76" s="1" t="s">
        <v>48</v>
      </c>
      <c r="C76" s="3" t="s">
        <v>191</v>
      </c>
      <c r="D76" s="3"/>
      <c r="E76" s="43">
        <v>4546</v>
      </c>
      <c r="F76" s="43">
        <v>4032</v>
      </c>
      <c r="G76" s="43">
        <v>3306</v>
      </c>
      <c r="H76" s="33">
        <f t="shared" ref="H76:H96" si="1">(G76/F76)*100</f>
        <v>81.99404761904762</v>
      </c>
      <c r="I76" s="8" t="s">
        <v>192</v>
      </c>
      <c r="J76" s="8" t="s">
        <v>49</v>
      </c>
      <c r="K76" s="32">
        <v>67</v>
      </c>
    </row>
    <row r="77" spans="1:11" ht="21" x14ac:dyDescent="0.55000000000000004">
      <c r="A77" s="29">
        <v>68</v>
      </c>
      <c r="B77" s="1" t="s">
        <v>48</v>
      </c>
      <c r="C77" s="3" t="s">
        <v>193</v>
      </c>
      <c r="D77" s="3"/>
      <c r="E77" s="43">
        <v>5222</v>
      </c>
      <c r="F77" s="43">
        <v>2617</v>
      </c>
      <c r="G77" s="43">
        <v>1803</v>
      </c>
      <c r="H77" s="33">
        <f t="shared" si="1"/>
        <v>68.895682078716092</v>
      </c>
      <c r="I77" s="8" t="s">
        <v>194</v>
      </c>
      <c r="J77" s="8" t="s">
        <v>49</v>
      </c>
      <c r="K77" s="32">
        <v>68</v>
      </c>
    </row>
    <row r="78" spans="1:11" ht="21" x14ac:dyDescent="0.55000000000000004">
      <c r="A78" s="29">
        <v>69</v>
      </c>
      <c r="B78" s="1" t="s">
        <v>48</v>
      </c>
      <c r="C78" s="3" t="s">
        <v>195</v>
      </c>
      <c r="D78" s="3"/>
      <c r="E78" s="43">
        <v>3463</v>
      </c>
      <c r="F78" s="43">
        <v>3849</v>
      </c>
      <c r="G78" s="43">
        <v>2901</v>
      </c>
      <c r="H78" s="33">
        <f t="shared" si="1"/>
        <v>75.370226032735772</v>
      </c>
      <c r="I78" s="8" t="s">
        <v>196</v>
      </c>
      <c r="J78" s="8" t="s">
        <v>49</v>
      </c>
      <c r="K78" s="32">
        <v>69</v>
      </c>
    </row>
    <row r="79" spans="1:11" ht="21" x14ac:dyDescent="0.55000000000000004">
      <c r="A79" s="29">
        <v>70</v>
      </c>
      <c r="B79" s="1" t="s">
        <v>48</v>
      </c>
      <c r="C79" s="3" t="s">
        <v>197</v>
      </c>
      <c r="D79" s="3"/>
      <c r="E79" s="43">
        <v>5015</v>
      </c>
      <c r="F79" s="43">
        <v>3618</v>
      </c>
      <c r="G79" s="43">
        <v>2726</v>
      </c>
      <c r="H79" s="33">
        <f t="shared" si="1"/>
        <v>75.345494748479823</v>
      </c>
      <c r="I79" s="8" t="s">
        <v>198</v>
      </c>
      <c r="J79" s="8" t="s">
        <v>49</v>
      </c>
      <c r="K79" s="32">
        <v>70</v>
      </c>
    </row>
    <row r="80" spans="1:11" ht="21" x14ac:dyDescent="0.55000000000000004">
      <c r="A80" s="29">
        <v>71</v>
      </c>
      <c r="B80" s="1" t="s">
        <v>48</v>
      </c>
      <c r="C80" s="3" t="s">
        <v>199</v>
      </c>
      <c r="D80" s="3"/>
      <c r="E80" s="43">
        <v>5029</v>
      </c>
      <c r="F80" s="43">
        <v>4154</v>
      </c>
      <c r="G80" s="43">
        <v>2798</v>
      </c>
      <c r="H80" s="33">
        <f t="shared" si="1"/>
        <v>67.356764564275394</v>
      </c>
      <c r="I80" s="8" t="s">
        <v>200</v>
      </c>
      <c r="J80" s="8" t="s">
        <v>49</v>
      </c>
      <c r="K80" s="32">
        <v>71</v>
      </c>
    </row>
    <row r="81" spans="1:11" ht="21" x14ac:dyDescent="0.55000000000000004">
      <c r="A81" s="29">
        <v>72</v>
      </c>
      <c r="B81" s="1" t="s">
        <v>48</v>
      </c>
      <c r="C81" s="3" t="s">
        <v>201</v>
      </c>
      <c r="D81" s="3"/>
      <c r="E81" s="43">
        <v>5101</v>
      </c>
      <c r="F81" s="43">
        <v>3520</v>
      </c>
      <c r="G81" s="43">
        <v>2819</v>
      </c>
      <c r="H81" s="33">
        <f t="shared" si="1"/>
        <v>80.08522727272728</v>
      </c>
      <c r="I81" s="8" t="s">
        <v>202</v>
      </c>
      <c r="J81" s="8" t="s">
        <v>49</v>
      </c>
      <c r="K81" s="32">
        <v>72</v>
      </c>
    </row>
    <row r="82" spans="1:11" ht="21" x14ac:dyDescent="0.55000000000000004">
      <c r="A82" s="29">
        <v>73</v>
      </c>
      <c r="B82" s="1" t="s">
        <v>203</v>
      </c>
      <c r="C82" s="3" t="s">
        <v>204</v>
      </c>
      <c r="D82" s="3"/>
      <c r="E82" s="43">
        <v>4910</v>
      </c>
      <c r="F82" s="43">
        <v>3093</v>
      </c>
      <c r="G82" s="43">
        <v>1967</v>
      </c>
      <c r="H82" s="33">
        <f t="shared" si="1"/>
        <v>63.595215001616559</v>
      </c>
      <c r="I82" s="8" t="s">
        <v>227</v>
      </c>
      <c r="J82" s="8" t="s">
        <v>57</v>
      </c>
      <c r="K82" s="32">
        <v>73</v>
      </c>
    </row>
    <row r="83" spans="1:11" ht="21" x14ac:dyDescent="0.55000000000000004">
      <c r="A83" s="29">
        <v>74</v>
      </c>
      <c r="B83" s="1" t="s">
        <v>203</v>
      </c>
      <c r="C83" s="3" t="s">
        <v>205</v>
      </c>
      <c r="D83" s="3"/>
      <c r="E83" s="43">
        <v>4702</v>
      </c>
      <c r="F83" s="43">
        <v>2962</v>
      </c>
      <c r="G83" s="43">
        <v>2109</v>
      </c>
      <c r="H83" s="33">
        <f t="shared" si="1"/>
        <v>71.201890614449695</v>
      </c>
      <c r="I83" s="8" t="s">
        <v>206</v>
      </c>
      <c r="J83" s="8" t="s">
        <v>57</v>
      </c>
      <c r="K83" s="32">
        <v>74</v>
      </c>
    </row>
    <row r="84" spans="1:11" ht="21" x14ac:dyDescent="0.55000000000000004">
      <c r="A84" s="29">
        <v>75</v>
      </c>
      <c r="B84" s="1" t="s">
        <v>203</v>
      </c>
      <c r="C84" s="3" t="s">
        <v>207</v>
      </c>
      <c r="D84" s="3"/>
      <c r="E84" s="43">
        <v>4895</v>
      </c>
      <c r="F84" s="43">
        <v>2846</v>
      </c>
      <c r="G84" s="43">
        <v>2035</v>
      </c>
      <c r="H84" s="33">
        <f t="shared" si="1"/>
        <v>71.503865073787779</v>
      </c>
      <c r="I84" s="8" t="s">
        <v>208</v>
      </c>
      <c r="J84" s="8" t="s">
        <v>57</v>
      </c>
      <c r="K84" s="32">
        <v>75</v>
      </c>
    </row>
    <row r="85" spans="1:11" ht="21" x14ac:dyDescent="0.55000000000000004">
      <c r="A85" s="29">
        <v>76</v>
      </c>
      <c r="B85" s="1" t="s">
        <v>203</v>
      </c>
      <c r="C85" s="3" t="s">
        <v>209</v>
      </c>
      <c r="D85" s="3"/>
      <c r="E85" s="43">
        <v>4831</v>
      </c>
      <c r="F85" s="43">
        <v>3376</v>
      </c>
      <c r="G85" s="43">
        <v>2408</v>
      </c>
      <c r="H85" s="33">
        <f t="shared" si="1"/>
        <v>71.327014218009481</v>
      </c>
      <c r="I85" s="8" t="s">
        <v>210</v>
      </c>
      <c r="J85" s="8" t="s">
        <v>57</v>
      </c>
      <c r="K85" s="32">
        <v>76</v>
      </c>
    </row>
    <row r="86" spans="1:11" ht="21" x14ac:dyDescent="0.55000000000000004">
      <c r="A86" s="29">
        <v>77</v>
      </c>
      <c r="B86" s="1" t="s">
        <v>203</v>
      </c>
      <c r="C86" s="3" t="s">
        <v>211</v>
      </c>
      <c r="D86" s="3"/>
      <c r="E86" s="43">
        <v>4831</v>
      </c>
      <c r="F86" s="43">
        <v>3635</v>
      </c>
      <c r="G86" s="43">
        <v>2005</v>
      </c>
      <c r="H86" s="33">
        <f t="shared" si="1"/>
        <v>55.158184319119677</v>
      </c>
      <c r="I86" s="8" t="s">
        <v>212</v>
      </c>
      <c r="J86" s="8" t="s">
        <v>57</v>
      </c>
      <c r="K86" s="32">
        <v>77</v>
      </c>
    </row>
    <row r="87" spans="1:11" ht="21" x14ac:dyDescent="0.55000000000000004">
      <c r="A87" s="29">
        <v>78</v>
      </c>
      <c r="B87" s="1" t="s">
        <v>203</v>
      </c>
      <c r="C87" s="3" t="s">
        <v>213</v>
      </c>
      <c r="D87" s="3"/>
      <c r="E87" s="43">
        <v>4966</v>
      </c>
      <c r="F87" s="43">
        <v>3617</v>
      </c>
      <c r="G87" s="43">
        <v>2475</v>
      </c>
      <c r="H87" s="33">
        <f t="shared" si="1"/>
        <v>68.426873099253527</v>
      </c>
      <c r="I87" s="8" t="s">
        <v>214</v>
      </c>
      <c r="J87" s="8" t="s">
        <v>57</v>
      </c>
      <c r="K87" s="32">
        <v>78</v>
      </c>
    </row>
    <row r="88" spans="1:11" ht="21" x14ac:dyDescent="0.55000000000000004">
      <c r="A88" s="29">
        <v>79</v>
      </c>
      <c r="B88" s="1" t="s">
        <v>203</v>
      </c>
      <c r="C88" s="3" t="s">
        <v>215</v>
      </c>
      <c r="D88" s="3"/>
      <c r="E88" s="43">
        <v>5155</v>
      </c>
      <c r="F88" s="43">
        <v>3092</v>
      </c>
      <c r="G88" s="43">
        <v>1877</v>
      </c>
      <c r="H88" s="33">
        <f t="shared" si="1"/>
        <v>60.705045278137128</v>
      </c>
      <c r="I88" s="8" t="s">
        <v>216</v>
      </c>
      <c r="J88" s="8" t="s">
        <v>57</v>
      </c>
      <c r="K88" s="32">
        <v>79</v>
      </c>
    </row>
    <row r="89" spans="1:11" ht="21" x14ac:dyDescent="0.55000000000000004">
      <c r="A89" s="29">
        <v>80</v>
      </c>
      <c r="B89" s="1" t="s">
        <v>203</v>
      </c>
      <c r="C89" s="3" t="s">
        <v>217</v>
      </c>
      <c r="D89" s="3"/>
      <c r="E89" s="43">
        <v>5217</v>
      </c>
      <c r="F89" s="43">
        <v>3189</v>
      </c>
      <c r="G89" s="43">
        <v>2195</v>
      </c>
      <c r="H89" s="33">
        <f t="shared" si="1"/>
        <v>68.830354343054239</v>
      </c>
      <c r="I89" s="8" t="s">
        <v>218</v>
      </c>
      <c r="J89" s="8" t="s">
        <v>57</v>
      </c>
      <c r="K89" s="32">
        <v>80</v>
      </c>
    </row>
    <row r="90" spans="1:11" ht="21" x14ac:dyDescent="0.55000000000000004">
      <c r="A90" s="29">
        <v>81</v>
      </c>
      <c r="B90" s="1" t="s">
        <v>203</v>
      </c>
      <c r="C90" s="3" t="s">
        <v>219</v>
      </c>
      <c r="D90" s="3"/>
      <c r="E90" s="43">
        <v>5116</v>
      </c>
      <c r="F90" s="43">
        <v>3711</v>
      </c>
      <c r="G90" s="43">
        <v>1988</v>
      </c>
      <c r="H90" s="33">
        <f t="shared" si="1"/>
        <v>53.570466181622201</v>
      </c>
      <c r="I90" s="8" t="s">
        <v>220</v>
      </c>
      <c r="J90" s="8" t="s">
        <v>57</v>
      </c>
      <c r="K90" s="32">
        <v>81</v>
      </c>
    </row>
    <row r="91" spans="1:11" ht="21" x14ac:dyDescent="0.55000000000000004">
      <c r="A91" s="29">
        <v>82</v>
      </c>
      <c r="B91" s="1" t="s">
        <v>203</v>
      </c>
      <c r="C91" s="3" t="s">
        <v>221</v>
      </c>
      <c r="D91" s="3"/>
      <c r="E91" s="43">
        <v>5027</v>
      </c>
      <c r="F91" s="43">
        <v>3585</v>
      </c>
      <c r="G91" s="43">
        <v>2416</v>
      </c>
      <c r="H91" s="33">
        <f t="shared" si="1"/>
        <v>67.391910739191076</v>
      </c>
      <c r="I91" s="8" t="s">
        <v>222</v>
      </c>
      <c r="J91" s="8" t="s">
        <v>57</v>
      </c>
      <c r="K91" s="32">
        <v>82</v>
      </c>
    </row>
    <row r="92" spans="1:11" ht="21" x14ac:dyDescent="0.55000000000000004">
      <c r="A92" s="29">
        <v>83</v>
      </c>
      <c r="B92" s="1" t="s">
        <v>203</v>
      </c>
      <c r="C92" s="3" t="s">
        <v>228</v>
      </c>
      <c r="D92" s="3"/>
      <c r="E92" s="43">
        <v>4993</v>
      </c>
      <c r="F92" s="43">
        <v>3505</v>
      </c>
      <c r="G92" s="43">
        <v>2162</v>
      </c>
      <c r="H92" s="33">
        <f t="shared" si="1"/>
        <v>61.683309557774614</v>
      </c>
      <c r="I92" s="8" t="s">
        <v>229</v>
      </c>
      <c r="J92" s="8" t="s">
        <v>57</v>
      </c>
      <c r="K92" s="32">
        <v>83</v>
      </c>
    </row>
    <row r="93" spans="1:11" ht="21" x14ac:dyDescent="0.55000000000000004">
      <c r="A93" s="29">
        <v>84</v>
      </c>
      <c r="B93" s="1" t="s">
        <v>203</v>
      </c>
      <c r="C93" s="3" t="s">
        <v>230</v>
      </c>
      <c r="D93" s="3"/>
      <c r="E93" s="43">
        <v>4189</v>
      </c>
      <c r="F93" s="43">
        <v>3000</v>
      </c>
      <c r="G93" s="43">
        <v>1992</v>
      </c>
      <c r="H93" s="33">
        <f t="shared" si="1"/>
        <v>66.400000000000006</v>
      </c>
      <c r="I93" s="8" t="s">
        <v>231</v>
      </c>
      <c r="J93" s="8" t="s">
        <v>57</v>
      </c>
      <c r="K93" s="32">
        <v>84</v>
      </c>
    </row>
    <row r="94" spans="1:11" ht="21" x14ac:dyDescent="0.55000000000000004">
      <c r="A94" s="29">
        <v>85</v>
      </c>
      <c r="B94" s="1" t="s">
        <v>203</v>
      </c>
      <c r="C94" s="1" t="s">
        <v>232</v>
      </c>
      <c r="D94" s="3"/>
      <c r="E94" s="43">
        <v>4810</v>
      </c>
      <c r="F94" s="43">
        <v>3174</v>
      </c>
      <c r="G94" s="43">
        <v>2125</v>
      </c>
      <c r="H94" s="33">
        <f>(G94/F94)*100</f>
        <v>66.950220541902965</v>
      </c>
      <c r="I94" s="8" t="s">
        <v>233</v>
      </c>
      <c r="J94" s="8" t="s">
        <v>57</v>
      </c>
      <c r="K94" s="32">
        <v>85</v>
      </c>
    </row>
    <row r="95" spans="1:11" ht="21" x14ac:dyDescent="0.55000000000000004">
      <c r="A95" s="29">
        <v>86</v>
      </c>
      <c r="B95" s="1" t="s">
        <v>203</v>
      </c>
      <c r="C95" s="3" t="s">
        <v>234</v>
      </c>
      <c r="D95" s="3"/>
      <c r="E95" s="43">
        <v>4301</v>
      </c>
      <c r="F95" s="43">
        <v>2941</v>
      </c>
      <c r="G95" s="43">
        <v>1772</v>
      </c>
      <c r="H95" s="33">
        <f>(G95/F95)*100</f>
        <v>60.251615096905823</v>
      </c>
      <c r="I95" s="8" t="s">
        <v>235</v>
      </c>
      <c r="J95" s="8" t="s">
        <v>57</v>
      </c>
      <c r="K95" s="32">
        <v>86</v>
      </c>
    </row>
    <row r="96" spans="1:11" ht="21" x14ac:dyDescent="0.55000000000000004">
      <c r="A96" s="48">
        <v>87</v>
      </c>
      <c r="B96" s="7" t="s">
        <v>203</v>
      </c>
      <c r="C96" s="9" t="s">
        <v>236</v>
      </c>
      <c r="D96" s="9"/>
      <c r="E96" s="38">
        <v>4351</v>
      </c>
      <c r="F96" s="38">
        <v>3055</v>
      </c>
      <c r="G96" s="38">
        <v>2118</v>
      </c>
      <c r="H96" s="50">
        <f t="shared" si="1"/>
        <v>69.328968903436987</v>
      </c>
      <c r="I96" s="10" t="s">
        <v>237</v>
      </c>
      <c r="J96" s="10" t="s">
        <v>57</v>
      </c>
      <c r="K96" s="51">
        <v>87</v>
      </c>
    </row>
    <row r="97" spans="1:11" s="12" customFormat="1" ht="18" x14ac:dyDescent="0.45">
      <c r="A97" s="39" t="s">
        <v>223</v>
      </c>
      <c r="B97" s="1"/>
      <c r="D97" s="41"/>
      <c r="E97" s="40"/>
      <c r="F97" s="40"/>
      <c r="K97" s="13" t="s">
        <v>1</v>
      </c>
    </row>
    <row r="98" spans="1:11" x14ac:dyDescent="0.25">
      <c r="A98" s="41" t="s">
        <v>0</v>
      </c>
      <c r="B98" s="6"/>
    </row>
    <row r="99" spans="1:11" x14ac:dyDescent="0.25">
      <c r="A99" s="1"/>
      <c r="E99" s="1"/>
      <c r="F99" s="1"/>
      <c r="K99" s="1"/>
    </row>
    <row r="100" spans="1:11" x14ac:dyDescent="0.25">
      <c r="A100" s="1"/>
      <c r="E100" s="1"/>
      <c r="F100" s="1"/>
      <c r="K100" s="1"/>
    </row>
    <row r="101" spans="1:11" x14ac:dyDescent="0.25">
      <c r="A101" s="1"/>
      <c r="E101" s="1"/>
      <c r="F101" s="1"/>
      <c r="K101" s="1"/>
    </row>
  </sheetData>
  <mergeCells count="7">
    <mergeCell ref="A1:K1"/>
    <mergeCell ref="A2:K2"/>
    <mergeCell ref="B4:B5"/>
    <mergeCell ref="C4:C5"/>
    <mergeCell ref="I4:I5"/>
    <mergeCell ref="J4:J5"/>
    <mergeCell ref="K4:K5"/>
  </mergeCells>
  <pageMargins left="0.7" right="0.7" top="0.75" bottom="0.75" header="0.3" footer="0.3"/>
  <pageSetup scale="63" orientation="portrait" r:id="rId1"/>
  <rowBreaks count="1" manualBreakCount="1">
    <brk id="99" max="10" man="1"/>
  </rowBreaks>
  <colBreaks count="1" manualBreakCount="1">
    <brk id="11" max="1048575" man="1"/>
  </colBreaks>
  <ignoredErrors>
    <ignoredError sqref="E7:G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20.5</vt:lpstr>
      <vt:lpstr>'20.5'!Print_Area</vt:lpstr>
      <vt:lpstr>'20.5'!Print_Titles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2024-10-05T09:43:44Z</cp:lastPrinted>
  <dcterms:created xsi:type="dcterms:W3CDTF">2019-09-10T03:17:03Z</dcterms:created>
  <dcterms:modified xsi:type="dcterms:W3CDTF">2024-10-05T09:44:46Z</dcterms:modified>
</cp:coreProperties>
</file>