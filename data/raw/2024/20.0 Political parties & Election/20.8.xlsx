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8EC98C6A-939E-41EC-AA96-1BA9B2B60123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8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1" l="1"/>
  <c r="E9" i="11"/>
  <c r="D9" i="11"/>
  <c r="C9" i="11"/>
  <c r="H8" i="11"/>
  <c r="B8" i="11" s="1"/>
  <c r="D8" i="11"/>
  <c r="C8" i="11"/>
  <c r="H7" i="11"/>
  <c r="B7" i="11" s="1"/>
  <c r="D7" i="11"/>
  <c r="C7" i="11"/>
  <c r="J6" i="11"/>
  <c r="I6" i="11"/>
  <c r="G6" i="11"/>
  <c r="F6" i="11"/>
  <c r="C6" i="11" l="1"/>
  <c r="B9" i="11"/>
  <c r="E6" i="11"/>
  <c r="D6" i="11"/>
  <c r="H6" i="11"/>
  <c r="B6" i="11" s="1"/>
</calcChain>
</file>

<file path=xl/sharedStrings.xml><?xml version="1.0" encoding="utf-8"?>
<sst xmlns="http://schemas.openxmlformats.org/spreadsheetml/2006/main" count="32" uniqueCount="21">
  <si>
    <t>-</t>
  </si>
  <si>
    <t>Female</t>
  </si>
  <si>
    <t>Total</t>
  </si>
  <si>
    <t>Male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</si>
  <si>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</si>
  <si>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</si>
  <si>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</si>
  <si>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</si>
  <si>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</si>
  <si>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</si>
  <si>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</si>
  <si>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</si>
  <si>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</si>
  <si>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</si>
  <si>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</si>
  <si>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</si>
  <si>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>Source: Local Government Authority</t>
  </si>
  <si>
    <t xml:space="preserve">މަޢުލޫމާތު ދެއްވި ފަރާތް: ލޯކަލް ގަވަރމަންޓް އޮތޯރިޓީ </t>
  </si>
  <si>
    <t>ތާވަލު 20.8: ލޯކަލް ކައުންސިލް މެމްބަރުންގެ އަދަދު އަދި ޖިންސް، 2020</t>
  </si>
  <si>
    <t>TABLE 20.8: LOCAL COUNCIL MEMBERS BY SEX, 2020</t>
  </si>
  <si>
    <t>Total Local Council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</si>
</sst>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1" fillId="0" borderId="0"/>
    <xf numFmtId="0" fontId="1" fillId="0" borderId="0"/>
  </cellStyleXfs>
  <cellXfs count="41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6" fillId="2" borderId="0" xfId="0" applyFont="1" applyFill="1"/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37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37" fontId="1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37" fontId="2" fillId="2" borderId="1" xfId="1" applyNumberFormat="1" applyFont="1" applyFill="1" applyBorder="1" applyAlignment="1">
      <alignment horizontal="right" vertical="center"/>
    </xf>
    <xf numFmtId="37" fontId="1" fillId="2" borderId="1" xfId="1" applyNumberFormat="1" applyFont="1" applyFill="1" applyBorder="1" applyAlignment="1">
      <alignment horizontal="right" vertical="center"/>
    </xf>
    <xf numFmtId="37" fontId="2" fillId="2" borderId="6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7" xfId="1" applyNumberFormat="1" applyFont="1" applyFill="1" applyBorder="1" applyAlignment="1">
      <alignment horizontal="right" vertical="center"/>
    </xf>
    <xf numFmtId="37" fontId="0" fillId="2" borderId="0" xfId="0" applyNumberFormat="1" applyFill="1"/>
    <xf numFmtId="0" fontId="2" fillId="2" borderId="0" xfId="0" applyFont="1" applyFill="1" applyAlignment="1">
      <alignment horizontal="left" vertical="center"/>
    </xf>
    <xf numFmtId="37" fontId="1" fillId="2" borderId="9" xfId="1" applyNumberFormat="1" applyFont="1" applyFill="1" applyBorder="1" applyAlignment="1">
      <alignment horizontal="right" vertical="center"/>
    </xf>
    <xf numFmtId="37" fontId="2" fillId="2" borderId="11" xfId="1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 applyAlignment="1">
      <alignment horizontal="right" vertical="center"/>
    </xf>
    <xf numFmtId="164" fontId="0" fillId="2" borderId="8" xfId="1" applyNumberFormat="1" applyFont="1" applyFill="1" applyBorder="1" applyAlignment="1">
      <alignment horizontal="center" vertical="center"/>
    </xf>
    <xf numFmtId="164" fontId="0" fillId="2" borderId="1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9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8" xr:uid="{00000000-0005-0000-0000-000007000000}"/>
    <cellStyle name="Normal 3" xfId="4" xr:uid="{00000000-0005-0000-0000-000008000000}"/>
    <cellStyle name="Normal 3 2" xfId="6" xr:uid="{00000000-0005-0000-0000-000009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</a:t>
            </a:r>
            <a:r>
              <a:rPr lang="en-US" sz="1100" baseline="0">
                <a:latin typeface="Candara" panose="020E0502030303020204" pitchFamily="34" charset="0"/>
                <a:cs typeface="Consolas" pitchFamily="49" charset="0"/>
              </a:rPr>
              <a:t>  20.5: </a:t>
            </a: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Number of local council members by sex, 2020</a:t>
            </a:r>
          </a:p>
        </c:rich>
      </c:tx>
      <c:layout>
        <c:manualLayout>
          <c:xMode val="edge"/>
          <c:yMode val="edge"/>
          <c:x val="0.26693366351467901"/>
          <c:y val="3.66158602352983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687611396377778"/>
          <c:y val="0.17101665622116047"/>
          <c:w val="0.86935468199437371"/>
          <c:h val="0.67959247431918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'20.8'!$C$5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'20.8'!$A$7:$A$9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'20.8'!$C$7:$C$9</c:f>
              <c:numCache>
                <c:formatCode>#,##0_);\(#,##0\)</c:formatCode>
                <c:ptCount val="3"/>
                <c:pt idx="0">
                  <c:v>61</c:v>
                </c:pt>
                <c:pt idx="1">
                  <c:v>500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5-49A7-9AA8-932C53F590C7}"/>
            </c:ext>
          </c:extLst>
        </c:ser>
        <c:ser>
          <c:idx val="1"/>
          <c:order val="1"/>
          <c:tx>
            <c:strRef>
              <c:f>'20.8'!$D$5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A29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'20.8'!$A$7:$A$9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'20.8'!$D$7:$D$9</c:f>
              <c:numCache>
                <c:formatCode>#,##0_);\(#,##0\)</c:formatCode>
                <c:ptCount val="3"/>
                <c:pt idx="0">
                  <c:v>1</c:v>
                </c:pt>
                <c:pt idx="1">
                  <c:v>32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5-49A7-9AA8-932C53F590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666224"/>
        <c:axId val="137925088"/>
      </c:barChart>
      <c:catAx>
        <c:axId val="139666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7925088"/>
        <c:crosses val="autoZero"/>
        <c:auto val="1"/>
        <c:lblAlgn val="ctr"/>
        <c:lblOffset val="100"/>
        <c:noMultiLvlLbl val="0"/>
      </c:catAx>
      <c:valAx>
        <c:axId val="1379250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36987476074E-2"/>
              <c:y val="0.35349284110534296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139666224"/>
        <c:crosses val="autoZero"/>
        <c:crossBetween val="between"/>
        <c:majorUnit val="200"/>
      </c:valAx>
      <c:spPr>
        <a:solidFill>
          <a:srgbClr val="EFFFFF"/>
        </a:solidFill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16665463030216612"/>
          <c:y val="0.22749929476877989"/>
          <c:w val="0.21579249374644505"/>
          <c:h val="7.68155227923665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1011491</xdr:colOff>
      <xdr:row>11</xdr:row>
      <xdr:rowOff>1</xdr:rowOff>
    </xdr:from>
    <xdr:to>
      <xdr:col>10</xdr:col>
      <xdr:colOff>476250</xdr:colOff>
      <xdr:row>22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K20"/>
  <sheetViews>
    <sheetView tabSelected="1" zoomScaleNormal="100" workbookViewId="0">
      <selection activeCell="O9" sqref="O9"/>
    </sheetView>
  </sheetViews>
  <sheetFormatPr defaultColWidth="9.140625" defaultRowHeight="21" x14ac:dyDescent="0.55000000000000004"/>
  <cols>
    <col min="1" max="1" width="29.7109375" style="1" customWidth="1"/>
    <col min="2" max="10" width="9.7109375" style="1" customWidth="1"/>
    <col min="11" max="11" width="20.140625" style="3" customWidth="1"/>
    <col min="12" max="12" width="2.42578125" style="1" customWidth="1"/>
    <col min="13" max="14" width="9.140625" style="1"/>
    <col min="15" max="15" width="18.28515625" style="1" customWidth="1"/>
    <col min="16" max="16" width="15" style="1" customWidth="1"/>
    <col min="17" max="16384" width="9.140625" style="1"/>
  </cols>
  <sheetData>
    <row r="1" spans="1:11" s="2" customFormat="1" ht="21.75" x14ac:dyDescent="0.55000000000000004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15.75" x14ac:dyDescent="0.25">
      <c r="A2" s="37" t="s">
        <v>19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1" s="9" customFormat="1" x14ac:dyDescent="0.25">
      <c r="A4" s="34" t="s">
        <v>4</v>
      </c>
      <c r="B4" s="38" t="s">
        <v>5</v>
      </c>
      <c r="C4" s="38"/>
      <c r="D4" s="38"/>
      <c r="E4" s="39" t="s">
        <v>6</v>
      </c>
      <c r="F4" s="38"/>
      <c r="G4" s="40"/>
      <c r="H4" s="38" t="s">
        <v>7</v>
      </c>
      <c r="I4" s="38"/>
      <c r="J4" s="38"/>
      <c r="K4" s="35" t="s">
        <v>8</v>
      </c>
    </row>
    <row r="5" spans="1:11" ht="15" x14ac:dyDescent="0.25">
      <c r="A5" s="32"/>
      <c r="B5" s="10" t="s">
        <v>2</v>
      </c>
      <c r="C5" s="10" t="s">
        <v>3</v>
      </c>
      <c r="D5" s="10" t="s">
        <v>1</v>
      </c>
      <c r="E5" s="11" t="s">
        <v>2</v>
      </c>
      <c r="F5" s="10" t="s">
        <v>3</v>
      </c>
      <c r="G5" s="12" t="s">
        <v>1</v>
      </c>
      <c r="H5" s="10" t="s">
        <v>2</v>
      </c>
      <c r="I5" s="10" t="s">
        <v>3</v>
      </c>
      <c r="J5" s="10" t="s">
        <v>1</v>
      </c>
      <c r="K5" s="36"/>
    </row>
    <row r="6" spans="1:11" x14ac:dyDescent="0.25">
      <c r="A6" s="26" t="s">
        <v>20</v>
      </c>
      <c r="B6" s="13">
        <f>E6+H6</f>
        <v>617</v>
      </c>
      <c r="C6" s="13">
        <f>F6+I6</f>
        <v>580</v>
      </c>
      <c r="D6" s="13">
        <f>G6+J6</f>
        <v>37</v>
      </c>
      <c r="E6" s="28">
        <f>SUM(F6:G6)</f>
        <v>13</v>
      </c>
      <c r="F6" s="29">
        <f>SUM(F7:F9)</f>
        <v>10</v>
      </c>
      <c r="G6" s="27">
        <f>SUM(G7:G9)</f>
        <v>3</v>
      </c>
      <c r="H6" s="13">
        <f>SUM(I6:J6)</f>
        <v>604</v>
      </c>
      <c r="I6" s="13">
        <f t="shared" ref="I6:J6" si="0">SUM(I7:I9)</f>
        <v>570</v>
      </c>
      <c r="J6" s="13">
        <f t="shared" si="0"/>
        <v>34</v>
      </c>
      <c r="K6" s="14" t="s">
        <v>9</v>
      </c>
    </row>
    <row r="7" spans="1:11" x14ac:dyDescent="0.25">
      <c r="A7" s="6" t="s">
        <v>10</v>
      </c>
      <c r="B7" s="13">
        <f t="shared" ref="B7:D8" si="1">H7</f>
        <v>62</v>
      </c>
      <c r="C7" s="15">
        <f t="shared" si="1"/>
        <v>61</v>
      </c>
      <c r="D7" s="15">
        <f t="shared" si="1"/>
        <v>1</v>
      </c>
      <c r="E7" s="30" t="s">
        <v>0</v>
      </c>
      <c r="F7" s="8" t="s">
        <v>0</v>
      </c>
      <c r="G7" s="31" t="s">
        <v>0</v>
      </c>
      <c r="H7" s="13">
        <f t="shared" ref="H7:H9" si="2">SUM(I7:J7)</f>
        <v>62</v>
      </c>
      <c r="I7" s="22">
        <v>61</v>
      </c>
      <c r="J7" s="22">
        <v>1</v>
      </c>
      <c r="K7" s="16" t="s">
        <v>11</v>
      </c>
    </row>
    <row r="8" spans="1:11" x14ac:dyDescent="0.25">
      <c r="A8" s="6" t="s">
        <v>12</v>
      </c>
      <c r="B8" s="13">
        <f t="shared" si="1"/>
        <v>532</v>
      </c>
      <c r="C8" s="15">
        <f t="shared" si="1"/>
        <v>500</v>
      </c>
      <c r="D8" s="15">
        <f t="shared" si="1"/>
        <v>32</v>
      </c>
      <c r="E8" s="30" t="s">
        <v>0</v>
      </c>
      <c r="F8" s="8" t="s">
        <v>0</v>
      </c>
      <c r="G8" s="31" t="s">
        <v>0</v>
      </c>
      <c r="H8" s="13">
        <f t="shared" si="2"/>
        <v>532</v>
      </c>
      <c r="I8" s="22">
        <v>500</v>
      </c>
      <c r="J8" s="22">
        <v>32</v>
      </c>
      <c r="K8" s="16" t="s">
        <v>13</v>
      </c>
    </row>
    <row r="9" spans="1:11" x14ac:dyDescent="0.25">
      <c r="A9" s="17" t="s">
        <v>14</v>
      </c>
      <c r="B9" s="18">
        <f>E9+H9</f>
        <v>23</v>
      </c>
      <c r="C9" s="19">
        <f t="shared" ref="C9:D9" si="3">F9+I9</f>
        <v>19</v>
      </c>
      <c r="D9" s="19">
        <f t="shared" si="3"/>
        <v>4</v>
      </c>
      <c r="E9" s="20">
        <f t="shared" ref="E9" si="4">SUM(F9:G9)</f>
        <v>13</v>
      </c>
      <c r="F9" s="23">
        <v>10</v>
      </c>
      <c r="G9" s="24">
        <v>3</v>
      </c>
      <c r="H9" s="18">
        <f t="shared" si="2"/>
        <v>10</v>
      </c>
      <c r="I9" s="23">
        <v>9</v>
      </c>
      <c r="J9" s="23">
        <v>1</v>
      </c>
      <c r="K9" s="21" t="s">
        <v>15</v>
      </c>
    </row>
    <row r="10" spans="1:11" ht="18" x14ac:dyDescent="0.45">
      <c r="A10" s="7" t="s">
        <v>16</v>
      </c>
      <c r="B10" s="4"/>
      <c r="C10" s="4"/>
      <c r="D10" s="4"/>
      <c r="E10" s="4"/>
      <c r="F10" s="4"/>
      <c r="G10" s="4"/>
      <c r="H10" s="4"/>
      <c r="I10" s="4"/>
      <c r="J10" s="4"/>
      <c r="K10" s="5" t="s">
        <v>17</v>
      </c>
    </row>
    <row r="16" spans="1:11" x14ac:dyDescent="0.55000000000000004">
      <c r="E16" s="9"/>
      <c r="F16" s="9"/>
      <c r="G16" s="9"/>
    </row>
    <row r="17" spans="5:7" x14ac:dyDescent="0.55000000000000004">
      <c r="E17" s="25"/>
      <c r="F17" s="25"/>
      <c r="G17" s="25"/>
    </row>
    <row r="18" spans="5:7" x14ac:dyDescent="0.55000000000000004">
      <c r="E18" s="25"/>
      <c r="F18" s="25"/>
      <c r="G18" s="25"/>
    </row>
    <row r="19" spans="5:7" x14ac:dyDescent="0.55000000000000004">
      <c r="E19" s="25"/>
      <c r="F19" s="25"/>
      <c r="G19" s="25"/>
    </row>
    <row r="20" spans="5:7" x14ac:dyDescent="0.55000000000000004">
      <c r="E20" s="25"/>
      <c r="F20" s="25"/>
      <c r="G20" s="25"/>
    </row>
  </sheetData>
  <mergeCells count="7">
    <mergeCell ref="A1:K1"/>
    <mergeCell ref="A2:K2"/>
    <mergeCell ref="A4:A5"/>
    <mergeCell ref="B4:D4"/>
    <mergeCell ref="E4:G4"/>
    <mergeCell ref="H4:J4"/>
    <mergeCell ref="K4:K5"/>
  </mergeCell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2024-10-05T09:47:36Z</cp:lastPrinted>
  <dcterms:created xsi:type="dcterms:W3CDTF">2019-09-10T03:17:03Z</dcterms:created>
  <dcterms:modified xsi:type="dcterms:W3CDTF">2024-10-05T09:47:47Z</dcterms:modified>
</cp:coreProperties>
</file>