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20.Political Parties\"/>
    </mc:Choice>
  </mc:AlternateContent>
  <xr:revisionPtr revIDLastSave="0" documentId="13_ncr:1_{E2320347-55FE-4C6F-8551-55B35959B1B9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9" sheetId="7" r:id="rId1"/>
  </sheets>
  <definedNames>
    <definedName name="_xlnm.Print_Area" localSheetId="0">'20.9'!$A$1:$AR$36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2" i="7" l="1"/>
  <c r="AP32" i="7"/>
  <c r="AO32" i="7"/>
  <c r="AN32" i="7"/>
  <c r="AQ31" i="7"/>
  <c r="AP31" i="7"/>
  <c r="AO31" i="7"/>
  <c r="AN31" i="7"/>
  <c r="AQ29" i="7"/>
  <c r="AP29" i="7"/>
  <c r="AO29" i="7"/>
  <c r="AN29" i="7"/>
  <c r="AQ28" i="7"/>
  <c r="AP28" i="7"/>
  <c r="AO28" i="7"/>
  <c r="AN28" i="7"/>
  <c r="AQ27" i="7"/>
  <c r="AP27" i="7"/>
  <c r="AO27" i="7"/>
  <c r="AN27" i="7"/>
  <c r="AQ26" i="7"/>
  <c r="AP26" i="7"/>
  <c r="AO26" i="7"/>
  <c r="AN26" i="7"/>
  <c r="AQ25" i="7"/>
  <c r="AP25" i="7"/>
  <c r="AO25" i="7"/>
  <c r="AN25" i="7"/>
  <c r="AQ24" i="7"/>
  <c r="AP24" i="7"/>
  <c r="AO24" i="7"/>
  <c r="AN24" i="7"/>
  <c r="AQ23" i="7"/>
  <c r="AP23" i="7"/>
  <c r="AO23" i="7"/>
  <c r="AN23" i="7"/>
  <c r="AQ22" i="7"/>
  <c r="AP22" i="7"/>
  <c r="AO22" i="7"/>
  <c r="AN22" i="7"/>
  <c r="AQ21" i="7"/>
  <c r="AP21" i="7"/>
  <c r="AO21" i="7"/>
  <c r="AN21" i="7"/>
  <c r="AQ20" i="7"/>
  <c r="AP20" i="7"/>
  <c r="AO20" i="7"/>
  <c r="AN20" i="7"/>
  <c r="AQ19" i="7"/>
  <c r="AP19" i="7"/>
  <c r="AO19" i="7"/>
  <c r="AN19" i="7"/>
  <c r="AQ18" i="7"/>
  <c r="AP18" i="7"/>
  <c r="AO18" i="7"/>
  <c r="AN18" i="7"/>
  <c r="AQ17" i="7"/>
  <c r="AP17" i="7"/>
  <c r="AO17" i="7"/>
  <c r="AN17" i="7"/>
  <c r="AQ16" i="7"/>
  <c r="AP16" i="7"/>
  <c r="AO16" i="7"/>
  <c r="AN16" i="7"/>
  <c r="AQ15" i="7"/>
  <c r="AP15" i="7"/>
  <c r="AO15" i="7"/>
  <c r="AN15" i="7"/>
  <c r="AQ14" i="7"/>
  <c r="AP14" i="7"/>
  <c r="AO14" i="7"/>
  <c r="AN14" i="7"/>
  <c r="AQ13" i="7"/>
  <c r="AP13" i="7"/>
  <c r="AO13" i="7"/>
  <c r="AQ12" i="7"/>
  <c r="AP12" i="7"/>
  <c r="AO12" i="7"/>
  <c r="AN12" i="7"/>
  <c r="AQ11" i="7"/>
  <c r="AP11" i="7"/>
  <c r="AO11" i="7"/>
  <c r="AN11" i="7"/>
  <c r="AQ10" i="7"/>
  <c r="AP10" i="7"/>
  <c r="AO10" i="7"/>
  <c r="AN10" i="7"/>
  <c r="AF9" i="7"/>
  <c r="AE9" i="7"/>
  <c r="AD9" i="7"/>
  <c r="AN9" i="7" s="1"/>
  <c r="T9" i="7"/>
  <c r="AQ9" i="7" s="1"/>
  <c r="S9" i="7"/>
  <c r="AP9" i="7" s="1"/>
  <c r="R9" i="7"/>
  <c r="Q9" i="7"/>
  <c r="M9" i="7"/>
  <c r="L9" i="7"/>
  <c r="K9" i="7"/>
  <c r="J9" i="7"/>
  <c r="I9" i="7"/>
  <c r="H9" i="7"/>
  <c r="G9" i="7"/>
  <c r="F9" i="7"/>
  <c r="E9" i="7"/>
  <c r="D9" i="7"/>
  <c r="C9" i="7"/>
  <c r="B9" i="7"/>
  <c r="AO9" i="7" l="1"/>
</calcChain>
</file>

<file path=xl/sharedStrings.xml><?xml version="1.0" encoding="utf-8"?>
<sst xmlns="http://schemas.openxmlformats.org/spreadsheetml/2006/main" count="99" uniqueCount="68">
  <si>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</si>
  <si>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</si>
  <si>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</si>
  <si>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</si>
  <si>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</si>
  <si>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</si>
  <si>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</si>
  <si>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</si>
  <si>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</si>
  <si>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</si>
  <si>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</si>
  <si>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</si>
  <si>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</si>
  <si>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</si>
  <si>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</si>
  <si>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</si>
  <si>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</si>
  <si>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</si>
  <si>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</si>
  <si>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</si>
  <si>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</si>
  <si>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</si>
  <si>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</si>
  <si>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</si>
  <si>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</si>
  <si>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</si>
  <si>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</si>
  <si>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</si>
  <si>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</si>
  <si>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</si>
  <si>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</si>
  <si>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</si>
  <si>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</si>
  <si>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</si>
  <si>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</si>
  <si>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</si>
  <si>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ޏ</t>
  </si>
  <si>
    <t>City / Atoll</t>
  </si>
  <si>
    <t>ސިޓީ / އަތޮޅު</t>
  </si>
  <si>
    <t xml:space="preserve">ކައުންސިލްތަކުގެ </t>
  </si>
  <si>
    <t>މެމްބަރުންގެ</t>
  </si>
  <si>
    <t>Total council budget</t>
  </si>
  <si>
    <t>Salary &amp; allowances of council members &amp; staff</t>
  </si>
  <si>
    <t xml:space="preserve"> ޢަދަދު</t>
  </si>
  <si>
    <t>ކައުންސިލް މެމްބަރުންނާއި މުވައްޒަފުންގެ މުސާރައާއި އެލަވަންސް</t>
  </si>
  <si>
    <t>Number of councils</t>
  </si>
  <si>
    <t>Number  of members (end)</t>
  </si>
  <si>
    <t>ކައުންސިލްތަކުގެ ޖުމްލަ ބަޖެޓް</t>
  </si>
  <si>
    <t>Total</t>
  </si>
  <si>
    <t>ޖުމްލަ</t>
  </si>
  <si>
    <t>މާލޭ ސިޓީ</t>
  </si>
  <si>
    <t>އައްޑޫ ސިޓީ</t>
  </si>
  <si>
    <t>މަޢުލޫމާތު ދެއްވި ފަރާތް:  މިނިސްޓްރީ އޮފް ފިނޭންސް އެންޑް ޓްރެޜަރީ</t>
  </si>
  <si>
    <t>TABLE 20.9: ELECTED LOCAL COUNCIL MEMBERS BY ATOLL AND FINANCIAL RESOURCES, 2019  - 2023</t>
  </si>
  <si>
    <r>
      <t>Budget Expenditure  (MVR)        (</t>
    </r>
    <r>
      <rPr>
        <b/>
        <sz val="10.5"/>
        <rFont val="Faruma"/>
      </rPr>
      <t xml:space="preserve">ބަޖެޓް ޚަރަދު (ރުފިޔާ </t>
    </r>
  </si>
  <si>
    <r>
      <t xml:space="preserve">Percentage share  </t>
    </r>
    <r>
      <rPr>
        <b/>
        <sz val="10.5"/>
        <rFont val="Faruma"/>
      </rPr>
      <t>އިންސައްތައިން</t>
    </r>
  </si>
  <si>
    <r>
      <t xml:space="preserve">Numbers      </t>
    </r>
    <r>
      <rPr>
        <b/>
        <sz val="10.5"/>
        <rFont val="Faruma"/>
      </rPr>
      <t xml:space="preserve"> ޢަދަދު</t>
    </r>
  </si>
  <si>
    <t>Male' City Council</t>
  </si>
  <si>
    <t>Kulhudhuffushee City Council</t>
  </si>
  <si>
    <t>ކުޅުދުއްފުށި ސިޓީ</t>
  </si>
  <si>
    <t>Thinadhoo City Council</t>
  </si>
  <si>
    <t>ތިނަދޫ ސިޓީ</t>
  </si>
  <si>
    <t>Fuvamulaku City Council</t>
  </si>
  <si>
    <t>Addu City Council</t>
  </si>
  <si>
    <t>Source:  Ministry of Finance</t>
  </si>
  <si>
    <t>Notes:</t>
  </si>
  <si>
    <t>1) Kulhudhuffishi City Council and Thinadhoo City Council has been created 2020 and 2023 onwards respectively.</t>
  </si>
  <si>
    <t>ތާވަލު 20.9: ލޯކަލް ކައުންސިލްތަކާއި މެމްބަރުންގެ ޢަދަދު އަދި ކައުންސިލްތަކަށް ހިނގި ޚަރަދު، 2019 - 2023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</si>
</sst>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0"/>
      <name val="Faruma"/>
    </font>
    <font>
      <b/>
      <sz val="12"/>
      <name val="Farum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Calibri"/>
      <family val="2"/>
      <scheme val="minor"/>
    </font>
    <font>
      <b/>
      <sz val="10.5"/>
      <name val="Calibri"/>
      <family val="2"/>
      <scheme val="minor"/>
    </font>
    <font>
      <b/>
      <sz val="10.5"/>
      <name val="Faruma"/>
    </font>
    <font>
      <b/>
      <sz val="11"/>
      <name val="Faruma"/>
    </font>
    <font>
      <b/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Faruma"/>
    </font>
    <font>
      <i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2" fillId="0" borderId="0"/>
  </cellStyleXfs>
  <cellXfs count="111">
    <xf numFmtId="0" fontId="0" fillId="0" borderId="0" xfId="0"/>
    <xf numFmtId="0" fontId="5" fillId="2" borderId="0" xfId="0" applyFont="1" applyFill="1"/>
    <xf numFmtId="164" fontId="6" fillId="2" borderId="0" xfId="1" applyNumberFormat="1" applyFont="1" applyFill="1" applyBorder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wrapText="1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20" xfId="0" applyFont="1" applyFill="1" applyBorder="1" applyAlignment="1">
      <alignment horizontal="center"/>
    </xf>
    <xf numFmtId="0" fontId="8" fillId="2" borderId="16" xfId="0" applyFont="1" applyFill="1" applyBorder="1"/>
    <xf numFmtId="0" fontId="8" fillId="2" borderId="3" xfId="0" applyFont="1" applyFill="1" applyBorder="1"/>
    <xf numFmtId="0" fontId="7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 vertical="center" wrapText="1"/>
    </xf>
    <xf numFmtId="0" fontId="10" fillId="2" borderId="15" xfId="0" applyFont="1" applyFill="1" applyBorder="1" applyAlignment="1">
      <alignment horizontal="right" vertical="center" wrapText="1"/>
    </xf>
    <xf numFmtId="0" fontId="10" fillId="2" borderId="17" xfId="0" applyFont="1" applyFill="1" applyBorder="1" applyAlignment="1">
      <alignment horizontal="right" vertical="center" wrapText="1"/>
    </xf>
    <xf numFmtId="0" fontId="10" fillId="2" borderId="19" xfId="0" applyFont="1" applyFill="1" applyBorder="1" applyAlignment="1">
      <alignment horizontal="right" vertical="center" wrapText="1"/>
    </xf>
    <xf numFmtId="0" fontId="9" fillId="2" borderId="0" xfId="0" applyFont="1" applyFill="1" applyAlignment="1">
      <alignment vertical="center"/>
    </xf>
    <xf numFmtId="0" fontId="11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right" vertical="center" wrapText="1"/>
    </xf>
    <xf numFmtId="0" fontId="9" fillId="2" borderId="15" xfId="0" applyFont="1" applyFill="1" applyBorder="1" applyAlignment="1">
      <alignment horizontal="right" vertical="center" wrapText="1"/>
    </xf>
    <xf numFmtId="0" fontId="9" fillId="2" borderId="17" xfId="0" applyFont="1" applyFill="1" applyBorder="1" applyAlignment="1">
      <alignment horizontal="right" vertical="center" wrapText="1"/>
    </xf>
    <xf numFmtId="0" fontId="9" fillId="2" borderId="19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vertical="center"/>
    </xf>
    <xf numFmtId="0" fontId="9" fillId="2" borderId="6" xfId="0" applyFont="1" applyFill="1" applyBorder="1" applyAlignment="1">
      <alignment horizontal="right" vertical="center" wrapText="1"/>
    </xf>
    <xf numFmtId="0" fontId="9" fillId="2" borderId="1" xfId="0" applyFont="1" applyFill="1" applyBorder="1" applyAlignment="1">
      <alignment horizontal="right" vertical="center" wrapText="1"/>
    </xf>
    <xf numFmtId="0" fontId="9" fillId="2" borderId="10" xfId="0" applyFont="1" applyFill="1" applyBorder="1" applyAlignment="1">
      <alignment horizontal="right" vertical="center" wrapText="1"/>
    </xf>
    <xf numFmtId="0" fontId="9" fillId="2" borderId="11" xfId="0" applyFont="1" applyFill="1" applyBorder="1" applyAlignment="1">
      <alignment horizontal="right" vertical="center" wrapText="1"/>
    </xf>
    <xf numFmtId="0" fontId="11" fillId="2" borderId="4" xfId="0" applyFont="1" applyFill="1" applyBorder="1" applyAlignment="1">
      <alignment horizontal="right" vertical="center" wrapText="1"/>
    </xf>
    <xf numFmtId="164" fontId="7" fillId="2" borderId="0" xfId="1" applyNumberFormat="1" applyFont="1" applyFill="1" applyBorder="1" applyAlignment="1">
      <alignment vertical="center"/>
    </xf>
    <xf numFmtId="164" fontId="7" fillId="2" borderId="15" xfId="1" applyNumberFormat="1" applyFont="1" applyFill="1" applyBorder="1" applyAlignment="1">
      <alignment vertical="center"/>
    </xf>
    <xf numFmtId="164" fontId="7" fillId="2" borderId="17" xfId="1" applyNumberFormat="1" applyFont="1" applyFill="1" applyBorder="1" applyAlignment="1">
      <alignment vertical="center"/>
    </xf>
    <xf numFmtId="164" fontId="7" fillId="2" borderId="19" xfId="1" applyNumberFormat="1" applyFont="1" applyFill="1" applyBorder="1" applyAlignment="1">
      <alignment vertical="center"/>
    </xf>
    <xf numFmtId="166" fontId="7" fillId="2" borderId="7" xfId="0" applyNumberFormat="1" applyFont="1" applyFill="1" applyBorder="1" applyAlignment="1">
      <alignment vertical="center" wrapText="1"/>
    </xf>
    <xf numFmtId="166" fontId="7" fillId="2" borderId="0" xfId="0" applyNumberFormat="1" applyFont="1" applyFill="1" applyAlignment="1">
      <alignment vertical="center" wrapText="1"/>
    </xf>
    <xf numFmtId="166" fontId="7" fillId="2" borderId="2" xfId="0" applyNumberFormat="1" applyFont="1" applyFill="1" applyBorder="1" applyAlignment="1">
      <alignment vertical="center" wrapText="1"/>
    </xf>
    <xf numFmtId="166" fontId="7" fillId="2" borderId="3" xfId="0" applyNumberFormat="1" applyFont="1" applyFill="1" applyBorder="1" applyAlignment="1">
      <alignment vertical="center" wrapText="1"/>
    </xf>
    <xf numFmtId="166" fontId="7" fillId="2" borderId="19" xfId="0" applyNumberFormat="1" applyFont="1" applyFill="1" applyBorder="1" applyAlignment="1">
      <alignment vertical="center" wrapText="1"/>
    </xf>
    <xf numFmtId="0" fontId="11" fillId="2" borderId="7" xfId="0" applyFont="1" applyFill="1" applyBorder="1" applyAlignment="1">
      <alignment horizontal="right" vertical="center" wrapText="1"/>
    </xf>
    <xf numFmtId="0" fontId="6" fillId="2" borderId="0" xfId="10" applyFont="1" applyFill="1" applyAlignment="1">
      <alignment horizontal="left" vertical="top" wrapText="1" indent="2"/>
    </xf>
    <xf numFmtId="164" fontId="6" fillId="2" borderId="0" xfId="1" applyNumberFormat="1" applyFont="1" applyFill="1" applyBorder="1" applyAlignment="1">
      <alignment vertical="center"/>
    </xf>
    <xf numFmtId="164" fontId="6" fillId="2" borderId="15" xfId="1" applyNumberFormat="1" applyFont="1" applyFill="1" applyBorder="1" applyAlignment="1">
      <alignment vertical="center"/>
    </xf>
    <xf numFmtId="164" fontId="6" fillId="2" borderId="17" xfId="1" applyNumberFormat="1" applyFont="1" applyFill="1" applyBorder="1" applyAlignment="1">
      <alignment vertical="center"/>
    </xf>
    <xf numFmtId="164" fontId="6" fillId="2" borderId="19" xfId="1" applyNumberFormat="1" applyFont="1" applyFill="1" applyBorder="1" applyAlignment="1">
      <alignment vertical="center"/>
    </xf>
    <xf numFmtId="166" fontId="6" fillId="2" borderId="7" xfId="1" applyNumberFormat="1" applyFont="1" applyFill="1" applyBorder="1" applyAlignment="1">
      <alignment vertical="center"/>
    </xf>
    <xf numFmtId="166" fontId="6" fillId="2" borderId="0" xfId="1" applyNumberFormat="1" applyFont="1" applyFill="1" applyBorder="1" applyAlignment="1">
      <alignment vertical="center"/>
    </xf>
    <xf numFmtId="166" fontId="6" fillId="2" borderId="19" xfId="1" applyNumberFormat="1" applyFont="1" applyFill="1" applyBorder="1" applyAlignment="1">
      <alignment vertical="center"/>
    </xf>
    <xf numFmtId="166" fontId="6" fillId="2" borderId="0" xfId="1" applyNumberFormat="1" applyFont="1" applyFill="1" applyBorder="1" applyAlignment="1">
      <alignment vertical="center" wrapText="1"/>
    </xf>
    <xf numFmtId="166" fontId="6" fillId="2" borderId="19" xfId="1" applyNumberFormat="1" applyFont="1" applyFill="1" applyBorder="1" applyAlignment="1">
      <alignment vertical="center" wrapText="1"/>
    </xf>
    <xf numFmtId="166" fontId="6" fillId="2" borderId="0" xfId="0" applyNumberFormat="1" applyFont="1" applyFill="1" applyAlignment="1">
      <alignment vertical="center" wrapText="1"/>
    </xf>
    <xf numFmtId="3" fontId="4" fillId="2" borderId="7" xfId="2" applyNumberFormat="1" applyFont="1" applyFill="1" applyBorder="1" applyAlignment="1">
      <alignment horizontal="right" vertical="center" indent="2"/>
    </xf>
    <xf numFmtId="43" fontId="6" fillId="2" borderId="0" xfId="1" applyFont="1" applyFill="1" applyBorder="1"/>
    <xf numFmtId="164" fontId="6" fillId="2" borderId="0" xfId="1" applyNumberFormat="1" applyFont="1" applyFill="1" applyBorder="1" applyAlignment="1">
      <alignment horizontal="left" vertical="center"/>
    </xf>
    <xf numFmtId="164" fontId="6" fillId="2" borderId="15" xfId="1" applyNumberFormat="1" applyFont="1" applyFill="1" applyBorder="1" applyAlignment="1">
      <alignment horizontal="left" vertical="center"/>
    </xf>
    <xf numFmtId="164" fontId="6" fillId="2" borderId="17" xfId="1" applyNumberFormat="1" applyFont="1" applyFill="1" applyBorder="1" applyAlignment="1">
      <alignment horizontal="left" vertical="center"/>
    </xf>
    <xf numFmtId="166" fontId="6" fillId="2" borderId="19" xfId="0" applyNumberFormat="1" applyFont="1" applyFill="1" applyBorder="1" applyAlignment="1">
      <alignment vertical="center" wrapText="1"/>
    </xf>
    <xf numFmtId="164" fontId="7" fillId="2" borderId="0" xfId="1" applyNumberFormat="1" applyFont="1" applyFill="1" applyBorder="1"/>
    <xf numFmtId="3" fontId="12" fillId="2" borderId="7" xfId="2" applyNumberFormat="1" applyFont="1" applyFill="1" applyBorder="1" applyAlignment="1">
      <alignment horizontal="right" vertical="center" indent="2"/>
    </xf>
    <xf numFmtId="11" fontId="6" fillId="2" borderId="0" xfId="1" applyNumberFormat="1" applyFont="1" applyFill="1" applyBorder="1"/>
    <xf numFmtId="0" fontId="6" fillId="2" borderId="1" xfId="10" applyFont="1" applyFill="1" applyBorder="1" applyAlignment="1">
      <alignment horizontal="left" vertical="top" wrapText="1" indent="2"/>
    </xf>
    <xf numFmtId="164" fontId="6" fillId="2" borderId="1" xfId="1" applyNumberFormat="1" applyFont="1" applyFill="1" applyBorder="1" applyAlignment="1">
      <alignment vertical="center"/>
    </xf>
    <xf numFmtId="164" fontId="6" fillId="2" borderId="13" xfId="1" applyNumberFormat="1" applyFont="1" applyFill="1" applyBorder="1" applyAlignment="1">
      <alignment vertical="center"/>
    </xf>
    <xf numFmtId="164" fontId="6" fillId="2" borderId="14" xfId="1" applyNumberFormat="1" applyFont="1" applyFill="1" applyBorder="1" applyAlignment="1">
      <alignment vertical="center"/>
    </xf>
    <xf numFmtId="164" fontId="6" fillId="2" borderId="12" xfId="1" applyNumberFormat="1" applyFont="1" applyFill="1" applyBorder="1" applyAlignment="1">
      <alignment vertical="center"/>
    </xf>
    <xf numFmtId="166" fontId="6" fillId="2" borderId="6" xfId="1" applyNumberFormat="1" applyFont="1" applyFill="1" applyBorder="1" applyAlignment="1">
      <alignment vertical="center"/>
    </xf>
    <xf numFmtId="166" fontId="6" fillId="2" borderId="1" xfId="1" applyNumberFormat="1" applyFont="1" applyFill="1" applyBorder="1" applyAlignment="1">
      <alignment vertical="center"/>
    </xf>
    <xf numFmtId="166" fontId="6" fillId="2" borderId="12" xfId="1" applyNumberFormat="1" applyFont="1" applyFill="1" applyBorder="1" applyAlignment="1">
      <alignment vertical="center"/>
    </xf>
    <xf numFmtId="166" fontId="6" fillId="2" borderId="1" xfId="1" applyNumberFormat="1" applyFont="1" applyFill="1" applyBorder="1" applyAlignment="1">
      <alignment vertical="center" wrapText="1"/>
    </xf>
    <xf numFmtId="166" fontId="6" fillId="2" borderId="12" xfId="1" applyNumberFormat="1" applyFont="1" applyFill="1" applyBorder="1" applyAlignment="1">
      <alignment vertical="center" wrapText="1"/>
    </xf>
    <xf numFmtId="166" fontId="6" fillId="2" borderId="1" xfId="0" applyNumberFormat="1" applyFont="1" applyFill="1" applyBorder="1" applyAlignment="1">
      <alignment vertical="center" wrapText="1"/>
    </xf>
    <xf numFmtId="3" fontId="4" fillId="2" borderId="6" xfId="2" applyNumberFormat="1" applyFont="1" applyFill="1" applyBorder="1" applyAlignment="1">
      <alignment horizontal="right" vertical="center" indent="2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wrapText="1"/>
    </xf>
    <xf numFmtId="43" fontId="14" fillId="2" borderId="0" xfId="0" applyNumberFormat="1" applyFont="1" applyFill="1" applyAlignment="1">
      <alignment wrapText="1"/>
    </xf>
    <xf numFmtId="0" fontId="15" fillId="2" borderId="0" xfId="0" applyFont="1" applyFill="1" applyAlignment="1">
      <alignment vertical="center"/>
    </xf>
    <xf numFmtId="164" fontId="14" fillId="2" borderId="0" xfId="1" applyNumberFormat="1" applyFont="1" applyFill="1" applyBorder="1"/>
    <xf numFmtId="0" fontId="6" fillId="2" borderId="0" xfId="0" applyFont="1" applyFill="1" applyAlignment="1">
      <alignment horizontal="left" vertical="center" wrapText="1"/>
    </xf>
    <xf numFmtId="11" fontId="6" fillId="2" borderId="0" xfId="0" applyNumberFormat="1" applyFont="1" applyFill="1"/>
    <xf numFmtId="164" fontId="6" fillId="2" borderId="0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left" vertical="center"/>
    </xf>
    <xf numFmtId="0" fontId="9" fillId="2" borderId="23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</cellXfs>
  <cellStyles count="11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Normal 2" xfId="6" xr:uid="{00000000-0005-0000-0000-000005000000}"/>
    <cellStyle name="Normal 2 2" xfId="8" xr:uid="{00000000-0005-0000-0000-000006000000}"/>
    <cellStyle name="Normal 2 3" xfId="9" xr:uid="{00000000-0005-0000-0000-000007000000}"/>
    <cellStyle name="Normal 3" xfId="5" xr:uid="{00000000-0005-0000-0000-000008000000}"/>
    <cellStyle name="Normal 3 2" xfId="7" xr:uid="{00000000-0005-0000-0000-000009000000}"/>
    <cellStyle name="Normal_19.8" xfId="10" xr:uid="{00000000-0005-0000-0000-00000A000000}"/>
    <cellStyle name="Normal_II-15(Population) 2" xfId="2" xr:uid="{00000000-0005-0000-0000-00000B000000}"/>
  </cellStyles>
  <dxfs count="0"/>
  <tableStyles count="0" defaultTableStyle="TableStyleMedium2" defaultPivotStyle="PivotStyleLight16"/>
  <colors>
    <mruColors>
      <color rgb="FF004442"/>
      <color rgb="FFEFFFFF"/>
      <color rgb="FF00A29E"/>
      <color rgb="FFFFCC66"/>
      <color rgb="FFE7FFFF"/>
      <color rgb="FFD9FFFF"/>
      <color rgb="FFA7FFFF"/>
      <color rgb="FFF6ECE2"/>
      <color rgb="FFE1C2A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Y124"/>
  <sheetViews>
    <sheetView tabSelected="1" zoomScaleNormal="100" workbookViewId="0">
      <selection activeCell="L19" sqref="L19"/>
    </sheetView>
  </sheetViews>
  <sheetFormatPr defaultRowHeight="15" x14ac:dyDescent="0.25"/>
  <cols>
    <col min="1" max="1" width="24.5703125" style="3" customWidth="1"/>
    <col min="2" max="7" width="13.85546875" style="3" hidden="1" customWidth="1"/>
    <col min="8" max="8" width="13.5703125" style="3" customWidth="1"/>
    <col min="9" max="9" width="13.85546875" style="3" customWidth="1"/>
    <col min="10" max="10" width="13.5703125" style="3" customWidth="1"/>
    <col min="11" max="11" width="15" style="3" customWidth="1"/>
    <col min="12" max="12" width="13.5703125" style="3" customWidth="1"/>
    <col min="13" max="13" width="14.28515625" style="3" customWidth="1"/>
    <col min="14" max="14" width="9.5703125" style="3" hidden="1" customWidth="1"/>
    <col min="15" max="15" width="10.5703125" style="3" hidden="1" customWidth="1"/>
    <col min="16" max="18" width="9.5703125" style="3" customWidth="1"/>
    <col min="19" max="19" width="9.140625" style="3" customWidth="1"/>
    <col min="20" max="20" width="11" style="3" customWidth="1"/>
    <col min="21" max="23" width="11.42578125" style="3" hidden="1" customWidth="1"/>
    <col min="24" max="27" width="9.5703125" style="3" hidden="1" customWidth="1"/>
    <col min="28" max="28" width="9.140625" style="3" hidden="1" customWidth="1"/>
    <col min="29" max="29" width="9.140625" style="3" bestFit="1" customWidth="1"/>
    <col min="30" max="30" width="9.5703125" style="3" bestFit="1" customWidth="1"/>
    <col min="31" max="31" width="9.140625" style="3" bestFit="1" customWidth="1"/>
    <col min="32" max="33" width="9.5703125" style="3" bestFit="1" customWidth="1"/>
    <col min="34" max="36" width="9.5703125" style="3" hidden="1" customWidth="1"/>
    <col min="37" max="38" width="7.85546875" style="3" hidden="1" customWidth="1"/>
    <col min="39" max="43" width="7.85546875" style="3" customWidth="1"/>
    <col min="44" max="45" width="18.28515625" style="3" customWidth="1"/>
    <col min="46" max="16384" width="9.140625" style="3"/>
  </cols>
  <sheetData>
    <row r="1" spans="1:49" ht="21.75" x14ac:dyDescent="0.55000000000000004">
      <c r="A1" s="109" t="s">
        <v>67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"/>
      <c r="AU1" s="1"/>
      <c r="AV1" s="2"/>
      <c r="AW1" s="2"/>
    </row>
    <row r="2" spans="1:49" x14ac:dyDescent="0.25">
      <c r="A2" s="110" t="s">
        <v>53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0"/>
      <c r="AP2" s="110"/>
      <c r="AQ2" s="110"/>
      <c r="AR2" s="110"/>
      <c r="AS2" s="110"/>
      <c r="AV2" s="2"/>
      <c r="AW2" s="2"/>
    </row>
    <row r="3" spans="1:49" x14ac:dyDescent="0.25">
      <c r="B3" s="105"/>
      <c r="C3" s="105"/>
      <c r="D3" s="105"/>
      <c r="E3" s="105"/>
      <c r="F3" s="4"/>
      <c r="G3" s="4"/>
      <c r="H3" s="4"/>
      <c r="I3" s="4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105"/>
      <c r="Y3" s="105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V3" s="2"/>
      <c r="AW3" s="2"/>
    </row>
    <row r="4" spans="1:49" ht="16.5" customHeight="1" x14ac:dyDescent="0.25">
      <c r="A4" s="106" t="s">
        <v>37</v>
      </c>
      <c r="B4" s="6"/>
      <c r="C4" s="7"/>
      <c r="D4" s="8"/>
      <c r="E4" s="9"/>
      <c r="F4" s="6"/>
      <c r="G4" s="7"/>
      <c r="H4" s="8"/>
      <c r="I4" s="9"/>
      <c r="J4" s="8"/>
      <c r="K4" s="9"/>
      <c r="L4" s="8"/>
      <c r="M4" s="10"/>
      <c r="N4" s="88" t="s">
        <v>54</v>
      </c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V4" s="2"/>
      <c r="AW4" s="2"/>
    </row>
    <row r="5" spans="1:49" ht="16.5" customHeight="1" x14ac:dyDescent="0.25">
      <c r="A5" s="107"/>
      <c r="B5" s="12" t="s">
        <v>39</v>
      </c>
      <c r="C5" s="12" t="s">
        <v>40</v>
      </c>
      <c r="D5" s="13" t="s">
        <v>39</v>
      </c>
      <c r="E5" s="14" t="s">
        <v>40</v>
      </c>
      <c r="F5" s="12" t="s">
        <v>39</v>
      </c>
      <c r="G5" s="12" t="s">
        <v>40</v>
      </c>
      <c r="H5" s="13" t="s">
        <v>39</v>
      </c>
      <c r="I5" s="14" t="s">
        <v>40</v>
      </c>
      <c r="J5" s="13" t="s">
        <v>39</v>
      </c>
      <c r="K5" s="14" t="s">
        <v>40</v>
      </c>
      <c r="L5" s="13" t="s">
        <v>39</v>
      </c>
      <c r="M5" s="15" t="s">
        <v>40</v>
      </c>
      <c r="N5" s="90" t="s">
        <v>41</v>
      </c>
      <c r="O5" s="91"/>
      <c r="P5" s="91"/>
      <c r="Q5" s="91"/>
      <c r="R5" s="91"/>
      <c r="S5" s="91"/>
      <c r="T5" s="92"/>
      <c r="U5" s="90" t="s">
        <v>42</v>
      </c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2"/>
      <c r="AH5" s="90" t="s">
        <v>55</v>
      </c>
      <c r="AI5" s="91"/>
      <c r="AJ5" s="91"/>
      <c r="AK5" s="91"/>
      <c r="AL5" s="91"/>
      <c r="AM5" s="91"/>
      <c r="AN5" s="91"/>
      <c r="AO5" s="91"/>
      <c r="AP5" s="91"/>
      <c r="AQ5" s="92"/>
      <c r="AR5" s="16"/>
      <c r="AS5" s="17"/>
      <c r="AV5" s="2"/>
      <c r="AW5" s="2"/>
    </row>
    <row r="6" spans="1:49" ht="16.5" customHeight="1" x14ac:dyDescent="0.25">
      <c r="A6" s="107"/>
      <c r="B6" s="12" t="s">
        <v>43</v>
      </c>
      <c r="C6" s="12" t="s">
        <v>43</v>
      </c>
      <c r="D6" s="13" t="s">
        <v>43</v>
      </c>
      <c r="E6" s="14" t="s">
        <v>43</v>
      </c>
      <c r="F6" s="12" t="s">
        <v>43</v>
      </c>
      <c r="G6" s="12" t="s">
        <v>43</v>
      </c>
      <c r="H6" s="13" t="s">
        <v>43</v>
      </c>
      <c r="I6" s="14" t="s">
        <v>43</v>
      </c>
      <c r="J6" s="13" t="s">
        <v>43</v>
      </c>
      <c r="K6" s="14" t="s">
        <v>43</v>
      </c>
      <c r="L6" s="13" t="s">
        <v>43</v>
      </c>
      <c r="M6" s="15" t="s">
        <v>43</v>
      </c>
      <c r="N6" s="93"/>
      <c r="O6" s="94"/>
      <c r="P6" s="94"/>
      <c r="Q6" s="94"/>
      <c r="R6" s="94"/>
      <c r="S6" s="94"/>
      <c r="T6" s="95"/>
      <c r="U6" s="96" t="s">
        <v>44</v>
      </c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8"/>
      <c r="AH6" s="90"/>
      <c r="AI6" s="91"/>
      <c r="AJ6" s="91"/>
      <c r="AK6" s="91"/>
      <c r="AL6" s="91"/>
      <c r="AM6" s="91"/>
      <c r="AN6" s="91"/>
      <c r="AO6" s="91"/>
      <c r="AP6" s="91"/>
      <c r="AQ6" s="92"/>
      <c r="AR6" s="16"/>
      <c r="AS6" s="17"/>
      <c r="AV6" s="2"/>
      <c r="AW6" s="2"/>
    </row>
    <row r="7" spans="1:49" ht="32.25" customHeight="1" x14ac:dyDescent="0.25">
      <c r="A7" s="107"/>
      <c r="B7" s="18" t="s">
        <v>45</v>
      </c>
      <c r="C7" s="18" t="s">
        <v>46</v>
      </c>
      <c r="D7" s="19" t="s">
        <v>45</v>
      </c>
      <c r="E7" s="20" t="s">
        <v>46</v>
      </c>
      <c r="F7" s="18" t="s">
        <v>45</v>
      </c>
      <c r="G7" s="18" t="s">
        <v>46</v>
      </c>
      <c r="H7" s="19" t="s">
        <v>45</v>
      </c>
      <c r="I7" s="20" t="s">
        <v>46</v>
      </c>
      <c r="J7" s="19" t="s">
        <v>45</v>
      </c>
      <c r="K7" s="20" t="s">
        <v>46</v>
      </c>
      <c r="L7" s="19" t="s">
        <v>45</v>
      </c>
      <c r="M7" s="21" t="s">
        <v>46</v>
      </c>
      <c r="N7" s="99" t="s">
        <v>47</v>
      </c>
      <c r="O7" s="100"/>
      <c r="P7" s="100"/>
      <c r="Q7" s="100"/>
      <c r="R7" s="100"/>
      <c r="S7" s="100"/>
      <c r="T7" s="101"/>
      <c r="U7" s="102" t="s">
        <v>56</v>
      </c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4"/>
      <c r="AH7" s="93"/>
      <c r="AI7" s="94"/>
      <c r="AJ7" s="94"/>
      <c r="AK7" s="94"/>
      <c r="AL7" s="94"/>
      <c r="AM7" s="94"/>
      <c r="AN7" s="94"/>
      <c r="AO7" s="94"/>
      <c r="AP7" s="94"/>
      <c r="AQ7" s="95"/>
      <c r="AR7" s="22"/>
      <c r="AS7" s="17"/>
      <c r="AV7" s="2"/>
      <c r="AW7" s="2"/>
    </row>
    <row r="8" spans="1:49" ht="12.75" customHeight="1" x14ac:dyDescent="0.25">
      <c r="A8" s="108"/>
      <c r="B8" s="84">
        <v>2018</v>
      </c>
      <c r="C8" s="84"/>
      <c r="D8" s="85">
        <v>2019</v>
      </c>
      <c r="E8" s="86"/>
      <c r="F8" s="84">
        <v>2020</v>
      </c>
      <c r="G8" s="84"/>
      <c r="H8" s="82">
        <v>2021</v>
      </c>
      <c r="I8" s="87"/>
      <c r="J8" s="82">
        <v>2022</v>
      </c>
      <c r="K8" s="87"/>
      <c r="L8" s="82">
        <v>2023</v>
      </c>
      <c r="M8" s="83"/>
      <c r="N8" s="23">
        <v>2017</v>
      </c>
      <c r="O8" s="24">
        <v>2018</v>
      </c>
      <c r="P8" s="24">
        <v>2019</v>
      </c>
      <c r="Q8" s="24">
        <v>2020</v>
      </c>
      <c r="R8" s="24">
        <v>2021</v>
      </c>
      <c r="S8" s="25">
        <v>2022</v>
      </c>
      <c r="T8" s="26">
        <v>2023</v>
      </c>
      <c r="U8" s="23">
        <v>2011</v>
      </c>
      <c r="V8" s="24">
        <v>2012</v>
      </c>
      <c r="W8" s="25">
        <v>2013</v>
      </c>
      <c r="X8" s="24">
        <v>2014</v>
      </c>
      <c r="Y8" s="24">
        <v>2015</v>
      </c>
      <c r="Z8" s="24">
        <v>2016</v>
      </c>
      <c r="AA8" s="24">
        <v>2017</v>
      </c>
      <c r="AB8" s="24">
        <v>2018</v>
      </c>
      <c r="AC8" s="24">
        <v>2019</v>
      </c>
      <c r="AD8" s="24">
        <v>2020</v>
      </c>
      <c r="AE8" s="25">
        <v>2021</v>
      </c>
      <c r="AF8" s="25">
        <v>2022</v>
      </c>
      <c r="AG8" s="26">
        <v>2023</v>
      </c>
      <c r="AH8" s="23">
        <v>2014</v>
      </c>
      <c r="AI8" s="24">
        <v>2015</v>
      </c>
      <c r="AJ8" s="24">
        <v>2016</v>
      </c>
      <c r="AK8" s="24">
        <v>2017</v>
      </c>
      <c r="AL8" s="24">
        <v>2018</v>
      </c>
      <c r="AM8" s="24">
        <v>2019</v>
      </c>
      <c r="AN8" s="24">
        <v>2020</v>
      </c>
      <c r="AO8" s="24">
        <v>2021</v>
      </c>
      <c r="AP8" s="24">
        <v>2022</v>
      </c>
      <c r="AQ8" s="24">
        <v>2023</v>
      </c>
      <c r="AR8" s="27" t="s">
        <v>38</v>
      </c>
      <c r="AS8" s="2"/>
      <c r="AT8" s="2"/>
    </row>
    <row r="9" spans="1:49" ht="21" x14ac:dyDescent="0.25">
      <c r="A9" s="11" t="s">
        <v>48</v>
      </c>
      <c r="B9" s="28">
        <f>SUM(B10:B32)</f>
        <v>200</v>
      </c>
      <c r="C9" s="28">
        <f t="shared" ref="C9:M9" si="0">SUM(C10:C32)</f>
        <v>652</v>
      </c>
      <c r="D9" s="29">
        <f t="shared" si="0"/>
        <v>200</v>
      </c>
      <c r="E9" s="30">
        <f t="shared" si="0"/>
        <v>650</v>
      </c>
      <c r="F9" s="28">
        <f t="shared" si="0"/>
        <v>200</v>
      </c>
      <c r="G9" s="28">
        <f t="shared" si="0"/>
        <v>617</v>
      </c>
      <c r="H9" s="29">
        <f t="shared" si="0"/>
        <v>200</v>
      </c>
      <c r="I9" s="30">
        <f t="shared" si="0"/>
        <v>773</v>
      </c>
      <c r="J9" s="29">
        <f t="shared" si="0"/>
        <v>200</v>
      </c>
      <c r="K9" s="30">
        <f t="shared" si="0"/>
        <v>773</v>
      </c>
      <c r="L9" s="29">
        <f t="shared" si="0"/>
        <v>200</v>
      </c>
      <c r="M9" s="31">
        <f t="shared" si="0"/>
        <v>773</v>
      </c>
      <c r="N9" s="32">
        <v>572.79831100000001</v>
      </c>
      <c r="O9" s="33">
        <v>573.26315499999998</v>
      </c>
      <c r="P9" s="33">
        <v>915.38858400000004</v>
      </c>
      <c r="Q9" s="34">
        <f>SUM(Q10:Q32)</f>
        <v>952.29765099999986</v>
      </c>
      <c r="R9" s="34">
        <f t="shared" ref="R9:T9" si="1">SUM(R10:R32)</f>
        <v>1349.644194</v>
      </c>
      <c r="S9" s="34">
        <f t="shared" si="1"/>
        <v>1635.4641810000001</v>
      </c>
      <c r="T9" s="35">
        <f t="shared" si="1"/>
        <v>1793.5017419999997</v>
      </c>
      <c r="U9" s="32">
        <v>446.27385500000003</v>
      </c>
      <c r="V9" s="33">
        <v>620.73176699999999</v>
      </c>
      <c r="W9" s="33">
        <v>597.28236500000003</v>
      </c>
      <c r="X9" s="33">
        <v>589.38817600000004</v>
      </c>
      <c r="Y9" s="33">
        <v>671.71199799999988</v>
      </c>
      <c r="Z9" s="33">
        <v>418.03275817999975</v>
      </c>
      <c r="AA9" s="33">
        <v>381.96520699999996</v>
      </c>
      <c r="AB9" s="33">
        <v>371.67126500000001</v>
      </c>
      <c r="AC9" s="33">
        <v>524.925523</v>
      </c>
      <c r="AD9" s="33">
        <f t="shared" ref="AD9:AE9" si="2">SUM(AD10:AD32)</f>
        <v>610.36648631999969</v>
      </c>
      <c r="AE9" s="33">
        <f t="shared" si="2"/>
        <v>725.64875514000005</v>
      </c>
      <c r="AF9" s="33">
        <f>SUM(AF10:AF32)</f>
        <v>504.32564389000009</v>
      </c>
      <c r="AG9" s="36">
        <v>981.38129389000005</v>
      </c>
      <c r="AH9" s="32">
        <v>60.220711434701599</v>
      </c>
      <c r="AI9" s="33">
        <v>59.991917428067453</v>
      </c>
      <c r="AJ9" s="33">
        <v>57.283002009079809</v>
      </c>
      <c r="AK9" s="33">
        <v>66.684066566669742</v>
      </c>
      <c r="AL9" s="33">
        <v>64.834319414789533</v>
      </c>
      <c r="AM9" s="33">
        <v>57.344556418457579</v>
      </c>
      <c r="AN9" s="33">
        <f t="shared" ref="AN9:AQ24" si="3">AD9/Q9*100</f>
        <v>64.094087145868613</v>
      </c>
      <c r="AO9" s="33">
        <f t="shared" si="3"/>
        <v>53.765930188560503</v>
      </c>
      <c r="AP9" s="33">
        <f t="shared" si="3"/>
        <v>30.836850464168013</v>
      </c>
      <c r="AQ9" s="33">
        <f t="shared" si="3"/>
        <v>54.718725435729198</v>
      </c>
      <c r="AR9" s="37" t="s">
        <v>49</v>
      </c>
      <c r="AS9" s="2"/>
      <c r="AT9" s="2"/>
    </row>
    <row r="10" spans="1:49" ht="16.5" customHeight="1" x14ac:dyDescent="0.25">
      <c r="A10" s="38" t="s">
        <v>57</v>
      </c>
      <c r="B10" s="39">
        <v>1</v>
      </c>
      <c r="C10" s="39">
        <v>13</v>
      </c>
      <c r="D10" s="40">
        <v>1</v>
      </c>
      <c r="E10" s="41">
        <v>13</v>
      </c>
      <c r="F10" s="39">
        <v>1</v>
      </c>
      <c r="G10" s="39">
        <v>13</v>
      </c>
      <c r="H10" s="40">
        <v>1</v>
      </c>
      <c r="I10" s="41">
        <v>17</v>
      </c>
      <c r="J10" s="40">
        <v>1</v>
      </c>
      <c r="K10" s="41">
        <v>17</v>
      </c>
      <c r="L10" s="40">
        <v>1</v>
      </c>
      <c r="M10" s="42">
        <v>17</v>
      </c>
      <c r="N10" s="43">
        <v>15.825676</v>
      </c>
      <c r="O10" s="44">
        <v>17.1113</v>
      </c>
      <c r="P10" s="44">
        <v>149.785563</v>
      </c>
      <c r="Q10" s="44">
        <v>144.96513200000001</v>
      </c>
      <c r="R10" s="44">
        <v>159.896963</v>
      </c>
      <c r="S10" s="44">
        <v>165.31381300000001</v>
      </c>
      <c r="T10" s="45">
        <v>181.51948300000001</v>
      </c>
      <c r="U10" s="43">
        <v>33.687016</v>
      </c>
      <c r="V10" s="44">
        <v>85.331259000000003</v>
      </c>
      <c r="W10" s="44">
        <v>84.670901000000001</v>
      </c>
      <c r="X10" s="44">
        <v>79.983987999999997</v>
      </c>
      <c r="Y10" s="46">
        <v>38.370424</v>
      </c>
      <c r="Z10" s="46">
        <v>12.89921627</v>
      </c>
      <c r="AA10" s="46">
        <v>10.691314999999999</v>
      </c>
      <c r="AB10" s="44">
        <v>9.3798560000000002</v>
      </c>
      <c r="AC10" s="46">
        <v>61.256999999999998</v>
      </c>
      <c r="AD10" s="46">
        <v>71.122122689999998</v>
      </c>
      <c r="AE10" s="46">
        <v>85.531673339999998</v>
      </c>
      <c r="AF10" s="46">
        <v>61.695491409999995</v>
      </c>
      <c r="AG10" s="47">
        <v>133.85357911000003</v>
      </c>
      <c r="AH10" s="43">
        <v>37.370608384008285</v>
      </c>
      <c r="AI10" s="44">
        <v>26.29657813887021</v>
      </c>
      <c r="AJ10" s="44">
        <v>60.002242192097953</v>
      </c>
      <c r="AK10" s="48">
        <v>67.5567666114231</v>
      </c>
      <c r="AL10" s="48">
        <v>54.816735139936767</v>
      </c>
      <c r="AM10" s="48">
        <v>47.041164724402144</v>
      </c>
      <c r="AN10" s="48">
        <f t="shared" si="3"/>
        <v>49.061537563391447</v>
      </c>
      <c r="AO10" s="48">
        <f t="shared" si="3"/>
        <v>53.491743517354983</v>
      </c>
      <c r="AP10" s="48">
        <f t="shared" si="3"/>
        <v>37.320227687204813</v>
      </c>
      <c r="AQ10" s="48">
        <f t="shared" si="3"/>
        <v>73.74061279691945</v>
      </c>
      <c r="AR10" s="49" t="s">
        <v>50</v>
      </c>
      <c r="AS10" s="2"/>
      <c r="AT10" s="2"/>
      <c r="AU10" s="50"/>
      <c r="AV10" s="50"/>
    </row>
    <row r="11" spans="1:49" ht="16.5" customHeight="1" x14ac:dyDescent="0.25">
      <c r="A11" s="38" t="s">
        <v>0</v>
      </c>
      <c r="B11" s="39">
        <v>15</v>
      </c>
      <c r="C11" s="39">
        <v>53</v>
      </c>
      <c r="D11" s="40">
        <v>15</v>
      </c>
      <c r="E11" s="41">
        <v>55</v>
      </c>
      <c r="F11" s="39">
        <v>15</v>
      </c>
      <c r="G11" s="39">
        <v>51</v>
      </c>
      <c r="H11" s="40">
        <v>15</v>
      </c>
      <c r="I11" s="41">
        <v>61</v>
      </c>
      <c r="J11" s="40">
        <v>15</v>
      </c>
      <c r="K11" s="41">
        <v>61</v>
      </c>
      <c r="L11" s="40">
        <v>15</v>
      </c>
      <c r="M11" s="42">
        <v>61</v>
      </c>
      <c r="N11" s="43">
        <v>40.963697000000003</v>
      </c>
      <c r="O11" s="44">
        <v>41.219610000000003</v>
      </c>
      <c r="P11" s="44">
        <v>60.058298000000001</v>
      </c>
      <c r="Q11" s="44">
        <v>58.689996999999998</v>
      </c>
      <c r="R11" s="44">
        <v>85.888239999999996</v>
      </c>
      <c r="S11" s="44">
        <v>109.104011</v>
      </c>
      <c r="T11" s="45">
        <v>117.180076</v>
      </c>
      <c r="U11" s="43">
        <v>30.011016000000001</v>
      </c>
      <c r="V11" s="44">
        <v>38.961582999999997</v>
      </c>
      <c r="W11" s="44">
        <v>37.259529000000001</v>
      </c>
      <c r="X11" s="44">
        <v>38.333622999999996</v>
      </c>
      <c r="Y11" s="46">
        <v>48.973019000000001</v>
      </c>
      <c r="Z11" s="46">
        <v>28.363732329999984</v>
      </c>
      <c r="AA11" s="46">
        <v>26.721032999999998</v>
      </c>
      <c r="AB11" s="44">
        <v>26.202279000000001</v>
      </c>
      <c r="AC11" s="46">
        <v>34.187677000000001</v>
      </c>
      <c r="AD11" s="46">
        <v>42.84227423999986</v>
      </c>
      <c r="AE11" s="46">
        <v>46.216611109999945</v>
      </c>
      <c r="AF11" s="46">
        <v>31.921027800000001</v>
      </c>
      <c r="AG11" s="47">
        <v>6.0743166199999976</v>
      </c>
      <c r="AH11" s="43">
        <v>70.303834984085469</v>
      </c>
      <c r="AI11" s="44">
        <v>67.343440038763887</v>
      </c>
      <c r="AJ11" s="44">
        <v>54.519037433499186</v>
      </c>
      <c r="AK11" s="48">
        <v>65.231009300747431</v>
      </c>
      <c r="AL11" s="48">
        <v>63.567508280646038</v>
      </c>
      <c r="AM11" s="48">
        <v>61.373382614415917</v>
      </c>
      <c r="AN11" s="48">
        <f t="shared" si="3"/>
        <v>72.997574424820399</v>
      </c>
      <c r="AO11" s="48">
        <f t="shared" si="3"/>
        <v>53.810173674533267</v>
      </c>
      <c r="AP11" s="48">
        <f t="shared" si="3"/>
        <v>29.257428308478961</v>
      </c>
      <c r="AQ11" s="48">
        <f t="shared" si="3"/>
        <v>5.1837452469308838</v>
      </c>
      <c r="AR11" s="49" t="s">
        <v>1</v>
      </c>
      <c r="AS11" s="2"/>
      <c r="AT11" s="2"/>
      <c r="AU11" s="50"/>
      <c r="AV11" s="50"/>
    </row>
    <row r="12" spans="1:49" ht="16.5" customHeight="1" x14ac:dyDescent="0.25">
      <c r="A12" s="38" t="s">
        <v>2</v>
      </c>
      <c r="B12" s="39">
        <v>14</v>
      </c>
      <c r="C12" s="39">
        <v>47</v>
      </c>
      <c r="D12" s="40">
        <v>14</v>
      </c>
      <c r="E12" s="41">
        <v>46</v>
      </c>
      <c r="F12" s="39">
        <v>14</v>
      </c>
      <c r="G12" s="39">
        <v>42</v>
      </c>
      <c r="H12" s="40">
        <v>13</v>
      </c>
      <c r="I12" s="41">
        <v>49</v>
      </c>
      <c r="J12" s="40">
        <v>13</v>
      </c>
      <c r="K12" s="41">
        <v>49</v>
      </c>
      <c r="L12" s="40">
        <v>13</v>
      </c>
      <c r="M12" s="42">
        <v>49</v>
      </c>
      <c r="N12" s="43">
        <v>33.999921999999998</v>
      </c>
      <c r="O12" s="44">
        <v>34.808992000000003</v>
      </c>
      <c r="P12" s="44">
        <v>45.211173000000002</v>
      </c>
      <c r="Q12" s="44">
        <v>49.213856</v>
      </c>
      <c r="R12" s="44">
        <v>71.870191000000005</v>
      </c>
      <c r="S12" s="44">
        <v>92.586211000000006</v>
      </c>
      <c r="T12" s="45">
        <v>98.552895000000007</v>
      </c>
      <c r="U12" s="43">
        <v>30.574224999999998</v>
      </c>
      <c r="V12" s="44">
        <v>40.657739999999997</v>
      </c>
      <c r="W12" s="44">
        <v>37.837862000000001</v>
      </c>
      <c r="X12" s="44">
        <v>37.05736499999999</v>
      </c>
      <c r="Y12" s="46">
        <v>43.527625999999998</v>
      </c>
      <c r="Z12" s="46">
        <v>27.762921599999995</v>
      </c>
      <c r="AA12" s="46">
        <v>25.624673000000001</v>
      </c>
      <c r="AB12" s="44">
        <v>25.704508000000001</v>
      </c>
      <c r="AC12" s="46">
        <v>31.009371999999999</v>
      </c>
      <c r="AD12" s="46">
        <v>37.521188039999963</v>
      </c>
      <c r="AE12" s="46">
        <v>35.141222309999954</v>
      </c>
      <c r="AF12" s="46">
        <v>24.683244410000018</v>
      </c>
      <c r="AG12" s="47">
        <v>50.577761879999983</v>
      </c>
      <c r="AH12" s="43">
        <v>71.845530586822932</v>
      </c>
      <c r="AI12" s="44">
        <v>69.1873118395484</v>
      </c>
      <c r="AJ12" s="44">
        <v>52.512843073623436</v>
      </c>
      <c r="AK12" s="48">
        <v>64.025042568763951</v>
      </c>
      <c r="AL12" s="48">
        <v>63.690460173311735</v>
      </c>
      <c r="AM12" s="48">
        <v>57.979064291315453</v>
      </c>
      <c r="AN12" s="48">
        <f t="shared" si="3"/>
        <v>76.241105838160621</v>
      </c>
      <c r="AO12" s="48">
        <f t="shared" si="3"/>
        <v>48.895406873205545</v>
      </c>
      <c r="AP12" s="48">
        <f t="shared" si="3"/>
        <v>26.659741384167905</v>
      </c>
      <c r="AQ12" s="48">
        <f t="shared" si="3"/>
        <v>51.320422276788506</v>
      </c>
      <c r="AR12" s="49" t="s">
        <v>3</v>
      </c>
      <c r="AS12" s="2"/>
      <c r="AT12" s="2"/>
      <c r="AU12" s="50"/>
      <c r="AV12" s="50"/>
    </row>
    <row r="13" spans="1:49" ht="16.5" customHeight="1" x14ac:dyDescent="0.25">
      <c r="A13" s="38" t="s">
        <v>58</v>
      </c>
      <c r="B13" s="51">
        <v>0</v>
      </c>
      <c r="C13" s="51">
        <v>0</v>
      </c>
      <c r="D13" s="52">
        <v>0</v>
      </c>
      <c r="E13" s="53">
        <v>0</v>
      </c>
      <c r="F13" s="51">
        <v>0</v>
      </c>
      <c r="G13" s="51">
        <v>0</v>
      </c>
      <c r="H13" s="40">
        <v>1</v>
      </c>
      <c r="I13" s="41">
        <v>5</v>
      </c>
      <c r="J13" s="40">
        <v>1</v>
      </c>
      <c r="K13" s="41">
        <v>5</v>
      </c>
      <c r="L13" s="40">
        <v>1</v>
      </c>
      <c r="M13" s="42">
        <v>5</v>
      </c>
      <c r="N13" s="43">
        <v>6.0229689999999998</v>
      </c>
      <c r="O13" s="44">
        <v>5.8802180000000002</v>
      </c>
      <c r="P13" s="44">
        <v>15.489094</v>
      </c>
      <c r="Q13" s="44">
        <v>21.215273</v>
      </c>
      <c r="R13" s="44">
        <v>27.402305999999999</v>
      </c>
      <c r="S13" s="44">
        <v>33.573121</v>
      </c>
      <c r="T13" s="45">
        <v>43.048817</v>
      </c>
      <c r="U13" s="43">
        <v>0</v>
      </c>
      <c r="V13" s="44">
        <v>0</v>
      </c>
      <c r="W13" s="44">
        <v>0</v>
      </c>
      <c r="X13" s="44">
        <v>0</v>
      </c>
      <c r="Y13" s="46">
        <v>0</v>
      </c>
      <c r="Z13" s="46">
        <v>0</v>
      </c>
      <c r="AA13" s="46">
        <v>0</v>
      </c>
      <c r="AB13" s="44">
        <v>0</v>
      </c>
      <c r="AC13" s="46">
        <v>0</v>
      </c>
      <c r="AD13" s="46">
        <v>6.8462668000000004</v>
      </c>
      <c r="AE13" s="46">
        <v>8.4704759199999984</v>
      </c>
      <c r="AF13" s="46">
        <v>6.3184549799999967</v>
      </c>
      <c r="AG13" s="47">
        <v>14.734344369999999</v>
      </c>
      <c r="AH13" s="43">
        <v>0</v>
      </c>
      <c r="AI13" s="44">
        <v>0</v>
      </c>
      <c r="AJ13" s="44">
        <v>0</v>
      </c>
      <c r="AK13" s="48">
        <v>0</v>
      </c>
      <c r="AL13" s="48">
        <v>0</v>
      </c>
      <c r="AM13" s="48">
        <v>0</v>
      </c>
      <c r="AN13" s="48">
        <v>0</v>
      </c>
      <c r="AO13" s="48">
        <f t="shared" si="3"/>
        <v>30.911544159823624</v>
      </c>
      <c r="AP13" s="48">
        <f t="shared" si="3"/>
        <v>18.819980960364084</v>
      </c>
      <c r="AQ13" s="48">
        <f t="shared" si="3"/>
        <v>34.227059874839298</v>
      </c>
      <c r="AR13" s="49" t="s">
        <v>59</v>
      </c>
      <c r="AS13" s="2"/>
      <c r="AT13" s="2"/>
      <c r="AU13" s="50"/>
      <c r="AV13" s="50"/>
    </row>
    <row r="14" spans="1:49" ht="16.5" customHeight="1" x14ac:dyDescent="0.25">
      <c r="A14" s="38" t="s">
        <v>4</v>
      </c>
      <c r="B14" s="39">
        <v>15</v>
      </c>
      <c r="C14" s="39">
        <v>46</v>
      </c>
      <c r="D14" s="40">
        <v>15</v>
      </c>
      <c r="E14" s="41">
        <v>45</v>
      </c>
      <c r="F14" s="39">
        <v>15</v>
      </c>
      <c r="G14" s="39">
        <v>44</v>
      </c>
      <c r="H14" s="40">
        <v>15</v>
      </c>
      <c r="I14" s="41">
        <v>56</v>
      </c>
      <c r="J14" s="40">
        <v>15</v>
      </c>
      <c r="K14" s="41">
        <v>56</v>
      </c>
      <c r="L14" s="40">
        <v>15</v>
      </c>
      <c r="M14" s="42">
        <v>56</v>
      </c>
      <c r="N14" s="43">
        <v>37.752777999999999</v>
      </c>
      <c r="O14" s="44">
        <v>38.418151999999999</v>
      </c>
      <c r="P14" s="44">
        <v>51.931753999999998</v>
      </c>
      <c r="Q14" s="44">
        <v>52.484048999999999</v>
      </c>
      <c r="R14" s="44">
        <v>80.509190000000004</v>
      </c>
      <c r="S14" s="44">
        <v>102.18898799999999</v>
      </c>
      <c r="T14" s="45">
        <v>111.509743</v>
      </c>
      <c r="U14" s="43">
        <v>27.44192</v>
      </c>
      <c r="V14" s="44">
        <v>34.639156999999997</v>
      </c>
      <c r="W14" s="44">
        <v>33.258971000000003</v>
      </c>
      <c r="X14" s="44">
        <v>33.549444999999999</v>
      </c>
      <c r="Y14" s="46">
        <v>42.718687000000003</v>
      </c>
      <c r="Z14" s="46">
        <v>27.479001199999953</v>
      </c>
      <c r="AA14" s="46">
        <v>25.3568</v>
      </c>
      <c r="AB14" s="44">
        <v>24.800805</v>
      </c>
      <c r="AC14" s="46">
        <v>29.784192000000001</v>
      </c>
      <c r="AD14" s="46">
        <v>32.325892330000002</v>
      </c>
      <c r="AE14" s="46">
        <v>42.68499516</v>
      </c>
      <c r="AF14" s="46">
        <v>28.448835379999988</v>
      </c>
      <c r="AG14" s="47">
        <v>59.206498959999998</v>
      </c>
      <c r="AH14" s="43">
        <v>69.971905658708067</v>
      </c>
      <c r="AI14" s="44">
        <v>65.577521852131937</v>
      </c>
      <c r="AJ14" s="44">
        <v>57.10707044279151</v>
      </c>
      <c r="AK14" s="48">
        <v>67.165388464923041</v>
      </c>
      <c r="AL14" s="48">
        <v>64.554914041674877</v>
      </c>
      <c r="AM14" s="48">
        <v>61.661873672479182</v>
      </c>
      <c r="AN14" s="48">
        <f t="shared" ref="AN14:AQ29" si="4">AD14/Q14*100</f>
        <v>61.59184160886673</v>
      </c>
      <c r="AO14" s="48">
        <f t="shared" si="3"/>
        <v>53.018786004430055</v>
      </c>
      <c r="AP14" s="48">
        <f t="shared" si="3"/>
        <v>27.839433520958234</v>
      </c>
      <c r="AQ14" s="48">
        <f t="shared" si="3"/>
        <v>53.095359532843688</v>
      </c>
      <c r="AR14" s="49" t="s">
        <v>5</v>
      </c>
      <c r="AS14" s="2"/>
      <c r="AT14" s="2"/>
      <c r="AU14" s="50"/>
      <c r="AV14" s="50"/>
    </row>
    <row r="15" spans="1:49" ht="16.5" customHeight="1" x14ac:dyDescent="0.25">
      <c r="A15" s="38" t="s">
        <v>6</v>
      </c>
      <c r="B15" s="39">
        <v>14</v>
      </c>
      <c r="C15" s="39">
        <v>43</v>
      </c>
      <c r="D15" s="40">
        <v>14</v>
      </c>
      <c r="E15" s="41">
        <v>43</v>
      </c>
      <c r="F15" s="39">
        <v>14</v>
      </c>
      <c r="G15" s="39">
        <v>43</v>
      </c>
      <c r="H15" s="40">
        <v>14</v>
      </c>
      <c r="I15" s="41">
        <v>52</v>
      </c>
      <c r="J15" s="40">
        <v>14</v>
      </c>
      <c r="K15" s="41">
        <v>52</v>
      </c>
      <c r="L15" s="40">
        <v>14</v>
      </c>
      <c r="M15" s="42">
        <v>52</v>
      </c>
      <c r="N15" s="43">
        <v>33.39772</v>
      </c>
      <c r="O15" s="44">
        <v>34.167124000000001</v>
      </c>
      <c r="P15" s="44">
        <v>48.623116000000003</v>
      </c>
      <c r="Q15" s="44">
        <v>43.788885999999998</v>
      </c>
      <c r="R15" s="44">
        <v>67.220853000000005</v>
      </c>
      <c r="S15" s="44">
        <v>87.078971999999993</v>
      </c>
      <c r="T15" s="45">
        <v>95.321404000000001</v>
      </c>
      <c r="U15" s="43">
        <v>24.324807</v>
      </c>
      <c r="V15" s="44">
        <v>32.041421999999997</v>
      </c>
      <c r="W15" s="44">
        <v>30.084500999999999</v>
      </c>
      <c r="X15" s="44">
        <v>29.729382000000001</v>
      </c>
      <c r="Y15" s="46">
        <v>35.627417999999999</v>
      </c>
      <c r="Z15" s="46">
        <v>23.318912809999997</v>
      </c>
      <c r="AA15" s="46">
        <v>21.243970000000001</v>
      </c>
      <c r="AB15" s="44">
        <v>21.699822999999999</v>
      </c>
      <c r="AC15" s="46">
        <v>26.083797000000001</v>
      </c>
      <c r="AD15" s="46">
        <v>29.544903129999962</v>
      </c>
      <c r="AE15" s="46">
        <v>35.432482019999945</v>
      </c>
      <c r="AF15" s="46">
        <v>27.465742160000016</v>
      </c>
      <c r="AG15" s="47">
        <v>54.717440939999967</v>
      </c>
      <c r="AH15" s="43">
        <v>66.120662776342243</v>
      </c>
      <c r="AI15" s="44">
        <v>65.123529900675493</v>
      </c>
      <c r="AJ15" s="44">
        <v>56.565259190567097</v>
      </c>
      <c r="AK15" s="48">
        <v>63.60904277297972</v>
      </c>
      <c r="AL15" s="48">
        <v>63.51082695751623</v>
      </c>
      <c r="AM15" s="48">
        <v>60.483030927419101</v>
      </c>
      <c r="AN15" s="48">
        <f t="shared" si="4"/>
        <v>67.47123717648347</v>
      </c>
      <c r="AO15" s="48">
        <f t="shared" si="3"/>
        <v>52.710551024992114</v>
      </c>
      <c r="AP15" s="48">
        <f t="shared" si="3"/>
        <v>31.541187877137567</v>
      </c>
      <c r="AQ15" s="48">
        <f t="shared" si="3"/>
        <v>57.403100084425915</v>
      </c>
      <c r="AR15" s="49" t="s">
        <v>7</v>
      </c>
      <c r="AS15" s="2"/>
      <c r="AT15" s="2"/>
      <c r="AU15" s="50"/>
      <c r="AV15" s="50"/>
    </row>
    <row r="16" spans="1:49" ht="16.5" customHeight="1" x14ac:dyDescent="0.25">
      <c r="A16" s="38" t="s">
        <v>8</v>
      </c>
      <c r="B16" s="39">
        <v>16</v>
      </c>
      <c r="C16" s="39">
        <v>52</v>
      </c>
      <c r="D16" s="40">
        <v>16</v>
      </c>
      <c r="E16" s="41">
        <v>52</v>
      </c>
      <c r="F16" s="39">
        <v>16</v>
      </c>
      <c r="G16" s="39">
        <v>46</v>
      </c>
      <c r="H16" s="40">
        <v>16</v>
      </c>
      <c r="I16" s="41">
        <v>68</v>
      </c>
      <c r="J16" s="40">
        <v>16</v>
      </c>
      <c r="K16" s="41">
        <v>68</v>
      </c>
      <c r="L16" s="40">
        <v>16</v>
      </c>
      <c r="M16" s="42">
        <v>68</v>
      </c>
      <c r="N16" s="43">
        <v>43.823442999999997</v>
      </c>
      <c r="O16" s="44">
        <v>47.098762000000001</v>
      </c>
      <c r="P16" s="44">
        <v>56.228869000000003</v>
      </c>
      <c r="Q16" s="44">
        <v>63.153882000000003</v>
      </c>
      <c r="R16" s="44">
        <v>86.672253999999995</v>
      </c>
      <c r="S16" s="44">
        <v>110.49917600000001</v>
      </c>
      <c r="T16" s="45">
        <v>121.83778100000001</v>
      </c>
      <c r="U16" s="43">
        <v>29.724703999999999</v>
      </c>
      <c r="V16" s="44">
        <v>38.211796</v>
      </c>
      <c r="W16" s="44">
        <v>36.823645999999997</v>
      </c>
      <c r="X16" s="44">
        <v>36.508099000000001</v>
      </c>
      <c r="Y16" s="46">
        <v>45.764249999999997</v>
      </c>
      <c r="Z16" s="46">
        <v>29.541790209999995</v>
      </c>
      <c r="AA16" s="46">
        <v>27.460016</v>
      </c>
      <c r="AB16" s="44">
        <v>27.193169999999999</v>
      </c>
      <c r="AC16" s="46">
        <v>32.885393999999998</v>
      </c>
      <c r="AD16" s="46">
        <v>37.451307800000038</v>
      </c>
      <c r="AE16" s="46">
        <v>42.401817210000011</v>
      </c>
      <c r="AF16" s="46">
        <v>32.97148273000002</v>
      </c>
      <c r="AG16" s="47">
        <v>60.990218960000014</v>
      </c>
      <c r="AH16" s="43">
        <v>61.005957572867821</v>
      </c>
      <c r="AI16" s="44">
        <v>62.983724375567341</v>
      </c>
      <c r="AJ16" s="44">
        <v>54.640466950203916</v>
      </c>
      <c r="AK16" s="48">
        <v>62.660562749485479</v>
      </c>
      <c r="AL16" s="48">
        <v>57.73648572758664</v>
      </c>
      <c r="AM16" s="48">
        <v>62.941056296937504</v>
      </c>
      <c r="AN16" s="48">
        <f t="shared" si="4"/>
        <v>59.30167174838126</v>
      </c>
      <c r="AO16" s="48">
        <f t="shared" si="3"/>
        <v>48.922019738865927</v>
      </c>
      <c r="AP16" s="48">
        <f t="shared" si="3"/>
        <v>29.838668416857711</v>
      </c>
      <c r="AQ16" s="48">
        <f t="shared" si="3"/>
        <v>50.05854379439166</v>
      </c>
      <c r="AR16" s="49" t="s">
        <v>9</v>
      </c>
      <c r="AS16" s="2"/>
      <c r="AT16" s="2"/>
      <c r="AU16" s="50"/>
      <c r="AV16" s="50"/>
    </row>
    <row r="17" spans="1:48" ht="16.5" customHeight="1" x14ac:dyDescent="0.25">
      <c r="A17" s="38" t="s">
        <v>10</v>
      </c>
      <c r="B17" s="39">
        <v>14</v>
      </c>
      <c r="C17" s="39">
        <v>44</v>
      </c>
      <c r="D17" s="40">
        <v>14</v>
      </c>
      <c r="E17" s="41">
        <v>44</v>
      </c>
      <c r="F17" s="39">
        <v>14</v>
      </c>
      <c r="G17" s="39">
        <v>44</v>
      </c>
      <c r="H17" s="40">
        <v>14</v>
      </c>
      <c r="I17" s="41">
        <v>55</v>
      </c>
      <c r="J17" s="40">
        <v>14</v>
      </c>
      <c r="K17" s="41">
        <v>55</v>
      </c>
      <c r="L17" s="40">
        <v>14</v>
      </c>
      <c r="M17" s="42">
        <v>55</v>
      </c>
      <c r="N17" s="43">
        <v>31.618131999999999</v>
      </c>
      <c r="O17" s="44">
        <v>32.354646000000002</v>
      </c>
      <c r="P17" s="44">
        <v>42.890984000000003</v>
      </c>
      <c r="Q17" s="44">
        <v>39.655735</v>
      </c>
      <c r="R17" s="44">
        <v>69.158891999999994</v>
      </c>
      <c r="S17" s="44">
        <v>75.211343999999997</v>
      </c>
      <c r="T17" s="45">
        <v>85.750782000000001</v>
      </c>
      <c r="U17" s="43">
        <v>25.201101000000001</v>
      </c>
      <c r="V17" s="44">
        <v>30.289159000000001</v>
      </c>
      <c r="W17" s="44">
        <v>28.642721999999999</v>
      </c>
      <c r="X17" s="44">
        <v>28.38166</v>
      </c>
      <c r="Y17" s="46">
        <v>34.751924000000002</v>
      </c>
      <c r="Z17" s="46">
        <v>23.691793469999997</v>
      </c>
      <c r="AA17" s="46">
        <v>21.464646999999999</v>
      </c>
      <c r="AB17" s="44">
        <v>21.606940000000002</v>
      </c>
      <c r="AC17" s="46">
        <v>25.359826999999999</v>
      </c>
      <c r="AD17" s="46">
        <v>26.821952109999987</v>
      </c>
      <c r="AE17" s="46">
        <v>30.099026779999988</v>
      </c>
      <c r="AF17" s="46">
        <v>24.502983470000025</v>
      </c>
      <c r="AG17" s="47">
        <v>49.082067170000023</v>
      </c>
      <c r="AH17" s="43">
        <v>67.321899574362149</v>
      </c>
      <c r="AI17" s="44">
        <v>67.118808005063286</v>
      </c>
      <c r="AJ17" s="44">
        <v>58.022210663851538</v>
      </c>
      <c r="AK17" s="48">
        <v>67.887144629543585</v>
      </c>
      <c r="AL17" s="48">
        <v>67.308066420819856</v>
      </c>
      <c r="AM17" s="48">
        <v>61.533578649197217</v>
      </c>
      <c r="AN17" s="48">
        <f t="shared" si="4"/>
        <v>67.637006627162464</v>
      </c>
      <c r="AO17" s="48">
        <f t="shared" si="3"/>
        <v>43.521557256874488</v>
      </c>
      <c r="AP17" s="48">
        <f t="shared" si="3"/>
        <v>32.57884006168009</v>
      </c>
      <c r="AQ17" s="48">
        <f t="shared" si="3"/>
        <v>57.238040313148417</v>
      </c>
      <c r="AR17" s="49" t="s">
        <v>11</v>
      </c>
      <c r="AS17" s="2"/>
      <c r="AT17" s="2"/>
      <c r="AU17" s="50"/>
      <c r="AV17" s="50"/>
    </row>
    <row r="18" spans="1:48" ht="16.5" customHeight="1" x14ac:dyDescent="0.25">
      <c r="A18" s="38" t="s">
        <v>12</v>
      </c>
      <c r="B18" s="39">
        <v>5</v>
      </c>
      <c r="C18" s="39">
        <v>19</v>
      </c>
      <c r="D18" s="40">
        <v>5</v>
      </c>
      <c r="E18" s="41">
        <v>19</v>
      </c>
      <c r="F18" s="39">
        <v>5</v>
      </c>
      <c r="G18" s="39">
        <v>18</v>
      </c>
      <c r="H18" s="40">
        <v>5</v>
      </c>
      <c r="I18" s="41">
        <v>19</v>
      </c>
      <c r="J18" s="40">
        <v>5</v>
      </c>
      <c r="K18" s="41">
        <v>19</v>
      </c>
      <c r="L18" s="40">
        <v>5</v>
      </c>
      <c r="M18" s="42">
        <v>19</v>
      </c>
      <c r="N18" s="43">
        <v>16.563343</v>
      </c>
      <c r="O18" s="44">
        <v>16.330446999999999</v>
      </c>
      <c r="P18" s="44">
        <v>24.275338999999999</v>
      </c>
      <c r="Q18" s="44">
        <v>26.868877000000001</v>
      </c>
      <c r="R18" s="44">
        <v>39.786687000000001</v>
      </c>
      <c r="S18" s="44">
        <v>50.226852000000001</v>
      </c>
      <c r="T18" s="45">
        <v>54.933926999999997</v>
      </c>
      <c r="U18" s="43">
        <v>13.163275000000001</v>
      </c>
      <c r="V18" s="44">
        <v>16.339414000000001</v>
      </c>
      <c r="W18" s="44">
        <v>15.325837999999999</v>
      </c>
      <c r="X18" s="44">
        <v>14.776317000000001</v>
      </c>
      <c r="Y18" s="46">
        <v>18.247432</v>
      </c>
      <c r="Z18" s="46">
        <v>12.287683369999998</v>
      </c>
      <c r="AA18" s="46">
        <v>11.554482999999999</v>
      </c>
      <c r="AB18" s="44">
        <v>10.897428</v>
      </c>
      <c r="AC18" s="46">
        <v>14.56817</v>
      </c>
      <c r="AD18" s="46">
        <v>17.857638649999984</v>
      </c>
      <c r="AE18" s="46">
        <v>19.991747410000016</v>
      </c>
      <c r="AF18" s="46">
        <v>12.63791155</v>
      </c>
      <c r="AG18" s="47">
        <v>28.741120089999999</v>
      </c>
      <c r="AH18" s="43">
        <v>68.519362471986085</v>
      </c>
      <c r="AI18" s="44">
        <v>75.512110370956094</v>
      </c>
      <c r="AJ18" s="44">
        <v>62.341044289545252</v>
      </c>
      <c r="AK18" s="48">
        <v>69.759365606327179</v>
      </c>
      <c r="AL18" s="48">
        <v>66.730739213690853</v>
      </c>
      <c r="AM18" s="48">
        <v>62.524890242587126</v>
      </c>
      <c r="AN18" s="48">
        <f t="shared" si="4"/>
        <v>66.462169781044381</v>
      </c>
      <c r="AO18" s="48">
        <f t="shared" si="3"/>
        <v>50.247328735865878</v>
      </c>
      <c r="AP18" s="48">
        <f t="shared" si="3"/>
        <v>25.161663625663817</v>
      </c>
      <c r="AQ18" s="48">
        <f t="shared" si="3"/>
        <v>52.319434745671835</v>
      </c>
      <c r="AR18" s="49" t="s">
        <v>13</v>
      </c>
      <c r="AS18" s="2"/>
      <c r="AT18" s="2"/>
      <c r="AU18" s="50"/>
      <c r="AV18" s="50"/>
    </row>
    <row r="19" spans="1:48" ht="16.5" customHeight="1" x14ac:dyDescent="0.25">
      <c r="A19" s="38" t="s">
        <v>14</v>
      </c>
      <c r="B19" s="39">
        <v>10</v>
      </c>
      <c r="C19" s="39">
        <v>30</v>
      </c>
      <c r="D19" s="40">
        <v>10</v>
      </c>
      <c r="E19" s="41">
        <v>30</v>
      </c>
      <c r="F19" s="39">
        <v>10</v>
      </c>
      <c r="G19" s="39">
        <v>29</v>
      </c>
      <c r="H19" s="40">
        <v>10</v>
      </c>
      <c r="I19" s="41">
        <v>35</v>
      </c>
      <c r="J19" s="40">
        <v>10</v>
      </c>
      <c r="K19" s="41">
        <v>35</v>
      </c>
      <c r="L19" s="40">
        <v>10</v>
      </c>
      <c r="M19" s="42">
        <v>35</v>
      </c>
      <c r="N19" s="43">
        <v>30.589884000000001</v>
      </c>
      <c r="O19" s="44">
        <v>27.187823999999999</v>
      </c>
      <c r="P19" s="44">
        <v>36.842222999999997</v>
      </c>
      <c r="Q19" s="44">
        <v>43.250397</v>
      </c>
      <c r="R19" s="44">
        <v>67.823687000000007</v>
      </c>
      <c r="S19" s="44">
        <v>85.863688999999994</v>
      </c>
      <c r="T19" s="45">
        <v>92.578014999999994</v>
      </c>
      <c r="U19" s="43">
        <v>19.601483000000002</v>
      </c>
      <c r="V19" s="44">
        <v>23.685687999999999</v>
      </c>
      <c r="W19" s="44">
        <v>23.181280000000001</v>
      </c>
      <c r="X19" s="44">
        <v>22.711827</v>
      </c>
      <c r="Y19" s="46">
        <v>27.740846000000001</v>
      </c>
      <c r="Z19" s="46">
        <v>19.357025169999986</v>
      </c>
      <c r="AA19" s="46">
        <v>17.889503000000001</v>
      </c>
      <c r="AB19" s="44">
        <v>17.800906999999999</v>
      </c>
      <c r="AC19" s="46">
        <v>19.921623</v>
      </c>
      <c r="AD19" s="46">
        <v>24.822573490000003</v>
      </c>
      <c r="AE19" s="46">
        <v>32.317745949999967</v>
      </c>
      <c r="AF19" s="46">
        <v>23.382694979999972</v>
      </c>
      <c r="AG19" s="47">
        <v>51.203311669999934</v>
      </c>
      <c r="AH19" s="43">
        <v>59.708014229396767</v>
      </c>
      <c r="AI19" s="44">
        <v>59.198707825941476</v>
      </c>
      <c r="AJ19" s="44">
        <v>56.669781252179774</v>
      </c>
      <c r="AK19" s="48">
        <v>66.439509528355146</v>
      </c>
      <c r="AL19" s="48">
        <v>65.473820192450845</v>
      </c>
      <c r="AM19" s="48">
        <v>58.030042315368512</v>
      </c>
      <c r="AN19" s="48">
        <f t="shared" si="4"/>
        <v>57.392706684287788</v>
      </c>
      <c r="AO19" s="48">
        <f t="shared" si="3"/>
        <v>47.649644806245881</v>
      </c>
      <c r="AP19" s="48">
        <f t="shared" si="3"/>
        <v>27.232343790865976</v>
      </c>
      <c r="AQ19" s="48">
        <f t="shared" si="3"/>
        <v>55.308284229252415</v>
      </c>
      <c r="AR19" s="49" t="s">
        <v>15</v>
      </c>
      <c r="AS19" s="2"/>
      <c r="AT19" s="2"/>
      <c r="AU19" s="50"/>
      <c r="AV19" s="50"/>
    </row>
    <row r="20" spans="1:48" ht="16.5" customHeight="1" x14ac:dyDescent="0.25">
      <c r="A20" s="38" t="s">
        <v>16</v>
      </c>
      <c r="B20" s="39">
        <v>9</v>
      </c>
      <c r="C20" s="39">
        <v>26</v>
      </c>
      <c r="D20" s="40">
        <v>9</v>
      </c>
      <c r="E20" s="41">
        <v>26</v>
      </c>
      <c r="F20" s="39">
        <v>9</v>
      </c>
      <c r="G20" s="39">
        <v>25</v>
      </c>
      <c r="H20" s="40">
        <v>9</v>
      </c>
      <c r="I20" s="41">
        <v>31</v>
      </c>
      <c r="J20" s="40">
        <v>9</v>
      </c>
      <c r="K20" s="41">
        <v>31</v>
      </c>
      <c r="L20" s="40">
        <v>9</v>
      </c>
      <c r="M20" s="42">
        <v>31</v>
      </c>
      <c r="N20" s="43">
        <v>22.922561999999999</v>
      </c>
      <c r="O20" s="44">
        <v>22.899228000000001</v>
      </c>
      <c r="P20" s="44">
        <v>37.126669999999997</v>
      </c>
      <c r="Q20" s="44">
        <v>28.353306</v>
      </c>
      <c r="R20" s="44">
        <v>42.567774999999997</v>
      </c>
      <c r="S20" s="44">
        <v>53.03201</v>
      </c>
      <c r="T20" s="45">
        <v>58.625574</v>
      </c>
      <c r="U20" s="43">
        <v>15.423232</v>
      </c>
      <c r="V20" s="44">
        <v>18.752078000000001</v>
      </c>
      <c r="W20" s="44">
        <v>17.971557000000001</v>
      </c>
      <c r="X20" s="44">
        <v>18.282449999999997</v>
      </c>
      <c r="Y20" s="46">
        <v>22.594581999999999</v>
      </c>
      <c r="Z20" s="46">
        <v>15.808007009999976</v>
      </c>
      <c r="AA20" s="46">
        <v>15.248507</v>
      </c>
      <c r="AB20" s="44">
        <v>14.888113000000001</v>
      </c>
      <c r="AC20" s="46">
        <v>15.804494</v>
      </c>
      <c r="AD20" s="46">
        <v>20.584518779999993</v>
      </c>
      <c r="AE20" s="46">
        <v>25.717446749999993</v>
      </c>
      <c r="AF20" s="46">
        <v>19.165763640000016</v>
      </c>
      <c r="AG20" s="47">
        <v>36.183587320000051</v>
      </c>
      <c r="AH20" s="43">
        <v>62.501014907126795</v>
      </c>
      <c r="AI20" s="44">
        <v>62.632374149080007</v>
      </c>
      <c r="AJ20" s="44">
        <v>50.137706330553101</v>
      </c>
      <c r="AK20" s="48">
        <v>66.521826835935698</v>
      </c>
      <c r="AL20" s="48">
        <v>65.015785685002143</v>
      </c>
      <c r="AM20" s="48">
        <v>52.365812740286174</v>
      </c>
      <c r="AN20" s="48">
        <f t="shared" si="4"/>
        <v>72.600065685461828</v>
      </c>
      <c r="AO20" s="48">
        <f t="shared" si="3"/>
        <v>60.415294785785711</v>
      </c>
      <c r="AP20" s="48">
        <f t="shared" si="3"/>
        <v>36.13999099788979</v>
      </c>
      <c r="AQ20" s="48">
        <f t="shared" si="3"/>
        <v>61.719800508904278</v>
      </c>
      <c r="AR20" s="49" t="s">
        <v>17</v>
      </c>
      <c r="AS20" s="2"/>
      <c r="AT20" s="2"/>
      <c r="AU20" s="50"/>
      <c r="AV20" s="50"/>
    </row>
    <row r="21" spans="1:48" ht="16.5" customHeight="1" x14ac:dyDescent="0.25">
      <c r="A21" s="38" t="s">
        <v>18</v>
      </c>
      <c r="B21" s="39">
        <v>11</v>
      </c>
      <c r="C21" s="39">
        <v>33</v>
      </c>
      <c r="D21" s="40">
        <v>11</v>
      </c>
      <c r="E21" s="41">
        <v>32</v>
      </c>
      <c r="F21" s="39">
        <v>11</v>
      </c>
      <c r="G21" s="39">
        <v>27</v>
      </c>
      <c r="H21" s="40">
        <v>11</v>
      </c>
      <c r="I21" s="41">
        <v>41</v>
      </c>
      <c r="J21" s="40">
        <v>11</v>
      </c>
      <c r="K21" s="41">
        <v>41</v>
      </c>
      <c r="L21" s="40">
        <v>11</v>
      </c>
      <c r="M21" s="42">
        <v>41</v>
      </c>
      <c r="N21" s="43">
        <v>27.481228999999999</v>
      </c>
      <c r="O21" s="44">
        <v>27.351776999999998</v>
      </c>
      <c r="P21" s="44">
        <v>35.768071999999997</v>
      </c>
      <c r="Q21" s="44">
        <v>34.628664999999998</v>
      </c>
      <c r="R21" s="44">
        <v>53.163438999999997</v>
      </c>
      <c r="S21" s="44">
        <v>65.205899000000002</v>
      </c>
      <c r="T21" s="45">
        <v>71.962620000000001</v>
      </c>
      <c r="U21" s="43">
        <v>20.897197999999999</v>
      </c>
      <c r="V21" s="44">
        <v>26.914738</v>
      </c>
      <c r="W21" s="44">
        <v>25.181070999999999</v>
      </c>
      <c r="X21" s="44">
        <v>24.413026999999996</v>
      </c>
      <c r="Y21" s="46">
        <v>29.586442000000002</v>
      </c>
      <c r="Z21" s="46">
        <v>19.664945149999962</v>
      </c>
      <c r="AA21" s="46">
        <v>18.252945</v>
      </c>
      <c r="AB21" s="44">
        <v>18.566337999999998</v>
      </c>
      <c r="AC21" s="46">
        <v>20.720285000000001</v>
      </c>
      <c r="AD21" s="46">
        <v>24.126489370000005</v>
      </c>
      <c r="AE21" s="46">
        <v>26.609818730000022</v>
      </c>
      <c r="AF21" s="46">
        <v>21.691913610000015</v>
      </c>
      <c r="AG21" s="47">
        <v>36.660881839999966</v>
      </c>
      <c r="AH21" s="43">
        <v>71.701345970785596</v>
      </c>
      <c r="AI21" s="44">
        <v>71.723589860162917</v>
      </c>
      <c r="AJ21" s="44">
        <v>61.19118544691743</v>
      </c>
      <c r="AK21" s="48">
        <v>66.419682322067914</v>
      </c>
      <c r="AL21" s="48">
        <v>67.87982367653845</v>
      </c>
      <c r="AM21" s="48">
        <v>64.018479211273515</v>
      </c>
      <c r="AN21" s="48">
        <f t="shared" si="4"/>
        <v>69.672017012495303</v>
      </c>
      <c r="AO21" s="48">
        <f t="shared" si="3"/>
        <v>50.052854425011937</v>
      </c>
      <c r="AP21" s="48">
        <f t="shared" si="3"/>
        <v>33.266796321602769</v>
      </c>
      <c r="AQ21" s="48">
        <f t="shared" si="3"/>
        <v>50.944340047652467</v>
      </c>
      <c r="AR21" s="49" t="s">
        <v>19</v>
      </c>
      <c r="AS21" s="2"/>
      <c r="AT21" s="2"/>
      <c r="AU21" s="50"/>
      <c r="AV21" s="50"/>
    </row>
    <row r="22" spans="1:48" ht="16.5" customHeight="1" x14ac:dyDescent="0.25">
      <c r="A22" s="38" t="s">
        <v>20</v>
      </c>
      <c r="B22" s="39">
        <v>6</v>
      </c>
      <c r="C22" s="39">
        <v>18</v>
      </c>
      <c r="D22" s="40">
        <v>6</v>
      </c>
      <c r="E22" s="41">
        <v>18</v>
      </c>
      <c r="F22" s="39">
        <v>6</v>
      </c>
      <c r="G22" s="39">
        <v>17</v>
      </c>
      <c r="H22" s="40">
        <v>6</v>
      </c>
      <c r="I22" s="41">
        <v>19</v>
      </c>
      <c r="J22" s="40">
        <v>6</v>
      </c>
      <c r="K22" s="41">
        <v>19</v>
      </c>
      <c r="L22" s="40">
        <v>6</v>
      </c>
      <c r="M22" s="42">
        <v>19</v>
      </c>
      <c r="N22" s="43">
        <v>12.208152</v>
      </c>
      <c r="O22" s="44">
        <v>12.004231000000001</v>
      </c>
      <c r="P22" s="44">
        <v>15.445817</v>
      </c>
      <c r="Q22" s="44">
        <v>12.430527</v>
      </c>
      <c r="R22" s="44">
        <v>17.144956000000001</v>
      </c>
      <c r="S22" s="44">
        <v>20.438787999999999</v>
      </c>
      <c r="T22" s="45">
        <v>25.040019999999998</v>
      </c>
      <c r="U22" s="43">
        <v>9.5316729999999996</v>
      </c>
      <c r="V22" s="44">
        <v>11.360829000000001</v>
      </c>
      <c r="W22" s="44">
        <v>11.181990000000001</v>
      </c>
      <c r="X22" s="44">
        <v>10.927686000000001</v>
      </c>
      <c r="Y22" s="48">
        <v>11.686133999999999</v>
      </c>
      <c r="Z22" s="48">
        <v>9.4675064399999869</v>
      </c>
      <c r="AA22" s="48">
        <v>8.4204430000000006</v>
      </c>
      <c r="AB22" s="44">
        <v>8.0281749999999992</v>
      </c>
      <c r="AC22" s="48">
        <v>7.831969</v>
      </c>
      <c r="AD22" s="48">
        <v>6.9178613200000036</v>
      </c>
      <c r="AE22" s="48">
        <v>8.9021036400000089</v>
      </c>
      <c r="AF22" s="48">
        <v>6.4433930900000016</v>
      </c>
      <c r="AG22" s="54">
        <v>12.165865249999998</v>
      </c>
      <c r="AH22" s="43">
        <v>73.143526407760518</v>
      </c>
      <c r="AI22" s="44">
        <v>74.928627549746565</v>
      </c>
      <c r="AJ22" s="44">
        <v>69.457796427622171</v>
      </c>
      <c r="AK22" s="48">
        <v>68.973936431984143</v>
      </c>
      <c r="AL22" s="48">
        <v>66.877878308073207</v>
      </c>
      <c r="AM22" s="48">
        <v>64.284230996022103</v>
      </c>
      <c r="AN22" s="48">
        <f t="shared" si="4"/>
        <v>55.652196564152135</v>
      </c>
      <c r="AO22" s="48">
        <f t="shared" si="3"/>
        <v>51.922580845351888</v>
      </c>
      <c r="AP22" s="48">
        <f t="shared" si="3"/>
        <v>31.525318869201058</v>
      </c>
      <c r="AQ22" s="48">
        <f t="shared" si="3"/>
        <v>48.585685035395329</v>
      </c>
      <c r="AR22" s="49" t="s">
        <v>21</v>
      </c>
      <c r="AS22" s="2"/>
      <c r="AT22" s="2"/>
      <c r="AU22" s="50"/>
      <c r="AV22" s="50"/>
    </row>
    <row r="23" spans="1:48" ht="16.5" customHeight="1" x14ac:dyDescent="0.25">
      <c r="A23" s="38" t="s">
        <v>22</v>
      </c>
      <c r="B23" s="39">
        <v>9</v>
      </c>
      <c r="C23" s="39">
        <v>27</v>
      </c>
      <c r="D23" s="40">
        <v>9</v>
      </c>
      <c r="E23" s="41">
        <v>26</v>
      </c>
      <c r="F23" s="39">
        <v>9</v>
      </c>
      <c r="G23" s="39">
        <v>24</v>
      </c>
      <c r="H23" s="40">
        <v>9</v>
      </c>
      <c r="I23" s="41">
        <v>32</v>
      </c>
      <c r="J23" s="40">
        <v>9</v>
      </c>
      <c r="K23" s="41">
        <v>32</v>
      </c>
      <c r="L23" s="40">
        <v>9</v>
      </c>
      <c r="M23" s="42">
        <v>32</v>
      </c>
      <c r="N23" s="43">
        <v>19.955632999999999</v>
      </c>
      <c r="O23" s="44">
        <v>21.790464</v>
      </c>
      <c r="P23" s="44">
        <v>31.838619999999999</v>
      </c>
      <c r="Q23" s="44">
        <v>25.631768999999998</v>
      </c>
      <c r="R23" s="44">
        <v>35.540827999999998</v>
      </c>
      <c r="S23" s="44">
        <v>44.028657000000003</v>
      </c>
      <c r="T23" s="45">
        <v>50.320276</v>
      </c>
      <c r="U23" s="43">
        <v>16.919053999999999</v>
      </c>
      <c r="V23" s="44">
        <v>20.211186999999999</v>
      </c>
      <c r="W23" s="44">
        <v>18.904149</v>
      </c>
      <c r="X23" s="44">
        <v>18.950017999999996</v>
      </c>
      <c r="Y23" s="46">
        <v>22.765788000000001</v>
      </c>
      <c r="Z23" s="46">
        <v>15.418515429999989</v>
      </c>
      <c r="AA23" s="46">
        <v>14.213243</v>
      </c>
      <c r="AB23" s="44">
        <v>13.955282</v>
      </c>
      <c r="AC23" s="46">
        <v>16.579215000000001</v>
      </c>
      <c r="AD23" s="46">
        <v>21.212694830000011</v>
      </c>
      <c r="AE23" s="46">
        <v>21.17506026000002</v>
      </c>
      <c r="AF23" s="46">
        <v>14.752521989999995</v>
      </c>
      <c r="AG23" s="47">
        <v>27.990866070000042</v>
      </c>
      <c r="AH23" s="43">
        <v>73.578024489771821</v>
      </c>
      <c r="AI23" s="44">
        <v>71.070697552624054</v>
      </c>
      <c r="AJ23" s="44">
        <v>69.010103664346488</v>
      </c>
      <c r="AK23" s="48">
        <v>71.22421523787294</v>
      </c>
      <c r="AL23" s="48">
        <v>64.043069482136772</v>
      </c>
      <c r="AM23" s="48">
        <v>58.50494095502723</v>
      </c>
      <c r="AN23" s="48">
        <f t="shared" si="4"/>
        <v>82.759386720440602</v>
      </c>
      <c r="AO23" s="48">
        <f t="shared" si="3"/>
        <v>59.579535569627197</v>
      </c>
      <c r="AP23" s="48">
        <f t="shared" si="3"/>
        <v>33.506636348231098</v>
      </c>
      <c r="AQ23" s="48">
        <f t="shared" si="3"/>
        <v>55.62542238440831</v>
      </c>
      <c r="AR23" s="49" t="s">
        <v>23</v>
      </c>
      <c r="AS23" s="2"/>
      <c r="AT23" s="2"/>
      <c r="AU23" s="50"/>
      <c r="AV23" s="50"/>
    </row>
    <row r="24" spans="1:48" ht="16.5" customHeight="1" x14ac:dyDescent="0.25">
      <c r="A24" s="38" t="s">
        <v>24</v>
      </c>
      <c r="B24" s="39">
        <v>6</v>
      </c>
      <c r="C24" s="39">
        <v>18</v>
      </c>
      <c r="D24" s="40">
        <v>6</v>
      </c>
      <c r="E24" s="41">
        <v>18</v>
      </c>
      <c r="F24" s="39">
        <v>6</v>
      </c>
      <c r="G24" s="39">
        <v>18</v>
      </c>
      <c r="H24" s="40">
        <v>6</v>
      </c>
      <c r="I24" s="41">
        <v>19</v>
      </c>
      <c r="J24" s="40">
        <v>6</v>
      </c>
      <c r="K24" s="41">
        <v>19</v>
      </c>
      <c r="L24" s="40">
        <v>6</v>
      </c>
      <c r="M24" s="42">
        <v>19</v>
      </c>
      <c r="N24" s="43">
        <v>22.050754000000001</v>
      </c>
      <c r="O24" s="44">
        <v>19.492666</v>
      </c>
      <c r="P24" s="44">
        <v>26.667193999999999</v>
      </c>
      <c r="Q24" s="44">
        <v>23.472601999999998</v>
      </c>
      <c r="R24" s="44">
        <v>32.590466999999997</v>
      </c>
      <c r="S24" s="44">
        <v>36.388576</v>
      </c>
      <c r="T24" s="45">
        <v>39.061154000000002</v>
      </c>
      <c r="U24" s="43">
        <v>12.888885999999999</v>
      </c>
      <c r="V24" s="44">
        <v>16.597159000000001</v>
      </c>
      <c r="W24" s="44">
        <v>16.125867</v>
      </c>
      <c r="X24" s="44">
        <v>16.259402999999999</v>
      </c>
      <c r="Y24" s="46">
        <v>20.812657000000002</v>
      </c>
      <c r="Z24" s="46">
        <v>14.325706509999998</v>
      </c>
      <c r="AA24" s="46">
        <v>13.151589</v>
      </c>
      <c r="AB24" s="44">
        <v>13.619215000000001</v>
      </c>
      <c r="AC24" s="46">
        <v>16.345904000000001</v>
      </c>
      <c r="AD24" s="46">
        <v>19.127847299999996</v>
      </c>
      <c r="AE24" s="46">
        <v>21.265384620000024</v>
      </c>
      <c r="AF24" s="46">
        <v>13.286967759999998</v>
      </c>
      <c r="AG24" s="47">
        <v>27.468453750000016</v>
      </c>
      <c r="AH24" s="43">
        <v>64.434517800292809</v>
      </c>
      <c r="AI24" s="44">
        <v>58.100853275605779</v>
      </c>
      <c r="AJ24" s="44">
        <v>56.70255314793058</v>
      </c>
      <c r="AK24" s="48">
        <v>59.64235508681471</v>
      </c>
      <c r="AL24" s="48">
        <v>69.868405891733858</v>
      </c>
      <c r="AM24" s="48">
        <v>64.457137467187138</v>
      </c>
      <c r="AN24" s="48">
        <f t="shared" si="4"/>
        <v>81.490101949498381</v>
      </c>
      <c r="AO24" s="48">
        <f t="shared" si="3"/>
        <v>65.250321880935374</v>
      </c>
      <c r="AP24" s="48">
        <f t="shared" si="3"/>
        <v>36.514118496970035</v>
      </c>
      <c r="AQ24" s="48">
        <f t="shared" si="3"/>
        <v>70.321664715794157</v>
      </c>
      <c r="AR24" s="49" t="s">
        <v>25</v>
      </c>
      <c r="AS24" s="55"/>
      <c r="AT24" s="55"/>
      <c r="AU24" s="50"/>
      <c r="AV24" s="50"/>
    </row>
    <row r="25" spans="1:48" ht="16.5" customHeight="1" x14ac:dyDescent="0.25">
      <c r="A25" s="38" t="s">
        <v>26</v>
      </c>
      <c r="B25" s="39">
        <v>7</v>
      </c>
      <c r="C25" s="39">
        <v>23</v>
      </c>
      <c r="D25" s="40">
        <v>7</v>
      </c>
      <c r="E25" s="41">
        <v>23</v>
      </c>
      <c r="F25" s="39">
        <v>7</v>
      </c>
      <c r="G25" s="39">
        <v>23</v>
      </c>
      <c r="H25" s="40">
        <v>7</v>
      </c>
      <c r="I25" s="41">
        <v>25</v>
      </c>
      <c r="J25" s="40">
        <v>7</v>
      </c>
      <c r="K25" s="41">
        <v>25</v>
      </c>
      <c r="L25" s="40">
        <v>7</v>
      </c>
      <c r="M25" s="42">
        <v>25</v>
      </c>
      <c r="N25" s="43">
        <v>20.173062999999999</v>
      </c>
      <c r="O25" s="44">
        <v>21.533484999999999</v>
      </c>
      <c r="P25" s="44">
        <v>29.663536000000001</v>
      </c>
      <c r="Q25" s="44">
        <v>24.310663000000002</v>
      </c>
      <c r="R25" s="44">
        <v>35.333942999999998</v>
      </c>
      <c r="S25" s="44">
        <v>44.845703</v>
      </c>
      <c r="T25" s="45">
        <v>49.284795000000003</v>
      </c>
      <c r="U25" s="43">
        <v>15.778739</v>
      </c>
      <c r="V25" s="44">
        <v>19.847490000000001</v>
      </c>
      <c r="W25" s="44">
        <v>18.079702999999999</v>
      </c>
      <c r="X25" s="44">
        <v>17.058373</v>
      </c>
      <c r="Y25" s="46">
        <v>23.110019000000001</v>
      </c>
      <c r="Z25" s="46">
        <v>13.243837319999985</v>
      </c>
      <c r="AA25" s="46">
        <v>12.225936000000001</v>
      </c>
      <c r="AB25" s="44">
        <v>12.481401999999999</v>
      </c>
      <c r="AC25" s="46">
        <v>14.613974000000001</v>
      </c>
      <c r="AD25" s="46">
        <v>12.437109280000007</v>
      </c>
      <c r="AE25" s="46">
        <v>14.378280130000004</v>
      </c>
      <c r="AF25" s="46">
        <v>14.328772389999999</v>
      </c>
      <c r="AG25" s="47">
        <v>28.089545740000016</v>
      </c>
      <c r="AH25" s="43">
        <v>55.447723752985759</v>
      </c>
      <c r="AI25" s="44">
        <v>59.325248882178208</v>
      </c>
      <c r="AJ25" s="44">
        <v>51.919640053665262</v>
      </c>
      <c r="AK25" s="48">
        <v>62.367477980354401</v>
      </c>
      <c r="AL25" s="48">
        <v>57.962758931032297</v>
      </c>
      <c r="AM25" s="48">
        <v>53.87214966737556</v>
      </c>
      <c r="AN25" s="48">
        <f t="shared" si="4"/>
        <v>51.159070733694122</v>
      </c>
      <c r="AO25" s="48">
        <f t="shared" si="4"/>
        <v>40.69254351262186</v>
      </c>
      <c r="AP25" s="48">
        <f t="shared" si="4"/>
        <v>31.951271652492547</v>
      </c>
      <c r="AQ25" s="48">
        <f t="shared" si="4"/>
        <v>56.99434428001581</v>
      </c>
      <c r="AR25" s="49" t="s">
        <v>27</v>
      </c>
      <c r="AS25" s="55"/>
      <c r="AT25" s="55"/>
      <c r="AU25" s="50"/>
      <c r="AV25" s="50"/>
    </row>
    <row r="26" spans="1:48" ht="16.5" customHeight="1" x14ac:dyDescent="0.25">
      <c r="A26" s="38" t="s">
        <v>28</v>
      </c>
      <c r="B26" s="39">
        <v>14</v>
      </c>
      <c r="C26" s="39">
        <v>43</v>
      </c>
      <c r="D26" s="40">
        <v>14</v>
      </c>
      <c r="E26" s="41">
        <v>43</v>
      </c>
      <c r="F26" s="39">
        <v>14</v>
      </c>
      <c r="G26" s="39">
        <v>42</v>
      </c>
      <c r="H26" s="40">
        <v>14</v>
      </c>
      <c r="I26" s="41">
        <v>52</v>
      </c>
      <c r="J26" s="40">
        <v>14</v>
      </c>
      <c r="K26" s="41">
        <v>52</v>
      </c>
      <c r="L26" s="40">
        <v>14</v>
      </c>
      <c r="M26" s="42">
        <v>52</v>
      </c>
      <c r="N26" s="43">
        <v>35.154707999999999</v>
      </c>
      <c r="O26" s="44">
        <v>35.382486999999998</v>
      </c>
      <c r="P26" s="44">
        <v>50.958122000000003</v>
      </c>
      <c r="Q26" s="44">
        <v>43.398305000000001</v>
      </c>
      <c r="R26" s="44">
        <v>63.085143000000002</v>
      </c>
      <c r="S26" s="44">
        <v>80.412892999999997</v>
      </c>
      <c r="T26" s="45">
        <v>88.061780999999996</v>
      </c>
      <c r="U26" s="43">
        <v>26.073442</v>
      </c>
      <c r="V26" s="44">
        <v>32.264834</v>
      </c>
      <c r="W26" s="44">
        <v>30.670287999999999</v>
      </c>
      <c r="X26" s="44">
        <v>30.996426999999997</v>
      </c>
      <c r="Y26" s="46">
        <v>38.572598999999997</v>
      </c>
      <c r="Z26" s="46">
        <v>25.570837819999966</v>
      </c>
      <c r="AA26" s="46">
        <v>24.316875</v>
      </c>
      <c r="AB26" s="44">
        <v>24.247717999999999</v>
      </c>
      <c r="AC26" s="46">
        <v>29.405342999999998</v>
      </c>
      <c r="AD26" s="46">
        <v>32.450099339999966</v>
      </c>
      <c r="AE26" s="46">
        <v>38.461895270000078</v>
      </c>
      <c r="AF26" s="46">
        <v>25.374305459999981</v>
      </c>
      <c r="AG26" s="47">
        <v>48.630541719999997</v>
      </c>
      <c r="AH26" s="43">
        <v>72.757026099169678</v>
      </c>
      <c r="AI26" s="44">
        <v>66.750122636649806</v>
      </c>
      <c r="AJ26" s="44">
        <v>65.166130727716819</v>
      </c>
      <c r="AK26" s="48">
        <v>69.824225073316953</v>
      </c>
      <c r="AL26" s="48">
        <v>68.530281661659345</v>
      </c>
      <c r="AM26" s="48">
        <v>61.43004724261273</v>
      </c>
      <c r="AN26" s="48">
        <f t="shared" si="4"/>
        <v>74.772734419005459</v>
      </c>
      <c r="AO26" s="48">
        <f t="shared" si="4"/>
        <v>60.968230301071166</v>
      </c>
      <c r="AP26" s="48">
        <f t="shared" si="4"/>
        <v>31.555021232726922</v>
      </c>
      <c r="AQ26" s="48">
        <f t="shared" si="4"/>
        <v>55.223209396593965</v>
      </c>
      <c r="AR26" s="49" t="s">
        <v>29</v>
      </c>
      <c r="AS26" s="55"/>
      <c r="AT26" s="55"/>
      <c r="AU26" s="50"/>
      <c r="AV26" s="50"/>
    </row>
    <row r="27" spans="1:48" ht="16.5" customHeight="1" x14ac:dyDescent="0.25">
      <c r="A27" s="38" t="s">
        <v>30</v>
      </c>
      <c r="B27" s="39">
        <v>12</v>
      </c>
      <c r="C27" s="39">
        <v>39</v>
      </c>
      <c r="D27" s="40">
        <v>12</v>
      </c>
      <c r="E27" s="41">
        <v>39</v>
      </c>
      <c r="F27" s="39">
        <v>12</v>
      </c>
      <c r="G27" s="39">
        <v>37</v>
      </c>
      <c r="H27" s="40">
        <v>12</v>
      </c>
      <c r="I27" s="41">
        <v>45</v>
      </c>
      <c r="J27" s="40">
        <v>12</v>
      </c>
      <c r="K27" s="41">
        <v>45</v>
      </c>
      <c r="L27" s="40">
        <v>12</v>
      </c>
      <c r="M27" s="42">
        <v>45</v>
      </c>
      <c r="N27" s="43">
        <v>36.443221999999999</v>
      </c>
      <c r="O27" s="44">
        <v>35.992249999999999</v>
      </c>
      <c r="P27" s="44">
        <v>56.214976999999998</v>
      </c>
      <c r="Q27" s="44">
        <v>52.721705</v>
      </c>
      <c r="R27" s="44">
        <v>77.120945000000006</v>
      </c>
      <c r="S27" s="44">
        <v>98.149996000000002</v>
      </c>
      <c r="T27" s="45">
        <v>103.98423200000001</v>
      </c>
      <c r="U27" s="43">
        <v>26.346751000000001</v>
      </c>
      <c r="V27" s="44">
        <v>34.536470999999999</v>
      </c>
      <c r="W27" s="44">
        <v>33.067154000000002</v>
      </c>
      <c r="X27" s="44">
        <v>31.360390999999996</v>
      </c>
      <c r="Y27" s="46">
        <v>36.633343000000004</v>
      </c>
      <c r="Z27" s="46">
        <v>25.815098499999987</v>
      </c>
      <c r="AA27" s="46">
        <v>24.497955999999999</v>
      </c>
      <c r="AB27" s="44">
        <v>24.571368</v>
      </c>
      <c r="AC27" s="46">
        <v>29.497911999999999</v>
      </c>
      <c r="AD27" s="46">
        <v>30.338632500000028</v>
      </c>
      <c r="AE27" s="46">
        <v>44.498207389999919</v>
      </c>
      <c r="AF27" s="46">
        <v>29.053518939999993</v>
      </c>
      <c r="AG27" s="47">
        <v>62.02144213000004</v>
      </c>
      <c r="AH27" s="43">
        <v>71.158005174638191</v>
      </c>
      <c r="AI27" s="44">
        <v>72.567350093111685</v>
      </c>
      <c r="AJ27" s="44">
        <v>55.486015902990204</v>
      </c>
      <c r="AK27" s="48">
        <v>68.538745611685471</v>
      </c>
      <c r="AL27" s="48">
        <v>68.26849669025971</v>
      </c>
      <c r="AM27" s="48">
        <v>59.589631098518872</v>
      </c>
      <c r="AN27" s="48">
        <f t="shared" si="4"/>
        <v>57.544862215666257</v>
      </c>
      <c r="AO27" s="48">
        <f t="shared" si="4"/>
        <v>57.699250689938921</v>
      </c>
      <c r="AP27" s="48">
        <f t="shared" si="4"/>
        <v>29.601141236928825</v>
      </c>
      <c r="AQ27" s="48">
        <f t="shared" si="4"/>
        <v>59.645045154538465</v>
      </c>
      <c r="AR27" s="49" t="s">
        <v>31</v>
      </c>
      <c r="AS27" s="55"/>
      <c r="AT27" s="55"/>
      <c r="AU27" s="50"/>
      <c r="AV27" s="50"/>
    </row>
    <row r="28" spans="1:48" ht="16.5" customHeight="1" x14ac:dyDescent="0.25">
      <c r="A28" s="38" t="s">
        <v>32</v>
      </c>
      <c r="B28" s="39">
        <v>10</v>
      </c>
      <c r="C28" s="39">
        <v>32</v>
      </c>
      <c r="D28" s="40">
        <v>10</v>
      </c>
      <c r="E28" s="41">
        <v>32</v>
      </c>
      <c r="F28" s="39">
        <v>10</v>
      </c>
      <c r="G28" s="39">
        <v>30</v>
      </c>
      <c r="H28" s="40">
        <v>10</v>
      </c>
      <c r="I28" s="41">
        <v>37</v>
      </c>
      <c r="J28" s="40">
        <v>10</v>
      </c>
      <c r="K28" s="41">
        <v>37</v>
      </c>
      <c r="L28" s="40">
        <v>10</v>
      </c>
      <c r="M28" s="42">
        <v>37</v>
      </c>
      <c r="N28" s="43">
        <v>27.422675999999999</v>
      </c>
      <c r="O28" s="44">
        <v>27.630651</v>
      </c>
      <c r="P28" s="44">
        <v>41.788440000000001</v>
      </c>
      <c r="Q28" s="44">
        <v>38.025457000000003</v>
      </c>
      <c r="R28" s="44">
        <v>55.604835999999999</v>
      </c>
      <c r="S28" s="44">
        <v>69.905061000000003</v>
      </c>
      <c r="T28" s="45">
        <v>75.711478</v>
      </c>
      <c r="U28" s="43">
        <v>19.840727000000001</v>
      </c>
      <c r="V28" s="44">
        <v>25.027142999999999</v>
      </c>
      <c r="W28" s="44">
        <v>24.753309000000002</v>
      </c>
      <c r="X28" s="44">
        <v>24.314753</v>
      </c>
      <c r="Y28" s="46">
        <v>30.053234</v>
      </c>
      <c r="Z28" s="46">
        <v>21.708523679999956</v>
      </c>
      <c r="AA28" s="46">
        <v>19.289511000000001</v>
      </c>
      <c r="AB28" s="44">
        <v>18.061050999999999</v>
      </c>
      <c r="AC28" s="46">
        <v>23.254276000000001</v>
      </c>
      <c r="AD28" s="46">
        <v>27.846545659999993</v>
      </c>
      <c r="AE28" s="46">
        <v>32.199821000000057</v>
      </c>
      <c r="AF28" s="46">
        <v>21.091901170000014</v>
      </c>
      <c r="AG28" s="47">
        <v>45.969672889999963</v>
      </c>
      <c r="AH28" s="43">
        <v>55.833091460194261</v>
      </c>
      <c r="AI28" s="44">
        <v>59.634875405294927</v>
      </c>
      <c r="AJ28" s="44">
        <v>56.935311589475688</v>
      </c>
      <c r="AK28" s="48">
        <v>72.38721680644872</v>
      </c>
      <c r="AL28" s="48">
        <v>66.127052258676756</v>
      </c>
      <c r="AM28" s="48">
        <v>57.412129241084308</v>
      </c>
      <c r="AN28" s="48">
        <f t="shared" si="4"/>
        <v>73.231324110056036</v>
      </c>
      <c r="AO28" s="48">
        <f t="shared" si="4"/>
        <v>57.908310349121535</v>
      </c>
      <c r="AP28" s="48">
        <f t="shared" si="4"/>
        <v>30.172209090841097</v>
      </c>
      <c r="AQ28" s="48">
        <f t="shared" si="4"/>
        <v>60.716913874009911</v>
      </c>
      <c r="AR28" s="56" t="s">
        <v>33</v>
      </c>
      <c r="AS28" s="55"/>
      <c r="AT28" s="55"/>
      <c r="AU28" s="57"/>
      <c r="AV28" s="50"/>
    </row>
    <row r="29" spans="1:48" ht="16.5" customHeight="1" x14ac:dyDescent="0.25">
      <c r="A29" s="38" t="s">
        <v>34</v>
      </c>
      <c r="B29" s="39">
        <v>10</v>
      </c>
      <c r="C29" s="39">
        <v>36</v>
      </c>
      <c r="D29" s="40">
        <v>10</v>
      </c>
      <c r="E29" s="41">
        <v>36</v>
      </c>
      <c r="F29" s="39">
        <v>10</v>
      </c>
      <c r="G29" s="39">
        <v>34</v>
      </c>
      <c r="H29" s="40">
        <v>10</v>
      </c>
      <c r="I29" s="41">
        <v>39</v>
      </c>
      <c r="J29" s="40">
        <v>10</v>
      </c>
      <c r="K29" s="41">
        <v>39</v>
      </c>
      <c r="L29" s="40">
        <v>10</v>
      </c>
      <c r="M29" s="42">
        <v>39</v>
      </c>
      <c r="N29" s="43">
        <v>28.649729000000001</v>
      </c>
      <c r="O29" s="44">
        <v>26.409078999999998</v>
      </c>
      <c r="P29" s="44">
        <v>37.038536999999998</v>
      </c>
      <c r="Q29" s="44">
        <v>33.535806000000001</v>
      </c>
      <c r="R29" s="44">
        <v>52.747843000000003</v>
      </c>
      <c r="S29" s="44">
        <v>88.830846999999991</v>
      </c>
      <c r="T29" s="45">
        <v>95.084840999999997</v>
      </c>
      <c r="U29" s="43">
        <v>21.271201999999999</v>
      </c>
      <c r="V29" s="44">
        <v>27.704087000000001</v>
      </c>
      <c r="W29" s="44">
        <v>27.277650000000001</v>
      </c>
      <c r="X29" s="44">
        <v>27.408446000000005</v>
      </c>
      <c r="Y29" s="46">
        <v>34.681564000000002</v>
      </c>
      <c r="Z29" s="46">
        <v>21.897160639999981</v>
      </c>
      <c r="AA29" s="46">
        <v>20.283227</v>
      </c>
      <c r="AB29" s="44">
        <v>19.849138</v>
      </c>
      <c r="AC29" s="46">
        <v>24.585235999999998</v>
      </c>
      <c r="AD29" s="46">
        <v>23.552449940000017</v>
      </c>
      <c r="AE29" s="46">
        <v>35.595901010000077</v>
      </c>
      <c r="AF29" s="46">
        <v>24.365684079999991</v>
      </c>
      <c r="AG29" s="47">
        <v>51.783990669999994</v>
      </c>
      <c r="AH29" s="43">
        <v>71.890700425089349</v>
      </c>
      <c r="AI29" s="44">
        <v>60.897148020875761</v>
      </c>
      <c r="AJ29" s="44">
        <v>56.759814703502066</v>
      </c>
      <c r="AK29" s="48">
        <v>62.891847201838672</v>
      </c>
      <c r="AL29" s="48">
        <v>65.103468335364525</v>
      </c>
      <c r="AM29" s="48">
        <v>51.867339197918582</v>
      </c>
      <c r="AN29" s="48">
        <f t="shared" si="4"/>
        <v>70.230755569137102</v>
      </c>
      <c r="AO29" s="48">
        <f t="shared" si="4"/>
        <v>67.483140514390456</v>
      </c>
      <c r="AP29" s="48">
        <f t="shared" si="4"/>
        <v>27.429305137662364</v>
      </c>
      <c r="AQ29" s="48">
        <f t="shared" si="4"/>
        <v>54.460826905100468</v>
      </c>
      <c r="AR29" s="49" t="s">
        <v>35</v>
      </c>
      <c r="AS29" s="55"/>
      <c r="AT29" s="55"/>
      <c r="AU29" s="50"/>
      <c r="AV29" s="50"/>
    </row>
    <row r="30" spans="1:48" ht="16.5" customHeight="1" x14ac:dyDescent="0.25">
      <c r="A30" s="38" t="s">
        <v>60</v>
      </c>
      <c r="B30" s="39">
        <v>0</v>
      </c>
      <c r="C30" s="39">
        <v>0</v>
      </c>
      <c r="D30" s="40">
        <v>0</v>
      </c>
      <c r="E30" s="41">
        <v>0</v>
      </c>
      <c r="F30" s="39">
        <v>0</v>
      </c>
      <c r="G30" s="39">
        <v>0</v>
      </c>
      <c r="H30" s="40">
        <v>0</v>
      </c>
      <c r="I30" s="41">
        <v>0</v>
      </c>
      <c r="J30" s="40">
        <v>0</v>
      </c>
      <c r="K30" s="41">
        <v>0</v>
      </c>
      <c r="L30" s="40">
        <v>0</v>
      </c>
      <c r="M30" s="42">
        <v>0</v>
      </c>
      <c r="N30" s="43">
        <v>4.445735</v>
      </c>
      <c r="O30" s="44">
        <v>4.4659240000000002</v>
      </c>
      <c r="P30" s="44">
        <v>20.743815999999999</v>
      </c>
      <c r="Q30" s="44">
        <v>12.608243999999999</v>
      </c>
      <c r="R30" s="44">
        <v>18.298850999999999</v>
      </c>
      <c r="S30" s="44">
        <v>0</v>
      </c>
      <c r="T30" s="45">
        <v>0</v>
      </c>
      <c r="U30" s="43">
        <v>0</v>
      </c>
      <c r="V30" s="44">
        <v>0</v>
      </c>
      <c r="W30" s="44">
        <v>0</v>
      </c>
      <c r="X30" s="44">
        <v>0</v>
      </c>
      <c r="Y30" s="46">
        <v>0</v>
      </c>
      <c r="Z30" s="46">
        <v>0</v>
      </c>
      <c r="AA30" s="46">
        <v>0</v>
      </c>
      <c r="AB30" s="44">
        <v>0</v>
      </c>
      <c r="AC30" s="46">
        <v>0</v>
      </c>
      <c r="AD30" s="46">
        <v>0</v>
      </c>
      <c r="AE30" s="46">
        <v>0</v>
      </c>
      <c r="AF30" s="46">
        <v>0</v>
      </c>
      <c r="AG30" s="47">
        <v>0</v>
      </c>
      <c r="AH30" s="43">
        <v>0</v>
      </c>
      <c r="AI30" s="44">
        <v>0</v>
      </c>
      <c r="AJ30" s="44">
        <v>0</v>
      </c>
      <c r="AK30" s="48">
        <v>0</v>
      </c>
      <c r="AL30" s="48">
        <v>0</v>
      </c>
      <c r="AM30" s="48">
        <v>0</v>
      </c>
      <c r="AN30" s="48">
        <v>0</v>
      </c>
      <c r="AO30" s="48">
        <v>0</v>
      </c>
      <c r="AP30" s="48">
        <v>0</v>
      </c>
      <c r="AQ30" s="48">
        <v>0</v>
      </c>
      <c r="AR30" s="49" t="s">
        <v>61</v>
      </c>
      <c r="AS30" s="55"/>
      <c r="AT30" s="55"/>
      <c r="AU30" s="50"/>
      <c r="AV30" s="50"/>
    </row>
    <row r="31" spans="1:48" ht="16.5" customHeight="1" x14ac:dyDescent="0.25">
      <c r="A31" s="38" t="s">
        <v>62</v>
      </c>
      <c r="B31" s="39">
        <v>1</v>
      </c>
      <c r="C31" s="39">
        <v>3</v>
      </c>
      <c r="D31" s="40">
        <v>1</v>
      </c>
      <c r="E31" s="41">
        <v>3</v>
      </c>
      <c r="F31" s="39">
        <v>1</v>
      </c>
      <c r="G31" s="39">
        <v>3</v>
      </c>
      <c r="H31" s="40">
        <v>1</v>
      </c>
      <c r="I31" s="41">
        <v>5</v>
      </c>
      <c r="J31" s="40">
        <v>1</v>
      </c>
      <c r="K31" s="41">
        <v>5</v>
      </c>
      <c r="L31" s="40">
        <v>1</v>
      </c>
      <c r="M31" s="42">
        <v>5</v>
      </c>
      <c r="N31" s="43">
        <v>14.47648</v>
      </c>
      <c r="O31" s="44">
        <v>6.7274750000000001</v>
      </c>
      <c r="P31" s="44">
        <v>37.719754000000002</v>
      </c>
      <c r="Q31" s="44">
        <v>30.524999999999999</v>
      </c>
      <c r="R31" s="44">
        <v>36.483874</v>
      </c>
      <c r="S31" s="44">
        <v>47.495241</v>
      </c>
      <c r="T31" s="45">
        <v>51.933771</v>
      </c>
      <c r="U31" s="43">
        <v>4.6662730000000003</v>
      </c>
      <c r="V31" s="44">
        <v>18.061489999999999</v>
      </c>
      <c r="W31" s="44">
        <v>19.211731</v>
      </c>
      <c r="X31" s="44">
        <v>22.467120000000001</v>
      </c>
      <c r="Y31" s="46">
        <v>31.715696999999999</v>
      </c>
      <c r="Z31" s="46">
        <v>18.849157399999989</v>
      </c>
      <c r="AA31" s="46">
        <v>11.68614</v>
      </c>
      <c r="AB31" s="44">
        <v>4.9977830000000001</v>
      </c>
      <c r="AC31" s="46">
        <v>22.992739</v>
      </c>
      <c r="AD31" s="46">
        <v>25.266689159999988</v>
      </c>
      <c r="AE31" s="46">
        <v>27.084379170000005</v>
      </c>
      <c r="AF31" s="46">
        <v>13.902894400000003</v>
      </c>
      <c r="AG31" s="47">
        <v>32.887285179999985</v>
      </c>
      <c r="AH31" s="43">
        <v>87.135097307707809</v>
      </c>
      <c r="AI31" s="44">
        <v>68.841879722519167</v>
      </c>
      <c r="AJ31" s="44">
        <v>59.403808807356008</v>
      </c>
      <c r="AK31" s="48">
        <v>80.725010499790002</v>
      </c>
      <c r="AL31" s="48">
        <v>74.289135225325992</v>
      </c>
      <c r="AM31" s="48">
        <v>65.363027184255159</v>
      </c>
      <c r="AN31" s="48">
        <f t="shared" ref="AN31:AQ32" si="5">AD31/Q31*100</f>
        <v>82.77375646191642</v>
      </c>
      <c r="AO31" s="48">
        <f t="shared" si="5"/>
        <v>74.236576877773459</v>
      </c>
      <c r="AP31" s="48">
        <f t="shared" si="5"/>
        <v>29.272184133142947</v>
      </c>
      <c r="AQ31" s="48">
        <f t="shared" si="5"/>
        <v>63.325432655371749</v>
      </c>
      <c r="AR31" s="49" t="s">
        <v>36</v>
      </c>
      <c r="AS31" s="55"/>
      <c r="AT31" s="55"/>
      <c r="AU31" s="50"/>
      <c r="AV31" s="50"/>
    </row>
    <row r="32" spans="1:48" ht="16.5" customHeight="1" x14ac:dyDescent="0.25">
      <c r="A32" s="58" t="s">
        <v>63</v>
      </c>
      <c r="B32" s="59">
        <v>1</v>
      </c>
      <c r="C32" s="59">
        <v>7</v>
      </c>
      <c r="D32" s="60">
        <v>1</v>
      </c>
      <c r="E32" s="61">
        <v>7</v>
      </c>
      <c r="F32" s="59">
        <v>1</v>
      </c>
      <c r="G32" s="59">
        <v>7</v>
      </c>
      <c r="H32" s="60">
        <v>1</v>
      </c>
      <c r="I32" s="61">
        <v>11</v>
      </c>
      <c r="J32" s="60">
        <v>1</v>
      </c>
      <c r="K32" s="61">
        <v>11</v>
      </c>
      <c r="L32" s="60">
        <v>1</v>
      </c>
      <c r="M32" s="62">
        <v>11</v>
      </c>
      <c r="N32" s="63">
        <v>22.839051999999999</v>
      </c>
      <c r="O32" s="64">
        <v>18.844567999999999</v>
      </c>
      <c r="P32" s="64">
        <v>64.546180000000007</v>
      </c>
      <c r="Q32" s="64">
        <v>49.369517999999999</v>
      </c>
      <c r="R32" s="64">
        <v>73.732031000000006</v>
      </c>
      <c r="S32" s="64">
        <v>75.084333000000001</v>
      </c>
      <c r="T32" s="65">
        <v>82.198277000000004</v>
      </c>
      <c r="U32" s="63">
        <v>22.907131</v>
      </c>
      <c r="V32" s="64">
        <v>29.297042999999999</v>
      </c>
      <c r="W32" s="64">
        <v>27.772646000000002</v>
      </c>
      <c r="X32" s="64">
        <v>25.918375999999999</v>
      </c>
      <c r="Y32" s="66">
        <v>33.778312999999997</v>
      </c>
      <c r="Z32" s="66">
        <v>11.561385849999999</v>
      </c>
      <c r="AA32" s="66">
        <v>12.372394999999999</v>
      </c>
      <c r="AB32" s="64">
        <v>13.119966</v>
      </c>
      <c r="AC32" s="66">
        <v>28.237124000000001</v>
      </c>
      <c r="AD32" s="66">
        <v>39.349429559999955</v>
      </c>
      <c r="AE32" s="66">
        <v>51.47265995999998</v>
      </c>
      <c r="AF32" s="66">
        <v>26.840138490000001</v>
      </c>
      <c r="AG32" s="67">
        <v>62.348501559999988</v>
      </c>
      <c r="AH32" s="63">
        <v>51.90000149382049</v>
      </c>
      <c r="AI32" s="64">
        <v>55.018723751394546</v>
      </c>
      <c r="AJ32" s="64">
        <v>55.982728595769061</v>
      </c>
      <c r="AK32" s="68">
        <v>69.746652752356766</v>
      </c>
      <c r="AL32" s="68">
        <v>71.715090512112681</v>
      </c>
      <c r="AM32" s="68">
        <v>49.146032904636144</v>
      </c>
      <c r="AN32" s="68">
        <f t="shared" si="5"/>
        <v>79.703896562247081</v>
      </c>
      <c r="AO32" s="68">
        <f t="shared" si="5"/>
        <v>69.810446371672541</v>
      </c>
      <c r="AP32" s="68">
        <f t="shared" si="5"/>
        <v>35.74665634973411</v>
      </c>
      <c r="AQ32" s="68">
        <f t="shared" si="5"/>
        <v>75.851348514276012</v>
      </c>
      <c r="AR32" s="69" t="s">
        <v>51</v>
      </c>
      <c r="AS32" s="55"/>
      <c r="AT32" s="55"/>
      <c r="AU32" s="50"/>
      <c r="AV32" s="50"/>
    </row>
    <row r="33" spans="1:51" ht="17.25" x14ac:dyDescent="0.25">
      <c r="A33" s="70" t="s">
        <v>64</v>
      </c>
      <c r="B33" s="71"/>
      <c r="C33" s="72"/>
      <c r="D33" s="71"/>
      <c r="E33" s="72"/>
      <c r="F33" s="71"/>
      <c r="G33" s="72"/>
      <c r="H33" s="72"/>
      <c r="I33" s="72"/>
      <c r="J33" s="72"/>
      <c r="K33" s="72"/>
      <c r="L33" s="72"/>
      <c r="M33" s="72"/>
      <c r="N33" s="73"/>
      <c r="O33" s="73"/>
      <c r="P33" s="73"/>
      <c r="Q33" s="73"/>
      <c r="R33" s="74"/>
      <c r="S33" s="74"/>
      <c r="T33" s="74"/>
      <c r="U33" s="74"/>
      <c r="V33" s="74"/>
      <c r="W33" s="74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5" t="s">
        <v>52</v>
      </c>
      <c r="AT33" s="72"/>
      <c r="AU33" s="72"/>
      <c r="AV33" s="76"/>
      <c r="AW33" s="76"/>
      <c r="AX33" s="72"/>
      <c r="AY33" s="72"/>
    </row>
    <row r="34" spans="1:51" x14ac:dyDescent="0.25">
      <c r="A34" s="77" t="s">
        <v>65</v>
      </c>
    </row>
    <row r="35" spans="1:51" x14ac:dyDescent="0.25">
      <c r="A35" s="81" t="s">
        <v>66</v>
      </c>
    </row>
    <row r="39" spans="1:51" x14ac:dyDescent="0.25">
      <c r="U39" s="78"/>
      <c r="V39" s="78"/>
      <c r="W39" s="78"/>
    </row>
    <row r="60" spans="28:36" x14ac:dyDescent="0.25">
      <c r="AB60" s="2"/>
      <c r="AC60" s="2"/>
      <c r="AD60" s="2"/>
      <c r="AE60" s="2"/>
      <c r="AF60" s="2"/>
      <c r="AG60" s="2"/>
      <c r="AH60" s="2"/>
      <c r="AI60" s="2"/>
      <c r="AJ60" s="2"/>
    </row>
    <row r="61" spans="28:36" x14ac:dyDescent="0.25">
      <c r="AB61" s="2"/>
      <c r="AC61" s="2"/>
      <c r="AD61" s="2"/>
      <c r="AE61" s="2"/>
      <c r="AF61" s="2"/>
      <c r="AG61" s="2"/>
      <c r="AH61" s="2"/>
      <c r="AI61" s="2"/>
      <c r="AJ61" s="2"/>
    </row>
    <row r="62" spans="28:36" x14ac:dyDescent="0.25">
      <c r="AB62" s="2"/>
      <c r="AC62" s="2"/>
      <c r="AD62" s="2"/>
      <c r="AE62" s="2"/>
      <c r="AF62" s="2"/>
      <c r="AG62" s="2"/>
      <c r="AH62" s="2"/>
      <c r="AI62" s="2"/>
      <c r="AJ62" s="2"/>
    </row>
    <row r="66" spans="1:36" x14ac:dyDescent="0.25">
      <c r="AB66" s="2"/>
      <c r="AC66" s="2"/>
      <c r="AD66" s="2"/>
      <c r="AE66" s="2"/>
      <c r="AF66" s="2"/>
      <c r="AG66" s="2"/>
      <c r="AH66" s="2"/>
      <c r="AI66" s="2"/>
      <c r="AJ66" s="2"/>
    </row>
    <row r="67" spans="1:36" x14ac:dyDescent="0.25">
      <c r="B67" s="4"/>
      <c r="D67" s="4"/>
      <c r="F67" s="4"/>
      <c r="AB67" s="2"/>
      <c r="AC67" s="2"/>
      <c r="AD67" s="2"/>
      <c r="AE67" s="2"/>
      <c r="AF67" s="2"/>
      <c r="AG67" s="2"/>
      <c r="AH67" s="2"/>
      <c r="AI67" s="2"/>
      <c r="AJ67" s="2"/>
    </row>
    <row r="69" spans="1:36" x14ac:dyDescent="0.25">
      <c r="A69" s="38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AB69" s="2"/>
      <c r="AC69" s="2"/>
      <c r="AD69" s="2"/>
      <c r="AE69" s="2"/>
      <c r="AF69" s="2"/>
      <c r="AG69" s="2"/>
      <c r="AH69" s="2"/>
      <c r="AI69" s="2"/>
      <c r="AJ69" s="2"/>
    </row>
    <row r="70" spans="1:36" x14ac:dyDescent="0.25">
      <c r="A70" s="38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AB70" s="2"/>
      <c r="AC70" s="2"/>
      <c r="AD70" s="2"/>
      <c r="AE70" s="2"/>
      <c r="AF70" s="2"/>
      <c r="AG70" s="2"/>
      <c r="AH70" s="2"/>
      <c r="AI70" s="2"/>
      <c r="AJ70" s="2"/>
    </row>
    <row r="71" spans="1:36" x14ac:dyDescent="0.25">
      <c r="A71" s="38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AB71" s="2"/>
      <c r="AC71" s="2"/>
      <c r="AD71" s="2"/>
      <c r="AE71" s="2"/>
      <c r="AF71" s="2"/>
      <c r="AG71" s="2"/>
      <c r="AH71" s="2"/>
      <c r="AI71" s="2"/>
      <c r="AJ71" s="2"/>
    </row>
    <row r="72" spans="1:36" x14ac:dyDescent="0.25">
      <c r="A72" s="38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AB72" s="2"/>
      <c r="AC72" s="2"/>
      <c r="AD72" s="2"/>
      <c r="AE72" s="2"/>
      <c r="AF72" s="2"/>
      <c r="AG72" s="2"/>
      <c r="AH72" s="2"/>
      <c r="AI72" s="2"/>
      <c r="AJ72" s="2"/>
    </row>
    <row r="73" spans="1:36" x14ac:dyDescent="0.25">
      <c r="A73" s="38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AB73" s="2"/>
      <c r="AC73" s="2"/>
      <c r="AD73" s="2"/>
      <c r="AE73" s="2"/>
      <c r="AF73" s="2"/>
      <c r="AG73" s="2"/>
      <c r="AH73" s="2"/>
      <c r="AI73" s="2"/>
      <c r="AJ73" s="2"/>
    </row>
    <row r="74" spans="1:36" x14ac:dyDescent="0.25">
      <c r="A74" s="38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AB74" s="2"/>
      <c r="AC74" s="2"/>
      <c r="AD74" s="2"/>
      <c r="AE74" s="2"/>
      <c r="AF74" s="2"/>
      <c r="AG74" s="2"/>
      <c r="AH74" s="2"/>
      <c r="AI74" s="2"/>
      <c r="AJ74" s="2"/>
    </row>
    <row r="75" spans="1:36" x14ac:dyDescent="0.25">
      <c r="A75" s="38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AB75" s="2"/>
      <c r="AC75" s="2"/>
      <c r="AD75" s="2"/>
      <c r="AE75" s="2"/>
      <c r="AF75" s="2"/>
      <c r="AG75" s="2"/>
      <c r="AH75" s="2"/>
      <c r="AI75" s="2"/>
      <c r="AJ75" s="2"/>
    </row>
    <row r="76" spans="1:36" x14ac:dyDescent="0.25">
      <c r="A76" s="38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AB76" s="2"/>
      <c r="AC76" s="2"/>
      <c r="AD76" s="2"/>
      <c r="AE76" s="2"/>
      <c r="AF76" s="2"/>
      <c r="AG76" s="2"/>
      <c r="AH76" s="2"/>
      <c r="AI76" s="2"/>
      <c r="AJ76" s="2"/>
    </row>
    <row r="77" spans="1:36" x14ac:dyDescent="0.25">
      <c r="A77" s="38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AB77" s="2"/>
      <c r="AC77" s="2"/>
      <c r="AD77" s="2"/>
      <c r="AE77" s="2"/>
      <c r="AF77" s="2"/>
      <c r="AG77" s="2"/>
      <c r="AH77" s="2"/>
      <c r="AI77" s="2"/>
      <c r="AJ77" s="2"/>
    </row>
    <row r="78" spans="1:36" x14ac:dyDescent="0.25">
      <c r="A78" s="38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AB78" s="2"/>
      <c r="AC78" s="2"/>
      <c r="AD78" s="2"/>
      <c r="AE78" s="2"/>
      <c r="AF78" s="2"/>
      <c r="AG78" s="2"/>
      <c r="AH78" s="2"/>
      <c r="AI78" s="2"/>
      <c r="AJ78" s="2"/>
    </row>
    <row r="79" spans="1:36" x14ac:dyDescent="0.25">
      <c r="A79" s="38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AB79" s="2"/>
      <c r="AC79" s="2"/>
      <c r="AD79" s="2"/>
      <c r="AE79" s="2"/>
      <c r="AF79" s="2"/>
      <c r="AG79" s="2"/>
      <c r="AH79" s="2"/>
      <c r="AI79" s="2"/>
      <c r="AJ79" s="2"/>
    </row>
    <row r="80" spans="1:36" x14ac:dyDescent="0.25">
      <c r="A80" s="38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AB80" s="2"/>
      <c r="AC80" s="2"/>
      <c r="AD80" s="2"/>
      <c r="AE80" s="2"/>
      <c r="AF80" s="2"/>
      <c r="AG80" s="2"/>
      <c r="AH80" s="2"/>
      <c r="AI80" s="2"/>
      <c r="AJ80" s="2"/>
    </row>
    <row r="81" spans="1:36" x14ac:dyDescent="0.25">
      <c r="A81" s="38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AB81" s="2"/>
      <c r="AC81" s="2"/>
      <c r="AD81" s="2"/>
      <c r="AE81" s="2"/>
      <c r="AF81" s="2"/>
      <c r="AG81" s="2"/>
      <c r="AH81" s="2"/>
      <c r="AI81" s="2"/>
      <c r="AJ81" s="2"/>
    </row>
    <row r="82" spans="1:36" x14ac:dyDescent="0.25">
      <c r="A82" s="38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AB82" s="2"/>
      <c r="AC82" s="2"/>
      <c r="AD82" s="2"/>
      <c r="AE82" s="2"/>
      <c r="AF82" s="2"/>
      <c r="AG82" s="2"/>
      <c r="AH82" s="2"/>
      <c r="AI82" s="2"/>
      <c r="AJ82" s="2"/>
    </row>
    <row r="83" spans="1:36" x14ac:dyDescent="0.25">
      <c r="A83" s="38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AB83" s="2"/>
      <c r="AC83" s="2"/>
      <c r="AD83" s="2"/>
      <c r="AE83" s="2"/>
      <c r="AF83" s="2"/>
      <c r="AG83" s="2"/>
      <c r="AH83" s="2"/>
      <c r="AI83" s="2"/>
      <c r="AJ83" s="2"/>
    </row>
    <row r="84" spans="1:36" x14ac:dyDescent="0.25">
      <c r="A84" s="38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AB84" s="2"/>
      <c r="AC84" s="2"/>
      <c r="AD84" s="2"/>
      <c r="AE84" s="2"/>
      <c r="AF84" s="2"/>
      <c r="AG84" s="2"/>
      <c r="AH84" s="2"/>
      <c r="AI84" s="2"/>
      <c r="AJ84" s="2"/>
    </row>
    <row r="85" spans="1:36" x14ac:dyDescent="0.25">
      <c r="A85" s="38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AB85" s="2"/>
      <c r="AC85" s="2"/>
      <c r="AD85" s="2"/>
      <c r="AE85" s="2"/>
      <c r="AF85" s="2"/>
      <c r="AG85" s="2"/>
      <c r="AH85" s="2"/>
      <c r="AI85" s="2"/>
      <c r="AJ85" s="2"/>
    </row>
    <row r="86" spans="1:36" x14ac:dyDescent="0.25">
      <c r="A86" s="38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AB86" s="2"/>
      <c r="AC86" s="2"/>
      <c r="AD86" s="2"/>
      <c r="AE86" s="2"/>
      <c r="AF86" s="2"/>
      <c r="AG86" s="2"/>
      <c r="AH86" s="2"/>
      <c r="AI86" s="2"/>
      <c r="AJ86" s="2"/>
    </row>
    <row r="87" spans="1:36" x14ac:dyDescent="0.25">
      <c r="A87" s="38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AB87" s="2"/>
      <c r="AC87" s="2"/>
      <c r="AD87" s="2"/>
      <c r="AE87" s="2"/>
      <c r="AF87" s="2"/>
      <c r="AG87" s="2"/>
      <c r="AH87" s="2"/>
      <c r="AI87" s="2"/>
      <c r="AJ87" s="2"/>
    </row>
    <row r="88" spans="1:36" x14ac:dyDescent="0.25">
      <c r="A88" s="38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AB88" s="2"/>
      <c r="AC88" s="2"/>
      <c r="AD88" s="2"/>
      <c r="AE88" s="2"/>
      <c r="AF88" s="2"/>
      <c r="AG88" s="2"/>
      <c r="AH88" s="2"/>
      <c r="AI88" s="2"/>
      <c r="AJ88" s="2"/>
    </row>
    <row r="89" spans="1:36" x14ac:dyDescent="0.25">
      <c r="A89" s="38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AB89" s="2"/>
      <c r="AC89" s="2"/>
      <c r="AD89" s="2"/>
      <c r="AE89" s="2"/>
      <c r="AF89" s="2"/>
      <c r="AG89" s="2"/>
      <c r="AH89" s="2"/>
      <c r="AI89" s="2"/>
      <c r="AJ89" s="2"/>
    </row>
    <row r="90" spans="1:36" x14ac:dyDescent="0.25">
      <c r="A90" s="11"/>
      <c r="B90" s="80"/>
      <c r="C90" s="79"/>
      <c r="D90" s="80"/>
      <c r="E90" s="79"/>
      <c r="F90" s="80"/>
      <c r="G90" s="79"/>
      <c r="H90" s="79"/>
      <c r="I90" s="79"/>
      <c r="J90" s="79"/>
      <c r="K90" s="79"/>
      <c r="L90" s="79"/>
      <c r="M90" s="79"/>
      <c r="AB90" s="2"/>
      <c r="AC90" s="2"/>
      <c r="AD90" s="2"/>
      <c r="AE90" s="2"/>
      <c r="AF90" s="2"/>
      <c r="AG90" s="2"/>
      <c r="AH90" s="2"/>
      <c r="AI90" s="2"/>
      <c r="AJ90" s="2"/>
    </row>
    <row r="91" spans="1:36" x14ac:dyDescent="0.25">
      <c r="C91" s="79"/>
      <c r="E91" s="79"/>
      <c r="G91" s="79"/>
      <c r="H91" s="79"/>
      <c r="I91" s="79"/>
      <c r="J91" s="79"/>
      <c r="K91" s="79"/>
      <c r="L91" s="79"/>
      <c r="M91" s="79"/>
      <c r="AB91" s="2"/>
      <c r="AC91" s="2"/>
      <c r="AD91" s="2"/>
      <c r="AE91" s="2"/>
      <c r="AF91" s="2"/>
      <c r="AG91" s="2"/>
      <c r="AH91" s="2"/>
      <c r="AI91" s="2"/>
      <c r="AJ91" s="2"/>
    </row>
    <row r="92" spans="1:36" x14ac:dyDescent="0.25">
      <c r="C92" s="79"/>
      <c r="E92" s="79"/>
      <c r="G92" s="79"/>
      <c r="H92" s="79"/>
      <c r="I92" s="79"/>
      <c r="J92" s="79"/>
      <c r="K92" s="79"/>
      <c r="L92" s="79"/>
      <c r="M92" s="79"/>
      <c r="AB92" s="2"/>
      <c r="AC92" s="2"/>
      <c r="AD92" s="2"/>
      <c r="AE92" s="2"/>
      <c r="AF92" s="2"/>
      <c r="AG92" s="2"/>
      <c r="AH92" s="2"/>
      <c r="AI92" s="2"/>
      <c r="AJ92" s="2"/>
    </row>
    <row r="93" spans="1:36" x14ac:dyDescent="0.25">
      <c r="C93" s="79"/>
      <c r="E93" s="79"/>
      <c r="G93" s="79"/>
      <c r="H93" s="79"/>
      <c r="I93" s="79"/>
      <c r="J93" s="79"/>
      <c r="K93" s="79"/>
      <c r="L93" s="79"/>
      <c r="M93" s="79"/>
      <c r="AB93" s="2"/>
      <c r="AC93" s="2"/>
      <c r="AD93" s="2"/>
      <c r="AE93" s="2"/>
      <c r="AF93" s="2"/>
      <c r="AG93" s="2"/>
      <c r="AH93" s="2"/>
      <c r="AI93" s="2"/>
      <c r="AJ93" s="2"/>
    </row>
    <row r="94" spans="1:36" x14ac:dyDescent="0.25">
      <c r="C94" s="79"/>
      <c r="E94" s="79"/>
      <c r="G94" s="79"/>
      <c r="H94" s="79"/>
      <c r="I94" s="79"/>
      <c r="J94" s="79"/>
      <c r="K94" s="79"/>
      <c r="L94" s="79"/>
      <c r="M94" s="79"/>
      <c r="AB94" s="2"/>
      <c r="AC94" s="2"/>
      <c r="AD94" s="2"/>
      <c r="AE94" s="2"/>
      <c r="AF94" s="2"/>
      <c r="AG94" s="2"/>
      <c r="AH94" s="2"/>
      <c r="AI94" s="2"/>
      <c r="AJ94" s="2"/>
    </row>
    <row r="95" spans="1:36" x14ac:dyDescent="0.25">
      <c r="AB95" s="2"/>
      <c r="AC95" s="2"/>
      <c r="AD95" s="2"/>
      <c r="AE95" s="2"/>
      <c r="AF95" s="2"/>
      <c r="AG95" s="2"/>
      <c r="AH95" s="2"/>
      <c r="AI95" s="2"/>
      <c r="AJ95" s="2"/>
    </row>
    <row r="96" spans="1:36" x14ac:dyDescent="0.25">
      <c r="AB96" s="2"/>
      <c r="AC96" s="2"/>
      <c r="AD96" s="2"/>
      <c r="AE96" s="2"/>
      <c r="AF96" s="2"/>
      <c r="AG96" s="2"/>
      <c r="AH96" s="2"/>
      <c r="AI96" s="2"/>
      <c r="AJ96" s="2"/>
    </row>
    <row r="97" spans="28:36" x14ac:dyDescent="0.25">
      <c r="AB97" s="2"/>
      <c r="AC97" s="2"/>
      <c r="AD97" s="2"/>
      <c r="AE97" s="2"/>
      <c r="AF97" s="2"/>
      <c r="AG97" s="2"/>
      <c r="AH97" s="2"/>
      <c r="AI97" s="2"/>
      <c r="AJ97" s="2"/>
    </row>
    <row r="98" spans="28:36" x14ac:dyDescent="0.25">
      <c r="AB98" s="2"/>
      <c r="AC98" s="2"/>
      <c r="AD98" s="2"/>
      <c r="AE98" s="2"/>
      <c r="AF98" s="2"/>
      <c r="AG98" s="2"/>
      <c r="AH98" s="2"/>
      <c r="AI98" s="2"/>
      <c r="AJ98" s="2"/>
    </row>
    <row r="99" spans="28:36" x14ac:dyDescent="0.25">
      <c r="AB99" s="2"/>
      <c r="AC99" s="2"/>
      <c r="AD99" s="2"/>
      <c r="AE99" s="2"/>
      <c r="AF99" s="2"/>
      <c r="AG99" s="2"/>
      <c r="AH99" s="2"/>
      <c r="AI99" s="2"/>
      <c r="AJ99" s="2"/>
    </row>
    <row r="100" spans="28:36" x14ac:dyDescent="0.25">
      <c r="AB100" s="2"/>
      <c r="AC100" s="2"/>
      <c r="AD100" s="2"/>
      <c r="AE100" s="2"/>
      <c r="AF100" s="2"/>
      <c r="AG100" s="2"/>
      <c r="AH100" s="2"/>
      <c r="AI100" s="2"/>
      <c r="AJ100" s="2"/>
    </row>
    <row r="101" spans="28:36" x14ac:dyDescent="0.25">
      <c r="AB101" s="2"/>
      <c r="AC101" s="2"/>
      <c r="AD101" s="2"/>
      <c r="AE101" s="2"/>
      <c r="AF101" s="2"/>
      <c r="AG101" s="2"/>
      <c r="AH101" s="2"/>
      <c r="AI101" s="2"/>
      <c r="AJ101" s="2"/>
    </row>
    <row r="102" spans="28:36" x14ac:dyDescent="0.25">
      <c r="AB102" s="2"/>
      <c r="AC102" s="2"/>
      <c r="AD102" s="2"/>
      <c r="AE102" s="2"/>
      <c r="AF102" s="2"/>
      <c r="AG102" s="2"/>
      <c r="AH102" s="2"/>
      <c r="AI102" s="2"/>
      <c r="AJ102" s="2"/>
    </row>
    <row r="103" spans="28:36" x14ac:dyDescent="0.25">
      <c r="AB103" s="2"/>
      <c r="AC103" s="2"/>
      <c r="AD103" s="2"/>
      <c r="AE103" s="2"/>
      <c r="AF103" s="2"/>
      <c r="AG103" s="2"/>
      <c r="AH103" s="2"/>
      <c r="AI103" s="2"/>
      <c r="AJ103" s="2"/>
    </row>
    <row r="104" spans="28:36" x14ac:dyDescent="0.25">
      <c r="AB104" s="2"/>
      <c r="AC104" s="2"/>
      <c r="AD104" s="2"/>
      <c r="AE104" s="2"/>
      <c r="AF104" s="2"/>
      <c r="AG104" s="2"/>
      <c r="AH104" s="2"/>
      <c r="AI104" s="2"/>
      <c r="AJ104" s="2"/>
    </row>
    <row r="105" spans="28:36" x14ac:dyDescent="0.25">
      <c r="AB105" s="2"/>
      <c r="AC105" s="2"/>
      <c r="AD105" s="2"/>
      <c r="AE105" s="2"/>
      <c r="AF105" s="2"/>
      <c r="AG105" s="2"/>
      <c r="AH105" s="2"/>
      <c r="AI105" s="2"/>
      <c r="AJ105" s="2"/>
    </row>
    <row r="106" spans="28:36" x14ac:dyDescent="0.25">
      <c r="AB106" s="2"/>
      <c r="AC106" s="2"/>
      <c r="AD106" s="2"/>
      <c r="AE106" s="2"/>
      <c r="AF106" s="2"/>
      <c r="AG106" s="2"/>
      <c r="AH106" s="2"/>
      <c r="AI106" s="2"/>
      <c r="AJ106" s="2"/>
    </row>
    <row r="107" spans="28:36" x14ac:dyDescent="0.25">
      <c r="AB107" s="2"/>
      <c r="AC107" s="2"/>
      <c r="AD107" s="2"/>
      <c r="AE107" s="2"/>
      <c r="AF107" s="2"/>
      <c r="AG107" s="2"/>
      <c r="AH107" s="2"/>
      <c r="AI107" s="2"/>
      <c r="AJ107" s="2"/>
    </row>
    <row r="108" spans="28:36" x14ac:dyDescent="0.25">
      <c r="AB108" s="2"/>
      <c r="AC108" s="2"/>
      <c r="AD108" s="2"/>
      <c r="AE108" s="2"/>
      <c r="AF108" s="2"/>
      <c r="AG108" s="2"/>
      <c r="AH108" s="2"/>
      <c r="AI108" s="2"/>
      <c r="AJ108" s="2"/>
    </row>
    <row r="109" spans="28:36" x14ac:dyDescent="0.25">
      <c r="AB109" s="2"/>
      <c r="AC109" s="2"/>
      <c r="AD109" s="2"/>
      <c r="AE109" s="2"/>
      <c r="AF109" s="2"/>
      <c r="AG109" s="2"/>
      <c r="AH109" s="2"/>
      <c r="AI109" s="2"/>
      <c r="AJ109" s="2"/>
    </row>
    <row r="110" spans="28:36" x14ac:dyDescent="0.25">
      <c r="AB110" s="2"/>
      <c r="AC110" s="2"/>
      <c r="AD110" s="2"/>
      <c r="AE110" s="2"/>
      <c r="AF110" s="2"/>
      <c r="AG110" s="2"/>
      <c r="AH110" s="2"/>
      <c r="AI110" s="2"/>
      <c r="AJ110" s="2"/>
    </row>
    <row r="111" spans="28:36" x14ac:dyDescent="0.25">
      <c r="AB111" s="2"/>
      <c r="AC111" s="2"/>
      <c r="AD111" s="2"/>
      <c r="AE111" s="2"/>
      <c r="AF111" s="2"/>
      <c r="AG111" s="2"/>
      <c r="AH111" s="2"/>
      <c r="AI111" s="2"/>
      <c r="AJ111" s="2"/>
    </row>
    <row r="112" spans="28:36" x14ac:dyDescent="0.25">
      <c r="AB112" s="2"/>
      <c r="AC112" s="2"/>
      <c r="AD112" s="2"/>
      <c r="AE112" s="2"/>
      <c r="AF112" s="2"/>
      <c r="AG112" s="2"/>
      <c r="AH112" s="2"/>
      <c r="AI112" s="2"/>
      <c r="AJ112" s="2"/>
    </row>
    <row r="113" spans="28:36" x14ac:dyDescent="0.25">
      <c r="AB113" s="2"/>
      <c r="AC113" s="2"/>
      <c r="AD113" s="2"/>
      <c r="AE113" s="2"/>
      <c r="AF113" s="2"/>
      <c r="AG113" s="2"/>
      <c r="AH113" s="2"/>
      <c r="AI113" s="2"/>
      <c r="AJ113" s="2"/>
    </row>
    <row r="114" spans="28:36" x14ac:dyDescent="0.25">
      <c r="AB114" s="2"/>
      <c r="AC114" s="2"/>
      <c r="AD114" s="2"/>
      <c r="AE114" s="2"/>
      <c r="AF114" s="2"/>
      <c r="AG114" s="2"/>
      <c r="AH114" s="2"/>
      <c r="AI114" s="2"/>
      <c r="AJ114" s="2"/>
    </row>
    <row r="115" spans="28:36" x14ac:dyDescent="0.25">
      <c r="AB115" s="2"/>
      <c r="AC115" s="2"/>
      <c r="AD115" s="2"/>
      <c r="AE115" s="2"/>
      <c r="AF115" s="2"/>
      <c r="AG115" s="2"/>
      <c r="AH115" s="2"/>
      <c r="AI115" s="2"/>
      <c r="AJ115" s="2"/>
    </row>
    <row r="116" spans="28:36" x14ac:dyDescent="0.25">
      <c r="AB116" s="2"/>
      <c r="AC116" s="2"/>
      <c r="AD116" s="2"/>
      <c r="AE116" s="2"/>
      <c r="AF116" s="2"/>
      <c r="AG116" s="2"/>
      <c r="AH116" s="2"/>
      <c r="AI116" s="2"/>
      <c r="AJ116" s="2"/>
    </row>
    <row r="117" spans="28:36" x14ac:dyDescent="0.25">
      <c r="AB117" s="2"/>
      <c r="AC117" s="2"/>
      <c r="AD117" s="2"/>
      <c r="AE117" s="2"/>
      <c r="AF117" s="2"/>
      <c r="AG117" s="2"/>
      <c r="AH117" s="2"/>
      <c r="AI117" s="2"/>
      <c r="AJ117" s="2"/>
    </row>
    <row r="118" spans="28:36" x14ac:dyDescent="0.25">
      <c r="AB118" s="2"/>
      <c r="AC118" s="2"/>
      <c r="AD118" s="2"/>
      <c r="AE118" s="2"/>
      <c r="AF118" s="2"/>
      <c r="AG118" s="2"/>
      <c r="AH118" s="2"/>
      <c r="AI118" s="2"/>
      <c r="AJ118" s="2"/>
    </row>
    <row r="119" spans="28:36" x14ac:dyDescent="0.25">
      <c r="AB119" s="2"/>
      <c r="AC119" s="2"/>
      <c r="AD119" s="2"/>
      <c r="AE119" s="2"/>
      <c r="AF119" s="2"/>
      <c r="AG119" s="2"/>
      <c r="AH119" s="2"/>
      <c r="AI119" s="2"/>
      <c r="AJ119" s="2"/>
    </row>
    <row r="120" spans="28:36" x14ac:dyDescent="0.25"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28:36" x14ac:dyDescent="0.25"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28:36" x14ac:dyDescent="0.25"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28:36" x14ac:dyDescent="0.25"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28:36" x14ac:dyDescent="0.25">
      <c r="AB124" s="2"/>
      <c r="AC124" s="2"/>
      <c r="AD124" s="2"/>
      <c r="AE124" s="2"/>
      <c r="AF124" s="2"/>
      <c r="AG124" s="2"/>
      <c r="AH124" s="2"/>
      <c r="AI124" s="2"/>
      <c r="AJ124" s="2"/>
    </row>
  </sheetData>
  <mergeCells count="18">
    <mergeCell ref="B3:E3"/>
    <mergeCell ref="A4:A8"/>
    <mergeCell ref="A1:AS1"/>
    <mergeCell ref="A2:AS2"/>
    <mergeCell ref="X3:Y3"/>
    <mergeCell ref="N4:AR4"/>
    <mergeCell ref="N5:T6"/>
    <mergeCell ref="U5:AG5"/>
    <mergeCell ref="AH5:AQ7"/>
    <mergeCell ref="U6:AG6"/>
    <mergeCell ref="N7:T7"/>
    <mergeCell ref="U7:AG7"/>
    <mergeCell ref="L8:M8"/>
    <mergeCell ref="B8:C8"/>
    <mergeCell ref="D8:E8"/>
    <mergeCell ref="F8:G8"/>
    <mergeCell ref="H8:I8"/>
    <mergeCell ref="J8:K8"/>
  </mergeCells>
  <pageMargins left="0.7" right="0.7" top="0.75" bottom="0.75" header="0.3" footer="0.3"/>
  <pageSetup scale="34" orientation="portrait" r:id="rId1"/>
  <colBreaks count="1" manualBreakCount="1">
    <brk id="4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20.9</vt:lpstr>
      <vt:lpstr>'20.9'!Print_Area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2024-10-05T09:48:26Z</cp:lastPrinted>
  <dcterms:created xsi:type="dcterms:W3CDTF">2019-09-10T03:17:03Z</dcterms:created>
  <dcterms:modified xsi:type="dcterms:W3CDTF">2024-10-05T09:48:32Z</dcterms:modified>
</cp:coreProperties>
</file>