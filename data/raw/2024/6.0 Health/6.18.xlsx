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B6AB0F92-B530-47CF-B876-19478ACEE9B7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8" sheetId="18" r:id="rId1"/>
  </sheets>
  <definedNames>
    <definedName name="_xlnm.Print_Area" localSheetId="0">'6.18'!$A$1:$Q$481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71" i="18" l="1"/>
  <c r="N471" i="18"/>
  <c r="M471" i="18"/>
  <c r="L471" i="18"/>
  <c r="K471" i="18"/>
  <c r="J471" i="18"/>
  <c r="I471" i="18"/>
  <c r="H471" i="18"/>
  <c r="G471" i="18"/>
  <c r="F471" i="18"/>
  <c r="E471" i="18"/>
  <c r="D471" i="18"/>
  <c r="C471" i="18"/>
  <c r="B471" i="18"/>
  <c r="O468" i="18"/>
  <c r="N468" i="18"/>
  <c r="M468" i="18"/>
  <c r="L468" i="18"/>
  <c r="K468" i="18"/>
  <c r="J468" i="18"/>
  <c r="I468" i="18"/>
  <c r="H468" i="18"/>
  <c r="G468" i="18"/>
  <c r="F468" i="18"/>
  <c r="E468" i="18"/>
  <c r="D468" i="18"/>
  <c r="C468" i="18"/>
  <c r="B468" i="18"/>
  <c r="O457" i="18"/>
  <c r="N457" i="18"/>
  <c r="M457" i="18"/>
  <c r="L457" i="18"/>
  <c r="K457" i="18"/>
  <c r="J457" i="18"/>
  <c r="I457" i="18"/>
  <c r="H457" i="18"/>
  <c r="G457" i="18"/>
  <c r="F457" i="18"/>
  <c r="E457" i="18"/>
  <c r="D457" i="18"/>
  <c r="C457" i="18"/>
  <c r="B457" i="18"/>
  <c r="O446" i="18"/>
  <c r="N446" i="18"/>
  <c r="M446" i="18"/>
  <c r="L446" i="18"/>
  <c r="K446" i="18"/>
  <c r="J446" i="18"/>
  <c r="I446" i="18"/>
  <c r="H446" i="18"/>
  <c r="G446" i="18"/>
  <c r="F446" i="18"/>
  <c r="E446" i="18"/>
  <c r="D446" i="18"/>
  <c r="C446" i="18"/>
  <c r="B446" i="18"/>
  <c r="O432" i="18"/>
  <c r="N432" i="18"/>
  <c r="M432" i="18"/>
  <c r="L432" i="18"/>
  <c r="K432" i="18"/>
  <c r="J432" i="18"/>
  <c r="I432" i="18"/>
  <c r="H432" i="18"/>
  <c r="G432" i="18"/>
  <c r="F432" i="18"/>
  <c r="E432" i="18"/>
  <c r="D432" i="18"/>
  <c r="C432" i="18"/>
  <c r="B432" i="18"/>
  <c r="O417" i="18"/>
  <c r="N417" i="18"/>
  <c r="M417" i="18"/>
  <c r="L417" i="18"/>
  <c r="K417" i="18"/>
  <c r="J417" i="18"/>
  <c r="I417" i="18"/>
  <c r="H417" i="18"/>
  <c r="G417" i="18"/>
  <c r="F417" i="18"/>
  <c r="E417" i="18"/>
  <c r="D417" i="18"/>
  <c r="C417" i="18"/>
  <c r="B417" i="18"/>
  <c r="O408" i="18"/>
  <c r="N408" i="18"/>
  <c r="M408" i="18"/>
  <c r="L408" i="18"/>
  <c r="K408" i="18"/>
  <c r="J408" i="18"/>
  <c r="I408" i="18"/>
  <c r="H408" i="18"/>
  <c r="G408" i="18"/>
  <c r="F408" i="18"/>
  <c r="E408" i="18"/>
  <c r="D408" i="18"/>
  <c r="C408" i="18"/>
  <c r="B408" i="18"/>
  <c r="O401" i="18"/>
  <c r="N401" i="18"/>
  <c r="M401" i="18"/>
  <c r="L401" i="18"/>
  <c r="K401" i="18"/>
  <c r="J401" i="18"/>
  <c r="I401" i="18"/>
  <c r="H401" i="18"/>
  <c r="G401" i="18"/>
  <c r="F401" i="18"/>
  <c r="E401" i="18"/>
  <c r="D401" i="18"/>
  <c r="C401" i="18"/>
  <c r="B401" i="18"/>
  <c r="O391" i="18"/>
  <c r="N391" i="18"/>
  <c r="M391" i="18"/>
  <c r="L391" i="18"/>
  <c r="K391" i="18"/>
  <c r="J391" i="18"/>
  <c r="I391" i="18"/>
  <c r="H391" i="18"/>
  <c r="G391" i="18"/>
  <c r="F391" i="18"/>
  <c r="E391" i="18"/>
  <c r="D391" i="18"/>
  <c r="C391" i="18"/>
  <c r="B391" i="18"/>
  <c r="O384" i="18"/>
  <c r="N384" i="18"/>
  <c r="M384" i="18"/>
  <c r="L384" i="18"/>
  <c r="K384" i="18"/>
  <c r="J384" i="18"/>
  <c r="I384" i="18"/>
  <c r="H384" i="18"/>
  <c r="G384" i="18"/>
  <c r="F384" i="18"/>
  <c r="E384" i="18"/>
  <c r="D384" i="18"/>
  <c r="C384" i="18"/>
  <c r="B384" i="18"/>
  <c r="O372" i="18"/>
  <c r="N372" i="18"/>
  <c r="M372" i="18"/>
  <c r="L372" i="18"/>
  <c r="K372" i="18"/>
  <c r="J372" i="18"/>
  <c r="I372" i="18"/>
  <c r="H372" i="18"/>
  <c r="G372" i="18"/>
  <c r="F372" i="18"/>
  <c r="E372" i="18"/>
  <c r="D372" i="18"/>
  <c r="C372" i="18"/>
  <c r="B372" i="18"/>
  <c r="O362" i="18"/>
  <c r="N362" i="18"/>
  <c r="M362" i="18"/>
  <c r="L362" i="18"/>
  <c r="I362" i="18"/>
  <c r="H362" i="18"/>
  <c r="G362" i="18"/>
  <c r="F362" i="18"/>
  <c r="E362" i="18"/>
  <c r="D362" i="18"/>
  <c r="C362" i="18"/>
  <c r="B362" i="18"/>
  <c r="O351" i="18"/>
  <c r="N351" i="18"/>
  <c r="M351" i="18"/>
  <c r="L351" i="18"/>
  <c r="K351" i="18"/>
  <c r="J351" i="18"/>
  <c r="I351" i="18"/>
  <c r="H351" i="18"/>
  <c r="G351" i="18"/>
  <c r="F351" i="18"/>
  <c r="E351" i="18"/>
  <c r="D351" i="18"/>
  <c r="C351" i="18"/>
  <c r="B351" i="18"/>
  <c r="O345" i="18"/>
  <c r="N345" i="18"/>
  <c r="M345" i="18"/>
  <c r="L345" i="18"/>
  <c r="K345" i="18"/>
  <c r="J345" i="18"/>
  <c r="I345" i="18"/>
  <c r="H345" i="18"/>
  <c r="G345" i="18"/>
  <c r="F345" i="18"/>
  <c r="E345" i="18"/>
  <c r="D345" i="18"/>
  <c r="C345" i="18"/>
  <c r="B345" i="18"/>
  <c r="O330" i="18"/>
  <c r="N330" i="18"/>
  <c r="M330" i="18"/>
  <c r="L330" i="18"/>
  <c r="I330" i="18"/>
  <c r="H330" i="18"/>
  <c r="G330" i="18"/>
  <c r="F330" i="18"/>
  <c r="E330" i="18"/>
  <c r="D330" i="18"/>
  <c r="C330" i="18"/>
  <c r="B330" i="18"/>
  <c r="O313" i="18"/>
  <c r="N313" i="18"/>
  <c r="M313" i="18"/>
  <c r="L313" i="18"/>
  <c r="I313" i="18"/>
  <c r="H313" i="18"/>
  <c r="G313" i="18"/>
  <c r="F313" i="18"/>
  <c r="E313" i="18"/>
  <c r="D313" i="18"/>
  <c r="C313" i="18"/>
  <c r="B313" i="18"/>
  <c r="O298" i="18"/>
  <c r="N298" i="18"/>
  <c r="M298" i="18"/>
  <c r="L298" i="18"/>
  <c r="K298" i="18"/>
  <c r="J298" i="18"/>
  <c r="I298" i="18"/>
  <c r="H298" i="18"/>
  <c r="G298" i="18"/>
  <c r="F298" i="18"/>
  <c r="E298" i="18"/>
  <c r="D298" i="18"/>
  <c r="C298" i="18"/>
  <c r="B298" i="18"/>
  <c r="O282" i="18"/>
  <c r="N282" i="18"/>
  <c r="M282" i="18"/>
  <c r="L282" i="18"/>
  <c r="K282" i="18"/>
  <c r="J282" i="18"/>
  <c r="I282" i="18"/>
  <c r="H282" i="18"/>
  <c r="G282" i="18"/>
  <c r="F282" i="18"/>
  <c r="E282" i="18"/>
  <c r="D282" i="18"/>
  <c r="C282" i="18"/>
  <c r="B282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C264" i="18"/>
  <c r="B264" i="18"/>
  <c r="O248" i="18"/>
  <c r="N248" i="18"/>
  <c r="M248" i="18"/>
  <c r="L248" i="18"/>
  <c r="K248" i="18"/>
  <c r="J248" i="18"/>
  <c r="I248" i="18"/>
  <c r="H248" i="18"/>
  <c r="G248" i="18"/>
  <c r="F248" i="18"/>
  <c r="E248" i="18"/>
  <c r="D248" i="18"/>
  <c r="C248" i="18"/>
  <c r="B248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O228" i="18"/>
  <c r="N228" i="18"/>
  <c r="M228" i="18"/>
  <c r="L228" i="18"/>
  <c r="K228" i="18"/>
  <c r="J228" i="18"/>
  <c r="I228" i="18"/>
  <c r="H228" i="18"/>
  <c r="G228" i="18"/>
  <c r="F228" i="18"/>
  <c r="E228" i="18"/>
  <c r="D228" i="18"/>
  <c r="C228" i="18"/>
  <c r="B228" i="18"/>
  <c r="O217" i="18"/>
  <c r="N217" i="18"/>
  <c r="M217" i="18"/>
  <c r="L217" i="18"/>
  <c r="K217" i="18"/>
  <c r="J217" i="18"/>
  <c r="I217" i="18"/>
  <c r="H217" i="18"/>
  <c r="G217" i="18"/>
  <c r="F217" i="18"/>
  <c r="E217" i="18"/>
  <c r="D217" i="18"/>
  <c r="C217" i="18"/>
  <c r="B217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O177" i="18"/>
  <c r="N177" i="18"/>
  <c r="M177" i="18"/>
  <c r="L177" i="18"/>
  <c r="K177" i="18"/>
  <c r="J177" i="18"/>
  <c r="I177" i="18"/>
  <c r="H177" i="18"/>
  <c r="G177" i="18"/>
  <c r="F177" i="18"/>
  <c r="E177" i="18"/>
  <c r="D177" i="18"/>
  <c r="C177" i="18"/>
  <c r="B177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O122" i="18"/>
  <c r="N122" i="18"/>
  <c r="M122" i="18"/>
  <c r="L122" i="18"/>
  <c r="I122" i="18"/>
  <c r="H122" i="18"/>
  <c r="G122" i="18"/>
  <c r="F122" i="18"/>
  <c r="E122" i="18"/>
  <c r="D122" i="18"/>
  <c r="C122" i="18"/>
  <c r="B122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O90" i="18"/>
  <c r="N90" i="18"/>
  <c r="M90" i="18"/>
  <c r="L90" i="18"/>
  <c r="I90" i="18"/>
  <c r="H90" i="18"/>
  <c r="G90" i="18"/>
  <c r="F90" i="18"/>
  <c r="E90" i="18"/>
  <c r="D90" i="18"/>
  <c r="C90" i="18"/>
  <c r="B90" i="18"/>
  <c r="O73" i="18"/>
  <c r="N73" i="18"/>
  <c r="M73" i="18"/>
  <c r="L73" i="18"/>
  <c r="I73" i="18"/>
  <c r="H73" i="18"/>
  <c r="G73" i="18"/>
  <c r="F73" i="18"/>
  <c r="E73" i="18"/>
  <c r="D73" i="18"/>
  <c r="C73" i="18"/>
  <c r="B73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O8" i="18"/>
  <c r="N8" i="18"/>
  <c r="M8" i="18"/>
  <c r="L8" i="18"/>
  <c r="K8" i="18"/>
  <c r="J8" i="18"/>
  <c r="J7" i="18" s="1"/>
  <c r="I8" i="18"/>
  <c r="H8" i="18"/>
  <c r="G8" i="18"/>
  <c r="F8" i="18"/>
  <c r="E8" i="18"/>
  <c r="D8" i="18"/>
  <c r="C8" i="18"/>
  <c r="B8" i="18"/>
  <c r="K7" i="18" l="1"/>
  <c r="O247" i="18"/>
  <c r="I247" i="18"/>
  <c r="G247" i="18"/>
  <c r="J247" i="18"/>
  <c r="C247" i="18"/>
  <c r="K247" i="18"/>
  <c r="F7" i="18"/>
  <c r="N7" i="18"/>
  <c r="B7" i="18"/>
  <c r="D7" i="18"/>
  <c r="L7" i="18"/>
  <c r="H247" i="18"/>
  <c r="B247" i="18"/>
  <c r="C7" i="18"/>
  <c r="H7" i="18"/>
  <c r="E247" i="18"/>
  <c r="M247" i="18"/>
  <c r="D247" i="18"/>
  <c r="L247" i="18"/>
  <c r="F247" i="18"/>
  <c r="N247" i="18"/>
  <c r="E7" i="18"/>
  <c r="M7" i="18"/>
  <c r="G7" i="18"/>
  <c r="O7" i="18"/>
  <c r="I7" i="18"/>
</calcChain>
</file>

<file path=xl/sharedStrings.xml><?xml version="1.0" encoding="utf-8"?>
<sst xmlns="http://schemas.openxmlformats.org/spreadsheetml/2006/main" count="476" uniqueCount="210">
  <si>
    <t>Total</t>
  </si>
  <si>
    <t xml:space="preserve">Locality </t>
  </si>
  <si>
    <t xml:space="preserve">Acute Respiratory Infection </t>
  </si>
  <si>
    <t>Viral Fever</t>
  </si>
  <si>
    <t xml:space="preserve">Diarrhoea </t>
  </si>
  <si>
    <t>Scrub Typhus</t>
  </si>
  <si>
    <t>*Dengue Fever</t>
  </si>
  <si>
    <t xml:space="preserve">**Typhoid </t>
  </si>
  <si>
    <t>Under 5 years</t>
  </si>
  <si>
    <t>Above 5 years</t>
  </si>
  <si>
    <t>* Include DHF and DSS cases / ** vital positive cases only</t>
  </si>
  <si>
    <t>Measles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</si>
  <si>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</si>
  <si>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</si>
  <si>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</si>
  <si>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</si>
  <si>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</si>
  <si>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</si>
  <si>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</si>
  <si>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</si>
  <si>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</si>
  <si>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</si>
  <si>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</si>
  <si>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</si>
  <si>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</si>
  <si>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</si>
  <si>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</si>
  <si>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</si>
  <si>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</si>
  <si>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</si>
  <si>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</si>
  <si>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</si>
  <si>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</si>
  <si>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</si>
  <si>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</si>
  <si>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</si>
  <si>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Kurinbi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</si>
  <si>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</si>
  <si>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</si>
  <si>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</si>
  <si>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</si>
  <si>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</si>
  <si>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</si>
  <si>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</si>
  <si>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</si>
  <si>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</si>
  <si>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</si>
  <si>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</si>
  <si>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</si>
  <si>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</si>
  <si>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</si>
  <si>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</si>
  <si>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</si>
  <si>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</si>
  <si>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</si>
  <si>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</si>
  <si>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</si>
  <si>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</si>
  <si>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Milandhoo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</si>
  <si>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</si>
  <si>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</si>
  <si>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</si>
  <si>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</si>
  <si>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</si>
  <si>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</si>
  <si>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</si>
  <si>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</si>
  <si>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</si>
  <si>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</si>
  <si>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</si>
  <si>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</si>
  <si>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</si>
  <si>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</si>
  <si>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</si>
  <si>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Un'goofaaru</t>
  </si>
  <si>
    <t>Alifushi</t>
  </si>
  <si>
    <t>Vaadhoo</t>
  </si>
  <si>
    <t>Rasgetheemu</t>
  </si>
  <si>
    <t>An'golhitheemu</t>
  </si>
  <si>
    <t>Fainu</t>
  </si>
  <si>
    <t>Meedhoo</t>
  </si>
  <si>
    <t>Rasmaadhoo</t>
  </si>
  <si>
    <t>Kinolhas</t>
  </si>
  <si>
    <t>Dhuvaafaru</t>
  </si>
  <si>
    <t>Innamaadhoo</t>
  </si>
  <si>
    <t>Maduvvari</t>
  </si>
  <si>
    <t>Hulhudhuffaaru</t>
  </si>
  <si>
    <t>Maakurathu</t>
  </si>
  <si>
    <t>In'guraidhoo</t>
  </si>
  <si>
    <t>South Maalhosmadulu (B)</t>
  </si>
  <si>
    <t>Eydhafushi</t>
  </si>
  <si>
    <t>Kudarikilu</t>
  </si>
  <si>
    <t>Kamadhoo</t>
  </si>
  <si>
    <t>Dhonfanu</t>
  </si>
  <si>
    <t>Kihaadhoo</t>
  </si>
  <si>
    <t>Maalhos</t>
  </si>
  <si>
    <t>Fulhadhoo</t>
  </si>
  <si>
    <t>Fehendhoo</t>
  </si>
  <si>
    <t>Thulhaadhoo</t>
  </si>
  <si>
    <t>Hithaadhoo</t>
  </si>
  <si>
    <t>Kendhoo</t>
  </si>
  <si>
    <t>Daravandhoo</t>
  </si>
  <si>
    <t>Faadhippolhu (Lh)</t>
  </si>
  <si>
    <t>Naifaru</t>
  </si>
  <si>
    <t>Hinnavaru</t>
  </si>
  <si>
    <t>Kurendhoo</t>
  </si>
  <si>
    <t>Olhuvelifushi</t>
  </si>
  <si>
    <t>Male' Atoll (K)</t>
  </si>
  <si>
    <t>Thulusdhoo</t>
  </si>
  <si>
    <t>Guraidhoo</t>
  </si>
  <si>
    <t>Huraa</t>
  </si>
  <si>
    <t>Maafushi</t>
  </si>
  <si>
    <t>Himmafushi</t>
  </si>
  <si>
    <t>Kaashidhoo</t>
  </si>
  <si>
    <t>Gulhi</t>
  </si>
  <si>
    <t>Dhiffushi</t>
  </si>
  <si>
    <t>Gaafaru</t>
  </si>
  <si>
    <t>North Ari Atoll (AA)</t>
  </si>
  <si>
    <t>Rasdhoo</t>
  </si>
  <si>
    <t>Feridhoo</t>
  </si>
  <si>
    <t>Thoddoo</t>
  </si>
  <si>
    <t>Mathiveri</t>
  </si>
  <si>
    <t>Bodufolhudhoo</t>
  </si>
  <si>
    <t>Ukulhas</t>
  </si>
  <si>
    <t>Himandhoo</t>
  </si>
  <si>
    <t>South Ari Atoll (ADh)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</si>
  <si>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</si>
  <si>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</si>
  <si>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</si>
  <si>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</si>
  <si>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</si>
  <si>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</si>
  <si>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</si>
  <si>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</si>
  <si>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</si>
  <si>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</si>
  <si>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</si>
  <si>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</si>
  <si>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</si>
  <si>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</si>
  <si>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</si>
  <si>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</si>
  <si>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</si>
  <si>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</si>
  <si>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</si>
  <si>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</si>
  <si>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</si>
  <si>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</si>
  <si>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</si>
  <si>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Nilandhoo</t>
  </si>
  <si>
    <t>Dharan'boodhoo</t>
  </si>
  <si>
    <t>Biledhhdhoo</t>
  </si>
  <si>
    <t>Feali</t>
  </si>
  <si>
    <t>South Nilandhe Atoll (Dh)</t>
  </si>
  <si>
    <t>Ban'didhoo</t>
  </si>
  <si>
    <t>Rin'budhoo</t>
  </si>
  <si>
    <t>Hulhudeli</t>
  </si>
  <si>
    <t>Vaani</t>
  </si>
  <si>
    <t>Maaen'boodhoo</t>
  </si>
  <si>
    <t>Kudahuvadhoo</t>
  </si>
  <si>
    <t>Kolhumadulu (Th)</t>
  </si>
  <si>
    <t>Veymandoo</t>
  </si>
  <si>
    <t>Thimarafushi</t>
  </si>
  <si>
    <t>Madifushi</t>
  </si>
  <si>
    <t>Hirilandhoo</t>
  </si>
  <si>
    <t>Buruni</t>
  </si>
  <si>
    <t>Vilufushi</t>
  </si>
  <si>
    <t>Vandhoo</t>
  </si>
  <si>
    <t>Gaadhiffushi</t>
  </si>
  <si>
    <t>Kinbidhoo</t>
  </si>
  <si>
    <t>Kan'doodhoo</t>
  </si>
  <si>
    <t>Dhiyamigili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</si>
  <si>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</si>
  <si>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</si>
  <si>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</si>
  <si>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</si>
  <si>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</si>
  <si>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</si>
  <si>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</si>
  <si>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</si>
  <si>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</si>
  <si>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</si>
  <si>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</si>
  <si>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</si>
  <si>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Kalhaidhoo</t>
  </si>
  <si>
    <t>North Huvadhu Atoll (GA)</t>
  </si>
  <si>
    <t>Viligili</t>
  </si>
  <si>
    <t>Kolamaafushi</t>
  </si>
  <si>
    <t>Devvadhoo</t>
  </si>
  <si>
    <t>Dhaandhoo</t>
  </si>
  <si>
    <t>Kodey</t>
  </si>
  <si>
    <t>Gemanafushi</t>
  </si>
  <si>
    <t>Kandhuhulhudhoo</t>
  </si>
  <si>
    <t>South Huvadhu Atoll (GDh)</t>
  </si>
  <si>
    <t>Gadhdhoo</t>
  </si>
  <si>
    <t>Nadallaa</t>
  </si>
  <si>
    <t>Faresmaathoda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</si>
  <si>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</si>
  <si>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</si>
  <si>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</si>
  <si>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</si>
  <si>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</si>
  <si>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</si>
  <si>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</si>
  <si>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Maradhoo</t>
  </si>
  <si>
    <t>Maradhoofeydhoo</t>
  </si>
  <si>
    <t>Hulhudhoo</t>
  </si>
  <si>
    <t>Source: Centre for Community Health and Disease Control / EPI program</t>
  </si>
  <si>
    <r>
      <t xml:space="preserve">Table 6.18: TOTAL NO. OF REPORTED CASES BY SELECTED </t>
    </r>
    <r>
      <rPr>
        <b/>
        <sz val="11"/>
        <color indexed="8"/>
        <rFont val="Calibri"/>
        <family val="2"/>
      </rPr>
      <t xml:space="preserve"> DISEASES BY ISLAND, 2017</t>
    </r>
  </si>
  <si>
    <t>ތާވަލު 6.18: ރަށްރަށުން ރިޕޯޓްކުރެވިފައިވާ ބަލިތައް،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</si>
</sst>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7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  <xf numFmtId="0" fontId="7" fillId="0" borderId="0"/>
    <xf numFmtId="0" fontId="7" fillId="0" borderId="0"/>
  </cellStyleXfs>
  <cellXfs count="38">
    <xf numFmtId="0" fontId="0" fillId="0" borderId="0" xfId="0"/>
    <xf numFmtId="165" fontId="12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 applyAlignment="1">
      <alignment vertical="center"/>
    </xf>
    <xf numFmtId="165" fontId="2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165" fontId="5" fillId="2" borderId="0" xfId="0" applyNumberFormat="1" applyFont="1" applyFill="1"/>
    <xf numFmtId="3" fontId="6" fillId="2" borderId="0" xfId="2" applyNumberFormat="1" applyFont="1" applyFill="1" applyAlignment="1">
      <alignment horizontal="left" vertical="center"/>
    </xf>
    <xf numFmtId="165" fontId="2" fillId="2" borderId="7" xfId="0" applyNumberFormat="1" applyFont="1" applyFill="1" applyBorder="1" applyAlignment="1">
      <alignment horizontal="right" vertical="center" wrapText="1"/>
    </xf>
    <xf numFmtId="165" fontId="2" fillId="2" borderId="9" xfId="0" applyNumberFormat="1" applyFont="1" applyFill="1" applyBorder="1" applyAlignment="1">
      <alignment horizontal="right" vertical="center" wrapText="1"/>
    </xf>
    <xf numFmtId="165" fontId="3" fillId="2" borderId="0" xfId="1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3" fontId="13" fillId="2" borderId="0" xfId="9" applyNumberFormat="1" applyFont="1" applyFill="1"/>
    <xf numFmtId="3" fontId="14" fillId="2" borderId="0" xfId="9" applyNumberFormat="1" applyFont="1" applyFill="1"/>
    <xf numFmtId="3" fontId="14" fillId="2" borderId="6" xfId="9" applyNumberFormat="1" applyFont="1" applyFill="1" applyBorder="1"/>
    <xf numFmtId="3" fontId="1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right"/>
    </xf>
    <xf numFmtId="3" fontId="14" fillId="2" borderId="0" xfId="9" applyNumberFormat="1" applyFont="1" applyFill="1" applyAlignment="1">
      <alignment vertical="center"/>
    </xf>
    <xf numFmtId="3" fontId="15" fillId="2" borderId="0" xfId="9" applyNumberFormat="1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/>
    </xf>
    <xf numFmtId="3" fontId="14" fillId="2" borderId="3" xfId="9" applyNumberFormat="1" applyFont="1" applyFill="1" applyBorder="1"/>
    <xf numFmtId="165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right" vertical="center" wrapText="1"/>
    </xf>
    <xf numFmtId="3" fontId="1" fillId="2" borderId="6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 wrapText="1"/>
    </xf>
    <xf numFmtId="3" fontId="8" fillId="2" borderId="3" xfId="0" applyNumberFormat="1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/>
    <xf numFmtId="165" fontId="2" fillId="2" borderId="2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165" fontId="2" fillId="2" borderId="9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</cellXfs>
  <cellStyles count="11">
    <cellStyle name="1" xfId="10" xr:uid="{00000000-0005-0000-0000-000000000000}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1" xr:uid="{00000000-0005-0000-0000-000007000000}"/>
    <cellStyle name="Normal 3" xfId="4" xr:uid="{00000000-0005-0000-0000-000008000000}"/>
    <cellStyle name="Normal 9" xfId="7" xr:uid="{00000000-0005-0000-0000-000009000000}"/>
    <cellStyle name="Normal_II-15(Population) 2" xfId="9" xr:uid="{00000000-0005-0000-0000-00000C000000}"/>
    <cellStyle name="Normal_immunization" xfId="2" xr:uid="{00000000-0005-0000-0000-00000D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R479"/>
  <sheetViews>
    <sheetView tabSelected="1" zoomScaleNormal="100" workbookViewId="0">
      <selection activeCell="W12" sqref="W12"/>
    </sheetView>
  </sheetViews>
  <sheetFormatPr defaultColWidth="9" defaultRowHeight="15" x14ac:dyDescent="0.25"/>
  <cols>
    <col min="1" max="1" width="28.85546875" style="21" customWidth="1"/>
    <col min="2" max="7" width="10.140625" style="4" customWidth="1"/>
    <col min="8" max="9" width="10.140625" style="21" hidden="1" customWidth="1"/>
    <col min="10" max="15" width="10.140625" style="4" customWidth="1"/>
    <col min="16" max="16" width="2.85546875" style="21" customWidth="1"/>
    <col min="17" max="16384" width="9" style="21"/>
  </cols>
  <sheetData>
    <row r="1" spans="1:18" s="2" customFormat="1" ht="14.25" customHeight="1" x14ac:dyDescent="0.25">
      <c r="A1" s="21"/>
      <c r="B1" s="4"/>
      <c r="C1" s="4"/>
      <c r="D1" s="4"/>
      <c r="E1" s="4"/>
      <c r="F1" s="4"/>
      <c r="G1" s="4"/>
      <c r="H1" s="21"/>
      <c r="I1" s="21"/>
      <c r="J1" s="4"/>
      <c r="K1" s="4"/>
      <c r="L1" s="4"/>
      <c r="M1" s="4"/>
      <c r="N1" s="4"/>
      <c r="O1" s="4"/>
      <c r="P1" s="1"/>
      <c r="Q1" s="1"/>
      <c r="R1" s="1"/>
    </row>
    <row r="3" spans="1:18" ht="21" x14ac:dyDescent="0.25">
      <c r="A3" s="28" t="s">
        <v>209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8" x14ac:dyDescent="0.25">
      <c r="A4" s="29" t="s">
        <v>208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8" x14ac:dyDescent="0.25">
      <c r="A5" s="31" t="s">
        <v>1</v>
      </c>
      <c r="B5" s="33" t="s">
        <v>2</v>
      </c>
      <c r="C5" s="34"/>
      <c r="D5" s="35" t="s">
        <v>3</v>
      </c>
      <c r="E5" s="36"/>
      <c r="F5" s="35" t="s">
        <v>4</v>
      </c>
      <c r="G5" s="36"/>
      <c r="H5" s="35" t="s">
        <v>11</v>
      </c>
      <c r="I5" s="36"/>
      <c r="J5" s="35" t="s">
        <v>5</v>
      </c>
      <c r="K5" s="36"/>
      <c r="L5" s="35" t="s">
        <v>6</v>
      </c>
      <c r="M5" s="36"/>
      <c r="N5" s="35" t="s">
        <v>7</v>
      </c>
      <c r="O5" s="37"/>
    </row>
    <row r="6" spans="1:18" ht="30" x14ac:dyDescent="0.25">
      <c r="A6" s="32"/>
      <c r="B6" s="7" t="s">
        <v>8</v>
      </c>
      <c r="C6" s="7" t="s">
        <v>9</v>
      </c>
      <c r="D6" s="7" t="s">
        <v>8</v>
      </c>
      <c r="E6" s="7" t="s">
        <v>9</v>
      </c>
      <c r="F6" s="7" t="s">
        <v>8</v>
      </c>
      <c r="G6" s="7" t="s">
        <v>9</v>
      </c>
      <c r="H6" s="7" t="s">
        <v>8</v>
      </c>
      <c r="I6" s="7" t="s">
        <v>9</v>
      </c>
      <c r="J6" s="7" t="s">
        <v>8</v>
      </c>
      <c r="K6" s="7" t="s">
        <v>9</v>
      </c>
      <c r="L6" s="7" t="s">
        <v>8</v>
      </c>
      <c r="M6" s="8" t="s">
        <v>9</v>
      </c>
      <c r="N6" s="7" t="s">
        <v>8</v>
      </c>
      <c r="O6" s="8" t="s">
        <v>9</v>
      </c>
    </row>
    <row r="7" spans="1:18" x14ac:dyDescent="0.25">
      <c r="A7" s="9" t="s">
        <v>0</v>
      </c>
      <c r="B7" s="10">
        <f t="shared" ref="B7:I7" si="0">B8+B24+B42+B58+B73+B90+B105+B111+B122+B132+B144+B151+B161+B168+B177+B192+B206+B217+B228+B231</f>
        <v>34625</v>
      </c>
      <c r="C7" s="10">
        <f t="shared" si="0"/>
        <v>76449</v>
      </c>
      <c r="D7" s="10">
        <f t="shared" si="0"/>
        <v>17687</v>
      </c>
      <c r="E7" s="10">
        <f t="shared" si="0"/>
        <v>28253</v>
      </c>
      <c r="F7" s="10">
        <f t="shared" si="0"/>
        <v>4538</v>
      </c>
      <c r="G7" s="10">
        <f t="shared" si="0"/>
        <v>9879</v>
      </c>
      <c r="H7" s="10">
        <f t="shared" si="0"/>
        <v>0</v>
      </c>
      <c r="I7" s="10">
        <f t="shared" si="0"/>
        <v>0</v>
      </c>
      <c r="J7" s="10">
        <f>J8+J24+J42+J58+J73+J90+J105+J111+J122+J132+J144+J151+J161+J168+J177+J192+J206+J217+J228+J231</f>
        <v>0</v>
      </c>
      <c r="K7" s="10">
        <f>K8+K24+K42+K58+K73+K90+K105+K111+K122+K132+K144+K151+K161+K168+K177+K192+K206+K217+K228+K231</f>
        <v>37</v>
      </c>
      <c r="L7" s="10">
        <f t="shared" ref="L7:O7" si="1">L8+L24+L42+L58+L73+L90+L105+L111+L122+L132+L144+L151+L161+L168+L177+L192+L206+L217+L228+L231</f>
        <v>67</v>
      </c>
      <c r="M7" s="10">
        <f t="shared" si="1"/>
        <v>456</v>
      </c>
      <c r="N7" s="10">
        <f t="shared" si="1"/>
        <v>25</v>
      </c>
      <c r="O7" s="10">
        <f t="shared" si="1"/>
        <v>37</v>
      </c>
    </row>
    <row r="8" spans="1:18" x14ac:dyDescent="0.25">
      <c r="A8" s="11" t="s">
        <v>12</v>
      </c>
      <c r="B8" s="10">
        <f t="shared" ref="B8:O8" si="2">SUM(B9:B22)</f>
        <v>1904</v>
      </c>
      <c r="C8" s="10">
        <f t="shared" si="2"/>
        <v>3093</v>
      </c>
      <c r="D8" s="10">
        <f t="shared" si="2"/>
        <v>1497</v>
      </c>
      <c r="E8" s="10">
        <f t="shared" si="2"/>
        <v>1888</v>
      </c>
      <c r="F8" s="10">
        <f t="shared" si="2"/>
        <v>234</v>
      </c>
      <c r="G8" s="10">
        <f t="shared" si="2"/>
        <v>407</v>
      </c>
      <c r="H8" s="10">
        <f t="shared" si="2"/>
        <v>0</v>
      </c>
      <c r="I8" s="10">
        <f t="shared" si="2"/>
        <v>0</v>
      </c>
      <c r="J8" s="10">
        <f t="shared" si="2"/>
        <v>0</v>
      </c>
      <c r="K8" s="10">
        <f t="shared" si="2"/>
        <v>0</v>
      </c>
      <c r="L8" s="10">
        <f t="shared" si="2"/>
        <v>15</v>
      </c>
      <c r="M8" s="10">
        <f t="shared" si="2"/>
        <v>38</v>
      </c>
      <c r="N8" s="10">
        <f t="shared" si="2"/>
        <v>2</v>
      </c>
      <c r="O8" s="10">
        <f t="shared" si="2"/>
        <v>1</v>
      </c>
    </row>
    <row r="9" spans="1:18" x14ac:dyDescent="0.25">
      <c r="A9" s="12" t="s">
        <v>13</v>
      </c>
      <c r="B9" s="19">
        <v>32</v>
      </c>
      <c r="C9" s="19">
        <v>74</v>
      </c>
      <c r="D9" s="19">
        <v>1</v>
      </c>
      <c r="E9" s="19">
        <v>1</v>
      </c>
      <c r="F9" s="23">
        <v>10</v>
      </c>
      <c r="G9" s="23">
        <v>15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</row>
    <row r="10" spans="1:18" x14ac:dyDescent="0.25">
      <c r="A10" s="12" t="s">
        <v>14</v>
      </c>
      <c r="B10" s="19">
        <v>23</v>
      </c>
      <c r="C10" s="19">
        <v>57</v>
      </c>
      <c r="D10" s="19">
        <v>5</v>
      </c>
      <c r="E10" s="19">
        <v>7</v>
      </c>
      <c r="F10" s="23">
        <v>6</v>
      </c>
      <c r="G10" s="23">
        <v>15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</row>
    <row r="11" spans="1:18" x14ac:dyDescent="0.25">
      <c r="A11" s="12" t="s">
        <v>15</v>
      </c>
      <c r="B11" s="19">
        <v>14</v>
      </c>
      <c r="C11" s="19">
        <v>25</v>
      </c>
      <c r="D11" s="19">
        <v>4</v>
      </c>
      <c r="E11" s="19">
        <v>15</v>
      </c>
      <c r="F11" s="23">
        <v>0</v>
      </c>
      <c r="G11" s="23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</row>
    <row r="12" spans="1:18" x14ac:dyDescent="0.25">
      <c r="A12" s="12" t="s">
        <v>16</v>
      </c>
      <c r="B12" s="19">
        <v>245</v>
      </c>
      <c r="C12" s="19">
        <v>407</v>
      </c>
      <c r="D12" s="19">
        <v>86</v>
      </c>
      <c r="E12" s="19">
        <v>171</v>
      </c>
      <c r="F12" s="23">
        <v>23</v>
      </c>
      <c r="G12" s="23">
        <v>52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</row>
    <row r="13" spans="1:18" x14ac:dyDescent="0.25">
      <c r="A13" s="12" t="s">
        <v>17</v>
      </c>
      <c r="B13" s="19">
        <v>367</v>
      </c>
      <c r="C13" s="19">
        <v>417</v>
      </c>
      <c r="D13" s="19">
        <v>336</v>
      </c>
      <c r="E13" s="19">
        <v>350</v>
      </c>
      <c r="F13" s="23">
        <v>106</v>
      </c>
      <c r="G13" s="23">
        <v>186</v>
      </c>
      <c r="H13" s="19">
        <v>0</v>
      </c>
      <c r="I13" s="19">
        <v>0</v>
      </c>
      <c r="J13" s="19">
        <v>0</v>
      </c>
      <c r="K13" s="19">
        <v>0</v>
      </c>
      <c r="L13" s="19">
        <v>6</v>
      </c>
      <c r="M13" s="19">
        <v>5</v>
      </c>
      <c r="N13" s="19">
        <v>0</v>
      </c>
      <c r="O13" s="19">
        <v>0</v>
      </c>
    </row>
    <row r="14" spans="1:18" x14ac:dyDescent="0.25">
      <c r="A14" s="12" t="s">
        <v>18</v>
      </c>
      <c r="B14" s="19">
        <v>96</v>
      </c>
      <c r="C14" s="19">
        <v>326</v>
      </c>
      <c r="D14" s="19">
        <v>40</v>
      </c>
      <c r="E14" s="19">
        <v>116</v>
      </c>
      <c r="F14" s="23">
        <v>17</v>
      </c>
      <c r="G14" s="23">
        <v>25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</row>
    <row r="15" spans="1:18" x14ac:dyDescent="0.25">
      <c r="A15" s="12" t="s">
        <v>19</v>
      </c>
      <c r="B15" s="19">
        <v>46</v>
      </c>
      <c r="C15" s="19">
        <v>115</v>
      </c>
      <c r="D15" s="19">
        <v>20</v>
      </c>
      <c r="E15" s="19">
        <v>40</v>
      </c>
      <c r="F15" s="23">
        <v>3</v>
      </c>
      <c r="G15" s="23">
        <v>10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</row>
    <row r="16" spans="1:18" x14ac:dyDescent="0.25">
      <c r="A16" s="12" t="s">
        <v>20</v>
      </c>
      <c r="B16" s="19">
        <v>959</v>
      </c>
      <c r="C16" s="19">
        <v>1476</v>
      </c>
      <c r="D16" s="19">
        <v>448</v>
      </c>
      <c r="E16" s="19">
        <v>601</v>
      </c>
      <c r="F16" s="23">
        <v>24</v>
      </c>
      <c r="G16" s="23">
        <v>36</v>
      </c>
      <c r="H16" s="19">
        <v>0</v>
      </c>
      <c r="I16" s="19">
        <v>0</v>
      </c>
      <c r="J16" s="19">
        <v>0</v>
      </c>
      <c r="K16" s="19">
        <v>0</v>
      </c>
      <c r="L16" s="19">
        <v>9</v>
      </c>
      <c r="M16" s="19">
        <v>29</v>
      </c>
      <c r="N16" s="19">
        <v>2</v>
      </c>
      <c r="O16" s="19">
        <v>1</v>
      </c>
    </row>
    <row r="17" spans="1:15" x14ac:dyDescent="0.25">
      <c r="A17" s="12" t="s">
        <v>21</v>
      </c>
      <c r="B17" s="19">
        <v>1</v>
      </c>
      <c r="C17" s="19">
        <v>9</v>
      </c>
      <c r="D17" s="19">
        <v>1</v>
      </c>
      <c r="E17" s="19">
        <v>4</v>
      </c>
      <c r="F17" s="23">
        <v>0</v>
      </c>
      <c r="G17" s="23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4</v>
      </c>
      <c r="N17" s="19">
        <v>0</v>
      </c>
      <c r="O17" s="19">
        <v>0</v>
      </c>
    </row>
    <row r="18" spans="1:15" x14ac:dyDescent="0.25">
      <c r="A18" s="12" t="s">
        <v>22</v>
      </c>
      <c r="B18" s="19">
        <v>34</v>
      </c>
      <c r="C18" s="19">
        <v>39</v>
      </c>
      <c r="D18" s="19">
        <v>187</v>
      </c>
      <c r="E18" s="19">
        <v>124</v>
      </c>
      <c r="F18" s="23">
        <v>19</v>
      </c>
      <c r="G18" s="23">
        <v>26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</row>
    <row r="19" spans="1:15" x14ac:dyDescent="0.25">
      <c r="A19" s="12" t="s">
        <v>23</v>
      </c>
      <c r="B19" s="19">
        <v>29</v>
      </c>
      <c r="C19" s="19">
        <v>55</v>
      </c>
      <c r="D19" s="19">
        <v>18</v>
      </c>
      <c r="E19" s="19">
        <v>19</v>
      </c>
      <c r="F19" s="23">
        <v>10</v>
      </c>
      <c r="G19" s="23">
        <v>11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</row>
    <row r="20" spans="1:15" x14ac:dyDescent="0.25">
      <c r="A20" s="12" t="s">
        <v>24</v>
      </c>
      <c r="B20" s="19">
        <v>50</v>
      </c>
      <c r="C20" s="19">
        <v>63</v>
      </c>
      <c r="D20" s="19">
        <v>63</v>
      </c>
      <c r="E20" s="19">
        <v>71</v>
      </c>
      <c r="F20" s="23">
        <v>1</v>
      </c>
      <c r="G20" s="23">
        <v>7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</row>
    <row r="21" spans="1:15" x14ac:dyDescent="0.25">
      <c r="A21" s="12" t="s">
        <v>25</v>
      </c>
      <c r="B21" s="19">
        <v>7</v>
      </c>
      <c r="C21" s="19">
        <v>28</v>
      </c>
      <c r="D21" s="19">
        <v>113</v>
      </c>
      <c r="E21" s="19">
        <v>99</v>
      </c>
      <c r="F21" s="23">
        <v>3</v>
      </c>
      <c r="G21" s="23">
        <v>2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</row>
    <row r="22" spans="1:15" x14ac:dyDescent="0.25">
      <c r="A22" s="13" t="s">
        <v>26</v>
      </c>
      <c r="B22" s="24">
        <v>1</v>
      </c>
      <c r="C22" s="24">
        <v>2</v>
      </c>
      <c r="D22" s="24">
        <v>175</v>
      </c>
      <c r="E22" s="24">
        <v>270</v>
      </c>
      <c r="F22" s="25">
        <v>12</v>
      </c>
      <c r="G22" s="25">
        <v>22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</row>
    <row r="23" spans="1:15" x14ac:dyDescent="0.25">
      <c r="A23" s="12"/>
      <c r="B23" s="14"/>
      <c r="C23" s="14"/>
      <c r="D23" s="14"/>
      <c r="E23" s="14"/>
      <c r="F23" s="14"/>
      <c r="G23" s="14"/>
      <c r="H23" s="14"/>
      <c r="I23" s="14"/>
      <c r="L23" s="14"/>
      <c r="M23" s="14"/>
      <c r="N23" s="14"/>
      <c r="O23" s="14"/>
    </row>
    <row r="24" spans="1:15" x14ac:dyDescent="0.25">
      <c r="A24" s="11" t="s">
        <v>27</v>
      </c>
      <c r="B24" s="10">
        <f>B25+B26+B27+B28+B29+B30+B31+B32+B33+B34+B35+B36+B37+B38+B39+B40</f>
        <v>3600</v>
      </c>
      <c r="C24" s="10">
        <f t="shared" ref="C24:O24" si="3">SUM(C25:C40)</f>
        <v>7525</v>
      </c>
      <c r="D24" s="10">
        <f t="shared" si="3"/>
        <v>2290</v>
      </c>
      <c r="E24" s="10">
        <f t="shared" si="3"/>
        <v>3224</v>
      </c>
      <c r="F24" s="15">
        <f t="shared" si="3"/>
        <v>444</v>
      </c>
      <c r="G24" s="15">
        <f t="shared" si="3"/>
        <v>810</v>
      </c>
      <c r="H24" s="10">
        <f t="shared" si="3"/>
        <v>0</v>
      </c>
      <c r="I24" s="10">
        <f t="shared" si="3"/>
        <v>0</v>
      </c>
      <c r="J24" s="10">
        <f t="shared" si="3"/>
        <v>0</v>
      </c>
      <c r="K24" s="10">
        <f t="shared" si="3"/>
        <v>2</v>
      </c>
      <c r="L24" s="10">
        <f t="shared" si="3"/>
        <v>14</v>
      </c>
      <c r="M24" s="10">
        <f t="shared" si="3"/>
        <v>100</v>
      </c>
      <c r="N24" s="10">
        <f t="shared" si="3"/>
        <v>6</v>
      </c>
      <c r="O24" s="10">
        <f t="shared" si="3"/>
        <v>9</v>
      </c>
    </row>
    <row r="25" spans="1:15" x14ac:dyDescent="0.25">
      <c r="A25" s="12" t="s">
        <v>28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</row>
    <row r="26" spans="1:15" x14ac:dyDescent="0.25">
      <c r="A26" s="12" t="s">
        <v>29</v>
      </c>
      <c r="B26" s="19">
        <v>393</v>
      </c>
      <c r="C26" s="19">
        <v>840</v>
      </c>
      <c r="D26" s="19">
        <v>222</v>
      </c>
      <c r="E26" s="19">
        <v>289</v>
      </c>
      <c r="F26" s="19">
        <v>19</v>
      </c>
      <c r="G26" s="19">
        <v>49</v>
      </c>
      <c r="H26" s="19">
        <v>0</v>
      </c>
      <c r="I26" s="19">
        <v>0</v>
      </c>
      <c r="J26" s="19">
        <v>0</v>
      </c>
      <c r="K26" s="19">
        <v>1</v>
      </c>
      <c r="L26" s="19">
        <v>1</v>
      </c>
      <c r="M26" s="19">
        <v>30</v>
      </c>
      <c r="N26" s="19">
        <v>0</v>
      </c>
      <c r="O26" s="19">
        <v>0</v>
      </c>
    </row>
    <row r="27" spans="1:15" x14ac:dyDescent="0.25">
      <c r="A27" s="12" t="s">
        <v>30</v>
      </c>
      <c r="B27" s="19">
        <v>0</v>
      </c>
      <c r="C27" s="19">
        <v>0</v>
      </c>
      <c r="D27" s="19">
        <v>14</v>
      </c>
      <c r="E27" s="19">
        <v>74</v>
      </c>
      <c r="F27" s="19">
        <v>0</v>
      </c>
      <c r="G27" s="19">
        <v>1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</row>
    <row r="28" spans="1:15" x14ac:dyDescent="0.25">
      <c r="A28" s="12" t="s">
        <v>31</v>
      </c>
      <c r="B28" s="19">
        <v>8</v>
      </c>
      <c r="C28" s="19">
        <v>24</v>
      </c>
      <c r="D28" s="19">
        <v>49</v>
      </c>
      <c r="E28" s="19">
        <v>56</v>
      </c>
      <c r="F28" s="23">
        <v>0</v>
      </c>
      <c r="G28" s="23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</row>
    <row r="29" spans="1:15" x14ac:dyDescent="0.25">
      <c r="A29" s="12" t="s">
        <v>32</v>
      </c>
      <c r="B29" s="19">
        <v>53</v>
      </c>
      <c r="C29" s="19">
        <v>67</v>
      </c>
      <c r="D29" s="19">
        <v>27</v>
      </c>
      <c r="E29" s="19">
        <v>21</v>
      </c>
      <c r="F29" s="23">
        <v>7</v>
      </c>
      <c r="G29" s="23">
        <v>10</v>
      </c>
      <c r="H29" s="19">
        <v>0</v>
      </c>
      <c r="I29" s="19">
        <v>0</v>
      </c>
      <c r="J29" s="19">
        <v>0</v>
      </c>
      <c r="K29" s="19">
        <v>1</v>
      </c>
      <c r="L29" s="19">
        <v>0</v>
      </c>
      <c r="M29" s="19">
        <v>0</v>
      </c>
      <c r="N29" s="19">
        <v>0</v>
      </c>
      <c r="O29" s="19">
        <v>0</v>
      </c>
    </row>
    <row r="30" spans="1:15" x14ac:dyDescent="0.25">
      <c r="A30" s="12" t="s">
        <v>33</v>
      </c>
      <c r="B30" s="19">
        <v>1</v>
      </c>
      <c r="C30" s="19">
        <v>1</v>
      </c>
      <c r="D30" s="19">
        <v>119</v>
      </c>
      <c r="E30" s="19">
        <v>121</v>
      </c>
      <c r="F30" s="23">
        <v>37</v>
      </c>
      <c r="G30" s="23">
        <v>36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</row>
    <row r="31" spans="1:15" x14ac:dyDescent="0.25">
      <c r="A31" s="12" t="s">
        <v>34</v>
      </c>
      <c r="B31" s="19">
        <v>3</v>
      </c>
      <c r="C31" s="19">
        <v>3</v>
      </c>
      <c r="D31" s="19">
        <v>129</v>
      </c>
      <c r="E31" s="19">
        <v>188</v>
      </c>
      <c r="F31" s="23">
        <v>23</v>
      </c>
      <c r="G31" s="23">
        <v>15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</row>
    <row r="32" spans="1:15" x14ac:dyDescent="0.25">
      <c r="A32" s="12" t="s">
        <v>35</v>
      </c>
      <c r="B32" s="19">
        <v>473</v>
      </c>
      <c r="C32" s="19">
        <v>836</v>
      </c>
      <c r="D32" s="19">
        <v>290</v>
      </c>
      <c r="E32" s="19">
        <v>386</v>
      </c>
      <c r="F32" s="23">
        <v>72</v>
      </c>
      <c r="G32" s="23">
        <v>159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1</v>
      </c>
      <c r="N32" s="19">
        <v>0</v>
      </c>
      <c r="O32" s="19">
        <v>1</v>
      </c>
    </row>
    <row r="33" spans="1:15" x14ac:dyDescent="0.25">
      <c r="A33" s="12" t="s">
        <v>36</v>
      </c>
      <c r="B33" s="19">
        <v>76</v>
      </c>
      <c r="C33" s="19">
        <v>191</v>
      </c>
      <c r="D33" s="19">
        <v>43</v>
      </c>
      <c r="E33" s="19">
        <v>29</v>
      </c>
      <c r="F33" s="23">
        <v>7</v>
      </c>
      <c r="G33" s="23">
        <v>16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</row>
    <row r="34" spans="1:15" x14ac:dyDescent="0.25">
      <c r="A34" s="12" t="s">
        <v>37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</row>
    <row r="35" spans="1:15" x14ac:dyDescent="0.25">
      <c r="A35" s="12" t="s">
        <v>38</v>
      </c>
      <c r="B35" s="19">
        <v>2194</v>
      </c>
      <c r="C35" s="19">
        <v>4599</v>
      </c>
      <c r="D35" s="19">
        <v>822</v>
      </c>
      <c r="E35" s="19">
        <v>1309</v>
      </c>
      <c r="F35" s="23">
        <v>206</v>
      </c>
      <c r="G35" s="23">
        <v>362</v>
      </c>
      <c r="H35" s="19">
        <v>0</v>
      </c>
      <c r="I35" s="19">
        <v>0</v>
      </c>
      <c r="J35" s="19">
        <v>0</v>
      </c>
      <c r="K35" s="19">
        <v>0</v>
      </c>
      <c r="L35" s="19">
        <v>7</v>
      </c>
      <c r="M35" s="19">
        <v>61</v>
      </c>
      <c r="N35" s="19">
        <v>6</v>
      </c>
      <c r="O35" s="19">
        <v>8</v>
      </c>
    </row>
    <row r="36" spans="1:15" x14ac:dyDescent="0.25">
      <c r="A36" s="12" t="s">
        <v>39</v>
      </c>
      <c r="B36" s="19">
        <v>123</v>
      </c>
      <c r="C36" s="19">
        <v>341</v>
      </c>
      <c r="D36" s="19">
        <v>130</v>
      </c>
      <c r="E36" s="19">
        <v>188</v>
      </c>
      <c r="F36" s="23">
        <v>12</v>
      </c>
      <c r="G36" s="23">
        <v>35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</row>
    <row r="37" spans="1:15" x14ac:dyDescent="0.25">
      <c r="A37" s="12" t="s">
        <v>40</v>
      </c>
      <c r="B37" s="19">
        <v>62</v>
      </c>
      <c r="C37" s="19">
        <v>92</v>
      </c>
      <c r="D37" s="19">
        <v>70</v>
      </c>
      <c r="E37" s="19">
        <v>74</v>
      </c>
      <c r="F37" s="23">
        <v>17</v>
      </c>
      <c r="G37" s="23">
        <v>31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</row>
    <row r="38" spans="1:15" x14ac:dyDescent="0.25">
      <c r="A38" s="12" t="s">
        <v>41</v>
      </c>
      <c r="B38" s="19">
        <v>142</v>
      </c>
      <c r="C38" s="19">
        <v>271</v>
      </c>
      <c r="D38" s="19">
        <v>107</v>
      </c>
      <c r="E38" s="19">
        <v>159</v>
      </c>
      <c r="F38" s="23">
        <v>7</v>
      </c>
      <c r="G38" s="23">
        <v>17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1</v>
      </c>
      <c r="N38" s="19">
        <v>0</v>
      </c>
      <c r="O38" s="19">
        <v>0</v>
      </c>
    </row>
    <row r="39" spans="1:15" x14ac:dyDescent="0.25">
      <c r="A39" s="12" t="s">
        <v>42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</row>
    <row r="40" spans="1:15" x14ac:dyDescent="0.25">
      <c r="A40" s="13" t="s">
        <v>43</v>
      </c>
      <c r="B40" s="24">
        <v>72</v>
      </c>
      <c r="C40" s="24">
        <v>260</v>
      </c>
      <c r="D40" s="24">
        <v>268</v>
      </c>
      <c r="E40" s="24">
        <v>330</v>
      </c>
      <c r="F40" s="25">
        <v>37</v>
      </c>
      <c r="G40" s="25">
        <v>79</v>
      </c>
      <c r="H40" s="24">
        <v>0</v>
      </c>
      <c r="I40" s="24">
        <v>0</v>
      </c>
      <c r="J40" s="24">
        <v>0</v>
      </c>
      <c r="K40" s="24">
        <v>0</v>
      </c>
      <c r="L40" s="24">
        <v>6</v>
      </c>
      <c r="M40" s="24">
        <v>7</v>
      </c>
      <c r="N40" s="24">
        <v>0</v>
      </c>
      <c r="O40" s="24">
        <v>0</v>
      </c>
    </row>
    <row r="41" spans="1:15" x14ac:dyDescent="0.25">
      <c r="A41" s="11"/>
      <c r="B41" s="16"/>
      <c r="C41" s="16"/>
      <c r="D41" s="16"/>
      <c r="E41" s="16"/>
      <c r="F41" s="16"/>
      <c r="G41" s="16"/>
      <c r="H41" s="16"/>
      <c r="I41" s="16"/>
      <c r="J41" s="3"/>
      <c r="K41" s="3"/>
      <c r="L41" s="16"/>
      <c r="M41" s="16"/>
      <c r="N41" s="16"/>
      <c r="O41" s="16"/>
    </row>
    <row r="42" spans="1:15" x14ac:dyDescent="0.25">
      <c r="A42" s="11" t="s">
        <v>44</v>
      </c>
      <c r="B42" s="10">
        <f t="shared" ref="B42:O42" si="4">SUM(B43:B56)</f>
        <v>1579</v>
      </c>
      <c r="C42" s="10">
        <f t="shared" si="4"/>
        <v>3134</v>
      </c>
      <c r="D42" s="10">
        <f t="shared" si="4"/>
        <v>720</v>
      </c>
      <c r="E42" s="10">
        <f t="shared" si="4"/>
        <v>1048</v>
      </c>
      <c r="F42" s="15">
        <f t="shared" si="4"/>
        <v>137</v>
      </c>
      <c r="G42" s="15">
        <f t="shared" si="4"/>
        <v>291</v>
      </c>
      <c r="H42" s="10">
        <f t="shared" si="4"/>
        <v>0</v>
      </c>
      <c r="I42" s="10">
        <f t="shared" si="4"/>
        <v>0</v>
      </c>
      <c r="J42" s="10">
        <f t="shared" si="4"/>
        <v>0</v>
      </c>
      <c r="K42" s="10">
        <f t="shared" si="4"/>
        <v>0</v>
      </c>
      <c r="L42" s="10">
        <f t="shared" si="4"/>
        <v>0</v>
      </c>
      <c r="M42" s="10">
        <f t="shared" si="4"/>
        <v>3</v>
      </c>
      <c r="N42" s="10">
        <f t="shared" si="4"/>
        <v>0</v>
      </c>
      <c r="O42" s="10">
        <f t="shared" si="4"/>
        <v>0</v>
      </c>
    </row>
    <row r="43" spans="1:15" x14ac:dyDescent="0.25">
      <c r="A43" s="12" t="s">
        <v>45</v>
      </c>
      <c r="B43" s="19">
        <v>138</v>
      </c>
      <c r="C43" s="19">
        <v>439</v>
      </c>
      <c r="D43" s="19">
        <v>141</v>
      </c>
      <c r="E43" s="19">
        <v>146</v>
      </c>
      <c r="F43" s="23">
        <v>9</v>
      </c>
      <c r="G43" s="23">
        <v>29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</row>
    <row r="44" spans="1:15" x14ac:dyDescent="0.25">
      <c r="A44" s="12" t="s">
        <v>46</v>
      </c>
      <c r="B44" s="19">
        <v>27</v>
      </c>
      <c r="C44" s="19">
        <v>66</v>
      </c>
      <c r="D44" s="19">
        <v>36</v>
      </c>
      <c r="E44" s="19">
        <v>58</v>
      </c>
      <c r="F44" s="19">
        <v>0</v>
      </c>
      <c r="G44" s="19">
        <v>1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</row>
    <row r="45" spans="1:15" x14ac:dyDescent="0.25">
      <c r="A45" s="12" t="s">
        <v>47</v>
      </c>
      <c r="B45" s="19">
        <v>30</v>
      </c>
      <c r="C45" s="19">
        <v>81</v>
      </c>
      <c r="D45" s="19">
        <v>32</v>
      </c>
      <c r="E45" s="19">
        <v>47</v>
      </c>
      <c r="F45" s="19">
        <v>22</v>
      </c>
      <c r="G45" s="19">
        <v>34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</row>
    <row r="46" spans="1:15" x14ac:dyDescent="0.25">
      <c r="A46" s="12" t="s">
        <v>48</v>
      </c>
      <c r="B46" s="19">
        <v>152</v>
      </c>
      <c r="C46" s="19">
        <v>290</v>
      </c>
      <c r="D46" s="19">
        <v>18</v>
      </c>
      <c r="E46" s="19">
        <v>30</v>
      </c>
      <c r="F46" s="23">
        <v>3</v>
      </c>
      <c r="G46" s="23">
        <v>4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</row>
    <row r="47" spans="1:15" x14ac:dyDescent="0.25">
      <c r="A47" s="12" t="s">
        <v>49</v>
      </c>
      <c r="B47" s="19">
        <v>31</v>
      </c>
      <c r="C47" s="19">
        <v>31</v>
      </c>
      <c r="D47" s="19">
        <v>83</v>
      </c>
      <c r="E47" s="19">
        <v>122</v>
      </c>
      <c r="F47" s="23">
        <v>3</v>
      </c>
      <c r="G47" s="23">
        <v>23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</row>
    <row r="48" spans="1:15" x14ac:dyDescent="0.25">
      <c r="A48" s="12" t="s">
        <v>50</v>
      </c>
      <c r="B48" s="19">
        <v>29</v>
      </c>
      <c r="C48" s="19">
        <v>47</v>
      </c>
      <c r="D48" s="19">
        <v>27</v>
      </c>
      <c r="E48" s="19">
        <v>21</v>
      </c>
      <c r="F48" s="23">
        <v>19</v>
      </c>
      <c r="G48" s="23">
        <v>28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</row>
    <row r="49" spans="1:15" x14ac:dyDescent="0.25">
      <c r="A49" s="12" t="s">
        <v>51</v>
      </c>
      <c r="B49" s="19">
        <v>292</v>
      </c>
      <c r="C49" s="19">
        <v>614</v>
      </c>
      <c r="D49" s="19">
        <v>43</v>
      </c>
      <c r="E49" s="19">
        <v>43</v>
      </c>
      <c r="F49" s="23">
        <v>10</v>
      </c>
      <c r="G49" s="23">
        <v>20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</row>
    <row r="50" spans="1:15" x14ac:dyDescent="0.25">
      <c r="A50" s="12" t="s">
        <v>52</v>
      </c>
      <c r="B50" s="19">
        <v>13</v>
      </c>
      <c r="C50" s="19">
        <v>16</v>
      </c>
      <c r="D50" s="19">
        <v>3</v>
      </c>
      <c r="E50" s="19">
        <v>15</v>
      </c>
      <c r="F50" s="23">
        <v>0</v>
      </c>
      <c r="G50" s="23">
        <v>1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</row>
    <row r="51" spans="1:15" x14ac:dyDescent="0.25">
      <c r="A51" s="12" t="s">
        <v>53</v>
      </c>
      <c r="B51" s="19">
        <v>6</v>
      </c>
      <c r="C51" s="19">
        <v>21</v>
      </c>
      <c r="D51" s="19">
        <v>12</v>
      </c>
      <c r="E51" s="19">
        <v>14</v>
      </c>
      <c r="F51" s="23">
        <v>1</v>
      </c>
      <c r="G51" s="23">
        <v>2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</row>
    <row r="52" spans="1:15" x14ac:dyDescent="0.25">
      <c r="A52" s="12" t="s">
        <v>54</v>
      </c>
      <c r="B52" s="19">
        <v>8</v>
      </c>
      <c r="C52" s="19">
        <v>9</v>
      </c>
      <c r="D52" s="19">
        <v>36</v>
      </c>
      <c r="E52" s="19">
        <v>75</v>
      </c>
      <c r="F52" s="23">
        <v>3</v>
      </c>
      <c r="G52" s="23">
        <v>4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</row>
    <row r="53" spans="1:15" x14ac:dyDescent="0.25">
      <c r="A53" s="12" t="s">
        <v>55</v>
      </c>
      <c r="B53" s="19">
        <v>198</v>
      </c>
      <c r="C53" s="19">
        <v>432</v>
      </c>
      <c r="D53" s="19">
        <v>65</v>
      </c>
      <c r="E53" s="19">
        <v>95</v>
      </c>
      <c r="F53" s="23">
        <v>13</v>
      </c>
      <c r="G53" s="23">
        <v>27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</row>
    <row r="54" spans="1:15" x14ac:dyDescent="0.25">
      <c r="A54" s="12" t="s">
        <v>56</v>
      </c>
      <c r="B54" s="19">
        <v>63</v>
      </c>
      <c r="C54" s="19">
        <v>121</v>
      </c>
      <c r="D54" s="19">
        <v>6</v>
      </c>
      <c r="E54" s="19">
        <v>12</v>
      </c>
      <c r="F54" s="23">
        <v>13</v>
      </c>
      <c r="G54" s="23">
        <v>21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1</v>
      </c>
      <c r="N54" s="19">
        <v>0</v>
      </c>
      <c r="O54" s="19">
        <v>0</v>
      </c>
    </row>
    <row r="55" spans="1:15" x14ac:dyDescent="0.25">
      <c r="A55" s="12" t="s">
        <v>57</v>
      </c>
      <c r="B55" s="19">
        <v>371</v>
      </c>
      <c r="C55" s="19">
        <v>593</v>
      </c>
      <c r="D55" s="19">
        <v>107</v>
      </c>
      <c r="E55" s="19">
        <v>241</v>
      </c>
      <c r="F55" s="23">
        <v>12</v>
      </c>
      <c r="G55" s="23">
        <v>40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1</v>
      </c>
      <c r="N55" s="19">
        <v>0</v>
      </c>
      <c r="O55" s="19">
        <v>0</v>
      </c>
    </row>
    <row r="56" spans="1:15" x14ac:dyDescent="0.25">
      <c r="A56" s="13" t="s">
        <v>58</v>
      </c>
      <c r="B56" s="24">
        <v>221</v>
      </c>
      <c r="C56" s="24">
        <v>374</v>
      </c>
      <c r="D56" s="24">
        <v>111</v>
      </c>
      <c r="E56" s="24">
        <v>129</v>
      </c>
      <c r="F56" s="25">
        <v>29</v>
      </c>
      <c r="G56" s="25">
        <v>57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</row>
    <row r="57" spans="1:15" x14ac:dyDescent="0.25">
      <c r="A57" s="11"/>
      <c r="B57" s="16"/>
      <c r="C57" s="16"/>
      <c r="D57" s="16"/>
      <c r="E57" s="16"/>
      <c r="F57" s="16"/>
      <c r="G57" s="16"/>
      <c r="H57" s="16"/>
      <c r="I57" s="16"/>
      <c r="J57" s="3"/>
      <c r="K57" s="3"/>
      <c r="L57" s="16"/>
      <c r="M57" s="16"/>
      <c r="N57" s="16"/>
      <c r="O57" s="16"/>
    </row>
    <row r="58" spans="1:15" x14ac:dyDescent="0.25">
      <c r="A58" s="11" t="s">
        <v>59</v>
      </c>
      <c r="B58" s="10">
        <f t="shared" ref="B58:O58" si="5">SUM(B59:B71)</f>
        <v>1256</v>
      </c>
      <c r="C58" s="10">
        <f t="shared" si="5"/>
        <v>3214</v>
      </c>
      <c r="D58" s="10">
        <f t="shared" si="5"/>
        <v>1234</v>
      </c>
      <c r="E58" s="10">
        <f t="shared" si="5"/>
        <v>1896</v>
      </c>
      <c r="F58" s="15">
        <f t="shared" si="5"/>
        <v>117</v>
      </c>
      <c r="G58" s="15">
        <f t="shared" si="5"/>
        <v>325</v>
      </c>
      <c r="H58" s="10">
        <f t="shared" si="5"/>
        <v>0</v>
      </c>
      <c r="I58" s="10">
        <f t="shared" si="5"/>
        <v>0</v>
      </c>
      <c r="J58" s="10">
        <f t="shared" si="5"/>
        <v>0</v>
      </c>
      <c r="K58" s="10">
        <f t="shared" si="5"/>
        <v>3</v>
      </c>
      <c r="L58" s="10">
        <f t="shared" si="5"/>
        <v>5</v>
      </c>
      <c r="M58" s="10">
        <f t="shared" si="5"/>
        <v>31</v>
      </c>
      <c r="N58" s="10">
        <f t="shared" si="5"/>
        <v>1</v>
      </c>
      <c r="O58" s="10">
        <f t="shared" si="5"/>
        <v>3</v>
      </c>
    </row>
    <row r="59" spans="1:15" x14ac:dyDescent="0.25">
      <c r="A59" s="12" t="s">
        <v>60</v>
      </c>
      <c r="B59" s="19">
        <v>68</v>
      </c>
      <c r="C59" s="19">
        <v>227</v>
      </c>
      <c r="D59" s="19">
        <v>65</v>
      </c>
      <c r="E59" s="19">
        <v>121</v>
      </c>
      <c r="F59" s="23">
        <v>6</v>
      </c>
      <c r="G59" s="23">
        <v>11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</row>
    <row r="60" spans="1:15" x14ac:dyDescent="0.25">
      <c r="A60" s="12" t="s">
        <v>61</v>
      </c>
      <c r="B60" s="19">
        <v>18</v>
      </c>
      <c r="C60" s="19">
        <v>59</v>
      </c>
      <c r="D60" s="19">
        <v>32</v>
      </c>
      <c r="E60" s="19">
        <v>32</v>
      </c>
      <c r="F60" s="23">
        <v>5</v>
      </c>
      <c r="G60" s="23">
        <v>6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</row>
    <row r="61" spans="1:15" x14ac:dyDescent="0.25">
      <c r="A61" s="12" t="s">
        <v>62</v>
      </c>
      <c r="B61" s="19">
        <v>97</v>
      </c>
      <c r="C61" s="19">
        <v>280</v>
      </c>
      <c r="D61" s="19">
        <v>119</v>
      </c>
      <c r="E61" s="19">
        <v>200</v>
      </c>
      <c r="F61" s="23">
        <v>2</v>
      </c>
      <c r="G61" s="23">
        <v>10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</row>
    <row r="62" spans="1:15" x14ac:dyDescent="0.25">
      <c r="A62" s="12" t="s">
        <v>63</v>
      </c>
      <c r="B62" s="19">
        <v>29</v>
      </c>
      <c r="C62" s="19">
        <v>64</v>
      </c>
      <c r="D62" s="19">
        <v>83</v>
      </c>
      <c r="E62" s="19">
        <v>161</v>
      </c>
      <c r="F62" s="19">
        <v>0</v>
      </c>
      <c r="G62" s="19">
        <v>8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</row>
    <row r="63" spans="1:15" x14ac:dyDescent="0.25">
      <c r="A63" s="12" t="s">
        <v>64</v>
      </c>
      <c r="B63" s="19">
        <v>89</v>
      </c>
      <c r="C63" s="19">
        <v>121</v>
      </c>
      <c r="D63" s="19">
        <v>34</v>
      </c>
      <c r="E63" s="19">
        <v>34</v>
      </c>
      <c r="F63" s="19">
        <v>36</v>
      </c>
      <c r="G63" s="19">
        <v>95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</row>
    <row r="64" spans="1:15" x14ac:dyDescent="0.25">
      <c r="A64" s="12" t="s">
        <v>65</v>
      </c>
      <c r="B64" s="19">
        <v>104</v>
      </c>
      <c r="C64" s="19">
        <v>184</v>
      </c>
      <c r="D64" s="19">
        <v>59</v>
      </c>
      <c r="E64" s="19">
        <v>84</v>
      </c>
      <c r="F64" s="19">
        <v>12</v>
      </c>
      <c r="G64" s="19">
        <v>36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</row>
    <row r="65" spans="1:15" x14ac:dyDescent="0.25">
      <c r="A65" s="12" t="s">
        <v>66</v>
      </c>
      <c r="B65" s="19">
        <v>18</v>
      </c>
      <c r="C65" s="19">
        <v>70</v>
      </c>
      <c r="D65" s="19">
        <v>36</v>
      </c>
      <c r="E65" s="19">
        <v>55</v>
      </c>
      <c r="F65" s="23">
        <v>1</v>
      </c>
      <c r="G65" s="23">
        <v>9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1</v>
      </c>
      <c r="N65" s="19">
        <v>0</v>
      </c>
      <c r="O65" s="19">
        <v>0</v>
      </c>
    </row>
    <row r="66" spans="1:15" x14ac:dyDescent="0.25">
      <c r="A66" s="12" t="s">
        <v>67</v>
      </c>
      <c r="B66" s="19">
        <v>46</v>
      </c>
      <c r="C66" s="19">
        <v>126</v>
      </c>
      <c r="D66" s="19">
        <v>109</v>
      </c>
      <c r="E66" s="19">
        <v>217</v>
      </c>
      <c r="F66" s="23">
        <v>13</v>
      </c>
      <c r="G66" s="23">
        <v>19</v>
      </c>
      <c r="H66" s="19">
        <v>0</v>
      </c>
      <c r="I66" s="19">
        <v>0</v>
      </c>
      <c r="J66" s="19">
        <v>0</v>
      </c>
      <c r="K66" s="19">
        <v>0</v>
      </c>
      <c r="L66" s="19">
        <v>1</v>
      </c>
      <c r="M66" s="19">
        <v>0</v>
      </c>
      <c r="N66" s="19">
        <v>0</v>
      </c>
      <c r="O66" s="19">
        <v>0</v>
      </c>
    </row>
    <row r="67" spans="1:15" x14ac:dyDescent="0.25">
      <c r="A67" s="12" t="s">
        <v>68</v>
      </c>
      <c r="B67" s="19">
        <v>76</v>
      </c>
      <c r="C67" s="19">
        <v>140</v>
      </c>
      <c r="D67" s="19">
        <v>58</v>
      </c>
      <c r="E67" s="19">
        <v>40</v>
      </c>
      <c r="F67" s="23">
        <v>5</v>
      </c>
      <c r="G67" s="23">
        <v>9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</row>
    <row r="68" spans="1:15" x14ac:dyDescent="0.25">
      <c r="A68" s="12" t="s">
        <v>69</v>
      </c>
      <c r="B68" s="19">
        <v>313</v>
      </c>
      <c r="C68" s="19">
        <v>555</v>
      </c>
      <c r="D68" s="19">
        <v>331</v>
      </c>
      <c r="E68" s="19">
        <v>389</v>
      </c>
      <c r="F68" s="23">
        <v>9</v>
      </c>
      <c r="G68" s="23">
        <v>24</v>
      </c>
      <c r="H68" s="19">
        <v>0</v>
      </c>
      <c r="I68" s="19">
        <v>0</v>
      </c>
      <c r="J68" s="19">
        <v>0</v>
      </c>
      <c r="K68" s="19">
        <v>3</v>
      </c>
      <c r="L68" s="19">
        <v>3</v>
      </c>
      <c r="M68" s="19">
        <v>29</v>
      </c>
      <c r="N68" s="19">
        <v>1</v>
      </c>
      <c r="O68" s="19">
        <v>1</v>
      </c>
    </row>
    <row r="69" spans="1:15" x14ac:dyDescent="0.25">
      <c r="A69" s="12" t="s">
        <v>70</v>
      </c>
      <c r="B69" s="19">
        <v>144</v>
      </c>
      <c r="C69" s="19">
        <v>510</v>
      </c>
      <c r="D69" s="19">
        <v>7</v>
      </c>
      <c r="E69" s="19">
        <v>12</v>
      </c>
      <c r="F69" s="23">
        <v>1</v>
      </c>
      <c r="G69" s="23">
        <v>11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</row>
    <row r="70" spans="1:15" x14ac:dyDescent="0.25">
      <c r="A70" s="12" t="s">
        <v>71</v>
      </c>
      <c r="B70" s="19">
        <v>16</v>
      </c>
      <c r="C70" s="19">
        <v>32</v>
      </c>
      <c r="D70" s="19">
        <v>8</v>
      </c>
      <c r="E70" s="19">
        <v>10</v>
      </c>
      <c r="F70" s="23">
        <v>1</v>
      </c>
      <c r="G70" s="23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</row>
    <row r="71" spans="1:15" x14ac:dyDescent="0.25">
      <c r="A71" s="13" t="s">
        <v>72</v>
      </c>
      <c r="B71" s="24">
        <v>238</v>
      </c>
      <c r="C71" s="24">
        <v>846</v>
      </c>
      <c r="D71" s="24">
        <v>293</v>
      </c>
      <c r="E71" s="24">
        <v>541</v>
      </c>
      <c r="F71" s="25">
        <v>26</v>
      </c>
      <c r="G71" s="25">
        <v>87</v>
      </c>
      <c r="H71" s="24">
        <v>0</v>
      </c>
      <c r="I71" s="24">
        <v>0</v>
      </c>
      <c r="J71" s="24">
        <v>0</v>
      </c>
      <c r="K71" s="24">
        <v>0</v>
      </c>
      <c r="L71" s="24">
        <v>1</v>
      </c>
      <c r="M71" s="24">
        <v>1</v>
      </c>
      <c r="N71" s="24">
        <v>0</v>
      </c>
      <c r="O71" s="24">
        <v>2</v>
      </c>
    </row>
    <row r="72" spans="1:15" x14ac:dyDescent="0.25">
      <c r="A72" s="11"/>
      <c r="B72" s="16"/>
      <c r="C72" s="16"/>
      <c r="D72" s="16"/>
      <c r="E72" s="16"/>
      <c r="F72" s="16"/>
      <c r="G72" s="16"/>
      <c r="H72" s="16"/>
      <c r="I72" s="16"/>
      <c r="J72" s="3"/>
      <c r="K72" s="3"/>
      <c r="L72" s="16"/>
      <c r="M72" s="16"/>
      <c r="N72" s="16"/>
      <c r="O72" s="16"/>
    </row>
    <row r="73" spans="1:15" x14ac:dyDescent="0.25">
      <c r="A73" s="11" t="s">
        <v>73</v>
      </c>
      <c r="B73" s="10">
        <f t="shared" ref="B73:I73" si="6">SUM(B74:B88)</f>
        <v>3214</v>
      </c>
      <c r="C73" s="10">
        <f t="shared" si="6"/>
        <v>7696</v>
      </c>
      <c r="D73" s="10">
        <f t="shared" si="6"/>
        <v>1368</v>
      </c>
      <c r="E73" s="10">
        <f t="shared" si="6"/>
        <v>2229</v>
      </c>
      <c r="F73" s="15">
        <f t="shared" si="6"/>
        <v>421</v>
      </c>
      <c r="G73" s="15">
        <f t="shared" si="6"/>
        <v>667</v>
      </c>
      <c r="H73" s="10">
        <f t="shared" si="6"/>
        <v>0</v>
      </c>
      <c r="I73" s="10">
        <f t="shared" si="6"/>
        <v>0</v>
      </c>
      <c r="J73" s="3">
        <v>0</v>
      </c>
      <c r="K73" s="3">
        <v>4</v>
      </c>
      <c r="L73" s="10">
        <f t="shared" ref="L73:O73" si="7">SUM(L74:L88)</f>
        <v>10</v>
      </c>
      <c r="M73" s="10">
        <f t="shared" si="7"/>
        <v>105</v>
      </c>
      <c r="N73" s="10">
        <f t="shared" si="7"/>
        <v>2</v>
      </c>
      <c r="O73" s="10">
        <f t="shared" si="7"/>
        <v>5</v>
      </c>
    </row>
    <row r="74" spans="1:15" x14ac:dyDescent="0.25">
      <c r="A74" s="12" t="s">
        <v>74</v>
      </c>
      <c r="B74" s="19">
        <v>1059</v>
      </c>
      <c r="C74" s="19">
        <v>2468</v>
      </c>
      <c r="D74" s="19">
        <v>403</v>
      </c>
      <c r="E74" s="19">
        <v>521</v>
      </c>
      <c r="F74" s="23">
        <v>102</v>
      </c>
      <c r="G74" s="23">
        <v>94</v>
      </c>
      <c r="H74" s="19">
        <v>0</v>
      </c>
      <c r="I74" s="19">
        <v>0</v>
      </c>
      <c r="J74" s="19">
        <v>0</v>
      </c>
      <c r="K74" s="19">
        <v>1</v>
      </c>
      <c r="L74" s="19">
        <v>4</v>
      </c>
      <c r="M74" s="19">
        <v>73</v>
      </c>
      <c r="N74" s="19">
        <v>2</v>
      </c>
      <c r="O74" s="19">
        <v>5</v>
      </c>
    </row>
    <row r="75" spans="1:15" x14ac:dyDescent="0.25">
      <c r="A75" s="12" t="s">
        <v>75</v>
      </c>
      <c r="B75" s="19">
        <v>302</v>
      </c>
      <c r="C75" s="19">
        <v>562</v>
      </c>
      <c r="D75" s="19">
        <v>29</v>
      </c>
      <c r="E75" s="19">
        <v>97</v>
      </c>
      <c r="F75" s="23">
        <v>12</v>
      </c>
      <c r="G75" s="23">
        <v>34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</row>
    <row r="76" spans="1:15" x14ac:dyDescent="0.25">
      <c r="A76" s="12" t="s">
        <v>76</v>
      </c>
      <c r="B76" s="19">
        <v>8</v>
      </c>
      <c r="C76" s="19">
        <v>58</v>
      </c>
      <c r="D76" s="19">
        <v>13</v>
      </c>
      <c r="E76" s="19">
        <v>19</v>
      </c>
      <c r="F76" s="23">
        <v>4</v>
      </c>
      <c r="G76" s="23">
        <v>17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</row>
    <row r="77" spans="1:15" x14ac:dyDescent="0.25">
      <c r="A77" s="12" t="s">
        <v>77</v>
      </c>
      <c r="B77" s="19">
        <v>10</v>
      </c>
      <c r="C77" s="19">
        <v>16</v>
      </c>
      <c r="D77" s="19">
        <v>0</v>
      </c>
      <c r="E77" s="19">
        <v>7</v>
      </c>
      <c r="F77" s="23">
        <v>1</v>
      </c>
      <c r="G77" s="23">
        <v>4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</row>
    <row r="78" spans="1:15" x14ac:dyDescent="0.25">
      <c r="A78" s="12" t="s">
        <v>78</v>
      </c>
      <c r="B78" s="19">
        <v>15</v>
      </c>
      <c r="C78" s="19">
        <v>39</v>
      </c>
      <c r="D78" s="19">
        <v>18</v>
      </c>
      <c r="E78" s="19">
        <v>37</v>
      </c>
      <c r="F78" s="19">
        <v>1</v>
      </c>
      <c r="G78" s="19">
        <v>3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</row>
    <row r="79" spans="1:15" x14ac:dyDescent="0.25">
      <c r="A79" s="12" t="s">
        <v>79</v>
      </c>
      <c r="B79" s="19">
        <v>24</v>
      </c>
      <c r="C79" s="19">
        <v>76</v>
      </c>
      <c r="D79" s="19">
        <v>38</v>
      </c>
      <c r="E79" s="19">
        <v>62</v>
      </c>
      <c r="F79" s="19">
        <v>4</v>
      </c>
      <c r="G79" s="19">
        <v>8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</row>
    <row r="80" spans="1:15" x14ac:dyDescent="0.25">
      <c r="A80" s="12" t="s">
        <v>80</v>
      </c>
      <c r="B80" s="19">
        <v>344</v>
      </c>
      <c r="C80" s="19">
        <v>1000</v>
      </c>
      <c r="D80" s="19">
        <v>158</v>
      </c>
      <c r="E80" s="19">
        <v>414</v>
      </c>
      <c r="F80" s="23">
        <v>10</v>
      </c>
      <c r="G80" s="23">
        <v>64</v>
      </c>
      <c r="H80" s="19">
        <v>0</v>
      </c>
      <c r="I80" s="19">
        <v>0</v>
      </c>
      <c r="J80" s="19">
        <v>0</v>
      </c>
      <c r="K80" s="19">
        <v>1</v>
      </c>
      <c r="L80" s="19">
        <v>5</v>
      </c>
      <c r="M80" s="19">
        <v>17</v>
      </c>
      <c r="N80" s="19">
        <v>0</v>
      </c>
      <c r="O80" s="19">
        <v>0</v>
      </c>
    </row>
    <row r="81" spans="1:15" x14ac:dyDescent="0.25">
      <c r="A81" s="12" t="s">
        <v>81</v>
      </c>
      <c r="B81" s="19">
        <v>28</v>
      </c>
      <c r="C81" s="19">
        <v>87</v>
      </c>
      <c r="D81" s="19">
        <v>2</v>
      </c>
      <c r="E81" s="19">
        <v>3</v>
      </c>
      <c r="F81" s="23">
        <v>5</v>
      </c>
      <c r="G81" s="23">
        <v>12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</row>
    <row r="82" spans="1:15" x14ac:dyDescent="0.25">
      <c r="A82" s="12" t="s">
        <v>82</v>
      </c>
      <c r="B82" s="19">
        <v>24</v>
      </c>
      <c r="C82" s="19">
        <v>59</v>
      </c>
      <c r="D82" s="19">
        <v>40</v>
      </c>
      <c r="E82" s="19">
        <v>37</v>
      </c>
      <c r="F82" s="23">
        <v>2</v>
      </c>
      <c r="G82" s="23">
        <v>5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</row>
    <row r="83" spans="1:15" x14ac:dyDescent="0.25">
      <c r="A83" s="12" t="s">
        <v>83</v>
      </c>
      <c r="B83" s="19">
        <v>769</v>
      </c>
      <c r="C83" s="19">
        <v>1903</v>
      </c>
      <c r="D83" s="19">
        <v>80</v>
      </c>
      <c r="E83" s="19">
        <v>71</v>
      </c>
      <c r="F83" s="23">
        <v>120</v>
      </c>
      <c r="G83" s="23">
        <v>161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</row>
    <row r="84" spans="1:15" x14ac:dyDescent="0.25">
      <c r="A84" s="12" t="s">
        <v>84</v>
      </c>
      <c r="B84" s="19">
        <v>135</v>
      </c>
      <c r="C84" s="19">
        <v>330</v>
      </c>
      <c r="D84" s="19">
        <v>6</v>
      </c>
      <c r="E84" s="19">
        <v>12</v>
      </c>
      <c r="F84" s="23">
        <v>9</v>
      </c>
      <c r="G84" s="23">
        <v>30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</row>
    <row r="85" spans="1:15" x14ac:dyDescent="0.25">
      <c r="A85" s="12" t="s">
        <v>85</v>
      </c>
      <c r="B85" s="19">
        <v>56</v>
      </c>
      <c r="C85" s="19">
        <v>119</v>
      </c>
      <c r="D85" s="19">
        <v>377</v>
      </c>
      <c r="E85" s="19">
        <v>470</v>
      </c>
      <c r="F85" s="19">
        <v>26</v>
      </c>
      <c r="G85" s="19">
        <v>70</v>
      </c>
      <c r="H85" s="19">
        <v>0</v>
      </c>
      <c r="I85" s="19">
        <v>0</v>
      </c>
      <c r="J85" s="19">
        <v>0</v>
      </c>
      <c r="K85" s="19">
        <v>1</v>
      </c>
      <c r="L85" s="19">
        <v>0</v>
      </c>
      <c r="M85" s="19">
        <v>12</v>
      </c>
      <c r="N85" s="19">
        <v>0</v>
      </c>
      <c r="O85" s="19">
        <v>0</v>
      </c>
    </row>
    <row r="86" spans="1:15" x14ac:dyDescent="0.25">
      <c r="A86" s="12" t="s">
        <v>86</v>
      </c>
      <c r="B86" s="19">
        <v>113</v>
      </c>
      <c r="C86" s="19">
        <v>209</v>
      </c>
      <c r="D86" s="19">
        <v>125</v>
      </c>
      <c r="E86" s="19">
        <v>287</v>
      </c>
      <c r="F86" s="23">
        <v>21</v>
      </c>
      <c r="G86" s="23">
        <v>27</v>
      </c>
      <c r="H86" s="19">
        <v>0</v>
      </c>
      <c r="I86" s="19">
        <v>0</v>
      </c>
      <c r="J86" s="19">
        <v>0</v>
      </c>
      <c r="K86" s="19">
        <v>1</v>
      </c>
      <c r="L86" s="19">
        <v>0</v>
      </c>
      <c r="M86" s="19">
        <v>0</v>
      </c>
      <c r="N86" s="19">
        <v>0</v>
      </c>
      <c r="O86" s="19">
        <v>0</v>
      </c>
    </row>
    <row r="87" spans="1:15" x14ac:dyDescent="0.25">
      <c r="A87" s="12" t="s">
        <v>87</v>
      </c>
      <c r="B87" s="19">
        <v>106</v>
      </c>
      <c r="C87" s="19">
        <v>259</v>
      </c>
      <c r="D87" s="19">
        <v>59</v>
      </c>
      <c r="E87" s="19">
        <v>109</v>
      </c>
      <c r="F87" s="23">
        <v>57</v>
      </c>
      <c r="G87" s="23">
        <v>65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1</v>
      </c>
      <c r="N87" s="19">
        <v>0</v>
      </c>
      <c r="O87" s="19">
        <v>0</v>
      </c>
    </row>
    <row r="88" spans="1:15" x14ac:dyDescent="0.25">
      <c r="A88" s="13" t="s">
        <v>88</v>
      </c>
      <c r="B88" s="24">
        <v>221</v>
      </c>
      <c r="C88" s="24">
        <v>511</v>
      </c>
      <c r="D88" s="24">
        <v>20</v>
      </c>
      <c r="E88" s="24">
        <v>83</v>
      </c>
      <c r="F88" s="25">
        <v>47</v>
      </c>
      <c r="G88" s="25">
        <v>73</v>
      </c>
      <c r="H88" s="24">
        <v>0</v>
      </c>
      <c r="I88" s="24">
        <v>0</v>
      </c>
      <c r="J88" s="24">
        <v>0</v>
      </c>
      <c r="K88" s="24">
        <v>0</v>
      </c>
      <c r="L88" s="24">
        <v>1</v>
      </c>
      <c r="M88" s="24">
        <v>2</v>
      </c>
      <c r="N88" s="24">
        <v>0</v>
      </c>
      <c r="O88" s="24">
        <v>0</v>
      </c>
    </row>
    <row r="89" spans="1:15" x14ac:dyDescent="0.25">
      <c r="A89" s="11"/>
      <c r="B89" s="16"/>
      <c r="C89" s="16"/>
      <c r="D89" s="16"/>
      <c r="E89" s="16"/>
      <c r="F89" s="16"/>
      <c r="G89" s="16"/>
      <c r="H89" s="16"/>
      <c r="I89" s="16"/>
      <c r="J89" s="3"/>
      <c r="K89" s="3"/>
      <c r="L89" s="16"/>
      <c r="M89" s="16"/>
      <c r="N89" s="16"/>
      <c r="O89" s="16"/>
    </row>
    <row r="90" spans="1:15" x14ac:dyDescent="0.25">
      <c r="A90" s="11" t="s">
        <v>89</v>
      </c>
      <c r="B90" s="10">
        <f t="shared" ref="B90:I90" si="8">SUM(B91:B103)</f>
        <v>2616</v>
      </c>
      <c r="C90" s="10">
        <f t="shared" si="8"/>
        <v>5350</v>
      </c>
      <c r="D90" s="10">
        <f t="shared" si="8"/>
        <v>1213</v>
      </c>
      <c r="E90" s="10">
        <f t="shared" si="8"/>
        <v>2380</v>
      </c>
      <c r="F90" s="15">
        <f t="shared" si="8"/>
        <v>177</v>
      </c>
      <c r="G90" s="15">
        <f t="shared" si="8"/>
        <v>433</v>
      </c>
      <c r="H90" s="10">
        <f t="shared" si="8"/>
        <v>0</v>
      </c>
      <c r="I90" s="10">
        <f t="shared" si="8"/>
        <v>0</v>
      </c>
      <c r="J90" s="3">
        <v>0</v>
      </c>
      <c r="K90" s="3">
        <v>1</v>
      </c>
      <c r="L90" s="10">
        <f t="shared" ref="L90:O90" si="9">SUM(L91:L103)</f>
        <v>7</v>
      </c>
      <c r="M90" s="10">
        <f t="shared" si="9"/>
        <v>41</v>
      </c>
      <c r="N90" s="10">
        <f t="shared" si="9"/>
        <v>0</v>
      </c>
      <c r="O90" s="10">
        <f t="shared" si="9"/>
        <v>0</v>
      </c>
    </row>
    <row r="91" spans="1:15" x14ac:dyDescent="0.25">
      <c r="A91" s="12" t="s">
        <v>90</v>
      </c>
      <c r="B91" s="19">
        <v>645</v>
      </c>
      <c r="C91" s="19">
        <v>1100</v>
      </c>
      <c r="D91" s="19">
        <v>380</v>
      </c>
      <c r="E91" s="19">
        <v>896</v>
      </c>
      <c r="F91" s="23">
        <v>62</v>
      </c>
      <c r="G91" s="23">
        <v>134</v>
      </c>
      <c r="H91" s="19">
        <v>0</v>
      </c>
      <c r="I91" s="19">
        <v>0</v>
      </c>
      <c r="J91" s="19">
        <v>0</v>
      </c>
      <c r="K91" s="19">
        <v>0</v>
      </c>
      <c r="L91" s="19">
        <v>7</v>
      </c>
      <c r="M91" s="19">
        <v>30</v>
      </c>
      <c r="N91" s="19">
        <v>0</v>
      </c>
      <c r="O91" s="19">
        <v>0</v>
      </c>
    </row>
    <row r="92" spans="1:15" x14ac:dyDescent="0.25">
      <c r="A92" s="12" t="s">
        <v>91</v>
      </c>
      <c r="B92" s="19">
        <v>277</v>
      </c>
      <c r="C92" s="19">
        <v>399</v>
      </c>
      <c r="D92" s="19">
        <v>101</v>
      </c>
      <c r="E92" s="19">
        <v>135</v>
      </c>
      <c r="F92" s="23">
        <v>4</v>
      </c>
      <c r="G92" s="23">
        <v>9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</row>
    <row r="93" spans="1:15" x14ac:dyDescent="0.25">
      <c r="A93" s="12" t="s">
        <v>92</v>
      </c>
      <c r="B93" s="19">
        <v>33</v>
      </c>
      <c r="C93" s="19">
        <v>160</v>
      </c>
      <c r="D93" s="19">
        <v>42</v>
      </c>
      <c r="E93" s="19">
        <v>91</v>
      </c>
      <c r="F93" s="23">
        <v>2</v>
      </c>
      <c r="G93" s="23">
        <v>21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</row>
    <row r="94" spans="1:15" x14ac:dyDescent="0.25">
      <c r="A94" s="12" t="s">
        <v>93</v>
      </c>
      <c r="B94" s="19">
        <v>33</v>
      </c>
      <c r="C94" s="19">
        <v>133</v>
      </c>
      <c r="D94" s="19">
        <v>6</v>
      </c>
      <c r="E94" s="19">
        <v>16</v>
      </c>
      <c r="F94" s="23">
        <v>2</v>
      </c>
      <c r="G94" s="23">
        <v>21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</row>
    <row r="95" spans="1:15" x14ac:dyDescent="0.25">
      <c r="A95" s="12" t="s">
        <v>94</v>
      </c>
      <c r="B95" s="19">
        <v>85</v>
      </c>
      <c r="C95" s="19">
        <v>163</v>
      </c>
      <c r="D95" s="19">
        <v>71</v>
      </c>
      <c r="E95" s="19">
        <v>113</v>
      </c>
      <c r="F95" s="23">
        <v>0</v>
      </c>
      <c r="G95" s="23">
        <v>1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</row>
    <row r="96" spans="1:15" x14ac:dyDescent="0.25">
      <c r="A96" s="12" t="s">
        <v>95</v>
      </c>
      <c r="B96" s="19">
        <v>94</v>
      </c>
      <c r="C96" s="19">
        <v>130</v>
      </c>
      <c r="D96" s="19">
        <v>26</v>
      </c>
      <c r="E96" s="19">
        <v>35</v>
      </c>
      <c r="F96" s="19">
        <v>4</v>
      </c>
      <c r="G96" s="19">
        <v>36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</row>
    <row r="97" spans="1:15" x14ac:dyDescent="0.25">
      <c r="A97" s="12" t="s">
        <v>96</v>
      </c>
      <c r="B97" s="19">
        <v>43</v>
      </c>
      <c r="C97" s="19">
        <v>94</v>
      </c>
      <c r="D97" s="19">
        <v>21</v>
      </c>
      <c r="E97" s="19">
        <v>37</v>
      </c>
      <c r="F97" s="19">
        <v>2</v>
      </c>
      <c r="G97" s="19">
        <v>5</v>
      </c>
      <c r="H97" s="19">
        <v>0</v>
      </c>
      <c r="I97" s="19">
        <v>0</v>
      </c>
      <c r="J97" s="19">
        <v>0</v>
      </c>
      <c r="K97" s="19">
        <v>1</v>
      </c>
      <c r="L97" s="19">
        <v>0</v>
      </c>
      <c r="M97" s="19">
        <v>0</v>
      </c>
      <c r="N97" s="19">
        <v>0</v>
      </c>
      <c r="O97" s="19">
        <v>0</v>
      </c>
    </row>
    <row r="98" spans="1:15" x14ac:dyDescent="0.25">
      <c r="A98" s="12" t="s">
        <v>97</v>
      </c>
      <c r="B98" s="19">
        <v>29</v>
      </c>
      <c r="C98" s="19">
        <v>40</v>
      </c>
      <c r="D98" s="19">
        <v>23</v>
      </c>
      <c r="E98" s="19">
        <v>56</v>
      </c>
      <c r="F98" s="19">
        <v>0</v>
      </c>
      <c r="G98" s="19">
        <v>1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</row>
    <row r="99" spans="1:15" x14ac:dyDescent="0.25">
      <c r="A99" s="12" t="s">
        <v>98</v>
      </c>
      <c r="B99" s="19">
        <v>533</v>
      </c>
      <c r="C99" s="19">
        <v>1141</v>
      </c>
      <c r="D99" s="19">
        <v>213</v>
      </c>
      <c r="E99" s="19">
        <v>460</v>
      </c>
      <c r="F99" s="23">
        <v>34</v>
      </c>
      <c r="G99" s="23">
        <v>59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5</v>
      </c>
      <c r="N99" s="19">
        <v>0</v>
      </c>
      <c r="O99" s="19">
        <v>0</v>
      </c>
    </row>
    <row r="100" spans="1:15" x14ac:dyDescent="0.25">
      <c r="A100" s="12" t="s">
        <v>99</v>
      </c>
      <c r="B100" s="19">
        <v>224</v>
      </c>
      <c r="C100" s="19">
        <v>403</v>
      </c>
      <c r="D100" s="19">
        <v>106</v>
      </c>
      <c r="E100" s="19">
        <v>167</v>
      </c>
      <c r="F100" s="23">
        <v>20</v>
      </c>
      <c r="G100" s="23">
        <v>40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</row>
    <row r="101" spans="1:15" x14ac:dyDescent="0.25">
      <c r="A101" s="12" t="s">
        <v>100</v>
      </c>
      <c r="B101" s="19">
        <v>280</v>
      </c>
      <c r="C101" s="19">
        <v>552</v>
      </c>
      <c r="D101" s="19">
        <v>95</v>
      </c>
      <c r="E101" s="19">
        <v>128</v>
      </c>
      <c r="F101" s="23">
        <v>28</v>
      </c>
      <c r="G101" s="23">
        <v>56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2</v>
      </c>
      <c r="N101" s="19">
        <v>0</v>
      </c>
      <c r="O101" s="19">
        <v>0</v>
      </c>
    </row>
    <row r="102" spans="1:15" x14ac:dyDescent="0.25">
      <c r="A102" s="12" t="s">
        <v>101</v>
      </c>
      <c r="B102" s="19">
        <v>220</v>
      </c>
      <c r="C102" s="19">
        <v>747</v>
      </c>
      <c r="D102" s="19">
        <v>90</v>
      </c>
      <c r="E102" s="19">
        <v>191</v>
      </c>
      <c r="F102" s="23">
        <v>15</v>
      </c>
      <c r="G102" s="23">
        <v>41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3</v>
      </c>
      <c r="N102" s="19">
        <v>0</v>
      </c>
      <c r="O102" s="19">
        <v>0</v>
      </c>
    </row>
    <row r="103" spans="1:15" x14ac:dyDescent="0.25">
      <c r="A103" s="13" t="s">
        <v>47</v>
      </c>
      <c r="B103" s="24">
        <v>120</v>
      </c>
      <c r="C103" s="24">
        <v>288</v>
      </c>
      <c r="D103" s="24">
        <v>39</v>
      </c>
      <c r="E103" s="24">
        <v>55</v>
      </c>
      <c r="F103" s="25">
        <v>4</v>
      </c>
      <c r="G103" s="25">
        <v>9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1</v>
      </c>
      <c r="N103" s="24">
        <v>0</v>
      </c>
      <c r="O103" s="24">
        <v>0</v>
      </c>
    </row>
    <row r="104" spans="1:15" x14ac:dyDescent="0.25">
      <c r="A104" s="11"/>
      <c r="B104" s="16"/>
      <c r="C104" s="16"/>
      <c r="D104" s="16"/>
      <c r="E104" s="16"/>
      <c r="F104" s="16"/>
      <c r="G104" s="16"/>
      <c r="H104" s="16"/>
      <c r="I104" s="16"/>
      <c r="J104" s="3"/>
      <c r="K104" s="3"/>
      <c r="L104" s="16"/>
      <c r="M104" s="16"/>
      <c r="N104" s="16"/>
      <c r="O104" s="16"/>
    </row>
    <row r="105" spans="1:15" x14ac:dyDescent="0.25">
      <c r="A105" s="11" t="s">
        <v>102</v>
      </c>
      <c r="B105" s="10">
        <f t="shared" ref="B105:O105" si="10">SUM(B106:B109)</f>
        <v>2139</v>
      </c>
      <c r="C105" s="10">
        <f t="shared" si="10"/>
        <v>3854</v>
      </c>
      <c r="D105" s="10">
        <f t="shared" si="10"/>
        <v>18</v>
      </c>
      <c r="E105" s="10">
        <f t="shared" si="10"/>
        <v>50</v>
      </c>
      <c r="F105" s="15">
        <f t="shared" si="10"/>
        <v>284</v>
      </c>
      <c r="G105" s="15">
        <f t="shared" si="10"/>
        <v>638</v>
      </c>
      <c r="H105" s="10">
        <f t="shared" si="10"/>
        <v>0</v>
      </c>
      <c r="I105" s="10">
        <f t="shared" si="10"/>
        <v>0</v>
      </c>
      <c r="J105" s="10">
        <f t="shared" si="10"/>
        <v>0</v>
      </c>
      <c r="K105" s="10">
        <f t="shared" si="10"/>
        <v>0</v>
      </c>
      <c r="L105" s="10">
        <f t="shared" si="10"/>
        <v>1</v>
      </c>
      <c r="M105" s="10">
        <f t="shared" si="10"/>
        <v>7</v>
      </c>
      <c r="N105" s="10">
        <f t="shared" si="10"/>
        <v>0</v>
      </c>
      <c r="O105" s="10">
        <f t="shared" si="10"/>
        <v>5</v>
      </c>
    </row>
    <row r="106" spans="1:15" x14ac:dyDescent="0.25">
      <c r="A106" s="12" t="s">
        <v>103</v>
      </c>
      <c r="B106" s="19">
        <v>1539</v>
      </c>
      <c r="C106" s="19">
        <v>2710</v>
      </c>
      <c r="D106" s="19">
        <v>0</v>
      </c>
      <c r="E106" s="19">
        <v>0</v>
      </c>
      <c r="F106" s="23">
        <v>193</v>
      </c>
      <c r="G106" s="23">
        <v>426</v>
      </c>
      <c r="H106" s="19">
        <v>0</v>
      </c>
      <c r="I106" s="19">
        <v>0</v>
      </c>
      <c r="J106" s="19">
        <v>0</v>
      </c>
      <c r="K106" s="19">
        <v>0</v>
      </c>
      <c r="L106" s="19">
        <v>1</v>
      </c>
      <c r="M106" s="19">
        <v>5</v>
      </c>
      <c r="N106" s="19">
        <v>0</v>
      </c>
      <c r="O106" s="19">
        <v>1</v>
      </c>
    </row>
    <row r="107" spans="1:15" x14ac:dyDescent="0.25">
      <c r="A107" s="12" t="s">
        <v>104</v>
      </c>
      <c r="B107" s="19">
        <v>141</v>
      </c>
      <c r="C107" s="19">
        <v>328</v>
      </c>
      <c r="D107" s="19">
        <v>0</v>
      </c>
      <c r="E107" s="19">
        <v>0</v>
      </c>
      <c r="F107" s="23">
        <v>24</v>
      </c>
      <c r="G107" s="23">
        <v>109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2</v>
      </c>
      <c r="N107" s="19">
        <v>0</v>
      </c>
      <c r="O107" s="19">
        <v>3</v>
      </c>
    </row>
    <row r="108" spans="1:15" x14ac:dyDescent="0.25">
      <c r="A108" s="12" t="s">
        <v>105</v>
      </c>
      <c r="B108" s="19">
        <v>392</v>
      </c>
      <c r="C108" s="19">
        <v>681</v>
      </c>
      <c r="D108" s="19">
        <v>9</v>
      </c>
      <c r="E108" s="19">
        <v>28</v>
      </c>
      <c r="F108" s="23">
        <v>23</v>
      </c>
      <c r="G108" s="23">
        <v>62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1</v>
      </c>
    </row>
    <row r="109" spans="1:15" x14ac:dyDescent="0.25">
      <c r="A109" s="13" t="s">
        <v>106</v>
      </c>
      <c r="B109" s="24">
        <v>67</v>
      </c>
      <c r="C109" s="24">
        <v>135</v>
      </c>
      <c r="D109" s="24">
        <v>9</v>
      </c>
      <c r="E109" s="24">
        <v>22</v>
      </c>
      <c r="F109" s="25">
        <v>44</v>
      </c>
      <c r="G109" s="25">
        <v>41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11"/>
      <c r="B110" s="16"/>
      <c r="C110" s="16"/>
      <c r="D110" s="16"/>
      <c r="E110" s="16"/>
      <c r="F110" s="16"/>
      <c r="G110" s="16"/>
      <c r="H110" s="16"/>
      <c r="I110" s="16"/>
      <c r="J110" s="3"/>
      <c r="K110" s="3"/>
      <c r="L110" s="16"/>
      <c r="M110" s="16"/>
      <c r="N110" s="16"/>
      <c r="O110" s="16"/>
    </row>
    <row r="111" spans="1:15" x14ac:dyDescent="0.25">
      <c r="A111" s="11" t="s">
        <v>107</v>
      </c>
      <c r="B111" s="10">
        <f t="shared" ref="B111:O111" si="11">SUM(B112:B120)</f>
        <v>2304</v>
      </c>
      <c r="C111" s="10">
        <f t="shared" si="11"/>
        <v>5441</v>
      </c>
      <c r="D111" s="10">
        <f t="shared" si="11"/>
        <v>1941</v>
      </c>
      <c r="E111" s="10">
        <f t="shared" si="11"/>
        <v>3565</v>
      </c>
      <c r="F111" s="15">
        <f t="shared" si="11"/>
        <v>411</v>
      </c>
      <c r="G111" s="15">
        <f t="shared" si="11"/>
        <v>908</v>
      </c>
      <c r="H111" s="10">
        <f t="shared" si="11"/>
        <v>0</v>
      </c>
      <c r="I111" s="10">
        <f t="shared" si="11"/>
        <v>0</v>
      </c>
      <c r="J111" s="10">
        <f t="shared" si="11"/>
        <v>0</v>
      </c>
      <c r="K111" s="10">
        <f t="shared" si="11"/>
        <v>0</v>
      </c>
      <c r="L111" s="10">
        <f t="shared" si="11"/>
        <v>4</v>
      </c>
      <c r="M111" s="10">
        <f t="shared" si="11"/>
        <v>20</v>
      </c>
      <c r="N111" s="10">
        <f t="shared" si="11"/>
        <v>0</v>
      </c>
      <c r="O111" s="10">
        <f t="shared" si="11"/>
        <v>2</v>
      </c>
    </row>
    <row r="112" spans="1:15" x14ac:dyDescent="0.25">
      <c r="A112" s="12" t="s">
        <v>108</v>
      </c>
      <c r="B112" s="19">
        <v>378</v>
      </c>
      <c r="C112" s="19">
        <v>1247</v>
      </c>
      <c r="D112" s="19">
        <v>354</v>
      </c>
      <c r="E112" s="19">
        <v>1011</v>
      </c>
      <c r="F112" s="19">
        <v>68</v>
      </c>
      <c r="G112" s="19">
        <v>169</v>
      </c>
      <c r="H112" s="19">
        <v>0</v>
      </c>
      <c r="I112" s="19">
        <v>0</v>
      </c>
      <c r="J112" s="19">
        <v>0</v>
      </c>
      <c r="K112" s="19">
        <v>0</v>
      </c>
      <c r="L112" s="19">
        <v>2</v>
      </c>
      <c r="M112" s="19">
        <v>13</v>
      </c>
      <c r="N112" s="19">
        <v>0</v>
      </c>
      <c r="O112" s="19">
        <v>2</v>
      </c>
    </row>
    <row r="113" spans="1:15" x14ac:dyDescent="0.25">
      <c r="A113" s="12" t="s">
        <v>109</v>
      </c>
      <c r="B113" s="19">
        <v>259</v>
      </c>
      <c r="C113" s="19">
        <v>835</v>
      </c>
      <c r="D113" s="19">
        <v>263</v>
      </c>
      <c r="E113" s="19">
        <v>577</v>
      </c>
      <c r="F113" s="19">
        <v>50</v>
      </c>
      <c r="G113" s="19">
        <v>132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</row>
    <row r="114" spans="1:15" x14ac:dyDescent="0.25">
      <c r="A114" s="12" t="s">
        <v>110</v>
      </c>
      <c r="B114" s="19">
        <v>66</v>
      </c>
      <c r="C114" s="19">
        <v>101</v>
      </c>
      <c r="D114" s="19">
        <v>221</v>
      </c>
      <c r="E114" s="19">
        <v>252</v>
      </c>
      <c r="F114" s="23">
        <v>25</v>
      </c>
      <c r="G114" s="23">
        <v>59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</row>
    <row r="115" spans="1:15" x14ac:dyDescent="0.25">
      <c r="A115" s="12" t="s">
        <v>111</v>
      </c>
      <c r="B115" s="19">
        <v>614</v>
      </c>
      <c r="C115" s="19">
        <v>1215</v>
      </c>
      <c r="D115" s="19">
        <v>286</v>
      </c>
      <c r="E115" s="19">
        <v>481</v>
      </c>
      <c r="F115" s="23">
        <v>14</v>
      </c>
      <c r="G115" s="23">
        <v>32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5</v>
      </c>
      <c r="N115" s="19">
        <v>0</v>
      </c>
      <c r="O115" s="19">
        <v>0</v>
      </c>
    </row>
    <row r="116" spans="1:15" x14ac:dyDescent="0.25">
      <c r="A116" s="12" t="s">
        <v>112</v>
      </c>
      <c r="B116" s="19">
        <v>143</v>
      </c>
      <c r="C116" s="19">
        <v>455</v>
      </c>
      <c r="D116" s="19">
        <v>98</v>
      </c>
      <c r="E116" s="19">
        <v>194</v>
      </c>
      <c r="F116" s="23">
        <v>26</v>
      </c>
      <c r="G116" s="23">
        <v>91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1</v>
      </c>
      <c r="N116" s="19">
        <v>0</v>
      </c>
      <c r="O116" s="19">
        <v>0</v>
      </c>
    </row>
    <row r="117" spans="1:15" x14ac:dyDescent="0.25">
      <c r="A117" s="12" t="s">
        <v>113</v>
      </c>
      <c r="B117" s="19">
        <v>333</v>
      </c>
      <c r="C117" s="19">
        <v>729</v>
      </c>
      <c r="D117" s="19">
        <v>178</v>
      </c>
      <c r="E117" s="19">
        <v>264</v>
      </c>
      <c r="F117" s="23">
        <v>90</v>
      </c>
      <c r="G117" s="23">
        <v>149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</row>
    <row r="118" spans="1:15" x14ac:dyDescent="0.25">
      <c r="A118" s="12" t="s">
        <v>114</v>
      </c>
      <c r="B118" s="19">
        <v>26</v>
      </c>
      <c r="C118" s="19">
        <v>20</v>
      </c>
      <c r="D118" s="19">
        <v>150</v>
      </c>
      <c r="E118" s="19">
        <v>217</v>
      </c>
      <c r="F118" s="23">
        <v>8</v>
      </c>
      <c r="G118" s="23">
        <v>6</v>
      </c>
      <c r="H118" s="19">
        <v>0</v>
      </c>
      <c r="I118" s="19">
        <v>0</v>
      </c>
      <c r="J118" s="19">
        <v>0</v>
      </c>
      <c r="K118" s="19">
        <v>0</v>
      </c>
      <c r="L118" s="19">
        <v>1</v>
      </c>
      <c r="M118" s="19">
        <v>1</v>
      </c>
      <c r="N118" s="19">
        <v>0</v>
      </c>
      <c r="O118" s="19">
        <v>0</v>
      </c>
    </row>
    <row r="119" spans="1:15" x14ac:dyDescent="0.25">
      <c r="A119" s="12" t="s">
        <v>115</v>
      </c>
      <c r="B119" s="19">
        <v>178</v>
      </c>
      <c r="C119" s="19">
        <v>346</v>
      </c>
      <c r="D119" s="19">
        <v>236</v>
      </c>
      <c r="E119" s="19">
        <v>361</v>
      </c>
      <c r="F119" s="19">
        <v>55</v>
      </c>
      <c r="G119" s="19">
        <v>157</v>
      </c>
      <c r="H119" s="19">
        <v>0</v>
      </c>
      <c r="I119" s="19">
        <v>0</v>
      </c>
      <c r="J119" s="19">
        <v>0</v>
      </c>
      <c r="K119" s="19">
        <v>0</v>
      </c>
      <c r="L119" s="19">
        <v>1</v>
      </c>
      <c r="M119" s="19">
        <v>0</v>
      </c>
      <c r="N119" s="19">
        <v>0</v>
      </c>
      <c r="O119" s="19">
        <v>0</v>
      </c>
    </row>
    <row r="120" spans="1:15" x14ac:dyDescent="0.25">
      <c r="A120" s="13" t="s">
        <v>116</v>
      </c>
      <c r="B120" s="24">
        <v>307</v>
      </c>
      <c r="C120" s="24">
        <v>493</v>
      </c>
      <c r="D120" s="24">
        <v>155</v>
      </c>
      <c r="E120" s="24">
        <v>208</v>
      </c>
      <c r="F120" s="24">
        <v>75</v>
      </c>
      <c r="G120" s="24">
        <v>113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11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x14ac:dyDescent="0.25">
      <c r="A122" s="11" t="s">
        <v>117</v>
      </c>
      <c r="B122" s="10">
        <f t="shared" ref="B122:I122" si="12">SUM(B123:B130)</f>
        <v>770</v>
      </c>
      <c r="C122" s="10">
        <f t="shared" si="12"/>
        <v>1816</v>
      </c>
      <c r="D122" s="10">
        <f t="shared" si="12"/>
        <v>955</v>
      </c>
      <c r="E122" s="10">
        <f t="shared" si="12"/>
        <v>1140</v>
      </c>
      <c r="F122" s="10">
        <f t="shared" si="12"/>
        <v>222</v>
      </c>
      <c r="G122" s="10">
        <f t="shared" si="12"/>
        <v>506</v>
      </c>
      <c r="H122" s="10">
        <f t="shared" si="12"/>
        <v>0</v>
      </c>
      <c r="I122" s="10">
        <f t="shared" si="12"/>
        <v>0</v>
      </c>
      <c r="J122" s="10">
        <v>0</v>
      </c>
      <c r="K122" s="10">
        <v>0</v>
      </c>
      <c r="L122" s="10">
        <f t="shared" ref="L122:O122" si="13">SUM(L123:L130)</f>
        <v>0</v>
      </c>
      <c r="M122" s="10">
        <f t="shared" si="13"/>
        <v>6</v>
      </c>
      <c r="N122" s="10">
        <f t="shared" si="13"/>
        <v>1</v>
      </c>
      <c r="O122" s="10">
        <f t="shared" si="13"/>
        <v>1</v>
      </c>
    </row>
    <row r="123" spans="1:15" x14ac:dyDescent="0.25">
      <c r="A123" s="12" t="s">
        <v>118</v>
      </c>
      <c r="B123" s="19">
        <v>143</v>
      </c>
      <c r="C123" s="19">
        <v>311</v>
      </c>
      <c r="D123" s="19">
        <v>128</v>
      </c>
      <c r="E123" s="19">
        <v>185</v>
      </c>
      <c r="F123" s="23">
        <v>28</v>
      </c>
      <c r="G123" s="23">
        <v>88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1</v>
      </c>
      <c r="N123" s="19">
        <v>1</v>
      </c>
      <c r="O123" s="19">
        <v>1</v>
      </c>
    </row>
    <row r="124" spans="1:15" x14ac:dyDescent="0.25">
      <c r="A124" s="12" t="s">
        <v>119</v>
      </c>
      <c r="B124" s="19">
        <v>78</v>
      </c>
      <c r="C124" s="19">
        <v>198</v>
      </c>
      <c r="D124" s="19">
        <v>65</v>
      </c>
      <c r="E124" s="19">
        <v>113</v>
      </c>
      <c r="F124" s="23">
        <v>18</v>
      </c>
      <c r="G124" s="23">
        <v>28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</row>
    <row r="125" spans="1:15" x14ac:dyDescent="0.25">
      <c r="A125" s="12" t="s">
        <v>120</v>
      </c>
      <c r="B125" s="19">
        <v>23</v>
      </c>
      <c r="C125" s="19">
        <v>58</v>
      </c>
      <c r="D125" s="19">
        <v>267</v>
      </c>
      <c r="E125" s="19">
        <v>334</v>
      </c>
      <c r="F125" s="23">
        <v>25</v>
      </c>
      <c r="G125" s="23">
        <v>50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</row>
    <row r="126" spans="1:15" x14ac:dyDescent="0.25">
      <c r="A126" s="12" t="s">
        <v>121</v>
      </c>
      <c r="B126" s="19">
        <v>194</v>
      </c>
      <c r="C126" s="19">
        <v>478</v>
      </c>
      <c r="D126" s="19">
        <v>93</v>
      </c>
      <c r="E126" s="19">
        <v>104</v>
      </c>
      <c r="F126" s="23">
        <v>49</v>
      </c>
      <c r="G126" s="23">
        <v>94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4</v>
      </c>
      <c r="N126" s="19">
        <v>0</v>
      </c>
      <c r="O126" s="19">
        <v>0</v>
      </c>
    </row>
    <row r="127" spans="1:15" x14ac:dyDescent="0.25">
      <c r="A127" s="12" t="s">
        <v>95</v>
      </c>
      <c r="B127" s="19">
        <v>59</v>
      </c>
      <c r="C127" s="19">
        <v>163</v>
      </c>
      <c r="D127" s="19">
        <v>21</v>
      </c>
      <c r="E127" s="19">
        <v>23</v>
      </c>
      <c r="F127" s="23">
        <v>6</v>
      </c>
      <c r="G127" s="23">
        <v>19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</row>
    <row r="128" spans="1:15" x14ac:dyDescent="0.25">
      <c r="A128" s="17" t="s">
        <v>122</v>
      </c>
      <c r="B128" s="19">
        <v>15</v>
      </c>
      <c r="C128" s="19">
        <v>30</v>
      </c>
      <c r="D128" s="19">
        <v>91</v>
      </c>
      <c r="E128" s="19">
        <v>110</v>
      </c>
      <c r="F128" s="23">
        <v>45</v>
      </c>
      <c r="G128" s="23">
        <v>76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</row>
    <row r="129" spans="1:15" x14ac:dyDescent="0.25">
      <c r="A129" s="12" t="s">
        <v>123</v>
      </c>
      <c r="B129" s="19">
        <v>192</v>
      </c>
      <c r="C129" s="19">
        <v>419</v>
      </c>
      <c r="D129" s="19">
        <v>128</v>
      </c>
      <c r="E129" s="23">
        <v>133</v>
      </c>
      <c r="F129" s="23">
        <v>42</v>
      </c>
      <c r="G129" s="23">
        <v>65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</row>
    <row r="130" spans="1:15" x14ac:dyDescent="0.25">
      <c r="A130" s="13" t="s">
        <v>124</v>
      </c>
      <c r="B130" s="24">
        <v>66</v>
      </c>
      <c r="C130" s="24">
        <v>159</v>
      </c>
      <c r="D130" s="24">
        <v>162</v>
      </c>
      <c r="E130" s="24">
        <v>138</v>
      </c>
      <c r="F130" s="24">
        <v>9</v>
      </c>
      <c r="G130" s="24">
        <v>86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1</v>
      </c>
      <c r="N130" s="24">
        <v>0</v>
      </c>
      <c r="O130" s="24">
        <v>0</v>
      </c>
    </row>
    <row r="131" spans="1:15" x14ac:dyDescent="0.25">
      <c r="A131" s="11"/>
      <c r="B131" s="16"/>
      <c r="C131" s="16"/>
      <c r="D131" s="16"/>
      <c r="E131" s="16"/>
      <c r="F131" s="16"/>
      <c r="G131" s="16"/>
      <c r="H131" s="16"/>
      <c r="I131" s="16"/>
      <c r="J131" s="3"/>
      <c r="K131" s="3"/>
      <c r="L131" s="16"/>
      <c r="M131" s="16"/>
      <c r="N131" s="16"/>
      <c r="O131" s="16"/>
    </row>
    <row r="132" spans="1:15" x14ac:dyDescent="0.25">
      <c r="A132" s="11" t="s">
        <v>125</v>
      </c>
      <c r="B132" s="10">
        <f t="shared" ref="B132:O132" si="14">SUM(B133:B142)</f>
        <v>1733</v>
      </c>
      <c r="C132" s="10">
        <f t="shared" si="14"/>
        <v>3529</v>
      </c>
      <c r="D132" s="10">
        <f t="shared" si="14"/>
        <v>787</v>
      </c>
      <c r="E132" s="10">
        <f t="shared" si="14"/>
        <v>1044</v>
      </c>
      <c r="F132" s="15">
        <f t="shared" si="14"/>
        <v>333</v>
      </c>
      <c r="G132" s="15">
        <f t="shared" si="14"/>
        <v>799</v>
      </c>
      <c r="H132" s="10">
        <f t="shared" si="14"/>
        <v>0</v>
      </c>
      <c r="I132" s="10">
        <f t="shared" si="14"/>
        <v>0</v>
      </c>
      <c r="J132" s="10">
        <f t="shared" si="14"/>
        <v>0</v>
      </c>
      <c r="K132" s="10">
        <f t="shared" si="14"/>
        <v>0</v>
      </c>
      <c r="L132" s="10">
        <f t="shared" si="14"/>
        <v>1</v>
      </c>
      <c r="M132" s="10">
        <f t="shared" si="14"/>
        <v>1</v>
      </c>
      <c r="N132" s="10">
        <f t="shared" si="14"/>
        <v>0</v>
      </c>
      <c r="O132" s="10">
        <f t="shared" si="14"/>
        <v>0</v>
      </c>
    </row>
    <row r="133" spans="1:15" x14ac:dyDescent="0.25">
      <c r="A133" s="12" t="s">
        <v>80</v>
      </c>
      <c r="B133" s="19">
        <v>29</v>
      </c>
      <c r="C133" s="19">
        <v>65</v>
      </c>
      <c r="D133" s="19">
        <v>65</v>
      </c>
      <c r="E133" s="19">
        <v>71</v>
      </c>
      <c r="F133" s="23">
        <v>16</v>
      </c>
      <c r="G133" s="23">
        <v>28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</row>
    <row r="134" spans="1:15" x14ac:dyDescent="0.25">
      <c r="A134" s="12" t="s">
        <v>126</v>
      </c>
      <c r="B134" s="19">
        <v>7</v>
      </c>
      <c r="C134" s="19">
        <v>38</v>
      </c>
      <c r="D134" s="19">
        <v>21</v>
      </c>
      <c r="E134" s="19">
        <v>54</v>
      </c>
      <c r="F134" s="23">
        <v>8</v>
      </c>
      <c r="G134" s="23">
        <v>10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</row>
    <row r="135" spans="1:15" x14ac:dyDescent="0.25">
      <c r="A135" s="12" t="s">
        <v>127</v>
      </c>
      <c r="B135" s="19">
        <v>154</v>
      </c>
      <c r="C135" s="19">
        <v>399</v>
      </c>
      <c r="D135" s="19">
        <v>32</v>
      </c>
      <c r="E135" s="19">
        <v>29</v>
      </c>
      <c r="F135" s="23">
        <v>14</v>
      </c>
      <c r="G135" s="23">
        <v>216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</row>
    <row r="136" spans="1:15" x14ac:dyDescent="0.25">
      <c r="A136" s="12" t="s">
        <v>128</v>
      </c>
      <c r="B136" s="19">
        <v>589</v>
      </c>
      <c r="C136" s="19">
        <v>1201</v>
      </c>
      <c r="D136" s="19">
        <v>242</v>
      </c>
      <c r="E136" s="19">
        <v>310</v>
      </c>
      <c r="F136" s="23">
        <v>93</v>
      </c>
      <c r="G136" s="23">
        <v>128</v>
      </c>
      <c r="H136" s="19">
        <v>0</v>
      </c>
      <c r="I136" s="19">
        <v>0</v>
      </c>
      <c r="J136" s="19">
        <v>0</v>
      </c>
      <c r="K136" s="19">
        <v>0</v>
      </c>
      <c r="L136" s="19">
        <v>1</v>
      </c>
      <c r="M136" s="19">
        <v>0</v>
      </c>
      <c r="N136" s="19">
        <v>0</v>
      </c>
      <c r="O136" s="19">
        <v>0</v>
      </c>
    </row>
    <row r="137" spans="1:15" x14ac:dyDescent="0.25">
      <c r="A137" s="12" t="s">
        <v>129</v>
      </c>
      <c r="B137" s="19">
        <v>50</v>
      </c>
      <c r="C137" s="19">
        <v>54</v>
      </c>
      <c r="D137" s="19">
        <v>25</v>
      </c>
      <c r="E137" s="19">
        <v>33</v>
      </c>
      <c r="F137" s="23">
        <v>9</v>
      </c>
      <c r="G137" s="23">
        <v>16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</row>
    <row r="138" spans="1:15" x14ac:dyDescent="0.25">
      <c r="A138" s="17" t="s">
        <v>130</v>
      </c>
      <c r="B138" s="19">
        <v>87</v>
      </c>
      <c r="C138" s="19">
        <v>162</v>
      </c>
      <c r="D138" s="19">
        <v>50</v>
      </c>
      <c r="E138" s="19">
        <v>114</v>
      </c>
      <c r="F138" s="23">
        <v>10</v>
      </c>
      <c r="G138" s="23">
        <v>18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1</v>
      </c>
      <c r="N138" s="19">
        <v>0</v>
      </c>
      <c r="O138" s="19">
        <v>0</v>
      </c>
    </row>
    <row r="139" spans="1:15" x14ac:dyDescent="0.25">
      <c r="A139" s="17" t="s">
        <v>131</v>
      </c>
      <c r="B139" s="19">
        <v>94</v>
      </c>
      <c r="C139" s="19">
        <v>383</v>
      </c>
      <c r="D139" s="19">
        <v>6</v>
      </c>
      <c r="E139" s="19">
        <v>30</v>
      </c>
      <c r="F139" s="23">
        <v>5</v>
      </c>
      <c r="G139" s="23">
        <v>13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</row>
    <row r="140" spans="1:15" x14ac:dyDescent="0.25">
      <c r="A140" s="12" t="s">
        <v>20</v>
      </c>
      <c r="B140" s="19">
        <v>34</v>
      </c>
      <c r="C140" s="19">
        <v>46</v>
      </c>
      <c r="D140" s="19">
        <v>3</v>
      </c>
      <c r="E140" s="19">
        <v>15</v>
      </c>
      <c r="F140" s="23">
        <v>1</v>
      </c>
      <c r="G140" s="23">
        <v>7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</row>
    <row r="141" spans="1:15" x14ac:dyDescent="0.25">
      <c r="A141" s="12" t="s">
        <v>132</v>
      </c>
      <c r="B141" s="19">
        <v>30</v>
      </c>
      <c r="C141" s="19">
        <v>91</v>
      </c>
      <c r="D141" s="19">
        <v>82</v>
      </c>
      <c r="E141" s="19">
        <v>132</v>
      </c>
      <c r="F141" s="19">
        <v>57</v>
      </c>
      <c r="G141" s="19">
        <v>127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</row>
    <row r="142" spans="1:15" x14ac:dyDescent="0.25">
      <c r="A142" s="13" t="s">
        <v>133</v>
      </c>
      <c r="B142" s="24">
        <v>659</v>
      </c>
      <c r="C142" s="24">
        <v>1090</v>
      </c>
      <c r="D142" s="24">
        <v>261</v>
      </c>
      <c r="E142" s="24">
        <v>256</v>
      </c>
      <c r="F142" s="24">
        <v>120</v>
      </c>
      <c r="G142" s="24">
        <v>236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</row>
    <row r="143" spans="1:15" x14ac:dyDescent="0.25">
      <c r="A143" s="11"/>
      <c r="B143" s="16"/>
      <c r="C143" s="16"/>
      <c r="D143" s="16"/>
      <c r="E143" s="16"/>
      <c r="F143" s="16"/>
      <c r="G143" s="16"/>
      <c r="H143" s="16"/>
      <c r="I143" s="16"/>
      <c r="J143" s="3"/>
      <c r="K143" s="3"/>
      <c r="L143" s="16"/>
      <c r="M143" s="16"/>
      <c r="N143" s="16"/>
      <c r="O143" s="16"/>
    </row>
    <row r="144" spans="1:15" x14ac:dyDescent="0.25">
      <c r="A144" s="11" t="s">
        <v>134</v>
      </c>
      <c r="B144" s="10">
        <f t="shared" ref="B144:K144" si="15">SUM(B145:B149)</f>
        <v>68</v>
      </c>
      <c r="C144" s="10">
        <f t="shared" si="15"/>
        <v>155</v>
      </c>
      <c r="D144" s="10">
        <f t="shared" si="15"/>
        <v>64</v>
      </c>
      <c r="E144" s="10">
        <f t="shared" si="15"/>
        <v>148</v>
      </c>
      <c r="F144" s="15">
        <f t="shared" si="15"/>
        <v>14</v>
      </c>
      <c r="G144" s="15">
        <f t="shared" si="15"/>
        <v>25</v>
      </c>
      <c r="H144" s="10">
        <f t="shared" si="15"/>
        <v>0</v>
      </c>
      <c r="I144" s="10">
        <f t="shared" si="15"/>
        <v>0</v>
      </c>
      <c r="J144" s="10">
        <f t="shared" si="15"/>
        <v>0</v>
      </c>
      <c r="K144" s="10">
        <f t="shared" si="15"/>
        <v>0</v>
      </c>
      <c r="L144" s="10">
        <f>SUM(L145:L149)</f>
        <v>0</v>
      </c>
      <c r="M144" s="10">
        <f>SUM(M145:M149)</f>
        <v>4</v>
      </c>
      <c r="N144" s="10">
        <f>SUM(N145:N149)</f>
        <v>0</v>
      </c>
      <c r="O144" s="10">
        <f>SUM(O145:O149)</f>
        <v>0</v>
      </c>
    </row>
    <row r="145" spans="1:15" x14ac:dyDescent="0.25">
      <c r="A145" s="12" t="s">
        <v>135</v>
      </c>
      <c r="B145" s="19">
        <v>11</v>
      </c>
      <c r="C145" s="19">
        <v>19</v>
      </c>
      <c r="D145" s="19">
        <v>26</v>
      </c>
      <c r="E145" s="19">
        <v>29</v>
      </c>
      <c r="F145" s="23">
        <v>4</v>
      </c>
      <c r="G145" s="23">
        <v>4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</row>
    <row r="146" spans="1:15" x14ac:dyDescent="0.25">
      <c r="A146" s="12" t="s">
        <v>136</v>
      </c>
      <c r="B146" s="19">
        <v>0</v>
      </c>
      <c r="C146" s="19">
        <v>0</v>
      </c>
      <c r="D146" s="19">
        <v>0</v>
      </c>
      <c r="E146" s="19">
        <v>0</v>
      </c>
      <c r="F146" s="23">
        <v>0</v>
      </c>
      <c r="G146" s="23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</row>
    <row r="147" spans="1:15" x14ac:dyDescent="0.25">
      <c r="A147" s="12" t="s">
        <v>137</v>
      </c>
      <c r="B147" s="19">
        <v>47</v>
      </c>
      <c r="C147" s="19">
        <v>77</v>
      </c>
      <c r="D147" s="19">
        <v>34</v>
      </c>
      <c r="E147" s="19">
        <v>107</v>
      </c>
      <c r="F147" s="23">
        <v>9</v>
      </c>
      <c r="G147" s="23">
        <v>10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4</v>
      </c>
      <c r="N147" s="19">
        <v>0</v>
      </c>
      <c r="O147" s="19">
        <v>0</v>
      </c>
    </row>
    <row r="148" spans="1:15" x14ac:dyDescent="0.25">
      <c r="A148" s="12" t="s">
        <v>138</v>
      </c>
      <c r="B148" s="19">
        <v>8</v>
      </c>
      <c r="C148" s="19">
        <v>48</v>
      </c>
      <c r="D148" s="19">
        <v>3</v>
      </c>
      <c r="E148" s="19">
        <v>4</v>
      </c>
      <c r="F148" s="23">
        <v>1</v>
      </c>
      <c r="G148" s="23">
        <v>9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</row>
    <row r="149" spans="1:15" x14ac:dyDescent="0.25">
      <c r="A149" s="13" t="s">
        <v>139</v>
      </c>
      <c r="B149" s="24">
        <v>2</v>
      </c>
      <c r="C149" s="24">
        <v>11</v>
      </c>
      <c r="D149" s="24">
        <v>1</v>
      </c>
      <c r="E149" s="24">
        <v>8</v>
      </c>
      <c r="F149" s="25">
        <v>0</v>
      </c>
      <c r="G149" s="25">
        <v>2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11"/>
      <c r="B150" s="16"/>
      <c r="C150" s="16"/>
      <c r="D150" s="16"/>
      <c r="E150" s="16"/>
      <c r="F150" s="16"/>
      <c r="G150" s="16"/>
      <c r="H150" s="16"/>
      <c r="I150" s="16"/>
      <c r="J150" s="3"/>
      <c r="K150" s="3"/>
      <c r="L150" s="16"/>
      <c r="M150" s="16"/>
      <c r="N150" s="16"/>
      <c r="O150" s="16"/>
    </row>
    <row r="151" spans="1:15" x14ac:dyDescent="0.25">
      <c r="A151" s="11" t="s">
        <v>140</v>
      </c>
      <c r="B151" s="10">
        <f t="shared" ref="B151:O151" si="16">SUM(B152:B159)</f>
        <v>862</v>
      </c>
      <c r="C151" s="10">
        <f t="shared" si="16"/>
        <v>2129</v>
      </c>
      <c r="D151" s="10">
        <f t="shared" si="16"/>
        <v>410</v>
      </c>
      <c r="E151" s="10">
        <f t="shared" si="16"/>
        <v>682</v>
      </c>
      <c r="F151" s="10">
        <f t="shared" si="16"/>
        <v>54</v>
      </c>
      <c r="G151" s="10">
        <f t="shared" si="16"/>
        <v>146</v>
      </c>
      <c r="H151" s="10">
        <f t="shared" si="16"/>
        <v>0</v>
      </c>
      <c r="I151" s="10">
        <f t="shared" si="16"/>
        <v>0</v>
      </c>
      <c r="J151" s="10">
        <f t="shared" si="16"/>
        <v>0</v>
      </c>
      <c r="K151" s="10">
        <f t="shared" si="16"/>
        <v>0</v>
      </c>
      <c r="L151" s="10">
        <f t="shared" si="16"/>
        <v>0</v>
      </c>
      <c r="M151" s="10">
        <f t="shared" si="16"/>
        <v>1</v>
      </c>
      <c r="N151" s="10">
        <f t="shared" si="16"/>
        <v>0</v>
      </c>
      <c r="O151" s="10">
        <f t="shared" si="16"/>
        <v>0</v>
      </c>
    </row>
    <row r="152" spans="1:15" x14ac:dyDescent="0.25">
      <c r="A152" s="12" t="s">
        <v>141</v>
      </c>
      <c r="B152" s="19">
        <v>9</v>
      </c>
      <c r="C152" s="19">
        <v>83</v>
      </c>
      <c r="D152" s="19">
        <v>2</v>
      </c>
      <c r="E152" s="19">
        <v>10</v>
      </c>
      <c r="F152" s="23">
        <v>0</v>
      </c>
      <c r="G152" s="23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</row>
    <row r="153" spans="1:15" x14ac:dyDescent="0.25">
      <c r="A153" s="12" t="s">
        <v>142</v>
      </c>
      <c r="B153" s="19">
        <v>10</v>
      </c>
      <c r="C153" s="19">
        <v>27</v>
      </c>
      <c r="D153" s="19">
        <v>3</v>
      </c>
      <c r="E153" s="19">
        <v>6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</row>
    <row r="154" spans="1:15" x14ac:dyDescent="0.25">
      <c r="A154" s="12" t="s">
        <v>143</v>
      </c>
      <c r="B154" s="19">
        <v>265</v>
      </c>
      <c r="C154" s="19">
        <v>777</v>
      </c>
      <c r="D154" s="19">
        <v>82</v>
      </c>
      <c r="E154" s="19">
        <v>136</v>
      </c>
      <c r="F154" s="23">
        <v>19</v>
      </c>
      <c r="G154" s="23">
        <v>64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</row>
    <row r="155" spans="1:15" x14ac:dyDescent="0.25">
      <c r="A155" s="12" t="s">
        <v>144</v>
      </c>
      <c r="B155" s="19">
        <v>346</v>
      </c>
      <c r="C155" s="19">
        <v>598</v>
      </c>
      <c r="D155" s="19">
        <v>163</v>
      </c>
      <c r="E155" s="19">
        <v>212</v>
      </c>
      <c r="F155" s="23">
        <v>14</v>
      </c>
      <c r="G155" s="23">
        <v>32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1</v>
      </c>
      <c r="N155" s="19">
        <v>0</v>
      </c>
      <c r="O155" s="19">
        <v>0</v>
      </c>
    </row>
    <row r="156" spans="1:15" x14ac:dyDescent="0.25">
      <c r="A156" s="12" t="s">
        <v>145</v>
      </c>
      <c r="B156" s="19">
        <v>40</v>
      </c>
      <c r="C156" s="19">
        <v>144</v>
      </c>
      <c r="D156" s="19">
        <v>11</v>
      </c>
      <c r="E156" s="19">
        <v>10</v>
      </c>
      <c r="F156" s="23">
        <v>0</v>
      </c>
      <c r="G156" s="23">
        <v>5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</row>
    <row r="157" spans="1:15" x14ac:dyDescent="0.25">
      <c r="A157" s="12" t="s">
        <v>146</v>
      </c>
      <c r="B157" s="19">
        <v>132</v>
      </c>
      <c r="C157" s="19">
        <v>302</v>
      </c>
      <c r="D157" s="19">
        <v>62</v>
      </c>
      <c r="E157" s="19">
        <v>91</v>
      </c>
      <c r="F157" s="23">
        <v>12</v>
      </c>
      <c r="G157" s="23">
        <v>29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</row>
    <row r="158" spans="1:15" x14ac:dyDescent="0.25">
      <c r="A158" s="12" t="s">
        <v>147</v>
      </c>
      <c r="B158" s="19">
        <v>54</v>
      </c>
      <c r="C158" s="19">
        <v>169</v>
      </c>
      <c r="D158" s="19">
        <v>80</v>
      </c>
      <c r="E158" s="19">
        <v>197</v>
      </c>
      <c r="F158" s="23">
        <v>6</v>
      </c>
      <c r="G158" s="23">
        <v>9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</row>
    <row r="159" spans="1:15" x14ac:dyDescent="0.25">
      <c r="A159" s="13" t="s">
        <v>85</v>
      </c>
      <c r="B159" s="24">
        <v>6</v>
      </c>
      <c r="C159" s="24">
        <v>29</v>
      </c>
      <c r="D159" s="24">
        <v>7</v>
      </c>
      <c r="E159" s="24">
        <v>20</v>
      </c>
      <c r="F159" s="24">
        <v>3</v>
      </c>
      <c r="G159" s="24">
        <v>7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11"/>
      <c r="B160" s="16"/>
      <c r="C160" s="16"/>
      <c r="D160" s="16"/>
      <c r="E160" s="16"/>
      <c r="F160" s="16"/>
      <c r="G160" s="16"/>
      <c r="H160" s="16"/>
      <c r="I160" s="16"/>
      <c r="J160" s="3"/>
      <c r="K160" s="3"/>
      <c r="L160" s="16"/>
      <c r="M160" s="16"/>
      <c r="N160" s="16"/>
      <c r="O160" s="16"/>
    </row>
    <row r="161" spans="1:15" x14ac:dyDescent="0.25">
      <c r="A161" s="11" t="s">
        <v>148</v>
      </c>
      <c r="B161" s="10">
        <f t="shared" ref="B161:O161" si="17">SUM(B162:B166)</f>
        <v>845</v>
      </c>
      <c r="C161" s="10">
        <f t="shared" si="17"/>
        <v>1339</v>
      </c>
      <c r="D161" s="10">
        <f t="shared" si="17"/>
        <v>592</v>
      </c>
      <c r="E161" s="10">
        <f t="shared" si="17"/>
        <v>813</v>
      </c>
      <c r="F161" s="15">
        <f t="shared" si="17"/>
        <v>173</v>
      </c>
      <c r="G161" s="15">
        <f t="shared" si="17"/>
        <v>333</v>
      </c>
      <c r="H161" s="10">
        <f t="shared" si="17"/>
        <v>0</v>
      </c>
      <c r="I161" s="10">
        <f t="shared" si="17"/>
        <v>0</v>
      </c>
      <c r="J161" s="10">
        <f t="shared" si="17"/>
        <v>0</v>
      </c>
      <c r="K161" s="10">
        <f t="shared" si="17"/>
        <v>0</v>
      </c>
      <c r="L161" s="10">
        <f t="shared" si="17"/>
        <v>0</v>
      </c>
      <c r="M161" s="10">
        <f t="shared" si="17"/>
        <v>0</v>
      </c>
      <c r="N161" s="10">
        <f t="shared" si="17"/>
        <v>0</v>
      </c>
      <c r="O161" s="10">
        <f t="shared" si="17"/>
        <v>0</v>
      </c>
    </row>
    <row r="162" spans="1:15" x14ac:dyDescent="0.25">
      <c r="A162" s="12" t="s">
        <v>149</v>
      </c>
      <c r="B162" s="19">
        <v>206</v>
      </c>
      <c r="C162" s="19">
        <v>400</v>
      </c>
      <c r="D162" s="19">
        <v>127</v>
      </c>
      <c r="E162" s="19">
        <v>249</v>
      </c>
      <c r="F162" s="23">
        <v>55</v>
      </c>
      <c r="G162" s="23">
        <v>160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</row>
    <row r="163" spans="1:15" x14ac:dyDescent="0.25">
      <c r="A163" s="12" t="s">
        <v>150</v>
      </c>
      <c r="B163" s="19">
        <v>32</v>
      </c>
      <c r="C163" s="19">
        <v>62</v>
      </c>
      <c r="D163" s="19">
        <v>94</v>
      </c>
      <c r="E163" s="19">
        <v>101</v>
      </c>
      <c r="F163" s="23">
        <v>10</v>
      </c>
      <c r="G163" s="23">
        <v>17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</row>
    <row r="164" spans="1:15" x14ac:dyDescent="0.25">
      <c r="A164" s="12" t="s">
        <v>68</v>
      </c>
      <c r="B164" s="19">
        <v>57</v>
      </c>
      <c r="C164" s="19">
        <v>84</v>
      </c>
      <c r="D164" s="19">
        <v>24</v>
      </c>
      <c r="E164" s="19">
        <v>23</v>
      </c>
      <c r="F164" s="23">
        <v>43</v>
      </c>
      <c r="G164" s="23">
        <v>79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</row>
    <row r="165" spans="1:15" x14ac:dyDescent="0.25">
      <c r="A165" s="12" t="s">
        <v>151</v>
      </c>
      <c r="B165" s="19">
        <v>481</v>
      </c>
      <c r="C165" s="19">
        <v>722</v>
      </c>
      <c r="D165" s="19">
        <v>158</v>
      </c>
      <c r="E165" s="19">
        <v>185</v>
      </c>
      <c r="F165" s="23">
        <v>46</v>
      </c>
      <c r="G165" s="23">
        <v>47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</row>
    <row r="166" spans="1:15" x14ac:dyDescent="0.25">
      <c r="A166" s="13" t="s">
        <v>152</v>
      </c>
      <c r="B166" s="24">
        <v>69</v>
      </c>
      <c r="C166" s="24">
        <v>71</v>
      </c>
      <c r="D166" s="24">
        <v>189</v>
      </c>
      <c r="E166" s="24">
        <v>255</v>
      </c>
      <c r="F166" s="25">
        <v>19</v>
      </c>
      <c r="G166" s="25">
        <v>30</v>
      </c>
      <c r="H166" s="24">
        <v>0</v>
      </c>
      <c r="I166" s="24">
        <v>0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</row>
    <row r="167" spans="1:15" x14ac:dyDescent="0.25">
      <c r="A167" s="11"/>
      <c r="B167" s="16"/>
      <c r="C167" s="16"/>
      <c r="D167" s="16"/>
      <c r="E167" s="16"/>
      <c r="F167" s="16"/>
      <c r="G167" s="16"/>
      <c r="H167" s="16"/>
      <c r="I167" s="16"/>
      <c r="J167" s="3"/>
      <c r="K167" s="3"/>
      <c r="L167" s="16"/>
      <c r="M167" s="16"/>
      <c r="N167" s="16"/>
      <c r="O167" s="16"/>
    </row>
    <row r="168" spans="1:15" x14ac:dyDescent="0.25">
      <c r="A168" s="11" t="s">
        <v>153</v>
      </c>
      <c r="B168" s="10">
        <f t="shared" ref="B168:O168" si="18">SUM(B169:B175)</f>
        <v>1483</v>
      </c>
      <c r="C168" s="10">
        <f t="shared" si="18"/>
        <v>3004</v>
      </c>
      <c r="D168" s="10">
        <f t="shared" si="18"/>
        <v>895</v>
      </c>
      <c r="E168" s="10">
        <f t="shared" si="18"/>
        <v>1373</v>
      </c>
      <c r="F168" s="15">
        <f t="shared" si="18"/>
        <v>105</v>
      </c>
      <c r="G168" s="15">
        <f t="shared" si="18"/>
        <v>195</v>
      </c>
      <c r="H168" s="10">
        <f t="shared" si="18"/>
        <v>0</v>
      </c>
      <c r="I168" s="10">
        <f t="shared" si="18"/>
        <v>0</v>
      </c>
      <c r="J168" s="10">
        <f t="shared" si="18"/>
        <v>0</v>
      </c>
      <c r="K168" s="10">
        <f t="shared" si="18"/>
        <v>0</v>
      </c>
      <c r="L168" s="10">
        <f t="shared" si="18"/>
        <v>0</v>
      </c>
      <c r="M168" s="10">
        <f t="shared" si="18"/>
        <v>14</v>
      </c>
      <c r="N168" s="10">
        <f t="shared" si="18"/>
        <v>0</v>
      </c>
      <c r="O168" s="10">
        <f t="shared" si="18"/>
        <v>0</v>
      </c>
    </row>
    <row r="169" spans="1:15" x14ac:dyDescent="0.25">
      <c r="A169" s="12" t="s">
        <v>80</v>
      </c>
      <c r="B169" s="19">
        <v>252</v>
      </c>
      <c r="C169" s="19">
        <v>621</v>
      </c>
      <c r="D169" s="19">
        <v>66</v>
      </c>
      <c r="E169" s="19">
        <v>126</v>
      </c>
      <c r="F169" s="23">
        <v>16</v>
      </c>
      <c r="G169" s="23">
        <v>33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</row>
    <row r="170" spans="1:15" x14ac:dyDescent="0.25">
      <c r="A170" s="12" t="s">
        <v>154</v>
      </c>
      <c r="B170" s="19">
        <v>209</v>
      </c>
      <c r="C170" s="19">
        <v>334</v>
      </c>
      <c r="D170" s="19">
        <v>138</v>
      </c>
      <c r="E170" s="19">
        <v>213</v>
      </c>
      <c r="F170" s="23">
        <v>17</v>
      </c>
      <c r="G170" s="23">
        <v>19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</row>
    <row r="171" spans="1:15" x14ac:dyDescent="0.25">
      <c r="A171" s="12" t="s">
        <v>155</v>
      </c>
      <c r="B171" s="19">
        <v>60</v>
      </c>
      <c r="C171" s="19">
        <v>250</v>
      </c>
      <c r="D171" s="19">
        <v>38</v>
      </c>
      <c r="E171" s="19">
        <v>89</v>
      </c>
      <c r="F171" s="19">
        <v>6</v>
      </c>
      <c r="G171" s="19">
        <v>17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</row>
    <row r="172" spans="1:15" x14ac:dyDescent="0.25">
      <c r="A172" s="12" t="s">
        <v>156</v>
      </c>
      <c r="B172" s="19">
        <v>150</v>
      </c>
      <c r="C172" s="19">
        <v>267</v>
      </c>
      <c r="D172" s="19">
        <v>152</v>
      </c>
      <c r="E172" s="19">
        <v>180</v>
      </c>
      <c r="F172" s="19">
        <v>12</v>
      </c>
      <c r="G172" s="19">
        <v>19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</row>
    <row r="173" spans="1:15" x14ac:dyDescent="0.25">
      <c r="A173" s="12" t="s">
        <v>157</v>
      </c>
      <c r="B173" s="19">
        <v>0</v>
      </c>
      <c r="C173" s="19">
        <v>0</v>
      </c>
      <c r="D173" s="19">
        <v>0</v>
      </c>
      <c r="E173" s="19">
        <v>0</v>
      </c>
      <c r="F173" s="23">
        <v>0</v>
      </c>
      <c r="G173" s="23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</row>
    <row r="174" spans="1:15" x14ac:dyDescent="0.25">
      <c r="A174" s="12" t="s">
        <v>158</v>
      </c>
      <c r="B174" s="19">
        <v>173</v>
      </c>
      <c r="C174" s="19">
        <v>437</v>
      </c>
      <c r="D174" s="19">
        <v>58</v>
      </c>
      <c r="E174" s="19">
        <v>65</v>
      </c>
      <c r="F174" s="23">
        <v>4</v>
      </c>
      <c r="G174" s="23">
        <v>11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</row>
    <row r="175" spans="1:15" x14ac:dyDescent="0.25">
      <c r="A175" s="13" t="s">
        <v>159</v>
      </c>
      <c r="B175" s="24">
        <v>639</v>
      </c>
      <c r="C175" s="24">
        <v>1095</v>
      </c>
      <c r="D175" s="24">
        <v>443</v>
      </c>
      <c r="E175" s="24">
        <v>700</v>
      </c>
      <c r="F175" s="25">
        <v>50</v>
      </c>
      <c r="G175" s="25">
        <v>96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14</v>
      </c>
      <c r="N175" s="24">
        <v>0</v>
      </c>
      <c r="O175" s="24">
        <v>0</v>
      </c>
    </row>
    <row r="176" spans="1:15" x14ac:dyDescent="0.25">
      <c r="A176" s="11"/>
      <c r="B176" s="16"/>
      <c r="C176" s="16"/>
      <c r="D176" s="16"/>
      <c r="E176" s="16"/>
      <c r="F176" s="16"/>
      <c r="G176" s="16"/>
      <c r="H176" s="16"/>
      <c r="I176" s="16"/>
      <c r="J176" s="3"/>
      <c r="K176" s="3"/>
      <c r="L176" s="16"/>
      <c r="M176" s="16"/>
      <c r="N176" s="16"/>
      <c r="O176" s="16"/>
    </row>
    <row r="177" spans="1:15" x14ac:dyDescent="0.25">
      <c r="A177" s="11" t="s">
        <v>160</v>
      </c>
      <c r="B177" s="10">
        <f t="shared" ref="B177:O177" si="19">SUM(B178:B190)</f>
        <v>2477</v>
      </c>
      <c r="C177" s="10">
        <f t="shared" si="19"/>
        <v>6032</v>
      </c>
      <c r="D177" s="10">
        <f t="shared" si="19"/>
        <v>660</v>
      </c>
      <c r="E177" s="10">
        <f t="shared" si="19"/>
        <v>922</v>
      </c>
      <c r="F177" s="15">
        <f t="shared" si="19"/>
        <v>227</v>
      </c>
      <c r="G177" s="15">
        <f t="shared" si="19"/>
        <v>531</v>
      </c>
      <c r="H177" s="10">
        <f t="shared" si="19"/>
        <v>0</v>
      </c>
      <c r="I177" s="10">
        <f t="shared" si="19"/>
        <v>0</v>
      </c>
      <c r="J177" s="10">
        <f t="shared" si="19"/>
        <v>0</v>
      </c>
      <c r="K177" s="10">
        <f t="shared" si="19"/>
        <v>0</v>
      </c>
      <c r="L177" s="10">
        <f t="shared" si="19"/>
        <v>0</v>
      </c>
      <c r="M177" s="10">
        <f t="shared" si="19"/>
        <v>0</v>
      </c>
      <c r="N177" s="10">
        <f t="shared" si="19"/>
        <v>0</v>
      </c>
      <c r="O177" s="10">
        <f t="shared" si="19"/>
        <v>0</v>
      </c>
    </row>
    <row r="178" spans="1:15" x14ac:dyDescent="0.25">
      <c r="A178" s="12" t="s">
        <v>161</v>
      </c>
      <c r="B178" s="19">
        <v>887</v>
      </c>
      <c r="C178" s="19">
        <v>1756</v>
      </c>
      <c r="D178" s="19">
        <v>162</v>
      </c>
      <c r="E178" s="19">
        <v>159</v>
      </c>
      <c r="F178" s="19">
        <v>30</v>
      </c>
      <c r="G178" s="19">
        <v>42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</row>
    <row r="179" spans="1:15" x14ac:dyDescent="0.25">
      <c r="A179" s="12" t="s">
        <v>162</v>
      </c>
      <c r="B179" s="19">
        <v>312</v>
      </c>
      <c r="C179" s="19">
        <v>688</v>
      </c>
      <c r="D179" s="19">
        <v>136</v>
      </c>
      <c r="E179" s="19">
        <v>160</v>
      </c>
      <c r="F179" s="19">
        <v>68</v>
      </c>
      <c r="G179" s="19">
        <v>138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</row>
    <row r="180" spans="1:15" x14ac:dyDescent="0.25">
      <c r="A180" s="12" t="s">
        <v>163</v>
      </c>
      <c r="B180" s="19">
        <v>193</v>
      </c>
      <c r="C180" s="19">
        <v>466</v>
      </c>
      <c r="D180" s="19">
        <v>24</v>
      </c>
      <c r="E180" s="19">
        <v>21</v>
      </c>
      <c r="F180" s="23">
        <v>55</v>
      </c>
      <c r="G180" s="23">
        <v>122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</row>
    <row r="181" spans="1:15" x14ac:dyDescent="0.25">
      <c r="A181" s="12" t="s">
        <v>164</v>
      </c>
      <c r="B181" s="19">
        <v>224</v>
      </c>
      <c r="C181" s="19">
        <v>920</v>
      </c>
      <c r="D181" s="19">
        <v>28</v>
      </c>
      <c r="E181" s="19">
        <v>153</v>
      </c>
      <c r="F181" s="23">
        <v>10</v>
      </c>
      <c r="G181" s="23">
        <v>61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</row>
    <row r="182" spans="1:15" x14ac:dyDescent="0.25">
      <c r="A182" s="12" t="s">
        <v>109</v>
      </c>
      <c r="B182" s="19">
        <v>187</v>
      </c>
      <c r="C182" s="19">
        <v>434</v>
      </c>
      <c r="D182" s="19">
        <v>31</v>
      </c>
      <c r="E182" s="19">
        <v>53</v>
      </c>
      <c r="F182" s="23">
        <v>4</v>
      </c>
      <c r="G182" s="23">
        <v>16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</row>
    <row r="183" spans="1:15" x14ac:dyDescent="0.25">
      <c r="A183" s="12" t="s">
        <v>165</v>
      </c>
      <c r="B183" s="19">
        <v>35</v>
      </c>
      <c r="C183" s="19">
        <v>65</v>
      </c>
      <c r="D183" s="19">
        <v>27</v>
      </c>
      <c r="E183" s="19">
        <v>20</v>
      </c>
      <c r="F183" s="23">
        <v>0</v>
      </c>
      <c r="G183" s="23">
        <v>4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</row>
    <row r="184" spans="1:15" x14ac:dyDescent="0.25">
      <c r="A184" s="12" t="s">
        <v>166</v>
      </c>
      <c r="B184" s="19">
        <v>267</v>
      </c>
      <c r="C184" s="19">
        <v>578</v>
      </c>
      <c r="D184" s="19">
        <v>145</v>
      </c>
      <c r="E184" s="19">
        <v>195</v>
      </c>
      <c r="F184" s="23">
        <v>29</v>
      </c>
      <c r="G184" s="23">
        <v>36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</row>
    <row r="185" spans="1:15" x14ac:dyDescent="0.25">
      <c r="A185" s="12" t="s">
        <v>167</v>
      </c>
      <c r="B185" s="19">
        <v>20</v>
      </c>
      <c r="C185" s="19">
        <v>87</v>
      </c>
      <c r="D185" s="19">
        <v>2</v>
      </c>
      <c r="E185" s="19">
        <v>9</v>
      </c>
      <c r="F185" s="23">
        <v>6</v>
      </c>
      <c r="G185" s="23">
        <v>31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</row>
    <row r="186" spans="1:15" x14ac:dyDescent="0.25">
      <c r="A186" s="12" t="s">
        <v>168</v>
      </c>
      <c r="B186" s="19">
        <v>0</v>
      </c>
      <c r="C186" s="19">
        <v>8</v>
      </c>
      <c r="D186" s="19">
        <v>4</v>
      </c>
      <c r="E186" s="19">
        <v>13</v>
      </c>
      <c r="F186" s="23">
        <v>0</v>
      </c>
      <c r="G186" s="23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</row>
    <row r="187" spans="1:15" x14ac:dyDescent="0.25">
      <c r="A187" s="12" t="s">
        <v>169</v>
      </c>
      <c r="B187" s="19">
        <v>179</v>
      </c>
      <c r="C187" s="19">
        <v>428</v>
      </c>
      <c r="D187" s="19">
        <v>56</v>
      </c>
      <c r="E187" s="19">
        <v>67</v>
      </c>
      <c r="F187" s="23">
        <v>5</v>
      </c>
      <c r="G187" s="23">
        <v>20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</row>
    <row r="188" spans="1:15" x14ac:dyDescent="0.25">
      <c r="A188" s="12" t="s">
        <v>126</v>
      </c>
      <c r="B188" s="19">
        <v>56</v>
      </c>
      <c r="C188" s="19">
        <v>238</v>
      </c>
      <c r="D188" s="19">
        <v>30</v>
      </c>
      <c r="E188" s="19">
        <v>39</v>
      </c>
      <c r="F188" s="19">
        <v>2</v>
      </c>
      <c r="G188" s="19">
        <v>6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</row>
    <row r="189" spans="1:15" x14ac:dyDescent="0.25">
      <c r="A189" s="12" t="s">
        <v>170</v>
      </c>
      <c r="B189" s="19">
        <v>42</v>
      </c>
      <c r="C189" s="19">
        <v>173</v>
      </c>
      <c r="D189" s="19">
        <v>13</v>
      </c>
      <c r="E189" s="19">
        <v>28</v>
      </c>
      <c r="F189" s="19">
        <v>13</v>
      </c>
      <c r="G189" s="19">
        <v>51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</row>
    <row r="190" spans="1:15" x14ac:dyDescent="0.25">
      <c r="A190" s="13" t="s">
        <v>171</v>
      </c>
      <c r="B190" s="24">
        <v>75</v>
      </c>
      <c r="C190" s="24">
        <v>191</v>
      </c>
      <c r="D190" s="24">
        <v>2</v>
      </c>
      <c r="E190" s="24">
        <v>5</v>
      </c>
      <c r="F190" s="25">
        <v>5</v>
      </c>
      <c r="G190" s="25">
        <v>4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11"/>
      <c r="B191" s="16"/>
      <c r="C191" s="16"/>
      <c r="D191" s="16"/>
      <c r="E191" s="16"/>
      <c r="F191" s="16"/>
      <c r="G191" s="16"/>
      <c r="H191" s="16"/>
      <c r="I191" s="16"/>
      <c r="J191" s="3"/>
      <c r="K191" s="3"/>
      <c r="L191" s="16"/>
      <c r="M191" s="16"/>
      <c r="N191" s="16"/>
      <c r="O191" s="16"/>
    </row>
    <row r="192" spans="1:15" x14ac:dyDescent="0.25">
      <c r="A192" s="11" t="s">
        <v>172</v>
      </c>
      <c r="B192" s="10">
        <f t="shared" ref="B192:O192" si="20">SUM(B193:B204)</f>
        <v>2619</v>
      </c>
      <c r="C192" s="10">
        <f t="shared" si="20"/>
        <v>6578</v>
      </c>
      <c r="D192" s="10">
        <f t="shared" si="20"/>
        <v>884</v>
      </c>
      <c r="E192" s="10">
        <f t="shared" si="20"/>
        <v>1648</v>
      </c>
      <c r="F192" s="15">
        <f t="shared" si="20"/>
        <v>383</v>
      </c>
      <c r="G192" s="15">
        <f t="shared" si="20"/>
        <v>841</v>
      </c>
      <c r="H192" s="10">
        <f t="shared" si="20"/>
        <v>0</v>
      </c>
      <c r="I192" s="10">
        <f t="shared" si="20"/>
        <v>0</v>
      </c>
      <c r="J192" s="10">
        <f t="shared" si="20"/>
        <v>0</v>
      </c>
      <c r="K192" s="10">
        <f t="shared" si="20"/>
        <v>3</v>
      </c>
      <c r="L192" s="10">
        <f t="shared" si="20"/>
        <v>0</v>
      </c>
      <c r="M192" s="10">
        <f t="shared" si="20"/>
        <v>15</v>
      </c>
      <c r="N192" s="10">
        <f t="shared" si="20"/>
        <v>0</v>
      </c>
      <c r="O192" s="10">
        <f t="shared" si="20"/>
        <v>1</v>
      </c>
    </row>
    <row r="193" spans="1:15" x14ac:dyDescent="0.25">
      <c r="A193" s="12" t="s">
        <v>173</v>
      </c>
      <c r="B193" s="19">
        <v>193</v>
      </c>
      <c r="C193" s="19">
        <v>650</v>
      </c>
      <c r="D193" s="19">
        <v>47</v>
      </c>
      <c r="E193" s="19">
        <v>143</v>
      </c>
      <c r="F193" s="23">
        <v>25</v>
      </c>
      <c r="G193" s="23">
        <v>70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1</v>
      </c>
      <c r="N193" s="19">
        <v>0</v>
      </c>
      <c r="O193" s="19">
        <v>0</v>
      </c>
    </row>
    <row r="194" spans="1:15" x14ac:dyDescent="0.25">
      <c r="A194" s="12" t="s">
        <v>174</v>
      </c>
      <c r="B194" s="19">
        <v>164</v>
      </c>
      <c r="C194" s="19">
        <v>314</v>
      </c>
      <c r="D194" s="19">
        <v>24</v>
      </c>
      <c r="E194" s="19">
        <v>68</v>
      </c>
      <c r="F194" s="23">
        <v>26</v>
      </c>
      <c r="G194" s="23">
        <v>38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1</v>
      </c>
      <c r="N194" s="19">
        <v>0</v>
      </c>
      <c r="O194" s="19">
        <v>0</v>
      </c>
    </row>
    <row r="195" spans="1:15" x14ac:dyDescent="0.25">
      <c r="A195" s="12" t="s">
        <v>175</v>
      </c>
      <c r="B195" s="19">
        <v>121</v>
      </c>
      <c r="C195" s="19">
        <v>365</v>
      </c>
      <c r="D195" s="19">
        <v>64</v>
      </c>
      <c r="E195" s="19">
        <v>95</v>
      </c>
      <c r="F195" s="23">
        <v>17</v>
      </c>
      <c r="G195" s="23">
        <v>32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</row>
    <row r="196" spans="1:15" x14ac:dyDescent="0.25">
      <c r="A196" s="12" t="s">
        <v>176</v>
      </c>
      <c r="B196" s="19">
        <v>6</v>
      </c>
      <c r="C196" s="19">
        <v>17</v>
      </c>
      <c r="D196" s="19">
        <v>2</v>
      </c>
      <c r="E196" s="19">
        <v>0</v>
      </c>
      <c r="F196" s="23">
        <v>0</v>
      </c>
      <c r="G196" s="23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</row>
    <row r="197" spans="1:15" x14ac:dyDescent="0.25">
      <c r="A197" s="12" t="s">
        <v>177</v>
      </c>
      <c r="B197" s="19">
        <v>888</v>
      </c>
      <c r="C197" s="19">
        <v>2175</v>
      </c>
      <c r="D197" s="19">
        <v>316</v>
      </c>
      <c r="E197" s="19">
        <v>652</v>
      </c>
      <c r="F197" s="23">
        <v>157</v>
      </c>
      <c r="G197" s="23">
        <v>358</v>
      </c>
      <c r="H197" s="19">
        <v>0</v>
      </c>
      <c r="I197" s="19">
        <v>0</v>
      </c>
      <c r="J197" s="19">
        <v>0</v>
      </c>
      <c r="K197" s="19">
        <v>3</v>
      </c>
      <c r="L197" s="19">
        <v>0</v>
      </c>
      <c r="M197" s="19">
        <v>13</v>
      </c>
      <c r="N197" s="19">
        <v>0</v>
      </c>
      <c r="O197" s="19">
        <v>1</v>
      </c>
    </row>
    <row r="198" spans="1:15" x14ac:dyDescent="0.25">
      <c r="A198" s="12" t="s">
        <v>178</v>
      </c>
      <c r="B198" s="19">
        <v>262</v>
      </c>
      <c r="C198" s="19">
        <v>556</v>
      </c>
      <c r="D198" s="19">
        <v>142</v>
      </c>
      <c r="E198" s="19">
        <v>172</v>
      </c>
      <c r="F198" s="23">
        <v>19</v>
      </c>
      <c r="G198" s="23">
        <v>45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</row>
    <row r="199" spans="1:15" x14ac:dyDescent="0.25">
      <c r="A199" s="12" t="s">
        <v>179</v>
      </c>
      <c r="B199" s="19">
        <v>420</v>
      </c>
      <c r="C199" s="19">
        <v>1211</v>
      </c>
      <c r="D199" s="19">
        <v>133</v>
      </c>
      <c r="E199" s="19">
        <v>238</v>
      </c>
      <c r="F199" s="23">
        <v>57</v>
      </c>
      <c r="G199" s="23">
        <v>173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</row>
    <row r="200" spans="1:15" x14ac:dyDescent="0.25">
      <c r="A200" s="12" t="s">
        <v>180</v>
      </c>
      <c r="B200" s="19">
        <v>0</v>
      </c>
      <c r="C200" s="19">
        <v>1</v>
      </c>
      <c r="D200" s="19">
        <v>0</v>
      </c>
      <c r="E200" s="19">
        <v>0</v>
      </c>
      <c r="F200" s="23">
        <v>0</v>
      </c>
      <c r="G200" s="23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</row>
    <row r="201" spans="1:15" x14ac:dyDescent="0.25">
      <c r="A201" s="12" t="s">
        <v>181</v>
      </c>
      <c r="B201" s="19">
        <v>30</v>
      </c>
      <c r="C201" s="19">
        <v>109</v>
      </c>
      <c r="D201" s="19">
        <v>67</v>
      </c>
      <c r="E201" s="19">
        <v>112</v>
      </c>
      <c r="F201" s="23">
        <v>21</v>
      </c>
      <c r="G201" s="23">
        <v>39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</row>
    <row r="202" spans="1:15" x14ac:dyDescent="0.25">
      <c r="A202" s="12" t="s">
        <v>182</v>
      </c>
      <c r="B202" s="19">
        <v>399</v>
      </c>
      <c r="C202" s="19">
        <v>728</v>
      </c>
      <c r="D202" s="19">
        <v>73</v>
      </c>
      <c r="E202" s="19">
        <v>143</v>
      </c>
      <c r="F202" s="23">
        <v>59</v>
      </c>
      <c r="G202" s="23">
        <v>76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</row>
    <row r="203" spans="1:15" x14ac:dyDescent="0.25">
      <c r="A203" s="12" t="s">
        <v>183</v>
      </c>
      <c r="B203" s="19">
        <v>136</v>
      </c>
      <c r="C203" s="19">
        <v>452</v>
      </c>
      <c r="D203" s="19">
        <v>16</v>
      </c>
      <c r="E203" s="19">
        <v>25</v>
      </c>
      <c r="F203" s="19">
        <v>2</v>
      </c>
      <c r="G203" s="19">
        <v>10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</row>
    <row r="204" spans="1:15" x14ac:dyDescent="0.25">
      <c r="A204" s="13" t="s">
        <v>184</v>
      </c>
      <c r="B204" s="24">
        <v>0</v>
      </c>
      <c r="C204" s="24">
        <v>0</v>
      </c>
      <c r="D204" s="24">
        <v>0</v>
      </c>
      <c r="E204" s="24">
        <v>0</v>
      </c>
      <c r="F204" s="24">
        <v>0</v>
      </c>
      <c r="G204" s="24">
        <v>0</v>
      </c>
      <c r="H204" s="24">
        <v>0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</row>
    <row r="205" spans="1:15" x14ac:dyDescent="0.25">
      <c r="A205" s="18"/>
      <c r="B205" s="16"/>
      <c r="C205" s="16"/>
      <c r="D205" s="16"/>
      <c r="E205" s="16"/>
      <c r="F205" s="16"/>
      <c r="G205" s="16"/>
      <c r="H205" s="16"/>
      <c r="I205" s="16"/>
      <c r="J205" s="3"/>
      <c r="K205" s="3"/>
      <c r="L205" s="16"/>
      <c r="M205" s="16"/>
      <c r="N205" s="16"/>
      <c r="O205" s="16"/>
    </row>
    <row r="206" spans="1:15" x14ac:dyDescent="0.25">
      <c r="A206" s="11" t="s">
        <v>185</v>
      </c>
      <c r="B206" s="10">
        <f t="shared" ref="B206:O206" si="21">SUM(B207:B215)</f>
        <v>1553</v>
      </c>
      <c r="C206" s="10">
        <f t="shared" si="21"/>
        <v>3605</v>
      </c>
      <c r="D206" s="10">
        <f t="shared" si="21"/>
        <v>681</v>
      </c>
      <c r="E206" s="10">
        <f t="shared" si="21"/>
        <v>1332</v>
      </c>
      <c r="F206" s="10">
        <f t="shared" si="21"/>
        <v>78</v>
      </c>
      <c r="G206" s="10">
        <f t="shared" si="21"/>
        <v>354</v>
      </c>
      <c r="H206" s="10">
        <f t="shared" si="21"/>
        <v>0</v>
      </c>
      <c r="I206" s="10">
        <f t="shared" si="21"/>
        <v>0</v>
      </c>
      <c r="J206" s="10">
        <f t="shared" si="21"/>
        <v>0</v>
      </c>
      <c r="K206" s="10">
        <f t="shared" si="21"/>
        <v>3</v>
      </c>
      <c r="L206" s="10">
        <f t="shared" si="21"/>
        <v>2</v>
      </c>
      <c r="M206" s="10">
        <f t="shared" si="21"/>
        <v>19</v>
      </c>
      <c r="N206" s="10">
        <f t="shared" si="21"/>
        <v>0</v>
      </c>
      <c r="O206" s="10">
        <f t="shared" si="21"/>
        <v>0</v>
      </c>
    </row>
    <row r="207" spans="1:15" x14ac:dyDescent="0.25">
      <c r="A207" s="12" t="s">
        <v>186</v>
      </c>
      <c r="B207" s="19">
        <v>990</v>
      </c>
      <c r="C207" s="19">
        <v>1648</v>
      </c>
      <c r="D207" s="19">
        <v>206</v>
      </c>
      <c r="E207" s="19">
        <v>397</v>
      </c>
      <c r="F207" s="23">
        <v>23</v>
      </c>
      <c r="G207" s="23">
        <v>120</v>
      </c>
      <c r="H207" s="19">
        <v>0</v>
      </c>
      <c r="I207" s="19">
        <v>0</v>
      </c>
      <c r="J207" s="19">
        <v>0</v>
      </c>
      <c r="K207" s="19">
        <v>1</v>
      </c>
      <c r="L207" s="19">
        <v>2</v>
      </c>
      <c r="M207" s="19">
        <v>19</v>
      </c>
      <c r="N207" s="19">
        <v>0</v>
      </c>
      <c r="O207" s="19">
        <v>0</v>
      </c>
    </row>
    <row r="208" spans="1:15" x14ac:dyDescent="0.25">
      <c r="A208" s="12" t="s">
        <v>187</v>
      </c>
      <c r="B208" s="19">
        <v>46</v>
      </c>
      <c r="C208" s="19">
        <v>300</v>
      </c>
      <c r="D208" s="19">
        <v>79</v>
      </c>
      <c r="E208" s="19">
        <v>113</v>
      </c>
      <c r="F208" s="23">
        <v>4</v>
      </c>
      <c r="G208" s="23">
        <v>31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</row>
    <row r="209" spans="1:15" x14ac:dyDescent="0.25">
      <c r="A209" s="12" t="s">
        <v>181</v>
      </c>
      <c r="B209" s="19">
        <v>37</v>
      </c>
      <c r="C209" s="19">
        <v>186</v>
      </c>
      <c r="D209" s="19">
        <v>62</v>
      </c>
      <c r="E209" s="19">
        <v>196</v>
      </c>
      <c r="F209" s="23">
        <v>20</v>
      </c>
      <c r="G209" s="23">
        <v>88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</row>
    <row r="210" spans="1:15" x14ac:dyDescent="0.25">
      <c r="A210" s="12" t="s">
        <v>149</v>
      </c>
      <c r="B210" s="19">
        <v>90</v>
      </c>
      <c r="C210" s="19">
        <v>382</v>
      </c>
      <c r="D210" s="19">
        <v>33</v>
      </c>
      <c r="E210" s="19">
        <v>46</v>
      </c>
      <c r="F210" s="23">
        <v>13</v>
      </c>
      <c r="G210" s="23">
        <v>51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</row>
    <row r="211" spans="1:15" x14ac:dyDescent="0.25">
      <c r="A211" s="12" t="s">
        <v>188</v>
      </c>
      <c r="B211" s="19">
        <v>36</v>
      </c>
      <c r="C211" s="19">
        <v>84</v>
      </c>
      <c r="D211" s="19">
        <v>35</v>
      </c>
      <c r="E211" s="19">
        <v>56</v>
      </c>
      <c r="F211" s="23">
        <v>0</v>
      </c>
      <c r="G211" s="23">
        <v>1</v>
      </c>
      <c r="H211" s="19">
        <v>0</v>
      </c>
      <c r="I211" s="19">
        <v>0</v>
      </c>
      <c r="J211" s="19">
        <v>0</v>
      </c>
      <c r="K211" s="19">
        <v>2</v>
      </c>
      <c r="L211" s="19">
        <v>0</v>
      </c>
      <c r="M211" s="19">
        <v>0</v>
      </c>
      <c r="N211" s="19">
        <v>0</v>
      </c>
      <c r="O211" s="19">
        <v>0</v>
      </c>
    </row>
    <row r="212" spans="1:15" x14ac:dyDescent="0.25">
      <c r="A212" s="12" t="s">
        <v>189</v>
      </c>
      <c r="B212" s="19">
        <v>245</v>
      </c>
      <c r="C212" s="19">
        <v>825</v>
      </c>
      <c r="D212" s="19">
        <v>139</v>
      </c>
      <c r="E212" s="19">
        <v>397</v>
      </c>
      <c r="F212" s="23">
        <v>12</v>
      </c>
      <c r="G212" s="23">
        <v>41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</row>
    <row r="213" spans="1:15" x14ac:dyDescent="0.25">
      <c r="A213" s="12" t="s">
        <v>190</v>
      </c>
      <c r="B213" s="19">
        <v>2</v>
      </c>
      <c r="C213" s="19">
        <v>6</v>
      </c>
      <c r="D213" s="19">
        <v>5</v>
      </c>
      <c r="E213" s="19">
        <v>2</v>
      </c>
      <c r="F213" s="23">
        <v>0</v>
      </c>
      <c r="G213" s="23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</row>
    <row r="214" spans="1:15" x14ac:dyDescent="0.25">
      <c r="A214" s="12" t="s">
        <v>191</v>
      </c>
      <c r="B214" s="19">
        <v>105</v>
      </c>
      <c r="C214" s="19">
        <v>173</v>
      </c>
      <c r="D214" s="19">
        <v>67</v>
      </c>
      <c r="E214" s="19">
        <v>60</v>
      </c>
      <c r="F214" s="23">
        <v>5</v>
      </c>
      <c r="G214" s="23">
        <v>21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</row>
    <row r="215" spans="1:15" x14ac:dyDescent="0.25">
      <c r="A215" s="13" t="s">
        <v>192</v>
      </c>
      <c r="B215" s="24">
        <v>2</v>
      </c>
      <c r="C215" s="24">
        <v>1</v>
      </c>
      <c r="D215" s="24">
        <v>55</v>
      </c>
      <c r="E215" s="24">
        <v>65</v>
      </c>
      <c r="F215" s="25">
        <v>1</v>
      </c>
      <c r="G215" s="25">
        <v>1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</row>
    <row r="216" spans="1:15" x14ac:dyDescent="0.25">
      <c r="A216" s="11"/>
      <c r="B216" s="16"/>
      <c r="C216" s="16"/>
      <c r="D216" s="16"/>
      <c r="E216" s="16"/>
      <c r="F216" s="16"/>
      <c r="G216" s="16"/>
      <c r="H216" s="16"/>
      <c r="I216" s="16"/>
      <c r="J216" s="3"/>
      <c r="K216" s="3"/>
      <c r="L216" s="16"/>
      <c r="M216" s="16"/>
      <c r="N216" s="16"/>
      <c r="O216" s="16"/>
    </row>
    <row r="217" spans="1:15" x14ac:dyDescent="0.25">
      <c r="A217" s="11" t="s">
        <v>193</v>
      </c>
      <c r="B217" s="10">
        <f t="shared" ref="B217:O217" si="22">SUM(B218:B226)</f>
        <v>1338</v>
      </c>
      <c r="C217" s="10">
        <f t="shared" si="22"/>
        <v>3153</v>
      </c>
      <c r="D217" s="10">
        <f t="shared" si="22"/>
        <v>879</v>
      </c>
      <c r="E217" s="10">
        <f t="shared" si="22"/>
        <v>1407</v>
      </c>
      <c r="F217" s="15">
        <f t="shared" si="22"/>
        <v>276</v>
      </c>
      <c r="G217" s="15">
        <f t="shared" si="22"/>
        <v>530</v>
      </c>
      <c r="H217" s="10">
        <f t="shared" si="22"/>
        <v>0</v>
      </c>
      <c r="I217" s="10">
        <f t="shared" si="22"/>
        <v>0</v>
      </c>
      <c r="J217" s="10">
        <f t="shared" si="22"/>
        <v>0</v>
      </c>
      <c r="K217" s="10">
        <f t="shared" si="22"/>
        <v>19</v>
      </c>
      <c r="L217" s="10">
        <f t="shared" si="22"/>
        <v>8</v>
      </c>
      <c r="M217" s="10">
        <f t="shared" si="22"/>
        <v>27</v>
      </c>
      <c r="N217" s="10">
        <f t="shared" si="22"/>
        <v>13</v>
      </c>
      <c r="O217" s="10">
        <f t="shared" si="22"/>
        <v>6</v>
      </c>
    </row>
    <row r="218" spans="1:15" x14ac:dyDescent="0.25">
      <c r="A218" s="12" t="s">
        <v>136</v>
      </c>
      <c r="B218" s="19">
        <v>309</v>
      </c>
      <c r="C218" s="19">
        <v>466</v>
      </c>
      <c r="D218" s="19">
        <v>277</v>
      </c>
      <c r="E218" s="19">
        <v>449</v>
      </c>
      <c r="F218" s="19">
        <v>138</v>
      </c>
      <c r="G218" s="19">
        <v>173</v>
      </c>
      <c r="H218" s="19">
        <v>0</v>
      </c>
      <c r="I218" s="19">
        <v>0</v>
      </c>
      <c r="J218" s="19">
        <v>0</v>
      </c>
      <c r="K218" s="19">
        <v>19</v>
      </c>
      <c r="L218" s="19">
        <v>8</v>
      </c>
      <c r="M218" s="19">
        <v>27</v>
      </c>
      <c r="N218" s="19">
        <v>13</v>
      </c>
      <c r="O218" s="19">
        <v>6</v>
      </c>
    </row>
    <row r="219" spans="1:15" x14ac:dyDescent="0.25">
      <c r="A219" s="12" t="s">
        <v>194</v>
      </c>
      <c r="B219" s="19">
        <v>403</v>
      </c>
      <c r="C219" s="19">
        <v>917</v>
      </c>
      <c r="D219" s="19">
        <v>116</v>
      </c>
      <c r="E219" s="19">
        <v>141</v>
      </c>
      <c r="F219" s="23">
        <v>36</v>
      </c>
      <c r="G219" s="23">
        <v>61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</row>
    <row r="220" spans="1:15" x14ac:dyDescent="0.25">
      <c r="A220" s="12" t="s">
        <v>195</v>
      </c>
      <c r="B220" s="19">
        <v>46</v>
      </c>
      <c r="C220" s="19">
        <v>144</v>
      </c>
      <c r="D220" s="19">
        <v>77</v>
      </c>
      <c r="E220" s="19">
        <v>134</v>
      </c>
      <c r="F220" s="23">
        <v>11</v>
      </c>
      <c r="G220" s="23">
        <v>12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</row>
    <row r="221" spans="1:15" x14ac:dyDescent="0.25">
      <c r="A221" s="12" t="s">
        <v>196</v>
      </c>
      <c r="B221" s="19">
        <v>277</v>
      </c>
      <c r="C221" s="19">
        <v>871</v>
      </c>
      <c r="D221" s="19">
        <v>74</v>
      </c>
      <c r="E221" s="19">
        <v>110</v>
      </c>
      <c r="F221" s="23">
        <v>21</v>
      </c>
      <c r="G221" s="23">
        <v>56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</row>
    <row r="222" spans="1:15" x14ac:dyDescent="0.25">
      <c r="A222" s="12" t="s">
        <v>76</v>
      </c>
      <c r="B222" s="19">
        <v>37</v>
      </c>
      <c r="C222" s="19">
        <v>83</v>
      </c>
      <c r="D222" s="19">
        <v>109</v>
      </c>
      <c r="E222" s="19">
        <v>219</v>
      </c>
      <c r="F222" s="23">
        <v>10</v>
      </c>
      <c r="G222" s="23">
        <v>29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</row>
    <row r="223" spans="1:15" x14ac:dyDescent="0.25">
      <c r="A223" s="12" t="s">
        <v>197</v>
      </c>
      <c r="B223" s="19">
        <v>88</v>
      </c>
      <c r="C223" s="19">
        <v>207</v>
      </c>
      <c r="D223" s="19">
        <v>34</v>
      </c>
      <c r="E223" s="19">
        <v>37</v>
      </c>
      <c r="F223" s="23">
        <v>16</v>
      </c>
      <c r="G223" s="23">
        <v>51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</row>
    <row r="224" spans="1:15" x14ac:dyDescent="0.25">
      <c r="A224" s="12" t="s">
        <v>198</v>
      </c>
      <c r="B224" s="19">
        <v>1</v>
      </c>
      <c r="C224" s="19">
        <v>20</v>
      </c>
      <c r="D224" s="19">
        <v>5</v>
      </c>
      <c r="E224" s="19">
        <v>10</v>
      </c>
      <c r="F224" s="23">
        <v>9</v>
      </c>
      <c r="G224" s="23">
        <v>33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</row>
    <row r="225" spans="1:15" x14ac:dyDescent="0.25">
      <c r="A225" s="12" t="s">
        <v>199</v>
      </c>
      <c r="B225" s="19">
        <v>1</v>
      </c>
      <c r="C225" s="19">
        <v>2</v>
      </c>
      <c r="D225" s="19">
        <v>60</v>
      </c>
      <c r="E225" s="19">
        <v>81</v>
      </c>
      <c r="F225" s="23">
        <v>10</v>
      </c>
      <c r="G225" s="23">
        <v>27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</row>
    <row r="226" spans="1:15" x14ac:dyDescent="0.25">
      <c r="A226" s="13" t="s">
        <v>200</v>
      </c>
      <c r="B226" s="24">
        <v>176</v>
      </c>
      <c r="C226" s="24">
        <v>443</v>
      </c>
      <c r="D226" s="24">
        <v>127</v>
      </c>
      <c r="E226" s="24">
        <v>226</v>
      </c>
      <c r="F226" s="25">
        <v>25</v>
      </c>
      <c r="G226" s="25">
        <v>88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v>0</v>
      </c>
      <c r="O226" s="24">
        <v>0</v>
      </c>
    </row>
    <row r="227" spans="1:15" x14ac:dyDescent="0.25">
      <c r="A227" s="11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x14ac:dyDescent="0.25">
      <c r="A228" s="11" t="s">
        <v>201</v>
      </c>
      <c r="B228" s="10">
        <f>SUM(B229)</f>
        <v>1389</v>
      </c>
      <c r="C228" s="10">
        <f t="shared" ref="C228:O228" si="23">SUM(C229)</f>
        <v>2140</v>
      </c>
      <c r="D228" s="10">
        <f t="shared" si="23"/>
        <v>284</v>
      </c>
      <c r="E228" s="10">
        <f t="shared" si="23"/>
        <v>801</v>
      </c>
      <c r="F228" s="10">
        <f t="shared" si="23"/>
        <v>202</v>
      </c>
      <c r="G228" s="10">
        <f>SUM(G229)</f>
        <v>430</v>
      </c>
      <c r="H228" s="10">
        <f t="shared" si="23"/>
        <v>0</v>
      </c>
      <c r="I228" s="10">
        <f t="shared" si="23"/>
        <v>0</v>
      </c>
      <c r="J228" s="10">
        <f t="shared" si="23"/>
        <v>0</v>
      </c>
      <c r="K228" s="10">
        <f t="shared" si="23"/>
        <v>2</v>
      </c>
      <c r="L228" s="10">
        <f t="shared" si="23"/>
        <v>0</v>
      </c>
      <c r="M228" s="10">
        <f t="shared" si="23"/>
        <v>5</v>
      </c>
      <c r="N228" s="10">
        <f t="shared" si="23"/>
        <v>0</v>
      </c>
      <c r="O228" s="10">
        <f t="shared" si="23"/>
        <v>0</v>
      </c>
    </row>
    <row r="229" spans="1:15" x14ac:dyDescent="0.25">
      <c r="A229" s="13" t="s">
        <v>202</v>
      </c>
      <c r="B229" s="24">
        <v>1389</v>
      </c>
      <c r="C229" s="24">
        <v>2140</v>
      </c>
      <c r="D229" s="24">
        <v>284</v>
      </c>
      <c r="E229" s="24">
        <v>801</v>
      </c>
      <c r="F229" s="24">
        <v>202</v>
      </c>
      <c r="G229" s="24">
        <v>430</v>
      </c>
      <c r="H229" s="24">
        <v>0</v>
      </c>
      <c r="I229" s="24">
        <v>0</v>
      </c>
      <c r="J229" s="24">
        <v>0</v>
      </c>
      <c r="K229" s="24">
        <v>2</v>
      </c>
      <c r="L229" s="24"/>
      <c r="M229" s="24">
        <v>5</v>
      </c>
      <c r="N229" s="24">
        <v>0</v>
      </c>
      <c r="O229" s="24">
        <v>0</v>
      </c>
    </row>
    <row r="230" spans="1:15" x14ac:dyDescent="0.25">
      <c r="A230" s="12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</row>
    <row r="231" spans="1:15" x14ac:dyDescent="0.25">
      <c r="A231" s="11" t="s">
        <v>203</v>
      </c>
      <c r="B231" s="16">
        <f t="shared" ref="B231:O231" si="24">SUM(B232:B237)</f>
        <v>876</v>
      </c>
      <c r="C231" s="16">
        <f t="shared" si="24"/>
        <v>3662</v>
      </c>
      <c r="D231" s="10">
        <f t="shared" si="24"/>
        <v>315</v>
      </c>
      <c r="E231" s="10">
        <f t="shared" si="24"/>
        <v>663</v>
      </c>
      <c r="F231" s="10">
        <f t="shared" si="24"/>
        <v>246</v>
      </c>
      <c r="G231" s="16">
        <f t="shared" si="24"/>
        <v>710</v>
      </c>
      <c r="H231" s="16">
        <f t="shared" si="24"/>
        <v>0</v>
      </c>
      <c r="I231" s="16">
        <f t="shared" si="24"/>
        <v>0</v>
      </c>
      <c r="J231" s="16">
        <f t="shared" si="24"/>
        <v>0</v>
      </c>
      <c r="K231" s="16">
        <f t="shared" si="24"/>
        <v>0</v>
      </c>
      <c r="L231" s="16">
        <f t="shared" si="24"/>
        <v>0</v>
      </c>
      <c r="M231" s="16">
        <f t="shared" si="24"/>
        <v>19</v>
      </c>
      <c r="N231" s="16">
        <f t="shared" si="24"/>
        <v>0</v>
      </c>
      <c r="O231" s="16">
        <f t="shared" si="24"/>
        <v>4</v>
      </c>
    </row>
    <row r="232" spans="1:15" x14ac:dyDescent="0.25">
      <c r="A232" s="12" t="s">
        <v>182</v>
      </c>
      <c r="B232" s="23">
        <v>161</v>
      </c>
      <c r="C232" s="23">
        <v>688</v>
      </c>
      <c r="D232" s="19">
        <v>89</v>
      </c>
      <c r="E232" s="19">
        <v>162</v>
      </c>
      <c r="F232" s="19">
        <v>149</v>
      </c>
      <c r="G232" s="19">
        <v>325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19</v>
      </c>
      <c r="N232" s="19">
        <v>0</v>
      </c>
      <c r="O232" s="19">
        <v>4</v>
      </c>
    </row>
    <row r="233" spans="1:15" x14ac:dyDescent="0.25">
      <c r="A233" s="12" t="s">
        <v>204</v>
      </c>
      <c r="B233" s="23">
        <v>299</v>
      </c>
      <c r="C233" s="23">
        <v>1228</v>
      </c>
      <c r="D233" s="19">
        <v>80</v>
      </c>
      <c r="E233" s="19">
        <v>214</v>
      </c>
      <c r="F233" s="23">
        <v>35</v>
      </c>
      <c r="G233" s="23">
        <v>142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</row>
    <row r="234" spans="1:15" x14ac:dyDescent="0.25">
      <c r="A234" s="12" t="s">
        <v>205</v>
      </c>
      <c r="B234" s="23">
        <v>37</v>
      </c>
      <c r="C234" s="23">
        <v>183</v>
      </c>
      <c r="D234" s="19">
        <v>8</v>
      </c>
      <c r="E234" s="19">
        <v>17</v>
      </c>
      <c r="F234" s="23">
        <v>2</v>
      </c>
      <c r="G234" s="23">
        <v>18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</row>
    <row r="235" spans="1:15" x14ac:dyDescent="0.25">
      <c r="A235" s="12" t="s">
        <v>48</v>
      </c>
      <c r="B235" s="23">
        <v>135</v>
      </c>
      <c r="C235" s="23">
        <v>573</v>
      </c>
      <c r="D235" s="19">
        <v>32</v>
      </c>
      <c r="E235" s="19">
        <v>43</v>
      </c>
      <c r="F235" s="23">
        <v>29</v>
      </c>
      <c r="G235" s="23">
        <v>115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</row>
    <row r="236" spans="1:15" x14ac:dyDescent="0.25">
      <c r="A236" s="12" t="s">
        <v>206</v>
      </c>
      <c r="B236" s="23">
        <v>161</v>
      </c>
      <c r="C236" s="23">
        <v>688</v>
      </c>
      <c r="D236" s="19">
        <v>59</v>
      </c>
      <c r="E236" s="19">
        <v>162</v>
      </c>
      <c r="F236" s="23">
        <v>22</v>
      </c>
      <c r="G236" s="23">
        <v>70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</row>
    <row r="237" spans="1:15" x14ac:dyDescent="0.25">
      <c r="A237" s="20" t="s">
        <v>80</v>
      </c>
      <c r="B237" s="26">
        <v>83</v>
      </c>
      <c r="C237" s="26">
        <v>302</v>
      </c>
      <c r="D237" s="27">
        <v>47</v>
      </c>
      <c r="E237" s="27">
        <v>65</v>
      </c>
      <c r="F237" s="26">
        <v>9</v>
      </c>
      <c r="G237" s="26">
        <v>40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</row>
    <row r="238" spans="1:15" x14ac:dyDescent="0.25">
      <c r="A238" s="5" t="s">
        <v>10</v>
      </c>
      <c r="B238" s="21"/>
      <c r="C238" s="21"/>
      <c r="D238" s="22"/>
      <c r="E238" s="22"/>
      <c r="F238" s="30"/>
      <c r="G238" s="30"/>
    </row>
    <row r="239" spans="1:15" x14ac:dyDescent="0.25">
      <c r="A239" s="6" t="s">
        <v>207</v>
      </c>
      <c r="B239" s="21"/>
      <c r="C239" s="21"/>
      <c r="D239" s="21"/>
      <c r="E239" s="21"/>
      <c r="F239" s="21"/>
      <c r="G239" s="21"/>
      <c r="J239" s="21"/>
      <c r="K239" s="21"/>
      <c r="L239" s="21"/>
      <c r="M239" s="21"/>
      <c r="N239" s="21"/>
      <c r="O239" s="21"/>
    </row>
    <row r="243" spans="1:15" ht="21" x14ac:dyDescent="0.25">
      <c r="A243" s="28" t="s">
        <v>209</v>
      </c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x14ac:dyDescent="0.25">
      <c r="A244" s="29" t="s">
        <v>208</v>
      </c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</row>
    <row r="245" spans="1:15" x14ac:dyDescent="0.25">
      <c r="A245" s="31" t="s">
        <v>1</v>
      </c>
      <c r="B245" s="33" t="s">
        <v>2</v>
      </c>
      <c r="C245" s="34"/>
      <c r="D245" s="35" t="s">
        <v>3</v>
      </c>
      <c r="E245" s="36"/>
      <c r="F245" s="35" t="s">
        <v>4</v>
      </c>
      <c r="G245" s="36"/>
      <c r="H245" s="35" t="s">
        <v>11</v>
      </c>
      <c r="I245" s="36"/>
      <c r="J245" s="35" t="s">
        <v>5</v>
      </c>
      <c r="K245" s="36"/>
      <c r="L245" s="35" t="s">
        <v>6</v>
      </c>
      <c r="M245" s="36"/>
      <c r="N245" s="35" t="s">
        <v>7</v>
      </c>
      <c r="O245" s="37"/>
    </row>
    <row r="246" spans="1:15" ht="30" x14ac:dyDescent="0.25">
      <c r="A246" s="32"/>
      <c r="B246" s="7" t="s">
        <v>8</v>
      </c>
      <c r="C246" s="7" t="s">
        <v>9</v>
      </c>
      <c r="D246" s="7" t="s">
        <v>8</v>
      </c>
      <c r="E246" s="7" t="s">
        <v>9</v>
      </c>
      <c r="F246" s="7" t="s">
        <v>8</v>
      </c>
      <c r="G246" s="7" t="s">
        <v>9</v>
      </c>
      <c r="H246" s="7" t="s">
        <v>8</v>
      </c>
      <c r="I246" s="7" t="s">
        <v>9</v>
      </c>
      <c r="J246" s="7" t="s">
        <v>8</v>
      </c>
      <c r="K246" s="7" t="s">
        <v>9</v>
      </c>
      <c r="L246" s="7" t="s">
        <v>8</v>
      </c>
      <c r="M246" s="8" t="s">
        <v>9</v>
      </c>
      <c r="N246" s="7" t="s">
        <v>8</v>
      </c>
      <c r="O246" s="8" t="s">
        <v>9</v>
      </c>
    </row>
    <row r="247" spans="1:15" x14ac:dyDescent="0.25">
      <c r="A247" s="9" t="s">
        <v>0</v>
      </c>
      <c r="B247" s="10">
        <f t="shared" ref="B247:I247" si="25">B248+B264+B282+B298+B313+B330+B345+B351+B362+B372+B384+B391+B401+B408+B417+B432+B446+B457+B468+B471</f>
        <v>34625</v>
      </c>
      <c r="C247" s="10">
        <f t="shared" si="25"/>
        <v>76449</v>
      </c>
      <c r="D247" s="10">
        <f t="shared" si="25"/>
        <v>17687</v>
      </c>
      <c r="E247" s="10">
        <f t="shared" si="25"/>
        <v>28253</v>
      </c>
      <c r="F247" s="10">
        <f t="shared" si="25"/>
        <v>4538</v>
      </c>
      <c r="G247" s="10">
        <f t="shared" si="25"/>
        <v>9879</v>
      </c>
      <c r="H247" s="10">
        <f t="shared" si="25"/>
        <v>0</v>
      </c>
      <c r="I247" s="10">
        <f t="shared" si="25"/>
        <v>0</v>
      </c>
      <c r="J247" s="10">
        <f>J248+J264+J282+J298+J313+J330+J345+J351+J362+J372+J384+J391+J401+J408+J417+J432+J446+J457+J468+J471</f>
        <v>0</v>
      </c>
      <c r="K247" s="10">
        <f>K248+K264+K282+K298+K313+K330+K345+K351+K362+K372+K384+K391+K401+K408+K417+K432+K446+K457+K468+K471</f>
        <v>37</v>
      </c>
      <c r="L247" s="10">
        <f t="shared" ref="L247:O247" si="26">L248+L264+L282+L298+L313+L330+L345+L351+L362+L372+L384+L391+L401+L408+L417+L432+L446+L457+L468+L471</f>
        <v>67</v>
      </c>
      <c r="M247" s="10">
        <f t="shared" si="26"/>
        <v>456</v>
      </c>
      <c r="N247" s="10">
        <f t="shared" si="26"/>
        <v>25</v>
      </c>
      <c r="O247" s="10">
        <f t="shared" si="26"/>
        <v>37</v>
      </c>
    </row>
    <row r="248" spans="1:15" x14ac:dyDescent="0.25">
      <c r="A248" s="11" t="s">
        <v>12</v>
      </c>
      <c r="B248" s="10">
        <f t="shared" ref="B248:O248" si="27">SUM(B249:B262)</f>
        <v>1904</v>
      </c>
      <c r="C248" s="10">
        <f t="shared" si="27"/>
        <v>3093</v>
      </c>
      <c r="D248" s="10">
        <f t="shared" si="27"/>
        <v>1497</v>
      </c>
      <c r="E248" s="10">
        <f t="shared" si="27"/>
        <v>1888</v>
      </c>
      <c r="F248" s="10">
        <f t="shared" si="27"/>
        <v>234</v>
      </c>
      <c r="G248" s="10">
        <f t="shared" si="27"/>
        <v>407</v>
      </c>
      <c r="H248" s="10">
        <f t="shared" si="27"/>
        <v>0</v>
      </c>
      <c r="I248" s="10">
        <f t="shared" si="27"/>
        <v>0</v>
      </c>
      <c r="J248" s="10">
        <f t="shared" si="27"/>
        <v>0</v>
      </c>
      <c r="K248" s="10">
        <f t="shared" si="27"/>
        <v>0</v>
      </c>
      <c r="L248" s="10">
        <f t="shared" si="27"/>
        <v>15</v>
      </c>
      <c r="M248" s="10">
        <f t="shared" si="27"/>
        <v>38</v>
      </c>
      <c r="N248" s="10">
        <f t="shared" si="27"/>
        <v>2</v>
      </c>
      <c r="O248" s="10">
        <f t="shared" si="27"/>
        <v>1</v>
      </c>
    </row>
    <row r="249" spans="1:15" x14ac:dyDescent="0.25">
      <c r="A249" s="12" t="s">
        <v>13</v>
      </c>
      <c r="B249" s="19">
        <v>32</v>
      </c>
      <c r="C249" s="19">
        <v>74</v>
      </c>
      <c r="D249" s="19">
        <v>1</v>
      </c>
      <c r="E249" s="19">
        <v>1</v>
      </c>
      <c r="F249" s="23">
        <v>10</v>
      </c>
      <c r="G249" s="23">
        <v>15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</row>
    <row r="250" spans="1:15" x14ac:dyDescent="0.25">
      <c r="A250" s="12" t="s">
        <v>14</v>
      </c>
      <c r="B250" s="19">
        <v>23</v>
      </c>
      <c r="C250" s="19">
        <v>57</v>
      </c>
      <c r="D250" s="19">
        <v>5</v>
      </c>
      <c r="E250" s="19">
        <v>7</v>
      </c>
      <c r="F250" s="23">
        <v>6</v>
      </c>
      <c r="G250" s="23">
        <v>15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</row>
    <row r="251" spans="1:15" x14ac:dyDescent="0.25">
      <c r="A251" s="12" t="s">
        <v>15</v>
      </c>
      <c r="B251" s="19">
        <v>14</v>
      </c>
      <c r="C251" s="19">
        <v>25</v>
      </c>
      <c r="D251" s="19">
        <v>4</v>
      </c>
      <c r="E251" s="19">
        <v>15</v>
      </c>
      <c r="F251" s="23">
        <v>0</v>
      </c>
      <c r="G251" s="23">
        <v>0</v>
      </c>
      <c r="H251" s="19">
        <v>0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</row>
    <row r="252" spans="1:15" x14ac:dyDescent="0.25">
      <c r="A252" s="12" t="s">
        <v>16</v>
      </c>
      <c r="B252" s="19">
        <v>245</v>
      </c>
      <c r="C252" s="19">
        <v>407</v>
      </c>
      <c r="D252" s="19">
        <v>86</v>
      </c>
      <c r="E252" s="19">
        <v>171</v>
      </c>
      <c r="F252" s="23">
        <v>23</v>
      </c>
      <c r="G252" s="23">
        <v>52</v>
      </c>
      <c r="H252" s="19">
        <v>0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</row>
    <row r="253" spans="1:15" x14ac:dyDescent="0.25">
      <c r="A253" s="12" t="s">
        <v>17</v>
      </c>
      <c r="B253" s="19">
        <v>367</v>
      </c>
      <c r="C253" s="19">
        <v>417</v>
      </c>
      <c r="D253" s="19">
        <v>336</v>
      </c>
      <c r="E253" s="19">
        <v>350</v>
      </c>
      <c r="F253" s="23">
        <v>106</v>
      </c>
      <c r="G253" s="23">
        <v>186</v>
      </c>
      <c r="H253" s="19">
        <v>0</v>
      </c>
      <c r="I253" s="19">
        <v>0</v>
      </c>
      <c r="J253" s="19">
        <v>0</v>
      </c>
      <c r="K253" s="19">
        <v>0</v>
      </c>
      <c r="L253" s="19">
        <v>6</v>
      </c>
      <c r="M253" s="19">
        <v>5</v>
      </c>
      <c r="N253" s="19">
        <v>0</v>
      </c>
      <c r="O253" s="19">
        <v>0</v>
      </c>
    </row>
    <row r="254" spans="1:15" x14ac:dyDescent="0.25">
      <c r="A254" s="12" t="s">
        <v>18</v>
      </c>
      <c r="B254" s="19">
        <v>96</v>
      </c>
      <c r="C254" s="19">
        <v>326</v>
      </c>
      <c r="D254" s="19">
        <v>40</v>
      </c>
      <c r="E254" s="19">
        <v>116</v>
      </c>
      <c r="F254" s="23">
        <v>17</v>
      </c>
      <c r="G254" s="23">
        <v>25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</row>
    <row r="255" spans="1:15" x14ac:dyDescent="0.25">
      <c r="A255" s="12" t="s">
        <v>19</v>
      </c>
      <c r="B255" s="19">
        <v>46</v>
      </c>
      <c r="C255" s="19">
        <v>115</v>
      </c>
      <c r="D255" s="19">
        <v>20</v>
      </c>
      <c r="E255" s="19">
        <v>40</v>
      </c>
      <c r="F255" s="23">
        <v>3</v>
      </c>
      <c r="G255" s="23">
        <v>10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</row>
    <row r="256" spans="1:15" x14ac:dyDescent="0.25">
      <c r="A256" s="12" t="s">
        <v>20</v>
      </c>
      <c r="B256" s="19">
        <v>959</v>
      </c>
      <c r="C256" s="19">
        <v>1476</v>
      </c>
      <c r="D256" s="19">
        <v>448</v>
      </c>
      <c r="E256" s="19">
        <v>601</v>
      </c>
      <c r="F256" s="23">
        <v>24</v>
      </c>
      <c r="G256" s="23">
        <v>36</v>
      </c>
      <c r="H256" s="19">
        <v>0</v>
      </c>
      <c r="I256" s="19">
        <v>0</v>
      </c>
      <c r="J256" s="19">
        <v>0</v>
      </c>
      <c r="K256" s="19">
        <v>0</v>
      </c>
      <c r="L256" s="19">
        <v>9</v>
      </c>
      <c r="M256" s="19">
        <v>29</v>
      </c>
      <c r="N256" s="19">
        <v>2</v>
      </c>
      <c r="O256" s="19">
        <v>1</v>
      </c>
    </row>
    <row r="257" spans="1:15" x14ac:dyDescent="0.25">
      <c r="A257" s="12" t="s">
        <v>21</v>
      </c>
      <c r="B257" s="19">
        <v>1</v>
      </c>
      <c r="C257" s="19">
        <v>9</v>
      </c>
      <c r="D257" s="19">
        <v>1</v>
      </c>
      <c r="E257" s="19">
        <v>4</v>
      </c>
      <c r="F257" s="23">
        <v>0</v>
      </c>
      <c r="G257" s="23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19">
        <v>4</v>
      </c>
      <c r="N257" s="19">
        <v>0</v>
      </c>
      <c r="O257" s="19">
        <v>0</v>
      </c>
    </row>
    <row r="258" spans="1:15" x14ac:dyDescent="0.25">
      <c r="A258" s="12" t="s">
        <v>22</v>
      </c>
      <c r="B258" s="19">
        <v>34</v>
      </c>
      <c r="C258" s="19">
        <v>39</v>
      </c>
      <c r="D258" s="19">
        <v>187</v>
      </c>
      <c r="E258" s="19">
        <v>124</v>
      </c>
      <c r="F258" s="23">
        <v>19</v>
      </c>
      <c r="G258" s="23">
        <v>26</v>
      </c>
      <c r="H258" s="19">
        <v>0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</row>
    <row r="259" spans="1:15" x14ac:dyDescent="0.25">
      <c r="A259" s="12" t="s">
        <v>23</v>
      </c>
      <c r="B259" s="19">
        <v>29</v>
      </c>
      <c r="C259" s="19">
        <v>55</v>
      </c>
      <c r="D259" s="19">
        <v>18</v>
      </c>
      <c r="E259" s="19">
        <v>19</v>
      </c>
      <c r="F259" s="23">
        <v>10</v>
      </c>
      <c r="G259" s="23">
        <v>11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</row>
    <row r="260" spans="1:15" x14ac:dyDescent="0.25">
      <c r="A260" s="12" t="s">
        <v>24</v>
      </c>
      <c r="B260" s="19">
        <v>50</v>
      </c>
      <c r="C260" s="19">
        <v>63</v>
      </c>
      <c r="D260" s="19">
        <v>63</v>
      </c>
      <c r="E260" s="19">
        <v>71</v>
      </c>
      <c r="F260" s="23">
        <v>1</v>
      </c>
      <c r="G260" s="23">
        <v>7</v>
      </c>
      <c r="H260" s="19">
        <v>0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</row>
    <row r="261" spans="1:15" x14ac:dyDescent="0.25">
      <c r="A261" s="12" t="s">
        <v>25</v>
      </c>
      <c r="B261" s="19">
        <v>7</v>
      </c>
      <c r="C261" s="19">
        <v>28</v>
      </c>
      <c r="D261" s="19">
        <v>113</v>
      </c>
      <c r="E261" s="19">
        <v>99</v>
      </c>
      <c r="F261" s="23">
        <v>3</v>
      </c>
      <c r="G261" s="23">
        <v>2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</row>
    <row r="262" spans="1:15" x14ac:dyDescent="0.25">
      <c r="A262" s="13" t="s">
        <v>26</v>
      </c>
      <c r="B262" s="24">
        <v>1</v>
      </c>
      <c r="C262" s="24">
        <v>2</v>
      </c>
      <c r="D262" s="24">
        <v>175</v>
      </c>
      <c r="E262" s="24">
        <v>270</v>
      </c>
      <c r="F262" s="25">
        <v>12</v>
      </c>
      <c r="G262" s="25">
        <v>22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24">
        <v>0</v>
      </c>
      <c r="O262" s="24">
        <v>0</v>
      </c>
    </row>
    <row r="263" spans="1:15" x14ac:dyDescent="0.25">
      <c r="A263" s="12"/>
      <c r="B263" s="14"/>
      <c r="C263" s="14"/>
      <c r="D263" s="14"/>
      <c r="E263" s="14"/>
      <c r="F263" s="14"/>
      <c r="G263" s="14"/>
      <c r="H263" s="14"/>
      <c r="I263" s="14"/>
      <c r="L263" s="14"/>
      <c r="M263" s="14"/>
      <c r="N263" s="14"/>
      <c r="O263" s="14"/>
    </row>
    <row r="264" spans="1:15" x14ac:dyDescent="0.25">
      <c r="A264" s="11" t="s">
        <v>27</v>
      </c>
      <c r="B264" s="10">
        <f>B265+B266+B267+B268+B269+B270+B271+B272+B273+B274+B275+B276+B277+B278+B279+B280</f>
        <v>3600</v>
      </c>
      <c r="C264" s="10">
        <f t="shared" ref="C264:O264" si="28">SUM(C265:C280)</f>
        <v>7525</v>
      </c>
      <c r="D264" s="10">
        <f t="shared" si="28"/>
        <v>2290</v>
      </c>
      <c r="E264" s="10">
        <f t="shared" si="28"/>
        <v>3224</v>
      </c>
      <c r="F264" s="15">
        <f t="shared" si="28"/>
        <v>444</v>
      </c>
      <c r="G264" s="15">
        <f t="shared" si="28"/>
        <v>810</v>
      </c>
      <c r="H264" s="10">
        <f t="shared" si="28"/>
        <v>0</v>
      </c>
      <c r="I264" s="10">
        <f t="shared" si="28"/>
        <v>0</v>
      </c>
      <c r="J264" s="10">
        <f t="shared" si="28"/>
        <v>0</v>
      </c>
      <c r="K264" s="10">
        <f t="shared" si="28"/>
        <v>2</v>
      </c>
      <c r="L264" s="10">
        <f t="shared" si="28"/>
        <v>14</v>
      </c>
      <c r="M264" s="10">
        <f t="shared" si="28"/>
        <v>100</v>
      </c>
      <c r="N264" s="10">
        <f t="shared" si="28"/>
        <v>6</v>
      </c>
      <c r="O264" s="10">
        <f t="shared" si="28"/>
        <v>9</v>
      </c>
    </row>
    <row r="265" spans="1:15" x14ac:dyDescent="0.25">
      <c r="A265" s="12" t="s">
        <v>28</v>
      </c>
      <c r="B265" s="19">
        <v>0</v>
      </c>
      <c r="C265" s="19">
        <v>0</v>
      </c>
      <c r="D265" s="19">
        <v>0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</row>
    <row r="266" spans="1:15" x14ac:dyDescent="0.25">
      <c r="A266" s="12" t="s">
        <v>29</v>
      </c>
      <c r="B266" s="19">
        <v>393</v>
      </c>
      <c r="C266" s="19">
        <v>840</v>
      </c>
      <c r="D266" s="19">
        <v>222</v>
      </c>
      <c r="E266" s="19">
        <v>289</v>
      </c>
      <c r="F266" s="19">
        <v>19</v>
      </c>
      <c r="G266" s="19">
        <v>49</v>
      </c>
      <c r="H266" s="19">
        <v>0</v>
      </c>
      <c r="I266" s="19">
        <v>0</v>
      </c>
      <c r="J266" s="19">
        <v>0</v>
      </c>
      <c r="K266" s="19">
        <v>1</v>
      </c>
      <c r="L266" s="19">
        <v>1</v>
      </c>
      <c r="M266" s="19">
        <v>30</v>
      </c>
      <c r="N266" s="19">
        <v>0</v>
      </c>
      <c r="O266" s="19">
        <v>0</v>
      </c>
    </row>
    <row r="267" spans="1:15" x14ac:dyDescent="0.25">
      <c r="A267" s="12" t="s">
        <v>30</v>
      </c>
      <c r="B267" s="19">
        <v>0</v>
      </c>
      <c r="C267" s="19">
        <v>0</v>
      </c>
      <c r="D267" s="19">
        <v>14</v>
      </c>
      <c r="E267" s="19">
        <v>74</v>
      </c>
      <c r="F267" s="19">
        <v>0</v>
      </c>
      <c r="G267" s="19">
        <v>1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</row>
    <row r="268" spans="1:15" x14ac:dyDescent="0.25">
      <c r="A268" s="12" t="s">
        <v>31</v>
      </c>
      <c r="B268" s="19">
        <v>8</v>
      </c>
      <c r="C268" s="19">
        <v>24</v>
      </c>
      <c r="D268" s="19">
        <v>49</v>
      </c>
      <c r="E268" s="19">
        <v>56</v>
      </c>
      <c r="F268" s="23">
        <v>0</v>
      </c>
      <c r="G268" s="23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</row>
    <row r="269" spans="1:15" x14ac:dyDescent="0.25">
      <c r="A269" s="12" t="s">
        <v>32</v>
      </c>
      <c r="B269" s="19">
        <v>53</v>
      </c>
      <c r="C269" s="19">
        <v>67</v>
      </c>
      <c r="D269" s="19">
        <v>27</v>
      </c>
      <c r="E269" s="19">
        <v>21</v>
      </c>
      <c r="F269" s="23">
        <v>7</v>
      </c>
      <c r="G269" s="23">
        <v>10</v>
      </c>
      <c r="H269" s="19">
        <v>0</v>
      </c>
      <c r="I269" s="19">
        <v>0</v>
      </c>
      <c r="J269" s="19">
        <v>0</v>
      </c>
      <c r="K269" s="19">
        <v>1</v>
      </c>
      <c r="L269" s="19">
        <v>0</v>
      </c>
      <c r="M269" s="19">
        <v>0</v>
      </c>
      <c r="N269" s="19">
        <v>0</v>
      </c>
      <c r="O269" s="19">
        <v>0</v>
      </c>
    </row>
    <row r="270" spans="1:15" x14ac:dyDescent="0.25">
      <c r="A270" s="12" t="s">
        <v>33</v>
      </c>
      <c r="B270" s="19">
        <v>1</v>
      </c>
      <c r="C270" s="19">
        <v>1</v>
      </c>
      <c r="D270" s="19">
        <v>119</v>
      </c>
      <c r="E270" s="19">
        <v>121</v>
      </c>
      <c r="F270" s="23">
        <v>37</v>
      </c>
      <c r="G270" s="23">
        <v>36</v>
      </c>
      <c r="H270" s="19">
        <v>0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</row>
    <row r="271" spans="1:15" x14ac:dyDescent="0.25">
      <c r="A271" s="12" t="s">
        <v>34</v>
      </c>
      <c r="B271" s="19">
        <v>3</v>
      </c>
      <c r="C271" s="19">
        <v>3</v>
      </c>
      <c r="D271" s="19">
        <v>129</v>
      </c>
      <c r="E271" s="19">
        <v>188</v>
      </c>
      <c r="F271" s="23">
        <v>23</v>
      </c>
      <c r="G271" s="23">
        <v>15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</row>
    <row r="272" spans="1:15" x14ac:dyDescent="0.25">
      <c r="A272" s="12" t="s">
        <v>35</v>
      </c>
      <c r="B272" s="19">
        <v>473</v>
      </c>
      <c r="C272" s="19">
        <v>836</v>
      </c>
      <c r="D272" s="19">
        <v>290</v>
      </c>
      <c r="E272" s="19">
        <v>386</v>
      </c>
      <c r="F272" s="23">
        <v>72</v>
      </c>
      <c r="G272" s="23">
        <v>159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  <c r="M272" s="19">
        <v>1</v>
      </c>
      <c r="N272" s="19">
        <v>0</v>
      </c>
      <c r="O272" s="19">
        <v>1</v>
      </c>
    </row>
    <row r="273" spans="1:15" x14ac:dyDescent="0.25">
      <c r="A273" s="12" t="s">
        <v>36</v>
      </c>
      <c r="B273" s="19">
        <v>76</v>
      </c>
      <c r="C273" s="19">
        <v>191</v>
      </c>
      <c r="D273" s="19">
        <v>43</v>
      </c>
      <c r="E273" s="19">
        <v>29</v>
      </c>
      <c r="F273" s="23">
        <v>7</v>
      </c>
      <c r="G273" s="23">
        <v>16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</row>
    <row r="274" spans="1:15" x14ac:dyDescent="0.25">
      <c r="A274" s="12" t="s">
        <v>37</v>
      </c>
      <c r="B274" s="19">
        <v>0</v>
      </c>
      <c r="C274" s="19">
        <v>0</v>
      </c>
      <c r="D274" s="19">
        <v>0</v>
      </c>
      <c r="E274" s="19">
        <v>0</v>
      </c>
      <c r="F274" s="19">
        <v>0</v>
      </c>
      <c r="G274" s="19">
        <v>0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</row>
    <row r="275" spans="1:15" x14ac:dyDescent="0.25">
      <c r="A275" s="12" t="s">
        <v>38</v>
      </c>
      <c r="B275" s="19">
        <v>2194</v>
      </c>
      <c r="C275" s="19">
        <v>4599</v>
      </c>
      <c r="D275" s="19">
        <v>822</v>
      </c>
      <c r="E275" s="19">
        <v>1309</v>
      </c>
      <c r="F275" s="23">
        <v>206</v>
      </c>
      <c r="G275" s="23">
        <v>362</v>
      </c>
      <c r="H275" s="19">
        <v>0</v>
      </c>
      <c r="I275" s="19">
        <v>0</v>
      </c>
      <c r="J275" s="19">
        <v>0</v>
      </c>
      <c r="K275" s="19">
        <v>0</v>
      </c>
      <c r="L275" s="19">
        <v>7</v>
      </c>
      <c r="M275" s="19">
        <v>61</v>
      </c>
      <c r="N275" s="19">
        <v>6</v>
      </c>
      <c r="O275" s="19">
        <v>8</v>
      </c>
    </row>
    <row r="276" spans="1:15" x14ac:dyDescent="0.25">
      <c r="A276" s="12" t="s">
        <v>39</v>
      </c>
      <c r="B276" s="19">
        <v>123</v>
      </c>
      <c r="C276" s="19">
        <v>341</v>
      </c>
      <c r="D276" s="19">
        <v>130</v>
      </c>
      <c r="E276" s="19">
        <v>188</v>
      </c>
      <c r="F276" s="23">
        <v>12</v>
      </c>
      <c r="G276" s="23">
        <v>35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</row>
    <row r="277" spans="1:15" x14ac:dyDescent="0.25">
      <c r="A277" s="12" t="s">
        <v>40</v>
      </c>
      <c r="B277" s="19">
        <v>62</v>
      </c>
      <c r="C277" s="19">
        <v>92</v>
      </c>
      <c r="D277" s="19">
        <v>70</v>
      </c>
      <c r="E277" s="19">
        <v>74</v>
      </c>
      <c r="F277" s="23">
        <v>17</v>
      </c>
      <c r="G277" s="23">
        <v>31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</row>
    <row r="278" spans="1:15" x14ac:dyDescent="0.25">
      <c r="A278" s="12" t="s">
        <v>41</v>
      </c>
      <c r="B278" s="19">
        <v>142</v>
      </c>
      <c r="C278" s="19">
        <v>271</v>
      </c>
      <c r="D278" s="19">
        <v>107</v>
      </c>
      <c r="E278" s="19">
        <v>159</v>
      </c>
      <c r="F278" s="23">
        <v>7</v>
      </c>
      <c r="G278" s="23">
        <v>17</v>
      </c>
      <c r="H278" s="19">
        <v>0</v>
      </c>
      <c r="I278" s="19">
        <v>0</v>
      </c>
      <c r="J278" s="19">
        <v>0</v>
      </c>
      <c r="K278" s="19">
        <v>0</v>
      </c>
      <c r="L278" s="19">
        <v>0</v>
      </c>
      <c r="M278" s="19">
        <v>1</v>
      </c>
      <c r="N278" s="19">
        <v>0</v>
      </c>
      <c r="O278" s="19">
        <v>0</v>
      </c>
    </row>
    <row r="279" spans="1:15" x14ac:dyDescent="0.25">
      <c r="A279" s="12" t="s">
        <v>42</v>
      </c>
      <c r="B279" s="19">
        <v>0</v>
      </c>
      <c r="C279" s="19">
        <v>0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</row>
    <row r="280" spans="1:15" x14ac:dyDescent="0.25">
      <c r="A280" s="13" t="s">
        <v>43</v>
      </c>
      <c r="B280" s="24">
        <v>72</v>
      </c>
      <c r="C280" s="24">
        <v>260</v>
      </c>
      <c r="D280" s="24">
        <v>268</v>
      </c>
      <c r="E280" s="24">
        <v>330</v>
      </c>
      <c r="F280" s="25">
        <v>37</v>
      </c>
      <c r="G280" s="25">
        <v>79</v>
      </c>
      <c r="H280" s="24">
        <v>0</v>
      </c>
      <c r="I280" s="24">
        <v>0</v>
      </c>
      <c r="J280" s="24">
        <v>0</v>
      </c>
      <c r="K280" s="24">
        <v>0</v>
      </c>
      <c r="L280" s="24">
        <v>6</v>
      </c>
      <c r="M280" s="24">
        <v>7</v>
      </c>
      <c r="N280" s="24">
        <v>0</v>
      </c>
      <c r="O280" s="24">
        <v>0</v>
      </c>
    </row>
    <row r="281" spans="1:15" x14ac:dyDescent="0.25">
      <c r="A281" s="11"/>
      <c r="B281" s="16"/>
      <c r="C281" s="16"/>
      <c r="D281" s="16"/>
      <c r="E281" s="16"/>
      <c r="F281" s="16"/>
      <c r="G281" s="16"/>
      <c r="H281" s="16"/>
      <c r="I281" s="16"/>
      <c r="J281" s="3"/>
      <c r="K281" s="3"/>
      <c r="L281" s="16"/>
      <c r="M281" s="16"/>
      <c r="N281" s="16"/>
      <c r="O281" s="16"/>
    </row>
    <row r="282" spans="1:15" x14ac:dyDescent="0.25">
      <c r="A282" s="11" t="s">
        <v>44</v>
      </c>
      <c r="B282" s="10">
        <f t="shared" ref="B282:O282" si="29">SUM(B283:B296)</f>
        <v>1579</v>
      </c>
      <c r="C282" s="10">
        <f t="shared" si="29"/>
        <v>3134</v>
      </c>
      <c r="D282" s="10">
        <f t="shared" si="29"/>
        <v>720</v>
      </c>
      <c r="E282" s="10">
        <f t="shared" si="29"/>
        <v>1048</v>
      </c>
      <c r="F282" s="15">
        <f t="shared" si="29"/>
        <v>137</v>
      </c>
      <c r="G282" s="15">
        <f t="shared" si="29"/>
        <v>291</v>
      </c>
      <c r="H282" s="10">
        <f t="shared" si="29"/>
        <v>0</v>
      </c>
      <c r="I282" s="10">
        <f t="shared" si="29"/>
        <v>0</v>
      </c>
      <c r="J282" s="10">
        <f t="shared" si="29"/>
        <v>0</v>
      </c>
      <c r="K282" s="10">
        <f t="shared" si="29"/>
        <v>0</v>
      </c>
      <c r="L282" s="10">
        <f t="shared" si="29"/>
        <v>0</v>
      </c>
      <c r="M282" s="10">
        <f t="shared" si="29"/>
        <v>3</v>
      </c>
      <c r="N282" s="10">
        <f t="shared" si="29"/>
        <v>0</v>
      </c>
      <c r="O282" s="10">
        <f t="shared" si="29"/>
        <v>0</v>
      </c>
    </row>
    <row r="283" spans="1:15" x14ac:dyDescent="0.25">
      <c r="A283" s="12" t="s">
        <v>45</v>
      </c>
      <c r="B283" s="19">
        <v>138</v>
      </c>
      <c r="C283" s="19">
        <v>439</v>
      </c>
      <c r="D283" s="19">
        <v>141</v>
      </c>
      <c r="E283" s="19">
        <v>146</v>
      </c>
      <c r="F283" s="23">
        <v>9</v>
      </c>
      <c r="G283" s="23">
        <v>29</v>
      </c>
      <c r="H283" s="19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v>0</v>
      </c>
    </row>
    <row r="284" spans="1:15" x14ac:dyDescent="0.25">
      <c r="A284" s="12" t="s">
        <v>46</v>
      </c>
      <c r="B284" s="19">
        <v>27</v>
      </c>
      <c r="C284" s="19">
        <v>66</v>
      </c>
      <c r="D284" s="19">
        <v>36</v>
      </c>
      <c r="E284" s="19">
        <v>58</v>
      </c>
      <c r="F284" s="19">
        <v>0</v>
      </c>
      <c r="G284" s="19">
        <v>1</v>
      </c>
      <c r="H284" s="19">
        <v>0</v>
      </c>
      <c r="I284" s="19">
        <v>0</v>
      </c>
      <c r="J284" s="19">
        <v>0</v>
      </c>
      <c r="K284" s="19">
        <v>0</v>
      </c>
      <c r="L284" s="19">
        <v>0</v>
      </c>
      <c r="M284" s="19">
        <v>0</v>
      </c>
      <c r="N284" s="19">
        <v>0</v>
      </c>
      <c r="O284" s="19">
        <v>0</v>
      </c>
    </row>
    <row r="285" spans="1:15" x14ac:dyDescent="0.25">
      <c r="A285" s="12" t="s">
        <v>47</v>
      </c>
      <c r="B285" s="19">
        <v>30</v>
      </c>
      <c r="C285" s="19">
        <v>81</v>
      </c>
      <c r="D285" s="19">
        <v>32</v>
      </c>
      <c r="E285" s="19">
        <v>47</v>
      </c>
      <c r="F285" s="19">
        <v>22</v>
      </c>
      <c r="G285" s="19">
        <v>34</v>
      </c>
      <c r="H285" s="19">
        <v>0</v>
      </c>
      <c r="I285" s="19">
        <v>0</v>
      </c>
      <c r="J285" s="19">
        <v>0</v>
      </c>
      <c r="K285" s="19">
        <v>0</v>
      </c>
      <c r="L285" s="19">
        <v>0</v>
      </c>
      <c r="M285" s="19">
        <v>0</v>
      </c>
      <c r="N285" s="19">
        <v>0</v>
      </c>
      <c r="O285" s="19">
        <v>0</v>
      </c>
    </row>
    <row r="286" spans="1:15" x14ac:dyDescent="0.25">
      <c r="A286" s="12" t="s">
        <v>48</v>
      </c>
      <c r="B286" s="19">
        <v>152</v>
      </c>
      <c r="C286" s="19">
        <v>290</v>
      </c>
      <c r="D286" s="19">
        <v>18</v>
      </c>
      <c r="E286" s="19">
        <v>30</v>
      </c>
      <c r="F286" s="23">
        <v>3</v>
      </c>
      <c r="G286" s="23">
        <v>4</v>
      </c>
      <c r="H286" s="19">
        <v>0</v>
      </c>
      <c r="I286" s="19">
        <v>0</v>
      </c>
      <c r="J286" s="19">
        <v>0</v>
      </c>
      <c r="K286" s="19">
        <v>0</v>
      </c>
      <c r="L286" s="19">
        <v>0</v>
      </c>
      <c r="M286" s="19">
        <v>0</v>
      </c>
      <c r="N286" s="19">
        <v>0</v>
      </c>
      <c r="O286" s="19">
        <v>0</v>
      </c>
    </row>
    <row r="287" spans="1:15" x14ac:dyDescent="0.25">
      <c r="A287" s="12" t="s">
        <v>49</v>
      </c>
      <c r="B287" s="19">
        <v>31</v>
      </c>
      <c r="C287" s="19">
        <v>31</v>
      </c>
      <c r="D287" s="19">
        <v>83</v>
      </c>
      <c r="E287" s="19">
        <v>122</v>
      </c>
      <c r="F287" s="23">
        <v>3</v>
      </c>
      <c r="G287" s="23">
        <v>23</v>
      </c>
      <c r="H287" s="19">
        <v>0</v>
      </c>
      <c r="I287" s="19">
        <v>0</v>
      </c>
      <c r="J287" s="19">
        <v>0</v>
      </c>
      <c r="K287" s="19">
        <v>0</v>
      </c>
      <c r="L287" s="19">
        <v>0</v>
      </c>
      <c r="M287" s="19">
        <v>0</v>
      </c>
      <c r="N287" s="19">
        <v>0</v>
      </c>
      <c r="O287" s="19">
        <v>0</v>
      </c>
    </row>
    <row r="288" spans="1:15" x14ac:dyDescent="0.25">
      <c r="A288" s="12" t="s">
        <v>50</v>
      </c>
      <c r="B288" s="19">
        <v>29</v>
      </c>
      <c r="C288" s="19">
        <v>47</v>
      </c>
      <c r="D288" s="19">
        <v>27</v>
      </c>
      <c r="E288" s="19">
        <v>21</v>
      </c>
      <c r="F288" s="23">
        <v>19</v>
      </c>
      <c r="G288" s="23">
        <v>28</v>
      </c>
      <c r="H288" s="19">
        <v>0</v>
      </c>
      <c r="I288" s="19">
        <v>0</v>
      </c>
      <c r="J288" s="19">
        <v>0</v>
      </c>
      <c r="K288" s="19">
        <v>0</v>
      </c>
      <c r="L288" s="19">
        <v>0</v>
      </c>
      <c r="M288" s="19">
        <v>0</v>
      </c>
      <c r="N288" s="19">
        <v>0</v>
      </c>
      <c r="O288" s="19">
        <v>0</v>
      </c>
    </row>
    <row r="289" spans="1:15" x14ac:dyDescent="0.25">
      <c r="A289" s="12" t="s">
        <v>51</v>
      </c>
      <c r="B289" s="19">
        <v>292</v>
      </c>
      <c r="C289" s="19">
        <v>614</v>
      </c>
      <c r="D289" s="19">
        <v>43</v>
      </c>
      <c r="E289" s="19">
        <v>43</v>
      </c>
      <c r="F289" s="23">
        <v>10</v>
      </c>
      <c r="G289" s="23">
        <v>20</v>
      </c>
      <c r="H289" s="19">
        <v>0</v>
      </c>
      <c r="I289" s="19">
        <v>0</v>
      </c>
      <c r="J289" s="19">
        <v>0</v>
      </c>
      <c r="K289" s="19">
        <v>0</v>
      </c>
      <c r="L289" s="19">
        <v>0</v>
      </c>
      <c r="M289" s="19">
        <v>1</v>
      </c>
      <c r="N289" s="19">
        <v>0</v>
      </c>
      <c r="O289" s="19">
        <v>0</v>
      </c>
    </row>
    <row r="290" spans="1:15" x14ac:dyDescent="0.25">
      <c r="A290" s="12" t="s">
        <v>52</v>
      </c>
      <c r="B290" s="19">
        <v>13</v>
      </c>
      <c r="C290" s="19">
        <v>16</v>
      </c>
      <c r="D290" s="19">
        <v>3</v>
      </c>
      <c r="E290" s="19">
        <v>15</v>
      </c>
      <c r="F290" s="23">
        <v>0</v>
      </c>
      <c r="G290" s="23">
        <v>1</v>
      </c>
      <c r="H290" s="19">
        <v>0</v>
      </c>
      <c r="I290" s="19">
        <v>0</v>
      </c>
      <c r="J290" s="19">
        <v>0</v>
      </c>
      <c r="K290" s="19">
        <v>0</v>
      </c>
      <c r="L290" s="19">
        <v>0</v>
      </c>
      <c r="M290" s="19">
        <v>0</v>
      </c>
      <c r="N290" s="19">
        <v>0</v>
      </c>
      <c r="O290" s="19">
        <v>0</v>
      </c>
    </row>
    <row r="291" spans="1:15" x14ac:dyDescent="0.25">
      <c r="A291" s="12" t="s">
        <v>53</v>
      </c>
      <c r="B291" s="19">
        <v>6</v>
      </c>
      <c r="C291" s="19">
        <v>21</v>
      </c>
      <c r="D291" s="19">
        <v>12</v>
      </c>
      <c r="E291" s="19">
        <v>14</v>
      </c>
      <c r="F291" s="23">
        <v>1</v>
      </c>
      <c r="G291" s="23">
        <v>2</v>
      </c>
      <c r="H291" s="19">
        <v>0</v>
      </c>
      <c r="I291" s="19">
        <v>0</v>
      </c>
      <c r="J291" s="19">
        <v>0</v>
      </c>
      <c r="K291" s="19">
        <v>0</v>
      </c>
      <c r="L291" s="19">
        <v>0</v>
      </c>
      <c r="M291" s="19">
        <v>0</v>
      </c>
      <c r="N291" s="19">
        <v>0</v>
      </c>
      <c r="O291" s="19">
        <v>0</v>
      </c>
    </row>
    <row r="292" spans="1:15" x14ac:dyDescent="0.25">
      <c r="A292" s="12" t="s">
        <v>54</v>
      </c>
      <c r="B292" s="19">
        <v>8</v>
      </c>
      <c r="C292" s="19">
        <v>9</v>
      </c>
      <c r="D292" s="19">
        <v>36</v>
      </c>
      <c r="E292" s="19">
        <v>75</v>
      </c>
      <c r="F292" s="23">
        <v>3</v>
      </c>
      <c r="G292" s="23">
        <v>4</v>
      </c>
      <c r="H292" s="19">
        <v>0</v>
      </c>
      <c r="I292" s="19">
        <v>0</v>
      </c>
      <c r="J292" s="19">
        <v>0</v>
      </c>
      <c r="K292" s="19">
        <v>0</v>
      </c>
      <c r="L292" s="19">
        <v>0</v>
      </c>
      <c r="M292" s="19">
        <v>0</v>
      </c>
      <c r="N292" s="19">
        <v>0</v>
      </c>
      <c r="O292" s="19">
        <v>0</v>
      </c>
    </row>
    <row r="293" spans="1:15" x14ac:dyDescent="0.25">
      <c r="A293" s="12" t="s">
        <v>55</v>
      </c>
      <c r="B293" s="19">
        <v>198</v>
      </c>
      <c r="C293" s="19">
        <v>432</v>
      </c>
      <c r="D293" s="19">
        <v>65</v>
      </c>
      <c r="E293" s="19">
        <v>95</v>
      </c>
      <c r="F293" s="23">
        <v>13</v>
      </c>
      <c r="G293" s="23">
        <v>27</v>
      </c>
      <c r="H293" s="19">
        <v>0</v>
      </c>
      <c r="I293" s="19">
        <v>0</v>
      </c>
      <c r="J293" s="19">
        <v>0</v>
      </c>
      <c r="K293" s="19">
        <v>0</v>
      </c>
      <c r="L293" s="19">
        <v>0</v>
      </c>
      <c r="M293" s="19">
        <v>0</v>
      </c>
      <c r="N293" s="19">
        <v>0</v>
      </c>
      <c r="O293" s="19">
        <v>0</v>
      </c>
    </row>
    <row r="294" spans="1:15" x14ac:dyDescent="0.25">
      <c r="A294" s="12" t="s">
        <v>56</v>
      </c>
      <c r="B294" s="19">
        <v>63</v>
      </c>
      <c r="C294" s="19">
        <v>121</v>
      </c>
      <c r="D294" s="19">
        <v>6</v>
      </c>
      <c r="E294" s="19">
        <v>12</v>
      </c>
      <c r="F294" s="23">
        <v>13</v>
      </c>
      <c r="G294" s="23">
        <v>21</v>
      </c>
      <c r="H294" s="19">
        <v>0</v>
      </c>
      <c r="I294" s="19">
        <v>0</v>
      </c>
      <c r="J294" s="19">
        <v>0</v>
      </c>
      <c r="K294" s="19">
        <v>0</v>
      </c>
      <c r="L294" s="19">
        <v>0</v>
      </c>
      <c r="M294" s="19">
        <v>1</v>
      </c>
      <c r="N294" s="19">
        <v>0</v>
      </c>
      <c r="O294" s="19">
        <v>0</v>
      </c>
    </row>
    <row r="295" spans="1:15" x14ac:dyDescent="0.25">
      <c r="A295" s="12" t="s">
        <v>57</v>
      </c>
      <c r="B295" s="19">
        <v>371</v>
      </c>
      <c r="C295" s="19">
        <v>593</v>
      </c>
      <c r="D295" s="19">
        <v>107</v>
      </c>
      <c r="E295" s="19">
        <v>241</v>
      </c>
      <c r="F295" s="23">
        <v>12</v>
      </c>
      <c r="G295" s="23">
        <v>40</v>
      </c>
      <c r="H295" s="19">
        <v>0</v>
      </c>
      <c r="I295" s="19">
        <v>0</v>
      </c>
      <c r="J295" s="19">
        <v>0</v>
      </c>
      <c r="K295" s="19">
        <v>0</v>
      </c>
      <c r="L295" s="19">
        <v>0</v>
      </c>
      <c r="M295" s="19">
        <v>1</v>
      </c>
      <c r="N295" s="19">
        <v>0</v>
      </c>
      <c r="O295" s="19">
        <v>0</v>
      </c>
    </row>
    <row r="296" spans="1:15" x14ac:dyDescent="0.25">
      <c r="A296" s="13" t="s">
        <v>58</v>
      </c>
      <c r="B296" s="24">
        <v>221</v>
      </c>
      <c r="C296" s="24">
        <v>374</v>
      </c>
      <c r="D296" s="24">
        <v>111</v>
      </c>
      <c r="E296" s="24">
        <v>129</v>
      </c>
      <c r="F296" s="25">
        <v>29</v>
      </c>
      <c r="G296" s="25">
        <v>57</v>
      </c>
      <c r="H296" s="24">
        <v>0</v>
      </c>
      <c r="I296" s="24">
        <v>0</v>
      </c>
      <c r="J296" s="24">
        <v>0</v>
      </c>
      <c r="K296" s="24">
        <v>0</v>
      </c>
      <c r="L296" s="24">
        <v>0</v>
      </c>
      <c r="M296" s="24">
        <v>0</v>
      </c>
      <c r="N296" s="24">
        <v>0</v>
      </c>
      <c r="O296" s="24">
        <v>0</v>
      </c>
    </row>
    <row r="297" spans="1:15" x14ac:dyDescent="0.25">
      <c r="A297" s="11"/>
      <c r="B297" s="16"/>
      <c r="C297" s="16"/>
      <c r="D297" s="16"/>
      <c r="E297" s="16"/>
      <c r="F297" s="16"/>
      <c r="G297" s="16"/>
      <c r="H297" s="16"/>
      <c r="I297" s="16"/>
      <c r="J297" s="3"/>
      <c r="K297" s="3"/>
      <c r="L297" s="16"/>
      <c r="M297" s="16"/>
      <c r="N297" s="16"/>
      <c r="O297" s="16"/>
    </row>
    <row r="298" spans="1:15" x14ac:dyDescent="0.25">
      <c r="A298" s="11" t="s">
        <v>59</v>
      </c>
      <c r="B298" s="10">
        <f t="shared" ref="B298:O298" si="30">SUM(B299:B311)</f>
        <v>1256</v>
      </c>
      <c r="C298" s="10">
        <f t="shared" si="30"/>
        <v>3214</v>
      </c>
      <c r="D298" s="10">
        <f t="shared" si="30"/>
        <v>1234</v>
      </c>
      <c r="E298" s="10">
        <f t="shared" si="30"/>
        <v>1896</v>
      </c>
      <c r="F298" s="15">
        <f t="shared" si="30"/>
        <v>117</v>
      </c>
      <c r="G298" s="15">
        <f t="shared" si="30"/>
        <v>325</v>
      </c>
      <c r="H298" s="10">
        <f t="shared" si="30"/>
        <v>0</v>
      </c>
      <c r="I298" s="10">
        <f t="shared" si="30"/>
        <v>0</v>
      </c>
      <c r="J298" s="10">
        <f t="shared" si="30"/>
        <v>0</v>
      </c>
      <c r="K298" s="10">
        <f t="shared" si="30"/>
        <v>3</v>
      </c>
      <c r="L298" s="10">
        <f t="shared" si="30"/>
        <v>5</v>
      </c>
      <c r="M298" s="10">
        <f t="shared" si="30"/>
        <v>31</v>
      </c>
      <c r="N298" s="10">
        <f t="shared" si="30"/>
        <v>1</v>
      </c>
      <c r="O298" s="10">
        <f t="shared" si="30"/>
        <v>3</v>
      </c>
    </row>
    <row r="299" spans="1:15" x14ac:dyDescent="0.25">
      <c r="A299" s="12" t="s">
        <v>60</v>
      </c>
      <c r="B299" s="19">
        <v>68</v>
      </c>
      <c r="C299" s="19">
        <v>227</v>
      </c>
      <c r="D299" s="19">
        <v>65</v>
      </c>
      <c r="E299" s="19">
        <v>121</v>
      </c>
      <c r="F299" s="23">
        <v>6</v>
      </c>
      <c r="G299" s="23">
        <v>11</v>
      </c>
      <c r="H299" s="19">
        <v>0</v>
      </c>
      <c r="I299" s="19">
        <v>0</v>
      </c>
      <c r="J299" s="19">
        <v>0</v>
      </c>
      <c r="K299" s="19">
        <v>0</v>
      </c>
      <c r="L299" s="19">
        <v>0</v>
      </c>
      <c r="M299" s="19">
        <v>0</v>
      </c>
      <c r="N299" s="19">
        <v>0</v>
      </c>
      <c r="O299" s="19">
        <v>0</v>
      </c>
    </row>
    <row r="300" spans="1:15" x14ac:dyDescent="0.25">
      <c r="A300" s="12" t="s">
        <v>61</v>
      </c>
      <c r="B300" s="19">
        <v>18</v>
      </c>
      <c r="C300" s="19">
        <v>59</v>
      </c>
      <c r="D300" s="19">
        <v>32</v>
      </c>
      <c r="E300" s="19">
        <v>32</v>
      </c>
      <c r="F300" s="23">
        <v>5</v>
      </c>
      <c r="G300" s="23">
        <v>6</v>
      </c>
      <c r="H300" s="19">
        <v>0</v>
      </c>
      <c r="I300" s="19">
        <v>0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v>0</v>
      </c>
    </row>
    <row r="301" spans="1:15" x14ac:dyDescent="0.25">
      <c r="A301" s="12" t="s">
        <v>62</v>
      </c>
      <c r="B301" s="19">
        <v>97</v>
      </c>
      <c r="C301" s="19">
        <v>280</v>
      </c>
      <c r="D301" s="19">
        <v>119</v>
      </c>
      <c r="E301" s="19">
        <v>200</v>
      </c>
      <c r="F301" s="23">
        <v>2</v>
      </c>
      <c r="G301" s="23">
        <v>10</v>
      </c>
      <c r="H301" s="19">
        <v>0</v>
      </c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</row>
    <row r="302" spans="1:15" x14ac:dyDescent="0.25">
      <c r="A302" s="12" t="s">
        <v>63</v>
      </c>
      <c r="B302" s="19">
        <v>29</v>
      </c>
      <c r="C302" s="19">
        <v>64</v>
      </c>
      <c r="D302" s="19">
        <v>83</v>
      </c>
      <c r="E302" s="19">
        <v>161</v>
      </c>
      <c r="F302" s="19">
        <v>0</v>
      </c>
      <c r="G302" s="19">
        <v>8</v>
      </c>
      <c r="H302" s="19">
        <v>0</v>
      </c>
      <c r="I302" s="19">
        <v>0</v>
      </c>
      <c r="J302" s="19">
        <v>0</v>
      </c>
      <c r="K302" s="19">
        <v>0</v>
      </c>
      <c r="L302" s="19">
        <v>0</v>
      </c>
      <c r="M302" s="19">
        <v>0</v>
      </c>
      <c r="N302" s="19">
        <v>0</v>
      </c>
      <c r="O302" s="19">
        <v>0</v>
      </c>
    </row>
    <row r="303" spans="1:15" x14ac:dyDescent="0.25">
      <c r="A303" s="12" t="s">
        <v>64</v>
      </c>
      <c r="B303" s="19">
        <v>89</v>
      </c>
      <c r="C303" s="19">
        <v>121</v>
      </c>
      <c r="D303" s="19">
        <v>34</v>
      </c>
      <c r="E303" s="19">
        <v>34</v>
      </c>
      <c r="F303" s="19">
        <v>36</v>
      </c>
      <c r="G303" s="19">
        <v>95</v>
      </c>
      <c r="H303" s="19">
        <v>0</v>
      </c>
      <c r="I303" s="19">
        <v>0</v>
      </c>
      <c r="J303" s="19">
        <v>0</v>
      </c>
      <c r="K303" s="19">
        <v>0</v>
      </c>
      <c r="L303" s="19">
        <v>0</v>
      </c>
      <c r="M303" s="19">
        <v>0</v>
      </c>
      <c r="N303" s="19">
        <v>0</v>
      </c>
      <c r="O303" s="19">
        <v>0</v>
      </c>
    </row>
    <row r="304" spans="1:15" x14ac:dyDescent="0.25">
      <c r="A304" s="12" t="s">
        <v>65</v>
      </c>
      <c r="B304" s="19">
        <v>104</v>
      </c>
      <c r="C304" s="19">
        <v>184</v>
      </c>
      <c r="D304" s="19">
        <v>59</v>
      </c>
      <c r="E304" s="19">
        <v>84</v>
      </c>
      <c r="F304" s="19">
        <v>12</v>
      </c>
      <c r="G304" s="19">
        <v>36</v>
      </c>
      <c r="H304" s="19">
        <v>0</v>
      </c>
      <c r="I304" s="19">
        <v>0</v>
      </c>
      <c r="J304" s="19">
        <v>0</v>
      </c>
      <c r="K304" s="19">
        <v>0</v>
      </c>
      <c r="L304" s="19">
        <v>0</v>
      </c>
      <c r="M304" s="19">
        <v>0</v>
      </c>
      <c r="N304" s="19">
        <v>0</v>
      </c>
      <c r="O304" s="19">
        <v>0</v>
      </c>
    </row>
    <row r="305" spans="1:15" x14ac:dyDescent="0.25">
      <c r="A305" s="12" t="s">
        <v>66</v>
      </c>
      <c r="B305" s="19">
        <v>18</v>
      </c>
      <c r="C305" s="19">
        <v>70</v>
      </c>
      <c r="D305" s="19">
        <v>36</v>
      </c>
      <c r="E305" s="19">
        <v>55</v>
      </c>
      <c r="F305" s="23">
        <v>1</v>
      </c>
      <c r="G305" s="23">
        <v>9</v>
      </c>
      <c r="H305" s="19">
        <v>0</v>
      </c>
      <c r="I305" s="19">
        <v>0</v>
      </c>
      <c r="J305" s="19">
        <v>0</v>
      </c>
      <c r="K305" s="19">
        <v>0</v>
      </c>
      <c r="L305" s="19">
        <v>0</v>
      </c>
      <c r="M305" s="19">
        <v>1</v>
      </c>
      <c r="N305" s="19">
        <v>0</v>
      </c>
      <c r="O305" s="19">
        <v>0</v>
      </c>
    </row>
    <row r="306" spans="1:15" x14ac:dyDescent="0.25">
      <c r="A306" s="12" t="s">
        <v>67</v>
      </c>
      <c r="B306" s="19">
        <v>46</v>
      </c>
      <c r="C306" s="19">
        <v>126</v>
      </c>
      <c r="D306" s="19">
        <v>109</v>
      </c>
      <c r="E306" s="19">
        <v>217</v>
      </c>
      <c r="F306" s="23">
        <v>13</v>
      </c>
      <c r="G306" s="23">
        <v>19</v>
      </c>
      <c r="H306" s="19">
        <v>0</v>
      </c>
      <c r="I306" s="19">
        <v>0</v>
      </c>
      <c r="J306" s="19">
        <v>0</v>
      </c>
      <c r="K306" s="19">
        <v>0</v>
      </c>
      <c r="L306" s="19">
        <v>1</v>
      </c>
      <c r="M306" s="19">
        <v>0</v>
      </c>
      <c r="N306" s="19">
        <v>0</v>
      </c>
      <c r="O306" s="19">
        <v>0</v>
      </c>
    </row>
    <row r="307" spans="1:15" x14ac:dyDescent="0.25">
      <c r="A307" s="12" t="s">
        <v>68</v>
      </c>
      <c r="B307" s="19">
        <v>76</v>
      </c>
      <c r="C307" s="19">
        <v>140</v>
      </c>
      <c r="D307" s="19">
        <v>58</v>
      </c>
      <c r="E307" s="19">
        <v>40</v>
      </c>
      <c r="F307" s="23">
        <v>5</v>
      </c>
      <c r="G307" s="23">
        <v>9</v>
      </c>
      <c r="H307" s="19">
        <v>0</v>
      </c>
      <c r="I307" s="19">
        <v>0</v>
      </c>
      <c r="J307" s="19">
        <v>0</v>
      </c>
      <c r="K307" s="19">
        <v>0</v>
      </c>
      <c r="L307" s="19">
        <v>0</v>
      </c>
      <c r="M307" s="19">
        <v>0</v>
      </c>
      <c r="N307" s="19">
        <v>0</v>
      </c>
      <c r="O307" s="19">
        <v>0</v>
      </c>
    </row>
    <row r="308" spans="1:15" x14ac:dyDescent="0.25">
      <c r="A308" s="12" t="s">
        <v>69</v>
      </c>
      <c r="B308" s="19">
        <v>313</v>
      </c>
      <c r="C308" s="19">
        <v>555</v>
      </c>
      <c r="D308" s="19">
        <v>331</v>
      </c>
      <c r="E308" s="19">
        <v>389</v>
      </c>
      <c r="F308" s="23">
        <v>9</v>
      </c>
      <c r="G308" s="23">
        <v>24</v>
      </c>
      <c r="H308" s="19">
        <v>0</v>
      </c>
      <c r="I308" s="19">
        <v>0</v>
      </c>
      <c r="J308" s="19">
        <v>0</v>
      </c>
      <c r="K308" s="19">
        <v>3</v>
      </c>
      <c r="L308" s="19">
        <v>3</v>
      </c>
      <c r="M308" s="19">
        <v>29</v>
      </c>
      <c r="N308" s="19">
        <v>1</v>
      </c>
      <c r="O308" s="19">
        <v>1</v>
      </c>
    </row>
    <row r="309" spans="1:15" x14ac:dyDescent="0.25">
      <c r="A309" s="12" t="s">
        <v>70</v>
      </c>
      <c r="B309" s="19">
        <v>144</v>
      </c>
      <c r="C309" s="19">
        <v>510</v>
      </c>
      <c r="D309" s="19">
        <v>7</v>
      </c>
      <c r="E309" s="19">
        <v>12</v>
      </c>
      <c r="F309" s="23">
        <v>1</v>
      </c>
      <c r="G309" s="23">
        <v>11</v>
      </c>
      <c r="H309" s="19">
        <v>0</v>
      </c>
      <c r="I309" s="19">
        <v>0</v>
      </c>
      <c r="J309" s="19">
        <v>0</v>
      </c>
      <c r="K309" s="19">
        <v>0</v>
      </c>
      <c r="L309" s="19">
        <v>0</v>
      </c>
      <c r="M309" s="19">
        <v>0</v>
      </c>
      <c r="N309" s="19">
        <v>0</v>
      </c>
      <c r="O309" s="19">
        <v>0</v>
      </c>
    </row>
    <row r="310" spans="1:15" x14ac:dyDescent="0.25">
      <c r="A310" s="12" t="s">
        <v>71</v>
      </c>
      <c r="B310" s="19">
        <v>16</v>
      </c>
      <c r="C310" s="19">
        <v>32</v>
      </c>
      <c r="D310" s="19">
        <v>8</v>
      </c>
      <c r="E310" s="19">
        <v>10</v>
      </c>
      <c r="F310" s="23">
        <v>1</v>
      </c>
      <c r="G310" s="23">
        <v>0</v>
      </c>
      <c r="H310" s="19">
        <v>0</v>
      </c>
      <c r="I310" s="19">
        <v>0</v>
      </c>
      <c r="J310" s="19">
        <v>0</v>
      </c>
      <c r="K310" s="19">
        <v>0</v>
      </c>
      <c r="L310" s="19">
        <v>0</v>
      </c>
      <c r="M310" s="19">
        <v>0</v>
      </c>
      <c r="N310" s="19">
        <v>0</v>
      </c>
      <c r="O310" s="19">
        <v>0</v>
      </c>
    </row>
    <row r="311" spans="1:15" x14ac:dyDescent="0.25">
      <c r="A311" s="13" t="s">
        <v>72</v>
      </c>
      <c r="B311" s="24">
        <v>238</v>
      </c>
      <c r="C311" s="24">
        <v>846</v>
      </c>
      <c r="D311" s="24">
        <v>293</v>
      </c>
      <c r="E311" s="24">
        <v>541</v>
      </c>
      <c r="F311" s="25">
        <v>26</v>
      </c>
      <c r="G311" s="25">
        <v>87</v>
      </c>
      <c r="H311" s="24">
        <v>0</v>
      </c>
      <c r="I311" s="24">
        <v>0</v>
      </c>
      <c r="J311" s="24">
        <v>0</v>
      </c>
      <c r="K311" s="24">
        <v>0</v>
      </c>
      <c r="L311" s="24">
        <v>1</v>
      </c>
      <c r="M311" s="24">
        <v>1</v>
      </c>
      <c r="N311" s="24">
        <v>0</v>
      </c>
      <c r="O311" s="24">
        <v>2</v>
      </c>
    </row>
    <row r="312" spans="1:15" x14ac:dyDescent="0.25">
      <c r="A312" s="11"/>
      <c r="B312" s="16"/>
      <c r="C312" s="16"/>
      <c r="D312" s="16"/>
      <c r="E312" s="16"/>
      <c r="F312" s="16"/>
      <c r="G312" s="16"/>
      <c r="H312" s="16"/>
      <c r="I312" s="16"/>
      <c r="J312" s="3"/>
      <c r="K312" s="3"/>
      <c r="L312" s="16"/>
      <c r="M312" s="16"/>
      <c r="N312" s="16"/>
      <c r="O312" s="16"/>
    </row>
    <row r="313" spans="1:15" x14ac:dyDescent="0.25">
      <c r="A313" s="11" t="s">
        <v>73</v>
      </c>
      <c r="B313" s="10">
        <f t="shared" ref="B313:I313" si="31">SUM(B314:B328)</f>
        <v>3214</v>
      </c>
      <c r="C313" s="10">
        <f t="shared" si="31"/>
        <v>7696</v>
      </c>
      <c r="D313" s="10">
        <f t="shared" si="31"/>
        <v>1368</v>
      </c>
      <c r="E313" s="10">
        <f t="shared" si="31"/>
        <v>2229</v>
      </c>
      <c r="F313" s="15">
        <f t="shared" si="31"/>
        <v>421</v>
      </c>
      <c r="G313" s="15">
        <f t="shared" si="31"/>
        <v>667</v>
      </c>
      <c r="H313" s="10">
        <f t="shared" si="31"/>
        <v>0</v>
      </c>
      <c r="I313" s="10">
        <f t="shared" si="31"/>
        <v>0</v>
      </c>
      <c r="J313" s="3">
        <v>0</v>
      </c>
      <c r="K313" s="3">
        <v>4</v>
      </c>
      <c r="L313" s="10">
        <f t="shared" ref="L313:O313" si="32">SUM(L314:L328)</f>
        <v>10</v>
      </c>
      <c r="M313" s="10">
        <f t="shared" si="32"/>
        <v>105</v>
      </c>
      <c r="N313" s="10">
        <f t="shared" si="32"/>
        <v>2</v>
      </c>
      <c r="O313" s="10">
        <f t="shared" si="32"/>
        <v>5</v>
      </c>
    </row>
    <row r="314" spans="1:15" x14ac:dyDescent="0.25">
      <c r="A314" s="12" t="s">
        <v>74</v>
      </c>
      <c r="B314" s="19">
        <v>1059</v>
      </c>
      <c r="C314" s="19">
        <v>2468</v>
      </c>
      <c r="D314" s="19">
        <v>403</v>
      </c>
      <c r="E314" s="19">
        <v>521</v>
      </c>
      <c r="F314" s="23">
        <v>102</v>
      </c>
      <c r="G314" s="23">
        <v>94</v>
      </c>
      <c r="H314" s="19">
        <v>0</v>
      </c>
      <c r="I314" s="19">
        <v>0</v>
      </c>
      <c r="J314" s="19">
        <v>0</v>
      </c>
      <c r="K314" s="19">
        <v>1</v>
      </c>
      <c r="L314" s="19">
        <v>4</v>
      </c>
      <c r="M314" s="19">
        <v>73</v>
      </c>
      <c r="N314" s="19">
        <v>2</v>
      </c>
      <c r="O314" s="19">
        <v>5</v>
      </c>
    </row>
    <row r="315" spans="1:15" x14ac:dyDescent="0.25">
      <c r="A315" s="12" t="s">
        <v>75</v>
      </c>
      <c r="B315" s="19">
        <v>302</v>
      </c>
      <c r="C315" s="19">
        <v>562</v>
      </c>
      <c r="D315" s="19">
        <v>29</v>
      </c>
      <c r="E315" s="19">
        <v>97</v>
      </c>
      <c r="F315" s="23">
        <v>12</v>
      </c>
      <c r="G315" s="23">
        <v>34</v>
      </c>
      <c r="H315" s="19">
        <v>0</v>
      </c>
      <c r="I315" s="19">
        <v>0</v>
      </c>
      <c r="J315" s="19">
        <v>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</row>
    <row r="316" spans="1:15" x14ac:dyDescent="0.25">
      <c r="A316" s="12" t="s">
        <v>76</v>
      </c>
      <c r="B316" s="19">
        <v>8</v>
      </c>
      <c r="C316" s="19">
        <v>58</v>
      </c>
      <c r="D316" s="19">
        <v>13</v>
      </c>
      <c r="E316" s="19">
        <v>19</v>
      </c>
      <c r="F316" s="23">
        <v>4</v>
      </c>
      <c r="G316" s="23">
        <v>17</v>
      </c>
      <c r="H316" s="19">
        <v>0</v>
      </c>
      <c r="I316" s="19">
        <v>0</v>
      </c>
      <c r="J316" s="19">
        <v>0</v>
      </c>
      <c r="K316" s="19">
        <v>0</v>
      </c>
      <c r="L316" s="19">
        <v>0</v>
      </c>
      <c r="M316" s="19">
        <v>0</v>
      </c>
      <c r="N316" s="19">
        <v>0</v>
      </c>
      <c r="O316" s="19">
        <v>0</v>
      </c>
    </row>
    <row r="317" spans="1:15" x14ac:dyDescent="0.25">
      <c r="A317" s="12" t="s">
        <v>77</v>
      </c>
      <c r="B317" s="19">
        <v>10</v>
      </c>
      <c r="C317" s="19">
        <v>16</v>
      </c>
      <c r="D317" s="19">
        <v>0</v>
      </c>
      <c r="E317" s="19">
        <v>7</v>
      </c>
      <c r="F317" s="23">
        <v>1</v>
      </c>
      <c r="G317" s="23">
        <v>4</v>
      </c>
      <c r="H317" s="19">
        <v>0</v>
      </c>
      <c r="I317" s="19">
        <v>0</v>
      </c>
      <c r="J317" s="19">
        <v>0</v>
      </c>
      <c r="K317" s="19">
        <v>0</v>
      </c>
      <c r="L317" s="19">
        <v>0</v>
      </c>
      <c r="M317" s="19">
        <v>0</v>
      </c>
      <c r="N317" s="19">
        <v>0</v>
      </c>
      <c r="O317" s="19">
        <v>0</v>
      </c>
    </row>
    <row r="318" spans="1:15" x14ac:dyDescent="0.25">
      <c r="A318" s="12" t="s">
        <v>78</v>
      </c>
      <c r="B318" s="19">
        <v>15</v>
      </c>
      <c r="C318" s="19">
        <v>39</v>
      </c>
      <c r="D318" s="19">
        <v>18</v>
      </c>
      <c r="E318" s="19">
        <v>37</v>
      </c>
      <c r="F318" s="19">
        <v>1</v>
      </c>
      <c r="G318" s="19">
        <v>3</v>
      </c>
      <c r="H318" s="19">
        <v>0</v>
      </c>
      <c r="I318" s="19">
        <v>0</v>
      </c>
      <c r="J318" s="19">
        <v>0</v>
      </c>
      <c r="K318" s="19">
        <v>0</v>
      </c>
      <c r="L318" s="19">
        <v>0</v>
      </c>
      <c r="M318" s="19">
        <v>0</v>
      </c>
      <c r="N318" s="19">
        <v>0</v>
      </c>
      <c r="O318" s="19">
        <v>0</v>
      </c>
    </row>
    <row r="319" spans="1:15" x14ac:dyDescent="0.25">
      <c r="A319" s="12" t="s">
        <v>79</v>
      </c>
      <c r="B319" s="19">
        <v>24</v>
      </c>
      <c r="C319" s="19">
        <v>76</v>
      </c>
      <c r="D319" s="19">
        <v>38</v>
      </c>
      <c r="E319" s="19">
        <v>62</v>
      </c>
      <c r="F319" s="19">
        <v>4</v>
      </c>
      <c r="G319" s="19">
        <v>8</v>
      </c>
      <c r="H319" s="19">
        <v>0</v>
      </c>
      <c r="I319" s="19">
        <v>0</v>
      </c>
      <c r="J319" s="19">
        <v>0</v>
      </c>
      <c r="K319" s="19">
        <v>0</v>
      </c>
      <c r="L319" s="19">
        <v>0</v>
      </c>
      <c r="M319" s="19">
        <v>0</v>
      </c>
      <c r="N319" s="19">
        <v>0</v>
      </c>
      <c r="O319" s="19">
        <v>0</v>
      </c>
    </row>
    <row r="320" spans="1:15" x14ac:dyDescent="0.25">
      <c r="A320" s="12" t="s">
        <v>80</v>
      </c>
      <c r="B320" s="19">
        <v>344</v>
      </c>
      <c r="C320" s="19">
        <v>1000</v>
      </c>
      <c r="D320" s="19">
        <v>158</v>
      </c>
      <c r="E320" s="19">
        <v>414</v>
      </c>
      <c r="F320" s="23">
        <v>10</v>
      </c>
      <c r="G320" s="23">
        <v>64</v>
      </c>
      <c r="H320" s="19">
        <v>0</v>
      </c>
      <c r="I320" s="19">
        <v>0</v>
      </c>
      <c r="J320" s="19">
        <v>0</v>
      </c>
      <c r="K320" s="19">
        <v>1</v>
      </c>
      <c r="L320" s="19">
        <v>5</v>
      </c>
      <c r="M320" s="19">
        <v>17</v>
      </c>
      <c r="N320" s="19">
        <v>0</v>
      </c>
      <c r="O320" s="19">
        <v>0</v>
      </c>
    </row>
    <row r="321" spans="1:15" x14ac:dyDescent="0.25">
      <c r="A321" s="12" t="s">
        <v>81</v>
      </c>
      <c r="B321" s="19">
        <v>28</v>
      </c>
      <c r="C321" s="19">
        <v>87</v>
      </c>
      <c r="D321" s="19">
        <v>2</v>
      </c>
      <c r="E321" s="19">
        <v>3</v>
      </c>
      <c r="F321" s="23">
        <v>5</v>
      </c>
      <c r="G321" s="23">
        <v>12</v>
      </c>
      <c r="H321" s="19">
        <v>0</v>
      </c>
      <c r="I321" s="19">
        <v>0</v>
      </c>
      <c r="J321" s="19">
        <v>0</v>
      </c>
      <c r="K321" s="19">
        <v>0</v>
      </c>
      <c r="L321" s="19">
        <v>0</v>
      </c>
      <c r="M321" s="19">
        <v>0</v>
      </c>
      <c r="N321" s="19">
        <v>0</v>
      </c>
      <c r="O321" s="19">
        <v>0</v>
      </c>
    </row>
    <row r="322" spans="1:15" x14ac:dyDescent="0.25">
      <c r="A322" s="12" t="s">
        <v>82</v>
      </c>
      <c r="B322" s="19">
        <v>24</v>
      </c>
      <c r="C322" s="19">
        <v>59</v>
      </c>
      <c r="D322" s="19">
        <v>40</v>
      </c>
      <c r="E322" s="19">
        <v>37</v>
      </c>
      <c r="F322" s="23">
        <v>2</v>
      </c>
      <c r="G322" s="23">
        <v>5</v>
      </c>
      <c r="H322" s="19">
        <v>0</v>
      </c>
      <c r="I322" s="19">
        <v>0</v>
      </c>
      <c r="J322" s="19">
        <v>0</v>
      </c>
      <c r="K322" s="19">
        <v>0</v>
      </c>
      <c r="L322" s="19">
        <v>0</v>
      </c>
      <c r="M322" s="19">
        <v>0</v>
      </c>
      <c r="N322" s="19">
        <v>0</v>
      </c>
      <c r="O322" s="19">
        <v>0</v>
      </c>
    </row>
    <row r="323" spans="1:15" x14ac:dyDescent="0.25">
      <c r="A323" s="12" t="s">
        <v>83</v>
      </c>
      <c r="B323" s="19">
        <v>769</v>
      </c>
      <c r="C323" s="19">
        <v>1903</v>
      </c>
      <c r="D323" s="19">
        <v>80</v>
      </c>
      <c r="E323" s="19">
        <v>71</v>
      </c>
      <c r="F323" s="23">
        <v>120</v>
      </c>
      <c r="G323" s="23">
        <v>161</v>
      </c>
      <c r="H323" s="19">
        <v>0</v>
      </c>
      <c r="I323" s="19">
        <v>0</v>
      </c>
      <c r="J323" s="19">
        <v>0</v>
      </c>
      <c r="K323" s="19">
        <v>0</v>
      </c>
      <c r="L323" s="19">
        <v>0</v>
      </c>
      <c r="M323" s="19">
        <v>0</v>
      </c>
      <c r="N323" s="19">
        <v>0</v>
      </c>
      <c r="O323" s="19">
        <v>0</v>
      </c>
    </row>
    <row r="324" spans="1:15" x14ac:dyDescent="0.25">
      <c r="A324" s="12" t="s">
        <v>84</v>
      </c>
      <c r="B324" s="19">
        <v>135</v>
      </c>
      <c r="C324" s="19">
        <v>330</v>
      </c>
      <c r="D324" s="19">
        <v>6</v>
      </c>
      <c r="E324" s="19">
        <v>12</v>
      </c>
      <c r="F324" s="23">
        <v>9</v>
      </c>
      <c r="G324" s="23">
        <v>30</v>
      </c>
      <c r="H324" s="19">
        <v>0</v>
      </c>
      <c r="I324" s="19">
        <v>0</v>
      </c>
      <c r="J324" s="19">
        <v>0</v>
      </c>
      <c r="K324" s="19">
        <v>0</v>
      </c>
      <c r="L324" s="19">
        <v>0</v>
      </c>
      <c r="M324" s="19">
        <v>0</v>
      </c>
      <c r="N324" s="19">
        <v>0</v>
      </c>
      <c r="O324" s="19">
        <v>0</v>
      </c>
    </row>
    <row r="325" spans="1:15" x14ac:dyDescent="0.25">
      <c r="A325" s="12" t="s">
        <v>85</v>
      </c>
      <c r="B325" s="19">
        <v>56</v>
      </c>
      <c r="C325" s="19">
        <v>119</v>
      </c>
      <c r="D325" s="19">
        <v>377</v>
      </c>
      <c r="E325" s="19">
        <v>470</v>
      </c>
      <c r="F325" s="19">
        <v>26</v>
      </c>
      <c r="G325" s="19">
        <v>70</v>
      </c>
      <c r="H325" s="19">
        <v>0</v>
      </c>
      <c r="I325" s="19">
        <v>0</v>
      </c>
      <c r="J325" s="19">
        <v>0</v>
      </c>
      <c r="K325" s="19">
        <v>1</v>
      </c>
      <c r="L325" s="19">
        <v>0</v>
      </c>
      <c r="M325" s="19">
        <v>12</v>
      </c>
      <c r="N325" s="19">
        <v>0</v>
      </c>
      <c r="O325" s="19">
        <v>0</v>
      </c>
    </row>
    <row r="326" spans="1:15" x14ac:dyDescent="0.25">
      <c r="A326" s="12" t="s">
        <v>86</v>
      </c>
      <c r="B326" s="19">
        <v>113</v>
      </c>
      <c r="C326" s="19">
        <v>209</v>
      </c>
      <c r="D326" s="19">
        <v>125</v>
      </c>
      <c r="E326" s="19">
        <v>287</v>
      </c>
      <c r="F326" s="23">
        <v>21</v>
      </c>
      <c r="G326" s="23">
        <v>27</v>
      </c>
      <c r="H326" s="19">
        <v>0</v>
      </c>
      <c r="I326" s="19">
        <v>0</v>
      </c>
      <c r="J326" s="19">
        <v>0</v>
      </c>
      <c r="K326" s="19">
        <v>1</v>
      </c>
      <c r="L326" s="19">
        <v>0</v>
      </c>
      <c r="M326" s="19">
        <v>0</v>
      </c>
      <c r="N326" s="19">
        <v>0</v>
      </c>
      <c r="O326" s="19">
        <v>0</v>
      </c>
    </row>
    <row r="327" spans="1:15" x14ac:dyDescent="0.25">
      <c r="A327" s="12" t="s">
        <v>87</v>
      </c>
      <c r="B327" s="19">
        <v>106</v>
      </c>
      <c r="C327" s="19">
        <v>259</v>
      </c>
      <c r="D327" s="19">
        <v>59</v>
      </c>
      <c r="E327" s="19">
        <v>109</v>
      </c>
      <c r="F327" s="23">
        <v>57</v>
      </c>
      <c r="G327" s="23">
        <v>65</v>
      </c>
      <c r="H327" s="19">
        <v>0</v>
      </c>
      <c r="I327" s="19">
        <v>0</v>
      </c>
      <c r="J327" s="19">
        <v>0</v>
      </c>
      <c r="K327" s="19">
        <v>0</v>
      </c>
      <c r="L327" s="19">
        <v>0</v>
      </c>
      <c r="M327" s="19">
        <v>1</v>
      </c>
      <c r="N327" s="19">
        <v>0</v>
      </c>
      <c r="O327" s="19">
        <v>0</v>
      </c>
    </row>
    <row r="328" spans="1:15" x14ac:dyDescent="0.25">
      <c r="A328" s="13" t="s">
        <v>88</v>
      </c>
      <c r="B328" s="24">
        <v>221</v>
      </c>
      <c r="C328" s="24">
        <v>511</v>
      </c>
      <c r="D328" s="24">
        <v>20</v>
      </c>
      <c r="E328" s="24">
        <v>83</v>
      </c>
      <c r="F328" s="25">
        <v>47</v>
      </c>
      <c r="G328" s="25">
        <v>73</v>
      </c>
      <c r="H328" s="24">
        <v>0</v>
      </c>
      <c r="I328" s="24">
        <v>0</v>
      </c>
      <c r="J328" s="24">
        <v>0</v>
      </c>
      <c r="K328" s="24">
        <v>0</v>
      </c>
      <c r="L328" s="24">
        <v>1</v>
      </c>
      <c r="M328" s="24">
        <v>2</v>
      </c>
      <c r="N328" s="24">
        <v>0</v>
      </c>
      <c r="O328" s="24">
        <v>0</v>
      </c>
    </row>
    <row r="329" spans="1:15" x14ac:dyDescent="0.25">
      <c r="A329" s="11"/>
      <c r="B329" s="16"/>
      <c r="C329" s="16"/>
      <c r="D329" s="16"/>
      <c r="E329" s="16"/>
      <c r="F329" s="16"/>
      <c r="G329" s="16"/>
      <c r="H329" s="16"/>
      <c r="I329" s="16"/>
      <c r="J329" s="3"/>
      <c r="K329" s="3"/>
      <c r="L329" s="16"/>
      <c r="M329" s="16"/>
      <c r="N329" s="16"/>
      <c r="O329" s="16"/>
    </row>
    <row r="330" spans="1:15" x14ac:dyDescent="0.25">
      <c r="A330" s="11" t="s">
        <v>89</v>
      </c>
      <c r="B330" s="10">
        <f t="shared" ref="B330:I330" si="33">SUM(B331:B343)</f>
        <v>2616</v>
      </c>
      <c r="C330" s="10">
        <f t="shared" si="33"/>
        <v>5350</v>
      </c>
      <c r="D330" s="10">
        <f t="shared" si="33"/>
        <v>1213</v>
      </c>
      <c r="E330" s="10">
        <f t="shared" si="33"/>
        <v>2380</v>
      </c>
      <c r="F330" s="15">
        <f t="shared" si="33"/>
        <v>177</v>
      </c>
      <c r="G330" s="15">
        <f t="shared" si="33"/>
        <v>433</v>
      </c>
      <c r="H330" s="10">
        <f t="shared" si="33"/>
        <v>0</v>
      </c>
      <c r="I330" s="10">
        <f t="shared" si="33"/>
        <v>0</v>
      </c>
      <c r="J330" s="3">
        <v>0</v>
      </c>
      <c r="K330" s="3">
        <v>1</v>
      </c>
      <c r="L330" s="10">
        <f t="shared" ref="L330:O330" si="34">SUM(L331:L343)</f>
        <v>7</v>
      </c>
      <c r="M330" s="10">
        <f t="shared" si="34"/>
        <v>41</v>
      </c>
      <c r="N330" s="10">
        <f t="shared" si="34"/>
        <v>0</v>
      </c>
      <c r="O330" s="10">
        <f t="shared" si="34"/>
        <v>0</v>
      </c>
    </row>
    <row r="331" spans="1:15" x14ac:dyDescent="0.25">
      <c r="A331" s="12" t="s">
        <v>90</v>
      </c>
      <c r="B331" s="19">
        <v>645</v>
      </c>
      <c r="C331" s="19">
        <v>1100</v>
      </c>
      <c r="D331" s="19">
        <v>380</v>
      </c>
      <c r="E331" s="19">
        <v>896</v>
      </c>
      <c r="F331" s="23">
        <v>62</v>
      </c>
      <c r="G331" s="23">
        <v>134</v>
      </c>
      <c r="H331" s="19">
        <v>0</v>
      </c>
      <c r="I331" s="19">
        <v>0</v>
      </c>
      <c r="J331" s="19">
        <v>0</v>
      </c>
      <c r="K331" s="19">
        <v>0</v>
      </c>
      <c r="L331" s="19">
        <v>7</v>
      </c>
      <c r="M331" s="19">
        <v>30</v>
      </c>
      <c r="N331" s="19">
        <v>0</v>
      </c>
      <c r="O331" s="19">
        <v>0</v>
      </c>
    </row>
    <row r="332" spans="1:15" x14ac:dyDescent="0.25">
      <c r="A332" s="12" t="s">
        <v>91</v>
      </c>
      <c r="B332" s="19">
        <v>277</v>
      </c>
      <c r="C332" s="19">
        <v>399</v>
      </c>
      <c r="D332" s="19">
        <v>101</v>
      </c>
      <c r="E332" s="19">
        <v>135</v>
      </c>
      <c r="F332" s="23">
        <v>4</v>
      </c>
      <c r="G332" s="23">
        <v>9</v>
      </c>
      <c r="H332" s="19">
        <v>0</v>
      </c>
      <c r="I332" s="19">
        <v>0</v>
      </c>
      <c r="J332" s="19">
        <v>0</v>
      </c>
      <c r="K332" s="19">
        <v>0</v>
      </c>
      <c r="L332" s="19">
        <v>0</v>
      </c>
      <c r="M332" s="19">
        <v>0</v>
      </c>
      <c r="N332" s="19">
        <v>0</v>
      </c>
      <c r="O332" s="19">
        <v>0</v>
      </c>
    </row>
    <row r="333" spans="1:15" x14ac:dyDescent="0.25">
      <c r="A333" s="12" t="s">
        <v>92</v>
      </c>
      <c r="B333" s="19">
        <v>33</v>
      </c>
      <c r="C333" s="19">
        <v>160</v>
      </c>
      <c r="D333" s="19">
        <v>42</v>
      </c>
      <c r="E333" s="19">
        <v>91</v>
      </c>
      <c r="F333" s="23">
        <v>2</v>
      </c>
      <c r="G333" s="23">
        <v>21</v>
      </c>
      <c r="H333" s="19">
        <v>0</v>
      </c>
      <c r="I333" s="19">
        <v>0</v>
      </c>
      <c r="J333" s="19">
        <v>0</v>
      </c>
      <c r="K333" s="19">
        <v>0</v>
      </c>
      <c r="L333" s="19">
        <v>0</v>
      </c>
      <c r="M333" s="19">
        <v>0</v>
      </c>
      <c r="N333" s="19">
        <v>0</v>
      </c>
      <c r="O333" s="19">
        <v>0</v>
      </c>
    </row>
    <row r="334" spans="1:15" x14ac:dyDescent="0.25">
      <c r="A334" s="12" t="s">
        <v>93</v>
      </c>
      <c r="B334" s="19">
        <v>33</v>
      </c>
      <c r="C334" s="19">
        <v>133</v>
      </c>
      <c r="D334" s="19">
        <v>6</v>
      </c>
      <c r="E334" s="19">
        <v>16</v>
      </c>
      <c r="F334" s="23">
        <v>2</v>
      </c>
      <c r="G334" s="23">
        <v>21</v>
      </c>
      <c r="H334" s="19">
        <v>0</v>
      </c>
      <c r="I334" s="19">
        <v>0</v>
      </c>
      <c r="J334" s="19">
        <v>0</v>
      </c>
      <c r="K334" s="19">
        <v>0</v>
      </c>
      <c r="L334" s="19">
        <v>0</v>
      </c>
      <c r="M334" s="19">
        <v>0</v>
      </c>
      <c r="N334" s="19">
        <v>0</v>
      </c>
      <c r="O334" s="19">
        <v>0</v>
      </c>
    </row>
    <row r="335" spans="1:15" x14ac:dyDescent="0.25">
      <c r="A335" s="12" t="s">
        <v>94</v>
      </c>
      <c r="B335" s="19">
        <v>85</v>
      </c>
      <c r="C335" s="19">
        <v>163</v>
      </c>
      <c r="D335" s="19">
        <v>71</v>
      </c>
      <c r="E335" s="19">
        <v>113</v>
      </c>
      <c r="F335" s="23">
        <v>0</v>
      </c>
      <c r="G335" s="23">
        <v>1</v>
      </c>
      <c r="H335" s="19">
        <v>0</v>
      </c>
      <c r="I335" s="19">
        <v>0</v>
      </c>
      <c r="J335" s="19">
        <v>0</v>
      </c>
      <c r="K335" s="19">
        <v>0</v>
      </c>
      <c r="L335" s="19">
        <v>0</v>
      </c>
      <c r="M335" s="19">
        <v>0</v>
      </c>
      <c r="N335" s="19">
        <v>0</v>
      </c>
      <c r="O335" s="19">
        <v>0</v>
      </c>
    </row>
    <row r="336" spans="1:15" x14ac:dyDescent="0.25">
      <c r="A336" s="12" t="s">
        <v>95</v>
      </c>
      <c r="B336" s="19">
        <v>94</v>
      </c>
      <c r="C336" s="19">
        <v>130</v>
      </c>
      <c r="D336" s="19">
        <v>26</v>
      </c>
      <c r="E336" s="19">
        <v>35</v>
      </c>
      <c r="F336" s="19">
        <v>4</v>
      </c>
      <c r="G336" s="19">
        <v>36</v>
      </c>
      <c r="H336" s="19">
        <v>0</v>
      </c>
      <c r="I336" s="19">
        <v>0</v>
      </c>
      <c r="J336" s="19">
        <v>0</v>
      </c>
      <c r="K336" s="19">
        <v>0</v>
      </c>
      <c r="L336" s="19">
        <v>0</v>
      </c>
      <c r="M336" s="19">
        <v>0</v>
      </c>
      <c r="N336" s="19">
        <v>0</v>
      </c>
      <c r="O336" s="19">
        <v>0</v>
      </c>
    </row>
    <row r="337" spans="1:15" x14ac:dyDescent="0.25">
      <c r="A337" s="12" t="s">
        <v>96</v>
      </c>
      <c r="B337" s="19">
        <v>43</v>
      </c>
      <c r="C337" s="19">
        <v>94</v>
      </c>
      <c r="D337" s="19">
        <v>21</v>
      </c>
      <c r="E337" s="19">
        <v>37</v>
      </c>
      <c r="F337" s="19">
        <v>2</v>
      </c>
      <c r="G337" s="19">
        <v>5</v>
      </c>
      <c r="H337" s="19">
        <v>0</v>
      </c>
      <c r="I337" s="19">
        <v>0</v>
      </c>
      <c r="J337" s="19">
        <v>0</v>
      </c>
      <c r="K337" s="19">
        <v>1</v>
      </c>
      <c r="L337" s="19">
        <v>0</v>
      </c>
      <c r="M337" s="19">
        <v>0</v>
      </c>
      <c r="N337" s="19">
        <v>0</v>
      </c>
      <c r="O337" s="19">
        <v>0</v>
      </c>
    </row>
    <row r="338" spans="1:15" x14ac:dyDescent="0.25">
      <c r="A338" s="12" t="s">
        <v>97</v>
      </c>
      <c r="B338" s="19">
        <v>29</v>
      </c>
      <c r="C338" s="19">
        <v>40</v>
      </c>
      <c r="D338" s="19">
        <v>23</v>
      </c>
      <c r="E338" s="19">
        <v>56</v>
      </c>
      <c r="F338" s="19">
        <v>0</v>
      </c>
      <c r="G338" s="19">
        <v>1</v>
      </c>
      <c r="H338" s="19">
        <v>0</v>
      </c>
      <c r="I338" s="19">
        <v>0</v>
      </c>
      <c r="J338" s="19">
        <v>0</v>
      </c>
      <c r="K338" s="19">
        <v>0</v>
      </c>
      <c r="L338" s="19">
        <v>0</v>
      </c>
      <c r="M338" s="19">
        <v>0</v>
      </c>
      <c r="N338" s="19">
        <v>0</v>
      </c>
      <c r="O338" s="19">
        <v>0</v>
      </c>
    </row>
    <row r="339" spans="1:15" x14ac:dyDescent="0.25">
      <c r="A339" s="12" t="s">
        <v>98</v>
      </c>
      <c r="B339" s="19">
        <v>533</v>
      </c>
      <c r="C339" s="19">
        <v>1141</v>
      </c>
      <c r="D339" s="19">
        <v>213</v>
      </c>
      <c r="E339" s="19">
        <v>460</v>
      </c>
      <c r="F339" s="23">
        <v>34</v>
      </c>
      <c r="G339" s="23">
        <v>59</v>
      </c>
      <c r="H339" s="19">
        <v>0</v>
      </c>
      <c r="I339" s="19">
        <v>0</v>
      </c>
      <c r="J339" s="19">
        <v>0</v>
      </c>
      <c r="K339" s="19">
        <v>0</v>
      </c>
      <c r="L339" s="19">
        <v>0</v>
      </c>
      <c r="M339" s="19">
        <v>5</v>
      </c>
      <c r="N339" s="19">
        <v>0</v>
      </c>
      <c r="O339" s="19">
        <v>0</v>
      </c>
    </row>
    <row r="340" spans="1:15" x14ac:dyDescent="0.25">
      <c r="A340" s="12" t="s">
        <v>99</v>
      </c>
      <c r="B340" s="19">
        <v>224</v>
      </c>
      <c r="C340" s="19">
        <v>403</v>
      </c>
      <c r="D340" s="19">
        <v>106</v>
      </c>
      <c r="E340" s="19">
        <v>167</v>
      </c>
      <c r="F340" s="23">
        <v>20</v>
      </c>
      <c r="G340" s="23">
        <v>40</v>
      </c>
      <c r="H340" s="19">
        <v>0</v>
      </c>
      <c r="I340" s="19">
        <v>0</v>
      </c>
      <c r="J340" s="19">
        <v>0</v>
      </c>
      <c r="K340" s="19">
        <v>0</v>
      </c>
      <c r="L340" s="19">
        <v>0</v>
      </c>
      <c r="M340" s="19">
        <v>0</v>
      </c>
      <c r="N340" s="19">
        <v>0</v>
      </c>
      <c r="O340" s="19">
        <v>0</v>
      </c>
    </row>
    <row r="341" spans="1:15" x14ac:dyDescent="0.25">
      <c r="A341" s="12" t="s">
        <v>100</v>
      </c>
      <c r="B341" s="19">
        <v>280</v>
      </c>
      <c r="C341" s="19">
        <v>552</v>
      </c>
      <c r="D341" s="19">
        <v>95</v>
      </c>
      <c r="E341" s="19">
        <v>128</v>
      </c>
      <c r="F341" s="23">
        <v>28</v>
      </c>
      <c r="G341" s="23">
        <v>56</v>
      </c>
      <c r="H341" s="19">
        <v>0</v>
      </c>
      <c r="I341" s="19">
        <v>0</v>
      </c>
      <c r="J341" s="19">
        <v>0</v>
      </c>
      <c r="K341" s="19">
        <v>0</v>
      </c>
      <c r="L341" s="19">
        <v>0</v>
      </c>
      <c r="M341" s="19">
        <v>2</v>
      </c>
      <c r="N341" s="19">
        <v>0</v>
      </c>
      <c r="O341" s="19">
        <v>0</v>
      </c>
    </row>
    <row r="342" spans="1:15" x14ac:dyDescent="0.25">
      <c r="A342" s="12" t="s">
        <v>101</v>
      </c>
      <c r="B342" s="19">
        <v>220</v>
      </c>
      <c r="C342" s="19">
        <v>747</v>
      </c>
      <c r="D342" s="19">
        <v>90</v>
      </c>
      <c r="E342" s="19">
        <v>191</v>
      </c>
      <c r="F342" s="23">
        <v>15</v>
      </c>
      <c r="G342" s="23">
        <v>41</v>
      </c>
      <c r="H342" s="19">
        <v>0</v>
      </c>
      <c r="I342" s="19">
        <v>0</v>
      </c>
      <c r="J342" s="19">
        <v>0</v>
      </c>
      <c r="K342" s="19">
        <v>0</v>
      </c>
      <c r="L342" s="19">
        <v>0</v>
      </c>
      <c r="M342" s="19">
        <v>3</v>
      </c>
      <c r="N342" s="19">
        <v>0</v>
      </c>
      <c r="O342" s="19">
        <v>0</v>
      </c>
    </row>
    <row r="343" spans="1:15" x14ac:dyDescent="0.25">
      <c r="A343" s="13" t="s">
        <v>47</v>
      </c>
      <c r="B343" s="24">
        <v>120</v>
      </c>
      <c r="C343" s="24">
        <v>288</v>
      </c>
      <c r="D343" s="24">
        <v>39</v>
      </c>
      <c r="E343" s="24">
        <v>55</v>
      </c>
      <c r="F343" s="25">
        <v>4</v>
      </c>
      <c r="G343" s="25">
        <v>9</v>
      </c>
      <c r="H343" s="24">
        <v>0</v>
      </c>
      <c r="I343" s="24">
        <v>0</v>
      </c>
      <c r="J343" s="24">
        <v>0</v>
      </c>
      <c r="K343" s="24">
        <v>0</v>
      </c>
      <c r="L343" s="24">
        <v>0</v>
      </c>
      <c r="M343" s="24">
        <v>1</v>
      </c>
      <c r="N343" s="24">
        <v>0</v>
      </c>
      <c r="O343" s="24">
        <v>0</v>
      </c>
    </row>
    <row r="344" spans="1:15" x14ac:dyDescent="0.25">
      <c r="A344" s="11"/>
      <c r="B344" s="16"/>
      <c r="C344" s="16"/>
      <c r="D344" s="16"/>
      <c r="E344" s="16"/>
      <c r="F344" s="16"/>
      <c r="G344" s="16"/>
      <c r="H344" s="16"/>
      <c r="I344" s="16"/>
      <c r="J344" s="3"/>
      <c r="K344" s="3"/>
      <c r="L344" s="16"/>
      <c r="M344" s="16"/>
      <c r="N344" s="16"/>
      <c r="O344" s="16"/>
    </row>
    <row r="345" spans="1:15" x14ac:dyDescent="0.25">
      <c r="A345" s="11" t="s">
        <v>102</v>
      </c>
      <c r="B345" s="10">
        <f t="shared" ref="B345:O345" si="35">SUM(B346:B349)</f>
        <v>2139</v>
      </c>
      <c r="C345" s="10">
        <f t="shared" si="35"/>
        <v>3854</v>
      </c>
      <c r="D345" s="10">
        <f t="shared" si="35"/>
        <v>18</v>
      </c>
      <c r="E345" s="10">
        <f t="shared" si="35"/>
        <v>50</v>
      </c>
      <c r="F345" s="15">
        <f t="shared" si="35"/>
        <v>284</v>
      </c>
      <c r="G345" s="15">
        <f t="shared" si="35"/>
        <v>638</v>
      </c>
      <c r="H345" s="10">
        <f t="shared" si="35"/>
        <v>0</v>
      </c>
      <c r="I345" s="10">
        <f t="shared" si="35"/>
        <v>0</v>
      </c>
      <c r="J345" s="10">
        <f t="shared" si="35"/>
        <v>0</v>
      </c>
      <c r="K345" s="10">
        <f t="shared" si="35"/>
        <v>0</v>
      </c>
      <c r="L345" s="10">
        <f t="shared" si="35"/>
        <v>1</v>
      </c>
      <c r="M345" s="10">
        <f t="shared" si="35"/>
        <v>7</v>
      </c>
      <c r="N345" s="10">
        <f t="shared" si="35"/>
        <v>0</v>
      </c>
      <c r="O345" s="10">
        <f t="shared" si="35"/>
        <v>5</v>
      </c>
    </row>
    <row r="346" spans="1:15" x14ac:dyDescent="0.25">
      <c r="A346" s="12" t="s">
        <v>103</v>
      </c>
      <c r="B346" s="19">
        <v>1539</v>
      </c>
      <c r="C346" s="19">
        <v>2710</v>
      </c>
      <c r="D346" s="19">
        <v>0</v>
      </c>
      <c r="E346" s="19">
        <v>0</v>
      </c>
      <c r="F346" s="23">
        <v>193</v>
      </c>
      <c r="G346" s="23">
        <v>426</v>
      </c>
      <c r="H346" s="19">
        <v>0</v>
      </c>
      <c r="I346" s="19">
        <v>0</v>
      </c>
      <c r="J346" s="19">
        <v>0</v>
      </c>
      <c r="K346" s="19">
        <v>0</v>
      </c>
      <c r="L346" s="19">
        <v>1</v>
      </c>
      <c r="M346" s="19">
        <v>5</v>
      </c>
      <c r="N346" s="19">
        <v>0</v>
      </c>
      <c r="O346" s="19">
        <v>1</v>
      </c>
    </row>
    <row r="347" spans="1:15" x14ac:dyDescent="0.25">
      <c r="A347" s="12" t="s">
        <v>104</v>
      </c>
      <c r="B347" s="19">
        <v>141</v>
      </c>
      <c r="C347" s="19">
        <v>328</v>
      </c>
      <c r="D347" s="19">
        <v>0</v>
      </c>
      <c r="E347" s="19">
        <v>0</v>
      </c>
      <c r="F347" s="23">
        <v>24</v>
      </c>
      <c r="G347" s="23">
        <v>109</v>
      </c>
      <c r="H347" s="19">
        <v>0</v>
      </c>
      <c r="I347" s="19">
        <v>0</v>
      </c>
      <c r="J347" s="19">
        <v>0</v>
      </c>
      <c r="K347" s="19">
        <v>0</v>
      </c>
      <c r="L347" s="19">
        <v>0</v>
      </c>
      <c r="M347" s="19">
        <v>2</v>
      </c>
      <c r="N347" s="19">
        <v>0</v>
      </c>
      <c r="O347" s="19">
        <v>3</v>
      </c>
    </row>
    <row r="348" spans="1:15" x14ac:dyDescent="0.25">
      <c r="A348" s="12" t="s">
        <v>105</v>
      </c>
      <c r="B348" s="19">
        <v>392</v>
      </c>
      <c r="C348" s="19">
        <v>681</v>
      </c>
      <c r="D348" s="19">
        <v>9</v>
      </c>
      <c r="E348" s="19">
        <v>28</v>
      </c>
      <c r="F348" s="23">
        <v>23</v>
      </c>
      <c r="G348" s="23">
        <v>62</v>
      </c>
      <c r="H348" s="19">
        <v>0</v>
      </c>
      <c r="I348" s="19">
        <v>0</v>
      </c>
      <c r="J348" s="19">
        <v>0</v>
      </c>
      <c r="K348" s="19">
        <v>0</v>
      </c>
      <c r="L348" s="19">
        <v>0</v>
      </c>
      <c r="M348" s="19">
        <v>0</v>
      </c>
      <c r="N348" s="19">
        <v>0</v>
      </c>
      <c r="O348" s="19">
        <v>1</v>
      </c>
    </row>
    <row r="349" spans="1:15" x14ac:dyDescent="0.25">
      <c r="A349" s="13" t="s">
        <v>106</v>
      </c>
      <c r="B349" s="24">
        <v>67</v>
      </c>
      <c r="C349" s="24">
        <v>135</v>
      </c>
      <c r="D349" s="24">
        <v>9</v>
      </c>
      <c r="E349" s="24">
        <v>22</v>
      </c>
      <c r="F349" s="25">
        <v>44</v>
      </c>
      <c r="G349" s="25">
        <v>41</v>
      </c>
      <c r="H349" s="24">
        <v>0</v>
      </c>
      <c r="I349" s="24">
        <v>0</v>
      </c>
      <c r="J349" s="24">
        <v>0</v>
      </c>
      <c r="K349" s="24">
        <v>0</v>
      </c>
      <c r="L349" s="24">
        <v>0</v>
      </c>
      <c r="M349" s="24">
        <v>0</v>
      </c>
      <c r="N349" s="24">
        <v>0</v>
      </c>
      <c r="O349" s="24">
        <v>0</v>
      </c>
    </row>
    <row r="350" spans="1:15" x14ac:dyDescent="0.25">
      <c r="A350" s="11"/>
      <c r="B350" s="16"/>
      <c r="C350" s="16"/>
      <c r="D350" s="16"/>
      <c r="E350" s="16"/>
      <c r="F350" s="16"/>
      <c r="G350" s="16"/>
      <c r="H350" s="16"/>
      <c r="I350" s="16"/>
      <c r="J350" s="3"/>
      <c r="K350" s="3"/>
      <c r="L350" s="16"/>
      <c r="M350" s="16"/>
      <c r="N350" s="16"/>
      <c r="O350" s="16"/>
    </row>
    <row r="351" spans="1:15" x14ac:dyDescent="0.25">
      <c r="A351" s="11" t="s">
        <v>107</v>
      </c>
      <c r="B351" s="10">
        <f t="shared" ref="B351:O351" si="36">SUM(B352:B360)</f>
        <v>2304</v>
      </c>
      <c r="C351" s="10">
        <f t="shared" si="36"/>
        <v>5441</v>
      </c>
      <c r="D351" s="10">
        <f t="shared" si="36"/>
        <v>1941</v>
      </c>
      <c r="E351" s="10">
        <f t="shared" si="36"/>
        <v>3565</v>
      </c>
      <c r="F351" s="15">
        <f t="shared" si="36"/>
        <v>411</v>
      </c>
      <c r="G351" s="15">
        <f t="shared" si="36"/>
        <v>908</v>
      </c>
      <c r="H351" s="10">
        <f t="shared" si="36"/>
        <v>0</v>
      </c>
      <c r="I351" s="10">
        <f t="shared" si="36"/>
        <v>0</v>
      </c>
      <c r="J351" s="10">
        <f t="shared" si="36"/>
        <v>0</v>
      </c>
      <c r="K351" s="10">
        <f t="shared" si="36"/>
        <v>0</v>
      </c>
      <c r="L351" s="10">
        <f t="shared" si="36"/>
        <v>4</v>
      </c>
      <c r="M351" s="10">
        <f t="shared" si="36"/>
        <v>20</v>
      </c>
      <c r="N351" s="10">
        <f t="shared" si="36"/>
        <v>0</v>
      </c>
      <c r="O351" s="10">
        <f t="shared" si="36"/>
        <v>2</v>
      </c>
    </row>
    <row r="352" spans="1:15" x14ac:dyDescent="0.25">
      <c r="A352" s="12" t="s">
        <v>108</v>
      </c>
      <c r="B352" s="19">
        <v>378</v>
      </c>
      <c r="C352" s="19">
        <v>1247</v>
      </c>
      <c r="D352" s="19">
        <v>354</v>
      </c>
      <c r="E352" s="19">
        <v>1011</v>
      </c>
      <c r="F352" s="19">
        <v>68</v>
      </c>
      <c r="G352" s="19">
        <v>169</v>
      </c>
      <c r="H352" s="19">
        <v>0</v>
      </c>
      <c r="I352" s="19">
        <v>0</v>
      </c>
      <c r="J352" s="19">
        <v>0</v>
      </c>
      <c r="K352" s="19">
        <v>0</v>
      </c>
      <c r="L352" s="19">
        <v>2</v>
      </c>
      <c r="M352" s="19">
        <v>13</v>
      </c>
      <c r="N352" s="19">
        <v>0</v>
      </c>
      <c r="O352" s="19">
        <v>2</v>
      </c>
    </row>
    <row r="353" spans="1:15" x14ac:dyDescent="0.25">
      <c r="A353" s="12" t="s">
        <v>109</v>
      </c>
      <c r="B353" s="19">
        <v>259</v>
      </c>
      <c r="C353" s="19">
        <v>835</v>
      </c>
      <c r="D353" s="19">
        <v>263</v>
      </c>
      <c r="E353" s="19">
        <v>577</v>
      </c>
      <c r="F353" s="19">
        <v>50</v>
      </c>
      <c r="G353" s="19">
        <v>132</v>
      </c>
      <c r="H353" s="19">
        <v>0</v>
      </c>
      <c r="I353" s="19">
        <v>0</v>
      </c>
      <c r="J353" s="19">
        <v>0</v>
      </c>
      <c r="K353" s="19">
        <v>0</v>
      </c>
      <c r="L353" s="19">
        <v>0</v>
      </c>
      <c r="M353" s="19">
        <v>0</v>
      </c>
      <c r="N353" s="19">
        <v>0</v>
      </c>
      <c r="O353" s="19">
        <v>0</v>
      </c>
    </row>
    <row r="354" spans="1:15" x14ac:dyDescent="0.25">
      <c r="A354" s="12" t="s">
        <v>110</v>
      </c>
      <c r="B354" s="19">
        <v>66</v>
      </c>
      <c r="C354" s="19">
        <v>101</v>
      </c>
      <c r="D354" s="19">
        <v>221</v>
      </c>
      <c r="E354" s="19">
        <v>252</v>
      </c>
      <c r="F354" s="23">
        <v>25</v>
      </c>
      <c r="G354" s="23">
        <v>59</v>
      </c>
      <c r="H354" s="19">
        <v>0</v>
      </c>
      <c r="I354" s="19">
        <v>0</v>
      </c>
      <c r="J354" s="19">
        <v>0</v>
      </c>
      <c r="K354" s="19">
        <v>0</v>
      </c>
      <c r="L354" s="19">
        <v>0</v>
      </c>
      <c r="M354" s="19">
        <v>0</v>
      </c>
      <c r="N354" s="19">
        <v>0</v>
      </c>
      <c r="O354" s="19">
        <v>0</v>
      </c>
    </row>
    <row r="355" spans="1:15" x14ac:dyDescent="0.25">
      <c r="A355" s="12" t="s">
        <v>111</v>
      </c>
      <c r="B355" s="19">
        <v>614</v>
      </c>
      <c r="C355" s="19">
        <v>1215</v>
      </c>
      <c r="D355" s="19">
        <v>286</v>
      </c>
      <c r="E355" s="19">
        <v>481</v>
      </c>
      <c r="F355" s="23">
        <v>14</v>
      </c>
      <c r="G355" s="23">
        <v>32</v>
      </c>
      <c r="H355" s="19">
        <v>0</v>
      </c>
      <c r="I355" s="19">
        <v>0</v>
      </c>
      <c r="J355" s="19">
        <v>0</v>
      </c>
      <c r="K355" s="19">
        <v>0</v>
      </c>
      <c r="L355" s="19">
        <v>0</v>
      </c>
      <c r="M355" s="19">
        <v>5</v>
      </c>
      <c r="N355" s="19">
        <v>0</v>
      </c>
      <c r="O355" s="19">
        <v>0</v>
      </c>
    </row>
    <row r="356" spans="1:15" x14ac:dyDescent="0.25">
      <c r="A356" s="12" t="s">
        <v>112</v>
      </c>
      <c r="B356" s="19">
        <v>143</v>
      </c>
      <c r="C356" s="19">
        <v>455</v>
      </c>
      <c r="D356" s="19">
        <v>98</v>
      </c>
      <c r="E356" s="19">
        <v>194</v>
      </c>
      <c r="F356" s="23">
        <v>26</v>
      </c>
      <c r="G356" s="23">
        <v>91</v>
      </c>
      <c r="H356" s="19">
        <v>0</v>
      </c>
      <c r="I356" s="19">
        <v>0</v>
      </c>
      <c r="J356" s="19">
        <v>0</v>
      </c>
      <c r="K356" s="19">
        <v>0</v>
      </c>
      <c r="L356" s="19">
        <v>0</v>
      </c>
      <c r="M356" s="19">
        <v>1</v>
      </c>
      <c r="N356" s="19">
        <v>0</v>
      </c>
      <c r="O356" s="19">
        <v>0</v>
      </c>
    </row>
    <row r="357" spans="1:15" x14ac:dyDescent="0.25">
      <c r="A357" s="12" t="s">
        <v>113</v>
      </c>
      <c r="B357" s="19">
        <v>333</v>
      </c>
      <c r="C357" s="19">
        <v>729</v>
      </c>
      <c r="D357" s="19">
        <v>178</v>
      </c>
      <c r="E357" s="19">
        <v>264</v>
      </c>
      <c r="F357" s="23">
        <v>90</v>
      </c>
      <c r="G357" s="23">
        <v>149</v>
      </c>
      <c r="H357" s="19">
        <v>0</v>
      </c>
      <c r="I357" s="19">
        <v>0</v>
      </c>
      <c r="J357" s="19">
        <v>0</v>
      </c>
      <c r="K357" s="19">
        <v>0</v>
      </c>
      <c r="L357" s="19">
        <v>0</v>
      </c>
      <c r="M357" s="19">
        <v>0</v>
      </c>
      <c r="N357" s="19">
        <v>0</v>
      </c>
      <c r="O357" s="19">
        <v>0</v>
      </c>
    </row>
    <row r="358" spans="1:15" x14ac:dyDescent="0.25">
      <c r="A358" s="12" t="s">
        <v>114</v>
      </c>
      <c r="B358" s="19">
        <v>26</v>
      </c>
      <c r="C358" s="19">
        <v>20</v>
      </c>
      <c r="D358" s="19">
        <v>150</v>
      </c>
      <c r="E358" s="19">
        <v>217</v>
      </c>
      <c r="F358" s="23">
        <v>8</v>
      </c>
      <c r="G358" s="23">
        <v>6</v>
      </c>
      <c r="H358" s="19">
        <v>0</v>
      </c>
      <c r="I358" s="19">
        <v>0</v>
      </c>
      <c r="J358" s="19">
        <v>0</v>
      </c>
      <c r="K358" s="19">
        <v>0</v>
      </c>
      <c r="L358" s="19">
        <v>1</v>
      </c>
      <c r="M358" s="19">
        <v>1</v>
      </c>
      <c r="N358" s="19">
        <v>0</v>
      </c>
      <c r="O358" s="19">
        <v>0</v>
      </c>
    </row>
    <row r="359" spans="1:15" x14ac:dyDescent="0.25">
      <c r="A359" s="12" t="s">
        <v>115</v>
      </c>
      <c r="B359" s="19">
        <v>178</v>
      </c>
      <c r="C359" s="19">
        <v>346</v>
      </c>
      <c r="D359" s="19">
        <v>236</v>
      </c>
      <c r="E359" s="19">
        <v>361</v>
      </c>
      <c r="F359" s="19">
        <v>55</v>
      </c>
      <c r="G359" s="19">
        <v>157</v>
      </c>
      <c r="H359" s="19">
        <v>0</v>
      </c>
      <c r="I359" s="19">
        <v>0</v>
      </c>
      <c r="J359" s="19">
        <v>0</v>
      </c>
      <c r="K359" s="19">
        <v>0</v>
      </c>
      <c r="L359" s="19">
        <v>1</v>
      </c>
      <c r="M359" s="19">
        <v>0</v>
      </c>
      <c r="N359" s="19">
        <v>0</v>
      </c>
      <c r="O359" s="19">
        <v>0</v>
      </c>
    </row>
    <row r="360" spans="1:15" x14ac:dyDescent="0.25">
      <c r="A360" s="13" t="s">
        <v>116</v>
      </c>
      <c r="B360" s="24">
        <v>307</v>
      </c>
      <c r="C360" s="24">
        <v>493</v>
      </c>
      <c r="D360" s="24">
        <v>155</v>
      </c>
      <c r="E360" s="24">
        <v>208</v>
      </c>
      <c r="F360" s="24">
        <v>75</v>
      </c>
      <c r="G360" s="24">
        <v>113</v>
      </c>
      <c r="H360" s="24">
        <v>0</v>
      </c>
      <c r="I360" s="24">
        <v>0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4">
        <v>0</v>
      </c>
    </row>
    <row r="361" spans="1:15" x14ac:dyDescent="0.25">
      <c r="A361" s="11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x14ac:dyDescent="0.25">
      <c r="A362" s="11" t="s">
        <v>117</v>
      </c>
      <c r="B362" s="10">
        <f t="shared" ref="B362:I362" si="37">SUM(B363:B370)</f>
        <v>770</v>
      </c>
      <c r="C362" s="10">
        <f t="shared" si="37"/>
        <v>1816</v>
      </c>
      <c r="D362" s="10">
        <f t="shared" si="37"/>
        <v>955</v>
      </c>
      <c r="E362" s="10">
        <f t="shared" si="37"/>
        <v>1140</v>
      </c>
      <c r="F362" s="10">
        <f t="shared" si="37"/>
        <v>222</v>
      </c>
      <c r="G362" s="10">
        <f t="shared" si="37"/>
        <v>506</v>
      </c>
      <c r="H362" s="10">
        <f t="shared" si="37"/>
        <v>0</v>
      </c>
      <c r="I362" s="10">
        <f t="shared" si="37"/>
        <v>0</v>
      </c>
      <c r="J362" s="10">
        <v>0</v>
      </c>
      <c r="K362" s="10">
        <v>0</v>
      </c>
      <c r="L362" s="10">
        <f t="shared" ref="L362:O362" si="38">SUM(L363:L370)</f>
        <v>0</v>
      </c>
      <c r="M362" s="10">
        <f t="shared" si="38"/>
        <v>6</v>
      </c>
      <c r="N362" s="10">
        <f t="shared" si="38"/>
        <v>1</v>
      </c>
      <c r="O362" s="10">
        <f t="shared" si="38"/>
        <v>1</v>
      </c>
    </row>
    <row r="363" spans="1:15" x14ac:dyDescent="0.25">
      <c r="A363" s="12" t="s">
        <v>118</v>
      </c>
      <c r="B363" s="19">
        <v>143</v>
      </c>
      <c r="C363" s="19">
        <v>311</v>
      </c>
      <c r="D363" s="19">
        <v>128</v>
      </c>
      <c r="E363" s="19">
        <v>185</v>
      </c>
      <c r="F363" s="23">
        <v>28</v>
      </c>
      <c r="G363" s="23">
        <v>88</v>
      </c>
      <c r="H363" s="19">
        <v>0</v>
      </c>
      <c r="I363" s="19">
        <v>0</v>
      </c>
      <c r="J363" s="19">
        <v>0</v>
      </c>
      <c r="K363" s="19">
        <v>0</v>
      </c>
      <c r="L363" s="19">
        <v>0</v>
      </c>
      <c r="M363" s="19">
        <v>1</v>
      </c>
      <c r="N363" s="19">
        <v>1</v>
      </c>
      <c r="O363" s="19">
        <v>1</v>
      </c>
    </row>
    <row r="364" spans="1:15" x14ac:dyDescent="0.25">
      <c r="A364" s="12" t="s">
        <v>119</v>
      </c>
      <c r="B364" s="19">
        <v>78</v>
      </c>
      <c r="C364" s="19">
        <v>198</v>
      </c>
      <c r="D364" s="19">
        <v>65</v>
      </c>
      <c r="E364" s="19">
        <v>113</v>
      </c>
      <c r="F364" s="23">
        <v>18</v>
      </c>
      <c r="G364" s="23">
        <v>28</v>
      </c>
      <c r="H364" s="19">
        <v>0</v>
      </c>
      <c r="I364" s="19">
        <v>0</v>
      </c>
      <c r="J364" s="19">
        <v>0</v>
      </c>
      <c r="K364" s="19">
        <v>0</v>
      </c>
      <c r="L364" s="19">
        <v>0</v>
      </c>
      <c r="M364" s="19">
        <v>0</v>
      </c>
      <c r="N364" s="19">
        <v>0</v>
      </c>
      <c r="O364" s="19">
        <v>0</v>
      </c>
    </row>
    <row r="365" spans="1:15" x14ac:dyDescent="0.25">
      <c r="A365" s="12" t="s">
        <v>120</v>
      </c>
      <c r="B365" s="19">
        <v>23</v>
      </c>
      <c r="C365" s="19">
        <v>58</v>
      </c>
      <c r="D365" s="19">
        <v>267</v>
      </c>
      <c r="E365" s="19">
        <v>334</v>
      </c>
      <c r="F365" s="23">
        <v>25</v>
      </c>
      <c r="G365" s="23">
        <v>50</v>
      </c>
      <c r="H365" s="19">
        <v>0</v>
      </c>
      <c r="I365" s="19">
        <v>0</v>
      </c>
      <c r="J365" s="19">
        <v>0</v>
      </c>
      <c r="K365" s="19">
        <v>0</v>
      </c>
      <c r="L365" s="19">
        <v>0</v>
      </c>
      <c r="M365" s="19">
        <v>0</v>
      </c>
      <c r="N365" s="19">
        <v>0</v>
      </c>
      <c r="O365" s="19">
        <v>0</v>
      </c>
    </row>
    <row r="366" spans="1:15" x14ac:dyDescent="0.25">
      <c r="A366" s="12" t="s">
        <v>121</v>
      </c>
      <c r="B366" s="19">
        <v>194</v>
      </c>
      <c r="C366" s="19">
        <v>478</v>
      </c>
      <c r="D366" s="19">
        <v>93</v>
      </c>
      <c r="E366" s="19">
        <v>104</v>
      </c>
      <c r="F366" s="23">
        <v>49</v>
      </c>
      <c r="G366" s="23">
        <v>94</v>
      </c>
      <c r="H366" s="19">
        <v>0</v>
      </c>
      <c r="I366" s="19">
        <v>0</v>
      </c>
      <c r="J366" s="19">
        <v>0</v>
      </c>
      <c r="K366" s="19">
        <v>0</v>
      </c>
      <c r="L366" s="19">
        <v>0</v>
      </c>
      <c r="M366" s="19">
        <v>4</v>
      </c>
      <c r="N366" s="19">
        <v>0</v>
      </c>
      <c r="O366" s="19">
        <v>0</v>
      </c>
    </row>
    <row r="367" spans="1:15" x14ac:dyDescent="0.25">
      <c r="A367" s="12" t="s">
        <v>95</v>
      </c>
      <c r="B367" s="19">
        <v>59</v>
      </c>
      <c r="C367" s="19">
        <v>163</v>
      </c>
      <c r="D367" s="19">
        <v>21</v>
      </c>
      <c r="E367" s="19">
        <v>23</v>
      </c>
      <c r="F367" s="23">
        <v>6</v>
      </c>
      <c r="G367" s="23">
        <v>19</v>
      </c>
      <c r="H367" s="19">
        <v>0</v>
      </c>
      <c r="I367" s="19">
        <v>0</v>
      </c>
      <c r="J367" s="19">
        <v>0</v>
      </c>
      <c r="K367" s="19">
        <v>0</v>
      </c>
      <c r="L367" s="19">
        <v>0</v>
      </c>
      <c r="M367" s="19">
        <v>0</v>
      </c>
      <c r="N367" s="19">
        <v>0</v>
      </c>
      <c r="O367" s="19">
        <v>0</v>
      </c>
    </row>
    <row r="368" spans="1:15" x14ac:dyDescent="0.25">
      <c r="A368" s="17" t="s">
        <v>122</v>
      </c>
      <c r="B368" s="19">
        <v>15</v>
      </c>
      <c r="C368" s="19">
        <v>30</v>
      </c>
      <c r="D368" s="19">
        <v>91</v>
      </c>
      <c r="E368" s="19">
        <v>110</v>
      </c>
      <c r="F368" s="23">
        <v>45</v>
      </c>
      <c r="G368" s="23">
        <v>76</v>
      </c>
      <c r="H368" s="19">
        <v>0</v>
      </c>
      <c r="I368" s="19">
        <v>0</v>
      </c>
      <c r="J368" s="19">
        <v>0</v>
      </c>
      <c r="K368" s="19">
        <v>0</v>
      </c>
      <c r="L368" s="19">
        <v>0</v>
      </c>
      <c r="M368" s="19">
        <v>0</v>
      </c>
      <c r="N368" s="19">
        <v>0</v>
      </c>
      <c r="O368" s="19">
        <v>0</v>
      </c>
    </row>
    <row r="369" spans="1:15" x14ac:dyDescent="0.25">
      <c r="A369" s="12" t="s">
        <v>123</v>
      </c>
      <c r="B369" s="19">
        <v>192</v>
      </c>
      <c r="C369" s="19">
        <v>419</v>
      </c>
      <c r="D369" s="19">
        <v>128</v>
      </c>
      <c r="E369" s="23">
        <v>133</v>
      </c>
      <c r="F369" s="23">
        <v>42</v>
      </c>
      <c r="G369" s="23">
        <v>65</v>
      </c>
      <c r="H369" s="19">
        <v>0</v>
      </c>
      <c r="I369" s="19">
        <v>0</v>
      </c>
      <c r="J369" s="19">
        <v>0</v>
      </c>
      <c r="K369" s="19">
        <v>0</v>
      </c>
      <c r="L369" s="19">
        <v>0</v>
      </c>
      <c r="M369" s="19">
        <v>0</v>
      </c>
      <c r="N369" s="19">
        <v>0</v>
      </c>
      <c r="O369" s="19">
        <v>0</v>
      </c>
    </row>
    <row r="370" spans="1:15" x14ac:dyDescent="0.25">
      <c r="A370" s="13" t="s">
        <v>124</v>
      </c>
      <c r="B370" s="24">
        <v>66</v>
      </c>
      <c r="C370" s="24">
        <v>159</v>
      </c>
      <c r="D370" s="24">
        <v>162</v>
      </c>
      <c r="E370" s="24">
        <v>138</v>
      </c>
      <c r="F370" s="24">
        <v>9</v>
      </c>
      <c r="G370" s="24">
        <v>86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1</v>
      </c>
      <c r="N370" s="24">
        <v>0</v>
      </c>
      <c r="O370" s="24">
        <v>0</v>
      </c>
    </row>
    <row r="371" spans="1:15" x14ac:dyDescent="0.25">
      <c r="A371" s="11"/>
      <c r="B371" s="16"/>
      <c r="C371" s="16"/>
      <c r="D371" s="16"/>
      <c r="E371" s="16"/>
      <c r="F371" s="16"/>
      <c r="G371" s="16"/>
      <c r="H371" s="16"/>
      <c r="I371" s="16"/>
      <c r="J371" s="3"/>
      <c r="K371" s="3"/>
      <c r="L371" s="16"/>
      <c r="M371" s="16"/>
      <c r="N371" s="16"/>
      <c r="O371" s="16"/>
    </row>
    <row r="372" spans="1:15" x14ac:dyDescent="0.25">
      <c r="A372" s="11" t="s">
        <v>125</v>
      </c>
      <c r="B372" s="10">
        <f t="shared" ref="B372:O372" si="39">SUM(B373:B382)</f>
        <v>1733</v>
      </c>
      <c r="C372" s="10">
        <f t="shared" si="39"/>
        <v>3529</v>
      </c>
      <c r="D372" s="10">
        <f t="shared" si="39"/>
        <v>787</v>
      </c>
      <c r="E372" s="10">
        <f t="shared" si="39"/>
        <v>1044</v>
      </c>
      <c r="F372" s="15">
        <f t="shared" si="39"/>
        <v>333</v>
      </c>
      <c r="G372" s="15">
        <f t="shared" si="39"/>
        <v>799</v>
      </c>
      <c r="H372" s="10">
        <f t="shared" si="39"/>
        <v>0</v>
      </c>
      <c r="I372" s="10">
        <f t="shared" si="39"/>
        <v>0</v>
      </c>
      <c r="J372" s="10">
        <f t="shared" si="39"/>
        <v>0</v>
      </c>
      <c r="K372" s="10">
        <f t="shared" si="39"/>
        <v>0</v>
      </c>
      <c r="L372" s="10">
        <f t="shared" si="39"/>
        <v>1</v>
      </c>
      <c r="M372" s="10">
        <f t="shared" si="39"/>
        <v>1</v>
      </c>
      <c r="N372" s="10">
        <f t="shared" si="39"/>
        <v>0</v>
      </c>
      <c r="O372" s="10">
        <f t="shared" si="39"/>
        <v>0</v>
      </c>
    </row>
    <row r="373" spans="1:15" x14ac:dyDescent="0.25">
      <c r="A373" s="12" t="s">
        <v>80</v>
      </c>
      <c r="B373" s="19">
        <v>29</v>
      </c>
      <c r="C373" s="19">
        <v>65</v>
      </c>
      <c r="D373" s="19">
        <v>65</v>
      </c>
      <c r="E373" s="19">
        <v>71</v>
      </c>
      <c r="F373" s="23">
        <v>16</v>
      </c>
      <c r="G373" s="23">
        <v>28</v>
      </c>
      <c r="H373" s="19">
        <v>0</v>
      </c>
      <c r="I373" s="19">
        <v>0</v>
      </c>
      <c r="J373" s="19">
        <v>0</v>
      </c>
      <c r="K373" s="19">
        <v>0</v>
      </c>
      <c r="L373" s="19">
        <v>0</v>
      </c>
      <c r="M373" s="19">
        <v>0</v>
      </c>
      <c r="N373" s="19">
        <v>0</v>
      </c>
      <c r="O373" s="19">
        <v>0</v>
      </c>
    </row>
    <row r="374" spans="1:15" x14ac:dyDescent="0.25">
      <c r="A374" s="12" t="s">
        <v>126</v>
      </c>
      <c r="B374" s="19">
        <v>7</v>
      </c>
      <c r="C374" s="19">
        <v>38</v>
      </c>
      <c r="D374" s="19">
        <v>21</v>
      </c>
      <c r="E374" s="19">
        <v>54</v>
      </c>
      <c r="F374" s="23">
        <v>8</v>
      </c>
      <c r="G374" s="23">
        <v>10</v>
      </c>
      <c r="H374" s="19">
        <v>0</v>
      </c>
      <c r="I374" s="19">
        <v>0</v>
      </c>
      <c r="J374" s="19">
        <v>0</v>
      </c>
      <c r="K374" s="19">
        <v>0</v>
      </c>
      <c r="L374" s="19">
        <v>0</v>
      </c>
      <c r="M374" s="19">
        <v>0</v>
      </c>
      <c r="N374" s="19">
        <v>0</v>
      </c>
      <c r="O374" s="19">
        <v>0</v>
      </c>
    </row>
    <row r="375" spans="1:15" x14ac:dyDescent="0.25">
      <c r="A375" s="12" t="s">
        <v>127</v>
      </c>
      <c r="B375" s="19">
        <v>154</v>
      </c>
      <c r="C375" s="19">
        <v>399</v>
      </c>
      <c r="D375" s="19">
        <v>32</v>
      </c>
      <c r="E375" s="19">
        <v>29</v>
      </c>
      <c r="F375" s="23">
        <v>14</v>
      </c>
      <c r="G375" s="23">
        <v>216</v>
      </c>
      <c r="H375" s="19">
        <v>0</v>
      </c>
      <c r="I375" s="19">
        <v>0</v>
      </c>
      <c r="J375" s="19">
        <v>0</v>
      </c>
      <c r="K375" s="19">
        <v>0</v>
      </c>
      <c r="L375" s="19">
        <v>0</v>
      </c>
      <c r="M375" s="19">
        <v>0</v>
      </c>
      <c r="N375" s="19">
        <v>0</v>
      </c>
      <c r="O375" s="19">
        <v>0</v>
      </c>
    </row>
    <row r="376" spans="1:15" x14ac:dyDescent="0.25">
      <c r="A376" s="12" t="s">
        <v>128</v>
      </c>
      <c r="B376" s="19">
        <v>589</v>
      </c>
      <c r="C376" s="19">
        <v>1201</v>
      </c>
      <c r="D376" s="19">
        <v>242</v>
      </c>
      <c r="E376" s="19">
        <v>310</v>
      </c>
      <c r="F376" s="23">
        <v>93</v>
      </c>
      <c r="G376" s="23">
        <v>128</v>
      </c>
      <c r="H376" s="19">
        <v>0</v>
      </c>
      <c r="I376" s="19">
        <v>0</v>
      </c>
      <c r="J376" s="19">
        <v>0</v>
      </c>
      <c r="K376" s="19">
        <v>0</v>
      </c>
      <c r="L376" s="19">
        <v>1</v>
      </c>
      <c r="M376" s="19">
        <v>0</v>
      </c>
      <c r="N376" s="19">
        <v>0</v>
      </c>
      <c r="O376" s="19">
        <v>0</v>
      </c>
    </row>
    <row r="377" spans="1:15" x14ac:dyDescent="0.25">
      <c r="A377" s="12" t="s">
        <v>129</v>
      </c>
      <c r="B377" s="19">
        <v>50</v>
      </c>
      <c r="C377" s="19">
        <v>54</v>
      </c>
      <c r="D377" s="19">
        <v>25</v>
      </c>
      <c r="E377" s="19">
        <v>33</v>
      </c>
      <c r="F377" s="23">
        <v>9</v>
      </c>
      <c r="G377" s="23">
        <v>16</v>
      </c>
      <c r="H377" s="19">
        <v>0</v>
      </c>
      <c r="I377" s="19">
        <v>0</v>
      </c>
      <c r="J377" s="19">
        <v>0</v>
      </c>
      <c r="K377" s="19">
        <v>0</v>
      </c>
      <c r="L377" s="19">
        <v>0</v>
      </c>
      <c r="M377" s="19">
        <v>0</v>
      </c>
      <c r="N377" s="19">
        <v>0</v>
      </c>
      <c r="O377" s="19">
        <v>0</v>
      </c>
    </row>
    <row r="378" spans="1:15" x14ac:dyDescent="0.25">
      <c r="A378" s="17" t="s">
        <v>130</v>
      </c>
      <c r="B378" s="19">
        <v>87</v>
      </c>
      <c r="C378" s="19">
        <v>162</v>
      </c>
      <c r="D378" s="19">
        <v>50</v>
      </c>
      <c r="E378" s="19">
        <v>114</v>
      </c>
      <c r="F378" s="23">
        <v>10</v>
      </c>
      <c r="G378" s="23">
        <v>18</v>
      </c>
      <c r="H378" s="19">
        <v>0</v>
      </c>
      <c r="I378" s="19">
        <v>0</v>
      </c>
      <c r="J378" s="19">
        <v>0</v>
      </c>
      <c r="K378" s="19">
        <v>0</v>
      </c>
      <c r="L378" s="19">
        <v>0</v>
      </c>
      <c r="M378" s="19">
        <v>1</v>
      </c>
      <c r="N378" s="19">
        <v>0</v>
      </c>
      <c r="O378" s="19">
        <v>0</v>
      </c>
    </row>
    <row r="379" spans="1:15" x14ac:dyDescent="0.25">
      <c r="A379" s="17" t="s">
        <v>131</v>
      </c>
      <c r="B379" s="19">
        <v>94</v>
      </c>
      <c r="C379" s="19">
        <v>383</v>
      </c>
      <c r="D379" s="19">
        <v>6</v>
      </c>
      <c r="E379" s="19">
        <v>30</v>
      </c>
      <c r="F379" s="23">
        <v>5</v>
      </c>
      <c r="G379" s="23">
        <v>13</v>
      </c>
      <c r="H379" s="19">
        <v>0</v>
      </c>
      <c r="I379" s="19">
        <v>0</v>
      </c>
      <c r="J379" s="19">
        <v>0</v>
      </c>
      <c r="K379" s="19">
        <v>0</v>
      </c>
      <c r="L379" s="19">
        <v>0</v>
      </c>
      <c r="M379" s="19">
        <v>0</v>
      </c>
      <c r="N379" s="19">
        <v>0</v>
      </c>
      <c r="O379" s="19">
        <v>0</v>
      </c>
    </row>
    <row r="380" spans="1:15" x14ac:dyDescent="0.25">
      <c r="A380" s="12" t="s">
        <v>20</v>
      </c>
      <c r="B380" s="19">
        <v>34</v>
      </c>
      <c r="C380" s="19">
        <v>46</v>
      </c>
      <c r="D380" s="19">
        <v>3</v>
      </c>
      <c r="E380" s="19">
        <v>15</v>
      </c>
      <c r="F380" s="23">
        <v>1</v>
      </c>
      <c r="G380" s="23">
        <v>7</v>
      </c>
      <c r="H380" s="19">
        <v>0</v>
      </c>
      <c r="I380" s="19">
        <v>0</v>
      </c>
      <c r="J380" s="19">
        <v>0</v>
      </c>
      <c r="K380" s="19">
        <v>0</v>
      </c>
      <c r="L380" s="19">
        <v>0</v>
      </c>
      <c r="M380" s="19">
        <v>0</v>
      </c>
      <c r="N380" s="19">
        <v>0</v>
      </c>
      <c r="O380" s="19">
        <v>0</v>
      </c>
    </row>
    <row r="381" spans="1:15" x14ac:dyDescent="0.25">
      <c r="A381" s="12" t="s">
        <v>132</v>
      </c>
      <c r="B381" s="19">
        <v>30</v>
      </c>
      <c r="C381" s="19">
        <v>91</v>
      </c>
      <c r="D381" s="19">
        <v>82</v>
      </c>
      <c r="E381" s="19">
        <v>132</v>
      </c>
      <c r="F381" s="19">
        <v>57</v>
      </c>
      <c r="G381" s="19">
        <v>127</v>
      </c>
      <c r="H381" s="19">
        <v>0</v>
      </c>
      <c r="I381" s="19">
        <v>0</v>
      </c>
      <c r="J381" s="19">
        <v>0</v>
      </c>
      <c r="K381" s="19">
        <v>0</v>
      </c>
      <c r="L381" s="19">
        <v>0</v>
      </c>
      <c r="M381" s="19">
        <v>0</v>
      </c>
      <c r="N381" s="19">
        <v>0</v>
      </c>
      <c r="O381" s="19">
        <v>0</v>
      </c>
    </row>
    <row r="382" spans="1:15" x14ac:dyDescent="0.25">
      <c r="A382" s="13" t="s">
        <v>133</v>
      </c>
      <c r="B382" s="24">
        <v>659</v>
      </c>
      <c r="C382" s="24">
        <v>1090</v>
      </c>
      <c r="D382" s="24">
        <v>261</v>
      </c>
      <c r="E382" s="24">
        <v>256</v>
      </c>
      <c r="F382" s="24">
        <v>120</v>
      </c>
      <c r="G382" s="24">
        <v>236</v>
      </c>
      <c r="H382" s="24">
        <v>0</v>
      </c>
      <c r="I382" s="24">
        <v>0</v>
      </c>
      <c r="J382" s="24">
        <v>0</v>
      </c>
      <c r="K382" s="24">
        <v>0</v>
      </c>
      <c r="L382" s="24">
        <v>0</v>
      </c>
      <c r="M382" s="24">
        <v>0</v>
      </c>
      <c r="N382" s="24">
        <v>0</v>
      </c>
      <c r="O382" s="24">
        <v>0</v>
      </c>
    </row>
    <row r="383" spans="1:15" x14ac:dyDescent="0.25">
      <c r="A383" s="11"/>
      <c r="B383" s="16"/>
      <c r="C383" s="16"/>
      <c r="D383" s="16"/>
      <c r="E383" s="16"/>
      <c r="F383" s="16"/>
      <c r="G383" s="16"/>
      <c r="H383" s="16"/>
      <c r="I383" s="16"/>
      <c r="J383" s="3"/>
      <c r="K383" s="3"/>
      <c r="L383" s="16"/>
      <c r="M383" s="16"/>
      <c r="N383" s="16"/>
      <c r="O383" s="16"/>
    </row>
    <row r="384" spans="1:15" x14ac:dyDescent="0.25">
      <c r="A384" s="11" t="s">
        <v>134</v>
      </c>
      <c r="B384" s="10">
        <f t="shared" ref="B384:K384" si="40">SUM(B385:B389)</f>
        <v>68</v>
      </c>
      <c r="C384" s="10">
        <f t="shared" si="40"/>
        <v>155</v>
      </c>
      <c r="D384" s="10">
        <f t="shared" si="40"/>
        <v>64</v>
      </c>
      <c r="E384" s="10">
        <f t="shared" si="40"/>
        <v>148</v>
      </c>
      <c r="F384" s="15">
        <f t="shared" si="40"/>
        <v>14</v>
      </c>
      <c r="G384" s="15">
        <f t="shared" si="40"/>
        <v>25</v>
      </c>
      <c r="H384" s="10">
        <f t="shared" si="40"/>
        <v>0</v>
      </c>
      <c r="I384" s="10">
        <f t="shared" si="40"/>
        <v>0</v>
      </c>
      <c r="J384" s="10">
        <f t="shared" si="40"/>
        <v>0</v>
      </c>
      <c r="K384" s="10">
        <f t="shared" si="40"/>
        <v>0</v>
      </c>
      <c r="L384" s="10">
        <f>SUM(L385:L389)</f>
        <v>0</v>
      </c>
      <c r="M384" s="10">
        <f>SUM(M385:M389)</f>
        <v>4</v>
      </c>
      <c r="N384" s="10">
        <f>SUM(N385:N389)</f>
        <v>0</v>
      </c>
      <c r="O384" s="10">
        <f>SUM(O385:O389)</f>
        <v>0</v>
      </c>
    </row>
    <row r="385" spans="1:15" x14ac:dyDescent="0.25">
      <c r="A385" s="12" t="s">
        <v>135</v>
      </c>
      <c r="B385" s="19">
        <v>11</v>
      </c>
      <c r="C385" s="19">
        <v>19</v>
      </c>
      <c r="D385" s="19">
        <v>26</v>
      </c>
      <c r="E385" s="19">
        <v>29</v>
      </c>
      <c r="F385" s="23">
        <v>4</v>
      </c>
      <c r="G385" s="23">
        <v>4</v>
      </c>
      <c r="H385" s="19">
        <v>0</v>
      </c>
      <c r="I385" s="19">
        <v>0</v>
      </c>
      <c r="J385" s="19">
        <v>0</v>
      </c>
      <c r="K385" s="19">
        <v>0</v>
      </c>
      <c r="L385" s="19">
        <v>0</v>
      </c>
      <c r="M385" s="19">
        <v>0</v>
      </c>
      <c r="N385" s="19">
        <v>0</v>
      </c>
      <c r="O385" s="19">
        <v>0</v>
      </c>
    </row>
    <row r="386" spans="1:15" x14ac:dyDescent="0.25">
      <c r="A386" s="12" t="s">
        <v>136</v>
      </c>
      <c r="B386" s="19">
        <v>0</v>
      </c>
      <c r="C386" s="19">
        <v>0</v>
      </c>
      <c r="D386" s="19">
        <v>0</v>
      </c>
      <c r="E386" s="19">
        <v>0</v>
      </c>
      <c r="F386" s="23">
        <v>0</v>
      </c>
      <c r="G386" s="23">
        <v>0</v>
      </c>
      <c r="H386" s="19">
        <v>0</v>
      </c>
      <c r="I386" s="19">
        <v>0</v>
      </c>
      <c r="J386" s="19">
        <v>0</v>
      </c>
      <c r="K386" s="19">
        <v>0</v>
      </c>
      <c r="L386" s="19">
        <v>0</v>
      </c>
      <c r="M386" s="19">
        <v>0</v>
      </c>
      <c r="N386" s="19">
        <v>0</v>
      </c>
      <c r="O386" s="19">
        <v>0</v>
      </c>
    </row>
    <row r="387" spans="1:15" x14ac:dyDescent="0.25">
      <c r="A387" s="12" t="s">
        <v>137</v>
      </c>
      <c r="B387" s="19">
        <v>47</v>
      </c>
      <c r="C387" s="19">
        <v>77</v>
      </c>
      <c r="D387" s="19">
        <v>34</v>
      </c>
      <c r="E387" s="19">
        <v>107</v>
      </c>
      <c r="F387" s="23">
        <v>9</v>
      </c>
      <c r="G387" s="23">
        <v>10</v>
      </c>
      <c r="H387" s="19">
        <v>0</v>
      </c>
      <c r="I387" s="19">
        <v>0</v>
      </c>
      <c r="J387" s="19">
        <v>0</v>
      </c>
      <c r="K387" s="19">
        <v>0</v>
      </c>
      <c r="L387" s="19">
        <v>0</v>
      </c>
      <c r="M387" s="19">
        <v>4</v>
      </c>
      <c r="N387" s="19">
        <v>0</v>
      </c>
      <c r="O387" s="19">
        <v>0</v>
      </c>
    </row>
    <row r="388" spans="1:15" x14ac:dyDescent="0.25">
      <c r="A388" s="12" t="s">
        <v>138</v>
      </c>
      <c r="B388" s="19">
        <v>8</v>
      </c>
      <c r="C388" s="19">
        <v>48</v>
      </c>
      <c r="D388" s="19">
        <v>3</v>
      </c>
      <c r="E388" s="19">
        <v>4</v>
      </c>
      <c r="F388" s="23">
        <v>1</v>
      </c>
      <c r="G388" s="23">
        <v>9</v>
      </c>
      <c r="H388" s="19">
        <v>0</v>
      </c>
      <c r="I388" s="19">
        <v>0</v>
      </c>
      <c r="J388" s="19">
        <v>0</v>
      </c>
      <c r="K388" s="19">
        <v>0</v>
      </c>
      <c r="L388" s="19">
        <v>0</v>
      </c>
      <c r="M388" s="19">
        <v>0</v>
      </c>
      <c r="N388" s="19">
        <v>0</v>
      </c>
      <c r="O388" s="19">
        <v>0</v>
      </c>
    </row>
    <row r="389" spans="1:15" x14ac:dyDescent="0.25">
      <c r="A389" s="13" t="s">
        <v>139</v>
      </c>
      <c r="B389" s="24">
        <v>2</v>
      </c>
      <c r="C389" s="24">
        <v>11</v>
      </c>
      <c r="D389" s="24">
        <v>1</v>
      </c>
      <c r="E389" s="24">
        <v>8</v>
      </c>
      <c r="F389" s="25">
        <v>0</v>
      </c>
      <c r="G389" s="25">
        <v>2</v>
      </c>
      <c r="H389" s="24">
        <v>0</v>
      </c>
      <c r="I389" s="24">
        <v>0</v>
      </c>
      <c r="J389" s="24">
        <v>0</v>
      </c>
      <c r="K389" s="24">
        <v>0</v>
      </c>
      <c r="L389" s="24">
        <v>0</v>
      </c>
      <c r="M389" s="24">
        <v>0</v>
      </c>
      <c r="N389" s="24">
        <v>0</v>
      </c>
      <c r="O389" s="24">
        <v>0</v>
      </c>
    </row>
    <row r="390" spans="1:15" x14ac:dyDescent="0.25">
      <c r="A390" s="11"/>
      <c r="B390" s="16"/>
      <c r="C390" s="16"/>
      <c r="D390" s="16"/>
      <c r="E390" s="16"/>
      <c r="F390" s="16"/>
      <c r="G390" s="16"/>
      <c r="H390" s="16"/>
      <c r="I390" s="16"/>
      <c r="J390" s="3"/>
      <c r="K390" s="3"/>
      <c r="L390" s="16"/>
      <c r="M390" s="16"/>
      <c r="N390" s="16"/>
      <c r="O390" s="16"/>
    </row>
    <row r="391" spans="1:15" x14ac:dyDescent="0.25">
      <c r="A391" s="11" t="s">
        <v>140</v>
      </c>
      <c r="B391" s="10">
        <f t="shared" ref="B391:O391" si="41">SUM(B392:B399)</f>
        <v>862</v>
      </c>
      <c r="C391" s="10">
        <f t="shared" si="41"/>
        <v>2129</v>
      </c>
      <c r="D391" s="10">
        <f t="shared" si="41"/>
        <v>410</v>
      </c>
      <c r="E391" s="10">
        <f t="shared" si="41"/>
        <v>682</v>
      </c>
      <c r="F391" s="10">
        <f t="shared" si="41"/>
        <v>54</v>
      </c>
      <c r="G391" s="10">
        <f t="shared" si="41"/>
        <v>146</v>
      </c>
      <c r="H391" s="10">
        <f t="shared" si="41"/>
        <v>0</v>
      </c>
      <c r="I391" s="10">
        <f t="shared" si="41"/>
        <v>0</v>
      </c>
      <c r="J391" s="10">
        <f t="shared" si="41"/>
        <v>0</v>
      </c>
      <c r="K391" s="10">
        <f t="shared" si="41"/>
        <v>0</v>
      </c>
      <c r="L391" s="10">
        <f t="shared" si="41"/>
        <v>0</v>
      </c>
      <c r="M391" s="10">
        <f t="shared" si="41"/>
        <v>1</v>
      </c>
      <c r="N391" s="10">
        <f t="shared" si="41"/>
        <v>0</v>
      </c>
      <c r="O391" s="10">
        <f t="shared" si="41"/>
        <v>0</v>
      </c>
    </row>
    <row r="392" spans="1:15" x14ac:dyDescent="0.25">
      <c r="A392" s="12" t="s">
        <v>141</v>
      </c>
      <c r="B392" s="19">
        <v>9</v>
      </c>
      <c r="C392" s="19">
        <v>83</v>
      </c>
      <c r="D392" s="19">
        <v>2</v>
      </c>
      <c r="E392" s="19">
        <v>10</v>
      </c>
      <c r="F392" s="23">
        <v>0</v>
      </c>
      <c r="G392" s="23">
        <v>0</v>
      </c>
      <c r="H392" s="19">
        <v>0</v>
      </c>
      <c r="I392" s="19">
        <v>0</v>
      </c>
      <c r="J392" s="19">
        <v>0</v>
      </c>
      <c r="K392" s="19">
        <v>0</v>
      </c>
      <c r="L392" s="19">
        <v>0</v>
      </c>
      <c r="M392" s="19">
        <v>0</v>
      </c>
      <c r="N392" s="19">
        <v>0</v>
      </c>
      <c r="O392" s="19">
        <v>0</v>
      </c>
    </row>
    <row r="393" spans="1:15" x14ac:dyDescent="0.25">
      <c r="A393" s="12" t="s">
        <v>142</v>
      </c>
      <c r="B393" s="19">
        <v>10</v>
      </c>
      <c r="C393" s="19">
        <v>27</v>
      </c>
      <c r="D393" s="19">
        <v>3</v>
      </c>
      <c r="E393" s="19">
        <v>6</v>
      </c>
      <c r="F393" s="19">
        <v>0</v>
      </c>
      <c r="G393" s="19">
        <v>0</v>
      </c>
      <c r="H393" s="19">
        <v>0</v>
      </c>
      <c r="I393" s="19">
        <v>0</v>
      </c>
      <c r="J393" s="19">
        <v>0</v>
      </c>
      <c r="K393" s="19">
        <v>0</v>
      </c>
      <c r="L393" s="19">
        <v>0</v>
      </c>
      <c r="M393" s="19">
        <v>0</v>
      </c>
      <c r="N393" s="19">
        <v>0</v>
      </c>
      <c r="O393" s="19">
        <v>0</v>
      </c>
    </row>
    <row r="394" spans="1:15" x14ac:dyDescent="0.25">
      <c r="A394" s="12" t="s">
        <v>143</v>
      </c>
      <c r="B394" s="19">
        <v>265</v>
      </c>
      <c r="C394" s="19">
        <v>777</v>
      </c>
      <c r="D394" s="19">
        <v>82</v>
      </c>
      <c r="E394" s="19">
        <v>136</v>
      </c>
      <c r="F394" s="23">
        <v>19</v>
      </c>
      <c r="G394" s="23">
        <v>64</v>
      </c>
      <c r="H394" s="19">
        <v>0</v>
      </c>
      <c r="I394" s="19">
        <v>0</v>
      </c>
      <c r="J394" s="19">
        <v>0</v>
      </c>
      <c r="K394" s="19">
        <v>0</v>
      </c>
      <c r="L394" s="19">
        <v>0</v>
      </c>
      <c r="M394" s="19">
        <v>0</v>
      </c>
      <c r="N394" s="19">
        <v>0</v>
      </c>
      <c r="O394" s="19">
        <v>0</v>
      </c>
    </row>
    <row r="395" spans="1:15" x14ac:dyDescent="0.25">
      <c r="A395" s="12" t="s">
        <v>144</v>
      </c>
      <c r="B395" s="19">
        <v>346</v>
      </c>
      <c r="C395" s="19">
        <v>598</v>
      </c>
      <c r="D395" s="19">
        <v>163</v>
      </c>
      <c r="E395" s="19">
        <v>212</v>
      </c>
      <c r="F395" s="23">
        <v>14</v>
      </c>
      <c r="G395" s="23">
        <v>32</v>
      </c>
      <c r="H395" s="19">
        <v>0</v>
      </c>
      <c r="I395" s="19">
        <v>0</v>
      </c>
      <c r="J395" s="19">
        <v>0</v>
      </c>
      <c r="K395" s="19">
        <v>0</v>
      </c>
      <c r="L395" s="19">
        <v>0</v>
      </c>
      <c r="M395" s="19">
        <v>1</v>
      </c>
      <c r="N395" s="19">
        <v>0</v>
      </c>
      <c r="O395" s="19">
        <v>0</v>
      </c>
    </row>
    <row r="396" spans="1:15" x14ac:dyDescent="0.25">
      <c r="A396" s="12" t="s">
        <v>145</v>
      </c>
      <c r="B396" s="19">
        <v>40</v>
      </c>
      <c r="C396" s="19">
        <v>144</v>
      </c>
      <c r="D396" s="19">
        <v>11</v>
      </c>
      <c r="E396" s="19">
        <v>10</v>
      </c>
      <c r="F396" s="23">
        <v>0</v>
      </c>
      <c r="G396" s="23">
        <v>5</v>
      </c>
      <c r="H396" s="19">
        <v>0</v>
      </c>
      <c r="I396" s="19">
        <v>0</v>
      </c>
      <c r="J396" s="19">
        <v>0</v>
      </c>
      <c r="K396" s="19">
        <v>0</v>
      </c>
      <c r="L396" s="19">
        <v>0</v>
      </c>
      <c r="M396" s="19">
        <v>0</v>
      </c>
      <c r="N396" s="19">
        <v>0</v>
      </c>
      <c r="O396" s="19">
        <v>0</v>
      </c>
    </row>
    <row r="397" spans="1:15" x14ac:dyDescent="0.25">
      <c r="A397" s="12" t="s">
        <v>146</v>
      </c>
      <c r="B397" s="19">
        <v>132</v>
      </c>
      <c r="C397" s="19">
        <v>302</v>
      </c>
      <c r="D397" s="19">
        <v>62</v>
      </c>
      <c r="E397" s="19">
        <v>91</v>
      </c>
      <c r="F397" s="23">
        <v>12</v>
      </c>
      <c r="G397" s="23">
        <v>29</v>
      </c>
      <c r="H397" s="19">
        <v>0</v>
      </c>
      <c r="I397" s="19">
        <v>0</v>
      </c>
      <c r="J397" s="19">
        <v>0</v>
      </c>
      <c r="K397" s="19">
        <v>0</v>
      </c>
      <c r="L397" s="19">
        <v>0</v>
      </c>
      <c r="M397" s="19">
        <v>0</v>
      </c>
      <c r="N397" s="19">
        <v>0</v>
      </c>
      <c r="O397" s="19">
        <v>0</v>
      </c>
    </row>
    <row r="398" spans="1:15" x14ac:dyDescent="0.25">
      <c r="A398" s="12" t="s">
        <v>147</v>
      </c>
      <c r="B398" s="19">
        <v>54</v>
      </c>
      <c r="C398" s="19">
        <v>169</v>
      </c>
      <c r="D398" s="19">
        <v>80</v>
      </c>
      <c r="E398" s="19">
        <v>197</v>
      </c>
      <c r="F398" s="23">
        <v>6</v>
      </c>
      <c r="G398" s="23">
        <v>9</v>
      </c>
      <c r="H398" s="19">
        <v>0</v>
      </c>
      <c r="I398" s="19">
        <v>0</v>
      </c>
      <c r="J398" s="19">
        <v>0</v>
      </c>
      <c r="K398" s="19">
        <v>0</v>
      </c>
      <c r="L398" s="19">
        <v>0</v>
      </c>
      <c r="M398" s="19">
        <v>0</v>
      </c>
      <c r="N398" s="19">
        <v>0</v>
      </c>
      <c r="O398" s="19">
        <v>0</v>
      </c>
    </row>
    <row r="399" spans="1:15" x14ac:dyDescent="0.25">
      <c r="A399" s="13" t="s">
        <v>85</v>
      </c>
      <c r="B399" s="24">
        <v>6</v>
      </c>
      <c r="C399" s="24">
        <v>29</v>
      </c>
      <c r="D399" s="24">
        <v>7</v>
      </c>
      <c r="E399" s="24">
        <v>20</v>
      </c>
      <c r="F399" s="24">
        <v>3</v>
      </c>
      <c r="G399" s="24">
        <v>7</v>
      </c>
      <c r="H399" s="24">
        <v>0</v>
      </c>
      <c r="I399" s="24">
        <v>0</v>
      </c>
      <c r="J399" s="24">
        <v>0</v>
      </c>
      <c r="K399" s="24">
        <v>0</v>
      </c>
      <c r="L399" s="24">
        <v>0</v>
      </c>
      <c r="M399" s="24">
        <v>0</v>
      </c>
      <c r="N399" s="24">
        <v>0</v>
      </c>
      <c r="O399" s="24">
        <v>0</v>
      </c>
    </row>
    <row r="400" spans="1:15" x14ac:dyDescent="0.25">
      <c r="A400" s="11"/>
      <c r="B400" s="16"/>
      <c r="C400" s="16"/>
      <c r="D400" s="16"/>
      <c r="E400" s="16"/>
      <c r="F400" s="16"/>
      <c r="G400" s="16"/>
      <c r="H400" s="16"/>
      <c r="I400" s="16"/>
      <c r="J400" s="3"/>
      <c r="K400" s="3"/>
      <c r="L400" s="16"/>
      <c r="M400" s="16"/>
      <c r="N400" s="16"/>
      <c r="O400" s="16"/>
    </row>
    <row r="401" spans="1:15" x14ac:dyDescent="0.25">
      <c r="A401" s="11" t="s">
        <v>148</v>
      </c>
      <c r="B401" s="10">
        <f t="shared" ref="B401:O401" si="42">SUM(B402:B406)</f>
        <v>845</v>
      </c>
      <c r="C401" s="10">
        <f t="shared" si="42"/>
        <v>1339</v>
      </c>
      <c r="D401" s="10">
        <f t="shared" si="42"/>
        <v>592</v>
      </c>
      <c r="E401" s="10">
        <f t="shared" si="42"/>
        <v>813</v>
      </c>
      <c r="F401" s="15">
        <f t="shared" si="42"/>
        <v>173</v>
      </c>
      <c r="G401" s="15">
        <f t="shared" si="42"/>
        <v>333</v>
      </c>
      <c r="H401" s="10">
        <f t="shared" si="42"/>
        <v>0</v>
      </c>
      <c r="I401" s="10">
        <f t="shared" si="42"/>
        <v>0</v>
      </c>
      <c r="J401" s="10">
        <f t="shared" si="42"/>
        <v>0</v>
      </c>
      <c r="K401" s="10">
        <f t="shared" si="42"/>
        <v>0</v>
      </c>
      <c r="L401" s="10">
        <f t="shared" si="42"/>
        <v>0</v>
      </c>
      <c r="M401" s="10">
        <f t="shared" si="42"/>
        <v>0</v>
      </c>
      <c r="N401" s="10">
        <f t="shared" si="42"/>
        <v>0</v>
      </c>
      <c r="O401" s="10">
        <f t="shared" si="42"/>
        <v>0</v>
      </c>
    </row>
    <row r="402" spans="1:15" x14ac:dyDescent="0.25">
      <c r="A402" s="12" t="s">
        <v>149</v>
      </c>
      <c r="B402" s="19">
        <v>206</v>
      </c>
      <c r="C402" s="19">
        <v>400</v>
      </c>
      <c r="D402" s="19">
        <v>127</v>
      </c>
      <c r="E402" s="19">
        <v>249</v>
      </c>
      <c r="F402" s="23">
        <v>55</v>
      </c>
      <c r="G402" s="23">
        <v>160</v>
      </c>
      <c r="H402" s="19">
        <v>0</v>
      </c>
      <c r="I402" s="19">
        <v>0</v>
      </c>
      <c r="J402" s="19">
        <v>0</v>
      </c>
      <c r="K402" s="19">
        <v>0</v>
      </c>
      <c r="L402" s="19">
        <v>0</v>
      </c>
      <c r="M402" s="19">
        <v>0</v>
      </c>
      <c r="N402" s="19">
        <v>0</v>
      </c>
      <c r="O402" s="19">
        <v>0</v>
      </c>
    </row>
    <row r="403" spans="1:15" x14ac:dyDescent="0.25">
      <c r="A403" s="12" t="s">
        <v>150</v>
      </c>
      <c r="B403" s="19">
        <v>32</v>
      </c>
      <c r="C403" s="19">
        <v>62</v>
      </c>
      <c r="D403" s="19">
        <v>94</v>
      </c>
      <c r="E403" s="19">
        <v>101</v>
      </c>
      <c r="F403" s="23">
        <v>10</v>
      </c>
      <c r="G403" s="23">
        <v>17</v>
      </c>
      <c r="H403" s="19">
        <v>0</v>
      </c>
      <c r="I403" s="19">
        <v>0</v>
      </c>
      <c r="J403" s="19">
        <v>0</v>
      </c>
      <c r="K403" s="19">
        <v>0</v>
      </c>
      <c r="L403" s="19">
        <v>0</v>
      </c>
      <c r="M403" s="19">
        <v>0</v>
      </c>
      <c r="N403" s="19">
        <v>0</v>
      </c>
      <c r="O403" s="19">
        <v>0</v>
      </c>
    </row>
    <row r="404" spans="1:15" x14ac:dyDescent="0.25">
      <c r="A404" s="12" t="s">
        <v>68</v>
      </c>
      <c r="B404" s="19">
        <v>57</v>
      </c>
      <c r="C404" s="19">
        <v>84</v>
      </c>
      <c r="D404" s="19">
        <v>24</v>
      </c>
      <c r="E404" s="19">
        <v>23</v>
      </c>
      <c r="F404" s="23">
        <v>43</v>
      </c>
      <c r="G404" s="23">
        <v>79</v>
      </c>
      <c r="H404" s="19">
        <v>0</v>
      </c>
      <c r="I404" s="19">
        <v>0</v>
      </c>
      <c r="J404" s="19">
        <v>0</v>
      </c>
      <c r="K404" s="19">
        <v>0</v>
      </c>
      <c r="L404" s="19">
        <v>0</v>
      </c>
      <c r="M404" s="19">
        <v>0</v>
      </c>
      <c r="N404" s="19">
        <v>0</v>
      </c>
      <c r="O404" s="19">
        <v>0</v>
      </c>
    </row>
    <row r="405" spans="1:15" x14ac:dyDescent="0.25">
      <c r="A405" s="12" t="s">
        <v>151</v>
      </c>
      <c r="B405" s="19">
        <v>481</v>
      </c>
      <c r="C405" s="19">
        <v>722</v>
      </c>
      <c r="D405" s="19">
        <v>158</v>
      </c>
      <c r="E405" s="19">
        <v>185</v>
      </c>
      <c r="F405" s="23">
        <v>46</v>
      </c>
      <c r="G405" s="23">
        <v>47</v>
      </c>
      <c r="H405" s="19">
        <v>0</v>
      </c>
      <c r="I405" s="19">
        <v>0</v>
      </c>
      <c r="J405" s="19">
        <v>0</v>
      </c>
      <c r="K405" s="19">
        <v>0</v>
      </c>
      <c r="L405" s="19">
        <v>0</v>
      </c>
      <c r="M405" s="19">
        <v>0</v>
      </c>
      <c r="N405" s="19">
        <v>0</v>
      </c>
      <c r="O405" s="19">
        <v>0</v>
      </c>
    </row>
    <row r="406" spans="1:15" x14ac:dyDescent="0.25">
      <c r="A406" s="13" t="s">
        <v>152</v>
      </c>
      <c r="B406" s="24">
        <v>69</v>
      </c>
      <c r="C406" s="24">
        <v>71</v>
      </c>
      <c r="D406" s="24">
        <v>189</v>
      </c>
      <c r="E406" s="24">
        <v>255</v>
      </c>
      <c r="F406" s="25">
        <v>19</v>
      </c>
      <c r="G406" s="25">
        <v>30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</row>
    <row r="407" spans="1:15" x14ac:dyDescent="0.25">
      <c r="A407" s="11"/>
      <c r="B407" s="16"/>
      <c r="C407" s="16"/>
      <c r="D407" s="16"/>
      <c r="E407" s="16"/>
      <c r="F407" s="16"/>
      <c r="G407" s="16"/>
      <c r="H407" s="16"/>
      <c r="I407" s="16"/>
      <c r="J407" s="3"/>
      <c r="K407" s="3"/>
      <c r="L407" s="16"/>
      <c r="M407" s="16"/>
      <c r="N407" s="16"/>
      <c r="O407" s="16"/>
    </row>
    <row r="408" spans="1:15" x14ac:dyDescent="0.25">
      <c r="A408" s="11" t="s">
        <v>153</v>
      </c>
      <c r="B408" s="10">
        <f t="shared" ref="B408:O408" si="43">SUM(B409:B415)</f>
        <v>1483</v>
      </c>
      <c r="C408" s="10">
        <f t="shared" si="43"/>
        <v>3004</v>
      </c>
      <c r="D408" s="10">
        <f t="shared" si="43"/>
        <v>895</v>
      </c>
      <c r="E408" s="10">
        <f t="shared" si="43"/>
        <v>1373</v>
      </c>
      <c r="F408" s="15">
        <f t="shared" si="43"/>
        <v>105</v>
      </c>
      <c r="G408" s="15">
        <f t="shared" si="43"/>
        <v>195</v>
      </c>
      <c r="H408" s="10">
        <f t="shared" si="43"/>
        <v>0</v>
      </c>
      <c r="I408" s="10">
        <f t="shared" si="43"/>
        <v>0</v>
      </c>
      <c r="J408" s="10">
        <f t="shared" si="43"/>
        <v>0</v>
      </c>
      <c r="K408" s="10">
        <f t="shared" si="43"/>
        <v>0</v>
      </c>
      <c r="L408" s="10">
        <f t="shared" si="43"/>
        <v>0</v>
      </c>
      <c r="M408" s="10">
        <f t="shared" si="43"/>
        <v>14</v>
      </c>
      <c r="N408" s="10">
        <f t="shared" si="43"/>
        <v>0</v>
      </c>
      <c r="O408" s="10">
        <f t="shared" si="43"/>
        <v>0</v>
      </c>
    </row>
    <row r="409" spans="1:15" x14ac:dyDescent="0.25">
      <c r="A409" s="12" t="s">
        <v>80</v>
      </c>
      <c r="B409" s="19">
        <v>252</v>
      </c>
      <c r="C409" s="19">
        <v>621</v>
      </c>
      <c r="D409" s="19">
        <v>66</v>
      </c>
      <c r="E409" s="19">
        <v>126</v>
      </c>
      <c r="F409" s="23">
        <v>16</v>
      </c>
      <c r="G409" s="23">
        <v>33</v>
      </c>
      <c r="H409" s="19">
        <v>0</v>
      </c>
      <c r="I409" s="19">
        <v>0</v>
      </c>
      <c r="J409" s="19">
        <v>0</v>
      </c>
      <c r="K409" s="19">
        <v>0</v>
      </c>
      <c r="L409" s="19">
        <v>0</v>
      </c>
      <c r="M409" s="19">
        <v>0</v>
      </c>
      <c r="N409" s="19">
        <v>0</v>
      </c>
      <c r="O409" s="19">
        <v>0</v>
      </c>
    </row>
    <row r="410" spans="1:15" x14ac:dyDescent="0.25">
      <c r="A410" s="12" t="s">
        <v>154</v>
      </c>
      <c r="B410" s="19">
        <v>209</v>
      </c>
      <c r="C410" s="19">
        <v>334</v>
      </c>
      <c r="D410" s="19">
        <v>138</v>
      </c>
      <c r="E410" s="19">
        <v>213</v>
      </c>
      <c r="F410" s="23">
        <v>17</v>
      </c>
      <c r="G410" s="23">
        <v>19</v>
      </c>
      <c r="H410" s="19">
        <v>0</v>
      </c>
      <c r="I410" s="19">
        <v>0</v>
      </c>
      <c r="J410" s="19">
        <v>0</v>
      </c>
      <c r="K410" s="19">
        <v>0</v>
      </c>
      <c r="L410" s="19">
        <v>0</v>
      </c>
      <c r="M410" s="19">
        <v>0</v>
      </c>
      <c r="N410" s="19">
        <v>0</v>
      </c>
      <c r="O410" s="19">
        <v>0</v>
      </c>
    </row>
    <row r="411" spans="1:15" x14ac:dyDescent="0.25">
      <c r="A411" s="12" t="s">
        <v>155</v>
      </c>
      <c r="B411" s="19">
        <v>60</v>
      </c>
      <c r="C411" s="19">
        <v>250</v>
      </c>
      <c r="D411" s="19">
        <v>38</v>
      </c>
      <c r="E411" s="19">
        <v>89</v>
      </c>
      <c r="F411" s="19">
        <v>6</v>
      </c>
      <c r="G411" s="19">
        <v>17</v>
      </c>
      <c r="H411" s="19">
        <v>0</v>
      </c>
      <c r="I411" s="19">
        <v>0</v>
      </c>
      <c r="J411" s="19">
        <v>0</v>
      </c>
      <c r="K411" s="19">
        <v>0</v>
      </c>
      <c r="L411" s="19">
        <v>0</v>
      </c>
      <c r="M411" s="19">
        <v>0</v>
      </c>
      <c r="N411" s="19">
        <v>0</v>
      </c>
      <c r="O411" s="19">
        <v>0</v>
      </c>
    </row>
    <row r="412" spans="1:15" x14ac:dyDescent="0.25">
      <c r="A412" s="12" t="s">
        <v>156</v>
      </c>
      <c r="B412" s="19">
        <v>150</v>
      </c>
      <c r="C412" s="19">
        <v>267</v>
      </c>
      <c r="D412" s="19">
        <v>152</v>
      </c>
      <c r="E412" s="19">
        <v>180</v>
      </c>
      <c r="F412" s="19">
        <v>12</v>
      </c>
      <c r="G412" s="19">
        <v>19</v>
      </c>
      <c r="H412" s="19">
        <v>0</v>
      </c>
      <c r="I412" s="19">
        <v>0</v>
      </c>
      <c r="J412" s="19">
        <v>0</v>
      </c>
      <c r="K412" s="19">
        <v>0</v>
      </c>
      <c r="L412" s="19">
        <v>0</v>
      </c>
      <c r="M412" s="19">
        <v>0</v>
      </c>
      <c r="N412" s="19">
        <v>0</v>
      </c>
      <c r="O412" s="19">
        <v>0</v>
      </c>
    </row>
    <row r="413" spans="1:15" x14ac:dyDescent="0.25">
      <c r="A413" s="12" t="s">
        <v>157</v>
      </c>
      <c r="B413" s="19">
        <v>0</v>
      </c>
      <c r="C413" s="19">
        <v>0</v>
      </c>
      <c r="D413" s="19">
        <v>0</v>
      </c>
      <c r="E413" s="19">
        <v>0</v>
      </c>
      <c r="F413" s="23">
        <v>0</v>
      </c>
      <c r="G413" s="23">
        <v>0</v>
      </c>
      <c r="H413" s="19">
        <v>0</v>
      </c>
      <c r="I413" s="19">
        <v>0</v>
      </c>
      <c r="J413" s="19">
        <v>0</v>
      </c>
      <c r="K413" s="19">
        <v>0</v>
      </c>
      <c r="L413" s="19">
        <v>0</v>
      </c>
      <c r="M413" s="19">
        <v>0</v>
      </c>
      <c r="N413" s="19">
        <v>0</v>
      </c>
      <c r="O413" s="19">
        <v>0</v>
      </c>
    </row>
    <row r="414" spans="1:15" x14ac:dyDescent="0.25">
      <c r="A414" s="12" t="s">
        <v>158</v>
      </c>
      <c r="B414" s="19">
        <v>173</v>
      </c>
      <c r="C414" s="19">
        <v>437</v>
      </c>
      <c r="D414" s="19">
        <v>58</v>
      </c>
      <c r="E414" s="19">
        <v>65</v>
      </c>
      <c r="F414" s="23">
        <v>4</v>
      </c>
      <c r="G414" s="23">
        <v>11</v>
      </c>
      <c r="H414" s="19">
        <v>0</v>
      </c>
      <c r="I414" s="19">
        <v>0</v>
      </c>
      <c r="J414" s="19">
        <v>0</v>
      </c>
      <c r="K414" s="19">
        <v>0</v>
      </c>
      <c r="L414" s="19">
        <v>0</v>
      </c>
      <c r="M414" s="19">
        <v>0</v>
      </c>
      <c r="N414" s="19">
        <v>0</v>
      </c>
      <c r="O414" s="19">
        <v>0</v>
      </c>
    </row>
    <row r="415" spans="1:15" x14ac:dyDescent="0.25">
      <c r="A415" s="13" t="s">
        <v>159</v>
      </c>
      <c r="B415" s="24">
        <v>639</v>
      </c>
      <c r="C415" s="24">
        <v>1095</v>
      </c>
      <c r="D415" s="24">
        <v>443</v>
      </c>
      <c r="E415" s="24">
        <v>700</v>
      </c>
      <c r="F415" s="25">
        <v>50</v>
      </c>
      <c r="G415" s="25">
        <v>96</v>
      </c>
      <c r="H415" s="24">
        <v>0</v>
      </c>
      <c r="I415" s="24">
        <v>0</v>
      </c>
      <c r="J415" s="24">
        <v>0</v>
      </c>
      <c r="K415" s="24">
        <v>0</v>
      </c>
      <c r="L415" s="24">
        <v>0</v>
      </c>
      <c r="M415" s="24">
        <v>14</v>
      </c>
      <c r="N415" s="24">
        <v>0</v>
      </c>
      <c r="O415" s="24">
        <v>0</v>
      </c>
    </row>
    <row r="416" spans="1:15" x14ac:dyDescent="0.25">
      <c r="A416" s="11"/>
      <c r="B416" s="16"/>
      <c r="C416" s="16"/>
      <c r="D416" s="16"/>
      <c r="E416" s="16"/>
      <c r="F416" s="16"/>
      <c r="G416" s="16"/>
      <c r="H416" s="16"/>
      <c r="I416" s="16"/>
      <c r="J416" s="3"/>
      <c r="K416" s="3"/>
      <c r="L416" s="16"/>
      <c r="M416" s="16"/>
      <c r="N416" s="16"/>
      <c r="O416" s="16"/>
    </row>
    <row r="417" spans="1:15" x14ac:dyDescent="0.25">
      <c r="A417" s="11" t="s">
        <v>160</v>
      </c>
      <c r="B417" s="10">
        <f t="shared" ref="B417:O417" si="44">SUM(B418:B430)</f>
        <v>2477</v>
      </c>
      <c r="C417" s="10">
        <f t="shared" si="44"/>
        <v>6032</v>
      </c>
      <c r="D417" s="10">
        <f t="shared" si="44"/>
        <v>660</v>
      </c>
      <c r="E417" s="10">
        <f t="shared" si="44"/>
        <v>922</v>
      </c>
      <c r="F417" s="15">
        <f t="shared" si="44"/>
        <v>227</v>
      </c>
      <c r="G417" s="15">
        <f t="shared" si="44"/>
        <v>531</v>
      </c>
      <c r="H417" s="10">
        <f t="shared" si="44"/>
        <v>0</v>
      </c>
      <c r="I417" s="10">
        <f t="shared" si="44"/>
        <v>0</v>
      </c>
      <c r="J417" s="10">
        <f t="shared" si="44"/>
        <v>0</v>
      </c>
      <c r="K417" s="10">
        <f t="shared" si="44"/>
        <v>0</v>
      </c>
      <c r="L417" s="10">
        <f t="shared" si="44"/>
        <v>0</v>
      </c>
      <c r="M417" s="10">
        <f t="shared" si="44"/>
        <v>0</v>
      </c>
      <c r="N417" s="10">
        <f t="shared" si="44"/>
        <v>0</v>
      </c>
      <c r="O417" s="10">
        <f t="shared" si="44"/>
        <v>0</v>
      </c>
    </row>
    <row r="418" spans="1:15" x14ac:dyDescent="0.25">
      <c r="A418" s="12" t="s">
        <v>161</v>
      </c>
      <c r="B418" s="19">
        <v>887</v>
      </c>
      <c r="C418" s="19">
        <v>1756</v>
      </c>
      <c r="D418" s="19">
        <v>162</v>
      </c>
      <c r="E418" s="19">
        <v>159</v>
      </c>
      <c r="F418" s="19">
        <v>30</v>
      </c>
      <c r="G418" s="19">
        <v>42</v>
      </c>
      <c r="H418" s="19">
        <v>0</v>
      </c>
      <c r="I418" s="19">
        <v>0</v>
      </c>
      <c r="J418" s="19">
        <v>0</v>
      </c>
      <c r="K418" s="19">
        <v>0</v>
      </c>
      <c r="L418" s="19">
        <v>0</v>
      </c>
      <c r="M418" s="19">
        <v>0</v>
      </c>
      <c r="N418" s="19">
        <v>0</v>
      </c>
      <c r="O418" s="19">
        <v>0</v>
      </c>
    </row>
    <row r="419" spans="1:15" x14ac:dyDescent="0.25">
      <c r="A419" s="12" t="s">
        <v>162</v>
      </c>
      <c r="B419" s="19">
        <v>312</v>
      </c>
      <c r="C419" s="19">
        <v>688</v>
      </c>
      <c r="D419" s="19">
        <v>136</v>
      </c>
      <c r="E419" s="19">
        <v>160</v>
      </c>
      <c r="F419" s="19">
        <v>68</v>
      </c>
      <c r="G419" s="19">
        <v>138</v>
      </c>
      <c r="H419" s="19">
        <v>0</v>
      </c>
      <c r="I419" s="19">
        <v>0</v>
      </c>
      <c r="J419" s="19">
        <v>0</v>
      </c>
      <c r="K419" s="19">
        <v>0</v>
      </c>
      <c r="L419" s="19">
        <v>0</v>
      </c>
      <c r="M419" s="19">
        <v>0</v>
      </c>
      <c r="N419" s="19">
        <v>0</v>
      </c>
      <c r="O419" s="19">
        <v>0</v>
      </c>
    </row>
    <row r="420" spans="1:15" x14ac:dyDescent="0.25">
      <c r="A420" s="12" t="s">
        <v>163</v>
      </c>
      <c r="B420" s="19">
        <v>193</v>
      </c>
      <c r="C420" s="19">
        <v>466</v>
      </c>
      <c r="D420" s="19">
        <v>24</v>
      </c>
      <c r="E420" s="19">
        <v>21</v>
      </c>
      <c r="F420" s="23">
        <v>55</v>
      </c>
      <c r="G420" s="23">
        <v>122</v>
      </c>
      <c r="H420" s="19">
        <v>0</v>
      </c>
      <c r="I420" s="19">
        <v>0</v>
      </c>
      <c r="J420" s="19">
        <v>0</v>
      </c>
      <c r="K420" s="19">
        <v>0</v>
      </c>
      <c r="L420" s="19">
        <v>0</v>
      </c>
      <c r="M420" s="19">
        <v>0</v>
      </c>
      <c r="N420" s="19">
        <v>0</v>
      </c>
      <c r="O420" s="19">
        <v>0</v>
      </c>
    </row>
    <row r="421" spans="1:15" x14ac:dyDescent="0.25">
      <c r="A421" s="12" t="s">
        <v>164</v>
      </c>
      <c r="B421" s="19">
        <v>224</v>
      </c>
      <c r="C421" s="19">
        <v>920</v>
      </c>
      <c r="D421" s="19">
        <v>28</v>
      </c>
      <c r="E421" s="19">
        <v>153</v>
      </c>
      <c r="F421" s="23">
        <v>10</v>
      </c>
      <c r="G421" s="23">
        <v>61</v>
      </c>
      <c r="H421" s="19">
        <v>0</v>
      </c>
      <c r="I421" s="19">
        <v>0</v>
      </c>
      <c r="J421" s="19">
        <v>0</v>
      </c>
      <c r="K421" s="19">
        <v>0</v>
      </c>
      <c r="L421" s="19">
        <v>0</v>
      </c>
      <c r="M421" s="19">
        <v>0</v>
      </c>
      <c r="N421" s="19">
        <v>0</v>
      </c>
      <c r="O421" s="19">
        <v>0</v>
      </c>
    </row>
    <row r="422" spans="1:15" x14ac:dyDescent="0.25">
      <c r="A422" s="12" t="s">
        <v>109</v>
      </c>
      <c r="B422" s="19">
        <v>187</v>
      </c>
      <c r="C422" s="19">
        <v>434</v>
      </c>
      <c r="D422" s="19">
        <v>31</v>
      </c>
      <c r="E422" s="19">
        <v>53</v>
      </c>
      <c r="F422" s="23">
        <v>4</v>
      </c>
      <c r="G422" s="23">
        <v>16</v>
      </c>
      <c r="H422" s="19">
        <v>0</v>
      </c>
      <c r="I422" s="19">
        <v>0</v>
      </c>
      <c r="J422" s="19">
        <v>0</v>
      </c>
      <c r="K422" s="19">
        <v>0</v>
      </c>
      <c r="L422" s="19">
        <v>0</v>
      </c>
      <c r="M422" s="19">
        <v>0</v>
      </c>
      <c r="N422" s="19">
        <v>0</v>
      </c>
      <c r="O422" s="19">
        <v>0</v>
      </c>
    </row>
    <row r="423" spans="1:15" x14ac:dyDescent="0.25">
      <c r="A423" s="12" t="s">
        <v>165</v>
      </c>
      <c r="B423" s="19">
        <v>35</v>
      </c>
      <c r="C423" s="19">
        <v>65</v>
      </c>
      <c r="D423" s="19">
        <v>27</v>
      </c>
      <c r="E423" s="19">
        <v>20</v>
      </c>
      <c r="F423" s="23">
        <v>0</v>
      </c>
      <c r="G423" s="23">
        <v>4</v>
      </c>
      <c r="H423" s="19">
        <v>0</v>
      </c>
      <c r="I423" s="19">
        <v>0</v>
      </c>
      <c r="J423" s="19">
        <v>0</v>
      </c>
      <c r="K423" s="19">
        <v>0</v>
      </c>
      <c r="L423" s="19">
        <v>0</v>
      </c>
      <c r="M423" s="19">
        <v>0</v>
      </c>
      <c r="N423" s="19">
        <v>0</v>
      </c>
      <c r="O423" s="19">
        <v>0</v>
      </c>
    </row>
    <row r="424" spans="1:15" x14ac:dyDescent="0.25">
      <c r="A424" s="12" t="s">
        <v>166</v>
      </c>
      <c r="B424" s="19">
        <v>267</v>
      </c>
      <c r="C424" s="19">
        <v>578</v>
      </c>
      <c r="D424" s="19">
        <v>145</v>
      </c>
      <c r="E424" s="19">
        <v>195</v>
      </c>
      <c r="F424" s="23">
        <v>29</v>
      </c>
      <c r="G424" s="23">
        <v>36</v>
      </c>
      <c r="H424" s="19">
        <v>0</v>
      </c>
      <c r="I424" s="19">
        <v>0</v>
      </c>
      <c r="J424" s="19">
        <v>0</v>
      </c>
      <c r="K424" s="19">
        <v>0</v>
      </c>
      <c r="L424" s="19">
        <v>0</v>
      </c>
      <c r="M424" s="19">
        <v>0</v>
      </c>
      <c r="N424" s="19">
        <v>0</v>
      </c>
      <c r="O424" s="19">
        <v>0</v>
      </c>
    </row>
    <row r="425" spans="1:15" x14ac:dyDescent="0.25">
      <c r="A425" s="12" t="s">
        <v>167</v>
      </c>
      <c r="B425" s="19">
        <v>20</v>
      </c>
      <c r="C425" s="19">
        <v>87</v>
      </c>
      <c r="D425" s="19">
        <v>2</v>
      </c>
      <c r="E425" s="19">
        <v>9</v>
      </c>
      <c r="F425" s="23">
        <v>6</v>
      </c>
      <c r="G425" s="23">
        <v>31</v>
      </c>
      <c r="H425" s="19">
        <v>0</v>
      </c>
      <c r="I425" s="19">
        <v>0</v>
      </c>
      <c r="J425" s="19">
        <v>0</v>
      </c>
      <c r="K425" s="19">
        <v>0</v>
      </c>
      <c r="L425" s="19">
        <v>0</v>
      </c>
      <c r="M425" s="19">
        <v>0</v>
      </c>
      <c r="N425" s="19">
        <v>0</v>
      </c>
      <c r="O425" s="19">
        <v>0</v>
      </c>
    </row>
    <row r="426" spans="1:15" x14ac:dyDescent="0.25">
      <c r="A426" s="12" t="s">
        <v>168</v>
      </c>
      <c r="B426" s="19">
        <v>0</v>
      </c>
      <c r="C426" s="19">
        <v>8</v>
      </c>
      <c r="D426" s="19">
        <v>4</v>
      </c>
      <c r="E426" s="19">
        <v>13</v>
      </c>
      <c r="F426" s="23">
        <v>0</v>
      </c>
      <c r="G426" s="23">
        <v>0</v>
      </c>
      <c r="H426" s="19">
        <v>0</v>
      </c>
      <c r="I426" s="19">
        <v>0</v>
      </c>
      <c r="J426" s="19">
        <v>0</v>
      </c>
      <c r="K426" s="19">
        <v>0</v>
      </c>
      <c r="L426" s="19">
        <v>0</v>
      </c>
      <c r="M426" s="19">
        <v>0</v>
      </c>
      <c r="N426" s="19">
        <v>0</v>
      </c>
      <c r="O426" s="19">
        <v>0</v>
      </c>
    </row>
    <row r="427" spans="1:15" x14ac:dyDescent="0.25">
      <c r="A427" s="12" t="s">
        <v>169</v>
      </c>
      <c r="B427" s="19">
        <v>179</v>
      </c>
      <c r="C427" s="19">
        <v>428</v>
      </c>
      <c r="D427" s="19">
        <v>56</v>
      </c>
      <c r="E427" s="19">
        <v>67</v>
      </c>
      <c r="F427" s="23">
        <v>5</v>
      </c>
      <c r="G427" s="23">
        <v>20</v>
      </c>
      <c r="H427" s="19">
        <v>0</v>
      </c>
      <c r="I427" s="19">
        <v>0</v>
      </c>
      <c r="J427" s="19">
        <v>0</v>
      </c>
      <c r="K427" s="19">
        <v>0</v>
      </c>
      <c r="L427" s="19">
        <v>0</v>
      </c>
      <c r="M427" s="19">
        <v>0</v>
      </c>
      <c r="N427" s="19">
        <v>0</v>
      </c>
      <c r="O427" s="19">
        <v>0</v>
      </c>
    </row>
    <row r="428" spans="1:15" x14ac:dyDescent="0.25">
      <c r="A428" s="12" t="s">
        <v>126</v>
      </c>
      <c r="B428" s="19">
        <v>56</v>
      </c>
      <c r="C428" s="19">
        <v>238</v>
      </c>
      <c r="D428" s="19">
        <v>30</v>
      </c>
      <c r="E428" s="19">
        <v>39</v>
      </c>
      <c r="F428" s="19">
        <v>2</v>
      </c>
      <c r="G428" s="19">
        <v>6</v>
      </c>
      <c r="H428" s="19">
        <v>0</v>
      </c>
      <c r="I428" s="19">
        <v>0</v>
      </c>
      <c r="J428" s="19">
        <v>0</v>
      </c>
      <c r="K428" s="19">
        <v>0</v>
      </c>
      <c r="L428" s="19">
        <v>0</v>
      </c>
      <c r="M428" s="19">
        <v>0</v>
      </c>
      <c r="N428" s="19">
        <v>0</v>
      </c>
      <c r="O428" s="19">
        <v>0</v>
      </c>
    </row>
    <row r="429" spans="1:15" x14ac:dyDescent="0.25">
      <c r="A429" s="12" t="s">
        <v>170</v>
      </c>
      <c r="B429" s="19">
        <v>42</v>
      </c>
      <c r="C429" s="19">
        <v>173</v>
      </c>
      <c r="D429" s="19">
        <v>13</v>
      </c>
      <c r="E429" s="19">
        <v>28</v>
      </c>
      <c r="F429" s="19">
        <v>13</v>
      </c>
      <c r="G429" s="19">
        <v>51</v>
      </c>
      <c r="H429" s="19">
        <v>0</v>
      </c>
      <c r="I429" s="19">
        <v>0</v>
      </c>
      <c r="J429" s="19">
        <v>0</v>
      </c>
      <c r="K429" s="19">
        <v>0</v>
      </c>
      <c r="L429" s="19">
        <v>0</v>
      </c>
      <c r="M429" s="19">
        <v>0</v>
      </c>
      <c r="N429" s="19">
        <v>0</v>
      </c>
      <c r="O429" s="19">
        <v>0</v>
      </c>
    </row>
    <row r="430" spans="1:15" x14ac:dyDescent="0.25">
      <c r="A430" s="13" t="s">
        <v>171</v>
      </c>
      <c r="B430" s="24">
        <v>75</v>
      </c>
      <c r="C430" s="24">
        <v>191</v>
      </c>
      <c r="D430" s="24">
        <v>2</v>
      </c>
      <c r="E430" s="24">
        <v>5</v>
      </c>
      <c r="F430" s="25">
        <v>5</v>
      </c>
      <c r="G430" s="25">
        <v>4</v>
      </c>
      <c r="H430" s="24">
        <v>0</v>
      </c>
      <c r="I430" s="24">
        <v>0</v>
      </c>
      <c r="J430" s="24">
        <v>0</v>
      </c>
      <c r="K430" s="24">
        <v>0</v>
      </c>
      <c r="L430" s="24">
        <v>0</v>
      </c>
      <c r="M430" s="24">
        <v>0</v>
      </c>
      <c r="N430" s="24">
        <v>0</v>
      </c>
      <c r="O430" s="24">
        <v>0</v>
      </c>
    </row>
    <row r="431" spans="1:15" x14ac:dyDescent="0.25">
      <c r="A431" s="11"/>
      <c r="B431" s="16"/>
      <c r="C431" s="16"/>
      <c r="D431" s="16"/>
      <c r="E431" s="16"/>
      <c r="F431" s="16"/>
      <c r="G431" s="16"/>
      <c r="H431" s="16"/>
      <c r="I431" s="16"/>
      <c r="J431" s="3"/>
      <c r="K431" s="3"/>
      <c r="L431" s="16"/>
      <c r="M431" s="16"/>
      <c r="N431" s="16"/>
      <c r="O431" s="16"/>
    </row>
    <row r="432" spans="1:15" x14ac:dyDescent="0.25">
      <c r="A432" s="11" t="s">
        <v>172</v>
      </c>
      <c r="B432" s="10">
        <f t="shared" ref="B432:O432" si="45">SUM(B433:B444)</f>
        <v>2619</v>
      </c>
      <c r="C432" s="10">
        <f t="shared" si="45"/>
        <v>6578</v>
      </c>
      <c r="D432" s="10">
        <f t="shared" si="45"/>
        <v>884</v>
      </c>
      <c r="E432" s="10">
        <f t="shared" si="45"/>
        <v>1648</v>
      </c>
      <c r="F432" s="15">
        <f t="shared" si="45"/>
        <v>383</v>
      </c>
      <c r="G432" s="15">
        <f t="shared" si="45"/>
        <v>841</v>
      </c>
      <c r="H432" s="10">
        <f t="shared" si="45"/>
        <v>0</v>
      </c>
      <c r="I432" s="10">
        <f t="shared" si="45"/>
        <v>0</v>
      </c>
      <c r="J432" s="10">
        <f t="shared" si="45"/>
        <v>0</v>
      </c>
      <c r="K432" s="10">
        <f t="shared" si="45"/>
        <v>3</v>
      </c>
      <c r="L432" s="10">
        <f t="shared" si="45"/>
        <v>0</v>
      </c>
      <c r="M432" s="10">
        <f t="shared" si="45"/>
        <v>15</v>
      </c>
      <c r="N432" s="10">
        <f t="shared" si="45"/>
        <v>0</v>
      </c>
      <c r="O432" s="10">
        <f t="shared" si="45"/>
        <v>1</v>
      </c>
    </row>
    <row r="433" spans="1:15" x14ac:dyDescent="0.25">
      <c r="A433" s="12" t="s">
        <v>173</v>
      </c>
      <c r="B433" s="19">
        <v>193</v>
      </c>
      <c r="C433" s="19">
        <v>650</v>
      </c>
      <c r="D433" s="19">
        <v>47</v>
      </c>
      <c r="E433" s="19">
        <v>143</v>
      </c>
      <c r="F433" s="23">
        <v>25</v>
      </c>
      <c r="G433" s="23">
        <v>70</v>
      </c>
      <c r="H433" s="19">
        <v>0</v>
      </c>
      <c r="I433" s="19">
        <v>0</v>
      </c>
      <c r="J433" s="19">
        <v>0</v>
      </c>
      <c r="K433" s="19">
        <v>0</v>
      </c>
      <c r="L433" s="19">
        <v>0</v>
      </c>
      <c r="M433" s="19">
        <v>1</v>
      </c>
      <c r="N433" s="19">
        <v>0</v>
      </c>
      <c r="O433" s="19">
        <v>0</v>
      </c>
    </row>
    <row r="434" spans="1:15" x14ac:dyDescent="0.25">
      <c r="A434" s="12" t="s">
        <v>174</v>
      </c>
      <c r="B434" s="19">
        <v>164</v>
      </c>
      <c r="C434" s="19">
        <v>314</v>
      </c>
      <c r="D434" s="19">
        <v>24</v>
      </c>
      <c r="E434" s="19">
        <v>68</v>
      </c>
      <c r="F434" s="23">
        <v>26</v>
      </c>
      <c r="G434" s="23">
        <v>38</v>
      </c>
      <c r="H434" s="19">
        <v>0</v>
      </c>
      <c r="I434" s="19">
        <v>0</v>
      </c>
      <c r="J434" s="19">
        <v>0</v>
      </c>
      <c r="K434" s="19">
        <v>0</v>
      </c>
      <c r="L434" s="19">
        <v>0</v>
      </c>
      <c r="M434" s="19">
        <v>1</v>
      </c>
      <c r="N434" s="19">
        <v>0</v>
      </c>
      <c r="O434" s="19">
        <v>0</v>
      </c>
    </row>
    <row r="435" spans="1:15" x14ac:dyDescent="0.25">
      <c r="A435" s="12" t="s">
        <v>175</v>
      </c>
      <c r="B435" s="19">
        <v>121</v>
      </c>
      <c r="C435" s="19">
        <v>365</v>
      </c>
      <c r="D435" s="19">
        <v>64</v>
      </c>
      <c r="E435" s="19">
        <v>95</v>
      </c>
      <c r="F435" s="23">
        <v>17</v>
      </c>
      <c r="G435" s="23">
        <v>32</v>
      </c>
      <c r="H435" s="19">
        <v>0</v>
      </c>
      <c r="I435" s="19">
        <v>0</v>
      </c>
      <c r="J435" s="19">
        <v>0</v>
      </c>
      <c r="K435" s="19">
        <v>0</v>
      </c>
      <c r="L435" s="19">
        <v>0</v>
      </c>
      <c r="M435" s="19">
        <v>0</v>
      </c>
      <c r="N435" s="19">
        <v>0</v>
      </c>
      <c r="O435" s="19">
        <v>0</v>
      </c>
    </row>
    <row r="436" spans="1:15" x14ac:dyDescent="0.25">
      <c r="A436" s="12" t="s">
        <v>176</v>
      </c>
      <c r="B436" s="19">
        <v>6</v>
      </c>
      <c r="C436" s="19">
        <v>17</v>
      </c>
      <c r="D436" s="19">
        <v>2</v>
      </c>
      <c r="E436" s="19">
        <v>0</v>
      </c>
      <c r="F436" s="23">
        <v>0</v>
      </c>
      <c r="G436" s="23">
        <v>0</v>
      </c>
      <c r="H436" s="19">
        <v>0</v>
      </c>
      <c r="I436" s="19">
        <v>0</v>
      </c>
      <c r="J436" s="19">
        <v>0</v>
      </c>
      <c r="K436" s="19">
        <v>0</v>
      </c>
      <c r="L436" s="19">
        <v>0</v>
      </c>
      <c r="M436" s="19">
        <v>0</v>
      </c>
      <c r="N436" s="19">
        <v>0</v>
      </c>
      <c r="O436" s="19">
        <v>0</v>
      </c>
    </row>
    <row r="437" spans="1:15" x14ac:dyDescent="0.25">
      <c r="A437" s="12" t="s">
        <v>177</v>
      </c>
      <c r="B437" s="19">
        <v>888</v>
      </c>
      <c r="C437" s="19">
        <v>2175</v>
      </c>
      <c r="D437" s="19">
        <v>316</v>
      </c>
      <c r="E437" s="19">
        <v>652</v>
      </c>
      <c r="F437" s="23">
        <v>157</v>
      </c>
      <c r="G437" s="23">
        <v>358</v>
      </c>
      <c r="H437" s="19">
        <v>0</v>
      </c>
      <c r="I437" s="19">
        <v>0</v>
      </c>
      <c r="J437" s="19">
        <v>0</v>
      </c>
      <c r="K437" s="19">
        <v>3</v>
      </c>
      <c r="L437" s="19">
        <v>0</v>
      </c>
      <c r="M437" s="19">
        <v>13</v>
      </c>
      <c r="N437" s="19">
        <v>0</v>
      </c>
      <c r="O437" s="19">
        <v>1</v>
      </c>
    </row>
    <row r="438" spans="1:15" x14ac:dyDescent="0.25">
      <c r="A438" s="12" t="s">
        <v>178</v>
      </c>
      <c r="B438" s="19">
        <v>262</v>
      </c>
      <c r="C438" s="19">
        <v>556</v>
      </c>
      <c r="D438" s="19">
        <v>142</v>
      </c>
      <c r="E438" s="19">
        <v>172</v>
      </c>
      <c r="F438" s="23">
        <v>19</v>
      </c>
      <c r="G438" s="23">
        <v>45</v>
      </c>
      <c r="H438" s="19">
        <v>0</v>
      </c>
      <c r="I438" s="19">
        <v>0</v>
      </c>
      <c r="J438" s="19">
        <v>0</v>
      </c>
      <c r="K438" s="19">
        <v>0</v>
      </c>
      <c r="L438" s="19">
        <v>0</v>
      </c>
      <c r="M438" s="19">
        <v>0</v>
      </c>
      <c r="N438" s="19">
        <v>0</v>
      </c>
      <c r="O438" s="19">
        <v>0</v>
      </c>
    </row>
    <row r="439" spans="1:15" x14ac:dyDescent="0.25">
      <c r="A439" s="12" t="s">
        <v>179</v>
      </c>
      <c r="B439" s="19">
        <v>420</v>
      </c>
      <c r="C439" s="19">
        <v>1211</v>
      </c>
      <c r="D439" s="19">
        <v>133</v>
      </c>
      <c r="E439" s="19">
        <v>238</v>
      </c>
      <c r="F439" s="23">
        <v>57</v>
      </c>
      <c r="G439" s="23">
        <v>173</v>
      </c>
      <c r="H439" s="19">
        <v>0</v>
      </c>
      <c r="I439" s="19">
        <v>0</v>
      </c>
      <c r="J439" s="19">
        <v>0</v>
      </c>
      <c r="K439" s="19">
        <v>0</v>
      </c>
      <c r="L439" s="19">
        <v>0</v>
      </c>
      <c r="M439" s="19">
        <v>0</v>
      </c>
      <c r="N439" s="19">
        <v>0</v>
      </c>
      <c r="O439" s="19">
        <v>0</v>
      </c>
    </row>
    <row r="440" spans="1:15" x14ac:dyDescent="0.25">
      <c r="A440" s="12" t="s">
        <v>180</v>
      </c>
      <c r="B440" s="19">
        <v>0</v>
      </c>
      <c r="C440" s="19">
        <v>1</v>
      </c>
      <c r="D440" s="19">
        <v>0</v>
      </c>
      <c r="E440" s="19">
        <v>0</v>
      </c>
      <c r="F440" s="23">
        <v>0</v>
      </c>
      <c r="G440" s="23">
        <v>0</v>
      </c>
      <c r="H440" s="19">
        <v>0</v>
      </c>
      <c r="I440" s="19">
        <v>0</v>
      </c>
      <c r="J440" s="19">
        <v>0</v>
      </c>
      <c r="K440" s="19">
        <v>0</v>
      </c>
      <c r="L440" s="19">
        <v>0</v>
      </c>
      <c r="M440" s="19">
        <v>0</v>
      </c>
      <c r="N440" s="19">
        <v>0</v>
      </c>
      <c r="O440" s="19">
        <v>0</v>
      </c>
    </row>
    <row r="441" spans="1:15" x14ac:dyDescent="0.25">
      <c r="A441" s="12" t="s">
        <v>181</v>
      </c>
      <c r="B441" s="19">
        <v>30</v>
      </c>
      <c r="C441" s="19">
        <v>109</v>
      </c>
      <c r="D441" s="19">
        <v>67</v>
      </c>
      <c r="E441" s="19">
        <v>112</v>
      </c>
      <c r="F441" s="23">
        <v>21</v>
      </c>
      <c r="G441" s="23">
        <v>39</v>
      </c>
      <c r="H441" s="19">
        <v>0</v>
      </c>
      <c r="I441" s="19">
        <v>0</v>
      </c>
      <c r="J441" s="19">
        <v>0</v>
      </c>
      <c r="K441" s="19">
        <v>0</v>
      </c>
      <c r="L441" s="19">
        <v>0</v>
      </c>
      <c r="M441" s="19">
        <v>0</v>
      </c>
      <c r="N441" s="19">
        <v>0</v>
      </c>
      <c r="O441" s="19">
        <v>0</v>
      </c>
    </row>
    <row r="442" spans="1:15" x14ac:dyDescent="0.25">
      <c r="A442" s="12" t="s">
        <v>182</v>
      </c>
      <c r="B442" s="19">
        <v>399</v>
      </c>
      <c r="C442" s="19">
        <v>728</v>
      </c>
      <c r="D442" s="19">
        <v>73</v>
      </c>
      <c r="E442" s="19">
        <v>143</v>
      </c>
      <c r="F442" s="23">
        <v>59</v>
      </c>
      <c r="G442" s="23">
        <v>76</v>
      </c>
      <c r="H442" s="19">
        <v>0</v>
      </c>
      <c r="I442" s="19">
        <v>0</v>
      </c>
      <c r="J442" s="19">
        <v>0</v>
      </c>
      <c r="K442" s="19">
        <v>0</v>
      </c>
      <c r="L442" s="19">
        <v>0</v>
      </c>
      <c r="M442" s="19">
        <v>0</v>
      </c>
      <c r="N442" s="19">
        <v>0</v>
      </c>
      <c r="O442" s="19">
        <v>0</v>
      </c>
    </row>
    <row r="443" spans="1:15" x14ac:dyDescent="0.25">
      <c r="A443" s="12" t="s">
        <v>183</v>
      </c>
      <c r="B443" s="19">
        <v>136</v>
      </c>
      <c r="C443" s="19">
        <v>452</v>
      </c>
      <c r="D443" s="19">
        <v>16</v>
      </c>
      <c r="E443" s="19">
        <v>25</v>
      </c>
      <c r="F443" s="19">
        <v>2</v>
      </c>
      <c r="G443" s="19">
        <v>10</v>
      </c>
      <c r="H443" s="19">
        <v>0</v>
      </c>
      <c r="I443" s="19">
        <v>0</v>
      </c>
      <c r="J443" s="19">
        <v>0</v>
      </c>
      <c r="K443" s="19">
        <v>0</v>
      </c>
      <c r="L443" s="19">
        <v>0</v>
      </c>
      <c r="M443" s="19">
        <v>0</v>
      </c>
      <c r="N443" s="19">
        <v>0</v>
      </c>
      <c r="O443" s="19">
        <v>0</v>
      </c>
    </row>
    <row r="444" spans="1:15" x14ac:dyDescent="0.25">
      <c r="A444" s="13" t="s">
        <v>184</v>
      </c>
      <c r="B444" s="24">
        <v>0</v>
      </c>
      <c r="C444" s="24">
        <v>0</v>
      </c>
      <c r="D444" s="24">
        <v>0</v>
      </c>
      <c r="E444" s="24">
        <v>0</v>
      </c>
      <c r="F444" s="24">
        <v>0</v>
      </c>
      <c r="G444" s="24">
        <v>0</v>
      </c>
      <c r="H444" s="24">
        <v>0</v>
      </c>
      <c r="I444" s="24">
        <v>0</v>
      </c>
      <c r="J444" s="24">
        <v>0</v>
      </c>
      <c r="K444" s="24">
        <v>0</v>
      </c>
      <c r="L444" s="24">
        <v>0</v>
      </c>
      <c r="M444" s="24">
        <v>0</v>
      </c>
      <c r="N444" s="24">
        <v>0</v>
      </c>
      <c r="O444" s="24">
        <v>0</v>
      </c>
    </row>
    <row r="445" spans="1:15" x14ac:dyDescent="0.25">
      <c r="A445" s="18"/>
      <c r="B445" s="16"/>
      <c r="C445" s="16"/>
      <c r="D445" s="16"/>
      <c r="E445" s="16"/>
      <c r="F445" s="16"/>
      <c r="G445" s="16"/>
      <c r="H445" s="16"/>
      <c r="I445" s="16"/>
      <c r="J445" s="3"/>
      <c r="K445" s="3"/>
      <c r="L445" s="16"/>
      <c r="M445" s="16"/>
      <c r="N445" s="16"/>
      <c r="O445" s="16"/>
    </row>
    <row r="446" spans="1:15" x14ac:dyDescent="0.25">
      <c r="A446" s="11" t="s">
        <v>185</v>
      </c>
      <c r="B446" s="10">
        <f t="shared" ref="B446:O446" si="46">SUM(B447:B455)</f>
        <v>1553</v>
      </c>
      <c r="C446" s="10">
        <f t="shared" si="46"/>
        <v>3605</v>
      </c>
      <c r="D446" s="10">
        <f t="shared" si="46"/>
        <v>681</v>
      </c>
      <c r="E446" s="10">
        <f t="shared" si="46"/>
        <v>1332</v>
      </c>
      <c r="F446" s="10">
        <f t="shared" si="46"/>
        <v>78</v>
      </c>
      <c r="G446" s="10">
        <f t="shared" si="46"/>
        <v>354</v>
      </c>
      <c r="H446" s="10">
        <f t="shared" si="46"/>
        <v>0</v>
      </c>
      <c r="I446" s="10">
        <f t="shared" si="46"/>
        <v>0</v>
      </c>
      <c r="J446" s="10">
        <f t="shared" si="46"/>
        <v>0</v>
      </c>
      <c r="K446" s="10">
        <f t="shared" si="46"/>
        <v>3</v>
      </c>
      <c r="L446" s="10">
        <f t="shared" si="46"/>
        <v>2</v>
      </c>
      <c r="M446" s="10">
        <f t="shared" si="46"/>
        <v>19</v>
      </c>
      <c r="N446" s="10">
        <f t="shared" si="46"/>
        <v>0</v>
      </c>
      <c r="O446" s="10">
        <f t="shared" si="46"/>
        <v>0</v>
      </c>
    </row>
    <row r="447" spans="1:15" x14ac:dyDescent="0.25">
      <c r="A447" s="12" t="s">
        <v>186</v>
      </c>
      <c r="B447" s="19">
        <v>990</v>
      </c>
      <c r="C447" s="19">
        <v>1648</v>
      </c>
      <c r="D447" s="19">
        <v>206</v>
      </c>
      <c r="E447" s="19">
        <v>397</v>
      </c>
      <c r="F447" s="23">
        <v>23</v>
      </c>
      <c r="G447" s="23">
        <v>120</v>
      </c>
      <c r="H447" s="19">
        <v>0</v>
      </c>
      <c r="I447" s="19">
        <v>0</v>
      </c>
      <c r="J447" s="19">
        <v>0</v>
      </c>
      <c r="K447" s="19">
        <v>1</v>
      </c>
      <c r="L447" s="19">
        <v>2</v>
      </c>
      <c r="M447" s="19">
        <v>19</v>
      </c>
      <c r="N447" s="19">
        <v>0</v>
      </c>
      <c r="O447" s="19">
        <v>0</v>
      </c>
    </row>
    <row r="448" spans="1:15" x14ac:dyDescent="0.25">
      <c r="A448" s="12" t="s">
        <v>187</v>
      </c>
      <c r="B448" s="19">
        <v>46</v>
      </c>
      <c r="C448" s="19">
        <v>300</v>
      </c>
      <c r="D448" s="19">
        <v>79</v>
      </c>
      <c r="E448" s="19">
        <v>113</v>
      </c>
      <c r="F448" s="23">
        <v>4</v>
      </c>
      <c r="G448" s="23">
        <v>31</v>
      </c>
      <c r="H448" s="19">
        <v>0</v>
      </c>
      <c r="I448" s="19">
        <v>0</v>
      </c>
      <c r="J448" s="19">
        <v>0</v>
      </c>
      <c r="K448" s="19">
        <v>0</v>
      </c>
      <c r="L448" s="19">
        <v>0</v>
      </c>
      <c r="M448" s="19">
        <v>0</v>
      </c>
      <c r="N448" s="19">
        <v>0</v>
      </c>
      <c r="O448" s="19">
        <v>0</v>
      </c>
    </row>
    <row r="449" spans="1:15" x14ac:dyDescent="0.25">
      <c r="A449" s="12" t="s">
        <v>181</v>
      </c>
      <c r="B449" s="19">
        <v>37</v>
      </c>
      <c r="C449" s="19">
        <v>186</v>
      </c>
      <c r="D449" s="19">
        <v>62</v>
      </c>
      <c r="E449" s="19">
        <v>196</v>
      </c>
      <c r="F449" s="23">
        <v>20</v>
      </c>
      <c r="G449" s="23">
        <v>88</v>
      </c>
      <c r="H449" s="19">
        <v>0</v>
      </c>
      <c r="I449" s="19">
        <v>0</v>
      </c>
      <c r="J449" s="19">
        <v>0</v>
      </c>
      <c r="K449" s="19">
        <v>0</v>
      </c>
      <c r="L449" s="19">
        <v>0</v>
      </c>
      <c r="M449" s="19">
        <v>0</v>
      </c>
      <c r="N449" s="19">
        <v>0</v>
      </c>
      <c r="O449" s="19">
        <v>0</v>
      </c>
    </row>
    <row r="450" spans="1:15" x14ac:dyDescent="0.25">
      <c r="A450" s="12" t="s">
        <v>149</v>
      </c>
      <c r="B450" s="19">
        <v>90</v>
      </c>
      <c r="C450" s="19">
        <v>382</v>
      </c>
      <c r="D450" s="19">
        <v>33</v>
      </c>
      <c r="E450" s="19">
        <v>46</v>
      </c>
      <c r="F450" s="23">
        <v>13</v>
      </c>
      <c r="G450" s="23">
        <v>51</v>
      </c>
      <c r="H450" s="19">
        <v>0</v>
      </c>
      <c r="I450" s="19">
        <v>0</v>
      </c>
      <c r="J450" s="19">
        <v>0</v>
      </c>
      <c r="K450" s="19">
        <v>0</v>
      </c>
      <c r="L450" s="19">
        <v>0</v>
      </c>
      <c r="M450" s="19">
        <v>0</v>
      </c>
      <c r="N450" s="19">
        <v>0</v>
      </c>
      <c r="O450" s="19">
        <v>0</v>
      </c>
    </row>
    <row r="451" spans="1:15" x14ac:dyDescent="0.25">
      <c r="A451" s="12" t="s">
        <v>188</v>
      </c>
      <c r="B451" s="19">
        <v>36</v>
      </c>
      <c r="C451" s="19">
        <v>84</v>
      </c>
      <c r="D451" s="19">
        <v>35</v>
      </c>
      <c r="E451" s="19">
        <v>56</v>
      </c>
      <c r="F451" s="23">
        <v>0</v>
      </c>
      <c r="G451" s="23">
        <v>1</v>
      </c>
      <c r="H451" s="19">
        <v>0</v>
      </c>
      <c r="I451" s="19">
        <v>0</v>
      </c>
      <c r="J451" s="19">
        <v>0</v>
      </c>
      <c r="K451" s="19">
        <v>2</v>
      </c>
      <c r="L451" s="19">
        <v>0</v>
      </c>
      <c r="M451" s="19">
        <v>0</v>
      </c>
      <c r="N451" s="19">
        <v>0</v>
      </c>
      <c r="O451" s="19">
        <v>0</v>
      </c>
    </row>
    <row r="452" spans="1:15" x14ac:dyDescent="0.25">
      <c r="A452" s="12" t="s">
        <v>189</v>
      </c>
      <c r="B452" s="19">
        <v>245</v>
      </c>
      <c r="C452" s="19">
        <v>825</v>
      </c>
      <c r="D452" s="19">
        <v>139</v>
      </c>
      <c r="E452" s="19">
        <v>397</v>
      </c>
      <c r="F452" s="23">
        <v>12</v>
      </c>
      <c r="G452" s="23">
        <v>41</v>
      </c>
      <c r="H452" s="19">
        <v>0</v>
      </c>
      <c r="I452" s="19">
        <v>0</v>
      </c>
      <c r="J452" s="19">
        <v>0</v>
      </c>
      <c r="K452" s="19">
        <v>0</v>
      </c>
      <c r="L452" s="19">
        <v>0</v>
      </c>
      <c r="M452" s="19">
        <v>0</v>
      </c>
      <c r="N452" s="19">
        <v>0</v>
      </c>
      <c r="O452" s="19">
        <v>0</v>
      </c>
    </row>
    <row r="453" spans="1:15" x14ac:dyDescent="0.25">
      <c r="A453" s="12" t="s">
        <v>190</v>
      </c>
      <c r="B453" s="19">
        <v>2</v>
      </c>
      <c r="C453" s="19">
        <v>6</v>
      </c>
      <c r="D453" s="19">
        <v>5</v>
      </c>
      <c r="E453" s="19">
        <v>2</v>
      </c>
      <c r="F453" s="23">
        <v>0</v>
      </c>
      <c r="G453" s="23">
        <v>0</v>
      </c>
      <c r="H453" s="19">
        <v>0</v>
      </c>
      <c r="I453" s="19">
        <v>0</v>
      </c>
      <c r="J453" s="19">
        <v>0</v>
      </c>
      <c r="K453" s="19">
        <v>0</v>
      </c>
      <c r="L453" s="19">
        <v>0</v>
      </c>
      <c r="M453" s="19">
        <v>0</v>
      </c>
      <c r="N453" s="19">
        <v>0</v>
      </c>
      <c r="O453" s="19">
        <v>0</v>
      </c>
    </row>
    <row r="454" spans="1:15" x14ac:dyDescent="0.25">
      <c r="A454" s="12" t="s">
        <v>191</v>
      </c>
      <c r="B454" s="19">
        <v>105</v>
      </c>
      <c r="C454" s="19">
        <v>173</v>
      </c>
      <c r="D454" s="19">
        <v>67</v>
      </c>
      <c r="E454" s="19">
        <v>60</v>
      </c>
      <c r="F454" s="23">
        <v>5</v>
      </c>
      <c r="G454" s="23">
        <v>21</v>
      </c>
      <c r="H454" s="19">
        <v>0</v>
      </c>
      <c r="I454" s="19">
        <v>0</v>
      </c>
      <c r="J454" s="19">
        <v>0</v>
      </c>
      <c r="K454" s="19">
        <v>0</v>
      </c>
      <c r="L454" s="19">
        <v>0</v>
      </c>
      <c r="M454" s="19">
        <v>0</v>
      </c>
      <c r="N454" s="19">
        <v>0</v>
      </c>
      <c r="O454" s="19">
        <v>0</v>
      </c>
    </row>
    <row r="455" spans="1:15" x14ac:dyDescent="0.25">
      <c r="A455" s="13" t="s">
        <v>192</v>
      </c>
      <c r="B455" s="24">
        <v>2</v>
      </c>
      <c r="C455" s="24">
        <v>1</v>
      </c>
      <c r="D455" s="24">
        <v>55</v>
      </c>
      <c r="E455" s="24">
        <v>65</v>
      </c>
      <c r="F455" s="25">
        <v>1</v>
      </c>
      <c r="G455" s="25">
        <v>1</v>
      </c>
      <c r="H455" s="24">
        <v>0</v>
      </c>
      <c r="I455" s="24">
        <v>0</v>
      </c>
      <c r="J455" s="24">
        <v>0</v>
      </c>
      <c r="K455" s="24">
        <v>0</v>
      </c>
      <c r="L455" s="24">
        <v>0</v>
      </c>
      <c r="M455" s="24">
        <v>0</v>
      </c>
      <c r="N455" s="24">
        <v>0</v>
      </c>
      <c r="O455" s="24">
        <v>0</v>
      </c>
    </row>
    <row r="456" spans="1:15" x14ac:dyDescent="0.25">
      <c r="A456" s="11"/>
      <c r="B456" s="16"/>
      <c r="C456" s="16"/>
      <c r="D456" s="16"/>
      <c r="E456" s="16"/>
      <c r="F456" s="16"/>
      <c r="G456" s="16"/>
      <c r="H456" s="16"/>
      <c r="I456" s="16"/>
      <c r="J456" s="3"/>
      <c r="K456" s="3"/>
      <c r="L456" s="16"/>
      <c r="M456" s="16"/>
      <c r="N456" s="16"/>
      <c r="O456" s="16"/>
    </row>
    <row r="457" spans="1:15" x14ac:dyDescent="0.25">
      <c r="A457" s="11" t="s">
        <v>193</v>
      </c>
      <c r="B457" s="10">
        <f t="shared" ref="B457:O457" si="47">SUM(B458:B466)</f>
        <v>1338</v>
      </c>
      <c r="C457" s="10">
        <f t="shared" si="47"/>
        <v>3153</v>
      </c>
      <c r="D457" s="10">
        <f t="shared" si="47"/>
        <v>879</v>
      </c>
      <c r="E457" s="10">
        <f t="shared" si="47"/>
        <v>1407</v>
      </c>
      <c r="F457" s="15">
        <f t="shared" si="47"/>
        <v>276</v>
      </c>
      <c r="G457" s="15">
        <f t="shared" si="47"/>
        <v>530</v>
      </c>
      <c r="H457" s="10">
        <f t="shared" si="47"/>
        <v>0</v>
      </c>
      <c r="I457" s="10">
        <f t="shared" si="47"/>
        <v>0</v>
      </c>
      <c r="J457" s="10">
        <f t="shared" si="47"/>
        <v>0</v>
      </c>
      <c r="K457" s="10">
        <f t="shared" si="47"/>
        <v>19</v>
      </c>
      <c r="L457" s="10">
        <f t="shared" si="47"/>
        <v>8</v>
      </c>
      <c r="M457" s="10">
        <f t="shared" si="47"/>
        <v>27</v>
      </c>
      <c r="N457" s="10">
        <f t="shared" si="47"/>
        <v>13</v>
      </c>
      <c r="O457" s="10">
        <f t="shared" si="47"/>
        <v>6</v>
      </c>
    </row>
    <row r="458" spans="1:15" x14ac:dyDescent="0.25">
      <c r="A458" s="12" t="s">
        <v>136</v>
      </c>
      <c r="B458" s="19">
        <v>309</v>
      </c>
      <c r="C458" s="19">
        <v>466</v>
      </c>
      <c r="D458" s="19">
        <v>277</v>
      </c>
      <c r="E458" s="19">
        <v>449</v>
      </c>
      <c r="F458" s="19">
        <v>138</v>
      </c>
      <c r="G458" s="19">
        <v>173</v>
      </c>
      <c r="H458" s="19">
        <v>0</v>
      </c>
      <c r="I458" s="19">
        <v>0</v>
      </c>
      <c r="J458" s="19">
        <v>0</v>
      </c>
      <c r="K458" s="19">
        <v>19</v>
      </c>
      <c r="L458" s="19">
        <v>8</v>
      </c>
      <c r="M458" s="19">
        <v>27</v>
      </c>
      <c r="N458" s="19">
        <v>13</v>
      </c>
      <c r="O458" s="19">
        <v>6</v>
      </c>
    </row>
    <row r="459" spans="1:15" x14ac:dyDescent="0.25">
      <c r="A459" s="12" t="s">
        <v>194</v>
      </c>
      <c r="B459" s="19">
        <v>403</v>
      </c>
      <c r="C459" s="19">
        <v>917</v>
      </c>
      <c r="D459" s="19">
        <v>116</v>
      </c>
      <c r="E459" s="19">
        <v>141</v>
      </c>
      <c r="F459" s="23">
        <v>36</v>
      </c>
      <c r="G459" s="23">
        <v>61</v>
      </c>
      <c r="H459" s="19">
        <v>0</v>
      </c>
      <c r="I459" s="19">
        <v>0</v>
      </c>
      <c r="J459" s="19">
        <v>0</v>
      </c>
      <c r="K459" s="19">
        <v>0</v>
      </c>
      <c r="L459" s="19">
        <v>0</v>
      </c>
      <c r="M459" s="19">
        <v>0</v>
      </c>
      <c r="N459" s="19">
        <v>0</v>
      </c>
      <c r="O459" s="19">
        <v>0</v>
      </c>
    </row>
    <row r="460" spans="1:15" x14ac:dyDescent="0.25">
      <c r="A460" s="12" t="s">
        <v>195</v>
      </c>
      <c r="B460" s="19">
        <v>46</v>
      </c>
      <c r="C460" s="19">
        <v>144</v>
      </c>
      <c r="D460" s="19">
        <v>77</v>
      </c>
      <c r="E460" s="19">
        <v>134</v>
      </c>
      <c r="F460" s="23">
        <v>11</v>
      </c>
      <c r="G460" s="23">
        <v>12</v>
      </c>
      <c r="H460" s="19">
        <v>0</v>
      </c>
      <c r="I460" s="19">
        <v>0</v>
      </c>
      <c r="J460" s="19">
        <v>0</v>
      </c>
      <c r="K460" s="19">
        <v>0</v>
      </c>
      <c r="L460" s="19">
        <v>0</v>
      </c>
      <c r="M460" s="19">
        <v>0</v>
      </c>
      <c r="N460" s="19">
        <v>0</v>
      </c>
      <c r="O460" s="19">
        <v>0</v>
      </c>
    </row>
    <row r="461" spans="1:15" x14ac:dyDescent="0.25">
      <c r="A461" s="12" t="s">
        <v>196</v>
      </c>
      <c r="B461" s="19">
        <v>277</v>
      </c>
      <c r="C461" s="19">
        <v>871</v>
      </c>
      <c r="D461" s="19">
        <v>74</v>
      </c>
      <c r="E461" s="19">
        <v>110</v>
      </c>
      <c r="F461" s="23">
        <v>21</v>
      </c>
      <c r="G461" s="23">
        <v>56</v>
      </c>
      <c r="H461" s="19">
        <v>0</v>
      </c>
      <c r="I461" s="19">
        <v>0</v>
      </c>
      <c r="J461" s="19">
        <v>0</v>
      </c>
      <c r="K461" s="19">
        <v>0</v>
      </c>
      <c r="L461" s="19">
        <v>0</v>
      </c>
      <c r="M461" s="19">
        <v>0</v>
      </c>
      <c r="N461" s="19">
        <v>0</v>
      </c>
      <c r="O461" s="19">
        <v>0</v>
      </c>
    </row>
    <row r="462" spans="1:15" x14ac:dyDescent="0.25">
      <c r="A462" s="12" t="s">
        <v>76</v>
      </c>
      <c r="B462" s="19">
        <v>37</v>
      </c>
      <c r="C462" s="19">
        <v>83</v>
      </c>
      <c r="D462" s="19">
        <v>109</v>
      </c>
      <c r="E462" s="19">
        <v>219</v>
      </c>
      <c r="F462" s="23">
        <v>10</v>
      </c>
      <c r="G462" s="23">
        <v>29</v>
      </c>
      <c r="H462" s="19">
        <v>0</v>
      </c>
      <c r="I462" s="19">
        <v>0</v>
      </c>
      <c r="J462" s="19">
        <v>0</v>
      </c>
      <c r="K462" s="19">
        <v>0</v>
      </c>
      <c r="L462" s="19">
        <v>0</v>
      </c>
      <c r="M462" s="19">
        <v>0</v>
      </c>
      <c r="N462" s="19">
        <v>0</v>
      </c>
      <c r="O462" s="19">
        <v>0</v>
      </c>
    </row>
    <row r="463" spans="1:15" x14ac:dyDescent="0.25">
      <c r="A463" s="12" t="s">
        <v>197</v>
      </c>
      <c r="B463" s="19">
        <v>88</v>
      </c>
      <c r="C463" s="19">
        <v>207</v>
      </c>
      <c r="D463" s="19">
        <v>34</v>
      </c>
      <c r="E463" s="19">
        <v>37</v>
      </c>
      <c r="F463" s="23">
        <v>16</v>
      </c>
      <c r="G463" s="23">
        <v>51</v>
      </c>
      <c r="H463" s="19">
        <v>0</v>
      </c>
      <c r="I463" s="19">
        <v>0</v>
      </c>
      <c r="J463" s="19">
        <v>0</v>
      </c>
      <c r="K463" s="19">
        <v>0</v>
      </c>
      <c r="L463" s="19">
        <v>0</v>
      </c>
      <c r="M463" s="19">
        <v>0</v>
      </c>
      <c r="N463" s="19">
        <v>0</v>
      </c>
      <c r="O463" s="19">
        <v>0</v>
      </c>
    </row>
    <row r="464" spans="1:15" x14ac:dyDescent="0.25">
      <c r="A464" s="12" t="s">
        <v>198</v>
      </c>
      <c r="B464" s="19">
        <v>1</v>
      </c>
      <c r="C464" s="19">
        <v>20</v>
      </c>
      <c r="D464" s="19">
        <v>5</v>
      </c>
      <c r="E464" s="19">
        <v>10</v>
      </c>
      <c r="F464" s="23">
        <v>9</v>
      </c>
      <c r="G464" s="23">
        <v>33</v>
      </c>
      <c r="H464" s="19">
        <v>0</v>
      </c>
      <c r="I464" s="19">
        <v>0</v>
      </c>
      <c r="J464" s="19">
        <v>0</v>
      </c>
      <c r="K464" s="19">
        <v>0</v>
      </c>
      <c r="L464" s="19">
        <v>0</v>
      </c>
      <c r="M464" s="19">
        <v>0</v>
      </c>
      <c r="N464" s="19">
        <v>0</v>
      </c>
      <c r="O464" s="19">
        <v>0</v>
      </c>
    </row>
    <row r="465" spans="1:15" x14ac:dyDescent="0.25">
      <c r="A465" s="12" t="s">
        <v>199</v>
      </c>
      <c r="B465" s="19">
        <v>1</v>
      </c>
      <c r="C465" s="19">
        <v>2</v>
      </c>
      <c r="D465" s="19">
        <v>60</v>
      </c>
      <c r="E465" s="19">
        <v>81</v>
      </c>
      <c r="F465" s="23">
        <v>10</v>
      </c>
      <c r="G465" s="23">
        <v>27</v>
      </c>
      <c r="H465" s="19">
        <v>0</v>
      </c>
      <c r="I465" s="19">
        <v>0</v>
      </c>
      <c r="J465" s="19">
        <v>0</v>
      </c>
      <c r="K465" s="19">
        <v>0</v>
      </c>
      <c r="L465" s="19">
        <v>0</v>
      </c>
      <c r="M465" s="19">
        <v>0</v>
      </c>
      <c r="N465" s="19">
        <v>0</v>
      </c>
      <c r="O465" s="19">
        <v>0</v>
      </c>
    </row>
    <row r="466" spans="1:15" x14ac:dyDescent="0.25">
      <c r="A466" s="13" t="s">
        <v>200</v>
      </c>
      <c r="B466" s="24">
        <v>176</v>
      </c>
      <c r="C466" s="24">
        <v>443</v>
      </c>
      <c r="D466" s="24">
        <v>127</v>
      </c>
      <c r="E466" s="24">
        <v>226</v>
      </c>
      <c r="F466" s="25">
        <v>25</v>
      </c>
      <c r="G466" s="25">
        <v>88</v>
      </c>
      <c r="H466" s="24">
        <v>0</v>
      </c>
      <c r="I466" s="24">
        <v>0</v>
      </c>
      <c r="J466" s="24">
        <v>0</v>
      </c>
      <c r="K466" s="24">
        <v>0</v>
      </c>
      <c r="L466" s="24">
        <v>0</v>
      </c>
      <c r="M466" s="24">
        <v>0</v>
      </c>
      <c r="N466" s="24">
        <v>0</v>
      </c>
      <c r="O466" s="24">
        <v>0</v>
      </c>
    </row>
    <row r="467" spans="1:15" x14ac:dyDescent="0.25">
      <c r="A467" s="11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x14ac:dyDescent="0.25">
      <c r="A468" s="11" t="s">
        <v>201</v>
      </c>
      <c r="B468" s="10">
        <f>SUM(B469)</f>
        <v>1389</v>
      </c>
      <c r="C468" s="10">
        <f t="shared" ref="C468:O468" si="48">SUM(C469)</f>
        <v>2140</v>
      </c>
      <c r="D468" s="10">
        <f t="shared" si="48"/>
        <v>284</v>
      </c>
      <c r="E468" s="10">
        <f t="shared" si="48"/>
        <v>801</v>
      </c>
      <c r="F468" s="10">
        <f t="shared" si="48"/>
        <v>202</v>
      </c>
      <c r="G468" s="10">
        <f>SUM(G469)</f>
        <v>430</v>
      </c>
      <c r="H468" s="10">
        <f t="shared" si="48"/>
        <v>0</v>
      </c>
      <c r="I468" s="10">
        <f t="shared" si="48"/>
        <v>0</v>
      </c>
      <c r="J468" s="10">
        <f t="shared" si="48"/>
        <v>0</v>
      </c>
      <c r="K468" s="10">
        <f t="shared" si="48"/>
        <v>2</v>
      </c>
      <c r="L468" s="10">
        <f t="shared" si="48"/>
        <v>0</v>
      </c>
      <c r="M468" s="10">
        <f t="shared" si="48"/>
        <v>5</v>
      </c>
      <c r="N468" s="10">
        <f t="shared" si="48"/>
        <v>0</v>
      </c>
      <c r="O468" s="10">
        <f t="shared" si="48"/>
        <v>0</v>
      </c>
    </row>
    <row r="469" spans="1:15" x14ac:dyDescent="0.25">
      <c r="A469" s="13" t="s">
        <v>202</v>
      </c>
      <c r="B469" s="24">
        <v>1389</v>
      </c>
      <c r="C469" s="24">
        <v>2140</v>
      </c>
      <c r="D469" s="24">
        <v>284</v>
      </c>
      <c r="E469" s="24">
        <v>801</v>
      </c>
      <c r="F469" s="24">
        <v>202</v>
      </c>
      <c r="G469" s="24">
        <v>430</v>
      </c>
      <c r="H469" s="24">
        <v>0</v>
      </c>
      <c r="I469" s="24">
        <v>0</v>
      </c>
      <c r="J469" s="24">
        <v>0</v>
      </c>
      <c r="K469" s="24">
        <v>2</v>
      </c>
      <c r="L469" s="24"/>
      <c r="M469" s="24">
        <v>5</v>
      </c>
      <c r="N469" s="24">
        <v>0</v>
      </c>
      <c r="O469" s="24">
        <v>0</v>
      </c>
    </row>
    <row r="470" spans="1:15" x14ac:dyDescent="0.25">
      <c r="A470" s="12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</row>
    <row r="471" spans="1:15" x14ac:dyDescent="0.25">
      <c r="A471" s="11" t="s">
        <v>203</v>
      </c>
      <c r="B471" s="16">
        <f t="shared" ref="B471:O471" si="49">SUM(B472:B477)</f>
        <v>876</v>
      </c>
      <c r="C471" s="16">
        <f t="shared" si="49"/>
        <v>3662</v>
      </c>
      <c r="D471" s="10">
        <f t="shared" si="49"/>
        <v>315</v>
      </c>
      <c r="E471" s="10">
        <f t="shared" si="49"/>
        <v>663</v>
      </c>
      <c r="F471" s="10">
        <f t="shared" si="49"/>
        <v>246</v>
      </c>
      <c r="G471" s="16">
        <f t="shared" si="49"/>
        <v>710</v>
      </c>
      <c r="H471" s="16">
        <f t="shared" si="49"/>
        <v>0</v>
      </c>
      <c r="I471" s="16">
        <f t="shared" si="49"/>
        <v>0</v>
      </c>
      <c r="J471" s="16">
        <f t="shared" si="49"/>
        <v>0</v>
      </c>
      <c r="K471" s="16">
        <f t="shared" si="49"/>
        <v>0</v>
      </c>
      <c r="L471" s="16">
        <f t="shared" si="49"/>
        <v>0</v>
      </c>
      <c r="M471" s="16">
        <f t="shared" si="49"/>
        <v>19</v>
      </c>
      <c r="N471" s="16">
        <f t="shared" si="49"/>
        <v>0</v>
      </c>
      <c r="O471" s="16">
        <f t="shared" si="49"/>
        <v>4</v>
      </c>
    </row>
    <row r="472" spans="1:15" x14ac:dyDescent="0.25">
      <c r="A472" s="12" t="s">
        <v>182</v>
      </c>
      <c r="B472" s="23">
        <v>161</v>
      </c>
      <c r="C472" s="23">
        <v>688</v>
      </c>
      <c r="D472" s="19">
        <v>89</v>
      </c>
      <c r="E472" s="19">
        <v>162</v>
      </c>
      <c r="F472" s="19">
        <v>149</v>
      </c>
      <c r="G472" s="19">
        <v>325</v>
      </c>
      <c r="H472" s="19">
        <v>0</v>
      </c>
      <c r="I472" s="19">
        <v>0</v>
      </c>
      <c r="J472" s="19">
        <v>0</v>
      </c>
      <c r="K472" s="19">
        <v>0</v>
      </c>
      <c r="L472" s="19">
        <v>0</v>
      </c>
      <c r="M472" s="19">
        <v>19</v>
      </c>
      <c r="N472" s="19">
        <v>0</v>
      </c>
      <c r="O472" s="19">
        <v>4</v>
      </c>
    </row>
    <row r="473" spans="1:15" x14ac:dyDescent="0.25">
      <c r="A473" s="12" t="s">
        <v>204</v>
      </c>
      <c r="B473" s="23">
        <v>299</v>
      </c>
      <c r="C473" s="23">
        <v>1228</v>
      </c>
      <c r="D473" s="19">
        <v>80</v>
      </c>
      <c r="E473" s="19">
        <v>214</v>
      </c>
      <c r="F473" s="23">
        <v>35</v>
      </c>
      <c r="G473" s="23">
        <v>142</v>
      </c>
      <c r="H473" s="19">
        <v>0</v>
      </c>
      <c r="I473" s="19">
        <v>0</v>
      </c>
      <c r="J473" s="19">
        <v>0</v>
      </c>
      <c r="K473" s="19">
        <v>0</v>
      </c>
      <c r="L473" s="19">
        <v>0</v>
      </c>
      <c r="M473" s="19">
        <v>0</v>
      </c>
      <c r="N473" s="19">
        <v>0</v>
      </c>
      <c r="O473" s="19">
        <v>0</v>
      </c>
    </row>
    <row r="474" spans="1:15" x14ac:dyDescent="0.25">
      <c r="A474" s="12" t="s">
        <v>205</v>
      </c>
      <c r="B474" s="23">
        <v>37</v>
      </c>
      <c r="C474" s="23">
        <v>183</v>
      </c>
      <c r="D474" s="19">
        <v>8</v>
      </c>
      <c r="E474" s="19">
        <v>17</v>
      </c>
      <c r="F474" s="23">
        <v>2</v>
      </c>
      <c r="G474" s="23">
        <v>18</v>
      </c>
      <c r="H474" s="19">
        <v>0</v>
      </c>
      <c r="I474" s="19">
        <v>0</v>
      </c>
      <c r="J474" s="19">
        <v>0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</row>
    <row r="475" spans="1:15" x14ac:dyDescent="0.25">
      <c r="A475" s="12" t="s">
        <v>48</v>
      </c>
      <c r="B475" s="23">
        <v>135</v>
      </c>
      <c r="C475" s="23">
        <v>573</v>
      </c>
      <c r="D475" s="19">
        <v>32</v>
      </c>
      <c r="E475" s="19">
        <v>43</v>
      </c>
      <c r="F475" s="23">
        <v>29</v>
      </c>
      <c r="G475" s="23">
        <v>115</v>
      </c>
      <c r="H475" s="19">
        <v>0</v>
      </c>
      <c r="I475" s="19">
        <v>0</v>
      </c>
      <c r="J475" s="19">
        <v>0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</row>
    <row r="476" spans="1:15" x14ac:dyDescent="0.25">
      <c r="A476" s="12" t="s">
        <v>206</v>
      </c>
      <c r="B476" s="23">
        <v>161</v>
      </c>
      <c r="C476" s="23">
        <v>688</v>
      </c>
      <c r="D476" s="19">
        <v>59</v>
      </c>
      <c r="E476" s="19">
        <v>162</v>
      </c>
      <c r="F476" s="23">
        <v>22</v>
      </c>
      <c r="G476" s="23">
        <v>70</v>
      </c>
      <c r="H476" s="19">
        <v>0</v>
      </c>
      <c r="I476" s="19">
        <v>0</v>
      </c>
      <c r="J476" s="19">
        <v>0</v>
      </c>
      <c r="K476" s="19">
        <v>0</v>
      </c>
      <c r="L476" s="19">
        <v>0</v>
      </c>
      <c r="M476" s="19">
        <v>0</v>
      </c>
      <c r="N476" s="19">
        <v>0</v>
      </c>
      <c r="O476" s="19">
        <v>0</v>
      </c>
    </row>
    <row r="477" spans="1:15" x14ac:dyDescent="0.25">
      <c r="A477" s="20" t="s">
        <v>80</v>
      </c>
      <c r="B477" s="26">
        <v>83</v>
      </c>
      <c r="C477" s="26">
        <v>302</v>
      </c>
      <c r="D477" s="27">
        <v>47</v>
      </c>
      <c r="E477" s="27">
        <v>65</v>
      </c>
      <c r="F477" s="26">
        <v>9</v>
      </c>
      <c r="G477" s="26">
        <v>40</v>
      </c>
      <c r="H477" s="27">
        <v>0</v>
      </c>
      <c r="I477" s="27">
        <v>0</v>
      </c>
      <c r="J477" s="27">
        <v>0</v>
      </c>
      <c r="K477" s="27">
        <v>0</v>
      </c>
      <c r="L477" s="27">
        <v>0</v>
      </c>
      <c r="M477" s="27">
        <v>0</v>
      </c>
      <c r="N477" s="27">
        <v>0</v>
      </c>
      <c r="O477" s="27">
        <v>0</v>
      </c>
    </row>
    <row r="478" spans="1:15" x14ac:dyDescent="0.25">
      <c r="A478" s="5" t="s">
        <v>10</v>
      </c>
      <c r="B478" s="21"/>
      <c r="C478" s="21"/>
      <c r="D478" s="22"/>
      <c r="E478" s="22"/>
      <c r="F478" s="30"/>
      <c r="G478" s="30"/>
    </row>
    <row r="479" spans="1:15" x14ac:dyDescent="0.25">
      <c r="A479" s="6" t="s">
        <v>207</v>
      </c>
      <c r="B479" s="21"/>
      <c r="C479" s="21"/>
      <c r="D479" s="21"/>
      <c r="E479" s="21"/>
      <c r="F479" s="21"/>
      <c r="G479" s="21"/>
      <c r="J479" s="21"/>
      <c r="K479" s="21"/>
      <c r="L479" s="21"/>
      <c r="M479" s="21"/>
      <c r="N479" s="21"/>
      <c r="O479" s="21"/>
    </row>
  </sheetData>
  <mergeCells count="22">
    <mergeCell ref="F5:G5"/>
    <mergeCell ref="H5:I5"/>
    <mergeCell ref="J5:K5"/>
    <mergeCell ref="L5:M5"/>
    <mergeCell ref="N5:O5"/>
    <mergeCell ref="A3:O3"/>
    <mergeCell ref="A4:O4"/>
    <mergeCell ref="A5:A6"/>
    <mergeCell ref="B5:C5"/>
    <mergeCell ref="D5:E5"/>
    <mergeCell ref="F478:G478"/>
    <mergeCell ref="F238:G238"/>
    <mergeCell ref="A243:O243"/>
    <mergeCell ref="A244:O244"/>
    <mergeCell ref="J245:K245"/>
    <mergeCell ref="L245:M245"/>
    <mergeCell ref="N245:O245"/>
    <mergeCell ref="A245:A246"/>
    <mergeCell ref="B245:C245"/>
    <mergeCell ref="D245:E245"/>
    <mergeCell ref="F245:G245"/>
    <mergeCell ref="H245:I245"/>
  </mergeCells>
  <pageMargins left="0.7" right="0.7" top="0.75" bottom="0.75" header="0.3" footer="0.3"/>
  <pageSetup scale="52" orientation="portrait" r:id="rId1"/>
  <rowBreaks count="3" manualBreakCount="3">
    <brk id="88" max="16" man="1"/>
    <brk id="240" max="16" man="1"/>
    <brk id="481" max="16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6.18</vt:lpstr>
      <vt:lpstr>'6.18'!Print_Area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2024-09-24T07:22:12Z</cp:lastPrinted>
  <dcterms:created xsi:type="dcterms:W3CDTF">2019-08-06T05:35:20Z</dcterms:created>
  <dcterms:modified xsi:type="dcterms:W3CDTF">2024-09-24T07:22:21Z</dcterms:modified>
</cp:coreProperties>
</file>