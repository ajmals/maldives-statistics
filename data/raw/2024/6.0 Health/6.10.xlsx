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6. HEALTH\"/>
    </mc:Choice>
  </mc:AlternateContent>
  <xr:revisionPtr revIDLastSave="0" documentId="13_ncr:1_{138F88D4-0A8E-4060-9B11-0C1884E5392C}" xr6:coauthVersionLast="47" xr6:coauthVersionMax="47" xr10:uidLastSave="{00000000-0000-0000-0000-000000000000}"/>
  <bookViews>
    <workbookView xWindow="-120" yWindow="-120" windowWidth="29040" windowHeight="15720" tabRatio="885" xr2:uid="{00000000-000D-0000-FFFF-FFFF00000000}"/>
  </bookViews>
  <sheets>
    <sheet name="6.10" sheetId="10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nm.Print_Area" localSheetId="0">'6.10'!$A$1:$E$60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10" l="1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D5" i="10"/>
  <c r="C5" i="10"/>
  <c r="B5" i="10" l="1"/>
  <c r="B58" i="10" l="1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D37" i="10"/>
  <c r="C37" i="10"/>
  <c r="B37" i="10" l="1"/>
</calcChain>
</file>

<file path=xl/sharedStrings.xml><?xml version="1.0" encoding="utf-8"?>
<sst xmlns="http://schemas.openxmlformats.org/spreadsheetml/2006/main" count="61" uniqueCount="33">
  <si>
    <t>Both sexes</t>
  </si>
  <si>
    <t>Male</t>
  </si>
  <si>
    <t>Female</t>
  </si>
  <si>
    <t>Total</t>
  </si>
  <si>
    <t>clwTipcsoh clwairOmem IdcnWg Wridcnia :ctWrwf ivcaedutWmUluAwm</t>
  </si>
  <si>
    <t>Source: Indira Gandhi Memorial Hospital</t>
  </si>
  <si>
    <t>Cardiology</t>
  </si>
  <si>
    <t>Dental</t>
  </si>
  <si>
    <t>Urology</t>
  </si>
  <si>
    <t>Neurology</t>
  </si>
  <si>
    <t>Nephrology</t>
  </si>
  <si>
    <t>Oncology</t>
  </si>
  <si>
    <t xml:space="preserve">Outpatients </t>
  </si>
  <si>
    <t>ENT</t>
  </si>
  <si>
    <t>Dermatology</t>
  </si>
  <si>
    <t>Internal medicine</t>
  </si>
  <si>
    <t>Obstetrics and gynaecology</t>
  </si>
  <si>
    <t>Onco surgery</t>
  </si>
  <si>
    <t>Ophthalmology</t>
  </si>
  <si>
    <t>Orthopaedics</t>
  </si>
  <si>
    <t>Paediatrics</t>
  </si>
  <si>
    <t>Psychiatry</t>
  </si>
  <si>
    <t>Respiratory medicine</t>
  </si>
  <si>
    <t>Surgery</t>
  </si>
  <si>
    <t>Neuro Surgery</t>
  </si>
  <si>
    <t>Gastroenterology</t>
  </si>
  <si>
    <t>Endocrinology</t>
  </si>
  <si>
    <t>Paediatrics  Cardiology</t>
  </si>
  <si>
    <t>Table 6.10: Number of Inpatients by speciality and sex, 2022</t>
  </si>
  <si>
    <t>Table 6.10: Number of Inpatients by speciality and sex, 2023</t>
  </si>
  <si>
    <t>National URO Renal Fertility Centre</t>
  </si>
  <si>
    <t>National Diabetes Centre</t>
  </si>
  <si>
    <t>Reumatology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</si>
</sst>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General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Arial"/>
      <family val="2"/>
    </font>
    <font>
      <sz val="9"/>
      <name val="A_Faseyha"/>
    </font>
    <font>
      <sz val="10"/>
      <name val="Courier"/>
      <family val="3"/>
    </font>
    <font>
      <sz val="10"/>
      <name val="MS Sans Serif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8" fillId="0" borderId="0"/>
    <xf numFmtId="165" fontId="8" fillId="0" borderId="0"/>
    <xf numFmtId="165" fontId="8" fillId="0" borderId="0"/>
    <xf numFmtId="40" fontId="9" fillId="0" borderId="0" applyFont="0" applyFill="0" applyBorder="0" applyAlignment="0" applyProtection="0"/>
    <xf numFmtId="165" fontId="8" fillId="0" borderId="0"/>
    <xf numFmtId="0" fontId="1" fillId="0" borderId="0"/>
    <xf numFmtId="0" fontId="6" fillId="0" borderId="0"/>
  </cellStyleXfs>
  <cellXfs count="17">
    <xf numFmtId="0" fontId="0" fillId="0" borderId="0" xfId="0"/>
    <xf numFmtId="0" fontId="0" fillId="2" borderId="0" xfId="0" applyFill="1"/>
    <xf numFmtId="37" fontId="2" fillId="2" borderId="0" xfId="1" applyNumberFormat="1" applyFont="1" applyFill="1" applyBorder="1" applyAlignment="1">
      <alignment horizontal="right" vertical="center"/>
    </xf>
    <xf numFmtId="37" fontId="0" fillId="2" borderId="0" xfId="1" applyNumberFormat="1" applyFont="1" applyFill="1" applyBorder="1" applyAlignment="1">
      <alignment horizontal="right" vertical="center"/>
    </xf>
    <xf numFmtId="37" fontId="0" fillId="2" borderId="2" xfId="1" applyNumberFormat="1" applyFont="1" applyFill="1" applyBorder="1" applyAlignment="1">
      <alignment horizontal="right" vertical="center"/>
    </xf>
    <xf numFmtId="165" fontId="5" fillId="2" borderId="0" xfId="0" applyNumberFormat="1" applyFont="1" applyFill="1" applyAlignment="1">
      <alignment horizontal="left" vertical="center"/>
    </xf>
    <xf numFmtId="3" fontId="4" fillId="2" borderId="1" xfId="0" applyNumberFormat="1" applyFont="1" applyFill="1" applyBorder="1" applyAlignment="1">
      <alignment horizontal="right" vertical="center"/>
    </xf>
    <xf numFmtId="0" fontId="3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right" vertical="center"/>
    </xf>
    <xf numFmtId="37" fontId="2" fillId="2" borderId="2" xfId="1" applyNumberFormat="1" applyFont="1" applyFill="1" applyBorder="1" applyAlignment="1">
      <alignment horizontal="right" vertical="center"/>
    </xf>
    <xf numFmtId="0" fontId="0" fillId="2" borderId="0" xfId="0" applyFill="1" applyAlignment="1">
      <alignment horizontal="left" vertical="center" indent="2"/>
    </xf>
    <xf numFmtId="0" fontId="0" fillId="2" borderId="2" xfId="0" applyFill="1" applyBorder="1" applyAlignment="1">
      <alignment horizontal="left" vertical="center" indent="2"/>
    </xf>
    <xf numFmtId="0" fontId="3" fillId="2" borderId="0" xfId="0" applyFont="1" applyFill="1" applyAlignment="1">
      <alignment vertical="center"/>
    </xf>
    <xf numFmtId="37" fontId="2" fillId="2" borderId="0" xfId="0" applyNumberFormat="1" applyFont="1" applyFill="1" applyAlignment="1">
      <alignment horizontal="right" vertical="center"/>
    </xf>
    <xf numFmtId="165" fontId="7" fillId="2" borderId="4" xfId="0" applyNumberFormat="1" applyFont="1" applyFill="1" applyBorder="1" applyAlignment="1">
      <alignment horizontal="right" vertical="center"/>
    </xf>
    <xf numFmtId="0" fontId="10" fillId="2" borderId="0" xfId="0" applyFont="1" applyFill="1"/>
    <xf numFmtId="0" fontId="2" fillId="2" borderId="0" xfId="0" applyFont="1" applyFill="1" applyAlignment="1">
      <alignment horizontal="center"/>
    </xf>
  </cellXfs>
  <cellStyles count="10">
    <cellStyle name="1" xfId="9" xr:uid="{00000000-0005-0000-0000-000000000000}"/>
    <cellStyle name="Comma" xfId="1" builtinId="3"/>
    <cellStyle name="Comma 3" xfId="6" xr:uid="{00000000-0005-0000-0000-000002000000}"/>
    <cellStyle name="Normal" xfId="0" builtinId="0"/>
    <cellStyle name="Normal 14" xfId="3" xr:uid="{00000000-0005-0000-0000-000004000000}"/>
    <cellStyle name="Normal 15" xfId="5" xr:uid="{00000000-0005-0000-0000-000005000000}"/>
    <cellStyle name="Normal 17" xfId="8" xr:uid="{00000000-0005-0000-0000-000006000000}"/>
    <cellStyle name="Normal 2" xfId="2" xr:uid="{00000000-0005-0000-0000-000007000000}"/>
    <cellStyle name="Normal 3" xfId="4" xr:uid="{00000000-0005-0000-0000-000008000000}"/>
    <cellStyle name="Normal 9" xfId="7" xr:uid="{00000000-0005-0000-0000-000009000000}"/>
  </cellStyles>
  <dxfs count="0"/>
  <tableStyles count="0" defaultTableStyle="TableStyleMedium2" defaultPivotStyle="PivotStyleLight16"/>
  <colors>
    <mruColors>
      <color rgb="FFC4F2F1"/>
      <color rgb="FF249390"/>
      <color rgb="FF33CCCC"/>
      <color rgb="FF196563"/>
      <color rgb="FFEAFAFA"/>
      <color rgb="FFDAF7F6"/>
      <color rgb="FFFF9900"/>
      <color rgb="FF996633"/>
      <color rgb="FFECD9C6"/>
      <color rgb="FFE1C2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erver\ST4\Dissemination\Publications\Statistical%20Year%20Book\YEARBOOK%202023\RECEIVED\6.%20HEALTH%20-%20IGMH%20(1).xlsx" TargetMode="External"/><Relationship Id="rId1" Type="http://schemas.openxmlformats.org/officeDocument/2006/relationships/externalLinkPath" Target="/Dissemination/Publications/Statistical%20Year%20Book/YEARBOOK%202023/RECEIVED/6.%20HEALTH%20-%20IGMH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Health%20-%20Police%20new%20to%20mai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\st4\April%202021\YEARBOOK%202021_%20Work%20from%20Home\RECEIVED\6.%20HEALTH_%20MP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6.6"/>
      <sheetName val="6.7"/>
      <sheetName val="6.8"/>
      <sheetName val="6.9"/>
      <sheetName val="6.10"/>
    </sheetNames>
    <sheetDataSet>
      <sheetData sheetId="0"/>
      <sheetData sheetId="1"/>
      <sheetData sheetId="2"/>
      <sheetData sheetId="3"/>
      <sheetData sheetId="4">
        <row r="66">
          <cell r="C66" t="str">
            <v>Male</v>
          </cell>
          <cell r="D66" t="str">
            <v>Female</v>
          </cell>
        </row>
        <row r="68">
          <cell r="A68" t="str">
            <v>Internal medicine</v>
          </cell>
          <cell r="C68">
            <v>1325</v>
          </cell>
          <cell r="D68">
            <v>1179</v>
          </cell>
        </row>
        <row r="69">
          <cell r="A69" t="str">
            <v>Paediatrics</v>
          </cell>
          <cell r="C69">
            <v>1094</v>
          </cell>
          <cell r="D69">
            <v>957</v>
          </cell>
        </row>
        <row r="70">
          <cell r="A70" t="str">
            <v>Obstetrics and gynaecology</v>
          </cell>
          <cell r="C70">
            <v>6</v>
          </cell>
          <cell r="D70">
            <v>2007</v>
          </cell>
        </row>
        <row r="71">
          <cell r="A71" t="str">
            <v>Surgery</v>
          </cell>
          <cell r="C71">
            <v>668</v>
          </cell>
          <cell r="D71">
            <v>357</v>
          </cell>
        </row>
        <row r="72">
          <cell r="A72" t="str">
            <v>Cardiology</v>
          </cell>
          <cell r="C72">
            <v>598</v>
          </cell>
          <cell r="D72">
            <v>267</v>
          </cell>
        </row>
        <row r="73">
          <cell r="A73" t="str">
            <v>Orthopaedics</v>
          </cell>
          <cell r="C73">
            <v>459</v>
          </cell>
          <cell r="D73">
            <v>256</v>
          </cell>
        </row>
        <row r="74">
          <cell r="A74" t="str">
            <v>Pulmonology</v>
          </cell>
          <cell r="C74">
            <v>254</v>
          </cell>
          <cell r="D74">
            <v>343</v>
          </cell>
        </row>
        <row r="75">
          <cell r="A75" t="str">
            <v>Neurology</v>
          </cell>
          <cell r="C75">
            <v>316</v>
          </cell>
          <cell r="D75">
            <v>178</v>
          </cell>
        </row>
        <row r="76">
          <cell r="A76" t="str">
            <v>Urology</v>
          </cell>
          <cell r="C76">
            <v>236</v>
          </cell>
          <cell r="D76">
            <v>82</v>
          </cell>
        </row>
        <row r="77">
          <cell r="A77" t="str">
            <v>Onco surgery</v>
          </cell>
          <cell r="C77">
            <v>111</v>
          </cell>
          <cell r="D77">
            <v>193</v>
          </cell>
        </row>
        <row r="78">
          <cell r="A78" t="str">
            <v>Psychiatry</v>
          </cell>
          <cell r="C78">
            <v>100</v>
          </cell>
          <cell r="D78">
            <v>111</v>
          </cell>
        </row>
        <row r="79">
          <cell r="A79" t="str">
            <v>Nephrology</v>
          </cell>
          <cell r="C79">
            <v>62</v>
          </cell>
          <cell r="D79">
            <v>78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4"/>
    </sheetNames>
    <sheetDataSet>
      <sheetData sheetId="0">
        <row r="4">
          <cell r="A4" t="str">
            <v>Year</v>
          </cell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9">
          <cell r="A9">
            <v>2005</v>
          </cell>
          <cell r="B9">
            <v>615</v>
          </cell>
        </row>
        <row r="10">
          <cell r="A10">
            <v>2006</v>
          </cell>
          <cell r="B10">
            <v>783</v>
          </cell>
        </row>
        <row r="11">
          <cell r="A11">
            <v>2007</v>
          </cell>
          <cell r="B11">
            <v>1187</v>
          </cell>
        </row>
        <row r="12">
          <cell r="A12">
            <v>2008</v>
          </cell>
          <cell r="B12">
            <v>1804</v>
          </cell>
        </row>
        <row r="13">
          <cell r="A13">
            <v>2009</v>
          </cell>
          <cell r="B13">
            <v>918</v>
          </cell>
        </row>
        <row r="14">
          <cell r="A14">
            <v>2010</v>
          </cell>
          <cell r="B14">
            <v>622</v>
          </cell>
        </row>
        <row r="15">
          <cell r="A15">
            <v>2011</v>
          </cell>
          <cell r="B15">
            <v>534</v>
          </cell>
        </row>
        <row r="16">
          <cell r="A16">
            <v>2012</v>
          </cell>
          <cell r="B16">
            <v>1005</v>
          </cell>
        </row>
        <row r="17">
          <cell r="A17">
            <v>2013</v>
          </cell>
          <cell r="B17">
            <v>1836</v>
          </cell>
          <cell r="C17">
            <v>11</v>
          </cell>
          <cell r="D17">
            <v>629</v>
          </cell>
          <cell r="E17">
            <v>1021</v>
          </cell>
          <cell r="F17">
            <v>175</v>
          </cell>
        </row>
        <row r="18">
          <cell r="A18">
            <v>2014</v>
          </cell>
          <cell r="B18">
            <v>2311</v>
          </cell>
          <cell r="C18">
            <v>18</v>
          </cell>
          <cell r="D18">
            <v>777</v>
          </cell>
          <cell r="E18">
            <v>1277</v>
          </cell>
          <cell r="F18">
            <v>239</v>
          </cell>
        </row>
        <row r="19">
          <cell r="A19">
            <v>2015</v>
          </cell>
          <cell r="B19">
            <v>1386</v>
          </cell>
          <cell r="C19">
            <v>11</v>
          </cell>
          <cell r="D19">
            <v>514</v>
          </cell>
          <cell r="E19">
            <v>719</v>
          </cell>
          <cell r="F19">
            <v>142</v>
          </cell>
        </row>
        <row r="20">
          <cell r="A20">
            <v>2016</v>
          </cell>
          <cell r="B20">
            <v>1546</v>
          </cell>
          <cell r="C20">
            <v>19</v>
          </cell>
          <cell r="D20">
            <v>535</v>
          </cell>
          <cell r="E20">
            <v>777</v>
          </cell>
          <cell r="F20">
            <v>215</v>
          </cell>
        </row>
        <row r="21">
          <cell r="A21">
            <v>2017</v>
          </cell>
          <cell r="B21">
            <v>627</v>
          </cell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  <row r="22">
          <cell r="A22">
            <v>2018</v>
          </cell>
          <cell r="B22">
            <v>799</v>
          </cell>
          <cell r="C22">
            <v>10</v>
          </cell>
          <cell r="D22">
            <v>277</v>
          </cell>
          <cell r="E22">
            <v>443</v>
          </cell>
          <cell r="F22">
            <v>69</v>
          </cell>
        </row>
        <row r="23">
          <cell r="A23">
            <v>2019</v>
          </cell>
          <cell r="B23">
            <v>1172</v>
          </cell>
          <cell r="D23">
            <v>352</v>
          </cell>
          <cell r="E23">
            <v>634</v>
          </cell>
          <cell r="F23">
            <v>178</v>
          </cell>
        </row>
        <row r="24">
          <cell r="A24">
            <v>2020</v>
          </cell>
          <cell r="B24">
            <v>978</v>
          </cell>
          <cell r="D24">
            <v>265</v>
          </cell>
          <cell r="E24">
            <v>590</v>
          </cell>
          <cell r="F24">
            <v>114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5"/>
    </sheetNames>
    <sheetDataSet>
      <sheetData sheetId="0">
        <row r="4">
          <cell r="B4" t="str">
            <v xml:space="preserve">Acute Respiratory Infection </v>
          </cell>
          <cell r="D4" t="str">
            <v>Viral Fever</v>
          </cell>
          <cell r="F4" t="str">
            <v xml:space="preserve">Diarrhoea </v>
          </cell>
        </row>
        <row r="5">
          <cell r="B5" t="str">
            <v>Under 5 years</v>
          </cell>
          <cell r="C5" t="str">
            <v>Above 5 years</v>
          </cell>
          <cell r="D5" t="str">
            <v>Under 5 years</v>
          </cell>
          <cell r="E5" t="str">
            <v>Above 5 years</v>
          </cell>
          <cell r="F5" t="str">
            <v>Under 5 years</v>
          </cell>
          <cell r="G5" t="str">
            <v>Above 5 years</v>
          </cell>
        </row>
        <row r="7">
          <cell r="A7" t="str">
            <v xml:space="preserve">Male' </v>
          </cell>
          <cell r="B7">
            <v>21902</v>
          </cell>
          <cell r="C7">
            <v>79985</v>
          </cell>
          <cell r="D7">
            <v>7806</v>
          </cell>
          <cell r="E7">
            <v>20744</v>
          </cell>
          <cell r="F7">
            <v>3692</v>
          </cell>
          <cell r="G7">
            <v>11873</v>
          </cell>
        </row>
        <row r="8">
          <cell r="A8" t="str">
            <v xml:space="preserve">Atoll </v>
          </cell>
          <cell r="B8">
            <v>54195</v>
          </cell>
          <cell r="C8">
            <v>76449</v>
          </cell>
          <cell r="D8">
            <v>17687</v>
          </cell>
          <cell r="E8">
            <v>28253</v>
          </cell>
          <cell r="F8">
            <v>4538</v>
          </cell>
          <cell r="G8">
            <v>9879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2:I59"/>
  <sheetViews>
    <sheetView tabSelected="1" zoomScaleNormal="100" workbookViewId="0">
      <selection activeCell="L14" sqref="L14"/>
    </sheetView>
  </sheetViews>
  <sheetFormatPr defaultColWidth="9.140625" defaultRowHeight="15" x14ac:dyDescent="0.25"/>
  <cols>
    <col min="1" max="1" width="29" style="1" customWidth="1"/>
    <col min="2" max="2" width="14.28515625" style="1" customWidth="1"/>
    <col min="3" max="4" width="15.85546875" style="1" customWidth="1"/>
    <col min="5" max="16384" width="9.140625" style="1"/>
  </cols>
  <sheetData>
    <row r="2" spans="1:9" x14ac:dyDescent="0.25">
      <c r="A2" s="16" t="s">
        <v>29</v>
      </c>
      <c r="B2" s="16"/>
      <c r="C2" s="16"/>
      <c r="D2" s="16"/>
    </row>
    <row r="4" spans="1:9" x14ac:dyDescent="0.25">
      <c r="A4" s="7" t="s">
        <v>12</v>
      </c>
      <c r="B4" s="8" t="s">
        <v>0</v>
      </c>
      <c r="C4" s="8" t="s">
        <v>1</v>
      </c>
      <c r="D4" s="8" t="s">
        <v>2</v>
      </c>
    </row>
    <row r="5" spans="1:9" x14ac:dyDescent="0.25">
      <c r="A5" s="12" t="s">
        <v>3</v>
      </c>
      <c r="B5" s="13">
        <f>SUM(B6:B29)</f>
        <v>13143</v>
      </c>
      <c r="C5" s="13">
        <f>SUM(C7:C29)</f>
        <v>5540</v>
      </c>
      <c r="D5" s="13">
        <f>SUM(D6:D29)</f>
        <v>6996</v>
      </c>
      <c r="E5" s="6"/>
    </row>
    <row r="6" spans="1:9" x14ac:dyDescent="0.25">
      <c r="A6" s="10" t="s">
        <v>15</v>
      </c>
      <c r="B6" s="2">
        <f t="shared" ref="B6" si="0">SUM(C6:D6)</f>
        <v>1191</v>
      </c>
      <c r="C6" s="1">
        <v>607</v>
      </c>
      <c r="D6" s="3">
        <v>584</v>
      </c>
      <c r="I6" s="15"/>
    </row>
    <row r="7" spans="1:9" x14ac:dyDescent="0.25">
      <c r="A7" s="10" t="s">
        <v>20</v>
      </c>
      <c r="B7" s="2">
        <f>SUM(C7:D7)</f>
        <v>3095</v>
      </c>
      <c r="C7" s="3">
        <v>1707</v>
      </c>
      <c r="D7" s="3">
        <v>1388</v>
      </c>
      <c r="I7" s="15"/>
    </row>
    <row r="8" spans="1:9" x14ac:dyDescent="0.25">
      <c r="A8" s="10" t="s">
        <v>16</v>
      </c>
      <c r="B8" s="2">
        <f t="shared" ref="B8:B29" si="1">SUM(C8:D8)</f>
        <v>2251</v>
      </c>
      <c r="C8" s="3">
        <v>0</v>
      </c>
      <c r="D8" s="3">
        <v>2251</v>
      </c>
      <c r="I8" s="15"/>
    </row>
    <row r="9" spans="1:9" x14ac:dyDescent="0.25">
      <c r="A9" s="10" t="s">
        <v>23</v>
      </c>
      <c r="B9" s="2">
        <f t="shared" si="1"/>
        <v>1460</v>
      </c>
      <c r="C9" s="3">
        <v>859</v>
      </c>
      <c r="D9" s="3">
        <v>601</v>
      </c>
      <c r="I9" s="15"/>
    </row>
    <row r="10" spans="1:9" x14ac:dyDescent="0.25">
      <c r="A10" s="10" t="s">
        <v>6</v>
      </c>
      <c r="B10" s="2">
        <f t="shared" si="1"/>
        <v>1046</v>
      </c>
      <c r="C10" s="3">
        <v>778</v>
      </c>
      <c r="D10" s="3">
        <v>268</v>
      </c>
      <c r="I10" s="15"/>
    </row>
    <row r="11" spans="1:9" x14ac:dyDescent="0.25">
      <c r="A11" s="10" t="s">
        <v>19</v>
      </c>
      <c r="B11" s="2">
        <f t="shared" si="1"/>
        <v>716</v>
      </c>
      <c r="C11" s="3">
        <v>437</v>
      </c>
      <c r="D11" s="3">
        <v>279</v>
      </c>
      <c r="I11" s="15"/>
    </row>
    <row r="12" spans="1:9" x14ac:dyDescent="0.25">
      <c r="A12" s="10" t="s">
        <v>9</v>
      </c>
      <c r="B12" s="2">
        <f t="shared" si="1"/>
        <v>511</v>
      </c>
      <c r="C12" s="3">
        <v>317</v>
      </c>
      <c r="D12" s="3">
        <v>194</v>
      </c>
      <c r="I12" s="15"/>
    </row>
    <row r="13" spans="1:9" x14ac:dyDescent="0.25">
      <c r="A13" s="10" t="s">
        <v>8</v>
      </c>
      <c r="B13" s="2">
        <f t="shared" si="1"/>
        <v>277</v>
      </c>
      <c r="C13" s="3">
        <v>210</v>
      </c>
      <c r="D13" s="3">
        <v>67</v>
      </c>
      <c r="I13" s="15"/>
    </row>
    <row r="14" spans="1:9" x14ac:dyDescent="0.25">
      <c r="A14" s="10" t="s">
        <v>17</v>
      </c>
      <c r="B14" s="2">
        <f t="shared" si="1"/>
        <v>131</v>
      </c>
      <c r="C14" s="3">
        <v>34</v>
      </c>
      <c r="D14" s="3">
        <v>97</v>
      </c>
      <c r="I14" s="15"/>
    </row>
    <row r="15" spans="1:9" x14ac:dyDescent="0.25">
      <c r="A15" s="10" t="s">
        <v>21</v>
      </c>
      <c r="B15" s="2">
        <f t="shared" si="1"/>
        <v>317</v>
      </c>
      <c r="C15" s="3">
        <v>152</v>
      </c>
      <c r="D15" s="3">
        <v>165</v>
      </c>
      <c r="I15" s="15"/>
    </row>
    <row r="16" spans="1:9" hidden="1" x14ac:dyDescent="0.25">
      <c r="A16" s="10" t="s">
        <v>10</v>
      </c>
      <c r="B16" s="2">
        <f>SUM(C16:D16)</f>
        <v>0</v>
      </c>
      <c r="C16" s="3"/>
      <c r="D16" s="3"/>
      <c r="I16" s="15"/>
    </row>
    <row r="17" spans="1:9" x14ac:dyDescent="0.25">
      <c r="A17" s="10" t="s">
        <v>30</v>
      </c>
      <c r="B17" s="2">
        <f>SUM(C17:D17)</f>
        <v>283</v>
      </c>
      <c r="C17" s="3">
        <v>179</v>
      </c>
      <c r="D17" s="3">
        <v>104</v>
      </c>
    </row>
    <row r="18" spans="1:9" x14ac:dyDescent="0.25">
      <c r="A18" s="10" t="s">
        <v>31</v>
      </c>
      <c r="B18" s="2">
        <f>SUM(C18:D18)</f>
        <v>1</v>
      </c>
      <c r="C18" s="3">
        <v>1</v>
      </c>
      <c r="D18" s="3">
        <v>0</v>
      </c>
    </row>
    <row r="19" spans="1:9" x14ac:dyDescent="0.25">
      <c r="A19" s="10" t="s">
        <v>13</v>
      </c>
      <c r="B19" s="2">
        <f>SUM(C19:D19)</f>
        <v>231</v>
      </c>
      <c r="C19" s="3">
        <v>99</v>
      </c>
      <c r="D19" s="3">
        <v>132</v>
      </c>
      <c r="I19" s="15"/>
    </row>
    <row r="20" spans="1:9" x14ac:dyDescent="0.25">
      <c r="A20" s="10" t="s">
        <v>25</v>
      </c>
      <c r="B20" s="2">
        <f t="shared" si="1"/>
        <v>131</v>
      </c>
      <c r="C20" s="3">
        <v>68</v>
      </c>
      <c r="D20" s="3">
        <v>63</v>
      </c>
      <c r="I20" s="15"/>
    </row>
    <row r="21" spans="1:9" x14ac:dyDescent="0.25">
      <c r="A21" s="10" t="s">
        <v>24</v>
      </c>
      <c r="B21" s="2">
        <f t="shared" si="1"/>
        <v>158</v>
      </c>
      <c r="C21" s="3">
        <v>116</v>
      </c>
      <c r="D21" s="3">
        <v>42</v>
      </c>
      <c r="I21" s="15"/>
    </row>
    <row r="22" spans="1:9" x14ac:dyDescent="0.25">
      <c r="A22" s="10" t="s">
        <v>7</v>
      </c>
      <c r="B22" s="2">
        <f t="shared" si="1"/>
        <v>102</v>
      </c>
      <c r="C22" s="3">
        <v>51</v>
      </c>
      <c r="D22" s="3">
        <v>51</v>
      </c>
      <c r="I22" s="15"/>
    </row>
    <row r="23" spans="1:9" x14ac:dyDescent="0.25">
      <c r="A23" s="10" t="s">
        <v>18</v>
      </c>
      <c r="B23" s="2">
        <f t="shared" si="1"/>
        <v>41</v>
      </c>
      <c r="C23" s="3">
        <v>29</v>
      </c>
      <c r="D23" s="3">
        <v>12</v>
      </c>
      <c r="I23" s="15"/>
    </row>
    <row r="24" spans="1:9" x14ac:dyDescent="0.25">
      <c r="A24" s="10" t="s">
        <v>14</v>
      </c>
      <c r="B24" s="2">
        <f t="shared" si="1"/>
        <v>10</v>
      </c>
      <c r="C24" s="3">
        <v>7</v>
      </c>
      <c r="D24" s="3">
        <v>3</v>
      </c>
      <c r="I24" s="15"/>
    </row>
    <row r="25" spans="1:9" x14ac:dyDescent="0.25">
      <c r="A25" s="10" t="s">
        <v>22</v>
      </c>
      <c r="B25" s="2">
        <f t="shared" si="1"/>
        <v>1059</v>
      </c>
      <c r="C25" s="3">
        <v>436</v>
      </c>
      <c r="D25" s="3">
        <v>623</v>
      </c>
      <c r="I25" s="15"/>
    </row>
    <row r="26" spans="1:9" hidden="1" x14ac:dyDescent="0.25">
      <c r="A26" s="10" t="s">
        <v>27</v>
      </c>
      <c r="B26" s="2">
        <f t="shared" si="1"/>
        <v>0</v>
      </c>
      <c r="C26" s="3"/>
      <c r="D26" s="3"/>
      <c r="I26" s="15"/>
    </row>
    <row r="27" spans="1:9" x14ac:dyDescent="0.25">
      <c r="A27" s="10" t="s">
        <v>26</v>
      </c>
      <c r="B27" s="2">
        <f t="shared" si="1"/>
        <v>22</v>
      </c>
      <c r="C27" s="3">
        <v>5</v>
      </c>
      <c r="D27" s="3">
        <v>17</v>
      </c>
      <c r="I27" s="15"/>
    </row>
    <row r="28" spans="1:9" x14ac:dyDescent="0.25">
      <c r="A28" s="10" t="s">
        <v>32</v>
      </c>
      <c r="B28" s="2">
        <f t="shared" si="1"/>
        <v>10</v>
      </c>
      <c r="C28" s="3">
        <v>0</v>
      </c>
      <c r="D28" s="3">
        <v>10</v>
      </c>
    </row>
    <row r="29" spans="1:9" x14ac:dyDescent="0.25">
      <c r="A29" s="11" t="s">
        <v>11</v>
      </c>
      <c r="B29" s="9">
        <f t="shared" si="1"/>
        <v>100</v>
      </c>
      <c r="C29" s="4">
        <v>55</v>
      </c>
      <c r="D29" s="4">
        <v>45</v>
      </c>
      <c r="I29" s="15"/>
    </row>
    <row r="30" spans="1:9" x14ac:dyDescent="0.25">
      <c r="A30" s="5" t="s">
        <v>5</v>
      </c>
      <c r="D30" s="14" t="s">
        <v>4</v>
      </c>
      <c r="I30" s="15"/>
    </row>
    <row r="31" spans="1:9" x14ac:dyDescent="0.25">
      <c r="I31" s="15"/>
    </row>
    <row r="32" spans="1:9" x14ac:dyDescent="0.25">
      <c r="I32" s="15"/>
    </row>
    <row r="33" spans="1:9" x14ac:dyDescent="0.25">
      <c r="I33" s="15"/>
    </row>
    <row r="34" spans="1:9" x14ac:dyDescent="0.25">
      <c r="A34" s="16" t="s">
        <v>28</v>
      </c>
      <c r="B34" s="16"/>
      <c r="C34" s="16"/>
      <c r="D34" s="16"/>
    </row>
    <row r="36" spans="1:9" x14ac:dyDescent="0.25">
      <c r="A36" s="7" t="s">
        <v>12</v>
      </c>
      <c r="B36" s="8" t="s">
        <v>0</v>
      </c>
      <c r="C36" s="8" t="s">
        <v>1</v>
      </c>
      <c r="D36" s="8" t="s">
        <v>2</v>
      </c>
    </row>
    <row r="37" spans="1:9" x14ac:dyDescent="0.25">
      <c r="A37" s="12" t="s">
        <v>3</v>
      </c>
      <c r="B37" s="13">
        <f>SUM(B38:B58)</f>
        <v>11582</v>
      </c>
      <c r="C37" s="13">
        <f>SUM(C39:C58)</f>
        <v>4768</v>
      </c>
      <c r="D37" s="13">
        <f>SUM(D38:D58)</f>
        <v>6199</v>
      </c>
      <c r="E37" s="6"/>
    </row>
    <row r="38" spans="1:9" x14ac:dyDescent="0.25">
      <c r="A38" s="10" t="s">
        <v>15</v>
      </c>
      <c r="B38" s="2">
        <f t="shared" ref="B38:B58" si="2">SUM(C38:D38)</f>
        <v>1150</v>
      </c>
      <c r="C38" s="1">
        <v>615</v>
      </c>
      <c r="D38" s="3">
        <v>535</v>
      </c>
    </row>
    <row r="39" spans="1:9" x14ac:dyDescent="0.25">
      <c r="A39" s="10" t="s">
        <v>20</v>
      </c>
      <c r="B39" s="2">
        <f>SUM(C39:D39)</f>
        <v>2783</v>
      </c>
      <c r="C39" s="3">
        <v>1512</v>
      </c>
      <c r="D39" s="3">
        <v>1271</v>
      </c>
    </row>
    <row r="40" spans="1:9" x14ac:dyDescent="0.25">
      <c r="A40" s="10" t="s">
        <v>16</v>
      </c>
      <c r="B40" s="2">
        <f t="shared" si="2"/>
        <v>1946</v>
      </c>
      <c r="C40" s="3">
        <v>0</v>
      </c>
      <c r="D40" s="3">
        <v>1946</v>
      </c>
    </row>
    <row r="41" spans="1:9" x14ac:dyDescent="0.25">
      <c r="A41" s="10" t="s">
        <v>23</v>
      </c>
      <c r="B41" s="2">
        <f t="shared" si="2"/>
        <v>1219</v>
      </c>
      <c r="C41" s="3">
        <v>756</v>
      </c>
      <c r="D41" s="3">
        <v>463</v>
      </c>
    </row>
    <row r="42" spans="1:9" x14ac:dyDescent="0.25">
      <c r="A42" s="10" t="s">
        <v>6</v>
      </c>
      <c r="B42" s="2">
        <f t="shared" si="2"/>
        <v>1187</v>
      </c>
      <c r="C42" s="3">
        <v>827</v>
      </c>
      <c r="D42" s="3">
        <v>360</v>
      </c>
    </row>
    <row r="43" spans="1:9" x14ac:dyDescent="0.25">
      <c r="A43" s="10" t="s">
        <v>19</v>
      </c>
      <c r="B43" s="2">
        <f t="shared" si="2"/>
        <v>729</v>
      </c>
      <c r="C43" s="3">
        <v>445</v>
      </c>
      <c r="D43" s="3">
        <v>284</v>
      </c>
    </row>
    <row r="44" spans="1:9" x14ac:dyDescent="0.25">
      <c r="A44" s="10" t="s">
        <v>9</v>
      </c>
      <c r="B44" s="2">
        <f t="shared" si="2"/>
        <v>496</v>
      </c>
      <c r="C44" s="3">
        <v>290</v>
      </c>
      <c r="D44" s="3">
        <v>206</v>
      </c>
    </row>
    <row r="45" spans="1:9" x14ac:dyDescent="0.25">
      <c r="A45" s="10" t="s">
        <v>8</v>
      </c>
      <c r="B45" s="2">
        <f t="shared" si="2"/>
        <v>162</v>
      </c>
      <c r="C45" s="3">
        <v>116</v>
      </c>
      <c r="D45" s="3">
        <v>46</v>
      </c>
    </row>
    <row r="46" spans="1:9" x14ac:dyDescent="0.25">
      <c r="A46" s="10" t="s">
        <v>17</v>
      </c>
      <c r="B46" s="2">
        <f t="shared" si="2"/>
        <v>152</v>
      </c>
      <c r="C46" s="3">
        <v>22</v>
      </c>
      <c r="D46" s="3">
        <v>130</v>
      </c>
    </row>
    <row r="47" spans="1:9" x14ac:dyDescent="0.25">
      <c r="A47" s="10" t="s">
        <v>21</v>
      </c>
      <c r="B47" s="2">
        <f t="shared" si="2"/>
        <v>105</v>
      </c>
      <c r="C47" s="3">
        <v>44</v>
      </c>
      <c r="D47" s="3">
        <v>61</v>
      </c>
    </row>
    <row r="48" spans="1:9" x14ac:dyDescent="0.25">
      <c r="A48" s="10" t="s">
        <v>10</v>
      </c>
      <c r="B48" s="2">
        <f t="shared" si="2"/>
        <v>19</v>
      </c>
      <c r="C48" s="3">
        <v>11</v>
      </c>
      <c r="D48" s="3">
        <v>8</v>
      </c>
    </row>
    <row r="49" spans="1:4" x14ac:dyDescent="0.25">
      <c r="A49" s="10" t="s">
        <v>13</v>
      </c>
      <c r="B49" s="2">
        <f t="shared" si="2"/>
        <v>256</v>
      </c>
      <c r="C49" s="3">
        <v>135</v>
      </c>
      <c r="D49" s="3">
        <v>121</v>
      </c>
    </row>
    <row r="50" spans="1:4" x14ac:dyDescent="0.25">
      <c r="A50" s="10" t="s">
        <v>25</v>
      </c>
      <c r="B50" s="2">
        <f t="shared" si="2"/>
        <v>119</v>
      </c>
      <c r="C50" s="3">
        <v>51</v>
      </c>
      <c r="D50" s="3">
        <v>68</v>
      </c>
    </row>
    <row r="51" spans="1:4" x14ac:dyDescent="0.25">
      <c r="A51" s="10" t="s">
        <v>24</v>
      </c>
      <c r="B51" s="2">
        <f t="shared" si="2"/>
        <v>94</v>
      </c>
      <c r="C51" s="3">
        <v>74</v>
      </c>
      <c r="D51" s="3">
        <v>20</v>
      </c>
    </row>
    <row r="52" spans="1:4" x14ac:dyDescent="0.25">
      <c r="A52" s="10" t="s">
        <v>7</v>
      </c>
      <c r="B52" s="2">
        <f t="shared" si="2"/>
        <v>68</v>
      </c>
      <c r="C52" s="3">
        <v>34</v>
      </c>
      <c r="D52" s="3">
        <v>34</v>
      </c>
    </row>
    <row r="53" spans="1:4" x14ac:dyDescent="0.25">
      <c r="A53" s="10" t="s">
        <v>18</v>
      </c>
      <c r="B53" s="2">
        <f t="shared" si="2"/>
        <v>39</v>
      </c>
      <c r="C53" s="3">
        <v>24</v>
      </c>
      <c r="D53" s="3">
        <v>15</v>
      </c>
    </row>
    <row r="54" spans="1:4" x14ac:dyDescent="0.25">
      <c r="A54" s="10" t="s">
        <v>14</v>
      </c>
      <c r="B54" s="2">
        <f t="shared" si="2"/>
        <v>3</v>
      </c>
      <c r="C54" s="3">
        <v>2</v>
      </c>
      <c r="D54" s="3">
        <v>1</v>
      </c>
    </row>
    <row r="55" spans="1:4" x14ac:dyDescent="0.25">
      <c r="A55" s="10" t="s">
        <v>22</v>
      </c>
      <c r="B55" s="2">
        <f t="shared" si="2"/>
        <v>939</v>
      </c>
      <c r="C55" s="3">
        <v>381</v>
      </c>
      <c r="D55" s="3">
        <v>558</v>
      </c>
    </row>
    <row r="56" spans="1:4" x14ac:dyDescent="0.25">
      <c r="A56" s="10" t="s">
        <v>27</v>
      </c>
      <c r="B56" s="2">
        <f t="shared" si="2"/>
        <v>0</v>
      </c>
      <c r="C56" s="3">
        <v>0</v>
      </c>
      <c r="D56" s="3">
        <v>0</v>
      </c>
    </row>
    <row r="57" spans="1:4" x14ac:dyDescent="0.25">
      <c r="A57" s="10" t="s">
        <v>26</v>
      </c>
      <c r="B57" s="2">
        <f t="shared" si="2"/>
        <v>28</v>
      </c>
      <c r="C57" s="3">
        <v>11</v>
      </c>
      <c r="D57" s="3">
        <v>17</v>
      </c>
    </row>
    <row r="58" spans="1:4" x14ac:dyDescent="0.25">
      <c r="A58" s="11" t="s">
        <v>11</v>
      </c>
      <c r="B58" s="9">
        <f t="shared" si="2"/>
        <v>88</v>
      </c>
      <c r="C58" s="4">
        <v>33</v>
      </c>
      <c r="D58" s="4">
        <v>55</v>
      </c>
    </row>
    <row r="59" spans="1:4" x14ac:dyDescent="0.25">
      <c r="A59" s="5" t="s">
        <v>5</v>
      </c>
      <c r="D59" s="14" t="s">
        <v>4</v>
      </c>
    </row>
  </sheetData>
  <mergeCells count="2">
    <mergeCell ref="A34:D34"/>
    <mergeCell ref="A2:D2"/>
  </mergeCells>
  <pageMargins left="0.7" right="0.7" top="0.75" bottom="0.75" header="0.3" footer="0.3"/>
  <pageSetup scale="8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6.10</vt:lpstr>
      <vt:lpstr>'6.10'!Print_Area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2024-09-23T09:46:20Z</cp:lastPrinted>
  <dcterms:created xsi:type="dcterms:W3CDTF">2019-08-06T05:35:20Z</dcterms:created>
  <dcterms:modified xsi:type="dcterms:W3CDTF">2024-09-23T09:46:26Z</dcterms:modified>
</cp:coreProperties>
</file>