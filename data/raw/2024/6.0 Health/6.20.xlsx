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6. HEALTH\"/>
    </mc:Choice>
  </mc:AlternateContent>
  <xr:revisionPtr revIDLastSave="0" documentId="13_ncr:1_{656FF84A-5560-4B98-81E8-FC1D6AD18590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20" sheetId="20" r:id="rId1"/>
  </sheets>
  <definedNames>
    <definedName name="_xlnm.Print_Area" localSheetId="0">'6.20'!$A$1:$M$257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9" i="20" l="1"/>
  <c r="K239" i="20"/>
  <c r="J239" i="20"/>
  <c r="I239" i="20"/>
  <c r="H239" i="20"/>
  <c r="G239" i="20"/>
  <c r="F239" i="20"/>
  <c r="E239" i="20"/>
  <c r="D239" i="20"/>
  <c r="C239" i="20"/>
  <c r="B239" i="20"/>
  <c r="L236" i="20"/>
  <c r="K236" i="20"/>
  <c r="J236" i="20"/>
  <c r="I236" i="20"/>
  <c r="H236" i="20"/>
  <c r="G236" i="20"/>
  <c r="F236" i="20"/>
  <c r="E236" i="20"/>
  <c r="D236" i="20"/>
  <c r="C236" i="20"/>
  <c r="B236" i="20"/>
  <c r="L225" i="20"/>
  <c r="K225" i="20"/>
  <c r="J225" i="20"/>
  <c r="I225" i="20"/>
  <c r="H225" i="20"/>
  <c r="G225" i="20"/>
  <c r="F225" i="20"/>
  <c r="E225" i="20"/>
  <c r="D225" i="20"/>
  <c r="C225" i="20"/>
  <c r="B225" i="20"/>
  <c r="L214" i="20"/>
  <c r="K214" i="20"/>
  <c r="J214" i="20"/>
  <c r="I214" i="20"/>
  <c r="H214" i="20"/>
  <c r="G214" i="20"/>
  <c r="F214" i="20"/>
  <c r="E214" i="20"/>
  <c r="D214" i="20"/>
  <c r="C214" i="20"/>
  <c r="B214" i="20"/>
  <c r="L201" i="20"/>
  <c r="K201" i="20"/>
  <c r="J201" i="20"/>
  <c r="I201" i="20"/>
  <c r="H201" i="20"/>
  <c r="G201" i="20"/>
  <c r="F201" i="20"/>
  <c r="E201" i="20"/>
  <c r="D201" i="20"/>
  <c r="C201" i="20"/>
  <c r="B201" i="20"/>
  <c r="L186" i="20"/>
  <c r="K186" i="20"/>
  <c r="J186" i="20"/>
  <c r="I186" i="20"/>
  <c r="H186" i="20"/>
  <c r="G186" i="20"/>
  <c r="F186" i="20"/>
  <c r="E186" i="20"/>
  <c r="D186" i="20"/>
  <c r="C186" i="20"/>
  <c r="B186" i="20"/>
  <c r="L178" i="20"/>
  <c r="K178" i="20"/>
  <c r="J178" i="20"/>
  <c r="I178" i="20"/>
  <c r="H178" i="20"/>
  <c r="G178" i="20"/>
  <c r="F178" i="20"/>
  <c r="E178" i="20"/>
  <c r="D178" i="20"/>
  <c r="C178" i="20"/>
  <c r="B178" i="20"/>
  <c r="L171" i="20"/>
  <c r="K171" i="20"/>
  <c r="J171" i="20"/>
  <c r="I171" i="20"/>
  <c r="H171" i="20"/>
  <c r="G171" i="20"/>
  <c r="F171" i="20"/>
  <c r="E171" i="20"/>
  <c r="D171" i="20"/>
  <c r="C171" i="20"/>
  <c r="B171" i="20"/>
  <c r="L161" i="20"/>
  <c r="K161" i="20"/>
  <c r="J161" i="20"/>
  <c r="I161" i="20"/>
  <c r="H161" i="20"/>
  <c r="G161" i="20"/>
  <c r="F161" i="20"/>
  <c r="E161" i="20"/>
  <c r="D161" i="20"/>
  <c r="C161" i="20"/>
  <c r="B161" i="20"/>
  <c r="L154" i="20"/>
  <c r="K154" i="20"/>
  <c r="J154" i="20"/>
  <c r="I154" i="20"/>
  <c r="H154" i="20"/>
  <c r="G154" i="20"/>
  <c r="F154" i="20"/>
  <c r="E154" i="20"/>
  <c r="D154" i="20"/>
  <c r="C154" i="20"/>
  <c r="B154" i="20"/>
  <c r="L142" i="20"/>
  <c r="K142" i="20"/>
  <c r="J142" i="20"/>
  <c r="I142" i="20"/>
  <c r="H142" i="20"/>
  <c r="G142" i="20"/>
  <c r="F142" i="20"/>
  <c r="E142" i="20"/>
  <c r="D142" i="20"/>
  <c r="C142" i="20"/>
  <c r="B142" i="20"/>
  <c r="L132" i="20"/>
  <c r="K132" i="20"/>
  <c r="J132" i="20"/>
  <c r="I132" i="20"/>
  <c r="H132" i="20"/>
  <c r="G132" i="20"/>
  <c r="F132" i="20"/>
  <c r="E132" i="20"/>
  <c r="D132" i="20"/>
  <c r="C132" i="20"/>
  <c r="B132" i="20"/>
  <c r="L121" i="20"/>
  <c r="K121" i="20"/>
  <c r="J121" i="20"/>
  <c r="I121" i="20"/>
  <c r="H121" i="20"/>
  <c r="G121" i="20"/>
  <c r="F121" i="20"/>
  <c r="E121" i="20"/>
  <c r="D121" i="20"/>
  <c r="C121" i="20"/>
  <c r="B121" i="20"/>
  <c r="L115" i="20"/>
  <c r="K115" i="20"/>
  <c r="J115" i="20"/>
  <c r="I115" i="20"/>
  <c r="H115" i="20"/>
  <c r="G115" i="20"/>
  <c r="F115" i="20"/>
  <c r="E115" i="20"/>
  <c r="D115" i="20"/>
  <c r="C115" i="20"/>
  <c r="B115" i="20"/>
  <c r="L100" i="20"/>
  <c r="K100" i="20"/>
  <c r="J100" i="20"/>
  <c r="I100" i="20"/>
  <c r="H100" i="20"/>
  <c r="G100" i="20"/>
  <c r="F100" i="20"/>
  <c r="E100" i="20"/>
  <c r="D100" i="20"/>
  <c r="C100" i="20"/>
  <c r="B100" i="20"/>
  <c r="D89" i="20"/>
  <c r="D83" i="20" s="1"/>
  <c r="L83" i="20"/>
  <c r="K83" i="20"/>
  <c r="J83" i="20"/>
  <c r="I83" i="20"/>
  <c r="H83" i="20"/>
  <c r="G83" i="20"/>
  <c r="F83" i="20"/>
  <c r="E83" i="20"/>
  <c r="C83" i="20"/>
  <c r="B83" i="20"/>
  <c r="L68" i="20"/>
  <c r="K68" i="20"/>
  <c r="J68" i="20"/>
  <c r="I68" i="20"/>
  <c r="H68" i="20"/>
  <c r="G68" i="20"/>
  <c r="F68" i="20"/>
  <c r="E68" i="20"/>
  <c r="D68" i="20"/>
  <c r="C68" i="20"/>
  <c r="B68" i="20"/>
  <c r="L52" i="20"/>
  <c r="K52" i="20"/>
  <c r="J52" i="20"/>
  <c r="I52" i="20"/>
  <c r="H52" i="20"/>
  <c r="G52" i="20"/>
  <c r="F52" i="20"/>
  <c r="E52" i="20"/>
  <c r="D52" i="20"/>
  <c r="C52" i="20"/>
  <c r="B52" i="20"/>
  <c r="L37" i="20"/>
  <c r="K37" i="20"/>
  <c r="J37" i="20"/>
  <c r="I37" i="20"/>
  <c r="H37" i="20"/>
  <c r="G37" i="20"/>
  <c r="F37" i="20"/>
  <c r="E37" i="20"/>
  <c r="D37" i="20"/>
  <c r="C37" i="20"/>
  <c r="B37" i="20"/>
  <c r="L21" i="20"/>
  <c r="K21" i="20"/>
  <c r="J21" i="20"/>
  <c r="I21" i="20"/>
  <c r="H21" i="20"/>
  <c r="G21" i="20"/>
  <c r="F21" i="20"/>
  <c r="E21" i="20"/>
  <c r="D21" i="20"/>
  <c r="C21" i="20"/>
  <c r="B21" i="20"/>
  <c r="L12" i="20"/>
  <c r="K12" i="20"/>
  <c r="J12" i="20"/>
  <c r="I12" i="20"/>
  <c r="H12" i="20"/>
  <c r="G12" i="20"/>
  <c r="F12" i="20"/>
  <c r="E12" i="20"/>
  <c r="D12" i="20"/>
  <c r="C12" i="20"/>
  <c r="B12" i="20"/>
  <c r="D19" i="20" l="1"/>
  <c r="D10" i="20" s="1"/>
  <c r="J19" i="20"/>
  <c r="J10" i="20" s="1"/>
  <c r="E19" i="20"/>
  <c r="E10" i="20" s="1"/>
  <c r="K19" i="20"/>
  <c r="K10" i="20" s="1"/>
  <c r="F19" i="20"/>
  <c r="F10" i="20" s="1"/>
  <c r="C19" i="20"/>
  <c r="C10" i="20" s="1"/>
  <c r="I19" i="20"/>
  <c r="I10" i="20" s="1"/>
  <c r="L19" i="20"/>
  <c r="L10" i="20" s="1"/>
  <c r="G19" i="20"/>
  <c r="G10" i="20" s="1"/>
  <c r="B19" i="20"/>
  <c r="B10" i="20" s="1"/>
  <c r="H19" i="20"/>
  <c r="H10" i="20" s="1"/>
</calcChain>
</file>

<file path=xl/sharedStrings.xml><?xml version="1.0" encoding="utf-8"?>
<sst xmlns="http://schemas.openxmlformats.org/spreadsheetml/2006/main" count="250" uniqueCount="244">
  <si>
    <t>Republic</t>
  </si>
  <si>
    <t>Male'</t>
  </si>
  <si>
    <t>IGMH</t>
  </si>
  <si>
    <t>ADK</t>
  </si>
  <si>
    <t>Atolls</t>
  </si>
  <si>
    <t xml:space="preserve">Measles </t>
  </si>
  <si>
    <t>ޕެންޓަވަލެންޓް ވެކްސިން</t>
  </si>
  <si>
    <t>cnisckev OailOp clwrOa</t>
  </si>
  <si>
    <t>އެމް އެމް އާރް</t>
  </si>
  <si>
    <t>uzOD (IjIsIb) cnireaug</t>
  </si>
  <si>
    <t>uzOD (IvIpOa)</t>
  </si>
  <si>
    <t>Locality</t>
  </si>
  <si>
    <t>csclcsIm</t>
  </si>
  <si>
    <t>Hepatitis B</t>
  </si>
  <si>
    <t>Pentavalent Vaccine</t>
  </si>
  <si>
    <t>Oral Polio Vaccine</t>
  </si>
  <si>
    <t>MMR</t>
  </si>
  <si>
    <t>(BCG) Dozes</t>
  </si>
  <si>
    <t>1st</t>
  </si>
  <si>
    <t>2nd</t>
  </si>
  <si>
    <t>3rd</t>
  </si>
  <si>
    <t>Estimated coverage based on data's received from atoll health facilities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</si>
  <si>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</si>
  <si>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</si>
  <si>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</si>
  <si>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</si>
  <si>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</si>
  <si>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</si>
  <si>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</si>
  <si>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</si>
  <si>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</si>
  <si>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</si>
  <si>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</si>
  <si>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</si>
  <si>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</si>
  <si>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</si>
  <si>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</si>
  <si>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</si>
  <si>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Kunburudhoo</t>
  </si>
  <si>
    <t>North Miladhunmadulu (Sh)</t>
  </si>
  <si>
    <t>Feydhoo</t>
  </si>
  <si>
    <t>South Miladhunmadulu (N)</t>
  </si>
  <si>
    <t>Magoodhoo</t>
  </si>
  <si>
    <t>North Maalhosmadulu (R)</t>
  </si>
  <si>
    <t>Vaadhoo</t>
  </si>
  <si>
    <t>Meedhoo</t>
  </si>
  <si>
    <t>Dhuvaafaru</t>
  </si>
  <si>
    <t>Innamaadhoo</t>
  </si>
  <si>
    <t>Maduvvari</t>
  </si>
  <si>
    <t>South Maalhosmadulu (B)</t>
  </si>
  <si>
    <t>Faadhippolhu (Lh)</t>
  </si>
  <si>
    <t>Naifaru</t>
  </si>
  <si>
    <t>Hinnavaru</t>
  </si>
  <si>
    <t>Kurendhoo</t>
  </si>
  <si>
    <t>Olhuvelifushi</t>
  </si>
  <si>
    <t>Male' Atoll (K)</t>
  </si>
  <si>
    <t>North Ari Atoll (AA)</t>
  </si>
  <si>
    <t>South Ari Atoll (ADh)</t>
  </si>
  <si>
    <t>Omadhoo</t>
  </si>
  <si>
    <t>Mahibadhoo</t>
  </si>
  <si>
    <t>Mandhoo</t>
  </si>
  <si>
    <t>Dhn'agethi</t>
  </si>
  <si>
    <t>Dhigurah</t>
  </si>
  <si>
    <t>Fenfushi</t>
  </si>
  <si>
    <t>Maamigili</t>
  </si>
  <si>
    <t>Felidhu Atoll (V)</t>
  </si>
  <si>
    <t>Fulidhoo</t>
  </si>
  <si>
    <t>Thinadhoo</t>
  </si>
  <si>
    <t>Felidhoo</t>
  </si>
  <si>
    <t>Keyodhoo</t>
  </si>
  <si>
    <t>Rakeedhoo</t>
  </si>
  <si>
    <t>Mulakatholhu (M)</t>
  </si>
  <si>
    <t>Raiymandhoo</t>
  </si>
  <si>
    <t>Veyvah</t>
  </si>
  <si>
    <t>Mulah</t>
  </si>
  <si>
    <t>Muli</t>
  </si>
  <si>
    <t>Naalaafushi</t>
  </si>
  <si>
    <t>Kolhufushi</t>
  </si>
  <si>
    <t>Dhiggaru</t>
  </si>
  <si>
    <t>North Nilandhe Atoll (F)</t>
  </si>
  <si>
    <t>South Nilandhe Atoll (Dh)</t>
  </si>
  <si>
    <t>Kolhumadulu (Th)</t>
  </si>
  <si>
    <t>Veymandoo</t>
  </si>
  <si>
    <t>Hadhdhunmathi (L)</t>
  </si>
  <si>
    <t>Maabaidhoo</t>
  </si>
  <si>
    <t>Gaadhoo</t>
  </si>
  <si>
    <t>Hithadhoo</t>
  </si>
  <si>
    <t>North Huvadhu Atoll (GA)</t>
  </si>
  <si>
    <t>Kolamaafushi</t>
  </si>
  <si>
    <t>Gemanafushi</t>
  </si>
  <si>
    <t>South Huvadhu Atoll (GDh)</t>
  </si>
  <si>
    <t>Gadhdhoo</t>
  </si>
  <si>
    <t>Nadallaa</t>
  </si>
  <si>
    <t>Faresmaathoda</t>
  </si>
  <si>
    <t>Fiyoari</t>
  </si>
  <si>
    <t>Rathafandhoo</t>
  </si>
  <si>
    <t>Hoadhedhdhoo</t>
  </si>
  <si>
    <t>Madaveli</t>
  </si>
  <si>
    <t>Fuvahmulah (Gn)</t>
  </si>
  <si>
    <t>Fuvahmulah</t>
  </si>
  <si>
    <t>Addu Atoll (S)</t>
  </si>
  <si>
    <t>Maradhoo</t>
  </si>
  <si>
    <t>Hulhudhoo</t>
  </si>
  <si>
    <t>cTEmiawlckcswliseb</t>
  </si>
  <si>
    <t>Ib csiTiawTwpeh</t>
  </si>
  <si>
    <t>Bacillus</t>
  </si>
  <si>
    <t>Climate Guerin</t>
  </si>
  <si>
    <t>(OPV) Dozes</t>
  </si>
  <si>
    <t>4th</t>
  </si>
  <si>
    <t>MHC (Dhamana Veshi)</t>
  </si>
  <si>
    <t>HMH</t>
  </si>
  <si>
    <t>VHC</t>
  </si>
  <si>
    <t>Hanimaadhoo HC</t>
  </si>
  <si>
    <t>Finey HP</t>
  </si>
  <si>
    <t>Naavaaidhoo HP</t>
  </si>
  <si>
    <t>Hirimaradhoo HP</t>
  </si>
  <si>
    <t>Nolhivaranfaru HC</t>
  </si>
  <si>
    <t>Neillaidhoo</t>
  </si>
  <si>
    <t>Nolhivaram HC</t>
  </si>
  <si>
    <t>Kurinbee HP</t>
  </si>
  <si>
    <t>Kulhudhuffushi RH</t>
  </si>
  <si>
    <t>Kumundhoo HC</t>
  </si>
  <si>
    <t>Neykurendhoo HC</t>
  </si>
  <si>
    <t>Vaikaradhoo HC</t>
  </si>
  <si>
    <t>Makunudhoo HC</t>
  </si>
  <si>
    <t>Kanditheem HC</t>
  </si>
  <si>
    <t>Noomara HC</t>
  </si>
  <si>
    <t>Goidhoo HC</t>
  </si>
  <si>
    <t>Feydhoo HC</t>
  </si>
  <si>
    <t>Feevah HC</t>
  </si>
  <si>
    <t>Bileiyfahi HC</t>
  </si>
  <si>
    <t>Fokaidhoo HC</t>
  </si>
  <si>
    <t>Narudhoo HC</t>
  </si>
  <si>
    <t>Maroshi HC</t>
  </si>
  <si>
    <t>Lhaimagu HC</t>
  </si>
  <si>
    <t>Komandoo HC</t>
  </si>
  <si>
    <t>Maaugoodhoo HC</t>
  </si>
  <si>
    <t>Funadhoo AH</t>
  </si>
  <si>
    <t>Milandhoo HC</t>
  </si>
  <si>
    <t>Henbadhoo HC</t>
  </si>
  <si>
    <t>Ken'dhikulhudhoo HC</t>
  </si>
  <si>
    <t>Maalhendhoo HC</t>
  </si>
  <si>
    <t>Kudafari HC</t>
  </si>
  <si>
    <t>Landhoo HP</t>
  </si>
  <si>
    <t>Maafaru HC</t>
  </si>
  <si>
    <t>Lhohi HC</t>
  </si>
  <si>
    <t>Miladhoo HC</t>
  </si>
  <si>
    <t>Magoodhoo HP</t>
  </si>
  <si>
    <t>Manadhoo AH</t>
  </si>
  <si>
    <t>Holhudhoo HC</t>
  </si>
  <si>
    <t>Fohdhoo</t>
  </si>
  <si>
    <t>Velidhoo HC</t>
  </si>
  <si>
    <t>Alifushi HC</t>
  </si>
  <si>
    <t xml:space="preserve">Vaadhoo </t>
  </si>
  <si>
    <t>Rasgetheem</t>
  </si>
  <si>
    <t>Angolhitheem hp</t>
  </si>
  <si>
    <t>Hulhudhuffaaru HC</t>
  </si>
  <si>
    <t>Ungoofaaru RH</t>
  </si>
  <si>
    <t>Maakurathu HC</t>
  </si>
  <si>
    <t>Rasmaadhoo HC</t>
  </si>
  <si>
    <t xml:space="preserve">Maduvvari HC </t>
  </si>
  <si>
    <t>Inguraidhoo HC</t>
  </si>
  <si>
    <t>Fainu hp</t>
  </si>
  <si>
    <t>Meedhoo HC</t>
  </si>
  <si>
    <t>Kinolhus hp</t>
  </si>
  <si>
    <t>Kudarikilu HP</t>
  </si>
  <si>
    <t>Kamadhoo HP</t>
  </si>
  <si>
    <t>Kendhoo HC</t>
  </si>
  <si>
    <t>Dhonfanu HP</t>
  </si>
  <si>
    <t>Kihaadhoo HP</t>
  </si>
  <si>
    <t>Maalhos HP</t>
  </si>
  <si>
    <t>Dharavandhoo HC</t>
  </si>
  <si>
    <t>Eydhafushi AH</t>
  </si>
  <si>
    <t>Thulhaadhoo HC</t>
  </si>
  <si>
    <t>Hithaadhoo HC</t>
  </si>
  <si>
    <t>Fulhadhoo FHS</t>
  </si>
  <si>
    <t>Fehendhoo FHS</t>
  </si>
  <si>
    <t>Kaashidhoo HC</t>
  </si>
  <si>
    <t>Gaafaru HP</t>
  </si>
  <si>
    <t>Dhiffushi HP</t>
  </si>
  <si>
    <t>Thulusdhoo HC</t>
  </si>
  <si>
    <t>Huraa HC</t>
  </si>
  <si>
    <t>Hinmafushi</t>
  </si>
  <si>
    <t>Gulhi HC</t>
  </si>
  <si>
    <t>Maafushi HC</t>
  </si>
  <si>
    <t>Guraidhoo HC</t>
  </si>
  <si>
    <t>Rasdhoo AH</t>
  </si>
  <si>
    <t>Thoddoo HC</t>
  </si>
  <si>
    <t>Ukulhas HC</t>
  </si>
  <si>
    <t>Mathiveri HC</t>
  </si>
  <si>
    <t>Bodufoludhoo HC</t>
  </si>
  <si>
    <t>Feridhoo HC</t>
  </si>
  <si>
    <t>Maalhos HC</t>
  </si>
  <si>
    <t>Himandhoo HC</t>
  </si>
  <si>
    <t>Hangn'aameedhoo</t>
  </si>
  <si>
    <t xml:space="preserve">Thinadhoo </t>
  </si>
  <si>
    <t>Feeali HC</t>
  </si>
  <si>
    <t>Bileidhoo HC</t>
  </si>
  <si>
    <t>Dharanboodhoo HP</t>
  </si>
  <si>
    <t>Nilandhoo HC</t>
  </si>
  <si>
    <t xml:space="preserve">Kudahuvadhoo </t>
  </si>
  <si>
    <t xml:space="preserve">Meedhoo </t>
  </si>
  <si>
    <t>Maaenboodhoo</t>
  </si>
  <si>
    <t xml:space="preserve">Bandidhoo </t>
  </si>
  <si>
    <t xml:space="preserve">Hulhudheli </t>
  </si>
  <si>
    <t>Rinbudhoo</t>
  </si>
  <si>
    <t xml:space="preserve">Buruni </t>
  </si>
  <si>
    <t xml:space="preserve">Vilufushi </t>
  </si>
  <si>
    <t xml:space="preserve">Madifushi </t>
  </si>
  <si>
    <t xml:space="preserve">Dhiyamigili </t>
  </si>
  <si>
    <t xml:space="preserve">Guraidhoo </t>
  </si>
  <si>
    <t xml:space="preserve">Kan'doodhoo </t>
  </si>
  <si>
    <t xml:space="preserve">Vandhoo </t>
  </si>
  <si>
    <t xml:space="preserve">Hirilandhoo </t>
  </si>
  <si>
    <t xml:space="preserve">Gadhifushi </t>
  </si>
  <si>
    <t xml:space="preserve">Thimarafushi </t>
  </si>
  <si>
    <t xml:space="preserve">Kinbidhoo </t>
  </si>
  <si>
    <t xml:space="preserve">Omadhoo </t>
  </si>
  <si>
    <t xml:space="preserve">Isdhoo - Kalhaidhoo </t>
  </si>
  <si>
    <t xml:space="preserve">Dhanbidhoo </t>
  </si>
  <si>
    <t xml:space="preserve">Mundoo </t>
  </si>
  <si>
    <t>Gan</t>
  </si>
  <si>
    <t xml:space="preserve">Maavashu </t>
  </si>
  <si>
    <t xml:space="preserve">Fonadhoo </t>
  </si>
  <si>
    <t xml:space="preserve">Maamendhoo  </t>
  </si>
  <si>
    <t xml:space="preserve">Hithadhoo </t>
  </si>
  <si>
    <t xml:space="preserve">Kunahandhoo </t>
  </si>
  <si>
    <t>Villigilli</t>
  </si>
  <si>
    <t xml:space="preserve">Maamendhoo </t>
  </si>
  <si>
    <t xml:space="preserve">Nilandhoo </t>
  </si>
  <si>
    <t>Dhevvadhoo</t>
  </si>
  <si>
    <t xml:space="preserve">Dhaandhoo </t>
  </si>
  <si>
    <t xml:space="preserve">Kondey </t>
  </si>
  <si>
    <t xml:space="preserve">Kanduhulhudhoo </t>
  </si>
  <si>
    <t>Ma.Feydhoo</t>
  </si>
  <si>
    <t>* Td coverage (2 doses) is for Pregnat women in the republic.</t>
  </si>
  <si>
    <t xml:space="preserve">*DPT- No longer used in national vaccine schedule. </t>
  </si>
  <si>
    <t>* Hep B  alone vaccine is given only as birth dose.</t>
  </si>
  <si>
    <t>Source: Health Protection Agency / EPI program</t>
  </si>
  <si>
    <t xml:space="preserve">           OPV - Oral Polio Vaccine</t>
  </si>
  <si>
    <t xml:space="preserve">             TT - Tetanus Toxide</t>
  </si>
  <si>
    <t xml:space="preserve">  </t>
  </si>
  <si>
    <t>Table 6.20: ESTIMATED IMMUNIZATION COVERAGE BY ISLAND, 2015</t>
  </si>
  <si>
    <t>2015 ,WzWdcnwa egurwvcnim Wviawfivedcnisckev :6.20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</si>
</sst>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General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Faruma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0"/>
      <color theme="1"/>
      <name val="A_Faseyha"/>
    </font>
    <font>
      <b/>
      <sz val="10"/>
      <color theme="1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hair">
        <color theme="1" tint="4.9989318521683403E-2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/>
      <top/>
      <bottom style="hair">
        <color theme="1" tint="4.9989318521683403E-2"/>
      </bottom>
      <diagonal/>
    </border>
    <border>
      <left/>
      <right style="hair">
        <color indexed="64"/>
      </right>
      <top/>
      <bottom style="hair">
        <color theme="1" tint="4.9989318521683403E-2"/>
      </bottom>
      <diagonal/>
    </border>
    <border>
      <left style="hair">
        <color indexed="64"/>
      </left>
      <right/>
      <top style="hair">
        <color theme="1" tint="4.9989318521683403E-2"/>
      </top>
      <bottom/>
      <diagonal/>
    </border>
    <border>
      <left/>
      <right/>
      <top style="hair">
        <color theme="1" tint="4.9989318521683403E-2"/>
      </top>
      <bottom/>
      <diagonal/>
    </border>
    <border>
      <left/>
      <right style="hair">
        <color indexed="64"/>
      </right>
      <top style="hair">
        <color theme="1" tint="4.9989318521683403E-2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hair">
        <color theme="1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theme="1"/>
      </left>
      <right/>
      <top/>
      <bottom style="hair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 tint="4.9989318521683403E-2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hair">
        <color theme="1" tint="4.9989318521683403E-2"/>
      </bottom>
      <diagonal/>
    </border>
    <border>
      <left style="hair">
        <color theme="1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hair">
        <color theme="1"/>
      </left>
      <right/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7" fillId="0" borderId="0"/>
    <xf numFmtId="164" fontId="8" fillId="0" borderId="0"/>
    <xf numFmtId="164" fontId="8" fillId="0" borderId="0"/>
    <xf numFmtId="164" fontId="8" fillId="0" borderId="0"/>
    <xf numFmtId="40" fontId="9" fillId="0" borderId="0" applyFont="0" applyFill="0" applyBorder="0" applyAlignment="0" applyProtection="0"/>
    <xf numFmtId="164" fontId="8" fillId="0" borderId="0"/>
    <xf numFmtId="0" fontId="1" fillId="0" borderId="0"/>
    <xf numFmtId="0" fontId="7" fillId="0" borderId="0"/>
    <xf numFmtId="0" fontId="7" fillId="0" borderId="0"/>
  </cellStyleXfs>
  <cellXfs count="141">
    <xf numFmtId="0" fontId="0" fillId="0" borderId="0" xfId="0"/>
    <xf numFmtId="3" fontId="5" fillId="2" borderId="8" xfId="3" applyNumberFormat="1" applyFont="1" applyFill="1" applyBorder="1" applyAlignment="1">
      <alignment horizontal="center" vertical="center" wrapText="1"/>
    </xf>
    <xf numFmtId="3" fontId="5" fillId="2" borderId="43" xfId="3" applyNumberFormat="1" applyFont="1" applyFill="1" applyBorder="1" applyAlignment="1">
      <alignment horizontal="center" vertical="center" wrapText="1"/>
    </xf>
    <xf numFmtId="37" fontId="3" fillId="2" borderId="0" xfId="1" applyNumberFormat="1" applyFont="1" applyFill="1" applyBorder="1" applyAlignment="1">
      <alignment horizontal="right" vertical="center"/>
    </xf>
    <xf numFmtId="37" fontId="5" fillId="2" borderId="0" xfId="1" applyNumberFormat="1" applyFont="1" applyFill="1" applyBorder="1" applyAlignment="1">
      <alignment horizontal="right" vertical="center"/>
    </xf>
    <xf numFmtId="3" fontId="3" fillId="2" borderId="3" xfId="3" applyNumberFormat="1" applyFont="1" applyFill="1" applyBorder="1" applyAlignment="1">
      <alignment vertical="center"/>
    </xf>
    <xf numFmtId="3" fontId="5" fillId="2" borderId="14" xfId="3" applyNumberFormat="1" applyFont="1" applyFill="1" applyBorder="1" applyAlignment="1">
      <alignment vertical="center"/>
    </xf>
    <xf numFmtId="3" fontId="5" fillId="2" borderId="0" xfId="3" applyNumberFormat="1" applyFont="1" applyFill="1" applyAlignment="1">
      <alignment vertical="center"/>
    </xf>
    <xf numFmtId="3" fontId="5" fillId="2" borderId="29" xfId="3" applyNumberFormat="1" applyFont="1" applyFill="1" applyBorder="1" applyAlignment="1">
      <alignment vertical="center"/>
    </xf>
    <xf numFmtId="3" fontId="5" fillId="2" borderId="26" xfId="3" applyNumberFormat="1" applyFont="1" applyFill="1" applyBorder="1" applyAlignment="1">
      <alignment vertical="center"/>
    </xf>
    <xf numFmtId="3" fontId="5" fillId="2" borderId="47" xfId="3" applyNumberFormat="1" applyFont="1" applyFill="1" applyBorder="1" applyAlignment="1">
      <alignment horizontal="left" vertical="center"/>
    </xf>
    <xf numFmtId="3" fontId="10" fillId="2" borderId="47" xfId="3" applyNumberFormat="1" applyFont="1" applyFill="1" applyBorder="1" applyAlignment="1">
      <alignment horizontal="center" vertical="center" wrapText="1"/>
    </xf>
    <xf numFmtId="3" fontId="10" fillId="2" borderId="32" xfId="3" applyNumberFormat="1" applyFont="1" applyFill="1" applyBorder="1" applyAlignment="1">
      <alignment horizontal="center" vertical="center" wrapText="1"/>
    </xf>
    <xf numFmtId="3" fontId="10" fillId="2" borderId="31" xfId="3" applyNumberFormat="1" applyFont="1" applyFill="1" applyBorder="1" applyAlignment="1">
      <alignment horizontal="center" vertical="center"/>
    </xf>
    <xf numFmtId="3" fontId="5" fillId="2" borderId="25" xfId="3" applyNumberFormat="1" applyFont="1" applyFill="1" applyBorder="1" applyAlignment="1">
      <alignment vertical="center"/>
    </xf>
    <xf numFmtId="3" fontId="5" fillId="2" borderId="3" xfId="3" applyNumberFormat="1" applyFont="1" applyFill="1" applyBorder="1" applyAlignment="1">
      <alignment vertical="center"/>
    </xf>
    <xf numFmtId="3" fontId="3" fillId="2" borderId="52" xfId="3" applyNumberFormat="1" applyFont="1" applyFill="1" applyBorder="1" applyAlignment="1">
      <alignment vertical="center"/>
    </xf>
    <xf numFmtId="3" fontId="10" fillId="2" borderId="53" xfId="3" applyNumberFormat="1" applyFont="1" applyFill="1" applyBorder="1" applyAlignment="1">
      <alignment horizontal="center" vertical="center"/>
    </xf>
    <xf numFmtId="3" fontId="11" fillId="2" borderId="35" xfId="3" applyNumberFormat="1" applyFont="1" applyFill="1" applyBorder="1" applyAlignment="1">
      <alignment horizontal="center" vertical="center"/>
    </xf>
    <xf numFmtId="3" fontId="10" fillId="2" borderId="2" xfId="3" applyNumberFormat="1" applyFont="1" applyFill="1" applyBorder="1" applyAlignment="1">
      <alignment horizontal="center" vertical="center" wrapText="1"/>
    </xf>
    <xf numFmtId="3" fontId="5" fillId="2" borderId="52" xfId="3" applyNumberFormat="1" applyFont="1" applyFill="1" applyBorder="1" applyAlignment="1">
      <alignment horizontal="left" vertical="center"/>
    </xf>
    <xf numFmtId="3" fontId="5" fillId="2" borderId="52" xfId="3" applyNumberFormat="1" applyFont="1" applyFill="1" applyBorder="1" applyAlignment="1">
      <alignment horizontal="center" vertical="center"/>
    </xf>
    <xf numFmtId="3" fontId="5" fillId="2" borderId="34" xfId="3" applyNumberFormat="1" applyFont="1" applyFill="1" applyBorder="1" applyAlignment="1">
      <alignment horizontal="center" vertical="center"/>
    </xf>
    <xf numFmtId="3" fontId="5" fillId="2" borderId="2" xfId="3" applyNumberFormat="1" applyFont="1" applyFill="1" applyBorder="1" applyAlignment="1">
      <alignment horizontal="center" vertical="center"/>
    </xf>
    <xf numFmtId="3" fontId="5" fillId="2" borderId="58" xfId="3" applyNumberFormat="1" applyFont="1" applyFill="1" applyBorder="1" applyAlignment="1">
      <alignment horizontal="center" vertical="center"/>
    </xf>
    <xf numFmtId="3" fontId="5" fillId="2" borderId="60" xfId="3" applyNumberFormat="1" applyFont="1" applyFill="1" applyBorder="1" applyAlignment="1">
      <alignment horizontal="center" vertical="center"/>
    </xf>
    <xf numFmtId="3" fontId="5" fillId="2" borderId="62" xfId="3" applyNumberFormat="1" applyFont="1" applyFill="1" applyBorder="1" applyAlignment="1">
      <alignment vertical="center"/>
    </xf>
    <xf numFmtId="3" fontId="5" fillId="2" borderId="62" xfId="3" applyNumberFormat="1" applyFont="1" applyFill="1" applyBorder="1" applyAlignment="1">
      <alignment horizontal="center" vertical="center"/>
    </xf>
    <xf numFmtId="3" fontId="5" fillId="2" borderId="42" xfId="3" applyNumberFormat="1" applyFont="1" applyFill="1" applyBorder="1" applyAlignment="1">
      <alignment horizontal="center" vertical="center"/>
    </xf>
    <xf numFmtId="3" fontId="5" fillId="2" borderId="4" xfId="3" applyNumberFormat="1" applyFont="1" applyFill="1" applyBorder="1" applyAlignment="1">
      <alignment horizontal="center" vertical="center"/>
    </xf>
    <xf numFmtId="3" fontId="5" fillId="2" borderId="63" xfId="3" applyNumberFormat="1" applyFont="1" applyFill="1" applyBorder="1" applyAlignment="1">
      <alignment horizontal="center" vertical="center"/>
    </xf>
    <xf numFmtId="3" fontId="5" fillId="2" borderId="64" xfId="3" applyNumberFormat="1" applyFont="1" applyFill="1" applyBorder="1" applyAlignment="1">
      <alignment horizontal="center" vertical="center" wrapText="1"/>
    </xf>
    <xf numFmtId="3" fontId="5" fillId="2" borderId="44" xfId="3" applyNumberFormat="1" applyFont="1" applyFill="1" applyBorder="1" applyAlignment="1">
      <alignment horizontal="center" vertical="center"/>
    </xf>
    <xf numFmtId="3" fontId="5" fillId="2" borderId="45" xfId="3" applyNumberFormat="1" applyFont="1" applyFill="1" applyBorder="1" applyAlignment="1">
      <alignment horizontal="center" vertical="center"/>
    </xf>
    <xf numFmtId="3" fontId="5" fillId="2" borderId="45" xfId="3" applyNumberFormat="1" applyFont="1" applyFill="1" applyBorder="1" applyAlignment="1">
      <alignment horizontal="center" vertical="center" wrapText="1"/>
    </xf>
    <xf numFmtId="3" fontId="5" fillId="2" borderId="65" xfId="3" applyNumberFormat="1" applyFont="1" applyFill="1" applyBorder="1" applyAlignment="1">
      <alignment horizontal="center" vertical="center" wrapText="1"/>
    </xf>
    <xf numFmtId="3" fontId="5" fillId="2" borderId="7" xfId="10" applyNumberFormat="1" applyFont="1" applyFill="1" applyBorder="1" applyAlignment="1">
      <alignment vertical="center"/>
    </xf>
    <xf numFmtId="37" fontId="5" fillId="2" borderId="7" xfId="1" applyNumberFormat="1" applyFont="1" applyFill="1" applyBorder="1" applyAlignment="1">
      <alignment horizontal="right" vertical="center"/>
    </xf>
    <xf numFmtId="37" fontId="5" fillId="2" borderId="66" xfId="1" applyNumberFormat="1" applyFont="1" applyFill="1" applyBorder="1" applyAlignment="1">
      <alignment horizontal="right" vertical="center"/>
    </xf>
    <xf numFmtId="37" fontId="5" fillId="2" borderId="22" xfId="1" applyNumberFormat="1" applyFont="1" applyFill="1" applyBorder="1" applyAlignment="1">
      <alignment horizontal="right" vertical="center"/>
    </xf>
    <xf numFmtId="37" fontId="5" fillId="2" borderId="23" xfId="1" applyNumberFormat="1" applyFont="1" applyFill="1" applyBorder="1" applyAlignment="1">
      <alignment horizontal="right" vertical="center"/>
    </xf>
    <xf numFmtId="37" fontId="5" fillId="2" borderId="12" xfId="1" applyNumberFormat="1" applyFont="1" applyFill="1" applyBorder="1" applyAlignment="1">
      <alignment horizontal="right" vertical="center"/>
    </xf>
    <xf numFmtId="3" fontId="3" fillId="2" borderId="19" xfId="3" applyNumberFormat="1" applyFont="1" applyFill="1" applyBorder="1" applyAlignment="1">
      <alignment vertical="center"/>
    </xf>
    <xf numFmtId="3" fontId="3" fillId="2" borderId="29" xfId="3" applyNumberFormat="1" applyFont="1" applyFill="1" applyBorder="1" applyAlignment="1">
      <alignment vertical="center"/>
    </xf>
    <xf numFmtId="3" fontId="5" fillId="2" borderId="0" xfId="10" applyNumberFormat="1" applyFont="1" applyFill="1" applyAlignment="1">
      <alignment vertical="center"/>
    </xf>
    <xf numFmtId="3" fontId="5" fillId="2" borderId="7" xfId="0" applyNumberFormat="1" applyFont="1" applyFill="1" applyBorder="1" applyAlignment="1">
      <alignment horizontal="right" vertical="center"/>
    </xf>
    <xf numFmtId="3" fontId="5" fillId="2" borderId="66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22" xfId="0" applyNumberFormat="1" applyFont="1" applyFill="1" applyBorder="1" applyAlignment="1">
      <alignment horizontal="right" vertical="center"/>
    </xf>
    <xf numFmtId="3" fontId="5" fillId="2" borderId="23" xfId="0" applyNumberFormat="1" applyFont="1" applyFill="1" applyBorder="1" applyAlignment="1">
      <alignment horizontal="right" vertical="center"/>
    </xf>
    <xf numFmtId="3" fontId="5" fillId="2" borderId="12" xfId="0" applyNumberFormat="1" applyFont="1" applyFill="1" applyBorder="1" applyAlignment="1">
      <alignment horizontal="right" vertical="center"/>
    </xf>
    <xf numFmtId="3" fontId="5" fillId="2" borderId="19" xfId="3" applyNumberFormat="1" applyFont="1" applyFill="1" applyBorder="1" applyAlignment="1">
      <alignment vertical="center"/>
    </xf>
    <xf numFmtId="3" fontId="3" fillId="2" borderId="7" xfId="10" applyNumberFormat="1" applyFont="1" applyFill="1" applyBorder="1" applyAlignment="1">
      <alignment vertical="center"/>
    </xf>
    <xf numFmtId="3" fontId="3" fillId="2" borderId="0" xfId="10" applyNumberFormat="1" applyFont="1" applyFill="1" applyAlignment="1">
      <alignment vertical="center"/>
    </xf>
    <xf numFmtId="37" fontId="3" fillId="2" borderId="7" xfId="1" applyNumberFormat="1" applyFont="1" applyFill="1" applyBorder="1" applyAlignment="1">
      <alignment horizontal="right" vertical="center"/>
    </xf>
    <xf numFmtId="37" fontId="3" fillId="2" borderId="66" xfId="1" applyNumberFormat="1" applyFont="1" applyFill="1" applyBorder="1" applyAlignment="1">
      <alignment horizontal="right" vertical="center"/>
    </xf>
    <xf numFmtId="37" fontId="3" fillId="2" borderId="22" xfId="1" applyNumberFormat="1" applyFont="1" applyFill="1" applyBorder="1" applyAlignment="1">
      <alignment horizontal="right" vertical="center"/>
    </xf>
    <xf numFmtId="37" fontId="3" fillId="2" borderId="23" xfId="1" applyNumberFormat="1" applyFont="1" applyFill="1" applyBorder="1" applyAlignment="1">
      <alignment horizontal="right" vertical="center"/>
    </xf>
    <xf numFmtId="37" fontId="3" fillId="2" borderId="12" xfId="1" applyNumberFormat="1" applyFont="1" applyFill="1" applyBorder="1" applyAlignment="1">
      <alignment horizontal="right" vertical="center"/>
    </xf>
    <xf numFmtId="3" fontId="3" fillId="2" borderId="19" xfId="3" applyNumberFormat="1" applyFont="1" applyFill="1" applyBorder="1" applyAlignment="1">
      <alignment horizontal="center" vertical="center"/>
    </xf>
    <xf numFmtId="3" fontId="3" fillId="2" borderId="29" xfId="3" applyNumberFormat="1" applyFont="1" applyFill="1" applyBorder="1" applyAlignment="1">
      <alignment horizontal="center" vertical="center"/>
    </xf>
    <xf numFmtId="3" fontId="5" fillId="2" borderId="7" xfId="3" applyNumberFormat="1" applyFont="1" applyFill="1" applyBorder="1" applyAlignment="1">
      <alignment horizontal="right" vertical="center"/>
    </xf>
    <xf numFmtId="3" fontId="5" fillId="2" borderId="66" xfId="3" applyNumberFormat="1" applyFont="1" applyFill="1" applyBorder="1" applyAlignment="1">
      <alignment horizontal="right" vertical="center"/>
    </xf>
    <xf numFmtId="3" fontId="5" fillId="2" borderId="0" xfId="3" applyNumberFormat="1" applyFont="1" applyFill="1" applyAlignment="1">
      <alignment horizontal="right" vertical="center"/>
    </xf>
    <xf numFmtId="3" fontId="5" fillId="2" borderId="22" xfId="3" applyNumberFormat="1" applyFont="1" applyFill="1" applyBorder="1" applyAlignment="1">
      <alignment horizontal="right" vertical="center"/>
    </xf>
    <xf numFmtId="3" fontId="5" fillId="2" borderId="23" xfId="3" applyNumberFormat="1" applyFont="1" applyFill="1" applyBorder="1" applyAlignment="1">
      <alignment horizontal="right" vertical="center"/>
    </xf>
    <xf numFmtId="3" fontId="5" fillId="2" borderId="12" xfId="3" applyNumberFormat="1" applyFont="1" applyFill="1" applyBorder="1" applyAlignment="1">
      <alignment horizontal="right" vertical="center"/>
    </xf>
    <xf numFmtId="3" fontId="3" fillId="2" borderId="7" xfId="3" applyNumberFormat="1" applyFont="1" applyFill="1" applyBorder="1" applyAlignment="1">
      <alignment horizontal="right" vertical="center"/>
    </xf>
    <xf numFmtId="3" fontId="3" fillId="2" borderId="66" xfId="3" applyNumberFormat="1" applyFont="1" applyFill="1" applyBorder="1" applyAlignment="1">
      <alignment horizontal="right" vertical="center"/>
    </xf>
    <xf numFmtId="3" fontId="3" fillId="2" borderId="0" xfId="3" applyNumberFormat="1" applyFont="1" applyFill="1" applyAlignment="1">
      <alignment horizontal="right" vertical="center"/>
    </xf>
    <xf numFmtId="3" fontId="3" fillId="2" borderId="22" xfId="3" applyNumberFormat="1" applyFont="1" applyFill="1" applyBorder="1" applyAlignment="1">
      <alignment horizontal="right" vertical="center"/>
    </xf>
    <xf numFmtId="3" fontId="3" fillId="2" borderId="23" xfId="3" applyNumberFormat="1" applyFont="1" applyFill="1" applyBorder="1" applyAlignment="1">
      <alignment horizontal="right" vertical="center"/>
    </xf>
    <xf numFmtId="3" fontId="3" fillId="2" borderId="12" xfId="3" applyNumberFormat="1" applyFont="1" applyFill="1" applyBorder="1" applyAlignment="1">
      <alignment horizontal="right" vertical="center"/>
    </xf>
    <xf numFmtId="3" fontId="6" fillId="2" borderId="7" xfId="10" applyNumberFormat="1" applyFont="1" applyFill="1" applyBorder="1" applyAlignment="1">
      <alignment vertical="center"/>
    </xf>
    <xf numFmtId="3" fontId="6" fillId="2" borderId="7" xfId="3" applyNumberFormat="1" applyFont="1" applyFill="1" applyBorder="1" applyAlignment="1">
      <alignment horizontal="right" vertical="center"/>
    </xf>
    <xf numFmtId="3" fontId="6" fillId="2" borderId="66" xfId="3" applyNumberFormat="1" applyFont="1" applyFill="1" applyBorder="1" applyAlignment="1">
      <alignment horizontal="right" vertical="center"/>
    </xf>
    <xf numFmtId="3" fontId="6" fillId="2" borderId="0" xfId="3" applyNumberFormat="1" applyFont="1" applyFill="1" applyAlignment="1">
      <alignment horizontal="right" vertical="center"/>
    </xf>
    <xf numFmtId="3" fontId="6" fillId="2" borderId="22" xfId="3" applyNumberFormat="1" applyFont="1" applyFill="1" applyBorder="1" applyAlignment="1">
      <alignment horizontal="right" vertical="center"/>
    </xf>
    <xf numFmtId="3" fontId="6" fillId="2" borderId="23" xfId="3" applyNumberFormat="1" applyFont="1" applyFill="1" applyBorder="1" applyAlignment="1">
      <alignment horizontal="right" vertical="center"/>
    </xf>
    <xf numFmtId="3" fontId="6" fillId="2" borderId="12" xfId="3" applyNumberFormat="1" applyFont="1" applyFill="1" applyBorder="1" applyAlignment="1">
      <alignment horizontal="right" vertical="center"/>
    </xf>
    <xf numFmtId="3" fontId="6" fillId="2" borderId="19" xfId="3" applyNumberFormat="1" applyFont="1" applyFill="1" applyBorder="1" applyAlignment="1">
      <alignment vertical="center"/>
    </xf>
    <xf numFmtId="3" fontId="6" fillId="2" borderId="29" xfId="3" applyNumberFormat="1" applyFont="1" applyFill="1" applyBorder="1" applyAlignment="1">
      <alignment vertical="center"/>
    </xf>
    <xf numFmtId="3" fontId="3" fillId="2" borderId="46" xfId="10" applyNumberFormat="1" applyFont="1" applyFill="1" applyBorder="1" applyAlignment="1">
      <alignment vertical="center"/>
    </xf>
    <xf numFmtId="3" fontId="5" fillId="2" borderId="27" xfId="3" applyNumberFormat="1" applyFont="1" applyFill="1" applyBorder="1" applyAlignment="1">
      <alignment vertical="center"/>
    </xf>
    <xf numFmtId="3" fontId="3" fillId="2" borderId="0" xfId="3" applyNumberFormat="1" applyFont="1" applyFill="1" applyAlignment="1">
      <alignment horizontal="left" vertical="center"/>
    </xf>
    <xf numFmtId="9" fontId="5" fillId="2" borderId="0" xfId="3" applyNumberFormat="1" applyFont="1" applyFill="1" applyAlignment="1">
      <alignment horizontal="center" vertical="center"/>
    </xf>
    <xf numFmtId="3" fontId="3" fillId="2" borderId="26" xfId="3" applyNumberFormat="1" applyFont="1" applyFill="1" applyBorder="1" applyAlignment="1">
      <alignment vertical="center"/>
    </xf>
    <xf numFmtId="3" fontId="3" fillId="2" borderId="13" xfId="3" applyNumberFormat="1" applyFont="1" applyFill="1" applyBorder="1" applyAlignment="1">
      <alignment vertical="center"/>
    </xf>
    <xf numFmtId="3" fontId="3" fillId="2" borderId="0" xfId="3" applyNumberFormat="1" applyFont="1" applyFill="1" applyAlignment="1">
      <alignment vertical="center"/>
    </xf>
    <xf numFmtId="3" fontId="3" fillId="2" borderId="24" xfId="3" applyNumberFormat="1" applyFont="1" applyFill="1" applyBorder="1" applyAlignment="1">
      <alignment vertical="center"/>
    </xf>
    <xf numFmtId="3" fontId="4" fillId="2" borderId="0" xfId="3" applyNumberFormat="1" applyFont="1" applyFill="1" applyAlignment="1">
      <alignment horizontal="left" vertical="center"/>
    </xf>
    <xf numFmtId="3" fontId="3" fillId="2" borderId="1" xfId="3" applyNumberFormat="1" applyFont="1" applyFill="1" applyBorder="1" applyAlignment="1">
      <alignment vertical="center"/>
    </xf>
    <xf numFmtId="3" fontId="3" fillId="2" borderId="25" xfId="3" applyNumberFormat="1" applyFont="1" applyFill="1" applyBorder="1" applyAlignment="1">
      <alignment vertical="center"/>
    </xf>
    <xf numFmtId="37" fontId="3" fillId="2" borderId="22" xfId="1" applyNumberFormat="1" applyFont="1" applyFill="1" applyBorder="1" applyAlignment="1">
      <alignment horizontal="center" vertical="center"/>
    </xf>
    <xf numFmtId="37" fontId="3" fillId="2" borderId="9" xfId="1" applyNumberFormat="1" applyFont="1" applyFill="1" applyBorder="1" applyAlignment="1">
      <alignment horizontal="right" vertical="center"/>
    </xf>
    <xf numFmtId="37" fontId="3" fillId="2" borderId="67" xfId="1" applyNumberFormat="1" applyFont="1" applyFill="1" applyBorder="1" applyAlignment="1">
      <alignment horizontal="right" vertical="center"/>
    </xf>
    <xf numFmtId="37" fontId="3" fillId="2" borderId="10" xfId="1" applyNumberFormat="1" applyFont="1" applyFill="1" applyBorder="1" applyAlignment="1">
      <alignment horizontal="right" vertical="center"/>
    </xf>
    <xf numFmtId="37" fontId="3" fillId="2" borderId="21" xfId="1" applyNumberFormat="1" applyFont="1" applyFill="1" applyBorder="1" applyAlignment="1">
      <alignment horizontal="right" vertical="center"/>
    </xf>
    <xf numFmtId="37" fontId="3" fillId="2" borderId="20" xfId="1" applyNumberFormat="1" applyFont="1" applyFill="1" applyBorder="1" applyAlignment="1">
      <alignment horizontal="right" vertical="center"/>
    </xf>
    <xf numFmtId="37" fontId="3" fillId="2" borderId="11" xfId="1" applyNumberFormat="1" applyFont="1" applyFill="1" applyBorder="1" applyAlignment="1">
      <alignment horizontal="right" vertical="center"/>
    </xf>
    <xf numFmtId="3" fontId="5" fillId="2" borderId="15" xfId="3" applyNumberFormat="1" applyFont="1" applyFill="1" applyBorder="1" applyAlignment="1">
      <alignment vertical="center"/>
    </xf>
    <xf numFmtId="3" fontId="5" fillId="2" borderId="13" xfId="3" applyNumberFormat="1" applyFont="1" applyFill="1" applyBorder="1" applyAlignment="1">
      <alignment vertical="center"/>
    </xf>
    <xf numFmtId="3" fontId="5" fillId="2" borderId="2" xfId="3" applyNumberFormat="1" applyFont="1" applyFill="1" applyBorder="1" applyAlignment="1">
      <alignment vertical="center"/>
    </xf>
    <xf numFmtId="3" fontId="3" fillId="2" borderId="2" xfId="3" applyNumberFormat="1" applyFont="1" applyFill="1" applyBorder="1" applyAlignment="1">
      <alignment horizontal="right" vertical="center"/>
    </xf>
    <xf numFmtId="3" fontId="3" fillId="2" borderId="0" xfId="3" applyNumberFormat="1" applyFont="1" applyFill="1" applyAlignment="1">
      <alignment horizontal="center" vertical="center"/>
    </xf>
    <xf numFmtId="3" fontId="6" fillId="2" borderId="0" xfId="3" applyNumberFormat="1" applyFont="1" applyFill="1" applyAlignment="1">
      <alignment vertical="center"/>
    </xf>
    <xf numFmtId="3" fontId="5" fillId="2" borderId="28" xfId="3" applyNumberFormat="1" applyFont="1" applyFill="1" applyBorder="1" applyAlignment="1">
      <alignment vertical="center"/>
    </xf>
    <xf numFmtId="3" fontId="5" fillId="2" borderId="24" xfId="3" applyNumberFormat="1" applyFont="1" applyFill="1" applyBorder="1" applyAlignment="1">
      <alignment vertical="center"/>
    </xf>
    <xf numFmtId="3" fontId="3" fillId="2" borderId="14" xfId="3" applyNumberFormat="1" applyFont="1" applyFill="1" applyBorder="1" applyAlignment="1">
      <alignment vertical="center"/>
    </xf>
    <xf numFmtId="3" fontId="3" fillId="2" borderId="15" xfId="3" applyNumberFormat="1" applyFont="1" applyFill="1" applyBorder="1" applyAlignment="1">
      <alignment vertical="center"/>
    </xf>
    <xf numFmtId="3" fontId="3" fillId="2" borderId="28" xfId="3" applyNumberFormat="1" applyFont="1" applyFill="1" applyBorder="1" applyAlignment="1">
      <alignment vertical="center"/>
    </xf>
    <xf numFmtId="3" fontId="10" fillId="2" borderId="15" xfId="3" applyNumberFormat="1" applyFont="1" applyFill="1" applyBorder="1" applyAlignment="1">
      <alignment horizontal="center" vertical="center"/>
    </xf>
    <xf numFmtId="3" fontId="10" fillId="2" borderId="5" xfId="3" applyNumberFormat="1" applyFont="1" applyFill="1" applyBorder="1" applyAlignment="1">
      <alignment horizontal="center" vertical="center"/>
    </xf>
    <xf numFmtId="3" fontId="10" fillId="2" borderId="28" xfId="3" applyNumberFormat="1" applyFont="1" applyFill="1" applyBorder="1" applyAlignment="1">
      <alignment horizontal="center" vertical="center"/>
    </xf>
    <xf numFmtId="3" fontId="5" fillId="2" borderId="0" xfId="3" applyNumberFormat="1" applyFont="1" applyFill="1" applyAlignment="1">
      <alignment horizontal="center" vertical="center"/>
    </xf>
    <xf numFmtId="3" fontId="10" fillId="2" borderId="48" xfId="3" applyNumberFormat="1" applyFont="1" applyFill="1" applyBorder="1" applyAlignment="1">
      <alignment horizontal="center" vertical="center"/>
    </xf>
    <xf numFmtId="3" fontId="10" fillId="2" borderId="54" xfId="3" applyNumberFormat="1" applyFont="1" applyFill="1" applyBorder="1" applyAlignment="1">
      <alignment horizontal="center" vertical="center"/>
    </xf>
    <xf numFmtId="3" fontId="2" fillId="2" borderId="33" xfId="3" applyNumberFormat="1" applyFont="1" applyFill="1" applyBorder="1" applyAlignment="1">
      <alignment horizontal="center" vertical="center"/>
    </xf>
    <xf numFmtId="3" fontId="2" fillId="2" borderId="6" xfId="3" applyNumberFormat="1" applyFont="1" applyFill="1" applyBorder="1" applyAlignment="1">
      <alignment horizontal="center" vertical="center"/>
    </xf>
    <xf numFmtId="3" fontId="2" fillId="2" borderId="16" xfId="3" applyNumberFormat="1" applyFont="1" applyFill="1" applyBorder="1" applyAlignment="1">
      <alignment horizontal="center" vertical="center"/>
    </xf>
    <xf numFmtId="3" fontId="2" fillId="2" borderId="36" xfId="3" applyNumberFormat="1" applyFont="1" applyFill="1" applyBorder="1" applyAlignment="1">
      <alignment horizontal="center" vertical="center"/>
    </xf>
    <xf numFmtId="3" fontId="2" fillId="2" borderId="30" xfId="3" applyNumberFormat="1" applyFont="1" applyFill="1" applyBorder="1" applyAlignment="1">
      <alignment horizontal="center" vertical="center"/>
    </xf>
    <xf numFmtId="3" fontId="2" fillId="2" borderId="37" xfId="3" applyNumberFormat="1" applyFont="1" applyFill="1" applyBorder="1" applyAlignment="1">
      <alignment horizontal="center" vertical="center"/>
    </xf>
    <xf numFmtId="3" fontId="10" fillId="2" borderId="49" xfId="3" applyNumberFormat="1" applyFont="1" applyFill="1" applyBorder="1" applyAlignment="1">
      <alignment horizontal="center" vertical="center"/>
    </xf>
    <xf numFmtId="3" fontId="10" fillId="2" borderId="50" xfId="3" applyNumberFormat="1" applyFont="1" applyFill="1" applyBorder="1" applyAlignment="1">
      <alignment horizontal="center" vertical="center"/>
    </xf>
    <xf numFmtId="3" fontId="10" fillId="2" borderId="51" xfId="3" applyNumberFormat="1" applyFont="1" applyFill="1" applyBorder="1" applyAlignment="1">
      <alignment horizontal="center" vertical="center"/>
    </xf>
    <xf numFmtId="3" fontId="10" fillId="2" borderId="55" xfId="3" applyNumberFormat="1" applyFont="1" applyFill="1" applyBorder="1" applyAlignment="1">
      <alignment horizontal="center" vertical="center"/>
    </xf>
    <xf numFmtId="3" fontId="10" fillId="2" borderId="56" xfId="3" applyNumberFormat="1" applyFont="1" applyFill="1" applyBorder="1" applyAlignment="1">
      <alignment horizontal="center" vertical="center"/>
    </xf>
    <xf numFmtId="3" fontId="10" fillId="2" borderId="57" xfId="3" applyNumberFormat="1" applyFont="1" applyFill="1" applyBorder="1" applyAlignment="1">
      <alignment horizontal="center" vertical="center"/>
    </xf>
    <xf numFmtId="3" fontId="5" fillId="2" borderId="38" xfId="3" applyNumberFormat="1" applyFont="1" applyFill="1" applyBorder="1" applyAlignment="1">
      <alignment horizontal="center" vertical="center"/>
    </xf>
    <xf numFmtId="3" fontId="5" fillId="2" borderId="39" xfId="3" applyNumberFormat="1" applyFont="1" applyFill="1" applyBorder="1" applyAlignment="1">
      <alignment horizontal="center" vertical="center"/>
    </xf>
    <xf numFmtId="3" fontId="5" fillId="2" borderId="40" xfId="3" applyNumberFormat="1" applyFont="1" applyFill="1" applyBorder="1" applyAlignment="1">
      <alignment horizontal="center" vertical="center"/>
    </xf>
    <xf numFmtId="3" fontId="5" fillId="2" borderId="41" xfId="3" applyNumberFormat="1" applyFont="1" applyFill="1" applyBorder="1" applyAlignment="1">
      <alignment horizontal="center" vertical="center"/>
    </xf>
    <xf numFmtId="3" fontId="5" fillId="2" borderId="17" xfId="3" applyNumberFormat="1" applyFont="1" applyFill="1" applyBorder="1" applyAlignment="1">
      <alignment horizontal="center" vertical="center"/>
    </xf>
    <xf numFmtId="3" fontId="5" fillId="2" borderId="18" xfId="3" applyNumberFormat="1" applyFont="1" applyFill="1" applyBorder="1" applyAlignment="1">
      <alignment horizontal="center" vertical="center"/>
    </xf>
    <xf numFmtId="3" fontId="5" fillId="2" borderId="24" xfId="3" applyNumberFormat="1" applyFont="1" applyFill="1" applyBorder="1" applyAlignment="1">
      <alignment horizontal="center" vertical="center"/>
    </xf>
    <xf numFmtId="3" fontId="5" fillId="2" borderId="26" xfId="3" applyNumberFormat="1" applyFont="1" applyFill="1" applyBorder="1" applyAlignment="1">
      <alignment horizontal="center" vertical="center"/>
    </xf>
    <xf numFmtId="3" fontId="5" fillId="2" borderId="59" xfId="3" applyNumberFormat="1" applyFont="1" applyFill="1" applyBorder="1" applyAlignment="1">
      <alignment horizontal="center" vertical="center"/>
    </xf>
    <xf numFmtId="3" fontId="5" fillId="2" borderId="28" xfId="3" applyNumberFormat="1" applyFont="1" applyFill="1" applyBorder="1" applyAlignment="1">
      <alignment horizontal="center" vertical="center"/>
    </xf>
    <xf numFmtId="3" fontId="5" fillId="2" borderId="14" xfId="3" applyNumberFormat="1" applyFont="1" applyFill="1" applyBorder="1" applyAlignment="1">
      <alignment horizontal="center" vertical="center"/>
    </xf>
    <xf numFmtId="3" fontId="5" fillId="2" borderId="61" xfId="3" applyNumberFormat="1" applyFont="1" applyFill="1" applyBorder="1" applyAlignment="1">
      <alignment horizontal="center" vertical="center"/>
    </xf>
  </cellXfs>
  <cellStyles count="12">
    <cellStyle name="1" xfId="11" xr:uid="{00000000-0005-0000-0000-000000000000}"/>
    <cellStyle name="Comma" xfId="1" builtinId="3"/>
    <cellStyle name="Comma 3" xfId="7" xr:uid="{00000000-0005-0000-0000-000002000000}"/>
    <cellStyle name="Normal" xfId="0" builtinId="0"/>
    <cellStyle name="Normal 14" xfId="4" xr:uid="{00000000-0005-0000-0000-000004000000}"/>
    <cellStyle name="Normal 15" xfId="6" xr:uid="{00000000-0005-0000-0000-000005000000}"/>
    <cellStyle name="Normal 17" xfId="9" xr:uid="{00000000-0005-0000-0000-000006000000}"/>
    <cellStyle name="Normal 2" xfId="2" xr:uid="{00000000-0005-0000-0000-000007000000}"/>
    <cellStyle name="Normal 3" xfId="5" xr:uid="{00000000-0005-0000-0000-000008000000}"/>
    <cellStyle name="Normal 9" xfId="8" xr:uid="{00000000-0005-0000-0000-000009000000}"/>
    <cellStyle name="Normal_II-15(Population) 2" xfId="10" xr:uid="{00000000-0005-0000-0000-00000C000000}"/>
    <cellStyle name="Normal_immunization" xfId="3" xr:uid="{00000000-0005-0000-0000-00000D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2:DI1770"/>
  <sheetViews>
    <sheetView tabSelected="1" zoomScaleNormal="100" workbookViewId="0">
      <selection activeCell="Q14" sqref="Q14"/>
    </sheetView>
  </sheetViews>
  <sheetFormatPr defaultColWidth="9.140625" defaultRowHeight="12.75" x14ac:dyDescent="0.25"/>
  <cols>
    <col min="1" max="1" width="29.140625" style="5" customWidth="1"/>
    <col min="2" max="2" width="9.28515625" style="5" customWidth="1"/>
    <col min="3" max="3" width="9.5703125" style="5" customWidth="1"/>
    <col min="4" max="4" width="15.28515625" style="5" customWidth="1"/>
    <col min="5" max="5" width="16.7109375" style="5" customWidth="1"/>
    <col min="6" max="12" width="9.140625" style="5" bestFit="1" customWidth="1"/>
    <col min="13" max="13" width="1.7109375" style="91" customWidth="1"/>
    <col min="14" max="112" width="9.140625" style="88"/>
    <col min="113" max="113" width="9.140625" style="92"/>
    <col min="114" max="16384" width="9.140625" style="5"/>
  </cols>
  <sheetData>
    <row r="2" spans="1:113" s="6" customFormat="1" ht="15.75" x14ac:dyDescent="0.25">
      <c r="A2" s="111" t="s">
        <v>243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3"/>
      <c r="M2" s="100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106"/>
    </row>
    <row r="3" spans="1:113" s="7" customFormat="1" x14ac:dyDescent="0.25">
      <c r="A3" s="114" t="s">
        <v>242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13" s="9" customForma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10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107"/>
    </row>
    <row r="5" spans="1:113" s="15" customFormat="1" ht="15.75" x14ac:dyDescent="0.25">
      <c r="A5" s="10"/>
      <c r="B5" s="11"/>
      <c r="C5" s="12"/>
      <c r="D5" s="13" t="s">
        <v>103</v>
      </c>
      <c r="E5" s="115" t="s">
        <v>104</v>
      </c>
      <c r="F5" s="117" t="s">
        <v>6</v>
      </c>
      <c r="G5" s="118"/>
      <c r="H5" s="119"/>
      <c r="I5" s="123" t="s">
        <v>7</v>
      </c>
      <c r="J5" s="124"/>
      <c r="K5" s="124"/>
      <c r="L5" s="125"/>
      <c r="M5" s="102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14"/>
    </row>
    <row r="6" spans="1:113" s="15" customFormat="1" ht="31.5" x14ac:dyDescent="0.25">
      <c r="A6" s="16"/>
      <c r="B6" s="17" t="s">
        <v>12</v>
      </c>
      <c r="C6" s="18" t="s">
        <v>8</v>
      </c>
      <c r="D6" s="19" t="s">
        <v>9</v>
      </c>
      <c r="E6" s="116"/>
      <c r="F6" s="120"/>
      <c r="G6" s="121"/>
      <c r="H6" s="122"/>
      <c r="I6" s="126" t="s">
        <v>10</v>
      </c>
      <c r="J6" s="127"/>
      <c r="K6" s="127"/>
      <c r="L6" s="128"/>
      <c r="M6" s="102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14"/>
    </row>
    <row r="7" spans="1:113" s="15" customFormat="1" x14ac:dyDescent="0.25">
      <c r="A7" s="20" t="s">
        <v>11</v>
      </c>
      <c r="B7" s="21"/>
      <c r="C7" s="22"/>
      <c r="D7" s="23" t="s">
        <v>105</v>
      </c>
      <c r="E7" s="24"/>
      <c r="F7" s="129" t="s">
        <v>14</v>
      </c>
      <c r="G7" s="130"/>
      <c r="H7" s="131"/>
      <c r="I7" s="135" t="s">
        <v>15</v>
      </c>
      <c r="J7" s="136"/>
      <c r="K7" s="136"/>
      <c r="L7" s="137"/>
      <c r="M7" s="102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14"/>
    </row>
    <row r="8" spans="1:113" s="15" customFormat="1" x14ac:dyDescent="0.25">
      <c r="A8" s="20"/>
      <c r="B8" s="21" t="s">
        <v>5</v>
      </c>
      <c r="C8" s="22" t="s">
        <v>16</v>
      </c>
      <c r="D8" s="23" t="s">
        <v>106</v>
      </c>
      <c r="E8" s="25" t="s">
        <v>13</v>
      </c>
      <c r="F8" s="132"/>
      <c r="G8" s="133"/>
      <c r="H8" s="134"/>
      <c r="I8" s="138" t="s">
        <v>107</v>
      </c>
      <c r="J8" s="139"/>
      <c r="K8" s="139"/>
      <c r="L8" s="140"/>
      <c r="M8" s="102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14"/>
    </row>
    <row r="9" spans="1:113" s="15" customFormat="1" x14ac:dyDescent="0.25">
      <c r="A9" s="26"/>
      <c r="B9" s="27"/>
      <c r="C9" s="28"/>
      <c r="D9" s="29" t="s">
        <v>17</v>
      </c>
      <c r="E9" s="30" t="s">
        <v>18</v>
      </c>
      <c r="F9" s="31" t="s">
        <v>18</v>
      </c>
      <c r="G9" s="1" t="s">
        <v>19</v>
      </c>
      <c r="H9" s="2" t="s">
        <v>20</v>
      </c>
      <c r="I9" s="32" t="s">
        <v>18</v>
      </c>
      <c r="J9" s="33" t="s">
        <v>19</v>
      </c>
      <c r="K9" s="34" t="s">
        <v>20</v>
      </c>
      <c r="L9" s="35" t="s">
        <v>108</v>
      </c>
      <c r="M9" s="103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14"/>
    </row>
    <row r="10" spans="1:113" s="43" customFormat="1" x14ac:dyDescent="0.25">
      <c r="A10" s="36" t="s">
        <v>0</v>
      </c>
      <c r="B10" s="37">
        <f>B12+B19</f>
        <v>6906</v>
      </c>
      <c r="C10" s="38">
        <f t="shared" ref="C10:L10" si="0">C12+C19</f>
        <v>7101</v>
      </c>
      <c r="D10" s="4">
        <f>D12+D19</f>
        <v>7209</v>
      </c>
      <c r="E10" s="39">
        <f t="shared" si="0"/>
        <v>7209</v>
      </c>
      <c r="F10" s="39">
        <f t="shared" si="0"/>
        <v>7230</v>
      </c>
      <c r="G10" s="4">
        <f t="shared" si="0"/>
        <v>7243</v>
      </c>
      <c r="H10" s="40">
        <f t="shared" si="0"/>
        <v>7243</v>
      </c>
      <c r="I10" s="4">
        <f t="shared" si="0"/>
        <v>1074</v>
      </c>
      <c r="J10" s="4">
        <f t="shared" si="0"/>
        <v>7232</v>
      </c>
      <c r="K10" s="4">
        <f t="shared" si="0"/>
        <v>7251</v>
      </c>
      <c r="L10" s="41">
        <f t="shared" si="0"/>
        <v>7246</v>
      </c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8"/>
      <c r="CF10" s="88"/>
      <c r="CG10" s="88"/>
      <c r="CH10" s="88"/>
      <c r="CI10" s="88"/>
      <c r="CJ10" s="88"/>
      <c r="CK10" s="88"/>
      <c r="CL10" s="88"/>
      <c r="CM10" s="88"/>
      <c r="CN10" s="88"/>
      <c r="CO10" s="88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8"/>
      <c r="DA10" s="88"/>
      <c r="DB10" s="88"/>
      <c r="DC10" s="88"/>
      <c r="DD10" s="88"/>
      <c r="DE10" s="88"/>
      <c r="DF10" s="88"/>
      <c r="DG10" s="88"/>
      <c r="DH10" s="88"/>
      <c r="DI10" s="42"/>
    </row>
    <row r="11" spans="1:113" s="8" customFormat="1" x14ac:dyDescent="0.25">
      <c r="A11" s="44"/>
      <c r="B11" s="45"/>
      <c r="C11" s="46"/>
      <c r="D11" s="47"/>
      <c r="E11" s="48"/>
      <c r="F11" s="48"/>
      <c r="G11" s="47"/>
      <c r="H11" s="49"/>
      <c r="I11" s="47"/>
      <c r="J11" s="47"/>
      <c r="K11" s="47"/>
      <c r="L11" s="50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51"/>
    </row>
    <row r="12" spans="1:113" s="43" customFormat="1" x14ac:dyDescent="0.25">
      <c r="A12" s="36" t="s">
        <v>1</v>
      </c>
      <c r="B12" s="37">
        <f>SUM(B13:B17)</f>
        <v>2476</v>
      </c>
      <c r="C12" s="38">
        <f t="shared" ref="C12:L12" si="1">SUM(C13:C17)</f>
        <v>2589</v>
      </c>
      <c r="D12" s="4">
        <f>SUM(D13:D17)</f>
        <v>4548</v>
      </c>
      <c r="E12" s="39">
        <f>SUM(E13:E17)</f>
        <v>4548</v>
      </c>
      <c r="F12" s="39">
        <f t="shared" si="1"/>
        <v>2614</v>
      </c>
      <c r="G12" s="4">
        <f t="shared" si="1"/>
        <v>2633</v>
      </c>
      <c r="H12" s="40">
        <f t="shared" si="1"/>
        <v>2627</v>
      </c>
      <c r="I12" s="4">
        <f>SUM(I13:I17)</f>
        <v>501</v>
      </c>
      <c r="J12" s="4">
        <f t="shared" si="1"/>
        <v>2616</v>
      </c>
      <c r="K12" s="4">
        <f>SUM(K13:K17)</f>
        <v>2633</v>
      </c>
      <c r="L12" s="41">
        <f t="shared" si="1"/>
        <v>2627</v>
      </c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8"/>
      <c r="DA12" s="88"/>
      <c r="DB12" s="88"/>
      <c r="DC12" s="88"/>
      <c r="DD12" s="88"/>
      <c r="DE12" s="88"/>
      <c r="DF12" s="88"/>
      <c r="DG12" s="88"/>
      <c r="DH12" s="88"/>
      <c r="DI12" s="42"/>
    </row>
    <row r="13" spans="1:113" s="43" customFormat="1" x14ac:dyDescent="0.25">
      <c r="A13" s="52" t="s">
        <v>2</v>
      </c>
      <c r="B13" s="54"/>
      <c r="C13" s="55"/>
      <c r="D13" s="3">
        <v>2610</v>
      </c>
      <c r="E13" s="56">
        <v>2610</v>
      </c>
      <c r="F13" s="56"/>
      <c r="G13" s="3"/>
      <c r="H13" s="57"/>
      <c r="I13" s="3">
        <v>0</v>
      </c>
      <c r="J13" s="3">
        <v>0</v>
      </c>
      <c r="K13" s="3">
        <v>0</v>
      </c>
      <c r="L13" s="58">
        <v>0</v>
      </c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88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42"/>
    </row>
    <row r="14" spans="1:113" s="43" customFormat="1" x14ac:dyDescent="0.25">
      <c r="A14" s="52" t="s">
        <v>3</v>
      </c>
      <c r="B14" s="54">
        <v>462</v>
      </c>
      <c r="C14" s="55">
        <v>344</v>
      </c>
      <c r="D14" s="3">
        <v>1746</v>
      </c>
      <c r="E14" s="56">
        <v>1746</v>
      </c>
      <c r="F14" s="56">
        <v>514</v>
      </c>
      <c r="G14" s="3">
        <v>474</v>
      </c>
      <c r="H14" s="57">
        <v>457</v>
      </c>
      <c r="I14" s="3">
        <v>216</v>
      </c>
      <c r="J14" s="3">
        <v>516</v>
      </c>
      <c r="K14" s="3">
        <v>474</v>
      </c>
      <c r="L14" s="58">
        <v>457</v>
      </c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88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88"/>
      <c r="DB14" s="88"/>
      <c r="DC14" s="88"/>
      <c r="DD14" s="88"/>
      <c r="DE14" s="88"/>
      <c r="DF14" s="88"/>
      <c r="DG14" s="88"/>
      <c r="DH14" s="88"/>
      <c r="DI14" s="42"/>
    </row>
    <row r="15" spans="1:113" s="43" customFormat="1" x14ac:dyDescent="0.25">
      <c r="A15" s="52" t="s">
        <v>109</v>
      </c>
      <c r="B15" s="54">
        <v>1634</v>
      </c>
      <c r="C15" s="55">
        <v>1846</v>
      </c>
      <c r="D15" s="3">
        <v>50</v>
      </c>
      <c r="E15" s="56">
        <v>50</v>
      </c>
      <c r="F15" s="56">
        <v>1714</v>
      </c>
      <c r="G15" s="3">
        <v>1768</v>
      </c>
      <c r="H15" s="57">
        <v>1760</v>
      </c>
      <c r="I15" s="3">
        <v>260</v>
      </c>
      <c r="J15" s="3">
        <v>1714</v>
      </c>
      <c r="K15" s="3">
        <v>1768</v>
      </c>
      <c r="L15" s="58">
        <v>1760</v>
      </c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42"/>
    </row>
    <row r="16" spans="1:113" s="43" customFormat="1" x14ac:dyDescent="0.25">
      <c r="A16" s="52" t="s">
        <v>110</v>
      </c>
      <c r="B16" s="54">
        <v>236</v>
      </c>
      <c r="C16" s="55">
        <v>258</v>
      </c>
      <c r="D16" s="3">
        <v>139</v>
      </c>
      <c r="E16" s="56">
        <v>139</v>
      </c>
      <c r="F16" s="56">
        <v>251</v>
      </c>
      <c r="G16" s="3">
        <v>248</v>
      </c>
      <c r="H16" s="57">
        <v>261</v>
      </c>
      <c r="I16" s="3">
        <v>13</v>
      </c>
      <c r="J16" s="3">
        <v>251</v>
      </c>
      <c r="K16" s="3">
        <v>248</v>
      </c>
      <c r="L16" s="58">
        <v>261</v>
      </c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88"/>
      <c r="DE16" s="88"/>
      <c r="DF16" s="88"/>
      <c r="DG16" s="88"/>
      <c r="DH16" s="88"/>
      <c r="DI16" s="42"/>
    </row>
    <row r="17" spans="1:113" s="43" customFormat="1" x14ac:dyDescent="0.25">
      <c r="A17" s="52" t="s">
        <v>111</v>
      </c>
      <c r="B17" s="54">
        <v>144</v>
      </c>
      <c r="C17" s="55">
        <v>141</v>
      </c>
      <c r="D17" s="3">
        <v>3</v>
      </c>
      <c r="E17" s="56">
        <v>3</v>
      </c>
      <c r="F17" s="56">
        <v>135</v>
      </c>
      <c r="G17" s="3">
        <v>143</v>
      </c>
      <c r="H17" s="57">
        <v>149</v>
      </c>
      <c r="I17" s="3">
        <v>12</v>
      </c>
      <c r="J17" s="3">
        <v>135</v>
      </c>
      <c r="K17" s="3">
        <v>143</v>
      </c>
      <c r="L17" s="58">
        <v>149</v>
      </c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88"/>
      <c r="DB17" s="88"/>
      <c r="DC17" s="88"/>
      <c r="DD17" s="88"/>
      <c r="DE17" s="88"/>
      <c r="DF17" s="88"/>
      <c r="DG17" s="88"/>
      <c r="DH17" s="88"/>
      <c r="DI17" s="42"/>
    </row>
    <row r="18" spans="1:113" s="43" customFormat="1" x14ac:dyDescent="0.25">
      <c r="A18" s="53"/>
      <c r="B18" s="54"/>
      <c r="C18" s="55"/>
      <c r="D18" s="3"/>
      <c r="E18" s="56"/>
      <c r="F18" s="56"/>
      <c r="G18" s="3"/>
      <c r="H18" s="57"/>
      <c r="I18" s="3"/>
      <c r="J18" s="3"/>
      <c r="K18" s="3"/>
      <c r="L18" s="5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8"/>
      <c r="CO18" s="88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8"/>
      <c r="DA18" s="88"/>
      <c r="DB18" s="88"/>
      <c r="DC18" s="88"/>
      <c r="DD18" s="88"/>
      <c r="DE18" s="88"/>
      <c r="DF18" s="88"/>
      <c r="DG18" s="88"/>
      <c r="DH18" s="88"/>
      <c r="DI18" s="42"/>
    </row>
    <row r="19" spans="1:113" s="43" customFormat="1" x14ac:dyDescent="0.25">
      <c r="A19" s="36" t="s">
        <v>4</v>
      </c>
      <c r="B19" s="37">
        <f>B21+B37+B52+B68+B83+B100+B115+B121+B132+B142+B154+B161+B171+B178+B186+B201+B214+B225+B236+B239</f>
        <v>4430</v>
      </c>
      <c r="C19" s="38">
        <f>C21+C37+C52+C68+C83+C100+C115+C121+C132+C142+C154+C161+C171+C178+C186+C201+C214+C225+C236+C239</f>
        <v>4512</v>
      </c>
      <c r="D19" s="4">
        <f>D21+D37+D52+D68+D83+D100+D115+D121+D132+D142+D154+D161+D171+D178+D186+D201+D214+D225+D236+D239</f>
        <v>2661</v>
      </c>
      <c r="E19" s="39">
        <f t="shared" ref="E19:K19" si="2">E21+E37+E52+E68+E83+E100+E115+E121+E132+E142+E154+E161+E171+E178+E186+E201+E214+E225+E236+E239</f>
        <v>2661</v>
      </c>
      <c r="F19" s="39">
        <f t="shared" si="2"/>
        <v>4616</v>
      </c>
      <c r="G19" s="4">
        <f t="shared" si="2"/>
        <v>4610</v>
      </c>
      <c r="H19" s="40">
        <f t="shared" si="2"/>
        <v>4616</v>
      </c>
      <c r="I19" s="4">
        <f>I21+I37+I52+I68+I83+I100+I115+I121+I132+I142+I154+I161+I171+I178+I186+I201+I214+I225+I236+I239</f>
        <v>573</v>
      </c>
      <c r="J19" s="4">
        <f t="shared" si="2"/>
        <v>4616</v>
      </c>
      <c r="K19" s="4">
        <f t="shared" si="2"/>
        <v>4618</v>
      </c>
      <c r="L19" s="41">
        <f>L21+L37+L52+L68+L83+L100+L115+L121+L132+L142+L154+L161+L171+L178+L186+L201+L214+L225+L236+L239</f>
        <v>4619</v>
      </c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8"/>
      <c r="DA19" s="88"/>
      <c r="DB19" s="88"/>
      <c r="DC19" s="88"/>
      <c r="DD19" s="88"/>
      <c r="DE19" s="88"/>
      <c r="DF19" s="88"/>
      <c r="DG19" s="88"/>
      <c r="DH19" s="88"/>
      <c r="DI19" s="42"/>
    </row>
    <row r="20" spans="1:113" s="43" customFormat="1" x14ac:dyDescent="0.25">
      <c r="A20" s="44"/>
      <c r="B20" s="45"/>
      <c r="C20" s="46"/>
      <c r="D20" s="47"/>
      <c r="E20" s="48"/>
      <c r="F20" s="48"/>
      <c r="G20" s="47"/>
      <c r="H20" s="49"/>
      <c r="I20" s="47"/>
      <c r="J20" s="47"/>
      <c r="K20" s="47"/>
      <c r="L20" s="50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  <c r="CG20" s="88"/>
      <c r="CH20" s="88"/>
      <c r="CI20" s="88"/>
      <c r="CJ20" s="88"/>
      <c r="CK20" s="88"/>
      <c r="CL20" s="88"/>
      <c r="CM20" s="88"/>
      <c r="CN20" s="88"/>
      <c r="CO20" s="88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8"/>
      <c r="DA20" s="88"/>
      <c r="DB20" s="88"/>
      <c r="DC20" s="88"/>
      <c r="DD20" s="88"/>
      <c r="DE20" s="88"/>
      <c r="DF20" s="88"/>
      <c r="DG20" s="88"/>
      <c r="DH20" s="88"/>
      <c r="DI20" s="42"/>
    </row>
    <row r="21" spans="1:113" s="43" customFormat="1" x14ac:dyDescent="0.25">
      <c r="A21" s="36" t="s">
        <v>22</v>
      </c>
      <c r="B21" s="37">
        <f>SUM(B22:B35)</f>
        <v>332</v>
      </c>
      <c r="C21" s="38">
        <f t="shared" ref="C21:L21" si="3">SUM(C22:C35)</f>
        <v>330</v>
      </c>
      <c r="D21" s="4">
        <f>SUM(D22:D35)</f>
        <v>151</v>
      </c>
      <c r="E21" s="39">
        <f t="shared" si="3"/>
        <v>151</v>
      </c>
      <c r="F21" s="39">
        <f t="shared" si="3"/>
        <v>335</v>
      </c>
      <c r="G21" s="4">
        <f t="shared" si="3"/>
        <v>333</v>
      </c>
      <c r="H21" s="40">
        <f t="shared" si="3"/>
        <v>335</v>
      </c>
      <c r="I21" s="4">
        <f t="shared" si="3"/>
        <v>36</v>
      </c>
      <c r="J21" s="4">
        <f t="shared" si="3"/>
        <v>335</v>
      </c>
      <c r="K21" s="4">
        <f t="shared" si="3"/>
        <v>334</v>
      </c>
      <c r="L21" s="41">
        <f t="shared" si="3"/>
        <v>335</v>
      </c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I21" s="88"/>
      <c r="CJ21" s="88"/>
      <c r="CK21" s="88"/>
      <c r="CL21" s="88"/>
      <c r="CM21" s="88"/>
      <c r="CN21" s="88"/>
      <c r="CO21" s="88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8"/>
      <c r="DA21" s="88"/>
      <c r="DB21" s="88"/>
      <c r="DC21" s="88"/>
      <c r="DD21" s="88"/>
      <c r="DE21" s="88"/>
      <c r="DF21" s="88"/>
      <c r="DG21" s="88"/>
      <c r="DH21" s="88"/>
      <c r="DI21" s="42"/>
    </row>
    <row r="22" spans="1:113" s="8" customFormat="1" x14ac:dyDescent="0.25">
      <c r="A22" s="52" t="s">
        <v>23</v>
      </c>
      <c r="B22" s="54">
        <v>2</v>
      </c>
      <c r="C22" s="55">
        <v>5</v>
      </c>
      <c r="D22" s="3">
        <v>0</v>
      </c>
      <c r="E22" s="56">
        <v>0</v>
      </c>
      <c r="F22" s="56">
        <v>8</v>
      </c>
      <c r="G22" s="3">
        <v>9</v>
      </c>
      <c r="H22" s="57">
        <v>8</v>
      </c>
      <c r="I22" s="3">
        <v>1</v>
      </c>
      <c r="J22" s="3">
        <v>10</v>
      </c>
      <c r="K22" s="3">
        <v>8</v>
      </c>
      <c r="L22" s="58">
        <v>9</v>
      </c>
      <c r="M22" s="6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51"/>
    </row>
    <row r="23" spans="1:113" s="8" customFormat="1" x14ac:dyDescent="0.25">
      <c r="A23" s="52" t="s">
        <v>24</v>
      </c>
      <c r="B23" s="54">
        <v>7</v>
      </c>
      <c r="C23" s="55">
        <v>11</v>
      </c>
      <c r="D23" s="3">
        <v>6</v>
      </c>
      <c r="E23" s="56">
        <v>6</v>
      </c>
      <c r="F23" s="56">
        <v>4</v>
      </c>
      <c r="G23" s="3">
        <v>10</v>
      </c>
      <c r="H23" s="57">
        <v>10</v>
      </c>
      <c r="I23" s="3">
        <v>0</v>
      </c>
      <c r="J23" s="3">
        <v>6</v>
      </c>
      <c r="K23" s="3">
        <v>11</v>
      </c>
      <c r="L23" s="58">
        <v>9</v>
      </c>
      <c r="M23" s="6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51"/>
    </row>
    <row r="24" spans="1:113" s="43" customFormat="1" x14ac:dyDescent="0.25">
      <c r="A24" s="52" t="s">
        <v>25</v>
      </c>
      <c r="B24" s="54">
        <v>2</v>
      </c>
      <c r="C24" s="55">
        <v>6</v>
      </c>
      <c r="D24" s="3">
        <v>0</v>
      </c>
      <c r="E24" s="56">
        <v>0</v>
      </c>
      <c r="F24" s="56">
        <v>1</v>
      </c>
      <c r="G24" s="3">
        <v>4</v>
      </c>
      <c r="H24" s="57">
        <v>3</v>
      </c>
      <c r="I24" s="3">
        <v>0</v>
      </c>
      <c r="J24" s="3">
        <v>4</v>
      </c>
      <c r="K24" s="3">
        <v>0</v>
      </c>
      <c r="L24" s="58">
        <v>3</v>
      </c>
      <c r="M24" s="69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8"/>
      <c r="DA24" s="88"/>
      <c r="DB24" s="88"/>
      <c r="DC24" s="88"/>
      <c r="DD24" s="88"/>
      <c r="DE24" s="88"/>
      <c r="DF24" s="88"/>
      <c r="DG24" s="88"/>
      <c r="DH24" s="88"/>
      <c r="DI24" s="42"/>
    </row>
    <row r="25" spans="1:113" s="43" customFormat="1" x14ac:dyDescent="0.25">
      <c r="A25" s="52" t="s">
        <v>26</v>
      </c>
      <c r="B25" s="54">
        <v>37</v>
      </c>
      <c r="C25" s="55">
        <v>36</v>
      </c>
      <c r="D25" s="3">
        <v>1</v>
      </c>
      <c r="E25" s="56">
        <v>1</v>
      </c>
      <c r="F25" s="56">
        <v>35</v>
      </c>
      <c r="G25" s="3">
        <v>32</v>
      </c>
      <c r="H25" s="57">
        <v>31</v>
      </c>
      <c r="I25" s="3">
        <v>0</v>
      </c>
      <c r="J25" s="3">
        <v>31</v>
      </c>
      <c r="K25" s="3">
        <v>32</v>
      </c>
      <c r="L25" s="58">
        <v>32</v>
      </c>
      <c r="M25" s="69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42"/>
    </row>
    <row r="26" spans="1:113" s="43" customFormat="1" x14ac:dyDescent="0.25">
      <c r="A26" s="52" t="s">
        <v>27</v>
      </c>
      <c r="B26" s="54">
        <v>73</v>
      </c>
      <c r="C26" s="55">
        <v>63</v>
      </c>
      <c r="D26" s="3">
        <v>26</v>
      </c>
      <c r="E26" s="56">
        <v>25</v>
      </c>
      <c r="F26" s="56">
        <v>68</v>
      </c>
      <c r="G26" s="3">
        <v>61</v>
      </c>
      <c r="H26" s="57">
        <v>60</v>
      </c>
      <c r="I26" s="3">
        <v>10</v>
      </c>
      <c r="J26" s="3">
        <v>65</v>
      </c>
      <c r="K26" s="3">
        <v>60</v>
      </c>
      <c r="L26" s="58">
        <v>60</v>
      </c>
      <c r="M26" s="69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8"/>
      <c r="CF26" s="88"/>
      <c r="CG26" s="88"/>
      <c r="CH26" s="88"/>
      <c r="CI26" s="88"/>
      <c r="CJ26" s="88"/>
      <c r="CK26" s="88"/>
      <c r="CL26" s="88"/>
      <c r="CM26" s="88"/>
      <c r="CN26" s="88"/>
      <c r="CO26" s="88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8"/>
      <c r="DA26" s="88"/>
      <c r="DB26" s="88"/>
      <c r="DC26" s="88"/>
      <c r="DD26" s="88"/>
      <c r="DE26" s="88"/>
      <c r="DF26" s="88"/>
      <c r="DG26" s="88"/>
      <c r="DH26" s="88"/>
      <c r="DI26" s="42"/>
    </row>
    <row r="27" spans="1:113" s="43" customFormat="1" x14ac:dyDescent="0.25">
      <c r="A27" s="52" t="s">
        <v>28</v>
      </c>
      <c r="B27" s="54">
        <v>18</v>
      </c>
      <c r="C27" s="55">
        <v>17</v>
      </c>
      <c r="D27" s="3">
        <v>2</v>
      </c>
      <c r="E27" s="56">
        <v>3</v>
      </c>
      <c r="F27" s="56">
        <v>18</v>
      </c>
      <c r="G27" s="3">
        <v>24</v>
      </c>
      <c r="H27" s="57">
        <v>24</v>
      </c>
      <c r="I27" s="3">
        <v>0</v>
      </c>
      <c r="J27" s="3">
        <v>21</v>
      </c>
      <c r="K27" s="3">
        <v>25</v>
      </c>
      <c r="L27" s="58">
        <v>24</v>
      </c>
      <c r="M27" s="69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8"/>
      <c r="CF27" s="88"/>
      <c r="CG27" s="88"/>
      <c r="CH27" s="88"/>
      <c r="CI27" s="88"/>
      <c r="CJ27" s="88"/>
      <c r="CK27" s="88"/>
      <c r="CL27" s="88"/>
      <c r="CM27" s="88"/>
      <c r="CN27" s="88"/>
      <c r="CO27" s="88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88"/>
      <c r="DA27" s="88"/>
      <c r="DB27" s="88"/>
      <c r="DC27" s="88"/>
      <c r="DD27" s="88"/>
      <c r="DE27" s="88"/>
      <c r="DF27" s="88"/>
      <c r="DG27" s="88"/>
      <c r="DH27" s="88"/>
      <c r="DI27" s="42"/>
    </row>
    <row r="28" spans="1:113" s="43" customFormat="1" x14ac:dyDescent="0.25">
      <c r="A28" s="52" t="s">
        <v>29</v>
      </c>
      <c r="B28" s="54">
        <v>5</v>
      </c>
      <c r="C28" s="55">
        <v>13</v>
      </c>
      <c r="D28" s="3">
        <v>0</v>
      </c>
      <c r="E28" s="56">
        <v>0</v>
      </c>
      <c r="F28" s="56">
        <v>10</v>
      </c>
      <c r="G28" s="3">
        <v>9</v>
      </c>
      <c r="H28" s="57">
        <v>9</v>
      </c>
      <c r="I28" s="3">
        <v>0</v>
      </c>
      <c r="J28" s="3">
        <v>9</v>
      </c>
      <c r="K28" s="3">
        <v>8</v>
      </c>
      <c r="L28" s="58">
        <v>9</v>
      </c>
      <c r="M28" s="69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8"/>
      <c r="CF28" s="88"/>
      <c r="CG28" s="88"/>
      <c r="CH28" s="88"/>
      <c r="CI28" s="88"/>
      <c r="CJ28" s="88"/>
      <c r="CK28" s="88"/>
      <c r="CL28" s="88"/>
      <c r="CM28" s="88"/>
      <c r="CN28" s="88"/>
      <c r="CO28" s="88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8"/>
      <c r="DA28" s="88"/>
      <c r="DB28" s="88"/>
      <c r="DC28" s="88"/>
      <c r="DD28" s="88"/>
      <c r="DE28" s="88"/>
      <c r="DF28" s="88"/>
      <c r="DG28" s="88"/>
      <c r="DH28" s="88"/>
      <c r="DI28" s="42"/>
    </row>
    <row r="29" spans="1:113" s="43" customFormat="1" x14ac:dyDescent="0.25">
      <c r="A29" s="52" t="s">
        <v>30</v>
      </c>
      <c r="B29" s="54">
        <v>82</v>
      </c>
      <c r="C29" s="55">
        <v>73</v>
      </c>
      <c r="D29" s="3">
        <v>113</v>
      </c>
      <c r="E29" s="56">
        <v>113</v>
      </c>
      <c r="F29" s="56">
        <v>68</v>
      </c>
      <c r="G29" s="3">
        <v>72</v>
      </c>
      <c r="H29" s="57">
        <v>81</v>
      </c>
      <c r="I29" s="3">
        <v>23</v>
      </c>
      <c r="J29" s="3">
        <v>66</v>
      </c>
      <c r="K29" s="3">
        <v>77</v>
      </c>
      <c r="L29" s="58">
        <v>81</v>
      </c>
      <c r="M29" s="69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8"/>
      <c r="CF29" s="88"/>
      <c r="CG29" s="88"/>
      <c r="CH29" s="88"/>
      <c r="CI29" s="88"/>
      <c r="CJ29" s="88"/>
      <c r="CK29" s="88"/>
      <c r="CL29" s="88"/>
      <c r="CM29" s="88"/>
      <c r="CN29" s="88"/>
      <c r="CO29" s="88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8"/>
      <c r="DA29" s="88"/>
      <c r="DB29" s="88"/>
      <c r="DC29" s="88"/>
      <c r="DD29" s="88"/>
      <c r="DE29" s="88"/>
      <c r="DF29" s="88"/>
      <c r="DG29" s="88"/>
      <c r="DH29" s="88"/>
      <c r="DI29" s="42"/>
    </row>
    <row r="30" spans="1:113" s="43" customFormat="1" x14ac:dyDescent="0.25">
      <c r="A30" s="52" t="s">
        <v>31</v>
      </c>
      <c r="B30" s="54">
        <v>12</v>
      </c>
      <c r="C30" s="55">
        <v>12</v>
      </c>
      <c r="D30" s="3">
        <v>0</v>
      </c>
      <c r="E30" s="56">
        <v>0</v>
      </c>
      <c r="F30" s="56">
        <v>15</v>
      </c>
      <c r="G30" s="3">
        <v>10</v>
      </c>
      <c r="H30" s="57">
        <v>11</v>
      </c>
      <c r="I30" s="3">
        <v>0</v>
      </c>
      <c r="J30" s="3">
        <v>13</v>
      </c>
      <c r="K30" s="3">
        <v>10</v>
      </c>
      <c r="L30" s="58">
        <v>11</v>
      </c>
      <c r="M30" s="69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8"/>
      <c r="CF30" s="88"/>
      <c r="CG30" s="88"/>
      <c r="CH30" s="88"/>
      <c r="CI30" s="88"/>
      <c r="CJ30" s="88"/>
      <c r="CK30" s="88"/>
      <c r="CL30" s="88"/>
      <c r="CM30" s="88"/>
      <c r="CN30" s="88"/>
      <c r="CO30" s="88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8"/>
      <c r="DA30" s="88"/>
      <c r="DB30" s="88"/>
      <c r="DC30" s="88"/>
      <c r="DD30" s="88"/>
      <c r="DE30" s="88"/>
      <c r="DF30" s="88"/>
      <c r="DG30" s="88"/>
      <c r="DH30" s="88"/>
      <c r="DI30" s="42"/>
    </row>
    <row r="31" spans="1:113" s="43" customFormat="1" x14ac:dyDescent="0.25">
      <c r="A31" s="52" t="s">
        <v>32</v>
      </c>
      <c r="B31" s="54">
        <v>26</v>
      </c>
      <c r="C31" s="55">
        <v>21</v>
      </c>
      <c r="D31" s="3">
        <v>0</v>
      </c>
      <c r="E31" s="56">
        <v>0</v>
      </c>
      <c r="F31" s="56">
        <v>26</v>
      </c>
      <c r="G31" s="3">
        <v>29</v>
      </c>
      <c r="H31" s="57">
        <v>27</v>
      </c>
      <c r="I31" s="3">
        <v>1</v>
      </c>
      <c r="J31" s="3">
        <v>25</v>
      </c>
      <c r="K31" s="3">
        <v>30</v>
      </c>
      <c r="L31" s="58">
        <v>27</v>
      </c>
      <c r="M31" s="69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42"/>
    </row>
    <row r="32" spans="1:113" s="43" customFormat="1" x14ac:dyDescent="0.25">
      <c r="A32" s="52" t="s">
        <v>33</v>
      </c>
      <c r="B32" s="54">
        <v>8</v>
      </c>
      <c r="C32" s="55">
        <v>14</v>
      </c>
      <c r="D32" s="3">
        <v>0</v>
      </c>
      <c r="E32" s="56">
        <v>0</v>
      </c>
      <c r="F32" s="56">
        <v>5</v>
      </c>
      <c r="G32" s="3">
        <v>11</v>
      </c>
      <c r="H32" s="57">
        <v>10</v>
      </c>
      <c r="I32" s="3">
        <v>1</v>
      </c>
      <c r="J32" s="3">
        <v>5</v>
      </c>
      <c r="K32" s="3">
        <v>12</v>
      </c>
      <c r="L32" s="58">
        <v>9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  <c r="CG32" s="88"/>
      <c r="CH32" s="88"/>
      <c r="CI32" s="88"/>
      <c r="CJ32" s="88"/>
      <c r="CK32" s="88"/>
      <c r="CL32" s="88"/>
      <c r="CM32" s="88"/>
      <c r="CN32" s="88"/>
      <c r="CO32" s="88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88"/>
      <c r="DA32" s="88"/>
      <c r="DB32" s="88"/>
      <c r="DC32" s="88"/>
      <c r="DD32" s="88"/>
      <c r="DE32" s="88"/>
      <c r="DF32" s="88"/>
      <c r="DG32" s="88"/>
      <c r="DH32" s="88"/>
      <c r="DI32" s="42"/>
    </row>
    <row r="33" spans="1:113" s="43" customFormat="1" x14ac:dyDescent="0.25">
      <c r="A33" s="52" t="s">
        <v>34</v>
      </c>
      <c r="B33" s="54">
        <v>21</v>
      </c>
      <c r="C33" s="55">
        <v>15</v>
      </c>
      <c r="D33" s="3">
        <v>0</v>
      </c>
      <c r="E33" s="56">
        <v>0</v>
      </c>
      <c r="F33" s="56">
        <v>22</v>
      </c>
      <c r="G33" s="3">
        <v>21</v>
      </c>
      <c r="H33" s="57">
        <v>23</v>
      </c>
      <c r="I33" s="3">
        <v>0</v>
      </c>
      <c r="J33" s="3">
        <v>23</v>
      </c>
      <c r="K33" s="3">
        <v>21</v>
      </c>
      <c r="L33" s="58">
        <v>23</v>
      </c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8"/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88"/>
      <c r="DA33" s="88"/>
      <c r="DB33" s="88"/>
      <c r="DC33" s="88"/>
      <c r="DD33" s="88"/>
      <c r="DE33" s="88"/>
      <c r="DF33" s="88"/>
      <c r="DG33" s="88"/>
      <c r="DH33" s="88"/>
      <c r="DI33" s="42"/>
    </row>
    <row r="34" spans="1:113" s="43" customFormat="1" x14ac:dyDescent="0.25">
      <c r="A34" s="52" t="s">
        <v>35</v>
      </c>
      <c r="B34" s="54">
        <v>16</v>
      </c>
      <c r="C34" s="55">
        <v>15</v>
      </c>
      <c r="D34" s="3">
        <v>0</v>
      </c>
      <c r="E34" s="56">
        <v>0</v>
      </c>
      <c r="F34" s="56">
        <v>18</v>
      </c>
      <c r="G34" s="3">
        <v>13</v>
      </c>
      <c r="H34" s="57">
        <v>16</v>
      </c>
      <c r="I34" s="3">
        <v>0</v>
      </c>
      <c r="J34" s="3">
        <v>19</v>
      </c>
      <c r="K34" s="3">
        <v>12</v>
      </c>
      <c r="L34" s="58">
        <v>16</v>
      </c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8"/>
      <c r="CH34" s="88"/>
      <c r="CI34" s="88"/>
      <c r="CJ34" s="88"/>
      <c r="CK34" s="88"/>
      <c r="CL34" s="88"/>
      <c r="CM34" s="88"/>
      <c r="CN34" s="88"/>
      <c r="CO34" s="88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88"/>
      <c r="DA34" s="88"/>
      <c r="DB34" s="88"/>
      <c r="DC34" s="88"/>
      <c r="DD34" s="88"/>
      <c r="DE34" s="88"/>
      <c r="DF34" s="88"/>
      <c r="DG34" s="88"/>
      <c r="DH34" s="88"/>
      <c r="DI34" s="42"/>
    </row>
    <row r="35" spans="1:113" s="43" customFormat="1" x14ac:dyDescent="0.25">
      <c r="A35" s="52" t="s">
        <v>36</v>
      </c>
      <c r="B35" s="54">
        <v>23</v>
      </c>
      <c r="C35" s="55">
        <v>29</v>
      </c>
      <c r="D35" s="3">
        <v>3</v>
      </c>
      <c r="E35" s="56">
        <v>3</v>
      </c>
      <c r="F35" s="56">
        <v>37</v>
      </c>
      <c r="G35" s="3">
        <v>28</v>
      </c>
      <c r="H35" s="57">
        <v>22</v>
      </c>
      <c r="I35" s="3">
        <v>0</v>
      </c>
      <c r="J35" s="3">
        <v>38</v>
      </c>
      <c r="K35" s="3">
        <v>28</v>
      </c>
      <c r="L35" s="58">
        <v>22</v>
      </c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8"/>
      <c r="CF35" s="88"/>
      <c r="CG35" s="88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42"/>
    </row>
    <row r="36" spans="1:113" s="43" customFormat="1" x14ac:dyDescent="0.25">
      <c r="A36" s="52"/>
      <c r="B36" s="54"/>
      <c r="C36" s="55"/>
      <c r="D36" s="3"/>
      <c r="E36" s="56"/>
      <c r="F36" s="56"/>
      <c r="G36" s="3"/>
      <c r="H36" s="57"/>
      <c r="I36" s="3"/>
      <c r="J36" s="3"/>
      <c r="K36" s="3"/>
      <c r="L36" s="5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88"/>
      <c r="CF36" s="88"/>
      <c r="CG36" s="88"/>
      <c r="CH36" s="88"/>
      <c r="CI36" s="88"/>
      <c r="CJ36" s="88"/>
      <c r="CK36" s="88"/>
      <c r="CL36" s="88"/>
      <c r="CM36" s="88"/>
      <c r="CN36" s="88"/>
      <c r="CO36" s="88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88"/>
      <c r="DA36" s="88"/>
      <c r="DB36" s="88"/>
      <c r="DC36" s="88"/>
      <c r="DD36" s="88"/>
      <c r="DE36" s="88"/>
      <c r="DF36" s="88"/>
      <c r="DG36" s="88"/>
      <c r="DH36" s="88"/>
      <c r="DI36" s="42"/>
    </row>
    <row r="37" spans="1:113" s="43" customFormat="1" x14ac:dyDescent="0.25">
      <c r="A37" s="36" t="s">
        <v>37</v>
      </c>
      <c r="B37" s="37">
        <f>SUM(B38:B50)</f>
        <v>447</v>
      </c>
      <c r="C37" s="38">
        <f t="shared" ref="C37:L37" si="4">SUM(C38:C50)</f>
        <v>483</v>
      </c>
      <c r="D37" s="4">
        <f>SUM(D38:D50)</f>
        <v>386</v>
      </c>
      <c r="E37" s="39">
        <f t="shared" si="4"/>
        <v>386</v>
      </c>
      <c r="F37" s="39">
        <f t="shared" si="4"/>
        <v>454</v>
      </c>
      <c r="G37" s="4">
        <f t="shared" si="4"/>
        <v>455</v>
      </c>
      <c r="H37" s="40">
        <f t="shared" si="4"/>
        <v>450</v>
      </c>
      <c r="I37" s="4">
        <f t="shared" si="4"/>
        <v>63</v>
      </c>
      <c r="J37" s="4">
        <f t="shared" si="4"/>
        <v>454</v>
      </c>
      <c r="K37" s="4">
        <f t="shared" si="4"/>
        <v>455</v>
      </c>
      <c r="L37" s="41">
        <f t="shared" si="4"/>
        <v>450</v>
      </c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88"/>
      <c r="CJ37" s="88"/>
      <c r="CK37" s="88"/>
      <c r="CL37" s="88"/>
      <c r="CM37" s="88"/>
      <c r="CN37" s="88"/>
      <c r="CO37" s="88"/>
      <c r="CP37" s="88"/>
      <c r="CQ37" s="88"/>
      <c r="CR37" s="88"/>
      <c r="CS37" s="88"/>
      <c r="CT37" s="88"/>
      <c r="CU37" s="88"/>
      <c r="CV37" s="88"/>
      <c r="CW37" s="88"/>
      <c r="CX37" s="88"/>
      <c r="CY37" s="88"/>
      <c r="CZ37" s="88"/>
      <c r="DA37" s="88"/>
      <c r="DB37" s="88"/>
      <c r="DC37" s="88"/>
      <c r="DD37" s="88"/>
      <c r="DE37" s="88"/>
      <c r="DF37" s="88"/>
      <c r="DG37" s="88"/>
      <c r="DH37" s="88"/>
      <c r="DI37" s="42"/>
    </row>
    <row r="38" spans="1:113" s="43" customFormat="1" x14ac:dyDescent="0.25">
      <c r="A38" s="52" t="s">
        <v>112</v>
      </c>
      <c r="B38" s="54">
        <v>28</v>
      </c>
      <c r="C38" s="55">
        <v>44</v>
      </c>
      <c r="D38" s="3">
        <v>2</v>
      </c>
      <c r="E38" s="56">
        <v>2</v>
      </c>
      <c r="F38" s="56">
        <v>30</v>
      </c>
      <c r="G38" s="3">
        <v>28</v>
      </c>
      <c r="H38" s="57">
        <v>32</v>
      </c>
      <c r="I38" s="3">
        <v>1</v>
      </c>
      <c r="J38" s="3">
        <v>30</v>
      </c>
      <c r="K38" s="3">
        <v>29</v>
      </c>
      <c r="L38" s="58">
        <v>32</v>
      </c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I38" s="88"/>
      <c r="CJ38" s="88"/>
      <c r="CK38" s="88"/>
      <c r="CL38" s="88"/>
      <c r="CM38" s="88"/>
      <c r="CN38" s="88"/>
      <c r="CO38" s="88"/>
      <c r="CP38" s="88"/>
      <c r="CQ38" s="88"/>
      <c r="CR38" s="88"/>
      <c r="CS38" s="88"/>
      <c r="CT38" s="88"/>
      <c r="CU38" s="88"/>
      <c r="CV38" s="88"/>
      <c r="CW38" s="88"/>
      <c r="CX38" s="88"/>
      <c r="CY38" s="88"/>
      <c r="CZ38" s="88"/>
      <c r="DA38" s="88"/>
      <c r="DB38" s="88"/>
      <c r="DC38" s="88"/>
      <c r="DD38" s="88"/>
      <c r="DE38" s="88"/>
      <c r="DF38" s="88"/>
      <c r="DG38" s="88"/>
      <c r="DH38" s="88"/>
      <c r="DI38" s="42"/>
    </row>
    <row r="39" spans="1:113" s="60" customFormat="1" x14ac:dyDescent="0.25">
      <c r="A39" s="52" t="s">
        <v>113</v>
      </c>
      <c r="B39" s="54">
        <v>8</v>
      </c>
      <c r="C39" s="55">
        <v>6</v>
      </c>
      <c r="D39" s="3">
        <v>0</v>
      </c>
      <c r="E39" s="56">
        <v>0</v>
      </c>
      <c r="F39" s="56">
        <v>5</v>
      </c>
      <c r="G39" s="3">
        <v>7</v>
      </c>
      <c r="H39" s="57">
        <v>10</v>
      </c>
      <c r="I39" s="3">
        <v>0</v>
      </c>
      <c r="J39" s="3">
        <v>5</v>
      </c>
      <c r="K39" s="3">
        <v>7</v>
      </c>
      <c r="L39" s="58">
        <v>10</v>
      </c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  <c r="BU39" s="104"/>
      <c r="BV39" s="104"/>
      <c r="BW39" s="104"/>
      <c r="BX39" s="104"/>
      <c r="BY39" s="104"/>
      <c r="BZ39" s="104"/>
      <c r="CA39" s="104"/>
      <c r="CB39" s="104"/>
      <c r="CC39" s="104"/>
      <c r="CD39" s="104"/>
      <c r="CE39" s="104"/>
      <c r="CF39" s="104"/>
      <c r="CG39" s="104"/>
      <c r="CH39" s="104"/>
      <c r="CI39" s="104"/>
      <c r="CJ39" s="104"/>
      <c r="CK39" s="104"/>
      <c r="CL39" s="104"/>
      <c r="CM39" s="104"/>
      <c r="CN39" s="104"/>
      <c r="CO39" s="104"/>
      <c r="CP39" s="104"/>
      <c r="CQ39" s="104"/>
      <c r="CR39" s="104"/>
      <c r="CS39" s="104"/>
      <c r="CT39" s="104"/>
      <c r="CU39" s="104"/>
      <c r="CV39" s="104"/>
      <c r="CW39" s="104"/>
      <c r="CX39" s="104"/>
      <c r="CY39" s="104"/>
      <c r="CZ39" s="104"/>
      <c r="DA39" s="104"/>
      <c r="DB39" s="104"/>
      <c r="DC39" s="104"/>
      <c r="DD39" s="104"/>
      <c r="DE39" s="104"/>
      <c r="DF39" s="104"/>
      <c r="DG39" s="104"/>
      <c r="DH39" s="104"/>
      <c r="DI39" s="59"/>
    </row>
    <row r="40" spans="1:113" s="43" customFormat="1" x14ac:dyDescent="0.25">
      <c r="A40" s="52" t="s">
        <v>114</v>
      </c>
      <c r="B40" s="54">
        <v>9</v>
      </c>
      <c r="C40" s="55">
        <v>16</v>
      </c>
      <c r="D40" s="3">
        <v>0</v>
      </c>
      <c r="E40" s="56">
        <v>0</v>
      </c>
      <c r="F40" s="56">
        <v>14</v>
      </c>
      <c r="G40" s="3">
        <v>13</v>
      </c>
      <c r="H40" s="57">
        <v>11</v>
      </c>
      <c r="I40" s="3">
        <v>2</v>
      </c>
      <c r="J40" s="3">
        <v>14</v>
      </c>
      <c r="K40" s="3">
        <v>13</v>
      </c>
      <c r="L40" s="58">
        <v>11</v>
      </c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8"/>
      <c r="CH40" s="88"/>
      <c r="CI40" s="88"/>
      <c r="CJ40" s="88"/>
      <c r="CK40" s="88"/>
      <c r="CL40" s="88"/>
      <c r="CM40" s="88"/>
      <c r="CN40" s="88"/>
      <c r="CO40" s="88"/>
      <c r="CP40" s="88"/>
      <c r="CQ40" s="88"/>
      <c r="CR40" s="88"/>
      <c r="CS40" s="88"/>
      <c r="CT40" s="88"/>
      <c r="CU40" s="88"/>
      <c r="CV40" s="88"/>
      <c r="CW40" s="88"/>
      <c r="CX40" s="88"/>
      <c r="CY40" s="88"/>
      <c r="CZ40" s="88"/>
      <c r="DA40" s="88"/>
      <c r="DB40" s="88"/>
      <c r="DC40" s="88"/>
      <c r="DD40" s="88"/>
      <c r="DE40" s="88"/>
      <c r="DF40" s="88"/>
      <c r="DG40" s="88"/>
      <c r="DH40" s="88"/>
      <c r="DI40" s="42"/>
    </row>
    <row r="41" spans="1:113" s="43" customFormat="1" x14ac:dyDescent="0.25">
      <c r="A41" s="52" t="s">
        <v>115</v>
      </c>
      <c r="B41" s="54">
        <v>12</v>
      </c>
      <c r="C41" s="55">
        <v>5</v>
      </c>
      <c r="D41" s="3">
        <v>0</v>
      </c>
      <c r="E41" s="56">
        <v>0</v>
      </c>
      <c r="F41" s="56">
        <v>11</v>
      </c>
      <c r="G41" s="3">
        <v>6</v>
      </c>
      <c r="H41" s="57">
        <v>12</v>
      </c>
      <c r="I41" s="3">
        <v>0</v>
      </c>
      <c r="J41" s="3">
        <v>11</v>
      </c>
      <c r="K41" s="3">
        <v>6</v>
      </c>
      <c r="L41" s="58">
        <v>12</v>
      </c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  <c r="CA41" s="88"/>
      <c r="CB41" s="88"/>
      <c r="CC41" s="88"/>
      <c r="CD41" s="88"/>
      <c r="CE41" s="88"/>
      <c r="CF41" s="88"/>
      <c r="CG41" s="88"/>
      <c r="CH41" s="88"/>
      <c r="CI41" s="88"/>
      <c r="CJ41" s="88"/>
      <c r="CK41" s="88"/>
      <c r="CL41" s="88"/>
      <c r="CM41" s="88"/>
      <c r="CN41" s="88"/>
      <c r="CO41" s="88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88"/>
      <c r="DA41" s="88"/>
      <c r="DB41" s="88"/>
      <c r="DC41" s="88"/>
      <c r="DD41" s="88"/>
      <c r="DE41" s="88"/>
      <c r="DF41" s="88"/>
      <c r="DG41" s="88"/>
      <c r="DH41" s="88"/>
      <c r="DI41" s="42"/>
    </row>
    <row r="42" spans="1:113" s="43" customFormat="1" x14ac:dyDescent="0.25">
      <c r="A42" s="52" t="s">
        <v>116</v>
      </c>
      <c r="B42" s="54">
        <v>30</v>
      </c>
      <c r="C42" s="55">
        <v>31</v>
      </c>
      <c r="D42" s="3">
        <v>0</v>
      </c>
      <c r="E42" s="56">
        <v>0</v>
      </c>
      <c r="F42" s="56">
        <v>36</v>
      </c>
      <c r="G42" s="3">
        <v>32</v>
      </c>
      <c r="H42" s="57">
        <v>38</v>
      </c>
      <c r="I42" s="3">
        <v>0</v>
      </c>
      <c r="J42" s="3">
        <v>36</v>
      </c>
      <c r="K42" s="3">
        <v>32</v>
      </c>
      <c r="L42" s="58">
        <v>38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8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42"/>
    </row>
    <row r="43" spans="1:113" s="43" customFormat="1" x14ac:dyDescent="0.25">
      <c r="A43" s="52" t="s">
        <v>117</v>
      </c>
      <c r="B43" s="54">
        <v>24</v>
      </c>
      <c r="C43" s="55">
        <v>13</v>
      </c>
      <c r="D43" s="3">
        <v>2</v>
      </c>
      <c r="E43" s="56">
        <v>2</v>
      </c>
      <c r="F43" s="56">
        <v>16</v>
      </c>
      <c r="G43" s="3">
        <v>21</v>
      </c>
      <c r="H43" s="57">
        <v>20</v>
      </c>
      <c r="I43" s="3">
        <v>1</v>
      </c>
      <c r="J43" s="3">
        <v>17</v>
      </c>
      <c r="K43" s="3">
        <v>21</v>
      </c>
      <c r="L43" s="58">
        <v>20</v>
      </c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8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88"/>
      <c r="DA43" s="88"/>
      <c r="DB43" s="88"/>
      <c r="DC43" s="88"/>
      <c r="DD43" s="88"/>
      <c r="DE43" s="88"/>
      <c r="DF43" s="88"/>
      <c r="DG43" s="88"/>
      <c r="DH43" s="88"/>
      <c r="DI43" s="42"/>
    </row>
    <row r="44" spans="1:113" s="43" customFormat="1" x14ac:dyDescent="0.25">
      <c r="A44" s="52" t="s">
        <v>118</v>
      </c>
      <c r="B44" s="54">
        <v>44</v>
      </c>
      <c r="C44" s="55">
        <v>59</v>
      </c>
      <c r="D44" s="3">
        <v>3</v>
      </c>
      <c r="E44" s="56">
        <v>3</v>
      </c>
      <c r="F44" s="56">
        <v>60</v>
      </c>
      <c r="G44" s="3">
        <v>52</v>
      </c>
      <c r="H44" s="57">
        <v>51</v>
      </c>
      <c r="I44" s="3">
        <v>10</v>
      </c>
      <c r="J44" s="3">
        <v>60</v>
      </c>
      <c r="K44" s="3">
        <v>52</v>
      </c>
      <c r="L44" s="58">
        <v>51</v>
      </c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88"/>
      <c r="CA44" s="88"/>
      <c r="CB44" s="88"/>
      <c r="CC44" s="88"/>
      <c r="CD44" s="88"/>
      <c r="CE44" s="88"/>
      <c r="CF44" s="88"/>
      <c r="CG44" s="88"/>
      <c r="CH44" s="88"/>
      <c r="CI44" s="88"/>
      <c r="CJ44" s="88"/>
      <c r="CK44" s="88"/>
      <c r="CL44" s="88"/>
      <c r="CM44" s="88"/>
      <c r="CN44" s="88"/>
      <c r="CO44" s="88"/>
      <c r="CP44" s="88"/>
      <c r="CQ44" s="88"/>
      <c r="CR44" s="88"/>
      <c r="CS44" s="88"/>
      <c r="CT44" s="88"/>
      <c r="CU44" s="88"/>
      <c r="CV44" s="88"/>
      <c r="CW44" s="88"/>
      <c r="CX44" s="88"/>
      <c r="CY44" s="88"/>
      <c r="CZ44" s="88"/>
      <c r="DA44" s="88"/>
      <c r="DB44" s="88"/>
      <c r="DC44" s="88"/>
      <c r="DD44" s="88"/>
      <c r="DE44" s="88"/>
      <c r="DF44" s="88"/>
      <c r="DG44" s="88"/>
      <c r="DH44" s="88"/>
      <c r="DI44" s="42"/>
    </row>
    <row r="45" spans="1:113" s="43" customFormat="1" x14ac:dyDescent="0.25">
      <c r="A45" s="52" t="s">
        <v>119</v>
      </c>
      <c r="B45" s="54">
        <v>12</v>
      </c>
      <c r="C45" s="55">
        <v>13</v>
      </c>
      <c r="D45" s="3">
        <v>0</v>
      </c>
      <c r="E45" s="56">
        <v>0</v>
      </c>
      <c r="F45" s="56">
        <v>7</v>
      </c>
      <c r="G45" s="3">
        <v>11</v>
      </c>
      <c r="H45" s="57">
        <v>10</v>
      </c>
      <c r="I45" s="3">
        <v>0</v>
      </c>
      <c r="J45" s="3">
        <v>7</v>
      </c>
      <c r="K45" s="3">
        <v>11</v>
      </c>
      <c r="L45" s="58">
        <v>10</v>
      </c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88"/>
      <c r="CF45" s="88"/>
      <c r="CG45" s="88"/>
      <c r="CH45" s="88"/>
      <c r="CI45" s="88"/>
      <c r="CJ45" s="88"/>
      <c r="CK45" s="88"/>
      <c r="CL45" s="88"/>
      <c r="CM45" s="88"/>
      <c r="CN45" s="88"/>
      <c r="CO45" s="88"/>
      <c r="CP45" s="88"/>
      <c r="CQ45" s="88"/>
      <c r="CR45" s="88"/>
      <c r="CS45" s="88"/>
      <c r="CT45" s="88"/>
      <c r="CU45" s="88"/>
      <c r="CV45" s="88"/>
      <c r="CW45" s="88"/>
      <c r="CX45" s="88"/>
      <c r="CY45" s="88"/>
      <c r="CZ45" s="88"/>
      <c r="DA45" s="88"/>
      <c r="DB45" s="88"/>
      <c r="DC45" s="88"/>
      <c r="DD45" s="88"/>
      <c r="DE45" s="88"/>
      <c r="DF45" s="88"/>
      <c r="DG45" s="88"/>
      <c r="DH45" s="88"/>
      <c r="DI45" s="42"/>
    </row>
    <row r="46" spans="1:113" s="43" customFormat="1" x14ac:dyDescent="0.25">
      <c r="A46" s="52" t="s">
        <v>120</v>
      </c>
      <c r="B46" s="54">
        <v>201</v>
      </c>
      <c r="C46" s="55">
        <v>223</v>
      </c>
      <c r="D46" s="3">
        <v>366</v>
      </c>
      <c r="E46" s="56">
        <v>366</v>
      </c>
      <c r="F46" s="56">
        <v>191</v>
      </c>
      <c r="G46" s="3">
        <v>202</v>
      </c>
      <c r="H46" s="57">
        <v>188</v>
      </c>
      <c r="I46" s="3">
        <v>49</v>
      </c>
      <c r="J46" s="3">
        <v>191</v>
      </c>
      <c r="K46" s="3">
        <v>202</v>
      </c>
      <c r="L46" s="58">
        <v>188</v>
      </c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88"/>
      <c r="CE46" s="88"/>
      <c r="CF46" s="88"/>
      <c r="CG46" s="88"/>
      <c r="CH46" s="88"/>
      <c r="CI46" s="88"/>
      <c r="CJ46" s="88"/>
      <c r="CK46" s="88"/>
      <c r="CL46" s="88"/>
      <c r="CM46" s="88"/>
      <c r="CN46" s="88"/>
      <c r="CO46" s="88"/>
      <c r="CP46" s="88"/>
      <c r="CQ46" s="88"/>
      <c r="CR46" s="88"/>
      <c r="CS46" s="88"/>
      <c r="CT46" s="88"/>
      <c r="CU46" s="88"/>
      <c r="CV46" s="88"/>
      <c r="CW46" s="88"/>
      <c r="CX46" s="88"/>
      <c r="CY46" s="88"/>
      <c r="CZ46" s="88"/>
      <c r="DA46" s="88"/>
      <c r="DB46" s="88"/>
      <c r="DC46" s="88"/>
      <c r="DD46" s="88"/>
      <c r="DE46" s="88"/>
      <c r="DF46" s="88"/>
      <c r="DG46" s="88"/>
      <c r="DH46" s="88"/>
      <c r="DI46" s="42"/>
    </row>
    <row r="47" spans="1:113" s="43" customFormat="1" x14ac:dyDescent="0.25">
      <c r="A47" s="52" t="s">
        <v>121</v>
      </c>
      <c r="B47" s="54">
        <v>23</v>
      </c>
      <c r="C47" s="55">
        <v>13</v>
      </c>
      <c r="D47" s="3">
        <v>0</v>
      </c>
      <c r="E47" s="56">
        <v>0</v>
      </c>
      <c r="F47" s="56">
        <v>23</v>
      </c>
      <c r="G47" s="3">
        <v>22</v>
      </c>
      <c r="H47" s="57">
        <v>24</v>
      </c>
      <c r="I47" s="3">
        <v>0</v>
      </c>
      <c r="J47" s="3">
        <v>23</v>
      </c>
      <c r="K47" s="3">
        <v>22</v>
      </c>
      <c r="L47" s="58">
        <v>24</v>
      </c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  <c r="CB47" s="88"/>
      <c r="CC47" s="88"/>
      <c r="CD47" s="88"/>
      <c r="CE47" s="88"/>
      <c r="CF47" s="88"/>
      <c r="CG47" s="88"/>
      <c r="CH47" s="88"/>
      <c r="CI47" s="88"/>
      <c r="CJ47" s="88"/>
      <c r="CK47" s="88"/>
      <c r="CL47" s="88"/>
      <c r="CM47" s="88"/>
      <c r="CN47" s="88"/>
      <c r="CO47" s="88"/>
      <c r="CP47" s="88"/>
      <c r="CQ47" s="88"/>
      <c r="CR47" s="88"/>
      <c r="CS47" s="88"/>
      <c r="CT47" s="88"/>
      <c r="CU47" s="88"/>
      <c r="CV47" s="88"/>
      <c r="CW47" s="88"/>
      <c r="CX47" s="88"/>
      <c r="CY47" s="88"/>
      <c r="CZ47" s="88"/>
      <c r="DA47" s="88"/>
      <c r="DB47" s="88"/>
      <c r="DC47" s="88"/>
      <c r="DD47" s="88"/>
      <c r="DE47" s="88"/>
      <c r="DF47" s="88"/>
      <c r="DG47" s="88"/>
      <c r="DH47" s="88"/>
      <c r="DI47" s="42"/>
    </row>
    <row r="48" spans="1:113" s="43" customFormat="1" x14ac:dyDescent="0.25">
      <c r="A48" s="52" t="s">
        <v>122</v>
      </c>
      <c r="B48" s="54">
        <v>19</v>
      </c>
      <c r="C48" s="55">
        <v>17</v>
      </c>
      <c r="D48" s="3">
        <v>1</v>
      </c>
      <c r="E48" s="56">
        <v>1</v>
      </c>
      <c r="F48" s="56">
        <v>13</v>
      </c>
      <c r="G48" s="3">
        <v>15</v>
      </c>
      <c r="H48" s="57">
        <v>15</v>
      </c>
      <c r="I48" s="3">
        <v>0</v>
      </c>
      <c r="J48" s="3">
        <v>13</v>
      </c>
      <c r="K48" s="3">
        <v>15</v>
      </c>
      <c r="L48" s="58">
        <v>15</v>
      </c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CI48" s="88"/>
      <c r="CJ48" s="88"/>
      <c r="CK48" s="88"/>
      <c r="CL48" s="88"/>
      <c r="CM48" s="88"/>
      <c r="CN48" s="88"/>
      <c r="CO48" s="88"/>
      <c r="CP48" s="88"/>
      <c r="CQ48" s="88"/>
      <c r="CR48" s="88"/>
      <c r="CS48" s="88"/>
      <c r="CT48" s="88"/>
      <c r="CU48" s="88"/>
      <c r="CV48" s="88"/>
      <c r="CW48" s="88"/>
      <c r="CX48" s="88"/>
      <c r="CY48" s="88"/>
      <c r="CZ48" s="88"/>
      <c r="DA48" s="88"/>
      <c r="DB48" s="88"/>
      <c r="DC48" s="88"/>
      <c r="DD48" s="88"/>
      <c r="DE48" s="88"/>
      <c r="DF48" s="88"/>
      <c r="DG48" s="88"/>
      <c r="DH48" s="88"/>
      <c r="DI48" s="42"/>
    </row>
    <row r="49" spans="1:113" s="43" customFormat="1" x14ac:dyDescent="0.25">
      <c r="A49" s="52" t="s">
        <v>123</v>
      </c>
      <c r="B49" s="54">
        <v>15</v>
      </c>
      <c r="C49" s="55">
        <v>14</v>
      </c>
      <c r="D49" s="3">
        <v>2</v>
      </c>
      <c r="E49" s="56">
        <v>2</v>
      </c>
      <c r="F49" s="56">
        <v>16</v>
      </c>
      <c r="G49" s="3">
        <v>17</v>
      </c>
      <c r="H49" s="57">
        <v>18</v>
      </c>
      <c r="I49" s="3">
        <v>0</v>
      </c>
      <c r="J49" s="3">
        <v>15</v>
      </c>
      <c r="K49" s="3">
        <v>17</v>
      </c>
      <c r="L49" s="58">
        <v>18</v>
      </c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  <c r="CB49" s="88"/>
      <c r="CC49" s="88"/>
      <c r="CD49" s="88"/>
      <c r="CE49" s="88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8"/>
      <c r="CS49" s="88"/>
      <c r="CT49" s="88"/>
      <c r="CU49" s="88"/>
      <c r="CV49" s="88"/>
      <c r="CW49" s="88"/>
      <c r="CX49" s="88"/>
      <c r="CY49" s="88"/>
      <c r="CZ49" s="88"/>
      <c r="DA49" s="88"/>
      <c r="DB49" s="88"/>
      <c r="DC49" s="88"/>
      <c r="DD49" s="88"/>
      <c r="DE49" s="88"/>
      <c r="DF49" s="88"/>
      <c r="DG49" s="88"/>
      <c r="DH49" s="88"/>
      <c r="DI49" s="42"/>
    </row>
    <row r="50" spans="1:113" s="43" customFormat="1" x14ac:dyDescent="0.25">
      <c r="A50" s="52" t="s">
        <v>124</v>
      </c>
      <c r="B50" s="54">
        <v>22</v>
      </c>
      <c r="C50" s="55">
        <v>29</v>
      </c>
      <c r="D50" s="3">
        <v>10</v>
      </c>
      <c r="E50" s="56">
        <v>10</v>
      </c>
      <c r="F50" s="56">
        <v>32</v>
      </c>
      <c r="G50" s="3">
        <v>29</v>
      </c>
      <c r="H50" s="57">
        <v>21</v>
      </c>
      <c r="I50" s="3">
        <v>0</v>
      </c>
      <c r="J50" s="3">
        <v>32</v>
      </c>
      <c r="K50" s="3">
        <v>28</v>
      </c>
      <c r="L50" s="58">
        <v>21</v>
      </c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  <c r="CG50" s="88"/>
      <c r="CH50" s="88"/>
      <c r="CI50" s="88"/>
      <c r="CJ50" s="88"/>
      <c r="CK50" s="88"/>
      <c r="CL50" s="88"/>
      <c r="CM50" s="8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8"/>
      <c r="CZ50" s="88"/>
      <c r="DA50" s="88"/>
      <c r="DB50" s="88"/>
      <c r="DC50" s="88"/>
      <c r="DD50" s="88"/>
      <c r="DE50" s="88"/>
      <c r="DF50" s="88"/>
      <c r="DG50" s="88"/>
      <c r="DH50" s="88"/>
      <c r="DI50" s="42"/>
    </row>
    <row r="51" spans="1:113" s="8" customFormat="1" x14ac:dyDescent="0.25">
      <c r="A51" s="36"/>
      <c r="B51" s="61"/>
      <c r="C51" s="62"/>
      <c r="D51" s="63"/>
      <c r="E51" s="64"/>
      <c r="F51" s="64"/>
      <c r="G51" s="63"/>
      <c r="H51" s="65"/>
      <c r="I51" s="63"/>
      <c r="J51" s="63"/>
      <c r="K51" s="63"/>
      <c r="L51" s="66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51"/>
    </row>
    <row r="52" spans="1:113" s="43" customFormat="1" x14ac:dyDescent="0.25">
      <c r="A52" s="36" t="s">
        <v>39</v>
      </c>
      <c r="B52" s="37">
        <f>SUM(B53:B66)</f>
        <v>296</v>
      </c>
      <c r="C52" s="38">
        <f t="shared" ref="C52:K52" si="5">SUM(C53:C66)</f>
        <v>290</v>
      </c>
      <c r="D52" s="4">
        <f>SUM(D53:D66)</f>
        <v>75</v>
      </c>
      <c r="E52" s="39">
        <f t="shared" si="5"/>
        <v>75</v>
      </c>
      <c r="F52" s="39">
        <f t="shared" si="5"/>
        <v>297</v>
      </c>
      <c r="G52" s="4">
        <f t="shared" si="5"/>
        <v>298</v>
      </c>
      <c r="H52" s="40">
        <f t="shared" si="5"/>
        <v>297</v>
      </c>
      <c r="I52" s="4">
        <f t="shared" si="5"/>
        <v>10</v>
      </c>
      <c r="J52" s="4">
        <f t="shared" si="5"/>
        <v>297</v>
      </c>
      <c r="K52" s="4">
        <f t="shared" si="5"/>
        <v>298</v>
      </c>
      <c r="L52" s="41">
        <f>SUM(L53:L66)</f>
        <v>297</v>
      </c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8"/>
      <c r="CH52" s="88"/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88"/>
      <c r="DB52" s="88"/>
      <c r="DC52" s="88"/>
      <c r="DD52" s="88"/>
      <c r="DE52" s="88"/>
      <c r="DF52" s="88"/>
      <c r="DG52" s="88"/>
      <c r="DH52" s="88"/>
      <c r="DI52" s="42"/>
    </row>
    <row r="53" spans="1:113" s="43" customFormat="1" x14ac:dyDescent="0.25">
      <c r="A53" s="52" t="s">
        <v>125</v>
      </c>
      <c r="B53" s="54">
        <v>28</v>
      </c>
      <c r="C53" s="55">
        <v>25</v>
      </c>
      <c r="D53" s="3">
        <v>0</v>
      </c>
      <c r="E53" s="56">
        <v>0</v>
      </c>
      <c r="F53" s="56">
        <v>41</v>
      </c>
      <c r="G53" s="3">
        <v>28</v>
      </c>
      <c r="H53" s="57">
        <v>32</v>
      </c>
      <c r="I53" s="3">
        <v>0</v>
      </c>
      <c r="J53" s="3">
        <v>41</v>
      </c>
      <c r="K53" s="3">
        <v>28</v>
      </c>
      <c r="L53" s="58">
        <v>32</v>
      </c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88"/>
      <c r="CK53" s="88"/>
      <c r="CL53" s="88"/>
      <c r="CM53" s="88"/>
      <c r="CN53" s="88"/>
      <c r="CO53" s="88"/>
      <c r="CP53" s="88"/>
      <c r="CQ53" s="88"/>
      <c r="CR53" s="88"/>
      <c r="CS53" s="88"/>
      <c r="CT53" s="88"/>
      <c r="CU53" s="88"/>
      <c r="CV53" s="88"/>
      <c r="CW53" s="88"/>
      <c r="CX53" s="88"/>
      <c r="CY53" s="88"/>
      <c r="CZ53" s="88"/>
      <c r="DA53" s="88"/>
      <c r="DB53" s="88"/>
      <c r="DC53" s="88"/>
      <c r="DD53" s="88"/>
      <c r="DE53" s="88"/>
      <c r="DF53" s="88"/>
      <c r="DG53" s="88"/>
      <c r="DH53" s="88"/>
      <c r="DI53" s="42"/>
    </row>
    <row r="54" spans="1:113" s="43" customFormat="1" x14ac:dyDescent="0.25">
      <c r="A54" s="52" t="s">
        <v>126</v>
      </c>
      <c r="B54" s="54">
        <v>13</v>
      </c>
      <c r="C54" s="55">
        <v>12</v>
      </c>
      <c r="D54" s="3">
        <v>0</v>
      </c>
      <c r="E54" s="56">
        <v>0</v>
      </c>
      <c r="F54" s="56">
        <v>10</v>
      </c>
      <c r="G54" s="3">
        <v>9</v>
      </c>
      <c r="H54" s="57">
        <v>7</v>
      </c>
      <c r="I54" s="3">
        <v>0</v>
      </c>
      <c r="J54" s="3">
        <v>10</v>
      </c>
      <c r="K54" s="3">
        <v>9</v>
      </c>
      <c r="L54" s="58">
        <v>7</v>
      </c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U54" s="88"/>
      <c r="BV54" s="88"/>
      <c r="BW54" s="88"/>
      <c r="BX54" s="88"/>
      <c r="BY54" s="88"/>
      <c r="BZ54" s="88"/>
      <c r="CA54" s="88"/>
      <c r="CB54" s="88"/>
      <c r="CC54" s="88"/>
      <c r="CD54" s="88"/>
      <c r="CE54" s="88"/>
      <c r="CF54" s="88"/>
      <c r="CG54" s="88"/>
      <c r="CH54" s="88"/>
      <c r="CI54" s="88"/>
      <c r="CJ54" s="88"/>
      <c r="CK54" s="88"/>
      <c r="CL54" s="88"/>
      <c r="CM54" s="88"/>
      <c r="CN54" s="88"/>
      <c r="CO54" s="88"/>
      <c r="CP54" s="88"/>
      <c r="CQ54" s="88"/>
      <c r="CR54" s="88"/>
      <c r="CS54" s="88"/>
      <c r="CT54" s="88"/>
      <c r="CU54" s="88"/>
      <c r="CV54" s="88"/>
      <c r="CW54" s="88"/>
      <c r="CX54" s="88"/>
      <c r="CY54" s="88"/>
      <c r="CZ54" s="88"/>
      <c r="DA54" s="88"/>
      <c r="DB54" s="88"/>
      <c r="DC54" s="88"/>
      <c r="DD54" s="88"/>
      <c r="DE54" s="88"/>
      <c r="DF54" s="88"/>
      <c r="DG54" s="88"/>
      <c r="DH54" s="88"/>
      <c r="DI54" s="42"/>
    </row>
    <row r="55" spans="1:113" s="43" customFormat="1" x14ac:dyDescent="0.25">
      <c r="A55" s="52" t="s">
        <v>127</v>
      </c>
      <c r="B55" s="54">
        <v>10</v>
      </c>
      <c r="C55" s="55">
        <v>11</v>
      </c>
      <c r="D55" s="3">
        <v>0</v>
      </c>
      <c r="E55" s="56">
        <v>0</v>
      </c>
      <c r="F55" s="56">
        <v>6</v>
      </c>
      <c r="G55" s="3">
        <v>4</v>
      </c>
      <c r="H55" s="57">
        <v>6</v>
      </c>
      <c r="I55" s="3">
        <v>0</v>
      </c>
      <c r="J55" s="3">
        <v>6</v>
      </c>
      <c r="K55" s="3">
        <v>4</v>
      </c>
      <c r="L55" s="58">
        <v>6</v>
      </c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8"/>
      <c r="CG55" s="88"/>
      <c r="CH55" s="88"/>
      <c r="CI55" s="88"/>
      <c r="CJ55" s="88"/>
      <c r="CK55" s="88"/>
      <c r="CL55" s="88"/>
      <c r="CM55" s="88"/>
      <c r="CN55" s="88"/>
      <c r="CO55" s="88"/>
      <c r="CP55" s="88"/>
      <c r="CQ55" s="88"/>
      <c r="CR55" s="88"/>
      <c r="CS55" s="88"/>
      <c r="CT55" s="88"/>
      <c r="CU55" s="88"/>
      <c r="CV55" s="88"/>
      <c r="CW55" s="88"/>
      <c r="CX55" s="88"/>
      <c r="CY55" s="88"/>
      <c r="CZ55" s="88"/>
      <c r="DA55" s="88"/>
      <c r="DB55" s="88"/>
      <c r="DC55" s="88"/>
      <c r="DD55" s="88"/>
      <c r="DE55" s="88"/>
      <c r="DF55" s="88"/>
      <c r="DG55" s="88"/>
      <c r="DH55" s="88"/>
      <c r="DI55" s="42"/>
    </row>
    <row r="56" spans="1:113" s="43" customFormat="1" x14ac:dyDescent="0.25">
      <c r="A56" s="52" t="s">
        <v>128</v>
      </c>
      <c r="B56" s="54">
        <v>19</v>
      </c>
      <c r="C56" s="55">
        <v>19</v>
      </c>
      <c r="D56" s="3">
        <v>1</v>
      </c>
      <c r="E56" s="56">
        <v>1</v>
      </c>
      <c r="F56" s="56">
        <v>14</v>
      </c>
      <c r="G56" s="3">
        <v>19</v>
      </c>
      <c r="H56" s="57">
        <v>17</v>
      </c>
      <c r="I56" s="3">
        <v>0</v>
      </c>
      <c r="J56" s="3">
        <v>14</v>
      </c>
      <c r="K56" s="3">
        <v>19</v>
      </c>
      <c r="L56" s="58">
        <v>17</v>
      </c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  <c r="CA56" s="88"/>
      <c r="CB56" s="88"/>
      <c r="CC56" s="88"/>
      <c r="CD56" s="88"/>
      <c r="CE56" s="88"/>
      <c r="CF56" s="88"/>
      <c r="CG56" s="88"/>
      <c r="CH56" s="88"/>
      <c r="CI56" s="88"/>
      <c r="CJ56" s="88"/>
      <c r="CK56" s="88"/>
      <c r="CL56" s="88"/>
      <c r="CM56" s="88"/>
      <c r="CN56" s="88"/>
      <c r="CO56" s="88"/>
      <c r="CP56" s="88"/>
      <c r="CQ56" s="88"/>
      <c r="CR56" s="88"/>
      <c r="CS56" s="88"/>
      <c r="CT56" s="88"/>
      <c r="CU56" s="88"/>
      <c r="CV56" s="88"/>
      <c r="CW56" s="88"/>
      <c r="CX56" s="88"/>
      <c r="CY56" s="88"/>
      <c r="CZ56" s="88"/>
      <c r="DA56" s="88"/>
      <c r="DB56" s="88"/>
      <c r="DC56" s="88"/>
      <c r="DD56" s="88"/>
      <c r="DE56" s="88"/>
      <c r="DF56" s="88"/>
      <c r="DG56" s="88"/>
      <c r="DH56" s="88"/>
      <c r="DI56" s="42"/>
    </row>
    <row r="57" spans="1:113" s="43" customFormat="1" x14ac:dyDescent="0.25">
      <c r="A57" s="52" t="s">
        <v>129</v>
      </c>
      <c r="B57" s="54">
        <v>13</v>
      </c>
      <c r="C57" s="55">
        <v>18</v>
      </c>
      <c r="D57" s="3">
        <v>0</v>
      </c>
      <c r="E57" s="56">
        <v>0</v>
      </c>
      <c r="F57" s="56">
        <v>15</v>
      </c>
      <c r="G57" s="3">
        <v>19</v>
      </c>
      <c r="H57" s="57">
        <v>15</v>
      </c>
      <c r="I57" s="3">
        <v>0</v>
      </c>
      <c r="J57" s="3">
        <v>15</v>
      </c>
      <c r="K57" s="3">
        <v>19</v>
      </c>
      <c r="L57" s="58">
        <v>15</v>
      </c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8"/>
      <c r="CV57" s="88"/>
      <c r="CW57" s="88"/>
      <c r="CX57" s="88"/>
      <c r="CY57" s="88"/>
      <c r="CZ57" s="88"/>
      <c r="DA57" s="88"/>
      <c r="DB57" s="88"/>
      <c r="DC57" s="88"/>
      <c r="DD57" s="88"/>
      <c r="DE57" s="88"/>
      <c r="DF57" s="88"/>
      <c r="DG57" s="88"/>
      <c r="DH57" s="88"/>
      <c r="DI57" s="42"/>
    </row>
    <row r="58" spans="1:113" s="43" customFormat="1" x14ac:dyDescent="0.25">
      <c r="A58" s="52" t="s">
        <v>130</v>
      </c>
      <c r="B58" s="54">
        <v>11</v>
      </c>
      <c r="C58" s="55">
        <v>15</v>
      </c>
      <c r="D58" s="3">
        <v>0</v>
      </c>
      <c r="E58" s="56">
        <v>0</v>
      </c>
      <c r="F58" s="56">
        <v>8</v>
      </c>
      <c r="G58" s="3">
        <v>5</v>
      </c>
      <c r="H58" s="57">
        <v>13</v>
      </c>
      <c r="I58" s="3">
        <v>0</v>
      </c>
      <c r="J58" s="3">
        <v>8</v>
      </c>
      <c r="K58" s="3">
        <v>5</v>
      </c>
      <c r="L58" s="58">
        <v>13</v>
      </c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  <c r="BY58" s="88"/>
      <c r="BZ58" s="88"/>
      <c r="CA58" s="88"/>
      <c r="CB58" s="88"/>
      <c r="CC58" s="88"/>
      <c r="CD58" s="88"/>
      <c r="CE58" s="88"/>
      <c r="CF58" s="88"/>
      <c r="CG58" s="88"/>
      <c r="CH58" s="88"/>
      <c r="CI58" s="88"/>
      <c r="CJ58" s="88"/>
      <c r="CK58" s="88"/>
      <c r="CL58" s="88"/>
      <c r="CM58" s="88"/>
      <c r="CN58" s="88"/>
      <c r="CO58" s="88"/>
      <c r="CP58" s="88"/>
      <c r="CQ58" s="88"/>
      <c r="CR58" s="88"/>
      <c r="CS58" s="88"/>
      <c r="CT58" s="88"/>
      <c r="CU58" s="88"/>
      <c r="CV58" s="88"/>
      <c r="CW58" s="88"/>
      <c r="CX58" s="88"/>
      <c r="CY58" s="88"/>
      <c r="CZ58" s="88"/>
      <c r="DA58" s="88"/>
      <c r="DB58" s="88"/>
      <c r="DC58" s="88"/>
      <c r="DD58" s="88"/>
      <c r="DE58" s="88"/>
      <c r="DF58" s="88"/>
      <c r="DG58" s="88"/>
      <c r="DH58" s="88"/>
      <c r="DI58" s="42"/>
    </row>
    <row r="59" spans="1:113" s="43" customFormat="1" x14ac:dyDescent="0.25">
      <c r="A59" s="52" t="s">
        <v>131</v>
      </c>
      <c r="B59" s="54">
        <v>45</v>
      </c>
      <c r="C59" s="55">
        <v>34</v>
      </c>
      <c r="D59" s="3">
        <v>0</v>
      </c>
      <c r="E59" s="56">
        <v>0</v>
      </c>
      <c r="F59" s="56">
        <v>38</v>
      </c>
      <c r="G59" s="3">
        <v>40</v>
      </c>
      <c r="H59" s="57">
        <v>37</v>
      </c>
      <c r="I59" s="3">
        <v>0</v>
      </c>
      <c r="J59" s="3">
        <v>38</v>
      </c>
      <c r="K59" s="3">
        <v>40</v>
      </c>
      <c r="L59" s="58">
        <v>37</v>
      </c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88"/>
      <c r="CQ59" s="88"/>
      <c r="CR59" s="88"/>
      <c r="CS59" s="88"/>
      <c r="CT59" s="88"/>
      <c r="CU59" s="88"/>
      <c r="CV59" s="88"/>
      <c r="CW59" s="88"/>
      <c r="CX59" s="88"/>
      <c r="CY59" s="88"/>
      <c r="CZ59" s="88"/>
      <c r="DA59" s="88"/>
      <c r="DB59" s="88"/>
      <c r="DC59" s="88"/>
      <c r="DD59" s="88"/>
      <c r="DE59" s="88"/>
      <c r="DF59" s="88"/>
      <c r="DG59" s="88"/>
      <c r="DH59" s="88"/>
      <c r="DI59" s="42"/>
    </row>
    <row r="60" spans="1:113" s="43" customFormat="1" x14ac:dyDescent="0.25">
      <c r="A60" s="52" t="s">
        <v>132</v>
      </c>
      <c r="B60" s="54">
        <v>8</v>
      </c>
      <c r="C60" s="55">
        <v>9</v>
      </c>
      <c r="D60" s="3">
        <v>2</v>
      </c>
      <c r="E60" s="56">
        <v>2</v>
      </c>
      <c r="F60" s="56">
        <v>10</v>
      </c>
      <c r="G60" s="3">
        <v>13</v>
      </c>
      <c r="H60" s="57">
        <v>9</v>
      </c>
      <c r="I60" s="3">
        <v>0</v>
      </c>
      <c r="J60" s="3">
        <v>10</v>
      </c>
      <c r="K60" s="3">
        <v>13</v>
      </c>
      <c r="L60" s="58">
        <v>9</v>
      </c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88"/>
      <c r="DA60" s="88"/>
      <c r="DB60" s="88"/>
      <c r="DC60" s="88"/>
      <c r="DD60" s="88"/>
      <c r="DE60" s="88"/>
      <c r="DF60" s="88"/>
      <c r="DG60" s="88"/>
      <c r="DH60" s="88"/>
      <c r="DI60" s="42"/>
    </row>
    <row r="61" spans="1:113" s="43" customFormat="1" x14ac:dyDescent="0.25">
      <c r="A61" s="52" t="s">
        <v>133</v>
      </c>
      <c r="B61" s="54">
        <v>8</v>
      </c>
      <c r="C61" s="55">
        <v>7</v>
      </c>
      <c r="D61" s="3">
        <v>1</v>
      </c>
      <c r="E61" s="56">
        <v>1</v>
      </c>
      <c r="F61" s="56">
        <v>6</v>
      </c>
      <c r="G61" s="3">
        <v>13</v>
      </c>
      <c r="H61" s="57">
        <v>11</v>
      </c>
      <c r="I61" s="3">
        <v>1</v>
      </c>
      <c r="J61" s="3">
        <v>6</v>
      </c>
      <c r="K61" s="3">
        <v>13</v>
      </c>
      <c r="L61" s="58">
        <v>11</v>
      </c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88"/>
      <c r="DB61" s="88"/>
      <c r="DC61" s="88"/>
      <c r="DD61" s="88"/>
      <c r="DE61" s="88"/>
      <c r="DF61" s="88"/>
      <c r="DG61" s="88"/>
      <c r="DH61" s="88"/>
      <c r="DI61" s="42"/>
    </row>
    <row r="62" spans="1:113" s="43" customFormat="1" x14ac:dyDescent="0.25">
      <c r="A62" s="52" t="s">
        <v>134</v>
      </c>
      <c r="B62" s="54">
        <v>11</v>
      </c>
      <c r="C62" s="55">
        <v>7</v>
      </c>
      <c r="D62" s="3">
        <v>0</v>
      </c>
      <c r="E62" s="56">
        <v>0</v>
      </c>
      <c r="F62" s="56">
        <v>13</v>
      </c>
      <c r="G62" s="3">
        <v>15</v>
      </c>
      <c r="H62" s="57">
        <v>10</v>
      </c>
      <c r="I62" s="3">
        <v>0</v>
      </c>
      <c r="J62" s="3">
        <v>13</v>
      </c>
      <c r="K62" s="3">
        <v>15</v>
      </c>
      <c r="L62" s="58">
        <v>10</v>
      </c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88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88"/>
      <c r="DB62" s="88"/>
      <c r="DC62" s="88"/>
      <c r="DD62" s="88"/>
      <c r="DE62" s="88"/>
      <c r="DF62" s="88"/>
      <c r="DG62" s="88"/>
      <c r="DH62" s="88"/>
      <c r="DI62" s="42"/>
    </row>
    <row r="63" spans="1:113" s="43" customFormat="1" x14ac:dyDescent="0.25">
      <c r="A63" s="52" t="s">
        <v>135</v>
      </c>
      <c r="B63" s="54">
        <v>20</v>
      </c>
      <c r="C63" s="55">
        <v>12</v>
      </c>
      <c r="D63" s="3">
        <v>0</v>
      </c>
      <c r="E63" s="56">
        <v>0</v>
      </c>
      <c r="F63" s="56">
        <v>23</v>
      </c>
      <c r="G63" s="3">
        <v>22</v>
      </c>
      <c r="H63" s="57">
        <v>21</v>
      </c>
      <c r="I63" s="3">
        <v>0</v>
      </c>
      <c r="J63" s="3">
        <v>23</v>
      </c>
      <c r="K63" s="3">
        <v>22</v>
      </c>
      <c r="L63" s="58">
        <v>21</v>
      </c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8"/>
      <c r="CT63" s="88"/>
      <c r="CU63" s="88"/>
      <c r="CV63" s="88"/>
      <c r="CW63" s="88"/>
      <c r="CX63" s="88"/>
      <c r="CY63" s="88"/>
      <c r="CZ63" s="88"/>
      <c r="DA63" s="88"/>
      <c r="DB63" s="88"/>
      <c r="DC63" s="88"/>
      <c r="DD63" s="88"/>
      <c r="DE63" s="88"/>
      <c r="DF63" s="88"/>
      <c r="DG63" s="88"/>
      <c r="DH63" s="88"/>
      <c r="DI63" s="42"/>
    </row>
    <row r="64" spans="1:113" s="43" customFormat="1" x14ac:dyDescent="0.25">
      <c r="A64" s="52" t="s">
        <v>136</v>
      </c>
      <c r="B64" s="54">
        <v>12</v>
      </c>
      <c r="C64" s="55">
        <v>15</v>
      </c>
      <c r="D64" s="3">
        <v>0</v>
      </c>
      <c r="E64" s="56">
        <v>0</v>
      </c>
      <c r="F64" s="56">
        <v>21</v>
      </c>
      <c r="G64" s="3">
        <v>17</v>
      </c>
      <c r="H64" s="57">
        <v>18</v>
      </c>
      <c r="I64" s="3">
        <v>0</v>
      </c>
      <c r="J64" s="3">
        <v>21</v>
      </c>
      <c r="K64" s="3">
        <v>17</v>
      </c>
      <c r="L64" s="58">
        <v>18</v>
      </c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  <c r="BT64" s="88"/>
      <c r="BU64" s="88"/>
      <c r="BV64" s="88"/>
      <c r="BW64" s="88"/>
      <c r="BX64" s="88"/>
      <c r="BY64" s="88"/>
      <c r="BZ64" s="88"/>
      <c r="CA64" s="88"/>
      <c r="CB64" s="88"/>
      <c r="CC64" s="88"/>
      <c r="CD64" s="88"/>
      <c r="CE64" s="88"/>
      <c r="CF64" s="88"/>
      <c r="CG64" s="88"/>
      <c r="CH64" s="88"/>
      <c r="CI64" s="88"/>
      <c r="CJ64" s="88"/>
      <c r="CK64" s="88"/>
      <c r="CL64" s="88"/>
      <c r="CM64" s="88"/>
      <c r="CN64" s="88"/>
      <c r="CO64" s="88"/>
      <c r="CP64" s="88"/>
      <c r="CQ64" s="88"/>
      <c r="CR64" s="88"/>
      <c r="CS64" s="88"/>
      <c r="CT64" s="88"/>
      <c r="CU64" s="88"/>
      <c r="CV64" s="88"/>
      <c r="CW64" s="88"/>
      <c r="CX64" s="88"/>
      <c r="CY64" s="88"/>
      <c r="CZ64" s="88"/>
      <c r="DA64" s="88"/>
      <c r="DB64" s="88"/>
      <c r="DC64" s="88"/>
      <c r="DD64" s="88"/>
      <c r="DE64" s="88"/>
      <c r="DF64" s="88"/>
      <c r="DG64" s="88"/>
      <c r="DH64" s="88"/>
      <c r="DI64" s="42"/>
    </row>
    <row r="65" spans="1:113" s="43" customFormat="1" x14ac:dyDescent="0.25">
      <c r="A65" s="52" t="s">
        <v>137</v>
      </c>
      <c r="B65" s="54">
        <v>47</v>
      </c>
      <c r="C65" s="55">
        <v>57</v>
      </c>
      <c r="D65" s="3">
        <v>70</v>
      </c>
      <c r="E65" s="56">
        <v>70</v>
      </c>
      <c r="F65" s="56">
        <v>40</v>
      </c>
      <c r="G65" s="3">
        <v>42</v>
      </c>
      <c r="H65" s="57">
        <v>46</v>
      </c>
      <c r="I65" s="3">
        <v>8</v>
      </c>
      <c r="J65" s="3">
        <v>40</v>
      </c>
      <c r="K65" s="3">
        <v>42</v>
      </c>
      <c r="L65" s="58">
        <v>46</v>
      </c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8"/>
      <c r="CT65" s="88"/>
      <c r="CU65" s="88"/>
      <c r="CV65" s="88"/>
      <c r="CW65" s="88"/>
      <c r="CX65" s="88"/>
      <c r="CY65" s="88"/>
      <c r="CZ65" s="88"/>
      <c r="DA65" s="88"/>
      <c r="DB65" s="88"/>
      <c r="DC65" s="88"/>
      <c r="DD65" s="88"/>
      <c r="DE65" s="88"/>
      <c r="DF65" s="88"/>
      <c r="DG65" s="88"/>
      <c r="DH65" s="88"/>
      <c r="DI65" s="42"/>
    </row>
    <row r="66" spans="1:113" s="43" customFormat="1" x14ac:dyDescent="0.25">
      <c r="A66" s="52" t="s">
        <v>138</v>
      </c>
      <c r="B66" s="54">
        <v>51</v>
      </c>
      <c r="C66" s="55">
        <v>49</v>
      </c>
      <c r="D66" s="3">
        <v>1</v>
      </c>
      <c r="E66" s="56">
        <v>1</v>
      </c>
      <c r="F66" s="56">
        <v>52</v>
      </c>
      <c r="G66" s="3">
        <v>52</v>
      </c>
      <c r="H66" s="57">
        <v>55</v>
      </c>
      <c r="I66" s="3">
        <v>1</v>
      </c>
      <c r="J66" s="3">
        <v>52</v>
      </c>
      <c r="K66" s="3">
        <v>52</v>
      </c>
      <c r="L66" s="58">
        <v>55</v>
      </c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/>
      <c r="CN66" s="88"/>
      <c r="CO66" s="88"/>
      <c r="CP66" s="88"/>
      <c r="CQ66" s="88"/>
      <c r="CR66" s="88"/>
      <c r="CS66" s="88"/>
      <c r="CT66" s="88"/>
      <c r="CU66" s="88"/>
      <c r="CV66" s="88"/>
      <c r="CW66" s="88"/>
      <c r="CX66" s="88"/>
      <c r="CY66" s="88"/>
      <c r="CZ66" s="88"/>
      <c r="DA66" s="88"/>
      <c r="DB66" s="88"/>
      <c r="DC66" s="88"/>
      <c r="DD66" s="88"/>
      <c r="DE66" s="88"/>
      <c r="DF66" s="88"/>
      <c r="DG66" s="88"/>
      <c r="DH66" s="88"/>
      <c r="DI66" s="42"/>
    </row>
    <row r="67" spans="1:113" s="8" customFormat="1" x14ac:dyDescent="0.25">
      <c r="A67" s="36"/>
      <c r="B67" s="61"/>
      <c r="C67" s="62"/>
      <c r="D67" s="63"/>
      <c r="E67" s="64"/>
      <c r="F67" s="64"/>
      <c r="G67" s="63"/>
      <c r="H67" s="65"/>
      <c r="I67" s="63"/>
      <c r="J67" s="63"/>
      <c r="K67" s="63"/>
      <c r="L67" s="66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51"/>
    </row>
    <row r="68" spans="1:113" s="43" customFormat="1" x14ac:dyDescent="0.25">
      <c r="A68" s="36" t="s">
        <v>41</v>
      </c>
      <c r="B68" s="37">
        <f>SUM(B69:B81)</f>
        <v>243</v>
      </c>
      <c r="C68" s="38">
        <f t="shared" ref="C68:L68" si="6">SUM(C69:C81)</f>
        <v>264</v>
      </c>
      <c r="D68" s="4">
        <f>SUM(D69:D81)</f>
        <v>44</v>
      </c>
      <c r="E68" s="39">
        <f t="shared" si="6"/>
        <v>44</v>
      </c>
      <c r="F68" s="39">
        <f t="shared" si="6"/>
        <v>244</v>
      </c>
      <c r="G68" s="4">
        <f t="shared" si="6"/>
        <v>242</v>
      </c>
      <c r="H68" s="40">
        <f t="shared" si="6"/>
        <v>244</v>
      </c>
      <c r="I68" s="4">
        <f t="shared" si="6"/>
        <v>7</v>
      </c>
      <c r="J68" s="4">
        <f t="shared" si="6"/>
        <v>244</v>
      </c>
      <c r="K68" s="4">
        <f t="shared" si="6"/>
        <v>243</v>
      </c>
      <c r="L68" s="41">
        <f t="shared" si="6"/>
        <v>245</v>
      </c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8"/>
      <c r="CJ68" s="88"/>
      <c r="CK68" s="88"/>
      <c r="CL68" s="88"/>
      <c r="CM68" s="88"/>
      <c r="CN68" s="88"/>
      <c r="CO68" s="88"/>
      <c r="CP68" s="88"/>
      <c r="CQ68" s="88"/>
      <c r="CR68" s="88"/>
      <c r="CS68" s="88"/>
      <c r="CT68" s="88"/>
      <c r="CU68" s="88"/>
      <c r="CV68" s="88"/>
      <c r="CW68" s="88"/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42"/>
    </row>
    <row r="69" spans="1:113" s="43" customFormat="1" x14ac:dyDescent="0.25">
      <c r="A69" s="52" t="s">
        <v>139</v>
      </c>
      <c r="B69" s="54">
        <v>14</v>
      </c>
      <c r="C69" s="55">
        <v>11</v>
      </c>
      <c r="D69" s="3">
        <v>0</v>
      </c>
      <c r="E69" s="56">
        <v>0</v>
      </c>
      <c r="F69" s="56">
        <v>8</v>
      </c>
      <c r="G69" s="3">
        <v>6</v>
      </c>
      <c r="H69" s="57">
        <v>11</v>
      </c>
      <c r="I69" s="3">
        <v>0</v>
      </c>
      <c r="J69" s="3">
        <v>13</v>
      </c>
      <c r="K69" s="3">
        <v>8</v>
      </c>
      <c r="L69" s="58">
        <v>13</v>
      </c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42"/>
    </row>
    <row r="70" spans="1:113" s="43" customFormat="1" x14ac:dyDescent="0.25">
      <c r="A70" s="52" t="s">
        <v>140</v>
      </c>
      <c r="B70" s="54">
        <v>44</v>
      </c>
      <c r="C70" s="55">
        <v>12</v>
      </c>
      <c r="D70" s="3">
        <v>1</v>
      </c>
      <c r="E70" s="56">
        <v>1</v>
      </c>
      <c r="F70" s="56">
        <v>34</v>
      </c>
      <c r="G70" s="3">
        <v>33</v>
      </c>
      <c r="H70" s="57">
        <v>31</v>
      </c>
      <c r="I70" s="3">
        <v>0</v>
      </c>
      <c r="J70" s="3">
        <v>36</v>
      </c>
      <c r="K70" s="3">
        <v>31</v>
      </c>
      <c r="L70" s="58">
        <v>32</v>
      </c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8"/>
      <c r="CJ70" s="88"/>
      <c r="CK70" s="88"/>
      <c r="CL70" s="88"/>
      <c r="CM70" s="88"/>
      <c r="CN70" s="88"/>
      <c r="CO70" s="88"/>
      <c r="CP70" s="88"/>
      <c r="CQ70" s="88"/>
      <c r="CR70" s="88"/>
      <c r="CS70" s="88"/>
      <c r="CT70" s="88"/>
      <c r="CU70" s="88"/>
      <c r="CV70" s="88"/>
      <c r="CW70" s="88"/>
      <c r="CX70" s="88"/>
      <c r="CY70" s="88"/>
      <c r="CZ70" s="88"/>
      <c r="DA70" s="88"/>
      <c r="DB70" s="88"/>
      <c r="DC70" s="88"/>
      <c r="DD70" s="88"/>
      <c r="DE70" s="88"/>
      <c r="DF70" s="88"/>
      <c r="DG70" s="88"/>
      <c r="DH70" s="88"/>
      <c r="DI70" s="42"/>
    </row>
    <row r="71" spans="1:113" s="43" customFormat="1" x14ac:dyDescent="0.25">
      <c r="A71" s="52" t="s">
        <v>141</v>
      </c>
      <c r="B71" s="54">
        <v>8</v>
      </c>
      <c r="C71" s="55">
        <v>70</v>
      </c>
      <c r="D71" s="3">
        <v>9</v>
      </c>
      <c r="E71" s="56">
        <v>9</v>
      </c>
      <c r="F71" s="56">
        <v>13</v>
      </c>
      <c r="G71" s="3">
        <v>14</v>
      </c>
      <c r="H71" s="57">
        <v>17</v>
      </c>
      <c r="I71" s="3">
        <v>0</v>
      </c>
      <c r="J71" s="3">
        <v>12</v>
      </c>
      <c r="K71" s="3">
        <v>12</v>
      </c>
      <c r="L71" s="58">
        <v>18</v>
      </c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8"/>
      <c r="CJ71" s="8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88"/>
      <c r="CV71" s="88"/>
      <c r="CW71" s="88"/>
      <c r="CX71" s="88"/>
      <c r="CY71" s="88"/>
      <c r="CZ71" s="88"/>
      <c r="DA71" s="88"/>
      <c r="DB71" s="88"/>
      <c r="DC71" s="88"/>
      <c r="DD71" s="88"/>
      <c r="DE71" s="88"/>
      <c r="DF71" s="88"/>
      <c r="DG71" s="88"/>
      <c r="DH71" s="88"/>
      <c r="DI71" s="42"/>
    </row>
    <row r="72" spans="1:113" s="43" customFormat="1" x14ac:dyDescent="0.25">
      <c r="A72" s="52" t="s">
        <v>142</v>
      </c>
      <c r="B72" s="54">
        <v>11</v>
      </c>
      <c r="C72" s="55">
        <v>12</v>
      </c>
      <c r="D72" s="3">
        <v>0</v>
      </c>
      <c r="E72" s="56">
        <v>0</v>
      </c>
      <c r="F72" s="56">
        <v>15</v>
      </c>
      <c r="G72" s="3">
        <v>10</v>
      </c>
      <c r="H72" s="57">
        <v>13</v>
      </c>
      <c r="I72" s="3">
        <v>1</v>
      </c>
      <c r="J72" s="3">
        <v>14</v>
      </c>
      <c r="K72" s="3">
        <v>11</v>
      </c>
      <c r="L72" s="58">
        <v>13</v>
      </c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8"/>
      <c r="CJ72" s="88"/>
      <c r="CK72" s="88"/>
      <c r="CL72" s="88"/>
      <c r="CM72" s="88"/>
      <c r="CN72" s="88"/>
      <c r="CO72" s="88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88"/>
      <c r="DB72" s="88"/>
      <c r="DC72" s="88"/>
      <c r="DD72" s="88"/>
      <c r="DE72" s="88"/>
      <c r="DF72" s="88"/>
      <c r="DG72" s="88"/>
      <c r="DH72" s="88"/>
      <c r="DI72" s="42"/>
    </row>
    <row r="73" spans="1:113" s="43" customFormat="1" x14ac:dyDescent="0.25">
      <c r="A73" s="52" t="s">
        <v>143</v>
      </c>
      <c r="B73" s="54">
        <v>10</v>
      </c>
      <c r="C73" s="55">
        <v>15</v>
      </c>
      <c r="D73" s="3">
        <v>0</v>
      </c>
      <c r="E73" s="56">
        <v>2</v>
      </c>
      <c r="F73" s="56">
        <v>16</v>
      </c>
      <c r="G73" s="3">
        <v>19</v>
      </c>
      <c r="H73" s="57">
        <v>18</v>
      </c>
      <c r="I73" s="3">
        <v>0</v>
      </c>
      <c r="J73" s="3">
        <v>16</v>
      </c>
      <c r="K73" s="3">
        <v>18</v>
      </c>
      <c r="L73" s="58">
        <v>18</v>
      </c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  <c r="BT73" s="88"/>
      <c r="BU73" s="88"/>
      <c r="BV73" s="88"/>
      <c r="BW73" s="88"/>
      <c r="BX73" s="88"/>
      <c r="BY73" s="88"/>
      <c r="BZ73" s="88"/>
      <c r="CA73" s="88"/>
      <c r="CB73" s="88"/>
      <c r="CC73" s="88"/>
      <c r="CD73" s="88"/>
      <c r="CE73" s="88"/>
      <c r="CF73" s="88"/>
      <c r="CG73" s="88"/>
      <c r="CH73" s="88"/>
      <c r="CI73" s="88"/>
      <c r="CJ73" s="88"/>
      <c r="CK73" s="88"/>
      <c r="CL73" s="88"/>
      <c r="CM73" s="88"/>
      <c r="CN73" s="88"/>
      <c r="CO73" s="88"/>
      <c r="CP73" s="88"/>
      <c r="CQ73" s="88"/>
      <c r="CR73" s="88"/>
      <c r="CS73" s="88"/>
      <c r="CT73" s="88"/>
      <c r="CU73" s="88"/>
      <c r="CV73" s="88"/>
      <c r="CW73" s="88"/>
      <c r="CX73" s="88"/>
      <c r="CY73" s="88"/>
      <c r="CZ73" s="88"/>
      <c r="DA73" s="88"/>
      <c r="DB73" s="88"/>
      <c r="DC73" s="88"/>
      <c r="DD73" s="88"/>
      <c r="DE73" s="88"/>
      <c r="DF73" s="88"/>
      <c r="DG73" s="88"/>
      <c r="DH73" s="88"/>
      <c r="DI73" s="42"/>
    </row>
    <row r="74" spans="1:113" s="43" customFormat="1" x14ac:dyDescent="0.25">
      <c r="A74" s="52" t="s">
        <v>144</v>
      </c>
      <c r="B74" s="54">
        <v>19</v>
      </c>
      <c r="C74" s="55">
        <v>11</v>
      </c>
      <c r="D74" s="3">
        <v>0</v>
      </c>
      <c r="E74" s="56">
        <v>0</v>
      </c>
      <c r="F74" s="56">
        <v>22</v>
      </c>
      <c r="G74" s="3">
        <v>19</v>
      </c>
      <c r="H74" s="57">
        <v>20</v>
      </c>
      <c r="I74" s="3">
        <v>1</v>
      </c>
      <c r="J74" s="3">
        <v>21</v>
      </c>
      <c r="K74" s="3">
        <v>19</v>
      </c>
      <c r="L74" s="58">
        <v>20</v>
      </c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8"/>
      <c r="CO74" s="88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42"/>
    </row>
    <row r="75" spans="1:113" s="43" customFormat="1" x14ac:dyDescent="0.25">
      <c r="A75" s="52" t="s">
        <v>145</v>
      </c>
      <c r="B75" s="54">
        <v>21</v>
      </c>
      <c r="C75" s="55">
        <v>13</v>
      </c>
      <c r="D75" s="3">
        <v>0</v>
      </c>
      <c r="E75" s="56">
        <v>1</v>
      </c>
      <c r="F75" s="56">
        <v>14</v>
      </c>
      <c r="G75" s="3">
        <v>15</v>
      </c>
      <c r="H75" s="57">
        <v>19</v>
      </c>
      <c r="I75" s="3">
        <v>0</v>
      </c>
      <c r="J75" s="3">
        <v>15</v>
      </c>
      <c r="K75" s="3">
        <v>16</v>
      </c>
      <c r="L75" s="58">
        <v>15</v>
      </c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8"/>
      <c r="BZ75" s="88"/>
      <c r="CA75" s="88"/>
      <c r="CB75" s="88"/>
      <c r="CC75" s="88"/>
      <c r="CD75" s="88"/>
      <c r="CE75" s="88"/>
      <c r="CF75" s="88"/>
      <c r="CG75" s="88"/>
      <c r="CH75" s="88"/>
      <c r="CI75" s="88"/>
      <c r="CJ75" s="88"/>
      <c r="CK75" s="88"/>
      <c r="CL75" s="88"/>
      <c r="CM75" s="88"/>
      <c r="CN75" s="88"/>
      <c r="CO75" s="88"/>
      <c r="CP75" s="88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88"/>
      <c r="DB75" s="88"/>
      <c r="DC75" s="88"/>
      <c r="DD75" s="88"/>
      <c r="DE75" s="88"/>
      <c r="DF75" s="88"/>
      <c r="DG75" s="88"/>
      <c r="DH75" s="88"/>
      <c r="DI75" s="42"/>
    </row>
    <row r="76" spans="1:113" s="43" customFormat="1" x14ac:dyDescent="0.25">
      <c r="A76" s="52" t="s">
        <v>146</v>
      </c>
      <c r="B76" s="54">
        <v>1</v>
      </c>
      <c r="C76" s="55">
        <v>6</v>
      </c>
      <c r="D76" s="3">
        <v>0</v>
      </c>
      <c r="E76" s="56">
        <v>0</v>
      </c>
      <c r="F76" s="56">
        <v>5</v>
      </c>
      <c r="G76" s="3">
        <v>5</v>
      </c>
      <c r="H76" s="57">
        <v>5</v>
      </c>
      <c r="I76" s="3">
        <v>0</v>
      </c>
      <c r="J76" s="3">
        <v>5</v>
      </c>
      <c r="K76" s="3">
        <v>5</v>
      </c>
      <c r="L76" s="58">
        <v>5</v>
      </c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8"/>
      <c r="CJ76" s="88"/>
      <c r="CK76" s="88"/>
      <c r="CL76" s="88"/>
      <c r="CM76" s="88"/>
      <c r="CN76" s="88"/>
      <c r="CO76" s="88"/>
      <c r="CP76" s="88"/>
      <c r="CQ76" s="88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88"/>
      <c r="DD76" s="88"/>
      <c r="DE76" s="88"/>
      <c r="DF76" s="88"/>
      <c r="DG76" s="88"/>
      <c r="DH76" s="88"/>
      <c r="DI76" s="42"/>
    </row>
    <row r="77" spans="1:113" s="43" customFormat="1" x14ac:dyDescent="0.25">
      <c r="A77" s="52" t="s">
        <v>147</v>
      </c>
      <c r="B77" s="54">
        <v>12</v>
      </c>
      <c r="C77" s="55">
        <v>14</v>
      </c>
      <c r="D77" s="3">
        <v>0</v>
      </c>
      <c r="E77" s="56">
        <v>0</v>
      </c>
      <c r="F77" s="56">
        <v>9</v>
      </c>
      <c r="G77" s="3">
        <v>11</v>
      </c>
      <c r="H77" s="57">
        <v>11</v>
      </c>
      <c r="I77" s="3">
        <v>0</v>
      </c>
      <c r="J77" s="3">
        <v>9</v>
      </c>
      <c r="K77" s="3">
        <v>11</v>
      </c>
      <c r="L77" s="58">
        <v>11</v>
      </c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B77" s="88"/>
      <c r="CC77" s="88"/>
      <c r="CD77" s="88"/>
      <c r="CE77" s="88"/>
      <c r="CF77" s="88"/>
      <c r="CG77" s="88"/>
      <c r="CH77" s="88"/>
      <c r="CI77" s="88"/>
      <c r="CJ77" s="88"/>
      <c r="CK77" s="88"/>
      <c r="CL77" s="88"/>
      <c r="CM77" s="88"/>
      <c r="CN77" s="88"/>
      <c r="CO77" s="88"/>
      <c r="CP77" s="88"/>
      <c r="CQ77" s="88"/>
      <c r="CR77" s="88"/>
      <c r="CS77" s="88"/>
      <c r="CT77" s="88"/>
      <c r="CU77" s="88"/>
      <c r="CV77" s="88"/>
      <c r="CW77" s="88"/>
      <c r="CX77" s="88"/>
      <c r="CY77" s="88"/>
      <c r="CZ77" s="88"/>
      <c r="DA77" s="88"/>
      <c r="DB77" s="88"/>
      <c r="DC77" s="88"/>
      <c r="DD77" s="88"/>
      <c r="DE77" s="88"/>
      <c r="DF77" s="88"/>
      <c r="DG77" s="88"/>
      <c r="DH77" s="88"/>
      <c r="DI77" s="42"/>
    </row>
    <row r="78" spans="1:113" s="43" customFormat="1" x14ac:dyDescent="0.25">
      <c r="A78" s="52" t="s">
        <v>148</v>
      </c>
      <c r="B78" s="54">
        <v>32</v>
      </c>
      <c r="C78" s="55">
        <v>31</v>
      </c>
      <c r="D78" s="3">
        <v>33</v>
      </c>
      <c r="E78" s="56">
        <v>31</v>
      </c>
      <c r="F78" s="56">
        <v>37</v>
      </c>
      <c r="G78" s="3">
        <v>33</v>
      </c>
      <c r="H78" s="57">
        <v>39</v>
      </c>
      <c r="I78" s="3">
        <v>4</v>
      </c>
      <c r="J78" s="3">
        <v>35</v>
      </c>
      <c r="K78" s="3">
        <v>36</v>
      </c>
      <c r="L78" s="58">
        <v>40</v>
      </c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42"/>
    </row>
    <row r="79" spans="1:113" s="43" customFormat="1" x14ac:dyDescent="0.25">
      <c r="A79" s="52" t="s">
        <v>149</v>
      </c>
      <c r="B79" s="54">
        <v>37</v>
      </c>
      <c r="C79" s="55">
        <v>33</v>
      </c>
      <c r="D79" s="3">
        <v>0</v>
      </c>
      <c r="E79" s="56">
        <v>0</v>
      </c>
      <c r="F79" s="56">
        <v>35</v>
      </c>
      <c r="G79" s="3">
        <v>38</v>
      </c>
      <c r="H79" s="57">
        <v>27</v>
      </c>
      <c r="I79" s="3">
        <v>1</v>
      </c>
      <c r="J79" s="3">
        <v>32</v>
      </c>
      <c r="K79" s="3">
        <v>38</v>
      </c>
      <c r="L79" s="58">
        <v>28</v>
      </c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8"/>
      <c r="BT79" s="88"/>
      <c r="BU79" s="88"/>
      <c r="BV79" s="88"/>
      <c r="BW79" s="88"/>
      <c r="BX79" s="88"/>
      <c r="BY79" s="88"/>
      <c r="BZ79" s="88"/>
      <c r="CA79" s="88"/>
      <c r="CB79" s="88"/>
      <c r="CC79" s="88"/>
      <c r="CD79" s="88"/>
      <c r="CE79" s="88"/>
      <c r="CF79" s="88"/>
      <c r="CG79" s="88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8"/>
      <c r="CT79" s="88"/>
      <c r="CU79" s="88"/>
      <c r="CV79" s="88"/>
      <c r="CW79" s="88"/>
      <c r="CX79" s="88"/>
      <c r="CY79" s="88"/>
      <c r="CZ79" s="88"/>
      <c r="DA79" s="88"/>
      <c r="DB79" s="88"/>
      <c r="DC79" s="88"/>
      <c r="DD79" s="88"/>
      <c r="DE79" s="88"/>
      <c r="DF79" s="88"/>
      <c r="DG79" s="88"/>
      <c r="DH79" s="88"/>
      <c r="DI79" s="42"/>
    </row>
    <row r="80" spans="1:113" s="43" customFormat="1" x14ac:dyDescent="0.25">
      <c r="A80" s="52" t="s">
        <v>150</v>
      </c>
      <c r="B80" s="54">
        <v>1</v>
      </c>
      <c r="C80" s="55">
        <v>5</v>
      </c>
      <c r="D80" s="3">
        <v>1</v>
      </c>
      <c r="E80" s="56">
        <v>0</v>
      </c>
      <c r="F80" s="56">
        <v>2</v>
      </c>
      <c r="G80" s="3">
        <v>1</v>
      </c>
      <c r="H80" s="57">
        <v>0</v>
      </c>
      <c r="I80" s="3">
        <v>0</v>
      </c>
      <c r="J80" s="3">
        <v>1</v>
      </c>
      <c r="K80" s="3">
        <v>1</v>
      </c>
      <c r="L80" s="58">
        <v>0</v>
      </c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  <c r="BY80" s="88"/>
      <c r="BZ80" s="88"/>
      <c r="CA80" s="88"/>
      <c r="CB80" s="8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88"/>
      <c r="CQ80" s="88"/>
      <c r="CR80" s="88"/>
      <c r="CS80" s="88"/>
      <c r="CT80" s="88"/>
      <c r="CU80" s="88"/>
      <c r="CV80" s="88"/>
      <c r="CW80" s="88"/>
      <c r="CX80" s="88"/>
      <c r="CY80" s="88"/>
      <c r="CZ80" s="88"/>
      <c r="DA80" s="88"/>
      <c r="DB80" s="88"/>
      <c r="DC80" s="88"/>
      <c r="DD80" s="88"/>
      <c r="DE80" s="88"/>
      <c r="DF80" s="88"/>
      <c r="DG80" s="88"/>
      <c r="DH80" s="88"/>
      <c r="DI80" s="42"/>
    </row>
    <row r="81" spans="1:113" s="43" customFormat="1" x14ac:dyDescent="0.25">
      <c r="A81" s="52" t="s">
        <v>151</v>
      </c>
      <c r="B81" s="54">
        <v>33</v>
      </c>
      <c r="C81" s="55">
        <v>31</v>
      </c>
      <c r="D81" s="3">
        <v>0</v>
      </c>
      <c r="E81" s="56">
        <v>0</v>
      </c>
      <c r="F81" s="56">
        <v>34</v>
      </c>
      <c r="G81" s="3">
        <v>38</v>
      </c>
      <c r="H81" s="57">
        <v>33</v>
      </c>
      <c r="I81" s="3">
        <v>0</v>
      </c>
      <c r="J81" s="3">
        <v>35</v>
      </c>
      <c r="K81" s="3">
        <v>37</v>
      </c>
      <c r="L81" s="58">
        <v>32</v>
      </c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B81" s="88"/>
      <c r="CC81" s="88"/>
      <c r="CD81" s="88"/>
      <c r="CE81" s="88"/>
      <c r="CF81" s="88"/>
      <c r="CG81" s="88"/>
      <c r="CH81" s="88"/>
      <c r="CI81" s="88"/>
      <c r="CJ81" s="88"/>
      <c r="CK81" s="88"/>
      <c r="CL81" s="88"/>
      <c r="CM81" s="88"/>
      <c r="CN81" s="88"/>
      <c r="CO81" s="88"/>
      <c r="CP81" s="88"/>
      <c r="CQ81" s="88"/>
      <c r="CR81" s="88"/>
      <c r="CS81" s="88"/>
      <c r="CT81" s="88"/>
      <c r="CU81" s="88"/>
      <c r="CV81" s="88"/>
      <c r="CW81" s="88"/>
      <c r="CX81" s="88"/>
      <c r="CY81" s="88"/>
      <c r="CZ81" s="88"/>
      <c r="DA81" s="88"/>
      <c r="DB81" s="88"/>
      <c r="DC81" s="88"/>
      <c r="DD81" s="88"/>
      <c r="DE81" s="88"/>
      <c r="DF81" s="88"/>
      <c r="DG81" s="88"/>
      <c r="DH81" s="88"/>
      <c r="DI81" s="42"/>
    </row>
    <row r="82" spans="1:113" s="8" customFormat="1" x14ac:dyDescent="0.25">
      <c r="A82" s="36"/>
      <c r="B82" s="61"/>
      <c r="C82" s="62"/>
      <c r="D82" s="63"/>
      <c r="E82" s="64"/>
      <c r="F82" s="64"/>
      <c r="G82" s="63"/>
      <c r="H82" s="65"/>
      <c r="I82" s="63"/>
      <c r="J82" s="63"/>
      <c r="K82" s="63"/>
      <c r="L82" s="66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51"/>
    </row>
    <row r="83" spans="1:113" s="43" customFormat="1" x14ac:dyDescent="0.25">
      <c r="A83" s="36" t="s">
        <v>43</v>
      </c>
      <c r="B83" s="37">
        <f>SUM(B84:B98)</f>
        <v>378</v>
      </c>
      <c r="C83" s="38">
        <f t="shared" ref="C83:L83" si="7">SUM(C84:C98)</f>
        <v>402</v>
      </c>
      <c r="D83" s="4">
        <f>SUM(D84:D98)</f>
        <v>316</v>
      </c>
      <c r="E83" s="39">
        <f t="shared" si="7"/>
        <v>316</v>
      </c>
      <c r="F83" s="39">
        <f t="shared" si="7"/>
        <v>378</v>
      </c>
      <c r="G83" s="4">
        <f t="shared" si="7"/>
        <v>378</v>
      </c>
      <c r="H83" s="40">
        <f t="shared" si="7"/>
        <v>379</v>
      </c>
      <c r="I83" s="4">
        <f t="shared" si="7"/>
        <v>51</v>
      </c>
      <c r="J83" s="4">
        <f t="shared" si="7"/>
        <v>379</v>
      </c>
      <c r="K83" s="4">
        <f>SUM(K84:K98)</f>
        <v>378</v>
      </c>
      <c r="L83" s="41">
        <f t="shared" si="7"/>
        <v>379</v>
      </c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  <c r="BL83" s="88"/>
      <c r="BM83" s="88"/>
      <c r="BN83" s="88"/>
      <c r="BO83" s="88"/>
      <c r="BP83" s="88"/>
      <c r="BQ83" s="88"/>
      <c r="BR83" s="88"/>
      <c r="BS83" s="88"/>
      <c r="BT83" s="88"/>
      <c r="BU83" s="88"/>
      <c r="BV83" s="88"/>
      <c r="BW83" s="88"/>
      <c r="BX83" s="88"/>
      <c r="BY83" s="88"/>
      <c r="BZ83" s="88"/>
      <c r="CA83" s="88"/>
      <c r="CB83" s="88"/>
      <c r="CC83" s="88"/>
      <c r="CD83" s="88"/>
      <c r="CE83" s="88"/>
      <c r="CF83" s="88"/>
      <c r="CG83" s="88"/>
      <c r="CH83" s="88"/>
      <c r="CI83" s="88"/>
      <c r="CJ83" s="88"/>
      <c r="CK83" s="88"/>
      <c r="CL83" s="88"/>
      <c r="CM83" s="88"/>
      <c r="CN83" s="88"/>
      <c r="CO83" s="88"/>
      <c r="CP83" s="88"/>
      <c r="CQ83" s="88"/>
      <c r="CR83" s="88"/>
      <c r="CS83" s="88"/>
      <c r="CT83" s="88"/>
      <c r="CU83" s="88"/>
      <c r="CV83" s="88"/>
      <c r="CW83" s="88"/>
      <c r="CX83" s="88"/>
      <c r="CY83" s="88"/>
      <c r="CZ83" s="88"/>
      <c r="DA83" s="88"/>
      <c r="DB83" s="88"/>
      <c r="DC83" s="88"/>
      <c r="DD83" s="88"/>
      <c r="DE83" s="88"/>
      <c r="DF83" s="88"/>
      <c r="DG83" s="88"/>
      <c r="DH83" s="88"/>
      <c r="DI83" s="42"/>
    </row>
    <row r="84" spans="1:113" s="43" customFormat="1" x14ac:dyDescent="0.25">
      <c r="A84" s="52" t="s">
        <v>152</v>
      </c>
      <c r="B84" s="54">
        <v>36</v>
      </c>
      <c r="C84" s="55">
        <v>39</v>
      </c>
      <c r="D84" s="3">
        <v>4</v>
      </c>
      <c r="E84" s="56">
        <v>4</v>
      </c>
      <c r="F84" s="56">
        <v>45</v>
      </c>
      <c r="G84" s="3">
        <v>38</v>
      </c>
      <c r="H84" s="57">
        <v>33</v>
      </c>
      <c r="I84" s="3">
        <v>2</v>
      </c>
      <c r="J84" s="3">
        <v>45</v>
      </c>
      <c r="K84" s="3">
        <v>38</v>
      </c>
      <c r="L84" s="58">
        <v>37</v>
      </c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L84" s="88"/>
      <c r="BM84" s="88"/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88"/>
      <c r="BY84" s="88"/>
      <c r="BZ84" s="88"/>
      <c r="CA84" s="88"/>
      <c r="CB84" s="88"/>
      <c r="CC84" s="88"/>
      <c r="CD84" s="88"/>
      <c r="CE84" s="88"/>
      <c r="CF84" s="88"/>
      <c r="CG84" s="88"/>
      <c r="CH84" s="88"/>
      <c r="CI84" s="88"/>
      <c r="CJ84" s="88"/>
      <c r="CK84" s="88"/>
      <c r="CL84" s="88"/>
      <c r="CM84" s="88"/>
      <c r="CN84" s="88"/>
      <c r="CO84" s="88"/>
      <c r="CP84" s="88"/>
      <c r="CQ84" s="88"/>
      <c r="CR84" s="88"/>
      <c r="CS84" s="88"/>
      <c r="CT84" s="88"/>
      <c r="CU84" s="88"/>
      <c r="CV84" s="88"/>
      <c r="CW84" s="88"/>
      <c r="CX84" s="88"/>
      <c r="CY84" s="88"/>
      <c r="CZ84" s="88"/>
      <c r="DA84" s="88"/>
      <c r="DB84" s="88"/>
      <c r="DC84" s="88"/>
      <c r="DD84" s="88"/>
      <c r="DE84" s="88"/>
      <c r="DF84" s="88"/>
      <c r="DG84" s="88"/>
      <c r="DH84" s="88"/>
      <c r="DI84" s="42"/>
    </row>
    <row r="85" spans="1:113" s="43" customFormat="1" x14ac:dyDescent="0.25">
      <c r="A85" s="52" t="s">
        <v>153</v>
      </c>
      <c r="B85" s="54">
        <v>12</v>
      </c>
      <c r="C85" s="55">
        <v>10</v>
      </c>
      <c r="D85" s="3">
        <v>0</v>
      </c>
      <c r="E85" s="56">
        <v>0</v>
      </c>
      <c r="F85" s="56">
        <v>11</v>
      </c>
      <c r="G85" s="3">
        <v>13</v>
      </c>
      <c r="H85" s="57">
        <v>11</v>
      </c>
      <c r="I85" s="3">
        <v>0</v>
      </c>
      <c r="J85" s="3">
        <v>14</v>
      </c>
      <c r="K85" s="3">
        <v>11</v>
      </c>
      <c r="L85" s="58">
        <v>11</v>
      </c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  <c r="BY85" s="88"/>
      <c r="BZ85" s="88"/>
      <c r="CA85" s="88"/>
      <c r="CB85" s="88"/>
      <c r="CC85" s="88"/>
      <c r="CD85" s="88"/>
      <c r="CE85" s="88"/>
      <c r="CF85" s="88"/>
      <c r="CG85" s="88"/>
      <c r="CH85" s="88"/>
      <c r="CI85" s="88"/>
      <c r="CJ85" s="88"/>
      <c r="CK85" s="88"/>
      <c r="CL85" s="88"/>
      <c r="CM85" s="88"/>
      <c r="CN85" s="88"/>
      <c r="CO85" s="88"/>
      <c r="CP85" s="88"/>
      <c r="CQ85" s="88"/>
      <c r="CR85" s="88"/>
      <c r="CS85" s="88"/>
      <c r="CT85" s="88"/>
      <c r="CU85" s="88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88"/>
      <c r="DH85" s="88"/>
      <c r="DI85" s="42"/>
    </row>
    <row r="86" spans="1:113" s="43" customFormat="1" x14ac:dyDescent="0.25">
      <c r="A86" s="52" t="s">
        <v>154</v>
      </c>
      <c r="B86" s="54">
        <v>9</v>
      </c>
      <c r="C86" s="55">
        <v>10</v>
      </c>
      <c r="D86" s="3">
        <v>0</v>
      </c>
      <c r="E86" s="56">
        <v>0</v>
      </c>
      <c r="F86" s="56">
        <v>10</v>
      </c>
      <c r="G86" s="3">
        <v>13</v>
      </c>
      <c r="H86" s="57">
        <v>11</v>
      </c>
      <c r="I86" s="3">
        <v>0</v>
      </c>
      <c r="J86" s="3">
        <v>10</v>
      </c>
      <c r="K86" s="3">
        <v>13</v>
      </c>
      <c r="L86" s="58">
        <v>11</v>
      </c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  <c r="BG86" s="88"/>
      <c r="BH86" s="88"/>
      <c r="BI86" s="88"/>
      <c r="BJ86" s="88"/>
      <c r="BK86" s="88"/>
      <c r="BL86" s="88"/>
      <c r="BM86" s="88"/>
      <c r="BN86" s="88"/>
      <c r="BO86" s="88"/>
      <c r="BP86" s="88"/>
      <c r="BQ86" s="88"/>
      <c r="BR86" s="88"/>
      <c r="BS86" s="88"/>
      <c r="BT86" s="88"/>
      <c r="BU86" s="88"/>
      <c r="BV86" s="88"/>
      <c r="BW86" s="88"/>
      <c r="BX86" s="88"/>
      <c r="BY86" s="88"/>
      <c r="BZ86" s="88"/>
      <c r="CA86" s="88"/>
      <c r="CB86" s="88"/>
      <c r="CC86" s="88"/>
      <c r="CD86" s="88"/>
      <c r="CE86" s="88"/>
      <c r="CF86" s="88"/>
      <c r="CG86" s="88"/>
      <c r="CH86" s="88"/>
      <c r="CI86" s="88"/>
      <c r="CJ86" s="88"/>
      <c r="CK86" s="88"/>
      <c r="CL86" s="88"/>
      <c r="CM86" s="88"/>
      <c r="CN86" s="88"/>
      <c r="CO86" s="88"/>
      <c r="CP86" s="88"/>
      <c r="CQ86" s="88"/>
      <c r="CR86" s="88"/>
      <c r="CS86" s="88"/>
      <c r="CT86" s="88"/>
      <c r="CU86" s="88"/>
      <c r="CV86" s="88"/>
      <c r="CW86" s="88"/>
      <c r="CX86" s="88"/>
      <c r="CY86" s="88"/>
      <c r="CZ86" s="88"/>
      <c r="DA86" s="88"/>
      <c r="DB86" s="88"/>
      <c r="DC86" s="88"/>
      <c r="DD86" s="88"/>
      <c r="DE86" s="88"/>
      <c r="DF86" s="88"/>
      <c r="DG86" s="88"/>
      <c r="DH86" s="88"/>
      <c r="DI86" s="42"/>
    </row>
    <row r="87" spans="1:113" s="43" customFormat="1" x14ac:dyDescent="0.25">
      <c r="A87" s="52" t="s">
        <v>155</v>
      </c>
      <c r="B87" s="54">
        <v>8</v>
      </c>
      <c r="C87" s="55">
        <v>9</v>
      </c>
      <c r="D87" s="3">
        <v>0</v>
      </c>
      <c r="E87" s="56">
        <v>0</v>
      </c>
      <c r="F87" s="56">
        <v>6</v>
      </c>
      <c r="G87" s="3">
        <v>4</v>
      </c>
      <c r="H87" s="57">
        <v>8</v>
      </c>
      <c r="I87" s="3">
        <v>0</v>
      </c>
      <c r="J87" s="3">
        <v>8</v>
      </c>
      <c r="K87" s="3">
        <v>4</v>
      </c>
      <c r="L87" s="58">
        <v>7</v>
      </c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B87" s="88"/>
      <c r="CC87" s="88"/>
      <c r="CD87" s="88"/>
      <c r="CE87" s="88"/>
      <c r="CF87" s="88"/>
      <c r="CG87" s="88"/>
      <c r="CH87" s="88"/>
      <c r="CI87" s="88"/>
      <c r="CJ87" s="88"/>
      <c r="CK87" s="88"/>
      <c r="CL87" s="88"/>
      <c r="CM87" s="88"/>
      <c r="CN87" s="88"/>
      <c r="CO87" s="88"/>
      <c r="CP87" s="88"/>
      <c r="CQ87" s="88"/>
      <c r="CR87" s="88"/>
      <c r="CS87" s="88"/>
      <c r="CT87" s="88"/>
      <c r="CU87" s="88"/>
      <c r="CV87" s="88"/>
      <c r="CW87" s="88"/>
      <c r="CX87" s="88"/>
      <c r="CY87" s="88"/>
      <c r="CZ87" s="88"/>
      <c r="DA87" s="88"/>
      <c r="DB87" s="88"/>
      <c r="DC87" s="88"/>
      <c r="DD87" s="88"/>
      <c r="DE87" s="88"/>
      <c r="DF87" s="88"/>
      <c r="DG87" s="88"/>
      <c r="DH87" s="88"/>
      <c r="DI87" s="42"/>
    </row>
    <row r="88" spans="1:113" s="43" customFormat="1" x14ac:dyDescent="0.25">
      <c r="A88" s="52" t="s">
        <v>156</v>
      </c>
      <c r="B88" s="54">
        <v>26</v>
      </c>
      <c r="C88" s="55">
        <v>36</v>
      </c>
      <c r="D88" s="3">
        <v>1</v>
      </c>
      <c r="E88" s="56">
        <v>1</v>
      </c>
      <c r="F88" s="56">
        <v>20</v>
      </c>
      <c r="G88" s="3">
        <v>24</v>
      </c>
      <c r="H88" s="57">
        <v>23</v>
      </c>
      <c r="I88" s="3">
        <v>1</v>
      </c>
      <c r="J88" s="3">
        <v>20</v>
      </c>
      <c r="K88" s="3">
        <v>23</v>
      </c>
      <c r="L88" s="58">
        <v>22</v>
      </c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  <c r="BL88" s="88"/>
      <c r="BM88" s="88"/>
      <c r="BN88" s="88"/>
      <c r="BO88" s="88"/>
      <c r="BP88" s="88"/>
      <c r="BQ88" s="88"/>
      <c r="BR88" s="88"/>
      <c r="BS88" s="88"/>
      <c r="BT88" s="88"/>
      <c r="BU88" s="88"/>
      <c r="BV88" s="88"/>
      <c r="BW88" s="88"/>
      <c r="BX88" s="88"/>
      <c r="BY88" s="88"/>
      <c r="BZ88" s="88"/>
      <c r="CA88" s="88"/>
      <c r="CB88" s="88"/>
      <c r="CC88" s="88"/>
      <c r="CD88" s="88"/>
      <c r="CE88" s="88"/>
      <c r="CF88" s="88"/>
      <c r="CG88" s="88"/>
      <c r="CH88" s="88"/>
      <c r="CI88" s="88"/>
      <c r="CJ88" s="88"/>
      <c r="CK88" s="88"/>
      <c r="CL88" s="88"/>
      <c r="CM88" s="88"/>
      <c r="CN88" s="88"/>
      <c r="CO88" s="88"/>
      <c r="CP88" s="88"/>
      <c r="CQ88" s="88"/>
      <c r="CR88" s="88"/>
      <c r="CS88" s="88"/>
      <c r="CT88" s="88"/>
      <c r="CU88" s="88"/>
      <c r="CV88" s="88"/>
      <c r="CW88" s="88"/>
      <c r="CX88" s="88"/>
      <c r="CY88" s="88"/>
      <c r="CZ88" s="88"/>
      <c r="DA88" s="88"/>
      <c r="DB88" s="88"/>
      <c r="DC88" s="88"/>
      <c r="DD88" s="88"/>
      <c r="DE88" s="88"/>
      <c r="DF88" s="88"/>
      <c r="DG88" s="88"/>
      <c r="DH88" s="88"/>
      <c r="DI88" s="42"/>
    </row>
    <row r="89" spans="1:113" s="43" customFormat="1" x14ac:dyDescent="0.25">
      <c r="A89" s="52" t="s">
        <v>157</v>
      </c>
      <c r="B89" s="54">
        <v>40</v>
      </c>
      <c r="C89" s="55">
        <v>45</v>
      </c>
      <c r="D89" s="3">
        <f>34+264</f>
        <v>298</v>
      </c>
      <c r="E89" s="56">
        <v>298</v>
      </c>
      <c r="F89" s="56">
        <v>40</v>
      </c>
      <c r="G89" s="3">
        <v>48</v>
      </c>
      <c r="H89" s="57">
        <v>40</v>
      </c>
      <c r="I89" s="3">
        <v>48</v>
      </c>
      <c r="J89" s="3">
        <v>37</v>
      </c>
      <c r="K89" s="3">
        <v>47</v>
      </c>
      <c r="L89" s="58">
        <v>42</v>
      </c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  <c r="BG89" s="88"/>
      <c r="BH89" s="88"/>
      <c r="BI89" s="88"/>
      <c r="BJ89" s="88"/>
      <c r="BK89" s="88"/>
      <c r="BL89" s="88"/>
      <c r="BM89" s="88"/>
      <c r="BN89" s="88"/>
      <c r="BO89" s="88"/>
      <c r="BP89" s="88"/>
      <c r="BQ89" s="88"/>
      <c r="BR89" s="88"/>
      <c r="BS89" s="88"/>
      <c r="BT89" s="88"/>
      <c r="BU89" s="88"/>
      <c r="BV89" s="88"/>
      <c r="BW89" s="88"/>
      <c r="BX89" s="88"/>
      <c r="BY89" s="88"/>
      <c r="BZ89" s="88"/>
      <c r="CA89" s="88"/>
      <c r="CB89" s="88"/>
      <c r="CC89" s="88"/>
      <c r="CD89" s="88"/>
      <c r="CE89" s="88"/>
      <c r="CF89" s="88"/>
      <c r="CG89" s="88"/>
      <c r="CH89" s="88"/>
      <c r="CI89" s="88"/>
      <c r="CJ89" s="88"/>
      <c r="CK89" s="88"/>
      <c r="CL89" s="88"/>
      <c r="CM89" s="88"/>
      <c r="CN89" s="88"/>
      <c r="CO89" s="88"/>
      <c r="CP89" s="88"/>
      <c r="CQ89" s="88"/>
      <c r="CR89" s="88"/>
      <c r="CS89" s="88"/>
      <c r="CT89" s="88"/>
      <c r="CU89" s="88"/>
      <c r="CV89" s="88"/>
      <c r="CW89" s="88"/>
      <c r="CX89" s="88"/>
      <c r="CY89" s="88"/>
      <c r="CZ89" s="88"/>
      <c r="DA89" s="88"/>
      <c r="DB89" s="88"/>
      <c r="DC89" s="88"/>
      <c r="DD89" s="88"/>
      <c r="DE89" s="88"/>
      <c r="DF89" s="88"/>
      <c r="DG89" s="88"/>
      <c r="DH89" s="88"/>
      <c r="DI89" s="42"/>
    </row>
    <row r="90" spans="1:113" s="43" customFormat="1" x14ac:dyDescent="0.25">
      <c r="A90" s="52" t="s">
        <v>46</v>
      </c>
      <c r="B90" s="54">
        <v>88</v>
      </c>
      <c r="C90" s="55">
        <v>91</v>
      </c>
      <c r="D90" s="3">
        <v>9</v>
      </c>
      <c r="E90" s="56">
        <v>9</v>
      </c>
      <c r="F90" s="56">
        <v>86</v>
      </c>
      <c r="G90" s="3">
        <v>80</v>
      </c>
      <c r="H90" s="57">
        <v>91</v>
      </c>
      <c r="I90" s="3">
        <v>0</v>
      </c>
      <c r="J90" s="3">
        <v>88</v>
      </c>
      <c r="K90" s="3">
        <v>85</v>
      </c>
      <c r="L90" s="58">
        <v>85</v>
      </c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8"/>
      <c r="BQ90" s="88"/>
      <c r="BR90" s="88"/>
      <c r="BS90" s="88"/>
      <c r="BT90" s="88"/>
      <c r="BU90" s="88"/>
      <c r="BV90" s="88"/>
      <c r="BW90" s="88"/>
      <c r="BX90" s="88"/>
      <c r="BY90" s="88"/>
      <c r="BZ90" s="88"/>
      <c r="CA90" s="88"/>
      <c r="CB90" s="88"/>
      <c r="CC90" s="88"/>
      <c r="CD90" s="88"/>
      <c r="CE90" s="88"/>
      <c r="CF90" s="88"/>
      <c r="CG90" s="88"/>
      <c r="CH90" s="88"/>
      <c r="CI90" s="88"/>
      <c r="CJ90" s="88"/>
      <c r="CK90" s="88"/>
      <c r="CL90" s="88"/>
      <c r="CM90" s="88"/>
      <c r="CN90" s="88"/>
      <c r="CO90" s="88"/>
      <c r="CP90" s="88"/>
      <c r="CQ90" s="88"/>
      <c r="CR90" s="88"/>
      <c r="CS90" s="88"/>
      <c r="CT90" s="88"/>
      <c r="CU90" s="88"/>
      <c r="CV90" s="88"/>
      <c r="CW90" s="88"/>
      <c r="CX90" s="88"/>
      <c r="CY90" s="88"/>
      <c r="CZ90" s="88"/>
      <c r="DA90" s="88"/>
      <c r="DB90" s="88"/>
      <c r="DC90" s="88"/>
      <c r="DD90" s="88"/>
      <c r="DE90" s="88"/>
      <c r="DF90" s="88"/>
      <c r="DG90" s="88"/>
      <c r="DH90" s="88"/>
      <c r="DI90" s="42"/>
    </row>
    <row r="91" spans="1:113" s="43" customFormat="1" x14ac:dyDescent="0.25">
      <c r="A91" s="52" t="s">
        <v>158</v>
      </c>
      <c r="B91" s="54">
        <v>28</v>
      </c>
      <c r="C91" s="55">
        <v>20</v>
      </c>
      <c r="D91" s="3">
        <v>0</v>
      </c>
      <c r="E91" s="56">
        <v>0</v>
      </c>
      <c r="F91" s="56">
        <v>16</v>
      </c>
      <c r="G91" s="3">
        <v>18</v>
      </c>
      <c r="H91" s="57">
        <v>23</v>
      </c>
      <c r="I91" s="3">
        <v>0</v>
      </c>
      <c r="J91" s="3">
        <v>13</v>
      </c>
      <c r="K91" s="3">
        <v>17</v>
      </c>
      <c r="L91" s="58">
        <v>27</v>
      </c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  <c r="BG91" s="88"/>
      <c r="BH91" s="88"/>
      <c r="BI91" s="88"/>
      <c r="BJ91" s="88"/>
      <c r="BK91" s="88"/>
      <c r="BL91" s="88"/>
      <c r="BM91" s="88"/>
      <c r="BN91" s="88"/>
      <c r="BO91" s="88"/>
      <c r="BP91" s="88"/>
      <c r="BQ91" s="88"/>
      <c r="BR91" s="88"/>
      <c r="BS91" s="88"/>
      <c r="BT91" s="88"/>
      <c r="BU91" s="88"/>
      <c r="BV91" s="88"/>
      <c r="BW91" s="88"/>
      <c r="BX91" s="88"/>
      <c r="BY91" s="88"/>
      <c r="BZ91" s="88"/>
      <c r="CA91" s="88"/>
      <c r="CB91" s="88"/>
      <c r="CC91" s="88"/>
      <c r="CD91" s="88"/>
      <c r="CE91" s="88"/>
      <c r="CF91" s="88"/>
      <c r="CG91" s="88"/>
      <c r="CH91" s="88"/>
      <c r="CI91" s="88"/>
      <c r="CJ91" s="88"/>
      <c r="CK91" s="88"/>
      <c r="CL91" s="88"/>
      <c r="CM91" s="88"/>
      <c r="CN91" s="88"/>
      <c r="CO91" s="88"/>
      <c r="CP91" s="88"/>
      <c r="CQ91" s="88"/>
      <c r="CR91" s="88"/>
      <c r="CS91" s="88"/>
      <c r="CT91" s="88"/>
      <c r="CU91" s="88"/>
      <c r="CV91" s="88"/>
      <c r="CW91" s="88"/>
      <c r="CX91" s="88"/>
      <c r="CY91" s="88"/>
      <c r="CZ91" s="88"/>
      <c r="DA91" s="88"/>
      <c r="DB91" s="88"/>
      <c r="DC91" s="88"/>
      <c r="DD91" s="88"/>
      <c r="DE91" s="88"/>
      <c r="DF91" s="88"/>
      <c r="DG91" s="88"/>
      <c r="DH91" s="88"/>
      <c r="DI91" s="42"/>
    </row>
    <row r="92" spans="1:113" s="43" customFormat="1" x14ac:dyDescent="0.25">
      <c r="A92" s="52" t="s">
        <v>159</v>
      </c>
      <c r="B92" s="54">
        <v>8</v>
      </c>
      <c r="C92" s="55">
        <v>3</v>
      </c>
      <c r="D92" s="3">
        <v>0</v>
      </c>
      <c r="E92" s="56">
        <v>0</v>
      </c>
      <c r="F92" s="56">
        <v>12</v>
      </c>
      <c r="G92" s="3">
        <v>11</v>
      </c>
      <c r="H92" s="57">
        <v>13</v>
      </c>
      <c r="I92" s="3">
        <v>0</v>
      </c>
      <c r="J92" s="3">
        <v>12</v>
      </c>
      <c r="K92" s="3">
        <v>12</v>
      </c>
      <c r="L92" s="58">
        <v>10</v>
      </c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88"/>
      <c r="BM92" s="88"/>
      <c r="BN92" s="88"/>
      <c r="BO92" s="88"/>
      <c r="BP92" s="88"/>
      <c r="BQ92" s="88"/>
      <c r="BR92" s="88"/>
      <c r="BS92" s="88"/>
      <c r="BT92" s="88"/>
      <c r="BU92" s="88"/>
      <c r="BV92" s="88"/>
      <c r="BW92" s="88"/>
      <c r="BX92" s="88"/>
      <c r="BY92" s="88"/>
      <c r="BZ92" s="88"/>
      <c r="CA92" s="88"/>
      <c r="CB92" s="88"/>
      <c r="CC92" s="88"/>
      <c r="CD92" s="88"/>
      <c r="CE92" s="88"/>
      <c r="CF92" s="88"/>
      <c r="CG92" s="88"/>
      <c r="CH92" s="88"/>
      <c r="CI92" s="88"/>
      <c r="CJ92" s="88"/>
      <c r="CK92" s="88"/>
      <c r="CL92" s="88"/>
      <c r="CM92" s="88"/>
      <c r="CN92" s="88"/>
      <c r="CO92" s="88"/>
      <c r="CP92" s="88"/>
      <c r="CQ92" s="88"/>
      <c r="CR92" s="88"/>
      <c r="CS92" s="88"/>
      <c r="CT92" s="88"/>
      <c r="CU92" s="88"/>
      <c r="CV92" s="88"/>
      <c r="CW92" s="88"/>
      <c r="CX92" s="88"/>
      <c r="CY92" s="88"/>
      <c r="CZ92" s="88"/>
      <c r="DA92" s="88"/>
      <c r="DB92" s="88"/>
      <c r="DC92" s="88"/>
      <c r="DD92" s="88"/>
      <c r="DE92" s="88"/>
      <c r="DF92" s="88"/>
      <c r="DG92" s="88"/>
      <c r="DH92" s="88"/>
      <c r="DI92" s="42"/>
    </row>
    <row r="93" spans="1:113" s="43" customFormat="1" x14ac:dyDescent="0.25">
      <c r="A93" s="52" t="s">
        <v>47</v>
      </c>
      <c r="B93" s="54">
        <v>9</v>
      </c>
      <c r="C93" s="55">
        <v>9</v>
      </c>
      <c r="D93" s="3">
        <v>0</v>
      </c>
      <c r="E93" s="56">
        <v>0</v>
      </c>
      <c r="F93" s="56">
        <v>16</v>
      </c>
      <c r="G93" s="3">
        <v>18</v>
      </c>
      <c r="H93" s="57">
        <v>15</v>
      </c>
      <c r="I93" s="3">
        <v>0</v>
      </c>
      <c r="J93" s="3">
        <v>16</v>
      </c>
      <c r="K93" s="3">
        <v>16</v>
      </c>
      <c r="L93" s="58">
        <v>15</v>
      </c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  <c r="BH93" s="88"/>
      <c r="BI93" s="88"/>
      <c r="BJ93" s="88"/>
      <c r="BK93" s="88"/>
      <c r="BL93" s="88"/>
      <c r="BM93" s="88"/>
      <c r="BN93" s="88"/>
      <c r="BO93" s="88"/>
      <c r="BP93" s="88"/>
      <c r="BQ93" s="88"/>
      <c r="BR93" s="88"/>
      <c r="BS93" s="88"/>
      <c r="BT93" s="88"/>
      <c r="BU93" s="88"/>
      <c r="BV93" s="88"/>
      <c r="BW93" s="88"/>
      <c r="BX93" s="88"/>
      <c r="BY93" s="88"/>
      <c r="BZ93" s="88"/>
      <c r="CA93" s="88"/>
      <c r="CB93" s="88"/>
      <c r="CC93" s="88"/>
      <c r="CD93" s="88"/>
      <c r="CE93" s="88"/>
      <c r="CF93" s="88"/>
      <c r="CG93" s="88"/>
      <c r="CH93" s="88"/>
      <c r="CI93" s="88"/>
      <c r="CJ93" s="88"/>
      <c r="CK93" s="88"/>
      <c r="CL93" s="88"/>
      <c r="CM93" s="88"/>
      <c r="CN93" s="88"/>
      <c r="CO93" s="88"/>
      <c r="CP93" s="88"/>
      <c r="CQ93" s="88"/>
      <c r="CR93" s="88"/>
      <c r="CS93" s="88"/>
      <c r="CT93" s="88"/>
      <c r="CU93" s="88"/>
      <c r="CV93" s="88"/>
      <c r="CW93" s="88"/>
      <c r="CX93" s="88"/>
      <c r="CY93" s="88"/>
      <c r="CZ93" s="88"/>
      <c r="DA93" s="88"/>
      <c r="DB93" s="88"/>
      <c r="DC93" s="88"/>
      <c r="DD93" s="88"/>
      <c r="DE93" s="88"/>
      <c r="DF93" s="88"/>
      <c r="DG93" s="88"/>
      <c r="DH93" s="88"/>
      <c r="DI93" s="42"/>
    </row>
    <row r="94" spans="1:113" s="43" customFormat="1" x14ac:dyDescent="0.25">
      <c r="A94" s="52" t="s">
        <v>160</v>
      </c>
      <c r="B94" s="54">
        <v>34</v>
      </c>
      <c r="C94" s="55">
        <v>45</v>
      </c>
      <c r="D94" s="3">
        <v>3</v>
      </c>
      <c r="E94" s="56">
        <v>3</v>
      </c>
      <c r="F94" s="56">
        <v>35</v>
      </c>
      <c r="G94" s="3">
        <v>38</v>
      </c>
      <c r="H94" s="57">
        <v>36</v>
      </c>
      <c r="I94" s="3">
        <v>0</v>
      </c>
      <c r="J94" s="3">
        <v>37</v>
      </c>
      <c r="K94" s="3">
        <v>39</v>
      </c>
      <c r="L94" s="58">
        <v>34</v>
      </c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88"/>
      <c r="BN94" s="88"/>
      <c r="BO94" s="88"/>
      <c r="BP94" s="88"/>
      <c r="BQ94" s="88"/>
      <c r="BR94" s="88"/>
      <c r="BS94" s="88"/>
      <c r="BT94" s="88"/>
      <c r="BU94" s="88"/>
      <c r="BV94" s="88"/>
      <c r="BW94" s="88"/>
      <c r="BX94" s="88"/>
      <c r="BY94" s="88"/>
      <c r="BZ94" s="88"/>
      <c r="CA94" s="88"/>
      <c r="CB94" s="88"/>
      <c r="CC94" s="88"/>
      <c r="CD94" s="88"/>
      <c r="CE94" s="88"/>
      <c r="CF94" s="88"/>
      <c r="CG94" s="88"/>
      <c r="CH94" s="88"/>
      <c r="CI94" s="88"/>
      <c r="CJ94" s="88"/>
      <c r="CK94" s="88"/>
      <c r="CL94" s="88"/>
      <c r="CM94" s="88"/>
      <c r="CN94" s="88"/>
      <c r="CO94" s="88"/>
      <c r="CP94" s="88"/>
      <c r="CQ94" s="88"/>
      <c r="CR94" s="88"/>
      <c r="CS94" s="88"/>
      <c r="CT94" s="88"/>
      <c r="CU94" s="88"/>
      <c r="CV94" s="88"/>
      <c r="CW94" s="88"/>
      <c r="CX94" s="88"/>
      <c r="CY94" s="88"/>
      <c r="CZ94" s="88"/>
      <c r="DA94" s="88"/>
      <c r="DB94" s="88"/>
      <c r="DC94" s="88"/>
      <c r="DD94" s="88"/>
      <c r="DE94" s="88"/>
      <c r="DF94" s="88"/>
      <c r="DG94" s="88"/>
      <c r="DH94" s="88"/>
      <c r="DI94" s="42"/>
    </row>
    <row r="95" spans="1:113" s="43" customFormat="1" x14ac:dyDescent="0.25">
      <c r="A95" s="52" t="s">
        <v>161</v>
      </c>
      <c r="B95" s="54">
        <v>33</v>
      </c>
      <c r="C95" s="55">
        <v>30</v>
      </c>
      <c r="D95" s="3">
        <v>0</v>
      </c>
      <c r="E95" s="56">
        <v>0</v>
      </c>
      <c r="F95" s="56">
        <v>35</v>
      </c>
      <c r="G95" s="3">
        <v>36</v>
      </c>
      <c r="H95" s="57">
        <v>33</v>
      </c>
      <c r="I95" s="3">
        <v>0</v>
      </c>
      <c r="J95" s="3">
        <v>36</v>
      </c>
      <c r="K95" s="3">
        <v>34</v>
      </c>
      <c r="L95" s="58">
        <v>35</v>
      </c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  <c r="BH95" s="88"/>
      <c r="BI95" s="88"/>
      <c r="BJ95" s="88"/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88"/>
      <c r="BV95" s="88"/>
      <c r="BW95" s="88"/>
      <c r="BX95" s="88"/>
      <c r="BY95" s="88"/>
      <c r="BZ95" s="88"/>
      <c r="CA95" s="88"/>
      <c r="CB95" s="88"/>
      <c r="CC95" s="88"/>
      <c r="CD95" s="88"/>
      <c r="CE95" s="88"/>
      <c r="CF95" s="88"/>
      <c r="CG95" s="88"/>
      <c r="CH95" s="88"/>
      <c r="CI95" s="88"/>
      <c r="CJ95" s="88"/>
      <c r="CK95" s="88"/>
      <c r="CL95" s="88"/>
      <c r="CM95" s="88"/>
      <c r="CN95" s="88"/>
      <c r="CO95" s="88"/>
      <c r="CP95" s="88"/>
      <c r="CQ95" s="88"/>
      <c r="CR95" s="88"/>
      <c r="CS95" s="88"/>
      <c r="CT95" s="88"/>
      <c r="CU95" s="88"/>
      <c r="CV95" s="88"/>
      <c r="CW95" s="88"/>
      <c r="CX95" s="88"/>
      <c r="CY95" s="88"/>
      <c r="CZ95" s="88"/>
      <c r="DA95" s="88"/>
      <c r="DB95" s="88"/>
      <c r="DC95" s="88"/>
      <c r="DD95" s="88"/>
      <c r="DE95" s="88"/>
      <c r="DF95" s="88"/>
      <c r="DG95" s="88"/>
      <c r="DH95" s="88"/>
      <c r="DI95" s="42"/>
    </row>
    <row r="96" spans="1:113" s="43" customFormat="1" x14ac:dyDescent="0.25">
      <c r="A96" s="52" t="s">
        <v>162</v>
      </c>
      <c r="B96" s="54">
        <v>4</v>
      </c>
      <c r="C96" s="55">
        <v>6</v>
      </c>
      <c r="D96" s="3">
        <v>0</v>
      </c>
      <c r="E96" s="56">
        <v>0</v>
      </c>
      <c r="F96" s="56">
        <v>4</v>
      </c>
      <c r="G96" s="3">
        <v>4</v>
      </c>
      <c r="H96" s="57">
        <v>5</v>
      </c>
      <c r="I96" s="3">
        <v>0</v>
      </c>
      <c r="J96" s="3">
        <v>4</v>
      </c>
      <c r="K96" s="3">
        <v>4</v>
      </c>
      <c r="L96" s="58">
        <v>5</v>
      </c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  <c r="BE96" s="88"/>
      <c r="BF96" s="88"/>
      <c r="BG96" s="88"/>
      <c r="BH96" s="88"/>
      <c r="BI96" s="88"/>
      <c r="BJ96" s="88"/>
      <c r="BK96" s="88"/>
      <c r="BL96" s="88"/>
      <c r="BM96" s="88"/>
      <c r="BN96" s="88"/>
      <c r="BO96" s="88"/>
      <c r="BP96" s="88"/>
      <c r="BQ96" s="88"/>
      <c r="BR96" s="88"/>
      <c r="BS96" s="88"/>
      <c r="BT96" s="88"/>
      <c r="BU96" s="88"/>
      <c r="BV96" s="88"/>
      <c r="BW96" s="88"/>
      <c r="BX96" s="88"/>
      <c r="BY96" s="88"/>
      <c r="BZ96" s="88"/>
      <c r="CA96" s="88"/>
      <c r="CB96" s="88"/>
      <c r="CC96" s="88"/>
      <c r="CD96" s="88"/>
      <c r="CE96" s="88"/>
      <c r="CF96" s="88"/>
      <c r="CG96" s="88"/>
      <c r="CH96" s="88"/>
      <c r="CI96" s="88"/>
      <c r="CJ96" s="88"/>
      <c r="CK96" s="88"/>
      <c r="CL96" s="88"/>
      <c r="CM96" s="88"/>
      <c r="CN96" s="88"/>
      <c r="CO96" s="88"/>
      <c r="CP96" s="88"/>
      <c r="CQ96" s="88"/>
      <c r="CR96" s="88"/>
      <c r="CS96" s="88"/>
      <c r="CT96" s="88"/>
      <c r="CU96" s="88"/>
      <c r="CV96" s="88"/>
      <c r="CW96" s="88"/>
      <c r="CX96" s="88"/>
      <c r="CY96" s="88"/>
      <c r="CZ96" s="88"/>
      <c r="DA96" s="88"/>
      <c r="DB96" s="88"/>
      <c r="DC96" s="88"/>
      <c r="DD96" s="88"/>
      <c r="DE96" s="88"/>
      <c r="DF96" s="88"/>
      <c r="DG96" s="88"/>
      <c r="DH96" s="88"/>
      <c r="DI96" s="42"/>
    </row>
    <row r="97" spans="1:113" s="43" customFormat="1" x14ac:dyDescent="0.25">
      <c r="A97" s="52" t="s">
        <v>163</v>
      </c>
      <c r="B97" s="54">
        <v>23</v>
      </c>
      <c r="C97" s="55">
        <v>34</v>
      </c>
      <c r="D97" s="3">
        <v>1</v>
      </c>
      <c r="E97" s="56">
        <v>1</v>
      </c>
      <c r="F97" s="56">
        <v>26</v>
      </c>
      <c r="G97" s="3">
        <v>25</v>
      </c>
      <c r="H97" s="57">
        <v>25</v>
      </c>
      <c r="I97" s="3">
        <v>0</v>
      </c>
      <c r="J97" s="3">
        <v>26</v>
      </c>
      <c r="K97" s="3">
        <v>25</v>
      </c>
      <c r="L97" s="58">
        <v>25</v>
      </c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88"/>
      <c r="DB97" s="88"/>
      <c r="DC97" s="88"/>
      <c r="DD97" s="88"/>
      <c r="DE97" s="88"/>
      <c r="DF97" s="88"/>
      <c r="DG97" s="88"/>
      <c r="DH97" s="88"/>
      <c r="DI97" s="42"/>
    </row>
    <row r="98" spans="1:113" s="43" customFormat="1" x14ac:dyDescent="0.25">
      <c r="A98" s="52" t="s">
        <v>164</v>
      </c>
      <c r="B98" s="54">
        <v>20</v>
      </c>
      <c r="C98" s="55">
        <v>15</v>
      </c>
      <c r="D98" s="3">
        <v>0</v>
      </c>
      <c r="E98" s="56">
        <v>0</v>
      </c>
      <c r="F98" s="56">
        <v>16</v>
      </c>
      <c r="G98" s="3">
        <v>8</v>
      </c>
      <c r="H98" s="57">
        <v>12</v>
      </c>
      <c r="I98" s="3">
        <v>0</v>
      </c>
      <c r="J98" s="3">
        <v>13</v>
      </c>
      <c r="K98" s="3">
        <v>10</v>
      </c>
      <c r="L98" s="58">
        <v>13</v>
      </c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8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88"/>
      <c r="CB98" s="88"/>
      <c r="CC98" s="88"/>
      <c r="CD98" s="88"/>
      <c r="CE98" s="88"/>
      <c r="CF98" s="88"/>
      <c r="CG98" s="88"/>
      <c r="CH98" s="88"/>
      <c r="CI98" s="88"/>
      <c r="CJ98" s="88"/>
      <c r="CK98" s="88"/>
      <c r="CL98" s="88"/>
      <c r="CM98" s="88"/>
      <c r="CN98" s="88"/>
      <c r="CO98" s="88"/>
      <c r="CP98" s="88"/>
      <c r="CQ98" s="88"/>
      <c r="CR98" s="88"/>
      <c r="CS98" s="88"/>
      <c r="CT98" s="88"/>
      <c r="CU98" s="88"/>
      <c r="CV98" s="88"/>
      <c r="CW98" s="88"/>
      <c r="CX98" s="88"/>
      <c r="CY98" s="88"/>
      <c r="CZ98" s="88"/>
      <c r="DA98" s="88"/>
      <c r="DB98" s="88"/>
      <c r="DC98" s="88"/>
      <c r="DD98" s="88"/>
      <c r="DE98" s="88"/>
      <c r="DF98" s="88"/>
      <c r="DG98" s="88"/>
      <c r="DH98" s="88"/>
      <c r="DI98" s="42"/>
    </row>
    <row r="99" spans="1:113" s="8" customFormat="1" x14ac:dyDescent="0.25">
      <c r="A99" s="36"/>
      <c r="B99" s="61"/>
      <c r="C99" s="62"/>
      <c r="D99" s="63"/>
      <c r="E99" s="64"/>
      <c r="F99" s="64"/>
      <c r="G99" s="63"/>
      <c r="H99" s="65"/>
      <c r="I99" s="63"/>
      <c r="J99" s="63"/>
      <c r="K99" s="63"/>
      <c r="L99" s="66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51"/>
    </row>
    <row r="100" spans="1:113" s="43" customFormat="1" x14ac:dyDescent="0.25">
      <c r="A100" s="36" t="s">
        <v>49</v>
      </c>
      <c r="B100" s="37">
        <f>SUM(B101:B113)</f>
        <v>203</v>
      </c>
      <c r="C100" s="38">
        <f t="shared" ref="C100:L100" si="8">SUM(C101:C113)</f>
        <v>201</v>
      </c>
      <c r="D100" s="4">
        <f>SUM(D101:D113)</f>
        <v>92</v>
      </c>
      <c r="E100" s="39">
        <f t="shared" si="8"/>
        <v>92</v>
      </c>
      <c r="F100" s="39">
        <f t="shared" si="8"/>
        <v>224</v>
      </c>
      <c r="G100" s="4">
        <f t="shared" si="8"/>
        <v>224</v>
      </c>
      <c r="H100" s="40">
        <f t="shared" si="8"/>
        <v>225</v>
      </c>
      <c r="I100" s="4">
        <f t="shared" si="8"/>
        <v>38</v>
      </c>
      <c r="J100" s="4">
        <f t="shared" si="8"/>
        <v>224</v>
      </c>
      <c r="K100" s="4">
        <f t="shared" si="8"/>
        <v>224</v>
      </c>
      <c r="L100" s="41">
        <f t="shared" si="8"/>
        <v>225</v>
      </c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  <c r="BY100" s="88"/>
      <c r="BZ100" s="88"/>
      <c r="CA100" s="88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88"/>
      <c r="CR100" s="88"/>
      <c r="CS100" s="88"/>
      <c r="CT100" s="88"/>
      <c r="CU100" s="88"/>
      <c r="CV100" s="88"/>
      <c r="CW100" s="88"/>
      <c r="CX100" s="88"/>
      <c r="CY100" s="88"/>
      <c r="CZ100" s="88"/>
      <c r="DA100" s="88"/>
      <c r="DB100" s="88"/>
      <c r="DC100" s="88"/>
      <c r="DD100" s="88"/>
      <c r="DE100" s="88"/>
      <c r="DF100" s="88"/>
      <c r="DG100" s="88"/>
      <c r="DH100" s="88"/>
      <c r="DI100" s="42"/>
    </row>
    <row r="101" spans="1:113" s="43" customFormat="1" x14ac:dyDescent="0.25">
      <c r="A101" s="52" t="s">
        <v>165</v>
      </c>
      <c r="B101" s="54">
        <v>13</v>
      </c>
      <c r="C101" s="55">
        <v>12</v>
      </c>
      <c r="D101" s="3">
        <v>0</v>
      </c>
      <c r="E101" s="56">
        <v>0</v>
      </c>
      <c r="F101" s="56">
        <v>19</v>
      </c>
      <c r="G101" s="3">
        <v>11</v>
      </c>
      <c r="H101" s="57">
        <v>17</v>
      </c>
      <c r="I101" s="3">
        <v>0</v>
      </c>
      <c r="J101" s="3">
        <v>20</v>
      </c>
      <c r="K101" s="3">
        <v>12</v>
      </c>
      <c r="L101" s="58">
        <v>16</v>
      </c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  <c r="BH101" s="88"/>
      <c r="BI101" s="88"/>
      <c r="BJ101" s="88"/>
      <c r="BK101" s="88"/>
      <c r="BL101" s="88"/>
      <c r="BM101" s="88"/>
      <c r="BN101" s="88"/>
      <c r="BO101" s="88"/>
      <c r="BP101" s="88"/>
      <c r="BQ101" s="88"/>
      <c r="BR101" s="88"/>
      <c r="BS101" s="88"/>
      <c r="BT101" s="88"/>
      <c r="BU101" s="88"/>
      <c r="BV101" s="88"/>
      <c r="BW101" s="88"/>
      <c r="BX101" s="88"/>
      <c r="BY101" s="88"/>
      <c r="BZ101" s="88"/>
      <c r="CA101" s="88"/>
      <c r="CB101" s="88"/>
      <c r="CC101" s="88"/>
      <c r="CD101" s="88"/>
      <c r="CE101" s="88"/>
      <c r="CF101" s="88"/>
      <c r="CG101" s="88"/>
      <c r="CH101" s="88"/>
      <c r="CI101" s="88"/>
      <c r="CJ101" s="88"/>
      <c r="CK101" s="88"/>
      <c r="CL101" s="88"/>
      <c r="CM101" s="88"/>
      <c r="CN101" s="88"/>
      <c r="CO101" s="88"/>
      <c r="CP101" s="88"/>
      <c r="CQ101" s="88"/>
      <c r="CR101" s="88"/>
      <c r="CS101" s="88"/>
      <c r="CT101" s="88"/>
      <c r="CU101" s="88"/>
      <c r="CV101" s="88"/>
      <c r="CW101" s="88"/>
      <c r="CX101" s="88"/>
      <c r="CY101" s="88"/>
      <c r="CZ101" s="88"/>
      <c r="DA101" s="88"/>
      <c r="DB101" s="88"/>
      <c r="DC101" s="88"/>
      <c r="DD101" s="88"/>
      <c r="DE101" s="88"/>
      <c r="DF101" s="88"/>
      <c r="DG101" s="88"/>
      <c r="DH101" s="88"/>
      <c r="DI101" s="42"/>
    </row>
    <row r="102" spans="1:113" s="43" customFormat="1" x14ac:dyDescent="0.25">
      <c r="A102" s="52" t="s">
        <v>166</v>
      </c>
      <c r="B102" s="54">
        <v>6</v>
      </c>
      <c r="C102" s="55">
        <v>2</v>
      </c>
      <c r="D102" s="3">
        <v>0</v>
      </c>
      <c r="E102" s="56">
        <v>0</v>
      </c>
      <c r="F102" s="56">
        <v>7</v>
      </c>
      <c r="G102" s="3">
        <v>3</v>
      </c>
      <c r="H102" s="57">
        <v>7</v>
      </c>
      <c r="I102" s="3">
        <v>0</v>
      </c>
      <c r="J102" s="3">
        <v>5</v>
      </c>
      <c r="K102" s="3">
        <v>4</v>
      </c>
      <c r="L102" s="58">
        <v>6</v>
      </c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  <c r="BG102" s="88"/>
      <c r="BH102" s="88"/>
      <c r="BI102" s="88"/>
      <c r="BJ102" s="88"/>
      <c r="BK102" s="88"/>
      <c r="BL102" s="88"/>
      <c r="BM102" s="88"/>
      <c r="BN102" s="88"/>
      <c r="BO102" s="88"/>
      <c r="BP102" s="88"/>
      <c r="BQ102" s="88"/>
      <c r="BR102" s="88"/>
      <c r="BS102" s="88"/>
      <c r="BT102" s="88"/>
      <c r="BU102" s="88"/>
      <c r="BV102" s="88"/>
      <c r="BW102" s="88"/>
      <c r="BX102" s="88"/>
      <c r="BY102" s="88"/>
      <c r="BZ102" s="88"/>
      <c r="CA102" s="88"/>
      <c r="CB102" s="88"/>
      <c r="CC102" s="88"/>
      <c r="CD102" s="88"/>
      <c r="CE102" s="88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8"/>
      <c r="CQ102" s="88"/>
      <c r="CR102" s="88"/>
      <c r="CS102" s="88"/>
      <c r="CT102" s="88"/>
      <c r="CU102" s="88"/>
      <c r="CV102" s="88"/>
      <c r="CW102" s="88"/>
      <c r="CX102" s="88"/>
      <c r="CY102" s="88"/>
      <c r="CZ102" s="88"/>
      <c r="DA102" s="88"/>
      <c r="DB102" s="88"/>
      <c r="DC102" s="88"/>
      <c r="DD102" s="88"/>
      <c r="DE102" s="88"/>
      <c r="DF102" s="88"/>
      <c r="DG102" s="88"/>
      <c r="DH102" s="88"/>
      <c r="DI102" s="42"/>
    </row>
    <row r="103" spans="1:113" s="43" customFormat="1" x14ac:dyDescent="0.25">
      <c r="A103" s="52" t="s">
        <v>167</v>
      </c>
      <c r="B103" s="54">
        <v>10</v>
      </c>
      <c r="C103" s="55">
        <v>14</v>
      </c>
      <c r="D103" s="3">
        <v>0</v>
      </c>
      <c r="E103" s="56">
        <v>0</v>
      </c>
      <c r="F103" s="56">
        <v>8</v>
      </c>
      <c r="G103" s="3">
        <v>10</v>
      </c>
      <c r="H103" s="57">
        <v>8</v>
      </c>
      <c r="I103" s="3">
        <v>0</v>
      </c>
      <c r="J103" s="3">
        <v>9</v>
      </c>
      <c r="K103" s="3">
        <v>10</v>
      </c>
      <c r="L103" s="58">
        <v>8</v>
      </c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  <c r="BI103" s="88"/>
      <c r="BJ103" s="88"/>
      <c r="BK103" s="88"/>
      <c r="BL103" s="88"/>
      <c r="BM103" s="88"/>
      <c r="BN103" s="88"/>
      <c r="BO103" s="88"/>
      <c r="BP103" s="88"/>
      <c r="BQ103" s="88"/>
      <c r="BR103" s="88"/>
      <c r="BS103" s="88"/>
      <c r="BT103" s="88"/>
      <c r="BU103" s="88"/>
      <c r="BV103" s="88"/>
      <c r="BW103" s="88"/>
      <c r="BX103" s="88"/>
      <c r="BY103" s="88"/>
      <c r="BZ103" s="88"/>
      <c r="CA103" s="88"/>
      <c r="CB103" s="88"/>
      <c r="CC103" s="88"/>
      <c r="CD103" s="88"/>
      <c r="CE103" s="88"/>
      <c r="CF103" s="88"/>
      <c r="CG103" s="88"/>
      <c r="CH103" s="88"/>
      <c r="CI103" s="88"/>
      <c r="CJ103" s="88"/>
      <c r="CK103" s="88"/>
      <c r="CL103" s="88"/>
      <c r="CM103" s="88"/>
      <c r="CN103" s="88"/>
      <c r="CO103" s="88"/>
      <c r="CP103" s="88"/>
      <c r="CQ103" s="88"/>
      <c r="CR103" s="88"/>
      <c r="CS103" s="88"/>
      <c r="CT103" s="88"/>
      <c r="CU103" s="88"/>
      <c r="CV103" s="88"/>
      <c r="CW103" s="88"/>
      <c r="CX103" s="88"/>
      <c r="CY103" s="88"/>
      <c r="CZ103" s="88"/>
      <c r="DA103" s="88"/>
      <c r="DB103" s="88"/>
      <c r="DC103" s="88"/>
      <c r="DD103" s="88"/>
      <c r="DE103" s="88"/>
      <c r="DF103" s="88"/>
      <c r="DG103" s="88"/>
      <c r="DH103" s="88"/>
      <c r="DI103" s="42"/>
    </row>
    <row r="104" spans="1:113" s="43" customFormat="1" x14ac:dyDescent="0.25">
      <c r="A104" s="52" t="s">
        <v>168</v>
      </c>
      <c r="B104" s="54">
        <v>17</v>
      </c>
      <c r="C104" s="55">
        <v>14</v>
      </c>
      <c r="D104" s="3">
        <v>0</v>
      </c>
      <c r="E104" s="56">
        <v>0</v>
      </c>
      <c r="F104" s="56">
        <v>14</v>
      </c>
      <c r="G104" s="3">
        <v>20</v>
      </c>
      <c r="H104" s="57">
        <v>15</v>
      </c>
      <c r="I104" s="3">
        <v>2</v>
      </c>
      <c r="J104" s="3">
        <v>14</v>
      </c>
      <c r="K104" s="3">
        <v>21</v>
      </c>
      <c r="L104" s="58">
        <v>16</v>
      </c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88"/>
      <c r="BN104" s="88"/>
      <c r="BO104" s="88"/>
      <c r="BP104" s="88"/>
      <c r="BQ104" s="88"/>
      <c r="BR104" s="88"/>
      <c r="BS104" s="88"/>
      <c r="BT104" s="88"/>
      <c r="BU104" s="88"/>
      <c r="BV104" s="88"/>
      <c r="BW104" s="88"/>
      <c r="BX104" s="88"/>
      <c r="BY104" s="88"/>
      <c r="BZ104" s="88"/>
      <c r="CA104" s="88"/>
      <c r="CB104" s="88"/>
      <c r="CC104" s="88"/>
      <c r="CD104" s="88"/>
      <c r="CE104" s="88"/>
      <c r="CF104" s="88"/>
      <c r="CG104" s="88"/>
      <c r="CH104" s="88"/>
      <c r="CI104" s="88"/>
      <c r="CJ104" s="88"/>
      <c r="CK104" s="88"/>
      <c r="CL104" s="88"/>
      <c r="CM104" s="88"/>
      <c r="CN104" s="88"/>
      <c r="CO104" s="88"/>
      <c r="CP104" s="88"/>
      <c r="CQ104" s="88"/>
      <c r="CR104" s="88"/>
      <c r="CS104" s="88"/>
      <c r="CT104" s="88"/>
      <c r="CU104" s="88"/>
      <c r="CV104" s="88"/>
      <c r="CW104" s="88"/>
      <c r="CX104" s="88"/>
      <c r="CY104" s="88"/>
      <c r="CZ104" s="88"/>
      <c r="DA104" s="88"/>
      <c r="DB104" s="88"/>
      <c r="DC104" s="88"/>
      <c r="DD104" s="88"/>
      <c r="DE104" s="88"/>
      <c r="DF104" s="88"/>
      <c r="DG104" s="88"/>
      <c r="DH104" s="88"/>
      <c r="DI104" s="42"/>
    </row>
    <row r="105" spans="1:113" s="43" customFormat="1" x14ac:dyDescent="0.25">
      <c r="A105" s="52" t="s">
        <v>169</v>
      </c>
      <c r="B105" s="54">
        <v>12</v>
      </c>
      <c r="C105" s="55">
        <v>7</v>
      </c>
      <c r="D105" s="3">
        <v>0</v>
      </c>
      <c r="E105" s="56">
        <v>0</v>
      </c>
      <c r="F105" s="56">
        <v>7</v>
      </c>
      <c r="G105" s="3">
        <v>8</v>
      </c>
      <c r="H105" s="57">
        <v>13</v>
      </c>
      <c r="I105" s="3">
        <v>0</v>
      </c>
      <c r="J105" s="3">
        <v>8</v>
      </c>
      <c r="K105" s="3">
        <v>7</v>
      </c>
      <c r="L105" s="58">
        <v>13</v>
      </c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88"/>
      <c r="CB105" s="88"/>
      <c r="CC105" s="88"/>
      <c r="CD105" s="88"/>
      <c r="CE105" s="88"/>
      <c r="CF105" s="88"/>
      <c r="CG105" s="88"/>
      <c r="CH105" s="88"/>
      <c r="CI105" s="88"/>
      <c r="CJ105" s="88"/>
      <c r="CK105" s="88"/>
      <c r="CL105" s="88"/>
      <c r="CM105" s="88"/>
      <c r="CN105" s="88"/>
      <c r="CO105" s="88"/>
      <c r="CP105" s="88"/>
      <c r="CQ105" s="88"/>
      <c r="CR105" s="88"/>
      <c r="CS105" s="88"/>
      <c r="CT105" s="88"/>
      <c r="CU105" s="88"/>
      <c r="CV105" s="88"/>
      <c r="CW105" s="88"/>
      <c r="CX105" s="88"/>
      <c r="CY105" s="88"/>
      <c r="CZ105" s="88"/>
      <c r="DA105" s="88"/>
      <c r="DB105" s="88"/>
      <c r="DC105" s="88"/>
      <c r="DD105" s="88"/>
      <c r="DE105" s="88"/>
      <c r="DF105" s="88"/>
      <c r="DG105" s="88"/>
      <c r="DH105" s="88"/>
      <c r="DI105" s="42"/>
    </row>
    <row r="106" spans="1:113" s="43" customFormat="1" x14ac:dyDescent="0.25">
      <c r="A106" s="52" t="s">
        <v>170</v>
      </c>
      <c r="B106" s="54">
        <v>11</v>
      </c>
      <c r="C106" s="55">
        <v>14</v>
      </c>
      <c r="D106" s="3">
        <v>0</v>
      </c>
      <c r="E106" s="56">
        <v>0</v>
      </c>
      <c r="F106" s="56">
        <v>17</v>
      </c>
      <c r="G106" s="3">
        <v>10</v>
      </c>
      <c r="H106" s="57">
        <v>16</v>
      </c>
      <c r="I106" s="3">
        <v>0</v>
      </c>
      <c r="J106" s="3">
        <v>15</v>
      </c>
      <c r="K106" s="3">
        <v>9</v>
      </c>
      <c r="L106" s="58">
        <v>17</v>
      </c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88"/>
      <c r="CB106" s="88"/>
      <c r="CC106" s="88"/>
      <c r="CD106" s="88"/>
      <c r="CE106" s="88"/>
      <c r="CF106" s="88"/>
      <c r="CG106" s="88"/>
      <c r="CH106" s="88"/>
      <c r="CI106" s="88"/>
      <c r="CJ106" s="88"/>
      <c r="CK106" s="88"/>
      <c r="CL106" s="88"/>
      <c r="CM106" s="88"/>
      <c r="CN106" s="88"/>
      <c r="CO106" s="88"/>
      <c r="CP106" s="88"/>
      <c r="CQ106" s="88"/>
      <c r="CR106" s="88"/>
      <c r="CS106" s="88"/>
      <c r="CT106" s="88"/>
      <c r="CU106" s="88"/>
      <c r="CV106" s="88"/>
      <c r="CW106" s="88"/>
      <c r="CX106" s="88"/>
      <c r="CY106" s="88"/>
      <c r="CZ106" s="88"/>
      <c r="DA106" s="88"/>
      <c r="DB106" s="88"/>
      <c r="DC106" s="88"/>
      <c r="DD106" s="88"/>
      <c r="DE106" s="88"/>
      <c r="DF106" s="88"/>
      <c r="DG106" s="88"/>
      <c r="DH106" s="88"/>
      <c r="DI106" s="42"/>
    </row>
    <row r="107" spans="1:113" s="43" customFormat="1" x14ac:dyDescent="0.25">
      <c r="A107" s="52" t="s">
        <v>171</v>
      </c>
      <c r="B107" s="54">
        <v>24</v>
      </c>
      <c r="C107" s="55">
        <v>21</v>
      </c>
      <c r="D107" s="3">
        <v>0</v>
      </c>
      <c r="E107" s="56">
        <v>0</v>
      </c>
      <c r="F107" s="56">
        <v>17</v>
      </c>
      <c r="G107" s="3">
        <v>24</v>
      </c>
      <c r="H107" s="57">
        <v>21</v>
      </c>
      <c r="I107" s="3">
        <v>0</v>
      </c>
      <c r="J107" s="3">
        <v>16</v>
      </c>
      <c r="K107" s="3">
        <v>23</v>
      </c>
      <c r="L107" s="58">
        <v>20</v>
      </c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  <c r="BC107" s="88"/>
      <c r="BD107" s="88"/>
      <c r="BE107" s="88"/>
      <c r="BF107" s="88"/>
      <c r="BG107" s="88"/>
      <c r="BH107" s="88"/>
      <c r="BI107" s="88"/>
      <c r="BJ107" s="88"/>
      <c r="BK107" s="88"/>
      <c r="BL107" s="88"/>
      <c r="BM107" s="88"/>
      <c r="BN107" s="88"/>
      <c r="BO107" s="88"/>
      <c r="BP107" s="88"/>
      <c r="BQ107" s="88"/>
      <c r="BR107" s="88"/>
      <c r="BS107" s="88"/>
      <c r="BT107" s="88"/>
      <c r="BU107" s="88"/>
      <c r="BV107" s="88"/>
      <c r="BW107" s="88"/>
      <c r="BX107" s="88"/>
      <c r="BY107" s="88"/>
      <c r="BZ107" s="88"/>
      <c r="CA107" s="88"/>
      <c r="CB107" s="88"/>
      <c r="CC107" s="88"/>
      <c r="CD107" s="88"/>
      <c r="CE107" s="88"/>
      <c r="CF107" s="88"/>
      <c r="CG107" s="88"/>
      <c r="CH107" s="88"/>
      <c r="CI107" s="88"/>
      <c r="CJ107" s="88"/>
      <c r="CK107" s="88"/>
      <c r="CL107" s="88"/>
      <c r="CM107" s="88"/>
      <c r="CN107" s="88"/>
      <c r="CO107" s="88"/>
      <c r="CP107" s="88"/>
      <c r="CQ107" s="88"/>
      <c r="CR107" s="88"/>
      <c r="CS107" s="88"/>
      <c r="CT107" s="88"/>
      <c r="CU107" s="88"/>
      <c r="CV107" s="88"/>
      <c r="CW107" s="88"/>
      <c r="CX107" s="88"/>
      <c r="CY107" s="88"/>
      <c r="CZ107" s="88"/>
      <c r="DA107" s="88"/>
      <c r="DB107" s="88"/>
      <c r="DC107" s="88"/>
      <c r="DD107" s="88"/>
      <c r="DE107" s="88"/>
      <c r="DF107" s="88"/>
      <c r="DG107" s="88"/>
      <c r="DH107" s="88"/>
      <c r="DI107" s="42"/>
    </row>
    <row r="108" spans="1:113" s="43" customFormat="1" x14ac:dyDescent="0.25">
      <c r="A108" s="52" t="s">
        <v>172</v>
      </c>
      <c r="B108" s="54">
        <v>37</v>
      </c>
      <c r="C108" s="55">
        <v>36</v>
      </c>
      <c r="D108" s="3">
        <v>86</v>
      </c>
      <c r="E108" s="56">
        <v>86</v>
      </c>
      <c r="F108" s="56">
        <v>44</v>
      </c>
      <c r="G108" s="3">
        <v>45</v>
      </c>
      <c r="H108" s="57">
        <v>41</v>
      </c>
      <c r="I108" s="3">
        <v>30</v>
      </c>
      <c r="J108" s="3">
        <v>41</v>
      </c>
      <c r="K108" s="3">
        <v>43</v>
      </c>
      <c r="L108" s="58">
        <v>42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8"/>
      <c r="BQ108" s="88"/>
      <c r="BR108" s="88"/>
      <c r="BS108" s="88"/>
      <c r="BT108" s="88"/>
      <c r="BU108" s="88"/>
      <c r="BV108" s="88"/>
      <c r="BW108" s="88"/>
      <c r="BX108" s="88"/>
      <c r="BY108" s="88"/>
      <c r="BZ108" s="88"/>
      <c r="CA108" s="88"/>
      <c r="CB108" s="88"/>
      <c r="CC108" s="88"/>
      <c r="CD108" s="88"/>
      <c r="CE108" s="88"/>
      <c r="CF108" s="88"/>
      <c r="CG108" s="88"/>
      <c r="CH108" s="88"/>
      <c r="CI108" s="88"/>
      <c r="CJ108" s="88"/>
      <c r="CK108" s="88"/>
      <c r="CL108" s="88"/>
      <c r="CM108" s="88"/>
      <c r="CN108" s="88"/>
      <c r="CO108" s="88"/>
      <c r="CP108" s="88"/>
      <c r="CQ108" s="88"/>
      <c r="CR108" s="88"/>
      <c r="CS108" s="88"/>
      <c r="CT108" s="88"/>
      <c r="CU108" s="88"/>
      <c r="CV108" s="88"/>
      <c r="CW108" s="88"/>
      <c r="CX108" s="88"/>
      <c r="CY108" s="88"/>
      <c r="CZ108" s="88"/>
      <c r="DA108" s="88"/>
      <c r="DB108" s="88"/>
      <c r="DC108" s="88"/>
      <c r="DD108" s="88"/>
      <c r="DE108" s="88"/>
      <c r="DF108" s="88"/>
      <c r="DG108" s="88"/>
      <c r="DH108" s="88"/>
      <c r="DI108" s="42"/>
    </row>
    <row r="109" spans="1:113" s="43" customFormat="1" x14ac:dyDescent="0.25">
      <c r="A109" s="52" t="s">
        <v>173</v>
      </c>
      <c r="B109" s="54">
        <v>19</v>
      </c>
      <c r="C109" s="55">
        <v>24</v>
      </c>
      <c r="D109" s="3">
        <v>3</v>
      </c>
      <c r="E109" s="56">
        <v>3</v>
      </c>
      <c r="F109" s="56">
        <v>22</v>
      </c>
      <c r="G109" s="3">
        <v>18</v>
      </c>
      <c r="H109" s="57">
        <v>18</v>
      </c>
      <c r="I109" s="3">
        <v>0</v>
      </c>
      <c r="J109" s="3">
        <v>21</v>
      </c>
      <c r="K109" s="3">
        <v>18</v>
      </c>
      <c r="L109" s="58">
        <v>20</v>
      </c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  <c r="BE109" s="88"/>
      <c r="BF109" s="88"/>
      <c r="BG109" s="88"/>
      <c r="BH109" s="88"/>
      <c r="BI109" s="88"/>
      <c r="BJ109" s="88"/>
      <c r="BK109" s="88"/>
      <c r="BL109" s="88"/>
      <c r="BM109" s="88"/>
      <c r="BN109" s="88"/>
      <c r="BO109" s="88"/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88"/>
      <c r="CA109" s="88"/>
      <c r="CB109" s="88"/>
      <c r="CC109" s="88"/>
      <c r="CD109" s="88"/>
      <c r="CE109" s="88"/>
      <c r="CF109" s="88"/>
      <c r="CG109" s="88"/>
      <c r="CH109" s="88"/>
      <c r="CI109" s="88"/>
      <c r="CJ109" s="88"/>
      <c r="CK109" s="88"/>
      <c r="CL109" s="88"/>
      <c r="CM109" s="88"/>
      <c r="CN109" s="88"/>
      <c r="CO109" s="88"/>
      <c r="CP109" s="88"/>
      <c r="CQ109" s="88"/>
      <c r="CR109" s="88"/>
      <c r="CS109" s="88"/>
      <c r="CT109" s="88"/>
      <c r="CU109" s="88"/>
      <c r="CV109" s="88"/>
      <c r="CW109" s="88"/>
      <c r="CX109" s="88"/>
      <c r="CY109" s="88"/>
      <c r="CZ109" s="88"/>
      <c r="DA109" s="88"/>
      <c r="DB109" s="88"/>
      <c r="DC109" s="88"/>
      <c r="DD109" s="88"/>
      <c r="DE109" s="88"/>
      <c r="DF109" s="88"/>
      <c r="DG109" s="88"/>
      <c r="DH109" s="88"/>
      <c r="DI109" s="42"/>
    </row>
    <row r="110" spans="1:113" s="43" customFormat="1" x14ac:dyDescent="0.25">
      <c r="A110" s="52" t="s">
        <v>174</v>
      </c>
      <c r="B110" s="54">
        <v>10</v>
      </c>
      <c r="C110" s="55">
        <v>13</v>
      </c>
      <c r="D110" s="3">
        <v>0</v>
      </c>
      <c r="E110" s="56">
        <v>0</v>
      </c>
      <c r="F110" s="56">
        <v>15</v>
      </c>
      <c r="G110" s="3">
        <v>12</v>
      </c>
      <c r="H110" s="57">
        <v>16</v>
      </c>
      <c r="I110" s="3">
        <v>0</v>
      </c>
      <c r="J110" s="3">
        <v>15</v>
      </c>
      <c r="K110" s="3">
        <v>12</v>
      </c>
      <c r="L110" s="58">
        <v>17</v>
      </c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  <c r="BE110" s="88"/>
      <c r="BF110" s="88"/>
      <c r="BG110" s="88"/>
      <c r="BH110" s="88"/>
      <c r="BI110" s="88"/>
      <c r="BJ110" s="88"/>
      <c r="BK110" s="88"/>
      <c r="BL110" s="88"/>
      <c r="BM110" s="88"/>
      <c r="BN110" s="88"/>
      <c r="BO110" s="88"/>
      <c r="BP110" s="88"/>
      <c r="BQ110" s="88"/>
      <c r="BR110" s="88"/>
      <c r="BS110" s="88"/>
      <c r="BT110" s="88"/>
      <c r="BU110" s="88"/>
      <c r="BV110" s="88"/>
      <c r="BW110" s="88"/>
      <c r="BX110" s="88"/>
      <c r="BY110" s="88"/>
      <c r="BZ110" s="88"/>
      <c r="CA110" s="88"/>
      <c r="CB110" s="88"/>
      <c r="CC110" s="88"/>
      <c r="CD110" s="88"/>
      <c r="CE110" s="88"/>
      <c r="CF110" s="88"/>
      <c r="CG110" s="88"/>
      <c r="CH110" s="88"/>
      <c r="CI110" s="88"/>
      <c r="CJ110" s="88"/>
      <c r="CK110" s="88"/>
      <c r="CL110" s="88"/>
      <c r="CM110" s="88"/>
      <c r="CN110" s="88"/>
      <c r="CO110" s="88"/>
      <c r="CP110" s="88"/>
      <c r="CQ110" s="88"/>
      <c r="CR110" s="88"/>
      <c r="CS110" s="88"/>
      <c r="CT110" s="88"/>
      <c r="CU110" s="88"/>
      <c r="CV110" s="88"/>
      <c r="CW110" s="88"/>
      <c r="CX110" s="88"/>
      <c r="CY110" s="88"/>
      <c r="CZ110" s="88"/>
      <c r="DA110" s="88"/>
      <c r="DB110" s="88"/>
      <c r="DC110" s="88"/>
      <c r="DD110" s="88"/>
      <c r="DE110" s="88"/>
      <c r="DF110" s="88"/>
      <c r="DG110" s="88"/>
      <c r="DH110" s="88"/>
      <c r="DI110" s="42"/>
    </row>
    <row r="111" spans="1:113" s="43" customFormat="1" x14ac:dyDescent="0.25">
      <c r="A111" s="52" t="s">
        <v>175</v>
      </c>
      <c r="B111" s="54">
        <v>2</v>
      </c>
      <c r="C111" s="55">
        <v>3</v>
      </c>
      <c r="D111" s="3">
        <v>0</v>
      </c>
      <c r="E111" s="56">
        <v>0</v>
      </c>
      <c r="F111" s="56">
        <v>7</v>
      </c>
      <c r="G111" s="3">
        <v>15</v>
      </c>
      <c r="H111" s="57">
        <v>7</v>
      </c>
      <c r="I111" s="3">
        <v>0</v>
      </c>
      <c r="J111" s="3">
        <v>7</v>
      </c>
      <c r="K111" s="3">
        <v>17</v>
      </c>
      <c r="L111" s="58">
        <v>5</v>
      </c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8"/>
      <c r="BF111" s="88"/>
      <c r="BG111" s="88"/>
      <c r="BH111" s="88"/>
      <c r="BI111" s="88"/>
      <c r="BJ111" s="88"/>
      <c r="BK111" s="88"/>
      <c r="BL111" s="88"/>
      <c r="BM111" s="88"/>
      <c r="BN111" s="88"/>
      <c r="BO111" s="88"/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88"/>
      <c r="CA111" s="88"/>
      <c r="CB111" s="88"/>
      <c r="CC111" s="88"/>
      <c r="CD111" s="88"/>
      <c r="CE111" s="88"/>
      <c r="CF111" s="88"/>
      <c r="CG111" s="88"/>
      <c r="CH111" s="88"/>
      <c r="CI111" s="88"/>
      <c r="CJ111" s="88"/>
      <c r="CK111" s="88"/>
      <c r="CL111" s="88"/>
      <c r="CM111" s="88"/>
      <c r="CN111" s="88"/>
      <c r="CO111" s="88"/>
      <c r="CP111" s="88"/>
      <c r="CQ111" s="88"/>
      <c r="CR111" s="88"/>
      <c r="CS111" s="88"/>
      <c r="CT111" s="88"/>
      <c r="CU111" s="88"/>
      <c r="CV111" s="88"/>
      <c r="CW111" s="88"/>
      <c r="CX111" s="88"/>
      <c r="CY111" s="88"/>
      <c r="CZ111" s="88"/>
      <c r="DA111" s="88"/>
      <c r="DB111" s="88"/>
      <c r="DC111" s="88"/>
      <c r="DD111" s="88"/>
      <c r="DE111" s="88"/>
      <c r="DF111" s="88"/>
      <c r="DG111" s="88"/>
      <c r="DH111" s="88"/>
      <c r="DI111" s="42"/>
    </row>
    <row r="112" spans="1:113" s="43" customFormat="1" x14ac:dyDescent="0.25">
      <c r="A112" s="52" t="s">
        <v>176</v>
      </c>
      <c r="B112" s="54">
        <v>2</v>
      </c>
      <c r="C112" s="55">
        <v>4</v>
      </c>
      <c r="D112" s="3">
        <v>0</v>
      </c>
      <c r="E112" s="56">
        <v>0</v>
      </c>
      <c r="F112" s="56">
        <v>2</v>
      </c>
      <c r="G112" s="3">
        <v>2</v>
      </c>
      <c r="H112" s="57">
        <v>1</v>
      </c>
      <c r="I112" s="3">
        <v>0</v>
      </c>
      <c r="J112" s="3">
        <v>2</v>
      </c>
      <c r="K112" s="3">
        <v>2</v>
      </c>
      <c r="L112" s="58">
        <v>1</v>
      </c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  <c r="BG112" s="88"/>
      <c r="BH112" s="88"/>
      <c r="BI112" s="88"/>
      <c r="BJ112" s="88"/>
      <c r="BK112" s="88"/>
      <c r="BL112" s="88"/>
      <c r="BM112" s="88"/>
      <c r="BN112" s="88"/>
      <c r="BO112" s="88"/>
      <c r="BP112" s="88"/>
      <c r="BQ112" s="88"/>
      <c r="BR112" s="88"/>
      <c r="BS112" s="88"/>
      <c r="BT112" s="88"/>
      <c r="BU112" s="88"/>
      <c r="BV112" s="88"/>
      <c r="BW112" s="88"/>
      <c r="BX112" s="88"/>
      <c r="BY112" s="88"/>
      <c r="BZ112" s="88"/>
      <c r="CA112" s="88"/>
      <c r="CB112" s="88"/>
      <c r="CC112" s="88"/>
      <c r="CD112" s="88"/>
      <c r="CE112" s="88"/>
      <c r="CF112" s="88"/>
      <c r="CG112" s="88"/>
      <c r="CH112" s="88"/>
      <c r="CI112" s="88"/>
      <c r="CJ112" s="88"/>
      <c r="CK112" s="88"/>
      <c r="CL112" s="88"/>
      <c r="CM112" s="88"/>
      <c r="CN112" s="88"/>
      <c r="CO112" s="88"/>
      <c r="CP112" s="88"/>
      <c r="CQ112" s="88"/>
      <c r="CR112" s="88"/>
      <c r="CS112" s="88"/>
      <c r="CT112" s="88"/>
      <c r="CU112" s="88"/>
      <c r="CV112" s="88"/>
      <c r="CW112" s="88"/>
      <c r="CX112" s="88"/>
      <c r="CY112" s="88"/>
      <c r="CZ112" s="88"/>
      <c r="DA112" s="88"/>
      <c r="DB112" s="88"/>
      <c r="DC112" s="88"/>
      <c r="DD112" s="88"/>
      <c r="DE112" s="88"/>
      <c r="DF112" s="88"/>
      <c r="DG112" s="88"/>
      <c r="DH112" s="88"/>
      <c r="DI112" s="42"/>
    </row>
    <row r="113" spans="1:113" s="43" customFormat="1" x14ac:dyDescent="0.25">
      <c r="A113" s="52" t="s">
        <v>127</v>
      </c>
      <c r="B113" s="54">
        <v>40</v>
      </c>
      <c r="C113" s="55">
        <v>37</v>
      </c>
      <c r="D113" s="3">
        <v>3</v>
      </c>
      <c r="E113" s="56">
        <v>3</v>
      </c>
      <c r="F113" s="56">
        <v>45</v>
      </c>
      <c r="G113" s="3">
        <v>46</v>
      </c>
      <c r="H113" s="57">
        <v>45</v>
      </c>
      <c r="I113" s="3">
        <v>6</v>
      </c>
      <c r="J113" s="3">
        <v>51</v>
      </c>
      <c r="K113" s="3">
        <v>46</v>
      </c>
      <c r="L113" s="58">
        <v>44</v>
      </c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  <c r="BE113" s="88"/>
      <c r="BF113" s="88"/>
      <c r="BG113" s="88"/>
      <c r="BH113" s="88"/>
      <c r="BI113" s="88"/>
      <c r="BJ113" s="88"/>
      <c r="BK113" s="88"/>
      <c r="BL113" s="88"/>
      <c r="BM113" s="88"/>
      <c r="BN113" s="88"/>
      <c r="BO113" s="88"/>
      <c r="BP113" s="88"/>
      <c r="BQ113" s="88"/>
      <c r="BR113" s="88"/>
      <c r="BS113" s="88"/>
      <c r="BT113" s="88"/>
      <c r="BU113" s="88"/>
      <c r="BV113" s="88"/>
      <c r="BW113" s="88"/>
      <c r="BX113" s="88"/>
      <c r="BY113" s="88"/>
      <c r="BZ113" s="88"/>
      <c r="CA113" s="88"/>
      <c r="CB113" s="88"/>
      <c r="CC113" s="88"/>
      <c r="CD113" s="88"/>
      <c r="CE113" s="88"/>
      <c r="CF113" s="88"/>
      <c r="CG113" s="88"/>
      <c r="CH113" s="88"/>
      <c r="CI113" s="88"/>
      <c r="CJ113" s="88"/>
      <c r="CK113" s="88"/>
      <c r="CL113" s="88"/>
      <c r="CM113" s="88"/>
      <c r="CN113" s="88"/>
      <c r="CO113" s="88"/>
      <c r="CP113" s="88"/>
      <c r="CQ113" s="88"/>
      <c r="CR113" s="88"/>
      <c r="CS113" s="88"/>
      <c r="CT113" s="88"/>
      <c r="CU113" s="88"/>
      <c r="CV113" s="88"/>
      <c r="CW113" s="88"/>
      <c r="CX113" s="88"/>
      <c r="CY113" s="88"/>
      <c r="CZ113" s="88"/>
      <c r="DA113" s="88"/>
      <c r="DB113" s="88"/>
      <c r="DC113" s="88"/>
      <c r="DD113" s="88"/>
      <c r="DE113" s="88"/>
      <c r="DF113" s="88"/>
      <c r="DG113" s="88"/>
      <c r="DH113" s="88"/>
      <c r="DI113" s="42"/>
    </row>
    <row r="114" spans="1:113" s="8" customFormat="1" x14ac:dyDescent="0.25">
      <c r="A114" s="36"/>
      <c r="B114" s="61"/>
      <c r="C114" s="62"/>
      <c r="D114" s="63"/>
      <c r="E114" s="64"/>
      <c r="F114" s="64"/>
      <c r="G114" s="63"/>
      <c r="H114" s="65"/>
      <c r="I114" s="63"/>
      <c r="J114" s="63"/>
      <c r="K114" s="63"/>
      <c r="L114" s="66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51"/>
    </row>
    <row r="115" spans="1:113" s="43" customFormat="1" x14ac:dyDescent="0.25">
      <c r="A115" s="36" t="s">
        <v>50</v>
      </c>
      <c r="B115" s="37">
        <f>SUM(B116:B119)</f>
        <v>154</v>
      </c>
      <c r="C115" s="38">
        <f t="shared" ref="C115:L115" si="9">SUM(C116:C119)</f>
        <v>178</v>
      </c>
      <c r="D115" s="4">
        <f>SUM(D116:D119)</f>
        <v>134</v>
      </c>
      <c r="E115" s="39">
        <f t="shared" si="9"/>
        <v>134</v>
      </c>
      <c r="F115" s="39">
        <f t="shared" si="9"/>
        <v>155</v>
      </c>
      <c r="G115" s="4">
        <f t="shared" si="9"/>
        <v>156</v>
      </c>
      <c r="H115" s="40">
        <f t="shared" si="9"/>
        <v>155</v>
      </c>
      <c r="I115" s="4">
        <f t="shared" si="9"/>
        <v>13</v>
      </c>
      <c r="J115" s="4">
        <f t="shared" si="9"/>
        <v>155</v>
      </c>
      <c r="K115" s="4">
        <f t="shared" si="9"/>
        <v>156</v>
      </c>
      <c r="L115" s="41">
        <f t="shared" si="9"/>
        <v>155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  <c r="BH115" s="88"/>
      <c r="BI115" s="88"/>
      <c r="BJ115" s="88"/>
      <c r="BK115" s="88"/>
      <c r="BL115" s="88"/>
      <c r="BM115" s="88"/>
      <c r="BN115" s="88"/>
      <c r="BO115" s="88"/>
      <c r="BP115" s="88"/>
      <c r="BQ115" s="88"/>
      <c r="BR115" s="88"/>
      <c r="BS115" s="88"/>
      <c r="BT115" s="88"/>
      <c r="BU115" s="88"/>
      <c r="BV115" s="88"/>
      <c r="BW115" s="88"/>
      <c r="BX115" s="88"/>
      <c r="BY115" s="88"/>
      <c r="BZ115" s="88"/>
      <c r="CA115" s="88"/>
      <c r="CB115" s="88"/>
      <c r="CC115" s="88"/>
      <c r="CD115" s="88"/>
      <c r="CE115" s="88"/>
      <c r="CF115" s="88"/>
      <c r="CG115" s="88"/>
      <c r="CH115" s="88"/>
      <c r="CI115" s="88"/>
      <c r="CJ115" s="88"/>
      <c r="CK115" s="88"/>
      <c r="CL115" s="88"/>
      <c r="CM115" s="88"/>
      <c r="CN115" s="88"/>
      <c r="CO115" s="88"/>
      <c r="CP115" s="88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88"/>
      <c r="DB115" s="88"/>
      <c r="DC115" s="88"/>
      <c r="DD115" s="88"/>
      <c r="DE115" s="88"/>
      <c r="DF115" s="88"/>
      <c r="DG115" s="88"/>
      <c r="DH115" s="88"/>
      <c r="DI115" s="42"/>
    </row>
    <row r="116" spans="1:113" s="43" customFormat="1" x14ac:dyDescent="0.25">
      <c r="A116" s="52" t="s">
        <v>51</v>
      </c>
      <c r="B116" s="54">
        <v>70</v>
      </c>
      <c r="C116" s="55">
        <v>77</v>
      </c>
      <c r="D116" s="3">
        <v>133</v>
      </c>
      <c r="E116" s="93">
        <v>133</v>
      </c>
      <c r="F116" s="56">
        <v>68</v>
      </c>
      <c r="G116" s="3">
        <v>73</v>
      </c>
      <c r="H116" s="57">
        <v>75</v>
      </c>
      <c r="I116" s="3">
        <v>4</v>
      </c>
      <c r="J116" s="3">
        <v>68</v>
      </c>
      <c r="K116" s="3">
        <v>73</v>
      </c>
      <c r="L116" s="58">
        <v>75</v>
      </c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88"/>
      <c r="CB116" s="88"/>
      <c r="CC116" s="88"/>
      <c r="CD116" s="88"/>
      <c r="CE116" s="88"/>
      <c r="CF116" s="88"/>
      <c r="CG116" s="88"/>
      <c r="CH116" s="88"/>
      <c r="CI116" s="88"/>
      <c r="CJ116" s="88"/>
      <c r="CK116" s="88"/>
      <c r="CL116" s="88"/>
      <c r="CM116" s="88"/>
      <c r="CN116" s="88"/>
      <c r="CO116" s="88"/>
      <c r="CP116" s="88"/>
      <c r="CQ116" s="88"/>
      <c r="CR116" s="88"/>
      <c r="CS116" s="88"/>
      <c r="CT116" s="88"/>
      <c r="CU116" s="88"/>
      <c r="CV116" s="88"/>
      <c r="CW116" s="88"/>
      <c r="CX116" s="88"/>
      <c r="CY116" s="88"/>
      <c r="CZ116" s="88"/>
      <c r="DA116" s="88"/>
      <c r="DB116" s="88"/>
      <c r="DC116" s="88"/>
      <c r="DD116" s="88"/>
      <c r="DE116" s="88"/>
      <c r="DF116" s="88"/>
      <c r="DG116" s="88"/>
      <c r="DH116" s="88"/>
      <c r="DI116" s="42"/>
    </row>
    <row r="117" spans="1:113" s="43" customFormat="1" x14ac:dyDescent="0.25">
      <c r="A117" s="52" t="s">
        <v>52</v>
      </c>
      <c r="B117" s="54">
        <v>49</v>
      </c>
      <c r="C117" s="55">
        <v>65</v>
      </c>
      <c r="D117" s="3">
        <v>0</v>
      </c>
      <c r="E117" s="93">
        <v>0</v>
      </c>
      <c r="F117" s="56">
        <v>46</v>
      </c>
      <c r="G117" s="3">
        <v>47</v>
      </c>
      <c r="H117" s="57">
        <v>51</v>
      </c>
      <c r="I117" s="3">
        <v>0</v>
      </c>
      <c r="J117" s="3">
        <v>46</v>
      </c>
      <c r="K117" s="3">
        <v>46</v>
      </c>
      <c r="L117" s="58">
        <v>51</v>
      </c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8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  <c r="CA117" s="88"/>
      <c r="CB117" s="88"/>
      <c r="CC117" s="88"/>
      <c r="CD117" s="88"/>
      <c r="CE117" s="88"/>
      <c r="CF117" s="88"/>
      <c r="CG117" s="88"/>
      <c r="CH117" s="88"/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88"/>
      <c r="DH117" s="88"/>
      <c r="DI117" s="42"/>
    </row>
    <row r="118" spans="1:113" s="43" customFormat="1" x14ac:dyDescent="0.25">
      <c r="A118" s="52" t="s">
        <v>53</v>
      </c>
      <c r="B118" s="54">
        <v>20</v>
      </c>
      <c r="C118" s="55">
        <v>19</v>
      </c>
      <c r="D118" s="3">
        <v>1</v>
      </c>
      <c r="E118" s="93">
        <v>1</v>
      </c>
      <c r="F118" s="56">
        <v>27</v>
      </c>
      <c r="G118" s="3">
        <v>25</v>
      </c>
      <c r="H118" s="57">
        <v>13</v>
      </c>
      <c r="I118" s="3">
        <v>9</v>
      </c>
      <c r="J118" s="3">
        <v>27</v>
      </c>
      <c r="K118" s="3">
        <v>26</v>
      </c>
      <c r="L118" s="58">
        <v>13</v>
      </c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  <c r="BJ118" s="88"/>
      <c r="BK118" s="88"/>
      <c r="BL118" s="88"/>
      <c r="BM118" s="88"/>
      <c r="BN118" s="88"/>
      <c r="BO118" s="88"/>
      <c r="BP118" s="88"/>
      <c r="BQ118" s="88"/>
      <c r="BR118" s="88"/>
      <c r="BS118" s="88"/>
      <c r="BT118" s="88"/>
      <c r="BU118" s="88"/>
      <c r="BV118" s="88"/>
      <c r="BW118" s="88"/>
      <c r="BX118" s="88"/>
      <c r="BY118" s="88"/>
      <c r="BZ118" s="88"/>
      <c r="CA118" s="88"/>
      <c r="CB118" s="88"/>
      <c r="CC118" s="88"/>
      <c r="CD118" s="88"/>
      <c r="CE118" s="88"/>
      <c r="CF118" s="88"/>
      <c r="CG118" s="88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88"/>
      <c r="DH118" s="88"/>
      <c r="DI118" s="42"/>
    </row>
    <row r="119" spans="1:113" s="43" customFormat="1" x14ac:dyDescent="0.25">
      <c r="A119" s="52" t="s">
        <v>54</v>
      </c>
      <c r="B119" s="54">
        <v>15</v>
      </c>
      <c r="C119" s="55">
        <v>17</v>
      </c>
      <c r="D119" s="3">
        <v>0</v>
      </c>
      <c r="E119" s="93">
        <v>0</v>
      </c>
      <c r="F119" s="56">
        <v>14</v>
      </c>
      <c r="G119" s="3">
        <v>11</v>
      </c>
      <c r="H119" s="57">
        <v>16</v>
      </c>
      <c r="I119" s="3">
        <v>0</v>
      </c>
      <c r="J119" s="3">
        <v>14</v>
      </c>
      <c r="K119" s="3">
        <v>11</v>
      </c>
      <c r="L119" s="58">
        <v>16</v>
      </c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  <c r="BU119" s="88"/>
      <c r="BV119" s="88"/>
      <c r="BW119" s="88"/>
      <c r="BX119" s="88"/>
      <c r="BY119" s="88"/>
      <c r="BZ119" s="88"/>
      <c r="CA119" s="88"/>
      <c r="CB119" s="88"/>
      <c r="CC119" s="88"/>
      <c r="CD119" s="88"/>
      <c r="CE119" s="88"/>
      <c r="CF119" s="88"/>
      <c r="CG119" s="88"/>
      <c r="CH119" s="88"/>
      <c r="CI119" s="88"/>
      <c r="CJ119" s="88"/>
      <c r="CK119" s="88"/>
      <c r="CL119" s="88"/>
      <c r="CM119" s="88"/>
      <c r="CN119" s="88"/>
      <c r="CO119" s="88"/>
      <c r="CP119" s="88"/>
      <c r="CQ119" s="88"/>
      <c r="CR119" s="88"/>
      <c r="CS119" s="88"/>
      <c r="CT119" s="88"/>
      <c r="CU119" s="88"/>
      <c r="CV119" s="88"/>
      <c r="CW119" s="88"/>
      <c r="CX119" s="88"/>
      <c r="CY119" s="88"/>
      <c r="CZ119" s="88"/>
      <c r="DA119" s="88"/>
      <c r="DB119" s="88"/>
      <c r="DC119" s="88"/>
      <c r="DD119" s="88"/>
      <c r="DE119" s="88"/>
      <c r="DF119" s="88"/>
      <c r="DG119" s="88"/>
      <c r="DH119" s="88"/>
      <c r="DI119" s="42"/>
    </row>
    <row r="120" spans="1:113" s="8" customFormat="1" x14ac:dyDescent="0.25">
      <c r="A120" s="36"/>
      <c r="B120" s="61"/>
      <c r="C120" s="62"/>
      <c r="D120" s="63"/>
      <c r="E120" s="64"/>
      <c r="F120" s="64"/>
      <c r="G120" s="63"/>
      <c r="H120" s="65"/>
      <c r="I120" s="63"/>
      <c r="J120" s="63"/>
      <c r="K120" s="63"/>
      <c r="L120" s="66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51"/>
    </row>
    <row r="121" spans="1:113" s="43" customFormat="1" x14ac:dyDescent="0.25">
      <c r="A121" s="36" t="s">
        <v>55</v>
      </c>
      <c r="B121" s="37">
        <f>SUM(B122:B130)</f>
        <v>233</v>
      </c>
      <c r="C121" s="38">
        <f t="shared" ref="C121:L121" si="10">SUM(C122:C130)</f>
        <v>229</v>
      </c>
      <c r="D121" s="4">
        <f>SUM(D122:D130)</f>
        <v>31</v>
      </c>
      <c r="E121" s="39">
        <f t="shared" si="10"/>
        <v>31</v>
      </c>
      <c r="F121" s="39">
        <f t="shared" si="10"/>
        <v>231</v>
      </c>
      <c r="G121" s="4">
        <f t="shared" si="10"/>
        <v>230</v>
      </c>
      <c r="H121" s="40">
        <f t="shared" si="10"/>
        <v>232</v>
      </c>
      <c r="I121" s="4">
        <f t="shared" si="10"/>
        <v>12</v>
      </c>
      <c r="J121" s="4">
        <f t="shared" si="10"/>
        <v>231</v>
      </c>
      <c r="K121" s="4">
        <f t="shared" si="10"/>
        <v>230</v>
      </c>
      <c r="L121" s="41">
        <f t="shared" si="10"/>
        <v>232</v>
      </c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  <c r="BG121" s="88"/>
      <c r="BH121" s="88"/>
      <c r="BI121" s="88"/>
      <c r="BJ121" s="88"/>
      <c r="BK121" s="88"/>
      <c r="BL121" s="88"/>
      <c r="BM121" s="88"/>
      <c r="BN121" s="88"/>
      <c r="BO121" s="88"/>
      <c r="BP121" s="88"/>
      <c r="BQ121" s="88"/>
      <c r="BR121" s="88"/>
      <c r="BS121" s="88"/>
      <c r="BT121" s="88"/>
      <c r="BU121" s="88"/>
      <c r="BV121" s="88"/>
      <c r="BW121" s="88"/>
      <c r="BX121" s="88"/>
      <c r="BY121" s="88"/>
      <c r="BZ121" s="88"/>
      <c r="CA121" s="88"/>
      <c r="CB121" s="88"/>
      <c r="CC121" s="88"/>
      <c r="CD121" s="88"/>
      <c r="CE121" s="88"/>
      <c r="CF121" s="88"/>
      <c r="CG121" s="88"/>
      <c r="CH121" s="88"/>
      <c r="CI121" s="88"/>
      <c r="CJ121" s="88"/>
      <c r="CK121" s="88"/>
      <c r="CL121" s="88"/>
      <c r="CM121" s="88"/>
      <c r="CN121" s="88"/>
      <c r="CO121" s="88"/>
      <c r="CP121" s="88"/>
      <c r="CQ121" s="88"/>
      <c r="CR121" s="88"/>
      <c r="CS121" s="88"/>
      <c r="CT121" s="88"/>
      <c r="CU121" s="88"/>
      <c r="CV121" s="88"/>
      <c r="CW121" s="88"/>
      <c r="CX121" s="88"/>
      <c r="CY121" s="88"/>
      <c r="CZ121" s="88"/>
      <c r="DA121" s="88"/>
      <c r="DB121" s="88"/>
      <c r="DC121" s="88"/>
      <c r="DD121" s="88"/>
      <c r="DE121" s="88"/>
      <c r="DF121" s="88"/>
      <c r="DG121" s="88"/>
      <c r="DH121" s="88"/>
      <c r="DI121" s="42"/>
    </row>
    <row r="122" spans="1:113" s="43" customFormat="1" x14ac:dyDescent="0.25">
      <c r="A122" s="52" t="s">
        <v>177</v>
      </c>
      <c r="B122" s="54">
        <v>49</v>
      </c>
      <c r="C122" s="55">
        <v>45</v>
      </c>
      <c r="D122" s="3">
        <v>9</v>
      </c>
      <c r="E122" s="56">
        <v>9</v>
      </c>
      <c r="F122" s="56">
        <v>36</v>
      </c>
      <c r="G122" s="3">
        <v>31</v>
      </c>
      <c r="H122" s="57">
        <v>40</v>
      </c>
      <c r="I122" s="3">
        <v>5</v>
      </c>
      <c r="J122" s="3">
        <v>36</v>
      </c>
      <c r="K122" s="3">
        <v>31</v>
      </c>
      <c r="L122" s="58">
        <v>40</v>
      </c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  <c r="BG122" s="88"/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  <c r="BU122" s="88"/>
      <c r="BV122" s="88"/>
      <c r="BW122" s="88"/>
      <c r="BX122" s="88"/>
      <c r="BY122" s="88"/>
      <c r="BZ122" s="88"/>
      <c r="CA122" s="88"/>
      <c r="CB122" s="88"/>
      <c r="CC122" s="88"/>
      <c r="CD122" s="88"/>
      <c r="CE122" s="88"/>
      <c r="CF122" s="88"/>
      <c r="CG122" s="88"/>
      <c r="CH122" s="88"/>
      <c r="CI122" s="88"/>
      <c r="CJ122" s="88"/>
      <c r="CK122" s="88"/>
      <c r="CL122" s="88"/>
      <c r="CM122" s="88"/>
      <c r="CN122" s="88"/>
      <c r="CO122" s="88"/>
      <c r="CP122" s="88"/>
      <c r="CQ122" s="88"/>
      <c r="CR122" s="88"/>
      <c r="CS122" s="88"/>
      <c r="CT122" s="88"/>
      <c r="CU122" s="88"/>
      <c r="CV122" s="88"/>
      <c r="CW122" s="88"/>
      <c r="CX122" s="88"/>
      <c r="CY122" s="88"/>
      <c r="CZ122" s="88"/>
      <c r="DA122" s="88"/>
      <c r="DB122" s="88"/>
      <c r="DC122" s="88"/>
      <c r="DD122" s="88"/>
      <c r="DE122" s="88"/>
      <c r="DF122" s="88"/>
      <c r="DG122" s="88"/>
      <c r="DH122" s="88"/>
      <c r="DI122" s="42"/>
    </row>
    <row r="123" spans="1:113" s="43" customFormat="1" x14ac:dyDescent="0.25">
      <c r="A123" s="52" t="s">
        <v>178</v>
      </c>
      <c r="B123" s="54">
        <v>29</v>
      </c>
      <c r="C123" s="55">
        <v>27</v>
      </c>
      <c r="D123" s="3">
        <v>5</v>
      </c>
      <c r="E123" s="56">
        <v>5</v>
      </c>
      <c r="F123" s="56">
        <v>24</v>
      </c>
      <c r="G123" s="3">
        <v>35</v>
      </c>
      <c r="H123" s="57">
        <v>31</v>
      </c>
      <c r="I123" s="3">
        <v>3</v>
      </c>
      <c r="J123" s="3">
        <v>24</v>
      </c>
      <c r="K123" s="3">
        <v>35</v>
      </c>
      <c r="L123" s="58">
        <v>31</v>
      </c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/>
      <c r="BF123" s="88"/>
      <c r="BG123" s="88"/>
      <c r="BH123" s="88"/>
      <c r="BI123" s="88"/>
      <c r="BJ123" s="88"/>
      <c r="BK123" s="88"/>
      <c r="BL123" s="88"/>
      <c r="BM123" s="88"/>
      <c r="BN123" s="88"/>
      <c r="BO123" s="88"/>
      <c r="BP123" s="88"/>
      <c r="BQ123" s="88"/>
      <c r="BR123" s="88"/>
      <c r="BS123" s="88"/>
      <c r="BT123" s="88"/>
      <c r="BU123" s="88"/>
      <c r="BV123" s="88"/>
      <c r="BW123" s="88"/>
      <c r="BX123" s="88"/>
      <c r="BY123" s="88"/>
      <c r="BZ123" s="88"/>
      <c r="CA123" s="88"/>
      <c r="CB123" s="88"/>
      <c r="CC123" s="88"/>
      <c r="CD123" s="88"/>
      <c r="CE123" s="88"/>
      <c r="CF123" s="88"/>
      <c r="CG123" s="88"/>
      <c r="CH123" s="88"/>
      <c r="CI123" s="88"/>
      <c r="CJ123" s="88"/>
      <c r="CK123" s="88"/>
      <c r="CL123" s="88"/>
      <c r="CM123" s="88"/>
      <c r="CN123" s="88"/>
      <c r="CO123" s="88"/>
      <c r="CP123" s="88"/>
      <c r="CQ123" s="88"/>
      <c r="CR123" s="88"/>
      <c r="CS123" s="88"/>
      <c r="CT123" s="88"/>
      <c r="CU123" s="88"/>
      <c r="CV123" s="88"/>
      <c r="CW123" s="88"/>
      <c r="CX123" s="88"/>
      <c r="CY123" s="88"/>
      <c r="CZ123" s="88"/>
      <c r="DA123" s="88"/>
      <c r="DB123" s="88"/>
      <c r="DC123" s="88"/>
      <c r="DD123" s="88"/>
      <c r="DE123" s="88"/>
      <c r="DF123" s="88"/>
      <c r="DG123" s="88"/>
      <c r="DH123" s="88"/>
      <c r="DI123" s="42"/>
    </row>
    <row r="124" spans="1:113" s="43" customFormat="1" x14ac:dyDescent="0.25">
      <c r="A124" s="52" t="s">
        <v>179</v>
      </c>
      <c r="B124" s="54">
        <v>26</v>
      </c>
      <c r="C124" s="55">
        <v>23</v>
      </c>
      <c r="D124" s="3">
        <v>1</v>
      </c>
      <c r="E124" s="56">
        <v>1</v>
      </c>
      <c r="F124" s="56">
        <v>32</v>
      </c>
      <c r="G124" s="3">
        <v>24</v>
      </c>
      <c r="H124" s="57">
        <v>30</v>
      </c>
      <c r="I124" s="3">
        <v>1</v>
      </c>
      <c r="J124" s="3">
        <v>32</v>
      </c>
      <c r="K124" s="3">
        <v>24</v>
      </c>
      <c r="L124" s="58">
        <v>30</v>
      </c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88"/>
      <c r="BT124" s="88"/>
      <c r="BU124" s="88"/>
      <c r="BV124" s="88"/>
      <c r="BW124" s="88"/>
      <c r="BX124" s="88"/>
      <c r="BY124" s="88"/>
      <c r="BZ124" s="88"/>
      <c r="CA124" s="88"/>
      <c r="CB124" s="88"/>
      <c r="CC124" s="88"/>
      <c r="CD124" s="88"/>
      <c r="CE124" s="88"/>
      <c r="CF124" s="88"/>
      <c r="CG124" s="88"/>
      <c r="CH124" s="88"/>
      <c r="CI124" s="88"/>
      <c r="CJ124" s="88"/>
      <c r="CK124" s="88"/>
      <c r="CL124" s="88"/>
      <c r="CM124" s="88"/>
      <c r="CN124" s="88"/>
      <c r="CO124" s="88"/>
      <c r="CP124" s="88"/>
      <c r="CQ124" s="88"/>
      <c r="CR124" s="88"/>
      <c r="CS124" s="88"/>
      <c r="CT124" s="88"/>
      <c r="CU124" s="88"/>
      <c r="CV124" s="88"/>
      <c r="CW124" s="88"/>
      <c r="CX124" s="88"/>
      <c r="CY124" s="88"/>
      <c r="CZ124" s="88"/>
      <c r="DA124" s="88"/>
      <c r="DB124" s="88"/>
      <c r="DC124" s="88"/>
      <c r="DD124" s="88"/>
      <c r="DE124" s="88"/>
      <c r="DF124" s="88"/>
      <c r="DG124" s="88"/>
      <c r="DH124" s="88"/>
      <c r="DI124" s="42"/>
    </row>
    <row r="125" spans="1:113" s="43" customFormat="1" x14ac:dyDescent="0.25">
      <c r="A125" s="52" t="s">
        <v>180</v>
      </c>
      <c r="B125" s="54">
        <v>19</v>
      </c>
      <c r="C125" s="55">
        <v>26</v>
      </c>
      <c r="D125" s="3">
        <v>0</v>
      </c>
      <c r="E125" s="56">
        <v>0</v>
      </c>
      <c r="F125" s="56">
        <v>21</v>
      </c>
      <c r="G125" s="3">
        <v>22</v>
      </c>
      <c r="H125" s="57">
        <v>24</v>
      </c>
      <c r="I125" s="3">
        <v>0</v>
      </c>
      <c r="J125" s="3">
        <v>21</v>
      </c>
      <c r="K125" s="3">
        <v>22</v>
      </c>
      <c r="L125" s="58">
        <v>24</v>
      </c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88"/>
      <c r="BS125" s="88"/>
      <c r="BT125" s="88"/>
      <c r="BU125" s="88"/>
      <c r="BV125" s="88"/>
      <c r="BW125" s="88"/>
      <c r="BX125" s="88"/>
      <c r="BY125" s="88"/>
      <c r="BZ125" s="88"/>
      <c r="CA125" s="88"/>
      <c r="CB125" s="88"/>
      <c r="CC125" s="88"/>
      <c r="CD125" s="88"/>
      <c r="CE125" s="88"/>
      <c r="CF125" s="88"/>
      <c r="CG125" s="88"/>
      <c r="CH125" s="88"/>
      <c r="CI125" s="88"/>
      <c r="CJ125" s="88"/>
      <c r="CK125" s="88"/>
      <c r="CL125" s="88"/>
      <c r="CM125" s="88"/>
      <c r="CN125" s="88"/>
      <c r="CO125" s="88"/>
      <c r="CP125" s="88"/>
      <c r="CQ125" s="88"/>
      <c r="CR125" s="88"/>
      <c r="CS125" s="88"/>
      <c r="CT125" s="88"/>
      <c r="CU125" s="88"/>
      <c r="CV125" s="88"/>
      <c r="CW125" s="88"/>
      <c r="CX125" s="88"/>
      <c r="CY125" s="88"/>
      <c r="CZ125" s="88"/>
      <c r="DA125" s="88"/>
      <c r="DB125" s="88"/>
      <c r="DC125" s="88"/>
      <c r="DD125" s="88"/>
      <c r="DE125" s="88"/>
      <c r="DF125" s="88"/>
      <c r="DG125" s="88"/>
      <c r="DH125" s="88"/>
      <c r="DI125" s="42"/>
    </row>
    <row r="126" spans="1:113" s="43" customFormat="1" x14ac:dyDescent="0.25">
      <c r="A126" s="52" t="s">
        <v>181</v>
      </c>
      <c r="B126" s="54">
        <v>20</v>
      </c>
      <c r="C126" s="55">
        <v>21</v>
      </c>
      <c r="D126" s="3">
        <v>3</v>
      </c>
      <c r="E126" s="56">
        <v>3</v>
      </c>
      <c r="F126" s="56">
        <v>15</v>
      </c>
      <c r="G126" s="3">
        <v>23</v>
      </c>
      <c r="H126" s="57">
        <v>18</v>
      </c>
      <c r="I126" s="3">
        <v>0</v>
      </c>
      <c r="J126" s="3">
        <v>15</v>
      </c>
      <c r="K126" s="3">
        <v>23</v>
      </c>
      <c r="L126" s="58">
        <v>18</v>
      </c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  <c r="BH126" s="88"/>
      <c r="BI126" s="88"/>
      <c r="BJ126" s="88"/>
      <c r="BK126" s="88"/>
      <c r="BL126" s="88"/>
      <c r="BM126" s="88"/>
      <c r="BN126" s="88"/>
      <c r="BO126" s="88"/>
      <c r="BP126" s="88"/>
      <c r="BQ126" s="88"/>
      <c r="BR126" s="88"/>
      <c r="BS126" s="88"/>
      <c r="BT126" s="88"/>
      <c r="BU126" s="88"/>
      <c r="BV126" s="88"/>
      <c r="BW126" s="88"/>
      <c r="BX126" s="88"/>
      <c r="BY126" s="88"/>
      <c r="BZ126" s="88"/>
      <c r="CA126" s="88"/>
      <c r="CB126" s="88"/>
      <c r="CC126" s="88"/>
      <c r="CD126" s="88"/>
      <c r="CE126" s="88"/>
      <c r="CF126" s="88"/>
      <c r="CG126" s="88"/>
      <c r="CH126" s="88"/>
      <c r="CI126" s="88"/>
      <c r="CJ126" s="88"/>
      <c r="CK126" s="88"/>
      <c r="CL126" s="88"/>
      <c r="CM126" s="88"/>
      <c r="CN126" s="88"/>
      <c r="CO126" s="88"/>
      <c r="CP126" s="88"/>
      <c r="CQ126" s="88"/>
      <c r="CR126" s="88"/>
      <c r="CS126" s="88"/>
      <c r="CT126" s="88"/>
      <c r="CU126" s="88"/>
      <c r="CV126" s="88"/>
      <c r="CW126" s="88"/>
      <c r="CX126" s="88"/>
      <c r="CY126" s="88"/>
      <c r="CZ126" s="88"/>
      <c r="DA126" s="88"/>
      <c r="DB126" s="88"/>
      <c r="DC126" s="88"/>
      <c r="DD126" s="88"/>
      <c r="DE126" s="88"/>
      <c r="DF126" s="88"/>
      <c r="DG126" s="88"/>
      <c r="DH126" s="88"/>
      <c r="DI126" s="42"/>
    </row>
    <row r="127" spans="1:113" s="43" customFormat="1" x14ac:dyDescent="0.25">
      <c r="A127" s="52" t="s">
        <v>182</v>
      </c>
      <c r="B127" s="54">
        <v>9</v>
      </c>
      <c r="C127" s="55">
        <v>11</v>
      </c>
      <c r="D127" s="3">
        <v>2</v>
      </c>
      <c r="E127" s="56">
        <v>2</v>
      </c>
      <c r="F127" s="56">
        <v>14</v>
      </c>
      <c r="G127" s="3">
        <v>23</v>
      </c>
      <c r="H127" s="57">
        <v>14</v>
      </c>
      <c r="I127" s="3">
        <v>0</v>
      </c>
      <c r="J127" s="3">
        <v>14</v>
      </c>
      <c r="K127" s="3">
        <v>23</v>
      </c>
      <c r="L127" s="58">
        <v>14</v>
      </c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  <c r="CA127" s="88"/>
      <c r="CB127" s="88"/>
      <c r="CC127" s="88"/>
      <c r="CD127" s="88"/>
      <c r="CE127" s="88"/>
      <c r="CF127" s="88"/>
      <c r="CG127" s="88"/>
      <c r="CH127" s="88"/>
      <c r="CI127" s="88"/>
      <c r="CJ127" s="88"/>
      <c r="CK127" s="88"/>
      <c r="CL127" s="88"/>
      <c r="CM127" s="88"/>
      <c r="CN127" s="88"/>
      <c r="CO127" s="88"/>
      <c r="CP127" s="88"/>
      <c r="CQ127" s="88"/>
      <c r="CR127" s="88"/>
      <c r="CS127" s="88"/>
      <c r="CT127" s="88"/>
      <c r="CU127" s="88"/>
      <c r="CV127" s="88"/>
      <c r="CW127" s="88"/>
      <c r="CX127" s="88"/>
      <c r="CY127" s="88"/>
      <c r="CZ127" s="88"/>
      <c r="DA127" s="88"/>
      <c r="DB127" s="88"/>
      <c r="DC127" s="88"/>
      <c r="DD127" s="88"/>
      <c r="DE127" s="88"/>
      <c r="DF127" s="88"/>
      <c r="DG127" s="88"/>
      <c r="DH127" s="88"/>
      <c r="DI127" s="42"/>
    </row>
    <row r="128" spans="1:113" s="43" customFormat="1" x14ac:dyDescent="0.25">
      <c r="A128" s="52" t="s">
        <v>183</v>
      </c>
      <c r="B128" s="54">
        <v>16</v>
      </c>
      <c r="C128" s="55">
        <v>12</v>
      </c>
      <c r="D128" s="3">
        <v>3</v>
      </c>
      <c r="E128" s="56">
        <v>3</v>
      </c>
      <c r="F128" s="56">
        <v>12</v>
      </c>
      <c r="G128" s="3">
        <v>12</v>
      </c>
      <c r="H128" s="57">
        <v>14</v>
      </c>
      <c r="I128" s="3">
        <v>0</v>
      </c>
      <c r="J128" s="3">
        <v>12</v>
      </c>
      <c r="K128" s="3">
        <v>12</v>
      </c>
      <c r="L128" s="58">
        <v>14</v>
      </c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  <c r="BY128" s="88"/>
      <c r="BZ128" s="88"/>
      <c r="CA128" s="88"/>
      <c r="CB128" s="88"/>
      <c r="CC128" s="88"/>
      <c r="CD128" s="88"/>
      <c r="CE128" s="88"/>
      <c r="CF128" s="88"/>
      <c r="CG128" s="88"/>
      <c r="CH128" s="88"/>
      <c r="CI128" s="88"/>
      <c r="CJ128" s="88"/>
      <c r="CK128" s="88"/>
      <c r="CL128" s="88"/>
      <c r="CM128" s="88"/>
      <c r="CN128" s="88"/>
      <c r="CO128" s="88"/>
      <c r="CP128" s="88"/>
      <c r="CQ128" s="88"/>
      <c r="CR128" s="88"/>
      <c r="CS128" s="88"/>
      <c r="CT128" s="88"/>
      <c r="CU128" s="88"/>
      <c r="CV128" s="88"/>
      <c r="CW128" s="88"/>
      <c r="CX128" s="88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42"/>
    </row>
    <row r="129" spans="1:113" s="43" customFormat="1" x14ac:dyDescent="0.25">
      <c r="A129" s="52" t="s">
        <v>184</v>
      </c>
      <c r="B129" s="54">
        <v>41</v>
      </c>
      <c r="C129" s="55">
        <v>34</v>
      </c>
      <c r="D129" s="3">
        <v>4</v>
      </c>
      <c r="E129" s="56">
        <v>4</v>
      </c>
      <c r="F129" s="56">
        <v>44</v>
      </c>
      <c r="G129" s="3">
        <v>33</v>
      </c>
      <c r="H129" s="57">
        <v>32</v>
      </c>
      <c r="I129" s="3">
        <v>3</v>
      </c>
      <c r="J129" s="3">
        <v>44</v>
      </c>
      <c r="K129" s="3">
        <v>33</v>
      </c>
      <c r="L129" s="58">
        <v>32</v>
      </c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8"/>
      <c r="BP129" s="88"/>
      <c r="BQ129" s="88"/>
      <c r="BR129" s="88"/>
      <c r="BS129" s="88"/>
      <c r="BT129" s="88"/>
      <c r="BU129" s="88"/>
      <c r="BV129" s="88"/>
      <c r="BW129" s="88"/>
      <c r="BX129" s="88"/>
      <c r="BY129" s="88"/>
      <c r="BZ129" s="88"/>
      <c r="CA129" s="88"/>
      <c r="CB129" s="88"/>
      <c r="CC129" s="88"/>
      <c r="CD129" s="88"/>
      <c r="CE129" s="88"/>
      <c r="CF129" s="88"/>
      <c r="CG129" s="88"/>
      <c r="CH129" s="88"/>
      <c r="CI129" s="88"/>
      <c r="CJ129" s="88"/>
      <c r="CK129" s="88"/>
      <c r="CL129" s="88"/>
      <c r="CM129" s="88"/>
      <c r="CN129" s="88"/>
      <c r="CO129" s="88"/>
      <c r="CP129" s="88"/>
      <c r="CQ129" s="88"/>
      <c r="CR129" s="88"/>
      <c r="CS129" s="88"/>
      <c r="CT129" s="88"/>
      <c r="CU129" s="88"/>
      <c r="CV129" s="88"/>
      <c r="CW129" s="88"/>
      <c r="CX129" s="88"/>
      <c r="CY129" s="88"/>
      <c r="CZ129" s="88"/>
      <c r="DA129" s="88"/>
      <c r="DB129" s="88"/>
      <c r="DC129" s="88"/>
      <c r="DD129" s="88"/>
      <c r="DE129" s="88"/>
      <c r="DF129" s="88"/>
      <c r="DG129" s="88"/>
      <c r="DH129" s="88"/>
      <c r="DI129" s="42"/>
    </row>
    <row r="130" spans="1:113" s="43" customFormat="1" x14ac:dyDescent="0.25">
      <c r="A130" s="52" t="s">
        <v>185</v>
      </c>
      <c r="B130" s="54">
        <v>24</v>
      </c>
      <c r="C130" s="55">
        <v>30</v>
      </c>
      <c r="D130" s="3">
        <v>4</v>
      </c>
      <c r="E130" s="56">
        <v>4</v>
      </c>
      <c r="F130" s="56">
        <v>33</v>
      </c>
      <c r="G130" s="3">
        <v>27</v>
      </c>
      <c r="H130" s="57">
        <v>29</v>
      </c>
      <c r="I130" s="3">
        <v>0</v>
      </c>
      <c r="J130" s="3">
        <v>33</v>
      </c>
      <c r="K130" s="3">
        <v>27</v>
      </c>
      <c r="L130" s="58">
        <v>29</v>
      </c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8"/>
      <c r="BO130" s="88"/>
      <c r="BP130" s="88"/>
      <c r="BQ130" s="88"/>
      <c r="BR130" s="88"/>
      <c r="BS130" s="88"/>
      <c r="BT130" s="88"/>
      <c r="BU130" s="88"/>
      <c r="BV130" s="88"/>
      <c r="BW130" s="88"/>
      <c r="BX130" s="88"/>
      <c r="BY130" s="88"/>
      <c r="BZ130" s="88"/>
      <c r="CA130" s="88"/>
      <c r="CB130" s="88"/>
      <c r="CC130" s="88"/>
      <c r="CD130" s="88"/>
      <c r="CE130" s="88"/>
      <c r="CF130" s="88"/>
      <c r="CG130" s="88"/>
      <c r="CH130" s="88"/>
      <c r="CI130" s="88"/>
      <c r="CJ130" s="88"/>
      <c r="CK130" s="88"/>
      <c r="CL130" s="88"/>
      <c r="CM130" s="88"/>
      <c r="CN130" s="88"/>
      <c r="CO130" s="88"/>
      <c r="CP130" s="88"/>
      <c r="CQ130" s="88"/>
      <c r="CR130" s="88"/>
      <c r="CS130" s="88"/>
      <c r="CT130" s="88"/>
      <c r="CU130" s="88"/>
      <c r="CV130" s="88"/>
      <c r="CW130" s="88"/>
      <c r="CX130" s="88"/>
      <c r="CY130" s="88"/>
      <c r="CZ130" s="88"/>
      <c r="DA130" s="88"/>
      <c r="DB130" s="88"/>
      <c r="DC130" s="88"/>
      <c r="DD130" s="88"/>
      <c r="DE130" s="88"/>
      <c r="DF130" s="88"/>
      <c r="DG130" s="88"/>
      <c r="DH130" s="88"/>
      <c r="DI130" s="42"/>
    </row>
    <row r="131" spans="1:113" s="8" customFormat="1" x14ac:dyDescent="0.25">
      <c r="A131" s="36"/>
      <c r="B131" s="61"/>
      <c r="C131" s="62"/>
      <c r="D131" s="63"/>
      <c r="E131" s="64"/>
      <c r="F131" s="64"/>
      <c r="G131" s="63"/>
      <c r="H131" s="65"/>
      <c r="I131" s="63"/>
      <c r="J131" s="63"/>
      <c r="K131" s="63"/>
      <c r="L131" s="66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51"/>
    </row>
    <row r="132" spans="1:113" s="43" customFormat="1" x14ac:dyDescent="0.25">
      <c r="A132" s="36" t="s">
        <v>56</v>
      </c>
      <c r="B132" s="37">
        <f>SUM(B133:B140)</f>
        <v>165</v>
      </c>
      <c r="C132" s="38">
        <f t="shared" ref="C132:L132" si="11">SUM(C133:C140)</f>
        <v>127</v>
      </c>
      <c r="D132" s="4">
        <f>SUM(D133:D140)</f>
        <v>29</v>
      </c>
      <c r="E132" s="39">
        <f t="shared" si="11"/>
        <v>29</v>
      </c>
      <c r="F132" s="39">
        <f t="shared" si="11"/>
        <v>165</v>
      </c>
      <c r="G132" s="4">
        <f t="shared" si="11"/>
        <v>161</v>
      </c>
      <c r="H132" s="40">
        <f t="shared" si="11"/>
        <v>162</v>
      </c>
      <c r="I132" s="4">
        <f t="shared" si="11"/>
        <v>30</v>
      </c>
      <c r="J132" s="4">
        <f t="shared" si="11"/>
        <v>164</v>
      </c>
      <c r="K132" s="4">
        <f t="shared" si="11"/>
        <v>163</v>
      </c>
      <c r="L132" s="41">
        <f t="shared" si="11"/>
        <v>163</v>
      </c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  <c r="BG132" s="88"/>
      <c r="BH132" s="88"/>
      <c r="BI132" s="88"/>
      <c r="BJ132" s="88"/>
      <c r="BK132" s="88"/>
      <c r="BL132" s="88"/>
      <c r="BM132" s="88"/>
      <c r="BN132" s="88"/>
      <c r="BO132" s="88"/>
      <c r="BP132" s="88"/>
      <c r="BQ132" s="88"/>
      <c r="BR132" s="88"/>
      <c r="BS132" s="88"/>
      <c r="BT132" s="88"/>
      <c r="BU132" s="88"/>
      <c r="BV132" s="88"/>
      <c r="BW132" s="88"/>
      <c r="BX132" s="88"/>
      <c r="BY132" s="88"/>
      <c r="BZ132" s="88"/>
      <c r="CA132" s="88"/>
      <c r="CB132" s="88"/>
      <c r="CC132" s="88"/>
      <c r="CD132" s="88"/>
      <c r="CE132" s="88"/>
      <c r="CF132" s="88"/>
      <c r="CG132" s="88"/>
      <c r="CH132" s="88"/>
      <c r="CI132" s="88"/>
      <c r="CJ132" s="88"/>
      <c r="CK132" s="88"/>
      <c r="CL132" s="88"/>
      <c r="CM132" s="88"/>
      <c r="CN132" s="88"/>
      <c r="CO132" s="88"/>
      <c r="CP132" s="88"/>
      <c r="CQ132" s="88"/>
      <c r="CR132" s="88"/>
      <c r="CS132" s="88"/>
      <c r="CT132" s="88"/>
      <c r="CU132" s="88"/>
      <c r="CV132" s="88"/>
      <c r="CW132" s="88"/>
      <c r="CX132" s="88"/>
      <c r="CY132" s="88"/>
      <c r="CZ132" s="88"/>
      <c r="DA132" s="88"/>
      <c r="DB132" s="88"/>
      <c r="DC132" s="88"/>
      <c r="DD132" s="88"/>
      <c r="DE132" s="88"/>
      <c r="DF132" s="88"/>
      <c r="DG132" s="88"/>
      <c r="DH132" s="88"/>
      <c r="DI132" s="42"/>
    </row>
    <row r="133" spans="1:113" s="43" customFormat="1" x14ac:dyDescent="0.25">
      <c r="A133" s="52" t="s">
        <v>186</v>
      </c>
      <c r="B133" s="54">
        <v>32</v>
      </c>
      <c r="C133" s="55">
        <v>17</v>
      </c>
      <c r="D133" s="3">
        <v>18</v>
      </c>
      <c r="E133" s="56">
        <v>18</v>
      </c>
      <c r="F133" s="56">
        <v>31</v>
      </c>
      <c r="G133" s="3">
        <v>28</v>
      </c>
      <c r="H133" s="57">
        <v>32</v>
      </c>
      <c r="I133" s="3">
        <v>1</v>
      </c>
      <c r="J133" s="3">
        <v>31</v>
      </c>
      <c r="K133" s="3">
        <v>30</v>
      </c>
      <c r="L133" s="58">
        <v>30</v>
      </c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8"/>
      <c r="BF133" s="88"/>
      <c r="BG133" s="88"/>
      <c r="BH133" s="88"/>
      <c r="BI133" s="88"/>
      <c r="BJ133" s="88"/>
      <c r="BK133" s="88"/>
      <c r="BL133" s="88"/>
      <c r="BM133" s="88"/>
      <c r="BN133" s="88"/>
      <c r="BO133" s="88"/>
      <c r="BP133" s="88"/>
      <c r="BQ133" s="88"/>
      <c r="BR133" s="88"/>
      <c r="BS133" s="88"/>
      <c r="BT133" s="88"/>
      <c r="BU133" s="88"/>
      <c r="BV133" s="88"/>
      <c r="BW133" s="88"/>
      <c r="BX133" s="88"/>
      <c r="BY133" s="88"/>
      <c r="BZ133" s="88"/>
      <c r="CA133" s="88"/>
      <c r="CB133" s="88"/>
      <c r="CC133" s="88"/>
      <c r="CD133" s="88"/>
      <c r="CE133" s="88"/>
      <c r="CF133" s="88"/>
      <c r="CG133" s="88"/>
      <c r="CH133" s="88"/>
      <c r="CI133" s="88"/>
      <c r="CJ133" s="88"/>
      <c r="CK133" s="88"/>
      <c r="CL133" s="88"/>
      <c r="CM133" s="88"/>
      <c r="CN133" s="88"/>
      <c r="CO133" s="88"/>
      <c r="CP133" s="88"/>
      <c r="CQ133" s="88"/>
      <c r="CR133" s="88"/>
      <c r="CS133" s="88"/>
      <c r="CT133" s="88"/>
      <c r="CU133" s="88"/>
      <c r="CV133" s="88"/>
      <c r="CW133" s="88"/>
      <c r="CX133" s="88"/>
      <c r="CY133" s="88"/>
      <c r="CZ133" s="88"/>
      <c r="DA133" s="88"/>
      <c r="DB133" s="88"/>
      <c r="DC133" s="88"/>
      <c r="DD133" s="88"/>
      <c r="DE133" s="88"/>
      <c r="DF133" s="88"/>
      <c r="DG133" s="88"/>
      <c r="DH133" s="88"/>
      <c r="DI133" s="42"/>
    </row>
    <row r="134" spans="1:113" s="43" customFormat="1" x14ac:dyDescent="0.25">
      <c r="A134" s="52" t="s">
        <v>187</v>
      </c>
      <c r="B134" s="54">
        <v>35</v>
      </c>
      <c r="C134" s="55">
        <v>34</v>
      </c>
      <c r="D134" s="3">
        <v>4</v>
      </c>
      <c r="E134" s="56">
        <v>4</v>
      </c>
      <c r="F134" s="56">
        <v>38</v>
      </c>
      <c r="G134" s="3">
        <v>37</v>
      </c>
      <c r="H134" s="57">
        <v>35</v>
      </c>
      <c r="I134" s="3">
        <v>18</v>
      </c>
      <c r="J134" s="3">
        <v>37</v>
      </c>
      <c r="K134" s="3">
        <v>37</v>
      </c>
      <c r="L134" s="58">
        <v>32</v>
      </c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  <c r="BG134" s="88"/>
      <c r="BH134" s="88"/>
      <c r="BI134" s="88"/>
      <c r="BJ134" s="88"/>
      <c r="BK134" s="88"/>
      <c r="BL134" s="88"/>
      <c r="BM134" s="88"/>
      <c r="BN134" s="88"/>
      <c r="BO134" s="88"/>
      <c r="BP134" s="88"/>
      <c r="BQ134" s="88"/>
      <c r="BR134" s="88"/>
      <c r="BS134" s="88"/>
      <c r="BT134" s="88"/>
      <c r="BU134" s="88"/>
      <c r="BV134" s="88"/>
      <c r="BW134" s="88"/>
      <c r="BX134" s="88"/>
      <c r="BY134" s="88"/>
      <c r="BZ134" s="88"/>
      <c r="CA134" s="88"/>
      <c r="CB134" s="88"/>
      <c r="CC134" s="88"/>
      <c r="CD134" s="88"/>
      <c r="CE134" s="88"/>
      <c r="CF134" s="88"/>
      <c r="CG134" s="88"/>
      <c r="CH134" s="88"/>
      <c r="CI134" s="88"/>
      <c r="CJ134" s="88"/>
      <c r="CK134" s="88"/>
      <c r="CL134" s="88"/>
      <c r="CM134" s="88"/>
      <c r="CN134" s="88"/>
      <c r="CO134" s="88"/>
      <c r="CP134" s="88"/>
      <c r="CQ134" s="88"/>
      <c r="CR134" s="88"/>
      <c r="CS134" s="88"/>
      <c r="CT134" s="88"/>
      <c r="CU134" s="88"/>
      <c r="CV134" s="88"/>
      <c r="CW134" s="88"/>
      <c r="CX134" s="88"/>
      <c r="CY134" s="88"/>
      <c r="CZ134" s="88"/>
      <c r="DA134" s="88"/>
      <c r="DB134" s="88"/>
      <c r="DC134" s="88"/>
      <c r="DD134" s="88"/>
      <c r="DE134" s="88"/>
      <c r="DF134" s="88"/>
      <c r="DG134" s="88"/>
      <c r="DH134" s="88"/>
      <c r="DI134" s="42"/>
    </row>
    <row r="135" spans="1:113" s="43" customFormat="1" x14ac:dyDescent="0.25">
      <c r="A135" s="52" t="s">
        <v>188</v>
      </c>
      <c r="B135" s="54">
        <v>20</v>
      </c>
      <c r="C135" s="55">
        <v>19</v>
      </c>
      <c r="D135" s="3">
        <v>3</v>
      </c>
      <c r="E135" s="56">
        <v>3</v>
      </c>
      <c r="F135" s="56">
        <v>22</v>
      </c>
      <c r="G135" s="3">
        <v>20</v>
      </c>
      <c r="H135" s="57">
        <v>20</v>
      </c>
      <c r="I135" s="3">
        <v>0</v>
      </c>
      <c r="J135" s="3">
        <v>22</v>
      </c>
      <c r="K135" s="3">
        <v>18</v>
      </c>
      <c r="L135" s="58">
        <v>20</v>
      </c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  <c r="BG135" s="88"/>
      <c r="BH135" s="88"/>
      <c r="BI135" s="88"/>
      <c r="BJ135" s="88"/>
      <c r="BK135" s="88"/>
      <c r="BL135" s="88"/>
      <c r="BM135" s="88"/>
      <c r="BN135" s="88"/>
      <c r="BO135" s="88"/>
      <c r="BP135" s="88"/>
      <c r="BQ135" s="88"/>
      <c r="BR135" s="88"/>
      <c r="BS135" s="88"/>
      <c r="BT135" s="88"/>
      <c r="BU135" s="88"/>
      <c r="BV135" s="88"/>
      <c r="BW135" s="88"/>
      <c r="BX135" s="88"/>
      <c r="BY135" s="88"/>
      <c r="BZ135" s="88"/>
      <c r="CA135" s="88"/>
      <c r="CB135" s="88"/>
      <c r="CC135" s="88"/>
      <c r="CD135" s="88"/>
      <c r="CE135" s="88"/>
      <c r="CF135" s="88"/>
      <c r="CG135" s="88"/>
      <c r="CH135" s="88"/>
      <c r="CI135" s="88"/>
      <c r="CJ135" s="88"/>
      <c r="CK135" s="88"/>
      <c r="CL135" s="88"/>
      <c r="CM135" s="88"/>
      <c r="CN135" s="88"/>
      <c r="CO135" s="88"/>
      <c r="CP135" s="88"/>
      <c r="CQ135" s="88"/>
      <c r="CR135" s="88"/>
      <c r="CS135" s="88"/>
      <c r="CT135" s="88"/>
      <c r="CU135" s="88"/>
      <c r="CV135" s="88"/>
      <c r="CW135" s="88"/>
      <c r="CX135" s="88"/>
      <c r="CY135" s="88"/>
      <c r="CZ135" s="88"/>
      <c r="DA135" s="88"/>
      <c r="DB135" s="88"/>
      <c r="DC135" s="88"/>
      <c r="DD135" s="88"/>
      <c r="DE135" s="88"/>
      <c r="DF135" s="88"/>
      <c r="DG135" s="88"/>
      <c r="DH135" s="88"/>
      <c r="DI135" s="42"/>
    </row>
    <row r="136" spans="1:113" s="43" customFormat="1" x14ac:dyDescent="0.25">
      <c r="A136" s="52" t="s">
        <v>189</v>
      </c>
      <c r="B136" s="54">
        <v>17</v>
      </c>
      <c r="C136" s="55">
        <v>15</v>
      </c>
      <c r="D136" s="3">
        <v>0</v>
      </c>
      <c r="E136" s="56">
        <v>0</v>
      </c>
      <c r="F136" s="56">
        <v>15</v>
      </c>
      <c r="G136" s="3">
        <v>15</v>
      </c>
      <c r="H136" s="57">
        <v>14</v>
      </c>
      <c r="I136" s="3">
        <v>0</v>
      </c>
      <c r="J136" s="3">
        <v>15</v>
      </c>
      <c r="K136" s="3">
        <v>16</v>
      </c>
      <c r="L136" s="58">
        <v>15</v>
      </c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88"/>
      <c r="CA136" s="88"/>
      <c r="CB136" s="88"/>
      <c r="CC136" s="88"/>
      <c r="CD136" s="88"/>
      <c r="CE136" s="88"/>
      <c r="CF136" s="88"/>
      <c r="CG136" s="88"/>
      <c r="CH136" s="88"/>
      <c r="CI136" s="88"/>
      <c r="CJ136" s="88"/>
      <c r="CK136" s="88"/>
      <c r="CL136" s="88"/>
      <c r="CM136" s="88"/>
      <c r="CN136" s="88"/>
      <c r="CO136" s="88"/>
      <c r="CP136" s="88"/>
      <c r="CQ136" s="88"/>
      <c r="CR136" s="88"/>
      <c r="CS136" s="88"/>
      <c r="CT136" s="88"/>
      <c r="CU136" s="88"/>
      <c r="CV136" s="88"/>
      <c r="CW136" s="88"/>
      <c r="CX136" s="88"/>
      <c r="CY136" s="88"/>
      <c r="CZ136" s="88"/>
      <c r="DA136" s="88"/>
      <c r="DB136" s="88"/>
      <c r="DC136" s="88"/>
      <c r="DD136" s="88"/>
      <c r="DE136" s="88"/>
      <c r="DF136" s="88"/>
      <c r="DG136" s="88"/>
      <c r="DH136" s="88"/>
      <c r="DI136" s="42"/>
    </row>
    <row r="137" spans="1:113" s="43" customFormat="1" x14ac:dyDescent="0.25">
      <c r="A137" s="52" t="s">
        <v>190</v>
      </c>
      <c r="B137" s="54">
        <v>21</v>
      </c>
      <c r="C137" s="55">
        <v>10</v>
      </c>
      <c r="D137" s="3">
        <v>4</v>
      </c>
      <c r="E137" s="56">
        <v>4</v>
      </c>
      <c r="F137" s="56">
        <v>12</v>
      </c>
      <c r="G137" s="3">
        <v>12</v>
      </c>
      <c r="H137" s="57">
        <v>12</v>
      </c>
      <c r="I137" s="3">
        <v>8</v>
      </c>
      <c r="J137" s="3">
        <v>13</v>
      </c>
      <c r="K137" s="3">
        <v>13</v>
      </c>
      <c r="L137" s="58">
        <v>12</v>
      </c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  <c r="BL137" s="88"/>
      <c r="BM137" s="88"/>
      <c r="BN137" s="88"/>
      <c r="BO137" s="88"/>
      <c r="BP137" s="88"/>
      <c r="BQ137" s="88"/>
      <c r="BR137" s="88"/>
      <c r="BS137" s="88"/>
      <c r="BT137" s="88"/>
      <c r="BU137" s="88"/>
      <c r="BV137" s="88"/>
      <c r="BW137" s="88"/>
      <c r="BX137" s="88"/>
      <c r="BY137" s="88"/>
      <c r="BZ137" s="88"/>
      <c r="CA137" s="88"/>
      <c r="CB137" s="88"/>
      <c r="CC137" s="88"/>
      <c r="CD137" s="88"/>
      <c r="CE137" s="88"/>
      <c r="CF137" s="88"/>
      <c r="CG137" s="88"/>
      <c r="CH137" s="88"/>
      <c r="CI137" s="88"/>
      <c r="CJ137" s="88"/>
      <c r="CK137" s="88"/>
      <c r="CL137" s="88"/>
      <c r="CM137" s="88"/>
      <c r="CN137" s="88"/>
      <c r="CO137" s="88"/>
      <c r="CP137" s="88"/>
      <c r="CQ137" s="88"/>
      <c r="CR137" s="88"/>
      <c r="CS137" s="88"/>
      <c r="CT137" s="88"/>
      <c r="CU137" s="88"/>
      <c r="CV137" s="88"/>
      <c r="CW137" s="88"/>
      <c r="CX137" s="88"/>
      <c r="CY137" s="88"/>
      <c r="CZ137" s="88"/>
      <c r="DA137" s="88"/>
      <c r="DB137" s="88"/>
      <c r="DC137" s="88"/>
      <c r="DD137" s="88"/>
      <c r="DE137" s="88"/>
      <c r="DF137" s="88"/>
      <c r="DG137" s="88"/>
      <c r="DH137" s="88"/>
      <c r="DI137" s="42"/>
    </row>
    <row r="138" spans="1:113" s="43" customFormat="1" x14ac:dyDescent="0.25">
      <c r="A138" s="52" t="s">
        <v>191</v>
      </c>
      <c r="B138" s="54">
        <v>16</v>
      </c>
      <c r="C138" s="55">
        <v>8</v>
      </c>
      <c r="D138" s="3">
        <v>0</v>
      </c>
      <c r="E138" s="56">
        <v>0</v>
      </c>
      <c r="F138" s="56">
        <v>12</v>
      </c>
      <c r="G138" s="3">
        <v>16</v>
      </c>
      <c r="H138" s="57">
        <v>16</v>
      </c>
      <c r="I138" s="3">
        <v>1</v>
      </c>
      <c r="J138" s="3">
        <v>14</v>
      </c>
      <c r="K138" s="3">
        <v>14</v>
      </c>
      <c r="L138" s="58">
        <v>20</v>
      </c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  <c r="BG138" s="88"/>
      <c r="BH138" s="88"/>
      <c r="BI138" s="88"/>
      <c r="BJ138" s="88"/>
      <c r="BK138" s="88"/>
      <c r="BL138" s="88"/>
      <c r="BM138" s="88"/>
      <c r="BN138" s="88"/>
      <c r="BO138" s="88"/>
      <c r="BP138" s="88"/>
      <c r="BQ138" s="88"/>
      <c r="BR138" s="88"/>
      <c r="BS138" s="88"/>
      <c r="BT138" s="88"/>
      <c r="BU138" s="88"/>
      <c r="BV138" s="88"/>
      <c r="BW138" s="88"/>
      <c r="BX138" s="88"/>
      <c r="BY138" s="88"/>
      <c r="BZ138" s="88"/>
      <c r="CA138" s="88"/>
      <c r="CB138" s="88"/>
      <c r="CC138" s="88"/>
      <c r="CD138" s="88"/>
      <c r="CE138" s="88"/>
      <c r="CF138" s="88"/>
      <c r="CG138" s="88"/>
      <c r="CH138" s="88"/>
      <c r="CI138" s="88"/>
      <c r="CJ138" s="88"/>
      <c r="CK138" s="88"/>
      <c r="CL138" s="88"/>
      <c r="CM138" s="88"/>
      <c r="CN138" s="88"/>
      <c r="CO138" s="88"/>
      <c r="CP138" s="88"/>
      <c r="CQ138" s="88"/>
      <c r="CR138" s="88"/>
      <c r="CS138" s="88"/>
      <c r="CT138" s="88"/>
      <c r="CU138" s="88"/>
      <c r="CV138" s="88"/>
      <c r="CW138" s="88"/>
      <c r="CX138" s="88"/>
      <c r="CY138" s="88"/>
      <c r="CZ138" s="88"/>
      <c r="DA138" s="88"/>
      <c r="DB138" s="88"/>
      <c r="DC138" s="88"/>
      <c r="DD138" s="88"/>
      <c r="DE138" s="88"/>
      <c r="DF138" s="88"/>
      <c r="DG138" s="88"/>
      <c r="DH138" s="88"/>
      <c r="DI138" s="42"/>
    </row>
    <row r="139" spans="1:113" s="43" customFormat="1" x14ac:dyDescent="0.25">
      <c r="A139" s="52" t="s">
        <v>192</v>
      </c>
      <c r="B139" s="54">
        <v>7</v>
      </c>
      <c r="C139" s="55">
        <v>9</v>
      </c>
      <c r="D139" s="3">
        <v>0</v>
      </c>
      <c r="E139" s="56">
        <v>0</v>
      </c>
      <c r="F139" s="56">
        <v>12</v>
      </c>
      <c r="G139" s="3">
        <v>12</v>
      </c>
      <c r="H139" s="57">
        <v>12</v>
      </c>
      <c r="I139" s="3">
        <v>2</v>
      </c>
      <c r="J139" s="3">
        <v>10</v>
      </c>
      <c r="K139" s="3">
        <v>16</v>
      </c>
      <c r="L139" s="58">
        <v>17</v>
      </c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  <c r="BG139" s="88"/>
      <c r="BH139" s="88"/>
      <c r="BI139" s="88"/>
      <c r="BJ139" s="88"/>
      <c r="BK139" s="88"/>
      <c r="BL139" s="88"/>
      <c r="BM139" s="88"/>
      <c r="BN139" s="88"/>
      <c r="BO139" s="88"/>
      <c r="BP139" s="88"/>
      <c r="BQ139" s="88"/>
      <c r="BR139" s="88"/>
      <c r="BS139" s="88"/>
      <c r="BT139" s="88"/>
      <c r="BU139" s="88"/>
      <c r="BV139" s="88"/>
      <c r="BW139" s="88"/>
      <c r="BX139" s="88"/>
      <c r="BY139" s="88"/>
      <c r="BZ139" s="88"/>
      <c r="CA139" s="88"/>
      <c r="CB139" s="88"/>
      <c r="CC139" s="88"/>
      <c r="CD139" s="88"/>
      <c r="CE139" s="88"/>
      <c r="CF139" s="88"/>
      <c r="CG139" s="88"/>
      <c r="CH139" s="88"/>
      <c r="CI139" s="88"/>
      <c r="CJ139" s="88"/>
      <c r="CK139" s="88"/>
      <c r="CL139" s="88"/>
      <c r="CM139" s="88"/>
      <c r="CN139" s="88"/>
      <c r="CO139" s="88"/>
      <c r="CP139" s="88"/>
      <c r="CQ139" s="88"/>
      <c r="CR139" s="88"/>
      <c r="CS139" s="88"/>
      <c r="CT139" s="88"/>
      <c r="CU139" s="88"/>
      <c r="CV139" s="88"/>
      <c r="CW139" s="88"/>
      <c r="CX139" s="88"/>
      <c r="CY139" s="88"/>
      <c r="CZ139" s="88"/>
      <c r="DA139" s="88"/>
      <c r="DB139" s="88"/>
      <c r="DC139" s="88"/>
      <c r="DD139" s="88"/>
      <c r="DE139" s="88"/>
      <c r="DF139" s="88"/>
      <c r="DG139" s="88"/>
      <c r="DH139" s="88"/>
      <c r="DI139" s="42"/>
    </row>
    <row r="140" spans="1:113" s="43" customFormat="1" x14ac:dyDescent="0.25">
      <c r="A140" s="52" t="s">
        <v>193</v>
      </c>
      <c r="B140" s="54">
        <v>17</v>
      </c>
      <c r="C140" s="55">
        <v>15</v>
      </c>
      <c r="D140" s="3">
        <v>0</v>
      </c>
      <c r="E140" s="56">
        <v>0</v>
      </c>
      <c r="F140" s="56">
        <v>23</v>
      </c>
      <c r="G140" s="3">
        <v>21</v>
      </c>
      <c r="H140" s="57">
        <v>21</v>
      </c>
      <c r="I140" s="3">
        <v>0</v>
      </c>
      <c r="J140" s="3">
        <v>22</v>
      </c>
      <c r="K140" s="3">
        <v>19</v>
      </c>
      <c r="L140" s="58">
        <v>17</v>
      </c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42"/>
    </row>
    <row r="141" spans="1:113" s="8" customFormat="1" x14ac:dyDescent="0.25">
      <c r="A141" s="36"/>
      <c r="B141" s="61"/>
      <c r="C141" s="62"/>
      <c r="D141" s="63"/>
      <c r="E141" s="64"/>
      <c r="F141" s="64"/>
      <c r="G141" s="63"/>
      <c r="H141" s="65"/>
      <c r="I141" s="63"/>
      <c r="J141" s="63"/>
      <c r="K141" s="63"/>
      <c r="L141" s="66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51"/>
    </row>
    <row r="142" spans="1:113" s="43" customFormat="1" x14ac:dyDescent="0.25">
      <c r="A142" s="36" t="s">
        <v>57</v>
      </c>
      <c r="B142" s="37">
        <f>SUM(B143:B152)</f>
        <v>206</v>
      </c>
      <c r="C142" s="38">
        <f t="shared" ref="C142:L142" si="12">SUM(C143:C152)</f>
        <v>216</v>
      </c>
      <c r="D142" s="4">
        <f>SUM(D143:D152)</f>
        <v>179</v>
      </c>
      <c r="E142" s="39">
        <f t="shared" si="12"/>
        <v>179</v>
      </c>
      <c r="F142" s="39">
        <f t="shared" si="12"/>
        <v>206</v>
      </c>
      <c r="G142" s="4">
        <f t="shared" si="12"/>
        <v>204</v>
      </c>
      <c r="H142" s="40">
        <f t="shared" si="12"/>
        <v>202</v>
      </c>
      <c r="I142" s="4">
        <f t="shared" si="12"/>
        <v>38</v>
      </c>
      <c r="J142" s="4">
        <f t="shared" si="12"/>
        <v>206</v>
      </c>
      <c r="K142" s="4">
        <f t="shared" si="12"/>
        <v>204</v>
      </c>
      <c r="L142" s="41">
        <f t="shared" si="12"/>
        <v>202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  <c r="CA142" s="88"/>
      <c r="CB142" s="88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8"/>
      <c r="CT142" s="88"/>
      <c r="CU142" s="88"/>
      <c r="CV142" s="88"/>
      <c r="CW142" s="88"/>
      <c r="CX142" s="88"/>
      <c r="CY142" s="88"/>
      <c r="CZ142" s="88"/>
      <c r="DA142" s="88"/>
      <c r="DB142" s="88"/>
      <c r="DC142" s="88"/>
      <c r="DD142" s="88"/>
      <c r="DE142" s="88"/>
      <c r="DF142" s="88"/>
      <c r="DG142" s="88"/>
      <c r="DH142" s="88"/>
      <c r="DI142" s="42"/>
    </row>
    <row r="143" spans="1:113" s="43" customFormat="1" x14ac:dyDescent="0.25">
      <c r="A143" s="52" t="s">
        <v>194</v>
      </c>
      <c r="B143" s="54">
        <v>10</v>
      </c>
      <c r="C143" s="55">
        <v>13</v>
      </c>
      <c r="D143" s="3">
        <v>4</v>
      </c>
      <c r="E143" s="56">
        <v>4</v>
      </c>
      <c r="F143" s="56">
        <v>7</v>
      </c>
      <c r="G143" s="3">
        <v>8</v>
      </c>
      <c r="H143" s="57">
        <v>10</v>
      </c>
      <c r="I143" s="3">
        <v>0</v>
      </c>
      <c r="J143" s="3">
        <v>7</v>
      </c>
      <c r="K143" s="3">
        <v>8</v>
      </c>
      <c r="L143" s="58">
        <v>10</v>
      </c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88"/>
      <c r="DB143" s="88"/>
      <c r="DC143" s="88"/>
      <c r="DD143" s="88"/>
      <c r="DE143" s="88"/>
      <c r="DF143" s="88"/>
      <c r="DG143" s="88"/>
      <c r="DH143" s="88"/>
      <c r="DI143" s="42"/>
    </row>
    <row r="144" spans="1:113" s="43" customFormat="1" x14ac:dyDescent="0.25">
      <c r="A144" s="52" t="s">
        <v>58</v>
      </c>
      <c r="B144" s="54">
        <v>23</v>
      </c>
      <c r="C144" s="55">
        <v>33</v>
      </c>
      <c r="D144" s="3">
        <v>20</v>
      </c>
      <c r="E144" s="56">
        <v>20</v>
      </c>
      <c r="F144" s="56">
        <v>18</v>
      </c>
      <c r="G144" s="3">
        <v>27</v>
      </c>
      <c r="H144" s="57">
        <v>25</v>
      </c>
      <c r="I144" s="3">
        <v>2</v>
      </c>
      <c r="J144" s="3">
        <v>19</v>
      </c>
      <c r="K144" s="3">
        <v>27</v>
      </c>
      <c r="L144" s="58">
        <v>25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88"/>
      <c r="DB144" s="88"/>
      <c r="DC144" s="88"/>
      <c r="DD144" s="88"/>
      <c r="DE144" s="88"/>
      <c r="DF144" s="88"/>
      <c r="DG144" s="88"/>
      <c r="DH144" s="88"/>
      <c r="DI144" s="42"/>
    </row>
    <row r="145" spans="1:113" s="43" customFormat="1" x14ac:dyDescent="0.25">
      <c r="A145" s="52" t="s">
        <v>38</v>
      </c>
      <c r="B145" s="54">
        <v>11</v>
      </c>
      <c r="C145" s="55">
        <v>10</v>
      </c>
      <c r="D145" s="3">
        <v>12</v>
      </c>
      <c r="E145" s="56">
        <v>12</v>
      </c>
      <c r="F145" s="56">
        <v>12</v>
      </c>
      <c r="G145" s="3">
        <v>10</v>
      </c>
      <c r="H145" s="57">
        <v>8</v>
      </c>
      <c r="I145" s="3">
        <v>5</v>
      </c>
      <c r="J145" s="3">
        <v>12</v>
      </c>
      <c r="K145" s="3">
        <v>10</v>
      </c>
      <c r="L145" s="58">
        <v>8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  <c r="BG145" s="88"/>
      <c r="BH145" s="88"/>
      <c r="BI145" s="88"/>
      <c r="BJ145" s="88"/>
      <c r="BK145" s="88"/>
      <c r="BL145" s="88"/>
      <c r="BM145" s="88"/>
      <c r="BN145" s="88"/>
      <c r="BO145" s="88"/>
      <c r="BP145" s="88"/>
      <c r="BQ145" s="88"/>
      <c r="BR145" s="88"/>
      <c r="BS145" s="88"/>
      <c r="BT145" s="88"/>
      <c r="BU145" s="88"/>
      <c r="BV145" s="88"/>
      <c r="BW145" s="88"/>
      <c r="BX145" s="88"/>
      <c r="BY145" s="88"/>
      <c r="BZ145" s="88"/>
      <c r="CA145" s="88"/>
      <c r="CB145" s="88"/>
      <c r="CC145" s="88"/>
      <c r="CD145" s="88"/>
      <c r="CE145" s="88"/>
      <c r="CF145" s="88"/>
      <c r="CG145" s="88"/>
      <c r="CH145" s="88"/>
      <c r="CI145" s="88"/>
      <c r="CJ145" s="88"/>
      <c r="CK145" s="88"/>
      <c r="CL145" s="88"/>
      <c r="CM145" s="88"/>
      <c r="CN145" s="88"/>
      <c r="CO145" s="88"/>
      <c r="CP145" s="88"/>
      <c r="CQ145" s="88"/>
      <c r="CR145" s="88"/>
      <c r="CS145" s="88"/>
      <c r="CT145" s="88"/>
      <c r="CU145" s="88"/>
      <c r="CV145" s="88"/>
      <c r="CW145" s="88"/>
      <c r="CX145" s="88"/>
      <c r="CY145" s="88"/>
      <c r="CZ145" s="88"/>
      <c r="DA145" s="88"/>
      <c r="DB145" s="88"/>
      <c r="DC145" s="88"/>
      <c r="DD145" s="88"/>
      <c r="DE145" s="88"/>
      <c r="DF145" s="88"/>
      <c r="DG145" s="88"/>
      <c r="DH145" s="88"/>
      <c r="DI145" s="42"/>
    </row>
    <row r="146" spans="1:113" s="43" customFormat="1" x14ac:dyDescent="0.25">
      <c r="A146" s="52" t="s">
        <v>59</v>
      </c>
      <c r="B146" s="54">
        <v>46</v>
      </c>
      <c r="C146" s="55">
        <v>54</v>
      </c>
      <c r="D146" s="3">
        <v>46</v>
      </c>
      <c r="E146" s="56">
        <v>46</v>
      </c>
      <c r="F146" s="56">
        <v>67</v>
      </c>
      <c r="G146" s="3">
        <v>59</v>
      </c>
      <c r="H146" s="57">
        <v>54</v>
      </c>
      <c r="I146" s="3">
        <v>12</v>
      </c>
      <c r="J146" s="3">
        <v>67</v>
      </c>
      <c r="K146" s="3">
        <v>59</v>
      </c>
      <c r="L146" s="58">
        <v>54</v>
      </c>
      <c r="M146" s="88"/>
      <c r="N146" s="88"/>
      <c r="O146" s="88" t="s">
        <v>241</v>
      </c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  <c r="BY146" s="88"/>
      <c r="BZ146" s="88"/>
      <c r="CA146" s="8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88"/>
      <c r="CO146" s="88"/>
      <c r="CP146" s="88"/>
      <c r="CQ146" s="88"/>
      <c r="CR146" s="88"/>
      <c r="CS146" s="88"/>
      <c r="CT146" s="88"/>
      <c r="CU146" s="88"/>
      <c r="CV146" s="88"/>
      <c r="CW146" s="88"/>
      <c r="CX146" s="88"/>
      <c r="CY146" s="88"/>
      <c r="CZ146" s="88"/>
      <c r="DA146" s="88"/>
      <c r="DB146" s="88"/>
      <c r="DC146" s="88"/>
      <c r="DD146" s="88"/>
      <c r="DE146" s="88"/>
      <c r="DF146" s="88"/>
      <c r="DG146" s="88"/>
      <c r="DH146" s="88"/>
      <c r="DI146" s="42"/>
    </row>
    <row r="147" spans="1:113" s="43" customFormat="1" x14ac:dyDescent="0.25">
      <c r="A147" s="52" t="s">
        <v>60</v>
      </c>
      <c r="B147" s="54">
        <v>13</v>
      </c>
      <c r="C147" s="55">
        <v>5</v>
      </c>
      <c r="D147" s="3">
        <v>4</v>
      </c>
      <c r="E147" s="56">
        <v>4</v>
      </c>
      <c r="F147" s="56">
        <v>1</v>
      </c>
      <c r="G147" s="3">
        <v>7</v>
      </c>
      <c r="H147" s="57">
        <v>9</v>
      </c>
      <c r="I147" s="3">
        <v>1</v>
      </c>
      <c r="J147" s="3">
        <v>1</v>
      </c>
      <c r="K147" s="3">
        <v>7</v>
      </c>
      <c r="L147" s="58">
        <v>9</v>
      </c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88"/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42"/>
    </row>
    <row r="148" spans="1:113" s="43" customFormat="1" x14ac:dyDescent="0.25">
      <c r="A148" s="52" t="s">
        <v>61</v>
      </c>
      <c r="B148" s="54">
        <v>22</v>
      </c>
      <c r="C148" s="55">
        <v>23</v>
      </c>
      <c r="D148" s="3">
        <v>13</v>
      </c>
      <c r="E148" s="56">
        <v>13</v>
      </c>
      <c r="F148" s="56">
        <v>13</v>
      </c>
      <c r="G148" s="3">
        <v>11</v>
      </c>
      <c r="H148" s="57">
        <v>16</v>
      </c>
      <c r="I148" s="3">
        <v>2</v>
      </c>
      <c r="J148" s="3">
        <v>12</v>
      </c>
      <c r="K148" s="3">
        <v>11</v>
      </c>
      <c r="L148" s="58">
        <v>16</v>
      </c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  <c r="BY148" s="88"/>
      <c r="BZ148" s="88"/>
      <c r="CA148" s="88"/>
      <c r="CB148" s="88"/>
      <c r="CC148" s="88"/>
      <c r="CD148" s="88"/>
      <c r="CE148" s="8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88"/>
      <c r="CR148" s="88"/>
      <c r="CS148" s="88"/>
      <c r="CT148" s="88"/>
      <c r="CU148" s="88"/>
      <c r="CV148" s="88"/>
      <c r="CW148" s="88"/>
      <c r="CX148" s="88"/>
      <c r="CY148" s="88"/>
      <c r="CZ148" s="88"/>
      <c r="DA148" s="88"/>
      <c r="DB148" s="88"/>
      <c r="DC148" s="88"/>
      <c r="DD148" s="88"/>
      <c r="DE148" s="88"/>
      <c r="DF148" s="88"/>
      <c r="DG148" s="88"/>
      <c r="DH148" s="88"/>
      <c r="DI148" s="42"/>
    </row>
    <row r="149" spans="1:113" s="43" customFormat="1" x14ac:dyDescent="0.25">
      <c r="A149" s="52" t="s">
        <v>62</v>
      </c>
      <c r="B149" s="54">
        <v>7</v>
      </c>
      <c r="C149" s="55">
        <v>12</v>
      </c>
      <c r="D149" s="3">
        <v>7</v>
      </c>
      <c r="E149" s="56">
        <v>7</v>
      </c>
      <c r="F149" s="56">
        <v>7</v>
      </c>
      <c r="G149" s="3">
        <v>9</v>
      </c>
      <c r="H149" s="57">
        <v>8</v>
      </c>
      <c r="I149" s="3">
        <v>0</v>
      </c>
      <c r="J149" s="3">
        <v>7</v>
      </c>
      <c r="K149" s="3">
        <v>9</v>
      </c>
      <c r="L149" s="58">
        <v>8</v>
      </c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88"/>
      <c r="CA149" s="88"/>
      <c r="CB149" s="88"/>
      <c r="CC149" s="88"/>
      <c r="CD149" s="88"/>
      <c r="CE149" s="88"/>
      <c r="CF149" s="88"/>
      <c r="CG149" s="88"/>
      <c r="CH149" s="88"/>
      <c r="CI149" s="88"/>
      <c r="CJ149" s="88"/>
      <c r="CK149" s="88"/>
      <c r="CL149" s="88"/>
      <c r="CM149" s="88"/>
      <c r="CN149" s="88"/>
      <c r="CO149" s="88"/>
      <c r="CP149" s="88"/>
      <c r="CQ149" s="88"/>
      <c r="CR149" s="88"/>
      <c r="CS149" s="88"/>
      <c r="CT149" s="88"/>
      <c r="CU149" s="88"/>
      <c r="CV149" s="88"/>
      <c r="CW149" s="88"/>
      <c r="CX149" s="88"/>
      <c r="CY149" s="88"/>
      <c r="CZ149" s="88"/>
      <c r="DA149" s="88"/>
      <c r="DB149" s="88"/>
      <c r="DC149" s="88"/>
      <c r="DD149" s="88"/>
      <c r="DE149" s="88"/>
      <c r="DF149" s="88"/>
      <c r="DG149" s="88"/>
      <c r="DH149" s="88"/>
      <c r="DI149" s="42"/>
    </row>
    <row r="150" spans="1:113" s="43" customFormat="1" x14ac:dyDescent="0.25">
      <c r="A150" s="52" t="s">
        <v>30</v>
      </c>
      <c r="B150" s="54">
        <v>16</v>
      </c>
      <c r="C150" s="55">
        <v>24</v>
      </c>
      <c r="D150" s="3">
        <v>10</v>
      </c>
      <c r="E150" s="56">
        <v>10</v>
      </c>
      <c r="F150" s="56">
        <v>21</v>
      </c>
      <c r="G150" s="3">
        <v>12</v>
      </c>
      <c r="H150" s="57">
        <v>17</v>
      </c>
      <c r="I150" s="3">
        <v>4</v>
      </c>
      <c r="J150" s="3">
        <v>21</v>
      </c>
      <c r="K150" s="3">
        <v>12</v>
      </c>
      <c r="L150" s="58">
        <v>17</v>
      </c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  <c r="BL150" s="88"/>
      <c r="BM150" s="88"/>
      <c r="BN150" s="88"/>
      <c r="BO150" s="88"/>
      <c r="BP150" s="88"/>
      <c r="BQ150" s="88"/>
      <c r="BR150" s="88"/>
      <c r="BS150" s="88"/>
      <c r="BT150" s="88"/>
      <c r="BU150" s="88"/>
      <c r="BV150" s="88"/>
      <c r="BW150" s="88"/>
      <c r="BX150" s="88"/>
      <c r="BY150" s="88"/>
      <c r="BZ150" s="88"/>
      <c r="CA150" s="88"/>
      <c r="CB150" s="88"/>
      <c r="CC150" s="88"/>
      <c r="CD150" s="88"/>
      <c r="CE150" s="88"/>
      <c r="CF150" s="88"/>
      <c r="CG150" s="88"/>
      <c r="CH150" s="88"/>
      <c r="CI150" s="88"/>
      <c r="CJ150" s="88"/>
      <c r="CK150" s="88"/>
      <c r="CL150" s="88"/>
      <c r="CM150" s="88"/>
      <c r="CN150" s="88"/>
      <c r="CO150" s="88"/>
      <c r="CP150" s="88"/>
      <c r="CQ150" s="88"/>
      <c r="CR150" s="88"/>
      <c r="CS150" s="88"/>
      <c r="CT150" s="88"/>
      <c r="CU150" s="88"/>
      <c r="CV150" s="88"/>
      <c r="CW150" s="88"/>
      <c r="CX150" s="88"/>
      <c r="CY150" s="88"/>
      <c r="CZ150" s="88"/>
      <c r="DA150" s="88"/>
      <c r="DB150" s="88"/>
      <c r="DC150" s="88"/>
      <c r="DD150" s="88"/>
      <c r="DE150" s="88"/>
      <c r="DF150" s="88"/>
      <c r="DG150" s="88"/>
      <c r="DH150" s="88"/>
      <c r="DI150" s="42"/>
    </row>
    <row r="151" spans="1:113" s="43" customFormat="1" x14ac:dyDescent="0.25">
      <c r="A151" s="52" t="s">
        <v>63</v>
      </c>
      <c r="B151" s="54">
        <v>3</v>
      </c>
      <c r="C151" s="55">
        <v>1</v>
      </c>
      <c r="D151" s="3">
        <v>6</v>
      </c>
      <c r="E151" s="56">
        <v>6</v>
      </c>
      <c r="F151" s="56">
        <v>1</v>
      </c>
      <c r="G151" s="3">
        <v>3</v>
      </c>
      <c r="H151" s="57">
        <v>3</v>
      </c>
      <c r="I151" s="3">
        <v>0</v>
      </c>
      <c r="J151" s="3">
        <v>1</v>
      </c>
      <c r="K151" s="3">
        <v>3</v>
      </c>
      <c r="L151" s="58">
        <v>3</v>
      </c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  <c r="BG151" s="88"/>
      <c r="BH151" s="88"/>
      <c r="BI151" s="88"/>
      <c r="BJ151" s="88"/>
      <c r="BK151" s="88"/>
      <c r="BL151" s="88"/>
      <c r="BM151" s="88"/>
      <c r="BN151" s="88"/>
      <c r="BO151" s="88"/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88"/>
      <c r="CA151" s="88"/>
      <c r="CB151" s="88"/>
      <c r="CC151" s="88"/>
      <c r="CD151" s="88"/>
      <c r="CE151" s="88"/>
      <c r="CF151" s="88"/>
      <c r="CG151" s="88"/>
      <c r="CH151" s="88"/>
      <c r="CI151" s="88"/>
      <c r="CJ151" s="88"/>
      <c r="CK151" s="88"/>
      <c r="CL151" s="88"/>
      <c r="CM151" s="88"/>
      <c r="CN151" s="88"/>
      <c r="CO151" s="88"/>
      <c r="CP151" s="88"/>
      <c r="CQ151" s="88"/>
      <c r="CR151" s="88"/>
      <c r="CS151" s="88"/>
      <c r="CT151" s="88"/>
      <c r="CU151" s="88"/>
      <c r="CV151" s="88"/>
      <c r="CW151" s="88"/>
      <c r="CX151" s="88"/>
      <c r="CY151" s="88"/>
      <c r="CZ151" s="88"/>
      <c r="DA151" s="88"/>
      <c r="DB151" s="88"/>
      <c r="DC151" s="88"/>
      <c r="DD151" s="88"/>
      <c r="DE151" s="88"/>
      <c r="DF151" s="88"/>
      <c r="DG151" s="88"/>
      <c r="DH151" s="88"/>
      <c r="DI151" s="42"/>
    </row>
    <row r="152" spans="1:113" s="43" customFormat="1" x14ac:dyDescent="0.25">
      <c r="A152" s="52" t="s">
        <v>64</v>
      </c>
      <c r="B152" s="54">
        <v>55</v>
      </c>
      <c r="C152" s="55">
        <v>41</v>
      </c>
      <c r="D152" s="3">
        <v>57</v>
      </c>
      <c r="E152" s="56">
        <v>57</v>
      </c>
      <c r="F152" s="56">
        <v>59</v>
      </c>
      <c r="G152" s="3">
        <v>58</v>
      </c>
      <c r="H152" s="57">
        <v>52</v>
      </c>
      <c r="I152" s="3">
        <v>12</v>
      </c>
      <c r="J152" s="3">
        <v>59</v>
      </c>
      <c r="K152" s="3">
        <v>58</v>
      </c>
      <c r="L152" s="58">
        <v>52</v>
      </c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8"/>
      <c r="BF152" s="88"/>
      <c r="BG152" s="88"/>
      <c r="BH152" s="88"/>
      <c r="BI152" s="88"/>
      <c r="BJ152" s="88"/>
      <c r="BK152" s="88"/>
      <c r="BL152" s="88"/>
      <c r="BM152" s="88"/>
      <c r="BN152" s="88"/>
      <c r="BO152" s="88"/>
      <c r="BP152" s="88"/>
      <c r="BQ152" s="88"/>
      <c r="BR152" s="88"/>
      <c r="BS152" s="88"/>
      <c r="BT152" s="88"/>
      <c r="BU152" s="88"/>
      <c r="BV152" s="88"/>
      <c r="BW152" s="88"/>
      <c r="BX152" s="88"/>
      <c r="BY152" s="88"/>
      <c r="BZ152" s="88"/>
      <c r="CA152" s="88"/>
      <c r="CB152" s="88"/>
      <c r="CC152" s="88"/>
      <c r="CD152" s="88"/>
      <c r="CE152" s="88"/>
      <c r="CF152" s="88"/>
      <c r="CG152" s="88"/>
      <c r="CH152" s="88"/>
      <c r="CI152" s="88"/>
      <c r="CJ152" s="88"/>
      <c r="CK152" s="88"/>
      <c r="CL152" s="88"/>
      <c r="CM152" s="88"/>
      <c r="CN152" s="88"/>
      <c r="CO152" s="88"/>
      <c r="CP152" s="88"/>
      <c r="CQ152" s="88"/>
      <c r="CR152" s="88"/>
      <c r="CS152" s="88"/>
      <c r="CT152" s="88"/>
      <c r="CU152" s="88"/>
      <c r="CV152" s="88"/>
      <c r="CW152" s="88"/>
      <c r="CX152" s="88"/>
      <c r="CY152" s="88"/>
      <c r="CZ152" s="88"/>
      <c r="DA152" s="88"/>
      <c r="DB152" s="88"/>
      <c r="DC152" s="88"/>
      <c r="DD152" s="88"/>
      <c r="DE152" s="88"/>
      <c r="DF152" s="88"/>
      <c r="DG152" s="88"/>
      <c r="DH152" s="88"/>
      <c r="DI152" s="42"/>
    </row>
    <row r="153" spans="1:113" s="8" customFormat="1" x14ac:dyDescent="0.25">
      <c r="A153" s="36"/>
      <c r="B153" s="61"/>
      <c r="C153" s="62"/>
      <c r="D153" s="63"/>
      <c r="E153" s="64"/>
      <c r="F153" s="64"/>
      <c r="G153" s="63"/>
      <c r="H153" s="65"/>
      <c r="I153" s="63"/>
      <c r="J153" s="63"/>
      <c r="K153" s="63"/>
      <c r="L153" s="66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51"/>
    </row>
    <row r="154" spans="1:113" s="43" customFormat="1" x14ac:dyDescent="0.25">
      <c r="A154" s="36" t="s">
        <v>65</v>
      </c>
      <c r="B154" s="37">
        <f>SUM(B155:B159)</f>
        <v>30</v>
      </c>
      <c r="C154" s="38">
        <f t="shared" ref="C154:L154" si="13">SUM(C155:C159)</f>
        <v>29</v>
      </c>
      <c r="D154" s="4">
        <f t="shared" si="13"/>
        <v>0</v>
      </c>
      <c r="E154" s="39">
        <f t="shared" si="13"/>
        <v>0</v>
      </c>
      <c r="F154" s="39">
        <f t="shared" si="13"/>
        <v>40</v>
      </c>
      <c r="G154" s="4">
        <f t="shared" si="13"/>
        <v>40</v>
      </c>
      <c r="H154" s="40">
        <f t="shared" si="13"/>
        <v>40</v>
      </c>
      <c r="I154" s="4">
        <f t="shared" si="13"/>
        <v>0</v>
      </c>
      <c r="J154" s="4">
        <f t="shared" si="13"/>
        <v>40</v>
      </c>
      <c r="K154" s="4">
        <f t="shared" si="13"/>
        <v>40</v>
      </c>
      <c r="L154" s="41">
        <f t="shared" si="13"/>
        <v>40</v>
      </c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  <c r="BD154" s="88"/>
      <c r="BE154" s="88"/>
      <c r="BF154" s="88"/>
      <c r="BG154" s="88"/>
      <c r="BH154" s="88"/>
      <c r="BI154" s="88"/>
      <c r="BJ154" s="88"/>
      <c r="BK154" s="88"/>
      <c r="BL154" s="88"/>
      <c r="BM154" s="88"/>
      <c r="BN154" s="88"/>
      <c r="BO154" s="88"/>
      <c r="BP154" s="88"/>
      <c r="BQ154" s="88"/>
      <c r="BR154" s="88"/>
      <c r="BS154" s="88"/>
      <c r="BT154" s="88"/>
      <c r="BU154" s="88"/>
      <c r="BV154" s="88"/>
      <c r="BW154" s="88"/>
      <c r="BX154" s="88"/>
      <c r="BY154" s="88"/>
      <c r="BZ154" s="88"/>
      <c r="CA154" s="88"/>
      <c r="CB154" s="88"/>
      <c r="CC154" s="88"/>
      <c r="CD154" s="88"/>
      <c r="CE154" s="88"/>
      <c r="CF154" s="88"/>
      <c r="CG154" s="88"/>
      <c r="CH154" s="88"/>
      <c r="CI154" s="88"/>
      <c r="CJ154" s="88"/>
      <c r="CK154" s="88"/>
      <c r="CL154" s="88"/>
      <c r="CM154" s="88"/>
      <c r="CN154" s="88"/>
      <c r="CO154" s="88"/>
      <c r="CP154" s="88"/>
      <c r="CQ154" s="88"/>
      <c r="CR154" s="88"/>
      <c r="CS154" s="88"/>
      <c r="CT154" s="88"/>
      <c r="CU154" s="88"/>
      <c r="CV154" s="88"/>
      <c r="CW154" s="88"/>
      <c r="CX154" s="88"/>
      <c r="CY154" s="88"/>
      <c r="CZ154" s="88"/>
      <c r="DA154" s="88"/>
      <c r="DB154" s="88"/>
      <c r="DC154" s="88"/>
      <c r="DD154" s="88"/>
      <c r="DE154" s="88"/>
      <c r="DF154" s="88"/>
      <c r="DG154" s="88"/>
      <c r="DH154" s="88"/>
      <c r="DI154" s="42"/>
    </row>
    <row r="155" spans="1:113" s="43" customFormat="1" x14ac:dyDescent="0.25">
      <c r="A155" s="52" t="s">
        <v>66</v>
      </c>
      <c r="B155" s="54">
        <v>6</v>
      </c>
      <c r="C155" s="55">
        <v>10</v>
      </c>
      <c r="D155" s="3">
        <v>0</v>
      </c>
      <c r="E155" s="56">
        <v>0</v>
      </c>
      <c r="F155" s="56">
        <v>4</v>
      </c>
      <c r="G155" s="3">
        <v>7</v>
      </c>
      <c r="H155" s="57">
        <v>7</v>
      </c>
      <c r="I155" s="3">
        <v>0</v>
      </c>
      <c r="J155" s="3">
        <v>3</v>
      </c>
      <c r="K155" s="3">
        <v>7</v>
      </c>
      <c r="L155" s="58">
        <v>7</v>
      </c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  <c r="BE155" s="88"/>
      <c r="BF155" s="88"/>
      <c r="BG155" s="88"/>
      <c r="BH155" s="88"/>
      <c r="BI155" s="88"/>
      <c r="BJ155" s="88"/>
      <c r="BK155" s="88"/>
      <c r="BL155" s="88"/>
      <c r="BM155" s="88"/>
      <c r="BN155" s="88"/>
      <c r="BO155" s="88"/>
      <c r="BP155" s="88"/>
      <c r="BQ155" s="88"/>
      <c r="BR155" s="88"/>
      <c r="BS155" s="88"/>
      <c r="BT155" s="88"/>
      <c r="BU155" s="88"/>
      <c r="BV155" s="88"/>
      <c r="BW155" s="88"/>
      <c r="BX155" s="88"/>
      <c r="BY155" s="88"/>
      <c r="BZ155" s="88"/>
      <c r="CA155" s="88"/>
      <c r="CB155" s="88"/>
      <c r="CC155" s="88"/>
      <c r="CD155" s="88"/>
      <c r="CE155" s="88"/>
      <c r="CF155" s="88"/>
      <c r="CG155" s="88"/>
      <c r="CH155" s="88"/>
      <c r="CI155" s="88"/>
      <c r="CJ155" s="88"/>
      <c r="CK155" s="88"/>
      <c r="CL155" s="88"/>
      <c r="CM155" s="88"/>
      <c r="CN155" s="88"/>
      <c r="CO155" s="88"/>
      <c r="CP155" s="88"/>
      <c r="CQ155" s="88"/>
      <c r="CR155" s="88"/>
      <c r="CS155" s="88"/>
      <c r="CT155" s="88"/>
      <c r="CU155" s="88"/>
      <c r="CV155" s="88"/>
      <c r="CW155" s="88"/>
      <c r="CX155" s="88"/>
      <c r="CY155" s="88"/>
      <c r="CZ155" s="88"/>
      <c r="DA155" s="88"/>
      <c r="DB155" s="88"/>
      <c r="DC155" s="88"/>
      <c r="DD155" s="88"/>
      <c r="DE155" s="88"/>
      <c r="DF155" s="88"/>
      <c r="DG155" s="88"/>
      <c r="DH155" s="88"/>
      <c r="DI155" s="42"/>
    </row>
    <row r="156" spans="1:113" s="43" customFormat="1" x14ac:dyDescent="0.25">
      <c r="A156" s="52" t="s">
        <v>68</v>
      </c>
      <c r="B156" s="54">
        <v>9</v>
      </c>
      <c r="C156" s="55">
        <v>13</v>
      </c>
      <c r="D156" s="3">
        <v>0</v>
      </c>
      <c r="E156" s="56">
        <v>0</v>
      </c>
      <c r="F156" s="56">
        <v>16</v>
      </c>
      <c r="G156" s="3">
        <v>10</v>
      </c>
      <c r="H156" s="57">
        <v>8</v>
      </c>
      <c r="I156" s="3">
        <v>0</v>
      </c>
      <c r="J156" s="3">
        <v>17</v>
      </c>
      <c r="K156" s="3">
        <v>10</v>
      </c>
      <c r="L156" s="58">
        <v>8</v>
      </c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8"/>
      <c r="BF156" s="88"/>
      <c r="BG156" s="88"/>
      <c r="BH156" s="88"/>
      <c r="BI156" s="88"/>
      <c r="BJ156" s="88"/>
      <c r="BK156" s="88"/>
      <c r="BL156" s="88"/>
      <c r="BM156" s="88"/>
      <c r="BN156" s="88"/>
      <c r="BO156" s="88"/>
      <c r="BP156" s="88"/>
      <c r="BQ156" s="88"/>
      <c r="BR156" s="88"/>
      <c r="BS156" s="88"/>
      <c r="BT156" s="88"/>
      <c r="BU156" s="88"/>
      <c r="BV156" s="88"/>
      <c r="BW156" s="88"/>
      <c r="BX156" s="88"/>
      <c r="BY156" s="88"/>
      <c r="BZ156" s="88"/>
      <c r="CA156" s="88"/>
      <c r="CB156" s="88"/>
      <c r="CC156" s="88"/>
      <c r="CD156" s="88"/>
      <c r="CE156" s="88"/>
      <c r="CF156" s="88"/>
      <c r="CG156" s="88"/>
      <c r="CH156" s="88"/>
      <c r="CI156" s="88"/>
      <c r="CJ156" s="88"/>
      <c r="CK156" s="88"/>
      <c r="CL156" s="88"/>
      <c r="CM156" s="88"/>
      <c r="CN156" s="88"/>
      <c r="CO156" s="88"/>
      <c r="CP156" s="88"/>
      <c r="CQ156" s="88"/>
      <c r="CR156" s="88"/>
      <c r="CS156" s="88"/>
      <c r="CT156" s="88"/>
      <c r="CU156" s="88"/>
      <c r="CV156" s="88"/>
      <c r="CW156" s="88"/>
      <c r="CX156" s="88"/>
      <c r="CY156" s="88"/>
      <c r="CZ156" s="88"/>
      <c r="DA156" s="88"/>
      <c r="DB156" s="88"/>
      <c r="DC156" s="88"/>
      <c r="DD156" s="88"/>
      <c r="DE156" s="88"/>
      <c r="DF156" s="88"/>
      <c r="DG156" s="88"/>
      <c r="DH156" s="88"/>
      <c r="DI156" s="42"/>
    </row>
    <row r="157" spans="1:113" s="43" customFormat="1" x14ac:dyDescent="0.25">
      <c r="A157" s="52" t="s">
        <v>69</v>
      </c>
      <c r="B157" s="54">
        <v>13</v>
      </c>
      <c r="C157" s="55">
        <v>6</v>
      </c>
      <c r="D157" s="3">
        <v>0</v>
      </c>
      <c r="E157" s="56">
        <v>0</v>
      </c>
      <c r="F157" s="56">
        <v>17</v>
      </c>
      <c r="G157" s="3">
        <v>18</v>
      </c>
      <c r="H157" s="57">
        <v>20</v>
      </c>
      <c r="I157" s="3">
        <v>0</v>
      </c>
      <c r="J157" s="3">
        <v>17</v>
      </c>
      <c r="K157" s="3">
        <v>19</v>
      </c>
      <c r="L157" s="58">
        <v>20</v>
      </c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  <c r="BG157" s="88"/>
      <c r="BH157" s="88"/>
      <c r="BI157" s="88"/>
      <c r="BJ157" s="88"/>
      <c r="BK157" s="88"/>
      <c r="BL157" s="88"/>
      <c r="BM157" s="88"/>
      <c r="BN157" s="88"/>
      <c r="BO157" s="88"/>
      <c r="BP157" s="88"/>
      <c r="BQ157" s="88"/>
      <c r="BR157" s="88"/>
      <c r="BS157" s="88"/>
      <c r="BT157" s="88"/>
      <c r="BU157" s="88"/>
      <c r="BV157" s="88"/>
      <c r="BW157" s="88"/>
      <c r="BX157" s="88"/>
      <c r="BY157" s="88"/>
      <c r="BZ157" s="88"/>
      <c r="CA157" s="88"/>
      <c r="CB157" s="88"/>
      <c r="CC157" s="88"/>
      <c r="CD157" s="88"/>
      <c r="CE157" s="88"/>
      <c r="CF157" s="88"/>
      <c r="CG157" s="88"/>
      <c r="CH157" s="88"/>
      <c r="CI157" s="88"/>
      <c r="CJ157" s="88"/>
      <c r="CK157" s="88"/>
      <c r="CL157" s="88"/>
      <c r="CM157" s="88"/>
      <c r="CN157" s="88"/>
      <c r="CO157" s="88"/>
      <c r="CP157" s="88"/>
      <c r="CQ157" s="88"/>
      <c r="CR157" s="88"/>
      <c r="CS157" s="88"/>
      <c r="CT157" s="88"/>
      <c r="CU157" s="88"/>
      <c r="CV157" s="88"/>
      <c r="CW157" s="88"/>
      <c r="CX157" s="88"/>
      <c r="CY157" s="88"/>
      <c r="CZ157" s="88"/>
      <c r="DA157" s="88"/>
      <c r="DB157" s="88"/>
      <c r="DC157" s="88"/>
      <c r="DD157" s="88"/>
      <c r="DE157" s="88"/>
      <c r="DF157" s="88"/>
      <c r="DG157" s="88"/>
      <c r="DH157" s="88"/>
      <c r="DI157" s="42"/>
    </row>
    <row r="158" spans="1:113" s="43" customFormat="1" x14ac:dyDescent="0.25">
      <c r="A158" s="52" t="s">
        <v>70</v>
      </c>
      <c r="B158" s="54">
        <v>2</v>
      </c>
      <c r="C158" s="55">
        <v>0</v>
      </c>
      <c r="D158" s="3">
        <v>0</v>
      </c>
      <c r="E158" s="56">
        <v>0</v>
      </c>
      <c r="F158" s="56">
        <v>3</v>
      </c>
      <c r="G158" s="3">
        <v>5</v>
      </c>
      <c r="H158" s="57">
        <v>5</v>
      </c>
      <c r="I158" s="3">
        <v>0</v>
      </c>
      <c r="J158" s="3">
        <v>3</v>
      </c>
      <c r="K158" s="3">
        <v>4</v>
      </c>
      <c r="L158" s="58">
        <v>5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8"/>
      <c r="BF158" s="88"/>
      <c r="BG158" s="88"/>
      <c r="BH158" s="88"/>
      <c r="BI158" s="88"/>
      <c r="BJ158" s="88"/>
      <c r="BK158" s="88"/>
      <c r="BL158" s="88"/>
      <c r="BM158" s="88"/>
      <c r="BN158" s="88"/>
      <c r="BO158" s="88"/>
      <c r="BP158" s="88"/>
      <c r="BQ158" s="88"/>
      <c r="BR158" s="88"/>
      <c r="BS158" s="88"/>
      <c r="BT158" s="88"/>
      <c r="BU158" s="88"/>
      <c r="BV158" s="88"/>
      <c r="BW158" s="88"/>
      <c r="BX158" s="88"/>
      <c r="BY158" s="88"/>
      <c r="BZ158" s="88"/>
      <c r="CA158" s="88"/>
      <c r="CB158" s="88"/>
      <c r="CC158" s="88"/>
      <c r="CD158" s="88"/>
      <c r="CE158" s="88"/>
      <c r="CF158" s="88"/>
      <c r="CG158" s="88"/>
      <c r="CH158" s="88"/>
      <c r="CI158" s="88"/>
      <c r="CJ158" s="88"/>
      <c r="CK158" s="88"/>
      <c r="CL158" s="88"/>
      <c r="CM158" s="88"/>
      <c r="CN158" s="88"/>
      <c r="CO158" s="88"/>
      <c r="CP158" s="88"/>
      <c r="CQ158" s="88"/>
      <c r="CR158" s="88"/>
      <c r="CS158" s="88"/>
      <c r="CT158" s="88"/>
      <c r="CU158" s="88"/>
      <c r="CV158" s="88"/>
      <c r="CW158" s="88"/>
      <c r="CX158" s="88"/>
      <c r="CY158" s="88"/>
      <c r="CZ158" s="88"/>
      <c r="DA158" s="88"/>
      <c r="DB158" s="88"/>
      <c r="DC158" s="88"/>
      <c r="DD158" s="88"/>
      <c r="DE158" s="88"/>
      <c r="DF158" s="88"/>
      <c r="DG158" s="88"/>
      <c r="DH158" s="88"/>
      <c r="DI158" s="42"/>
    </row>
    <row r="159" spans="1:113" s="43" customFormat="1" x14ac:dyDescent="0.25">
      <c r="A159" s="52" t="s">
        <v>195</v>
      </c>
      <c r="B159" s="54"/>
      <c r="C159" s="55"/>
      <c r="D159" s="3"/>
      <c r="E159" s="56"/>
      <c r="F159" s="56"/>
      <c r="G159" s="3"/>
      <c r="H159" s="57"/>
      <c r="I159" s="3"/>
      <c r="J159" s="3"/>
      <c r="K159" s="3"/>
      <c r="L159" s="5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  <c r="BH159" s="88"/>
      <c r="BI159" s="88"/>
      <c r="BJ159" s="88"/>
      <c r="BK159" s="88"/>
      <c r="BL159" s="88"/>
      <c r="BM159" s="88"/>
      <c r="BN159" s="88"/>
      <c r="BO159" s="88"/>
      <c r="BP159" s="88"/>
      <c r="BQ159" s="88"/>
      <c r="BR159" s="88"/>
      <c r="BS159" s="88"/>
      <c r="BT159" s="88"/>
      <c r="BU159" s="88"/>
      <c r="BV159" s="88"/>
      <c r="BW159" s="88"/>
      <c r="BX159" s="88"/>
      <c r="BY159" s="88"/>
      <c r="BZ159" s="88"/>
      <c r="CA159" s="88"/>
      <c r="CB159" s="88"/>
      <c r="CC159" s="88"/>
      <c r="CD159" s="88"/>
      <c r="CE159" s="88"/>
      <c r="CF159" s="88"/>
      <c r="CG159" s="88"/>
      <c r="CH159" s="88"/>
      <c r="CI159" s="88"/>
      <c r="CJ159" s="88"/>
      <c r="CK159" s="88"/>
      <c r="CL159" s="88"/>
      <c r="CM159" s="88"/>
      <c r="CN159" s="88"/>
      <c r="CO159" s="88"/>
      <c r="CP159" s="88"/>
      <c r="CQ159" s="88"/>
      <c r="CR159" s="88"/>
      <c r="CS159" s="88"/>
      <c r="CT159" s="88"/>
      <c r="CU159" s="88"/>
      <c r="CV159" s="88"/>
      <c r="CW159" s="88"/>
      <c r="CX159" s="88"/>
      <c r="CY159" s="88"/>
      <c r="CZ159" s="88"/>
      <c r="DA159" s="88"/>
      <c r="DB159" s="88"/>
      <c r="DC159" s="88"/>
      <c r="DD159" s="88"/>
      <c r="DE159" s="88"/>
      <c r="DF159" s="88"/>
      <c r="DG159" s="88"/>
      <c r="DH159" s="88"/>
      <c r="DI159" s="42"/>
    </row>
    <row r="160" spans="1:113" s="8" customFormat="1" x14ac:dyDescent="0.25">
      <c r="A160" s="36"/>
      <c r="B160" s="61"/>
      <c r="C160" s="62"/>
      <c r="D160" s="63"/>
      <c r="E160" s="64"/>
      <c r="F160" s="64"/>
      <c r="G160" s="63"/>
      <c r="H160" s="65"/>
      <c r="I160" s="63"/>
      <c r="J160" s="63"/>
      <c r="K160" s="63"/>
      <c r="L160" s="66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51"/>
    </row>
    <row r="161" spans="1:113" s="43" customFormat="1" x14ac:dyDescent="0.25">
      <c r="A161" s="36" t="s">
        <v>71</v>
      </c>
      <c r="B161" s="37">
        <f>SUM(B162:B169)</f>
        <v>97</v>
      </c>
      <c r="C161" s="38">
        <f t="shared" ref="C161:L161" si="14">SUM(C162:C169)</f>
        <v>116</v>
      </c>
      <c r="D161" s="4">
        <f>SUM(D162:D169)</f>
        <v>27</v>
      </c>
      <c r="E161" s="39">
        <f t="shared" si="14"/>
        <v>27</v>
      </c>
      <c r="F161" s="39">
        <f t="shared" si="14"/>
        <v>98</v>
      </c>
      <c r="G161" s="4">
        <f t="shared" si="14"/>
        <v>104</v>
      </c>
      <c r="H161" s="40">
        <f t="shared" si="14"/>
        <v>104</v>
      </c>
      <c r="I161" s="4">
        <f t="shared" si="14"/>
        <v>6</v>
      </c>
      <c r="J161" s="4">
        <f t="shared" si="14"/>
        <v>98</v>
      </c>
      <c r="K161" s="4">
        <f t="shared" si="14"/>
        <v>104</v>
      </c>
      <c r="L161" s="41">
        <f t="shared" si="14"/>
        <v>104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  <c r="BE161" s="88"/>
      <c r="BF161" s="88"/>
      <c r="BG161" s="88"/>
      <c r="BH161" s="88"/>
      <c r="BI161" s="88"/>
      <c r="BJ161" s="88"/>
      <c r="BK161" s="88"/>
      <c r="BL161" s="88"/>
      <c r="BM161" s="88"/>
      <c r="BN161" s="88"/>
      <c r="BO161" s="88"/>
      <c r="BP161" s="88"/>
      <c r="BQ161" s="88"/>
      <c r="BR161" s="88"/>
      <c r="BS161" s="88"/>
      <c r="BT161" s="88"/>
      <c r="BU161" s="88"/>
      <c r="BV161" s="88"/>
      <c r="BW161" s="88"/>
      <c r="BX161" s="88"/>
      <c r="BY161" s="88"/>
      <c r="BZ161" s="88"/>
      <c r="CA161" s="88"/>
      <c r="CB161" s="88"/>
      <c r="CC161" s="88"/>
      <c r="CD161" s="88"/>
      <c r="CE161" s="88"/>
      <c r="CF161" s="88"/>
      <c r="CG161" s="88"/>
      <c r="CH161" s="88"/>
      <c r="CI161" s="88"/>
      <c r="CJ161" s="88"/>
      <c r="CK161" s="88"/>
      <c r="CL161" s="88"/>
      <c r="CM161" s="88"/>
      <c r="CN161" s="88"/>
      <c r="CO161" s="88"/>
      <c r="CP161" s="88"/>
      <c r="CQ161" s="88"/>
      <c r="CR161" s="88"/>
      <c r="CS161" s="88"/>
      <c r="CT161" s="88"/>
      <c r="CU161" s="88"/>
      <c r="CV161" s="88"/>
      <c r="CW161" s="88"/>
      <c r="CX161" s="88"/>
      <c r="CY161" s="88"/>
      <c r="CZ161" s="88"/>
      <c r="DA161" s="88"/>
      <c r="DB161" s="88"/>
      <c r="DC161" s="88"/>
      <c r="DD161" s="88"/>
      <c r="DE161" s="88"/>
      <c r="DF161" s="88"/>
      <c r="DG161" s="88"/>
      <c r="DH161" s="88"/>
      <c r="DI161" s="42"/>
    </row>
    <row r="162" spans="1:113" s="43" customFormat="1" x14ac:dyDescent="0.25">
      <c r="A162" s="52" t="s">
        <v>72</v>
      </c>
      <c r="B162" s="54">
        <v>1</v>
      </c>
      <c r="C162" s="55">
        <v>2</v>
      </c>
      <c r="D162" s="3">
        <v>0</v>
      </c>
      <c r="E162" s="56">
        <v>0</v>
      </c>
      <c r="F162" s="56">
        <v>0</v>
      </c>
      <c r="G162" s="3">
        <v>0</v>
      </c>
      <c r="H162" s="57">
        <v>1</v>
      </c>
      <c r="I162" s="3">
        <v>0</v>
      </c>
      <c r="J162" s="3">
        <v>0</v>
      </c>
      <c r="K162" s="3">
        <v>0</v>
      </c>
      <c r="L162" s="58">
        <v>1</v>
      </c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  <c r="BE162" s="88"/>
      <c r="BF162" s="88"/>
      <c r="BG162" s="88"/>
      <c r="BH162" s="88"/>
      <c r="BI162" s="88"/>
      <c r="BJ162" s="88"/>
      <c r="BK162" s="88"/>
      <c r="BL162" s="88"/>
      <c r="BM162" s="88"/>
      <c r="BN162" s="88"/>
      <c r="BO162" s="88"/>
      <c r="BP162" s="88"/>
      <c r="BQ162" s="88"/>
      <c r="BR162" s="88"/>
      <c r="BS162" s="88"/>
      <c r="BT162" s="88"/>
      <c r="BU162" s="88"/>
      <c r="BV162" s="88"/>
      <c r="BW162" s="88"/>
      <c r="BX162" s="88"/>
      <c r="BY162" s="88"/>
      <c r="BZ162" s="88"/>
      <c r="CA162" s="88"/>
      <c r="CB162" s="88"/>
      <c r="CC162" s="88"/>
      <c r="CD162" s="88"/>
      <c r="CE162" s="88"/>
      <c r="CF162" s="88"/>
      <c r="CG162" s="88"/>
      <c r="CH162" s="88"/>
      <c r="CI162" s="88"/>
      <c r="CJ162" s="88"/>
      <c r="CK162" s="88"/>
      <c r="CL162" s="88"/>
      <c r="CM162" s="88"/>
      <c r="CN162" s="88"/>
      <c r="CO162" s="88"/>
      <c r="CP162" s="88"/>
      <c r="CQ162" s="88"/>
      <c r="CR162" s="88"/>
      <c r="CS162" s="88"/>
      <c r="CT162" s="88"/>
      <c r="CU162" s="88"/>
      <c r="CV162" s="88"/>
      <c r="CW162" s="88"/>
      <c r="CX162" s="88"/>
      <c r="CY162" s="88"/>
      <c r="CZ162" s="88"/>
      <c r="DA162" s="88"/>
      <c r="DB162" s="88"/>
      <c r="DC162" s="88"/>
      <c r="DD162" s="88"/>
      <c r="DE162" s="88"/>
      <c r="DF162" s="88"/>
      <c r="DG162" s="88"/>
      <c r="DH162" s="88"/>
      <c r="DI162" s="42"/>
    </row>
    <row r="163" spans="1:113" s="43" customFormat="1" x14ac:dyDescent="0.25">
      <c r="A163" s="52" t="s">
        <v>73</v>
      </c>
      <c r="B163" s="54">
        <v>0</v>
      </c>
      <c r="C163" s="55">
        <v>2</v>
      </c>
      <c r="D163" s="3">
        <v>0</v>
      </c>
      <c r="E163" s="56">
        <v>0</v>
      </c>
      <c r="F163" s="56">
        <v>1</v>
      </c>
      <c r="G163" s="3">
        <v>3</v>
      </c>
      <c r="H163" s="57">
        <v>3</v>
      </c>
      <c r="I163" s="3">
        <v>0</v>
      </c>
      <c r="J163" s="3">
        <v>1</v>
      </c>
      <c r="K163" s="3">
        <v>3</v>
      </c>
      <c r="L163" s="58">
        <v>3</v>
      </c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  <c r="BH163" s="88"/>
      <c r="BI163" s="88"/>
      <c r="BJ163" s="88"/>
      <c r="BK163" s="88"/>
      <c r="BL163" s="88"/>
      <c r="BM163" s="88"/>
      <c r="BN163" s="88"/>
      <c r="BO163" s="88"/>
      <c r="BP163" s="88"/>
      <c r="BQ163" s="88"/>
      <c r="BR163" s="88"/>
      <c r="BS163" s="88"/>
      <c r="BT163" s="88"/>
      <c r="BU163" s="88"/>
      <c r="BV163" s="88"/>
      <c r="BW163" s="88"/>
      <c r="BX163" s="88"/>
      <c r="BY163" s="88"/>
      <c r="BZ163" s="88"/>
      <c r="CA163" s="88"/>
      <c r="CB163" s="88"/>
      <c r="CC163" s="88"/>
      <c r="CD163" s="88"/>
      <c r="CE163" s="88"/>
      <c r="CF163" s="88"/>
      <c r="CG163" s="88"/>
      <c r="CH163" s="88"/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42"/>
    </row>
    <row r="164" spans="1:113" s="43" customFormat="1" x14ac:dyDescent="0.25">
      <c r="A164" s="52" t="s">
        <v>74</v>
      </c>
      <c r="B164" s="54">
        <v>38</v>
      </c>
      <c r="C164" s="55">
        <v>34</v>
      </c>
      <c r="D164" s="3">
        <v>8</v>
      </c>
      <c r="E164" s="56">
        <v>8</v>
      </c>
      <c r="F164" s="56">
        <v>24</v>
      </c>
      <c r="G164" s="3">
        <v>32</v>
      </c>
      <c r="H164" s="57">
        <v>33</v>
      </c>
      <c r="I164" s="3">
        <v>3</v>
      </c>
      <c r="J164" s="3">
        <v>24</v>
      </c>
      <c r="K164" s="3">
        <v>32</v>
      </c>
      <c r="L164" s="58">
        <v>33</v>
      </c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  <c r="BJ164" s="88"/>
      <c r="BK164" s="88"/>
      <c r="BL164" s="88"/>
      <c r="BM164" s="88"/>
      <c r="BN164" s="88"/>
      <c r="BO164" s="88"/>
      <c r="BP164" s="88"/>
      <c r="BQ164" s="88"/>
      <c r="BR164" s="88"/>
      <c r="BS164" s="88"/>
      <c r="BT164" s="88"/>
      <c r="BU164" s="88"/>
      <c r="BV164" s="88"/>
      <c r="BW164" s="88"/>
      <c r="BX164" s="88"/>
      <c r="BY164" s="88"/>
      <c r="BZ164" s="88"/>
      <c r="CA164" s="88"/>
      <c r="CB164" s="88"/>
      <c r="CC164" s="88"/>
      <c r="CD164" s="88"/>
      <c r="CE164" s="88"/>
      <c r="CF164" s="88"/>
      <c r="CG164" s="88"/>
      <c r="CH164" s="88"/>
      <c r="CI164" s="88"/>
      <c r="CJ164" s="88"/>
      <c r="CK164" s="88"/>
      <c r="CL164" s="88"/>
      <c r="CM164" s="88"/>
      <c r="CN164" s="88"/>
      <c r="CO164" s="88"/>
      <c r="CP164" s="88"/>
      <c r="CQ164" s="88"/>
      <c r="CR164" s="88"/>
      <c r="CS164" s="88"/>
      <c r="CT164" s="88"/>
      <c r="CU164" s="88"/>
      <c r="CV164" s="88"/>
      <c r="CW164" s="88"/>
      <c r="CX164" s="88"/>
      <c r="CY164" s="88"/>
      <c r="CZ164" s="88"/>
      <c r="DA164" s="88"/>
      <c r="DB164" s="88"/>
      <c r="DC164" s="88"/>
      <c r="DD164" s="88"/>
      <c r="DE164" s="88"/>
      <c r="DF164" s="88"/>
      <c r="DG164" s="88"/>
      <c r="DH164" s="88"/>
      <c r="DI164" s="42"/>
    </row>
    <row r="165" spans="1:113" s="43" customFormat="1" x14ac:dyDescent="0.25">
      <c r="A165" s="52" t="s">
        <v>75</v>
      </c>
      <c r="B165" s="54">
        <v>13</v>
      </c>
      <c r="C165" s="55">
        <v>12</v>
      </c>
      <c r="D165" s="3">
        <v>9</v>
      </c>
      <c r="E165" s="56">
        <v>9</v>
      </c>
      <c r="F165" s="56">
        <v>16</v>
      </c>
      <c r="G165" s="3">
        <v>11</v>
      </c>
      <c r="H165" s="57">
        <v>10</v>
      </c>
      <c r="I165" s="3">
        <v>1</v>
      </c>
      <c r="J165" s="3">
        <v>16</v>
      </c>
      <c r="K165" s="3">
        <v>10</v>
      </c>
      <c r="L165" s="58">
        <v>10</v>
      </c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8"/>
      <c r="BF165" s="88"/>
      <c r="BG165" s="88"/>
      <c r="BH165" s="88"/>
      <c r="BI165" s="88"/>
      <c r="BJ165" s="88"/>
      <c r="BK165" s="88"/>
      <c r="BL165" s="88"/>
      <c r="BM165" s="88"/>
      <c r="BN165" s="88"/>
      <c r="BO165" s="88"/>
      <c r="BP165" s="88"/>
      <c r="BQ165" s="88"/>
      <c r="BR165" s="88"/>
      <c r="BS165" s="88"/>
      <c r="BT165" s="88"/>
      <c r="BU165" s="88"/>
      <c r="BV165" s="88"/>
      <c r="BW165" s="88"/>
      <c r="BX165" s="88"/>
      <c r="BY165" s="88"/>
      <c r="BZ165" s="88"/>
      <c r="CA165" s="88"/>
      <c r="CB165" s="88"/>
      <c r="CC165" s="88"/>
      <c r="CD165" s="88"/>
      <c r="CE165" s="88"/>
      <c r="CF165" s="88"/>
      <c r="CG165" s="88"/>
      <c r="CH165" s="88"/>
      <c r="CI165" s="88"/>
      <c r="CJ165" s="88"/>
      <c r="CK165" s="88"/>
      <c r="CL165" s="88"/>
      <c r="CM165" s="88"/>
      <c r="CN165" s="88"/>
      <c r="CO165" s="88"/>
      <c r="CP165" s="88"/>
      <c r="CQ165" s="88"/>
      <c r="CR165" s="88"/>
      <c r="CS165" s="88"/>
      <c r="CT165" s="88"/>
      <c r="CU165" s="88"/>
      <c r="CV165" s="88"/>
      <c r="CW165" s="88"/>
      <c r="CX165" s="88"/>
      <c r="CY165" s="88"/>
      <c r="CZ165" s="88"/>
      <c r="DA165" s="88"/>
      <c r="DB165" s="88"/>
      <c r="DC165" s="88"/>
      <c r="DD165" s="88"/>
      <c r="DE165" s="88"/>
      <c r="DF165" s="88"/>
      <c r="DG165" s="88"/>
      <c r="DH165" s="88"/>
      <c r="DI165" s="42"/>
    </row>
    <row r="166" spans="1:113" s="43" customFormat="1" x14ac:dyDescent="0.25">
      <c r="A166" s="52" t="s">
        <v>76</v>
      </c>
      <c r="B166" s="54">
        <v>6</v>
      </c>
      <c r="C166" s="55">
        <v>9</v>
      </c>
      <c r="D166" s="3">
        <v>0</v>
      </c>
      <c r="E166" s="56">
        <v>0</v>
      </c>
      <c r="F166" s="56">
        <v>9</v>
      </c>
      <c r="G166" s="3">
        <v>8</v>
      </c>
      <c r="H166" s="57">
        <v>6</v>
      </c>
      <c r="I166" s="3">
        <v>0</v>
      </c>
      <c r="J166" s="3">
        <v>9</v>
      </c>
      <c r="K166" s="3">
        <v>10</v>
      </c>
      <c r="L166" s="58">
        <v>6</v>
      </c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  <c r="BE166" s="88"/>
      <c r="BF166" s="88"/>
      <c r="BG166" s="88"/>
      <c r="BH166" s="88"/>
      <c r="BI166" s="88"/>
      <c r="BJ166" s="88"/>
      <c r="BK166" s="88"/>
      <c r="BL166" s="88"/>
      <c r="BM166" s="88"/>
      <c r="BN166" s="88"/>
      <c r="BO166" s="88"/>
      <c r="BP166" s="88"/>
      <c r="BQ166" s="88"/>
      <c r="BR166" s="88"/>
      <c r="BS166" s="88"/>
      <c r="BT166" s="88"/>
      <c r="BU166" s="88"/>
      <c r="BV166" s="88"/>
      <c r="BW166" s="88"/>
      <c r="BX166" s="88"/>
      <c r="BY166" s="88"/>
      <c r="BZ166" s="88"/>
      <c r="CA166" s="88"/>
      <c r="CB166" s="88"/>
      <c r="CC166" s="88"/>
      <c r="CD166" s="88"/>
      <c r="CE166" s="88"/>
      <c r="CF166" s="88"/>
      <c r="CG166" s="88"/>
      <c r="CH166" s="88"/>
      <c r="CI166" s="88"/>
      <c r="CJ166" s="88"/>
      <c r="CK166" s="88"/>
      <c r="CL166" s="88"/>
      <c r="CM166" s="88"/>
      <c r="CN166" s="88"/>
      <c r="CO166" s="88"/>
      <c r="CP166" s="88"/>
      <c r="CQ166" s="88"/>
      <c r="CR166" s="88"/>
      <c r="CS166" s="88"/>
      <c r="CT166" s="88"/>
      <c r="CU166" s="88"/>
      <c r="CV166" s="88"/>
      <c r="CW166" s="88"/>
      <c r="CX166" s="88"/>
      <c r="CY166" s="88"/>
      <c r="CZ166" s="88"/>
      <c r="DA166" s="88"/>
      <c r="DB166" s="88"/>
      <c r="DC166" s="88"/>
      <c r="DD166" s="88"/>
      <c r="DE166" s="88"/>
      <c r="DF166" s="88"/>
      <c r="DG166" s="88"/>
      <c r="DH166" s="88"/>
      <c r="DI166" s="42"/>
    </row>
    <row r="167" spans="1:113" s="43" customFormat="1" x14ac:dyDescent="0.25">
      <c r="A167" s="52" t="s">
        <v>77</v>
      </c>
      <c r="B167" s="54">
        <v>16</v>
      </c>
      <c r="C167" s="55">
        <v>29</v>
      </c>
      <c r="D167" s="3">
        <v>0</v>
      </c>
      <c r="E167" s="56">
        <v>0</v>
      </c>
      <c r="F167" s="56">
        <v>19</v>
      </c>
      <c r="G167" s="3">
        <v>20</v>
      </c>
      <c r="H167" s="57">
        <v>19</v>
      </c>
      <c r="I167" s="3">
        <v>0</v>
      </c>
      <c r="J167" s="3">
        <v>19</v>
      </c>
      <c r="K167" s="3">
        <v>19</v>
      </c>
      <c r="L167" s="58">
        <v>19</v>
      </c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  <c r="BH167" s="88"/>
      <c r="BI167" s="88"/>
      <c r="BJ167" s="88"/>
      <c r="BK167" s="88"/>
      <c r="BL167" s="88"/>
      <c r="BM167" s="88"/>
      <c r="BN167" s="88"/>
      <c r="BO167" s="88"/>
      <c r="BP167" s="88"/>
      <c r="BQ167" s="88"/>
      <c r="BR167" s="88"/>
      <c r="BS167" s="88"/>
      <c r="BT167" s="88"/>
      <c r="BU167" s="88"/>
      <c r="BV167" s="88"/>
      <c r="BW167" s="88"/>
      <c r="BX167" s="88"/>
      <c r="BY167" s="88"/>
      <c r="BZ167" s="88"/>
      <c r="CA167" s="88"/>
      <c r="CB167" s="88"/>
      <c r="CC167" s="88"/>
      <c r="CD167" s="88"/>
      <c r="CE167" s="88"/>
      <c r="CF167" s="88"/>
      <c r="CG167" s="88"/>
      <c r="CH167" s="88"/>
      <c r="CI167" s="88"/>
      <c r="CJ167" s="88"/>
      <c r="CK167" s="88"/>
      <c r="CL167" s="88"/>
      <c r="CM167" s="88"/>
      <c r="CN167" s="88"/>
      <c r="CO167" s="88"/>
      <c r="CP167" s="88"/>
      <c r="CQ167" s="88"/>
      <c r="CR167" s="88"/>
      <c r="CS167" s="88"/>
      <c r="CT167" s="88"/>
      <c r="CU167" s="88"/>
      <c r="CV167" s="88"/>
      <c r="CW167" s="88"/>
      <c r="CX167" s="88"/>
      <c r="CY167" s="88"/>
      <c r="CZ167" s="88"/>
      <c r="DA167" s="88"/>
      <c r="DB167" s="88"/>
      <c r="DC167" s="88"/>
      <c r="DD167" s="88"/>
      <c r="DE167" s="88"/>
      <c r="DF167" s="88"/>
      <c r="DG167" s="88"/>
      <c r="DH167" s="88"/>
      <c r="DI167" s="42"/>
    </row>
    <row r="168" spans="1:113" s="43" customFormat="1" x14ac:dyDescent="0.25">
      <c r="A168" s="52" t="s">
        <v>78</v>
      </c>
      <c r="B168" s="54">
        <v>17</v>
      </c>
      <c r="C168" s="55">
        <v>21</v>
      </c>
      <c r="D168" s="3">
        <v>10</v>
      </c>
      <c r="E168" s="56">
        <v>10</v>
      </c>
      <c r="F168" s="56">
        <v>23</v>
      </c>
      <c r="G168" s="3">
        <v>23</v>
      </c>
      <c r="H168" s="57">
        <v>25</v>
      </c>
      <c r="I168" s="3">
        <v>2</v>
      </c>
      <c r="J168" s="3">
        <v>23</v>
      </c>
      <c r="K168" s="3">
        <v>23</v>
      </c>
      <c r="L168" s="58">
        <v>25</v>
      </c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8"/>
      <c r="BF168" s="88"/>
      <c r="BG168" s="88"/>
      <c r="BH168" s="88"/>
      <c r="BI168" s="88"/>
      <c r="BJ168" s="88"/>
      <c r="BK168" s="88"/>
      <c r="BL168" s="88"/>
      <c r="BM168" s="88"/>
      <c r="BN168" s="88"/>
      <c r="BO168" s="88"/>
      <c r="BP168" s="88"/>
      <c r="BQ168" s="88"/>
      <c r="BR168" s="88"/>
      <c r="BS168" s="88"/>
      <c r="BT168" s="88"/>
      <c r="BU168" s="88"/>
      <c r="BV168" s="88"/>
      <c r="BW168" s="88"/>
      <c r="BX168" s="88"/>
      <c r="BY168" s="88"/>
      <c r="BZ168" s="88"/>
      <c r="CA168" s="88"/>
      <c r="CB168" s="88"/>
      <c r="CC168" s="88"/>
      <c r="CD168" s="88"/>
      <c r="CE168" s="88"/>
      <c r="CF168" s="88"/>
      <c r="CG168" s="88"/>
      <c r="CH168" s="88"/>
      <c r="CI168" s="88"/>
      <c r="CJ168" s="88"/>
      <c r="CK168" s="88"/>
      <c r="CL168" s="88"/>
      <c r="CM168" s="88"/>
      <c r="CN168" s="88"/>
      <c r="CO168" s="88"/>
      <c r="CP168" s="88"/>
      <c r="CQ168" s="88"/>
      <c r="CR168" s="88"/>
      <c r="CS168" s="88"/>
      <c r="CT168" s="88"/>
      <c r="CU168" s="88"/>
      <c r="CV168" s="88"/>
      <c r="CW168" s="88"/>
      <c r="CX168" s="88"/>
      <c r="CY168" s="88"/>
      <c r="CZ168" s="88"/>
      <c r="DA168" s="88"/>
      <c r="DB168" s="88"/>
      <c r="DC168" s="88"/>
      <c r="DD168" s="88"/>
      <c r="DE168" s="88"/>
      <c r="DF168" s="88"/>
      <c r="DG168" s="88"/>
      <c r="DH168" s="88"/>
      <c r="DI168" s="42"/>
    </row>
    <row r="169" spans="1:113" s="43" customFormat="1" x14ac:dyDescent="0.25">
      <c r="A169" s="52" t="s">
        <v>48</v>
      </c>
      <c r="B169" s="54">
        <v>6</v>
      </c>
      <c r="C169" s="55">
        <v>7</v>
      </c>
      <c r="D169" s="3">
        <v>0</v>
      </c>
      <c r="E169" s="56">
        <v>0</v>
      </c>
      <c r="F169" s="56">
        <v>6</v>
      </c>
      <c r="G169" s="3">
        <v>7</v>
      </c>
      <c r="H169" s="57">
        <v>7</v>
      </c>
      <c r="I169" s="3">
        <v>0</v>
      </c>
      <c r="J169" s="3">
        <v>6</v>
      </c>
      <c r="K169" s="3">
        <v>7</v>
      </c>
      <c r="L169" s="58">
        <v>7</v>
      </c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  <c r="BI169" s="88"/>
      <c r="BJ169" s="88"/>
      <c r="BK169" s="88"/>
      <c r="BL169" s="88"/>
      <c r="BM169" s="88"/>
      <c r="BN169" s="88"/>
      <c r="BO169" s="88"/>
      <c r="BP169" s="88"/>
      <c r="BQ169" s="88"/>
      <c r="BR169" s="88"/>
      <c r="BS169" s="88"/>
      <c r="BT169" s="88"/>
      <c r="BU169" s="88"/>
      <c r="BV169" s="88"/>
      <c r="BW169" s="88"/>
      <c r="BX169" s="88"/>
      <c r="BY169" s="88"/>
      <c r="BZ169" s="88"/>
      <c r="CA169" s="88"/>
      <c r="CB169" s="88"/>
      <c r="CC169" s="88"/>
      <c r="CD169" s="88"/>
      <c r="CE169" s="88"/>
      <c r="CF169" s="88"/>
      <c r="CG169" s="88"/>
      <c r="CH169" s="88"/>
      <c r="CI169" s="88"/>
      <c r="CJ169" s="88"/>
      <c r="CK169" s="88"/>
      <c r="CL169" s="88"/>
      <c r="CM169" s="88"/>
      <c r="CN169" s="88"/>
      <c r="CO169" s="88"/>
      <c r="CP169" s="88"/>
      <c r="CQ169" s="88"/>
      <c r="CR169" s="88"/>
      <c r="CS169" s="88"/>
      <c r="CT169" s="88"/>
      <c r="CU169" s="88"/>
      <c r="CV169" s="88"/>
      <c r="CW169" s="88"/>
      <c r="CX169" s="88"/>
      <c r="CY169" s="88"/>
      <c r="CZ169" s="88"/>
      <c r="DA169" s="88"/>
      <c r="DB169" s="88"/>
      <c r="DC169" s="88"/>
      <c r="DD169" s="88"/>
      <c r="DE169" s="88"/>
      <c r="DF169" s="88"/>
      <c r="DG169" s="88"/>
      <c r="DH169" s="88"/>
      <c r="DI169" s="42"/>
    </row>
    <row r="170" spans="1:113" s="43" customFormat="1" x14ac:dyDescent="0.25">
      <c r="A170" s="52"/>
      <c r="B170" s="67"/>
      <c r="C170" s="68"/>
      <c r="D170" s="69"/>
      <c r="E170" s="70"/>
      <c r="F170" s="70"/>
      <c r="G170" s="69"/>
      <c r="H170" s="71"/>
      <c r="I170" s="69"/>
      <c r="J170" s="69"/>
      <c r="K170" s="69"/>
      <c r="L170" s="72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  <c r="BE170" s="88"/>
      <c r="BF170" s="88"/>
      <c r="BG170" s="88"/>
      <c r="BH170" s="88"/>
      <c r="BI170" s="88"/>
      <c r="BJ170" s="88"/>
      <c r="BK170" s="88"/>
      <c r="BL170" s="88"/>
      <c r="BM170" s="88"/>
      <c r="BN170" s="88"/>
      <c r="BO170" s="88"/>
      <c r="BP170" s="88"/>
      <c r="BQ170" s="88"/>
      <c r="BR170" s="88"/>
      <c r="BS170" s="88"/>
      <c r="BT170" s="88"/>
      <c r="BU170" s="88"/>
      <c r="BV170" s="88"/>
      <c r="BW170" s="88"/>
      <c r="BX170" s="88"/>
      <c r="BY170" s="88"/>
      <c r="BZ170" s="88"/>
      <c r="CA170" s="88"/>
      <c r="CB170" s="88"/>
      <c r="CC170" s="88"/>
      <c r="CD170" s="88"/>
      <c r="CE170" s="88"/>
      <c r="CF170" s="88"/>
      <c r="CG170" s="88"/>
      <c r="CH170" s="88"/>
      <c r="CI170" s="88"/>
      <c r="CJ170" s="88"/>
      <c r="CK170" s="88"/>
      <c r="CL170" s="88"/>
      <c r="CM170" s="88"/>
      <c r="CN170" s="88"/>
      <c r="CO170" s="88"/>
      <c r="CP170" s="88"/>
      <c r="CQ170" s="88"/>
      <c r="CR170" s="88"/>
      <c r="CS170" s="88"/>
      <c r="CT170" s="88"/>
      <c r="CU170" s="88"/>
      <c r="CV170" s="88"/>
      <c r="CW170" s="88"/>
      <c r="CX170" s="88"/>
      <c r="CY170" s="88"/>
      <c r="CZ170" s="88"/>
      <c r="DA170" s="88"/>
      <c r="DB170" s="88"/>
      <c r="DC170" s="88"/>
      <c r="DD170" s="88"/>
      <c r="DE170" s="88"/>
      <c r="DF170" s="88"/>
      <c r="DG170" s="88"/>
      <c r="DH170" s="88"/>
      <c r="DI170" s="42"/>
    </row>
    <row r="171" spans="1:113" s="43" customFormat="1" x14ac:dyDescent="0.25">
      <c r="A171" s="36" t="s">
        <v>79</v>
      </c>
      <c r="B171" s="37">
        <f>SUM(B172:B176)</f>
        <v>121</v>
      </c>
      <c r="C171" s="38">
        <f t="shared" ref="C171:L171" si="15">SUM(C172:C176)</f>
        <v>110</v>
      </c>
      <c r="D171" s="4">
        <f t="shared" si="15"/>
        <v>61</v>
      </c>
      <c r="E171" s="39">
        <f t="shared" si="15"/>
        <v>61</v>
      </c>
      <c r="F171" s="39">
        <f t="shared" si="15"/>
        <v>110</v>
      </c>
      <c r="G171" s="4">
        <f t="shared" si="15"/>
        <v>108</v>
      </c>
      <c r="H171" s="40">
        <f t="shared" si="15"/>
        <v>110</v>
      </c>
      <c r="I171" s="4">
        <f t="shared" si="15"/>
        <v>40</v>
      </c>
      <c r="J171" s="4">
        <f t="shared" si="15"/>
        <v>110</v>
      </c>
      <c r="K171" s="4">
        <f t="shared" si="15"/>
        <v>109</v>
      </c>
      <c r="L171" s="41">
        <f t="shared" si="15"/>
        <v>113</v>
      </c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  <c r="BC171" s="88"/>
      <c r="BD171" s="88"/>
      <c r="BE171" s="88"/>
      <c r="BF171" s="88"/>
      <c r="BG171" s="88"/>
      <c r="BH171" s="88"/>
      <c r="BI171" s="88"/>
      <c r="BJ171" s="88"/>
      <c r="BK171" s="88"/>
      <c r="BL171" s="88"/>
      <c r="BM171" s="88"/>
      <c r="BN171" s="88"/>
      <c r="BO171" s="88"/>
      <c r="BP171" s="88"/>
      <c r="BQ171" s="88"/>
      <c r="BR171" s="88"/>
      <c r="BS171" s="88"/>
      <c r="BT171" s="88"/>
      <c r="BU171" s="88"/>
      <c r="BV171" s="88"/>
      <c r="BW171" s="88"/>
      <c r="BX171" s="88"/>
      <c r="BY171" s="88"/>
      <c r="BZ171" s="88"/>
      <c r="CA171" s="88"/>
      <c r="CB171" s="88"/>
      <c r="CC171" s="88"/>
      <c r="CD171" s="88"/>
      <c r="CE171" s="88"/>
      <c r="CF171" s="88"/>
      <c r="CG171" s="88"/>
      <c r="CH171" s="88"/>
      <c r="CI171" s="88"/>
      <c r="CJ171" s="88"/>
      <c r="CK171" s="88"/>
      <c r="CL171" s="88"/>
      <c r="CM171" s="88"/>
      <c r="CN171" s="88"/>
      <c r="CO171" s="88"/>
      <c r="CP171" s="88"/>
      <c r="CQ171" s="88"/>
      <c r="CR171" s="88"/>
      <c r="CS171" s="88"/>
      <c r="CT171" s="88"/>
      <c r="CU171" s="88"/>
      <c r="CV171" s="88"/>
      <c r="CW171" s="88"/>
      <c r="CX171" s="88"/>
      <c r="CY171" s="88"/>
      <c r="CZ171" s="88"/>
      <c r="DA171" s="88"/>
      <c r="DB171" s="88"/>
      <c r="DC171" s="88"/>
      <c r="DD171" s="88"/>
      <c r="DE171" s="88"/>
      <c r="DF171" s="88"/>
      <c r="DG171" s="88"/>
      <c r="DH171" s="88"/>
      <c r="DI171" s="42"/>
    </row>
    <row r="172" spans="1:113" s="43" customFormat="1" x14ac:dyDescent="0.25">
      <c r="A172" s="52" t="s">
        <v>196</v>
      </c>
      <c r="B172" s="54">
        <v>28</v>
      </c>
      <c r="C172" s="55">
        <v>29</v>
      </c>
      <c r="D172" s="3">
        <v>5</v>
      </c>
      <c r="E172" s="56">
        <v>5</v>
      </c>
      <c r="F172" s="56">
        <v>24</v>
      </c>
      <c r="G172" s="3">
        <v>27</v>
      </c>
      <c r="H172" s="57">
        <v>20</v>
      </c>
      <c r="I172" s="3">
        <v>7</v>
      </c>
      <c r="J172" s="3">
        <v>24</v>
      </c>
      <c r="K172" s="3">
        <v>28</v>
      </c>
      <c r="L172" s="58">
        <v>20</v>
      </c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  <c r="BD172" s="88"/>
      <c r="BE172" s="88"/>
      <c r="BF172" s="88"/>
      <c r="BG172" s="88"/>
      <c r="BH172" s="88"/>
      <c r="BI172" s="88"/>
      <c r="BJ172" s="88"/>
      <c r="BK172" s="88"/>
      <c r="BL172" s="88"/>
      <c r="BM172" s="88"/>
      <c r="BN172" s="88"/>
      <c r="BO172" s="88"/>
      <c r="BP172" s="88"/>
      <c r="BQ172" s="88"/>
      <c r="BR172" s="88"/>
      <c r="BS172" s="88"/>
      <c r="BT172" s="88"/>
      <c r="BU172" s="88"/>
      <c r="BV172" s="88"/>
      <c r="BW172" s="88"/>
      <c r="BX172" s="88"/>
      <c r="BY172" s="88"/>
      <c r="BZ172" s="88"/>
      <c r="CA172" s="88"/>
      <c r="CB172" s="88"/>
      <c r="CC172" s="88"/>
      <c r="CD172" s="88"/>
      <c r="CE172" s="88"/>
      <c r="CF172" s="88"/>
      <c r="CG172" s="88"/>
      <c r="CH172" s="88"/>
      <c r="CI172" s="88"/>
      <c r="CJ172" s="88"/>
      <c r="CK172" s="88"/>
      <c r="CL172" s="88"/>
      <c r="CM172" s="88"/>
      <c r="CN172" s="88"/>
      <c r="CO172" s="88"/>
      <c r="CP172" s="88"/>
      <c r="CQ172" s="88"/>
      <c r="CR172" s="88"/>
      <c r="CS172" s="88"/>
      <c r="CT172" s="88"/>
      <c r="CU172" s="88"/>
      <c r="CV172" s="88"/>
      <c r="CW172" s="88"/>
      <c r="CX172" s="88"/>
      <c r="CY172" s="88"/>
      <c r="CZ172" s="88"/>
      <c r="DA172" s="88"/>
      <c r="DB172" s="88"/>
      <c r="DC172" s="88"/>
      <c r="DD172" s="88"/>
      <c r="DE172" s="88"/>
      <c r="DF172" s="88"/>
      <c r="DG172" s="88"/>
      <c r="DH172" s="88"/>
      <c r="DI172" s="42"/>
    </row>
    <row r="173" spans="1:113" s="43" customFormat="1" x14ac:dyDescent="0.25">
      <c r="A173" s="52" t="s">
        <v>197</v>
      </c>
      <c r="B173" s="54">
        <v>28</v>
      </c>
      <c r="C173" s="55">
        <v>26</v>
      </c>
      <c r="D173" s="3">
        <v>16</v>
      </c>
      <c r="E173" s="56">
        <v>15</v>
      </c>
      <c r="F173" s="56">
        <v>21</v>
      </c>
      <c r="G173" s="3">
        <v>19</v>
      </c>
      <c r="H173" s="57">
        <v>28</v>
      </c>
      <c r="I173" s="3">
        <v>7</v>
      </c>
      <c r="J173" s="3">
        <v>23</v>
      </c>
      <c r="K173" s="3">
        <v>19</v>
      </c>
      <c r="L173" s="58">
        <v>28</v>
      </c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  <c r="BC173" s="88"/>
      <c r="BD173" s="88"/>
      <c r="BE173" s="88"/>
      <c r="BF173" s="88"/>
      <c r="BG173" s="88"/>
      <c r="BH173" s="88"/>
      <c r="BI173" s="88"/>
      <c r="BJ173" s="88"/>
      <c r="BK173" s="88"/>
      <c r="BL173" s="88"/>
      <c r="BM173" s="88"/>
      <c r="BN173" s="88"/>
      <c r="BO173" s="88"/>
      <c r="BP173" s="88"/>
      <c r="BQ173" s="88"/>
      <c r="BR173" s="88"/>
      <c r="BS173" s="88"/>
      <c r="BT173" s="88"/>
      <c r="BU173" s="88"/>
      <c r="BV173" s="88"/>
      <c r="BW173" s="88"/>
      <c r="BX173" s="88"/>
      <c r="BY173" s="88"/>
      <c r="BZ173" s="88"/>
      <c r="CA173" s="88"/>
      <c r="CB173" s="88"/>
      <c r="CC173" s="88"/>
      <c r="CD173" s="88"/>
      <c r="CE173" s="88"/>
      <c r="CF173" s="88"/>
      <c r="CG173" s="88"/>
      <c r="CH173" s="88"/>
      <c r="CI173" s="88"/>
      <c r="CJ173" s="88"/>
      <c r="CK173" s="88"/>
      <c r="CL173" s="88"/>
      <c r="CM173" s="88"/>
      <c r="CN173" s="88"/>
      <c r="CO173" s="88"/>
      <c r="CP173" s="88"/>
      <c r="CQ173" s="88"/>
      <c r="CR173" s="88"/>
      <c r="CS173" s="88"/>
      <c r="CT173" s="88"/>
      <c r="CU173" s="88"/>
      <c r="CV173" s="88"/>
      <c r="CW173" s="88"/>
      <c r="CX173" s="88"/>
      <c r="CY173" s="88"/>
      <c r="CZ173" s="88"/>
      <c r="DA173" s="88"/>
      <c r="DB173" s="88"/>
      <c r="DC173" s="88"/>
      <c r="DD173" s="88"/>
      <c r="DE173" s="88"/>
      <c r="DF173" s="88"/>
      <c r="DG173" s="88"/>
      <c r="DH173" s="88"/>
      <c r="DI173" s="42"/>
    </row>
    <row r="174" spans="1:113" s="43" customFormat="1" x14ac:dyDescent="0.25">
      <c r="A174" s="52" t="s">
        <v>42</v>
      </c>
      <c r="B174" s="54">
        <v>14</v>
      </c>
      <c r="C174" s="55">
        <v>10</v>
      </c>
      <c r="D174" s="3">
        <v>0</v>
      </c>
      <c r="E174" s="56">
        <v>1</v>
      </c>
      <c r="F174" s="56">
        <v>12</v>
      </c>
      <c r="G174" s="3">
        <v>18</v>
      </c>
      <c r="H174" s="57">
        <v>12</v>
      </c>
      <c r="I174" s="3">
        <v>2</v>
      </c>
      <c r="J174" s="3">
        <v>11</v>
      </c>
      <c r="K174" s="3">
        <v>17</v>
      </c>
      <c r="L174" s="58">
        <v>15</v>
      </c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  <c r="BD174" s="88"/>
      <c r="BE174" s="88"/>
      <c r="BF174" s="88"/>
      <c r="BG174" s="88"/>
      <c r="BH174" s="88"/>
      <c r="BI174" s="88"/>
      <c r="BJ174" s="88"/>
      <c r="BK174" s="88"/>
      <c r="BL174" s="88"/>
      <c r="BM174" s="88"/>
      <c r="BN174" s="88"/>
      <c r="BO174" s="88"/>
      <c r="BP174" s="88"/>
      <c r="BQ174" s="88"/>
      <c r="BR174" s="88"/>
      <c r="BS174" s="88"/>
      <c r="BT174" s="88"/>
      <c r="BU174" s="88"/>
      <c r="BV174" s="88"/>
      <c r="BW174" s="88"/>
      <c r="BX174" s="88"/>
      <c r="BY174" s="88"/>
      <c r="BZ174" s="88"/>
      <c r="CA174" s="88"/>
      <c r="CB174" s="88"/>
      <c r="CC174" s="88"/>
      <c r="CD174" s="88"/>
      <c r="CE174" s="88"/>
      <c r="CF174" s="88"/>
      <c r="CG174" s="88"/>
      <c r="CH174" s="88"/>
      <c r="CI174" s="88"/>
      <c r="CJ174" s="88"/>
      <c r="CK174" s="88"/>
      <c r="CL174" s="88"/>
      <c r="CM174" s="88"/>
      <c r="CN174" s="88"/>
      <c r="CO174" s="88"/>
      <c r="CP174" s="88"/>
      <c r="CQ174" s="88"/>
      <c r="CR174" s="88"/>
      <c r="CS174" s="88"/>
      <c r="CT174" s="88"/>
      <c r="CU174" s="88"/>
      <c r="CV174" s="88"/>
      <c r="CW174" s="88"/>
      <c r="CX174" s="88"/>
      <c r="CY174" s="88"/>
      <c r="CZ174" s="88"/>
      <c r="DA174" s="88"/>
      <c r="DB174" s="88"/>
      <c r="DC174" s="88"/>
      <c r="DD174" s="88"/>
      <c r="DE174" s="88"/>
      <c r="DF174" s="88"/>
      <c r="DG174" s="88"/>
      <c r="DH174" s="88"/>
      <c r="DI174" s="42"/>
    </row>
    <row r="175" spans="1:113" s="43" customFormat="1" x14ac:dyDescent="0.25">
      <c r="A175" s="52" t="s">
        <v>198</v>
      </c>
      <c r="B175" s="54">
        <v>15</v>
      </c>
      <c r="C175" s="55">
        <v>18</v>
      </c>
      <c r="D175" s="3">
        <v>0</v>
      </c>
      <c r="E175" s="56">
        <v>0</v>
      </c>
      <c r="F175" s="56">
        <v>14</v>
      </c>
      <c r="G175" s="3">
        <v>14</v>
      </c>
      <c r="H175" s="57">
        <v>15</v>
      </c>
      <c r="I175" s="3">
        <v>6</v>
      </c>
      <c r="J175" s="3">
        <v>16</v>
      </c>
      <c r="K175" s="3">
        <v>14</v>
      </c>
      <c r="L175" s="58">
        <v>16</v>
      </c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8"/>
      <c r="BI175" s="88"/>
      <c r="BJ175" s="88"/>
      <c r="BK175" s="88"/>
      <c r="BL175" s="88"/>
      <c r="BM175" s="88"/>
      <c r="BN175" s="88"/>
      <c r="BO175" s="88"/>
      <c r="BP175" s="88"/>
      <c r="BQ175" s="88"/>
      <c r="BR175" s="88"/>
      <c r="BS175" s="88"/>
      <c r="BT175" s="88"/>
      <c r="BU175" s="88"/>
      <c r="BV175" s="88"/>
      <c r="BW175" s="88"/>
      <c r="BX175" s="88"/>
      <c r="BY175" s="88"/>
      <c r="BZ175" s="88"/>
      <c r="CA175" s="88"/>
      <c r="CB175" s="88"/>
      <c r="CC175" s="88"/>
      <c r="CD175" s="88"/>
      <c r="CE175" s="88"/>
      <c r="CF175" s="88"/>
      <c r="CG175" s="88"/>
      <c r="CH175" s="88"/>
      <c r="CI175" s="88"/>
      <c r="CJ175" s="88"/>
      <c r="CK175" s="88"/>
      <c r="CL175" s="88"/>
      <c r="CM175" s="88"/>
      <c r="CN175" s="88"/>
      <c r="CO175" s="88"/>
      <c r="CP175" s="88"/>
      <c r="CQ175" s="88"/>
      <c r="CR175" s="88"/>
      <c r="CS175" s="88"/>
      <c r="CT175" s="88"/>
      <c r="CU175" s="88"/>
      <c r="CV175" s="88"/>
      <c r="CW175" s="88"/>
      <c r="CX175" s="88"/>
      <c r="CY175" s="88"/>
      <c r="CZ175" s="88"/>
      <c r="DA175" s="88"/>
      <c r="DB175" s="88"/>
      <c r="DC175" s="88"/>
      <c r="DD175" s="88"/>
      <c r="DE175" s="88"/>
      <c r="DF175" s="88"/>
      <c r="DG175" s="88"/>
      <c r="DH175" s="88"/>
      <c r="DI175" s="42"/>
    </row>
    <row r="176" spans="1:113" s="43" customFormat="1" x14ac:dyDescent="0.25">
      <c r="A176" s="52" t="s">
        <v>199</v>
      </c>
      <c r="B176" s="54">
        <v>36</v>
      </c>
      <c r="C176" s="55">
        <v>27</v>
      </c>
      <c r="D176" s="3">
        <v>40</v>
      </c>
      <c r="E176" s="56">
        <v>40</v>
      </c>
      <c r="F176" s="56">
        <v>39</v>
      </c>
      <c r="G176" s="3">
        <v>30</v>
      </c>
      <c r="H176" s="57">
        <v>35</v>
      </c>
      <c r="I176" s="3">
        <v>18</v>
      </c>
      <c r="J176" s="3">
        <v>36</v>
      </c>
      <c r="K176" s="3">
        <v>31</v>
      </c>
      <c r="L176" s="58">
        <v>34</v>
      </c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  <c r="BE176" s="88"/>
      <c r="BF176" s="88"/>
      <c r="BG176" s="88"/>
      <c r="BH176" s="88"/>
      <c r="BI176" s="88"/>
      <c r="BJ176" s="88"/>
      <c r="BK176" s="88"/>
      <c r="BL176" s="88"/>
      <c r="BM176" s="88"/>
      <c r="BN176" s="88"/>
      <c r="BO176" s="88"/>
      <c r="BP176" s="88"/>
      <c r="BQ176" s="88"/>
      <c r="BR176" s="88"/>
      <c r="BS176" s="88"/>
      <c r="BT176" s="88"/>
      <c r="BU176" s="88"/>
      <c r="BV176" s="88"/>
      <c r="BW176" s="88"/>
      <c r="BX176" s="88"/>
      <c r="BY176" s="88"/>
      <c r="BZ176" s="88"/>
      <c r="CA176" s="88"/>
      <c r="CB176" s="88"/>
      <c r="CC176" s="88"/>
      <c r="CD176" s="88"/>
      <c r="CE176" s="88"/>
      <c r="CF176" s="88"/>
      <c r="CG176" s="88"/>
      <c r="CH176" s="88"/>
      <c r="CI176" s="88"/>
      <c r="CJ176" s="88"/>
      <c r="CK176" s="88"/>
      <c r="CL176" s="88"/>
      <c r="CM176" s="88"/>
      <c r="CN176" s="88"/>
      <c r="CO176" s="88"/>
      <c r="CP176" s="88"/>
      <c r="CQ176" s="88"/>
      <c r="CR176" s="88"/>
      <c r="CS176" s="88"/>
      <c r="CT176" s="88"/>
      <c r="CU176" s="88"/>
      <c r="CV176" s="88"/>
      <c r="CW176" s="88"/>
      <c r="CX176" s="88"/>
      <c r="CY176" s="88"/>
      <c r="CZ176" s="88"/>
      <c r="DA176" s="88"/>
      <c r="DB176" s="88"/>
      <c r="DC176" s="88"/>
      <c r="DD176" s="88"/>
      <c r="DE176" s="88"/>
      <c r="DF176" s="88"/>
      <c r="DG176" s="88"/>
      <c r="DH176" s="88"/>
      <c r="DI176" s="42"/>
    </row>
    <row r="177" spans="1:113" s="43" customFormat="1" x14ac:dyDescent="0.25">
      <c r="A177" s="52"/>
      <c r="B177" s="67"/>
      <c r="C177" s="68"/>
      <c r="D177" s="69"/>
      <c r="E177" s="70"/>
      <c r="F177" s="70"/>
      <c r="G177" s="69"/>
      <c r="H177" s="71"/>
      <c r="I177" s="69"/>
      <c r="J177" s="69"/>
      <c r="K177" s="69"/>
      <c r="L177" s="72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  <c r="BE177" s="88"/>
      <c r="BF177" s="88"/>
      <c r="BG177" s="88"/>
      <c r="BH177" s="88"/>
      <c r="BI177" s="88"/>
      <c r="BJ177" s="88"/>
      <c r="BK177" s="88"/>
      <c r="BL177" s="88"/>
      <c r="BM177" s="88"/>
      <c r="BN177" s="88"/>
      <c r="BO177" s="88"/>
      <c r="BP177" s="88"/>
      <c r="BQ177" s="88"/>
      <c r="BR177" s="88"/>
      <c r="BS177" s="88"/>
      <c r="BT177" s="88"/>
      <c r="BU177" s="88"/>
      <c r="BV177" s="88"/>
      <c r="BW177" s="88"/>
      <c r="BX177" s="88"/>
      <c r="BY177" s="88"/>
      <c r="BZ177" s="88"/>
      <c r="CA177" s="88"/>
      <c r="CB177" s="88"/>
      <c r="CC177" s="88"/>
      <c r="CD177" s="88"/>
      <c r="CE177" s="88"/>
      <c r="CF177" s="88"/>
      <c r="CG177" s="88"/>
      <c r="CH177" s="88"/>
      <c r="CI177" s="88"/>
      <c r="CJ177" s="88"/>
      <c r="CK177" s="88"/>
      <c r="CL177" s="88"/>
      <c r="CM177" s="88"/>
      <c r="CN177" s="88"/>
      <c r="CO177" s="88"/>
      <c r="CP177" s="88"/>
      <c r="CQ177" s="88"/>
      <c r="CR177" s="88"/>
      <c r="CS177" s="88"/>
      <c r="CT177" s="88"/>
      <c r="CU177" s="88"/>
      <c r="CV177" s="88"/>
      <c r="CW177" s="88"/>
      <c r="CX177" s="88"/>
      <c r="CY177" s="88"/>
      <c r="CZ177" s="88"/>
      <c r="DA177" s="88"/>
      <c r="DB177" s="88"/>
      <c r="DC177" s="88"/>
      <c r="DD177" s="88"/>
      <c r="DE177" s="88"/>
      <c r="DF177" s="88"/>
      <c r="DG177" s="88"/>
      <c r="DH177" s="88"/>
      <c r="DI177" s="42"/>
    </row>
    <row r="178" spans="1:113" s="43" customFormat="1" x14ac:dyDescent="0.25">
      <c r="A178" s="36" t="s">
        <v>80</v>
      </c>
      <c r="B178" s="37">
        <f>SUM(B179:B184)</f>
        <v>130</v>
      </c>
      <c r="C178" s="38">
        <f t="shared" ref="C178:L178" si="16">SUM(C179:C184)</f>
        <v>116</v>
      </c>
      <c r="D178" s="4">
        <f t="shared" si="16"/>
        <v>41</v>
      </c>
      <c r="E178" s="39">
        <f t="shared" si="16"/>
        <v>41</v>
      </c>
      <c r="F178" s="39">
        <f t="shared" si="16"/>
        <v>132</v>
      </c>
      <c r="G178" s="4">
        <f t="shared" si="16"/>
        <v>130</v>
      </c>
      <c r="H178" s="40">
        <f t="shared" si="16"/>
        <v>131</v>
      </c>
      <c r="I178" s="4">
        <f t="shared" si="16"/>
        <v>16</v>
      </c>
      <c r="J178" s="4">
        <f t="shared" si="16"/>
        <v>131</v>
      </c>
      <c r="K178" s="4">
        <f t="shared" si="16"/>
        <v>132</v>
      </c>
      <c r="L178" s="41">
        <f t="shared" si="16"/>
        <v>131</v>
      </c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  <c r="BC178" s="88"/>
      <c r="BD178" s="88"/>
      <c r="BE178" s="88"/>
      <c r="BF178" s="88"/>
      <c r="BG178" s="88"/>
      <c r="BH178" s="88"/>
      <c r="BI178" s="88"/>
      <c r="BJ178" s="88"/>
      <c r="BK178" s="88"/>
      <c r="BL178" s="88"/>
      <c r="BM178" s="88"/>
      <c r="BN178" s="88"/>
      <c r="BO178" s="88"/>
      <c r="BP178" s="88"/>
      <c r="BQ178" s="88"/>
      <c r="BR178" s="88"/>
      <c r="BS178" s="88"/>
      <c r="BT178" s="88"/>
      <c r="BU178" s="88"/>
      <c r="BV178" s="88"/>
      <c r="BW178" s="88"/>
      <c r="BX178" s="88"/>
      <c r="BY178" s="88"/>
      <c r="BZ178" s="88"/>
      <c r="CA178" s="88"/>
      <c r="CB178" s="88"/>
      <c r="CC178" s="88"/>
      <c r="CD178" s="88"/>
      <c r="CE178" s="88"/>
      <c r="CF178" s="88"/>
      <c r="CG178" s="88"/>
      <c r="CH178" s="88"/>
      <c r="CI178" s="88"/>
      <c r="CJ178" s="88"/>
      <c r="CK178" s="88"/>
      <c r="CL178" s="88"/>
      <c r="CM178" s="88"/>
      <c r="CN178" s="88"/>
      <c r="CO178" s="88"/>
      <c r="CP178" s="88"/>
      <c r="CQ178" s="88"/>
      <c r="CR178" s="88"/>
      <c r="CS178" s="88"/>
      <c r="CT178" s="88"/>
      <c r="CU178" s="88"/>
      <c r="CV178" s="88"/>
      <c r="CW178" s="88"/>
      <c r="CX178" s="88"/>
      <c r="CY178" s="88"/>
      <c r="CZ178" s="88"/>
      <c r="DA178" s="88"/>
      <c r="DB178" s="88"/>
      <c r="DC178" s="88"/>
      <c r="DD178" s="88"/>
      <c r="DE178" s="88"/>
      <c r="DF178" s="88"/>
      <c r="DG178" s="88"/>
      <c r="DH178" s="88"/>
      <c r="DI178" s="42"/>
    </row>
    <row r="179" spans="1:113" s="43" customFormat="1" x14ac:dyDescent="0.25">
      <c r="A179" s="52" t="s">
        <v>200</v>
      </c>
      <c r="B179" s="54">
        <v>12</v>
      </c>
      <c r="C179" s="55">
        <v>14</v>
      </c>
      <c r="D179" s="3">
        <v>0</v>
      </c>
      <c r="E179" s="56">
        <v>0</v>
      </c>
      <c r="F179" s="56">
        <v>15</v>
      </c>
      <c r="G179" s="3">
        <v>20</v>
      </c>
      <c r="H179" s="57">
        <v>14</v>
      </c>
      <c r="I179" s="3">
        <v>1</v>
      </c>
      <c r="J179" s="3">
        <v>14</v>
      </c>
      <c r="K179" s="3">
        <v>20</v>
      </c>
      <c r="L179" s="58">
        <v>15</v>
      </c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  <c r="BE179" s="88"/>
      <c r="BF179" s="88"/>
      <c r="BG179" s="88"/>
      <c r="BH179" s="88"/>
      <c r="BI179" s="88"/>
      <c r="BJ179" s="88"/>
      <c r="BK179" s="88"/>
      <c r="BL179" s="88"/>
      <c r="BM179" s="88"/>
      <c r="BN179" s="88"/>
      <c r="BO179" s="88"/>
      <c r="BP179" s="88"/>
      <c r="BQ179" s="88"/>
      <c r="BR179" s="88"/>
      <c r="BS179" s="88"/>
      <c r="BT179" s="88"/>
      <c r="BU179" s="88"/>
      <c r="BV179" s="88"/>
      <c r="BW179" s="88"/>
      <c r="BX179" s="88"/>
      <c r="BY179" s="88"/>
      <c r="BZ179" s="88"/>
      <c r="CA179" s="88"/>
      <c r="CB179" s="88"/>
      <c r="CC179" s="88"/>
      <c r="CD179" s="88"/>
      <c r="CE179" s="88"/>
      <c r="CF179" s="88"/>
      <c r="CG179" s="88"/>
      <c r="CH179" s="88"/>
      <c r="CI179" s="88"/>
      <c r="CJ179" s="88"/>
      <c r="CK179" s="88"/>
      <c r="CL179" s="88"/>
      <c r="CM179" s="88"/>
      <c r="CN179" s="88"/>
      <c r="CO179" s="88"/>
      <c r="CP179" s="88"/>
      <c r="CQ179" s="88"/>
      <c r="CR179" s="88"/>
      <c r="CS179" s="88"/>
      <c r="CT179" s="88"/>
      <c r="CU179" s="88"/>
      <c r="CV179" s="88"/>
      <c r="CW179" s="88"/>
      <c r="CX179" s="88"/>
      <c r="CY179" s="88"/>
      <c r="CZ179" s="88"/>
      <c r="DA179" s="88"/>
      <c r="DB179" s="88"/>
      <c r="DC179" s="88"/>
      <c r="DD179" s="88"/>
      <c r="DE179" s="88"/>
      <c r="DF179" s="88"/>
      <c r="DG179" s="88"/>
      <c r="DH179" s="88"/>
      <c r="DI179" s="42"/>
    </row>
    <row r="180" spans="1:113" s="43" customFormat="1" x14ac:dyDescent="0.25">
      <c r="A180" s="52" t="s">
        <v>201</v>
      </c>
      <c r="B180" s="54">
        <v>16</v>
      </c>
      <c r="C180" s="55">
        <v>9</v>
      </c>
      <c r="D180" s="3">
        <v>2</v>
      </c>
      <c r="E180" s="56">
        <v>2</v>
      </c>
      <c r="F180" s="56">
        <v>17</v>
      </c>
      <c r="G180" s="3">
        <v>18</v>
      </c>
      <c r="H180" s="57">
        <v>13</v>
      </c>
      <c r="I180" s="3">
        <v>1</v>
      </c>
      <c r="J180" s="3">
        <v>15</v>
      </c>
      <c r="K180" s="3">
        <v>20</v>
      </c>
      <c r="L180" s="58">
        <v>9</v>
      </c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  <c r="BD180" s="88"/>
      <c r="BE180" s="88"/>
      <c r="BF180" s="88"/>
      <c r="BG180" s="88"/>
      <c r="BH180" s="88"/>
      <c r="BI180" s="88"/>
      <c r="BJ180" s="88"/>
      <c r="BK180" s="88"/>
      <c r="BL180" s="88"/>
      <c r="BM180" s="88"/>
      <c r="BN180" s="88"/>
      <c r="BO180" s="88"/>
      <c r="BP180" s="88"/>
      <c r="BQ180" s="88"/>
      <c r="BR180" s="88"/>
      <c r="BS180" s="88"/>
      <c r="BT180" s="88"/>
      <c r="BU180" s="88"/>
      <c r="BV180" s="88"/>
      <c r="BW180" s="88"/>
      <c r="BX180" s="88"/>
      <c r="BY180" s="88"/>
      <c r="BZ180" s="88"/>
      <c r="CA180" s="88"/>
      <c r="CB180" s="88"/>
      <c r="CC180" s="88"/>
      <c r="CD180" s="88"/>
      <c r="CE180" s="88"/>
      <c r="CF180" s="88"/>
      <c r="CG180" s="88"/>
      <c r="CH180" s="88"/>
      <c r="CI180" s="88"/>
      <c r="CJ180" s="88"/>
      <c r="CK180" s="88"/>
      <c r="CL180" s="88"/>
      <c r="CM180" s="88"/>
      <c r="CN180" s="88"/>
      <c r="CO180" s="88"/>
      <c r="CP180" s="88"/>
      <c r="CQ180" s="88"/>
      <c r="CR180" s="88"/>
      <c r="CS180" s="88"/>
      <c r="CT180" s="88"/>
      <c r="CU180" s="88"/>
      <c r="CV180" s="88"/>
      <c r="CW180" s="88"/>
      <c r="CX180" s="88"/>
      <c r="CY180" s="88"/>
      <c r="CZ180" s="88"/>
      <c r="DA180" s="88"/>
      <c r="DB180" s="88"/>
      <c r="DC180" s="88"/>
      <c r="DD180" s="88"/>
      <c r="DE180" s="88"/>
      <c r="DF180" s="88"/>
      <c r="DG180" s="88"/>
      <c r="DH180" s="88"/>
      <c r="DI180" s="42"/>
    </row>
    <row r="181" spans="1:113" s="43" customFormat="1" x14ac:dyDescent="0.25">
      <c r="A181" s="52" t="s">
        <v>202</v>
      </c>
      <c r="B181" s="54">
        <v>6</v>
      </c>
      <c r="C181" s="55">
        <v>11</v>
      </c>
      <c r="D181" s="3">
        <v>1</v>
      </c>
      <c r="E181" s="56">
        <v>1</v>
      </c>
      <c r="F181" s="56">
        <v>3</v>
      </c>
      <c r="G181" s="3">
        <v>8</v>
      </c>
      <c r="H181" s="57">
        <v>7</v>
      </c>
      <c r="I181" s="3">
        <v>1</v>
      </c>
      <c r="J181" s="3">
        <v>3</v>
      </c>
      <c r="K181" s="3">
        <v>7</v>
      </c>
      <c r="L181" s="58">
        <v>7</v>
      </c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  <c r="BC181" s="88"/>
      <c r="BD181" s="88"/>
      <c r="BE181" s="88"/>
      <c r="BF181" s="88"/>
      <c r="BG181" s="88"/>
      <c r="BH181" s="88"/>
      <c r="BI181" s="88"/>
      <c r="BJ181" s="88"/>
      <c r="BK181" s="88"/>
      <c r="BL181" s="88"/>
      <c r="BM181" s="88"/>
      <c r="BN181" s="88"/>
      <c r="BO181" s="88"/>
      <c r="BP181" s="88"/>
      <c r="BQ181" s="88"/>
      <c r="BR181" s="88"/>
      <c r="BS181" s="88"/>
      <c r="BT181" s="88"/>
      <c r="BU181" s="88"/>
      <c r="BV181" s="88"/>
      <c r="BW181" s="88"/>
      <c r="BX181" s="88"/>
      <c r="BY181" s="88"/>
      <c r="BZ181" s="88"/>
      <c r="CA181" s="88"/>
      <c r="CB181" s="88"/>
      <c r="CC181" s="88"/>
      <c r="CD181" s="88"/>
      <c r="CE181" s="88"/>
      <c r="CF181" s="88"/>
      <c r="CG181" s="88"/>
      <c r="CH181" s="88"/>
      <c r="CI181" s="88"/>
      <c r="CJ181" s="88"/>
      <c r="CK181" s="88"/>
      <c r="CL181" s="88"/>
      <c r="CM181" s="88"/>
      <c r="CN181" s="88"/>
      <c r="CO181" s="88"/>
      <c r="CP181" s="88"/>
      <c r="CQ181" s="88"/>
      <c r="CR181" s="88"/>
      <c r="CS181" s="88"/>
      <c r="CT181" s="88"/>
      <c r="CU181" s="88"/>
      <c r="CV181" s="88"/>
      <c r="CW181" s="88"/>
      <c r="CX181" s="88"/>
      <c r="CY181" s="88"/>
      <c r="CZ181" s="88"/>
      <c r="DA181" s="88"/>
      <c r="DB181" s="88"/>
      <c r="DC181" s="88"/>
      <c r="DD181" s="88"/>
      <c r="DE181" s="88"/>
      <c r="DF181" s="88"/>
      <c r="DG181" s="88"/>
      <c r="DH181" s="88"/>
      <c r="DI181" s="42"/>
    </row>
    <row r="182" spans="1:113" s="43" customFormat="1" x14ac:dyDescent="0.25">
      <c r="A182" s="52" t="s">
        <v>203</v>
      </c>
      <c r="B182" s="54">
        <v>24</v>
      </c>
      <c r="C182" s="55">
        <v>11</v>
      </c>
      <c r="D182" s="3">
        <v>0</v>
      </c>
      <c r="E182" s="56">
        <v>0</v>
      </c>
      <c r="F182" s="56">
        <v>20</v>
      </c>
      <c r="G182" s="3">
        <v>19</v>
      </c>
      <c r="H182" s="57">
        <v>15</v>
      </c>
      <c r="I182" s="3">
        <v>2</v>
      </c>
      <c r="J182" s="3">
        <v>21</v>
      </c>
      <c r="K182" s="3">
        <v>18</v>
      </c>
      <c r="L182" s="58">
        <v>16</v>
      </c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  <c r="BD182" s="88"/>
      <c r="BE182" s="88"/>
      <c r="BF182" s="88"/>
      <c r="BG182" s="88"/>
      <c r="BH182" s="88"/>
      <c r="BI182" s="88"/>
      <c r="BJ182" s="88"/>
      <c r="BK182" s="88"/>
      <c r="BL182" s="88"/>
      <c r="BM182" s="88"/>
      <c r="BN182" s="88"/>
      <c r="BO182" s="88"/>
      <c r="BP182" s="88"/>
      <c r="BQ182" s="88"/>
      <c r="BR182" s="88"/>
      <c r="BS182" s="88"/>
      <c r="BT182" s="88"/>
      <c r="BU182" s="88"/>
      <c r="BV182" s="88"/>
      <c r="BW182" s="88"/>
      <c r="BX182" s="88"/>
      <c r="BY182" s="88"/>
      <c r="BZ182" s="88"/>
      <c r="CA182" s="88"/>
      <c r="CB182" s="88"/>
      <c r="CC182" s="88"/>
      <c r="CD182" s="88"/>
      <c r="CE182" s="88"/>
      <c r="CF182" s="88"/>
      <c r="CG182" s="88"/>
      <c r="CH182" s="88"/>
      <c r="CI182" s="88"/>
      <c r="CJ182" s="88"/>
      <c r="CK182" s="88"/>
      <c r="CL182" s="88"/>
      <c r="CM182" s="88"/>
      <c r="CN182" s="88"/>
      <c r="CO182" s="88"/>
      <c r="CP182" s="88"/>
      <c r="CQ182" s="88"/>
      <c r="CR182" s="88"/>
      <c r="CS182" s="88"/>
      <c r="CT182" s="88"/>
      <c r="CU182" s="88"/>
      <c r="CV182" s="88"/>
      <c r="CW182" s="88"/>
      <c r="CX182" s="88"/>
      <c r="CY182" s="88"/>
      <c r="CZ182" s="88"/>
      <c r="DA182" s="88"/>
      <c r="DB182" s="88"/>
      <c r="DC182" s="88"/>
      <c r="DD182" s="88"/>
      <c r="DE182" s="88"/>
      <c r="DF182" s="88"/>
      <c r="DG182" s="88"/>
      <c r="DH182" s="88"/>
      <c r="DI182" s="42"/>
    </row>
    <row r="183" spans="1:113" s="43" customFormat="1" x14ac:dyDescent="0.25">
      <c r="A183" s="52" t="s">
        <v>204</v>
      </c>
      <c r="B183" s="54">
        <v>19</v>
      </c>
      <c r="C183" s="55">
        <v>14</v>
      </c>
      <c r="D183" s="3">
        <v>3</v>
      </c>
      <c r="E183" s="56">
        <v>3</v>
      </c>
      <c r="F183" s="56">
        <v>16</v>
      </c>
      <c r="G183" s="3">
        <v>9</v>
      </c>
      <c r="H183" s="57">
        <v>21</v>
      </c>
      <c r="I183" s="3">
        <v>4</v>
      </c>
      <c r="J183" s="3">
        <v>16</v>
      </c>
      <c r="K183" s="3">
        <v>11</v>
      </c>
      <c r="L183" s="58">
        <v>23</v>
      </c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  <c r="BD183" s="88"/>
      <c r="BE183" s="88"/>
      <c r="BF183" s="88"/>
      <c r="BG183" s="88"/>
      <c r="BH183" s="88"/>
      <c r="BI183" s="88"/>
      <c r="BJ183" s="88"/>
      <c r="BK183" s="88"/>
      <c r="BL183" s="88"/>
      <c r="BM183" s="88"/>
      <c r="BN183" s="88"/>
      <c r="BO183" s="88"/>
      <c r="BP183" s="88"/>
      <c r="BQ183" s="88"/>
      <c r="BR183" s="88"/>
      <c r="BS183" s="88"/>
      <c r="BT183" s="88"/>
      <c r="BU183" s="88"/>
      <c r="BV183" s="88"/>
      <c r="BW183" s="88"/>
      <c r="BX183" s="88"/>
      <c r="BY183" s="88"/>
      <c r="BZ183" s="88"/>
      <c r="CA183" s="88"/>
      <c r="CB183" s="88"/>
      <c r="CC183" s="88"/>
      <c r="CD183" s="88"/>
      <c r="CE183" s="88"/>
      <c r="CF183" s="88"/>
      <c r="CG183" s="88"/>
      <c r="CH183" s="88"/>
      <c r="CI183" s="88"/>
      <c r="CJ183" s="88"/>
      <c r="CK183" s="88"/>
      <c r="CL183" s="88"/>
      <c r="CM183" s="88"/>
      <c r="CN183" s="88"/>
      <c r="CO183" s="88"/>
      <c r="CP183" s="88"/>
      <c r="CQ183" s="88"/>
      <c r="CR183" s="88"/>
      <c r="CS183" s="88"/>
      <c r="CT183" s="88"/>
      <c r="CU183" s="88"/>
      <c r="CV183" s="88"/>
      <c r="CW183" s="88"/>
      <c r="CX183" s="88"/>
      <c r="CY183" s="88"/>
      <c r="CZ183" s="88"/>
      <c r="DA183" s="88"/>
      <c r="DB183" s="88"/>
      <c r="DC183" s="88"/>
      <c r="DD183" s="88"/>
      <c r="DE183" s="88"/>
      <c r="DF183" s="88"/>
      <c r="DG183" s="88"/>
      <c r="DH183" s="88"/>
      <c r="DI183" s="42"/>
    </row>
    <row r="184" spans="1:113" s="43" customFormat="1" x14ac:dyDescent="0.25">
      <c r="A184" s="52" t="s">
        <v>205</v>
      </c>
      <c r="B184" s="54">
        <v>53</v>
      </c>
      <c r="C184" s="55">
        <v>57</v>
      </c>
      <c r="D184" s="3">
        <v>35</v>
      </c>
      <c r="E184" s="56">
        <v>35</v>
      </c>
      <c r="F184" s="56">
        <v>61</v>
      </c>
      <c r="G184" s="3">
        <v>56</v>
      </c>
      <c r="H184" s="57">
        <v>61</v>
      </c>
      <c r="I184" s="3">
        <v>7</v>
      </c>
      <c r="J184" s="3">
        <v>62</v>
      </c>
      <c r="K184" s="3">
        <v>56</v>
      </c>
      <c r="L184" s="58">
        <v>61</v>
      </c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  <c r="BD184" s="88"/>
      <c r="BE184" s="88"/>
      <c r="BF184" s="88"/>
      <c r="BG184" s="88"/>
      <c r="BH184" s="88"/>
      <c r="BI184" s="88"/>
      <c r="BJ184" s="88"/>
      <c r="BK184" s="88"/>
      <c r="BL184" s="88"/>
      <c r="BM184" s="88"/>
      <c r="BN184" s="88"/>
      <c r="BO184" s="88"/>
      <c r="BP184" s="88"/>
      <c r="BQ184" s="88"/>
      <c r="BR184" s="88"/>
      <c r="BS184" s="88"/>
      <c r="BT184" s="88"/>
      <c r="BU184" s="88"/>
      <c r="BV184" s="88"/>
      <c r="BW184" s="88"/>
      <c r="BX184" s="88"/>
      <c r="BY184" s="88"/>
      <c r="BZ184" s="88"/>
      <c r="CA184" s="88"/>
      <c r="CB184" s="88"/>
      <c r="CC184" s="88"/>
      <c r="CD184" s="88"/>
      <c r="CE184" s="88"/>
      <c r="CF184" s="88"/>
      <c r="CG184" s="88"/>
      <c r="CH184" s="88"/>
      <c r="CI184" s="88"/>
      <c r="CJ184" s="88"/>
      <c r="CK184" s="88"/>
      <c r="CL184" s="88"/>
      <c r="CM184" s="88"/>
      <c r="CN184" s="88"/>
      <c r="CO184" s="88"/>
      <c r="CP184" s="88"/>
      <c r="CQ184" s="88"/>
      <c r="CR184" s="88"/>
      <c r="CS184" s="88"/>
      <c r="CT184" s="88"/>
      <c r="CU184" s="88"/>
      <c r="CV184" s="88"/>
      <c r="CW184" s="88"/>
      <c r="CX184" s="88"/>
      <c r="CY184" s="88"/>
      <c r="CZ184" s="88"/>
      <c r="DA184" s="88"/>
      <c r="DB184" s="88"/>
      <c r="DC184" s="88"/>
      <c r="DD184" s="88"/>
      <c r="DE184" s="88"/>
      <c r="DF184" s="88"/>
      <c r="DG184" s="88"/>
      <c r="DH184" s="88"/>
      <c r="DI184" s="42"/>
    </row>
    <row r="185" spans="1:113" s="43" customFormat="1" x14ac:dyDescent="0.25">
      <c r="A185" s="52"/>
      <c r="B185" s="67"/>
      <c r="C185" s="68"/>
      <c r="D185" s="69"/>
      <c r="E185" s="70"/>
      <c r="F185" s="70"/>
      <c r="G185" s="69"/>
      <c r="H185" s="71"/>
      <c r="I185" s="69"/>
      <c r="J185" s="69"/>
      <c r="K185" s="69"/>
      <c r="L185" s="72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  <c r="BD185" s="88"/>
      <c r="BE185" s="88"/>
      <c r="BF185" s="88"/>
      <c r="BG185" s="88"/>
      <c r="BH185" s="88"/>
      <c r="BI185" s="88"/>
      <c r="BJ185" s="88"/>
      <c r="BK185" s="88"/>
      <c r="BL185" s="88"/>
      <c r="BM185" s="88"/>
      <c r="BN185" s="88"/>
      <c r="BO185" s="88"/>
      <c r="BP185" s="88"/>
      <c r="BQ185" s="88"/>
      <c r="BR185" s="88"/>
      <c r="BS185" s="88"/>
      <c r="BT185" s="88"/>
      <c r="BU185" s="88"/>
      <c r="BV185" s="88"/>
      <c r="BW185" s="88"/>
      <c r="BX185" s="88"/>
      <c r="BY185" s="88"/>
      <c r="BZ185" s="88"/>
      <c r="CA185" s="88"/>
      <c r="CB185" s="88"/>
      <c r="CC185" s="88"/>
      <c r="CD185" s="88"/>
      <c r="CE185" s="88"/>
      <c r="CF185" s="88"/>
      <c r="CG185" s="88"/>
      <c r="CH185" s="88"/>
      <c r="CI185" s="88"/>
      <c r="CJ185" s="88"/>
      <c r="CK185" s="88"/>
      <c r="CL185" s="88"/>
      <c r="CM185" s="88"/>
      <c r="CN185" s="88"/>
      <c r="CO185" s="88"/>
      <c r="CP185" s="88"/>
      <c r="CQ185" s="88"/>
      <c r="CR185" s="88"/>
      <c r="CS185" s="88"/>
      <c r="CT185" s="88"/>
      <c r="CU185" s="88"/>
      <c r="CV185" s="88"/>
      <c r="CW185" s="88"/>
      <c r="CX185" s="88"/>
      <c r="CY185" s="88"/>
      <c r="CZ185" s="88"/>
      <c r="DA185" s="88"/>
      <c r="DB185" s="88"/>
      <c r="DC185" s="88"/>
      <c r="DD185" s="88"/>
      <c r="DE185" s="88"/>
      <c r="DF185" s="88"/>
      <c r="DG185" s="88"/>
      <c r="DH185" s="88"/>
      <c r="DI185" s="42"/>
    </row>
    <row r="186" spans="1:113" s="43" customFormat="1" x14ac:dyDescent="0.25">
      <c r="A186" s="36" t="s">
        <v>81</v>
      </c>
      <c r="B186" s="37">
        <f>SUM(B187:B199)</f>
        <v>210</v>
      </c>
      <c r="C186" s="38">
        <f t="shared" ref="C186:L186" si="17">SUM(C187:C199)</f>
        <v>222</v>
      </c>
      <c r="D186" s="4">
        <f t="shared" si="17"/>
        <v>171</v>
      </c>
      <c r="E186" s="39">
        <f t="shared" si="17"/>
        <v>171</v>
      </c>
      <c r="F186" s="39">
        <f t="shared" si="17"/>
        <v>249</v>
      </c>
      <c r="G186" s="4">
        <f t="shared" si="17"/>
        <v>243</v>
      </c>
      <c r="H186" s="40">
        <f t="shared" si="17"/>
        <v>249</v>
      </c>
      <c r="I186" s="4">
        <f t="shared" si="17"/>
        <v>28</v>
      </c>
      <c r="J186" s="4">
        <f t="shared" si="17"/>
        <v>249</v>
      </c>
      <c r="K186" s="4">
        <f t="shared" si="17"/>
        <v>244</v>
      </c>
      <c r="L186" s="41">
        <f t="shared" si="17"/>
        <v>249</v>
      </c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  <c r="BE186" s="88"/>
      <c r="BF186" s="88"/>
      <c r="BG186" s="88"/>
      <c r="BH186" s="88"/>
      <c r="BI186" s="88"/>
      <c r="BJ186" s="88"/>
      <c r="BK186" s="88"/>
      <c r="BL186" s="88"/>
      <c r="BM186" s="88"/>
      <c r="BN186" s="88"/>
      <c r="BO186" s="88"/>
      <c r="BP186" s="88"/>
      <c r="BQ186" s="88"/>
      <c r="BR186" s="88"/>
      <c r="BS186" s="88"/>
      <c r="BT186" s="88"/>
      <c r="BU186" s="88"/>
      <c r="BV186" s="88"/>
      <c r="BW186" s="88"/>
      <c r="BX186" s="88"/>
      <c r="BY186" s="88"/>
      <c r="BZ186" s="88"/>
      <c r="CA186" s="88"/>
      <c r="CB186" s="88"/>
      <c r="CC186" s="88"/>
      <c r="CD186" s="88"/>
      <c r="CE186" s="88"/>
      <c r="CF186" s="88"/>
      <c r="CG186" s="88"/>
      <c r="CH186" s="88"/>
      <c r="CI186" s="88"/>
      <c r="CJ186" s="88"/>
      <c r="CK186" s="88"/>
      <c r="CL186" s="88"/>
      <c r="CM186" s="88"/>
      <c r="CN186" s="88"/>
      <c r="CO186" s="88"/>
      <c r="CP186" s="88"/>
      <c r="CQ186" s="88"/>
      <c r="CR186" s="88"/>
      <c r="CS186" s="88"/>
      <c r="CT186" s="88"/>
      <c r="CU186" s="88"/>
      <c r="CV186" s="88"/>
      <c r="CW186" s="88"/>
      <c r="CX186" s="88"/>
      <c r="CY186" s="88"/>
      <c r="CZ186" s="88"/>
      <c r="DA186" s="88"/>
      <c r="DB186" s="88"/>
      <c r="DC186" s="88"/>
      <c r="DD186" s="88"/>
      <c r="DE186" s="88"/>
      <c r="DF186" s="88"/>
      <c r="DG186" s="88"/>
      <c r="DH186" s="88"/>
      <c r="DI186" s="42"/>
    </row>
    <row r="187" spans="1:113" s="43" customFormat="1" x14ac:dyDescent="0.25">
      <c r="A187" s="52" t="s">
        <v>206</v>
      </c>
      <c r="B187" s="54">
        <v>8</v>
      </c>
      <c r="C187" s="55">
        <v>13</v>
      </c>
      <c r="D187" s="3">
        <v>9</v>
      </c>
      <c r="E187" s="56">
        <v>9</v>
      </c>
      <c r="F187" s="56">
        <v>2</v>
      </c>
      <c r="G187" s="3">
        <v>3</v>
      </c>
      <c r="H187" s="57">
        <v>6</v>
      </c>
      <c r="I187" s="3">
        <v>0</v>
      </c>
      <c r="J187" s="3">
        <v>3</v>
      </c>
      <c r="K187" s="3">
        <v>2</v>
      </c>
      <c r="L187" s="58">
        <v>6</v>
      </c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  <c r="BH187" s="88"/>
      <c r="BI187" s="88"/>
      <c r="BJ187" s="88"/>
      <c r="BK187" s="88"/>
      <c r="BL187" s="88"/>
      <c r="BM187" s="88"/>
      <c r="BN187" s="88"/>
      <c r="BO187" s="88"/>
      <c r="BP187" s="88"/>
      <c r="BQ187" s="88"/>
      <c r="BR187" s="88"/>
      <c r="BS187" s="88"/>
      <c r="BT187" s="88"/>
      <c r="BU187" s="88"/>
      <c r="BV187" s="88"/>
      <c r="BW187" s="88"/>
      <c r="BX187" s="88"/>
      <c r="BY187" s="88"/>
      <c r="BZ187" s="88"/>
      <c r="CA187" s="88"/>
      <c r="CB187" s="88"/>
      <c r="CC187" s="88"/>
      <c r="CD187" s="88"/>
      <c r="CE187" s="88"/>
      <c r="CF187" s="88"/>
      <c r="CG187" s="88"/>
      <c r="CH187" s="88"/>
      <c r="CI187" s="88"/>
      <c r="CJ187" s="88"/>
      <c r="CK187" s="88"/>
      <c r="CL187" s="88"/>
      <c r="CM187" s="88"/>
      <c r="CN187" s="88"/>
      <c r="CO187" s="88"/>
      <c r="CP187" s="88"/>
      <c r="CQ187" s="88"/>
      <c r="CR187" s="88"/>
      <c r="CS187" s="88"/>
      <c r="CT187" s="88"/>
      <c r="CU187" s="88"/>
      <c r="CV187" s="88"/>
      <c r="CW187" s="88"/>
      <c r="CX187" s="88"/>
      <c r="CY187" s="88"/>
      <c r="CZ187" s="88"/>
      <c r="DA187" s="88"/>
      <c r="DB187" s="88"/>
      <c r="DC187" s="88"/>
      <c r="DD187" s="88"/>
      <c r="DE187" s="88"/>
      <c r="DF187" s="88"/>
      <c r="DG187" s="88"/>
      <c r="DH187" s="88"/>
      <c r="DI187" s="42"/>
    </row>
    <row r="188" spans="1:113" s="43" customFormat="1" x14ac:dyDescent="0.25">
      <c r="A188" s="52" t="s">
        <v>207</v>
      </c>
      <c r="B188" s="54">
        <v>19</v>
      </c>
      <c r="C188" s="55">
        <v>13</v>
      </c>
      <c r="D188" s="3">
        <v>22</v>
      </c>
      <c r="E188" s="56">
        <v>22</v>
      </c>
      <c r="F188" s="56">
        <v>28</v>
      </c>
      <c r="G188" s="3">
        <v>18</v>
      </c>
      <c r="H188" s="57">
        <v>30</v>
      </c>
      <c r="I188" s="3">
        <v>2</v>
      </c>
      <c r="J188" s="3">
        <v>28</v>
      </c>
      <c r="K188" s="3">
        <v>18</v>
      </c>
      <c r="L188" s="58">
        <v>30</v>
      </c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  <c r="BC188" s="88"/>
      <c r="BD188" s="88"/>
      <c r="BE188" s="88"/>
      <c r="BF188" s="88"/>
      <c r="BG188" s="88"/>
      <c r="BH188" s="88"/>
      <c r="BI188" s="88"/>
      <c r="BJ188" s="88"/>
      <c r="BK188" s="88"/>
      <c r="BL188" s="88"/>
      <c r="BM188" s="88"/>
      <c r="BN188" s="88"/>
      <c r="BO188" s="88"/>
      <c r="BP188" s="88"/>
      <c r="BQ188" s="88"/>
      <c r="BR188" s="88"/>
      <c r="BS188" s="88"/>
      <c r="BT188" s="88"/>
      <c r="BU188" s="88"/>
      <c r="BV188" s="88"/>
      <c r="BW188" s="88"/>
      <c r="BX188" s="88"/>
      <c r="BY188" s="88"/>
      <c r="BZ188" s="88"/>
      <c r="CA188" s="88"/>
      <c r="CB188" s="88"/>
      <c r="CC188" s="88"/>
      <c r="CD188" s="88"/>
      <c r="CE188" s="88"/>
      <c r="CF188" s="88"/>
      <c r="CG188" s="88"/>
      <c r="CH188" s="88"/>
      <c r="CI188" s="88"/>
      <c r="CJ188" s="88"/>
      <c r="CK188" s="88"/>
      <c r="CL188" s="88"/>
      <c r="CM188" s="88"/>
      <c r="CN188" s="88"/>
      <c r="CO188" s="88"/>
      <c r="CP188" s="88"/>
      <c r="CQ188" s="88"/>
      <c r="CR188" s="88"/>
      <c r="CS188" s="88"/>
      <c r="CT188" s="88"/>
      <c r="CU188" s="88"/>
      <c r="CV188" s="88"/>
      <c r="CW188" s="88"/>
      <c r="CX188" s="88"/>
      <c r="CY188" s="88"/>
      <c r="CZ188" s="88"/>
      <c r="DA188" s="88"/>
      <c r="DB188" s="88"/>
      <c r="DC188" s="88"/>
      <c r="DD188" s="88"/>
      <c r="DE188" s="88"/>
      <c r="DF188" s="88"/>
      <c r="DG188" s="88"/>
      <c r="DH188" s="88"/>
      <c r="DI188" s="42"/>
    </row>
    <row r="189" spans="1:113" s="43" customFormat="1" x14ac:dyDescent="0.25">
      <c r="A189" s="52" t="s">
        <v>208</v>
      </c>
      <c r="B189" s="54">
        <v>29</v>
      </c>
      <c r="C189" s="55">
        <v>20</v>
      </c>
      <c r="D189" s="3">
        <v>17</v>
      </c>
      <c r="E189" s="56">
        <v>17</v>
      </c>
      <c r="F189" s="56">
        <v>32</v>
      </c>
      <c r="G189" s="3">
        <v>28</v>
      </c>
      <c r="H189" s="57">
        <v>37</v>
      </c>
      <c r="I189" s="3">
        <v>1</v>
      </c>
      <c r="J189" s="3">
        <v>32</v>
      </c>
      <c r="K189" s="3">
        <v>29</v>
      </c>
      <c r="L189" s="58">
        <v>37</v>
      </c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  <c r="BC189" s="88"/>
      <c r="BD189" s="88"/>
      <c r="BE189" s="88"/>
      <c r="BF189" s="88"/>
      <c r="BG189" s="88"/>
      <c r="BH189" s="88"/>
      <c r="BI189" s="88"/>
      <c r="BJ189" s="88"/>
      <c r="BK189" s="88"/>
      <c r="BL189" s="88"/>
      <c r="BM189" s="88"/>
      <c r="BN189" s="88"/>
      <c r="BO189" s="88"/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88"/>
      <c r="CA189" s="88"/>
      <c r="CB189" s="88"/>
      <c r="CC189" s="88"/>
      <c r="CD189" s="88"/>
      <c r="CE189" s="88"/>
      <c r="CF189" s="88"/>
      <c r="CG189" s="88"/>
      <c r="CH189" s="88"/>
      <c r="CI189" s="88"/>
      <c r="CJ189" s="88"/>
      <c r="CK189" s="88"/>
      <c r="CL189" s="88"/>
      <c r="CM189" s="88"/>
      <c r="CN189" s="88"/>
      <c r="CO189" s="88"/>
      <c r="CP189" s="88"/>
      <c r="CQ189" s="88"/>
      <c r="CR189" s="88"/>
      <c r="CS189" s="88"/>
      <c r="CT189" s="88"/>
      <c r="CU189" s="88"/>
      <c r="CV189" s="88"/>
      <c r="CW189" s="88"/>
      <c r="CX189" s="88"/>
      <c r="CY189" s="88"/>
      <c r="CZ189" s="88"/>
      <c r="DA189" s="88"/>
      <c r="DB189" s="88"/>
      <c r="DC189" s="88"/>
      <c r="DD189" s="88"/>
      <c r="DE189" s="88"/>
      <c r="DF189" s="88"/>
      <c r="DG189" s="88"/>
      <c r="DH189" s="88"/>
      <c r="DI189" s="42"/>
    </row>
    <row r="190" spans="1:113" s="43" customFormat="1" x14ac:dyDescent="0.25">
      <c r="A190" s="52" t="s">
        <v>209</v>
      </c>
      <c r="B190" s="54">
        <v>10</v>
      </c>
      <c r="C190" s="55">
        <v>16</v>
      </c>
      <c r="D190" s="3">
        <v>4</v>
      </c>
      <c r="E190" s="56">
        <v>4</v>
      </c>
      <c r="F190" s="56">
        <v>4</v>
      </c>
      <c r="G190" s="3">
        <v>10</v>
      </c>
      <c r="H190" s="57">
        <v>13</v>
      </c>
      <c r="I190" s="3">
        <v>1</v>
      </c>
      <c r="J190" s="3">
        <v>4</v>
      </c>
      <c r="K190" s="3">
        <v>10</v>
      </c>
      <c r="L190" s="58">
        <v>13</v>
      </c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  <c r="BE190" s="88"/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88"/>
      <c r="BR190" s="88"/>
      <c r="BS190" s="88"/>
      <c r="BT190" s="88"/>
      <c r="BU190" s="88"/>
      <c r="BV190" s="88"/>
      <c r="BW190" s="88"/>
      <c r="BX190" s="88"/>
      <c r="BY190" s="88"/>
      <c r="BZ190" s="88"/>
      <c r="CA190" s="88"/>
      <c r="CB190" s="88"/>
      <c r="CC190" s="88"/>
      <c r="CD190" s="88"/>
      <c r="CE190" s="88"/>
      <c r="CF190" s="88"/>
      <c r="CG190" s="88"/>
      <c r="CH190" s="88"/>
      <c r="CI190" s="88"/>
      <c r="CJ190" s="88"/>
      <c r="CK190" s="88"/>
      <c r="CL190" s="88"/>
      <c r="CM190" s="88"/>
      <c r="CN190" s="88"/>
      <c r="CO190" s="88"/>
      <c r="CP190" s="88"/>
      <c r="CQ190" s="88"/>
      <c r="CR190" s="88"/>
      <c r="CS190" s="88"/>
      <c r="CT190" s="88"/>
      <c r="CU190" s="88"/>
      <c r="CV190" s="88"/>
      <c r="CW190" s="88"/>
      <c r="CX190" s="88"/>
      <c r="CY190" s="88"/>
      <c r="CZ190" s="88"/>
      <c r="DA190" s="88"/>
      <c r="DB190" s="88"/>
      <c r="DC190" s="88"/>
      <c r="DD190" s="88"/>
      <c r="DE190" s="88"/>
      <c r="DF190" s="88"/>
      <c r="DG190" s="88"/>
      <c r="DH190" s="88"/>
      <c r="DI190" s="42"/>
    </row>
    <row r="191" spans="1:113" s="43" customFormat="1" x14ac:dyDescent="0.25">
      <c r="A191" s="52" t="s">
        <v>210</v>
      </c>
      <c r="B191" s="54">
        <v>31</v>
      </c>
      <c r="C191" s="55">
        <v>29</v>
      </c>
      <c r="D191" s="3">
        <v>21</v>
      </c>
      <c r="E191" s="56">
        <v>21</v>
      </c>
      <c r="F191" s="56">
        <v>34</v>
      </c>
      <c r="G191" s="3">
        <v>45</v>
      </c>
      <c r="H191" s="57">
        <v>29</v>
      </c>
      <c r="I191" s="3">
        <v>3</v>
      </c>
      <c r="J191" s="3">
        <v>34</v>
      </c>
      <c r="K191" s="3">
        <v>45</v>
      </c>
      <c r="L191" s="58">
        <v>29</v>
      </c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  <c r="BC191" s="88"/>
      <c r="BD191" s="88"/>
      <c r="BE191" s="88"/>
      <c r="BF191" s="88"/>
      <c r="BG191" s="88"/>
      <c r="BH191" s="88"/>
      <c r="BI191" s="88"/>
      <c r="BJ191" s="88"/>
      <c r="BK191" s="88"/>
      <c r="BL191" s="88"/>
      <c r="BM191" s="88"/>
      <c r="BN191" s="88"/>
      <c r="BO191" s="88"/>
      <c r="BP191" s="88"/>
      <c r="BQ191" s="88"/>
      <c r="BR191" s="88"/>
      <c r="BS191" s="88"/>
      <c r="BT191" s="88"/>
      <c r="BU191" s="88"/>
      <c r="BV191" s="88"/>
      <c r="BW191" s="88"/>
      <c r="BX191" s="88"/>
      <c r="BY191" s="88"/>
      <c r="BZ191" s="88"/>
      <c r="CA191" s="88"/>
      <c r="CB191" s="88"/>
      <c r="CC191" s="88"/>
      <c r="CD191" s="88"/>
      <c r="CE191" s="88"/>
      <c r="CF191" s="88"/>
      <c r="CG191" s="88"/>
      <c r="CH191" s="88"/>
      <c r="CI191" s="88"/>
      <c r="CJ191" s="88"/>
      <c r="CK191" s="88"/>
      <c r="CL191" s="88"/>
      <c r="CM191" s="88"/>
      <c r="CN191" s="88"/>
      <c r="CO191" s="88"/>
      <c r="CP191" s="88"/>
      <c r="CQ191" s="88"/>
      <c r="CR191" s="88"/>
      <c r="CS191" s="88"/>
      <c r="CT191" s="88"/>
      <c r="CU191" s="88"/>
      <c r="CV191" s="88"/>
      <c r="CW191" s="88"/>
      <c r="CX191" s="88"/>
      <c r="CY191" s="88"/>
      <c r="CZ191" s="88"/>
      <c r="DA191" s="88"/>
      <c r="DB191" s="88"/>
      <c r="DC191" s="88"/>
      <c r="DD191" s="88"/>
      <c r="DE191" s="88"/>
      <c r="DF191" s="88"/>
      <c r="DG191" s="88"/>
      <c r="DH191" s="88"/>
      <c r="DI191" s="42"/>
    </row>
    <row r="192" spans="1:113" s="43" customFormat="1" x14ac:dyDescent="0.25">
      <c r="A192" s="52" t="s">
        <v>211</v>
      </c>
      <c r="B192" s="54">
        <v>5</v>
      </c>
      <c r="C192" s="55">
        <v>9</v>
      </c>
      <c r="D192" s="3">
        <v>4</v>
      </c>
      <c r="E192" s="56">
        <v>4</v>
      </c>
      <c r="F192" s="56">
        <v>11</v>
      </c>
      <c r="G192" s="3">
        <v>14</v>
      </c>
      <c r="H192" s="57">
        <v>5</v>
      </c>
      <c r="I192" s="3">
        <v>0</v>
      </c>
      <c r="J192" s="3">
        <v>10</v>
      </c>
      <c r="K192" s="3">
        <v>14</v>
      </c>
      <c r="L192" s="58">
        <v>5</v>
      </c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  <c r="CB192" s="88"/>
      <c r="CC192" s="88"/>
      <c r="CD192" s="88"/>
      <c r="CE192" s="88"/>
      <c r="CF192" s="88"/>
      <c r="CG192" s="88"/>
      <c r="CH192" s="88"/>
      <c r="CI192" s="88"/>
      <c r="CJ192" s="88"/>
      <c r="CK192" s="88"/>
      <c r="CL192" s="88"/>
      <c r="CM192" s="88"/>
      <c r="CN192" s="88"/>
      <c r="CO192" s="88"/>
      <c r="CP192" s="88"/>
      <c r="CQ192" s="88"/>
      <c r="CR192" s="88"/>
      <c r="CS192" s="88"/>
      <c r="CT192" s="88"/>
      <c r="CU192" s="88"/>
      <c r="CV192" s="88"/>
      <c r="CW192" s="88"/>
      <c r="CX192" s="88"/>
      <c r="CY192" s="88"/>
      <c r="CZ192" s="88"/>
      <c r="DA192" s="88"/>
      <c r="DB192" s="88"/>
      <c r="DC192" s="88"/>
      <c r="DD192" s="88"/>
      <c r="DE192" s="88"/>
      <c r="DF192" s="88"/>
      <c r="DG192" s="88"/>
      <c r="DH192" s="88"/>
      <c r="DI192" s="42"/>
    </row>
    <row r="193" spans="1:113" s="43" customFormat="1" x14ac:dyDescent="0.25">
      <c r="A193" s="52" t="s">
        <v>212</v>
      </c>
      <c r="B193" s="54">
        <v>3</v>
      </c>
      <c r="C193" s="55">
        <v>3</v>
      </c>
      <c r="D193" s="3">
        <v>4</v>
      </c>
      <c r="E193" s="56">
        <v>4</v>
      </c>
      <c r="F193" s="56">
        <v>5</v>
      </c>
      <c r="G193" s="3">
        <v>4</v>
      </c>
      <c r="H193" s="57">
        <v>3</v>
      </c>
      <c r="I193" s="3">
        <v>0</v>
      </c>
      <c r="J193" s="3">
        <v>4</v>
      </c>
      <c r="K193" s="3">
        <v>3</v>
      </c>
      <c r="L193" s="58">
        <v>3</v>
      </c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  <c r="BC193" s="88"/>
      <c r="BD193" s="88"/>
      <c r="BE193" s="88"/>
      <c r="BF193" s="88"/>
      <c r="BG193" s="88"/>
      <c r="BH193" s="88"/>
      <c r="BI193" s="88"/>
      <c r="BJ193" s="88"/>
      <c r="BK193" s="88"/>
      <c r="BL193" s="88"/>
      <c r="BM193" s="88"/>
      <c r="BN193" s="88"/>
      <c r="BO193" s="88"/>
      <c r="BP193" s="88"/>
      <c r="BQ193" s="88"/>
      <c r="BR193" s="88"/>
      <c r="BS193" s="88"/>
      <c r="BT193" s="88"/>
      <c r="BU193" s="88"/>
      <c r="BV193" s="88"/>
      <c r="BW193" s="88"/>
      <c r="BX193" s="88"/>
      <c r="BY193" s="88"/>
      <c r="BZ193" s="88"/>
      <c r="CA193" s="88"/>
      <c r="CB193" s="88"/>
      <c r="CC193" s="88"/>
      <c r="CD193" s="88"/>
      <c r="CE193" s="88"/>
      <c r="CF193" s="88"/>
      <c r="CG193" s="88"/>
      <c r="CH193" s="88"/>
      <c r="CI193" s="88"/>
      <c r="CJ193" s="88"/>
      <c r="CK193" s="88"/>
      <c r="CL193" s="88"/>
      <c r="CM193" s="88"/>
      <c r="CN193" s="88"/>
      <c r="CO193" s="88"/>
      <c r="CP193" s="88"/>
      <c r="CQ193" s="88"/>
      <c r="CR193" s="88"/>
      <c r="CS193" s="88"/>
      <c r="CT193" s="88"/>
      <c r="CU193" s="88"/>
      <c r="CV193" s="88"/>
      <c r="CW193" s="88"/>
      <c r="CX193" s="88"/>
      <c r="CY193" s="88"/>
      <c r="CZ193" s="88"/>
      <c r="DA193" s="88"/>
      <c r="DB193" s="88"/>
      <c r="DC193" s="88"/>
      <c r="DD193" s="88"/>
      <c r="DE193" s="88"/>
      <c r="DF193" s="88"/>
      <c r="DG193" s="88"/>
      <c r="DH193" s="88"/>
      <c r="DI193" s="42"/>
    </row>
    <row r="194" spans="1:113" s="43" customFormat="1" x14ac:dyDescent="0.25">
      <c r="A194" s="52" t="s">
        <v>213</v>
      </c>
      <c r="B194" s="54">
        <v>19</v>
      </c>
      <c r="C194" s="55">
        <v>18</v>
      </c>
      <c r="D194" s="3">
        <v>16</v>
      </c>
      <c r="E194" s="56">
        <v>16</v>
      </c>
      <c r="F194" s="56">
        <v>25</v>
      </c>
      <c r="G194" s="3">
        <v>18</v>
      </c>
      <c r="H194" s="57">
        <v>16</v>
      </c>
      <c r="I194" s="3">
        <v>0</v>
      </c>
      <c r="J194" s="3">
        <v>25</v>
      </c>
      <c r="K194" s="3">
        <v>18</v>
      </c>
      <c r="L194" s="58">
        <v>16</v>
      </c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  <c r="BE194" s="88"/>
      <c r="BF194" s="88"/>
      <c r="BG194" s="88"/>
      <c r="BH194" s="88"/>
      <c r="BI194" s="88"/>
      <c r="BJ194" s="88"/>
      <c r="BK194" s="88"/>
      <c r="BL194" s="88"/>
      <c r="BM194" s="88"/>
      <c r="BN194" s="88"/>
      <c r="BO194" s="88"/>
      <c r="BP194" s="88"/>
      <c r="BQ194" s="88"/>
      <c r="BR194" s="88"/>
      <c r="BS194" s="88"/>
      <c r="BT194" s="88"/>
      <c r="BU194" s="88"/>
      <c r="BV194" s="88"/>
      <c r="BW194" s="88"/>
      <c r="BX194" s="88"/>
      <c r="BY194" s="88"/>
      <c r="BZ194" s="88"/>
      <c r="CA194" s="88"/>
      <c r="CB194" s="88"/>
      <c r="CC194" s="88"/>
      <c r="CD194" s="88"/>
      <c r="CE194" s="88"/>
      <c r="CF194" s="88"/>
      <c r="CG194" s="88"/>
      <c r="CH194" s="88"/>
      <c r="CI194" s="88"/>
      <c r="CJ194" s="88"/>
      <c r="CK194" s="88"/>
      <c r="CL194" s="88"/>
      <c r="CM194" s="88"/>
      <c r="CN194" s="88"/>
      <c r="CO194" s="88"/>
      <c r="CP194" s="88"/>
      <c r="CQ194" s="88"/>
      <c r="CR194" s="88"/>
      <c r="CS194" s="88"/>
      <c r="CT194" s="88"/>
      <c r="CU194" s="88"/>
      <c r="CV194" s="88"/>
      <c r="CW194" s="88"/>
      <c r="CX194" s="88"/>
      <c r="CY194" s="88"/>
      <c r="CZ194" s="88"/>
      <c r="DA194" s="88"/>
      <c r="DB194" s="88"/>
      <c r="DC194" s="88"/>
      <c r="DD194" s="88"/>
      <c r="DE194" s="88"/>
      <c r="DF194" s="88"/>
      <c r="DG194" s="88"/>
      <c r="DH194" s="88"/>
      <c r="DI194" s="42"/>
    </row>
    <row r="195" spans="1:113" s="43" customFormat="1" x14ac:dyDescent="0.25">
      <c r="A195" s="52" t="s">
        <v>214</v>
      </c>
      <c r="B195" s="54">
        <v>3</v>
      </c>
      <c r="C195" s="55">
        <v>3</v>
      </c>
      <c r="D195" s="3">
        <v>2</v>
      </c>
      <c r="E195" s="56">
        <v>2</v>
      </c>
      <c r="F195" s="56">
        <v>6</v>
      </c>
      <c r="G195" s="3">
        <v>7</v>
      </c>
      <c r="H195" s="57">
        <v>8</v>
      </c>
      <c r="I195" s="3">
        <v>0</v>
      </c>
      <c r="J195" s="3">
        <v>6</v>
      </c>
      <c r="K195" s="3">
        <v>7</v>
      </c>
      <c r="L195" s="58">
        <v>8</v>
      </c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88"/>
      <c r="BF195" s="88"/>
      <c r="BG195" s="88"/>
      <c r="BH195" s="88"/>
      <c r="BI195" s="88"/>
      <c r="BJ195" s="88"/>
      <c r="BK195" s="88"/>
      <c r="BL195" s="88"/>
      <c r="BM195" s="88"/>
      <c r="BN195" s="88"/>
      <c r="BO195" s="88"/>
      <c r="BP195" s="88"/>
      <c r="BQ195" s="88"/>
      <c r="BR195" s="88"/>
      <c r="BS195" s="88"/>
      <c r="BT195" s="88"/>
      <c r="BU195" s="88"/>
      <c r="BV195" s="88"/>
      <c r="BW195" s="88"/>
      <c r="BX195" s="88"/>
      <c r="BY195" s="88"/>
      <c r="BZ195" s="88"/>
      <c r="CA195" s="88"/>
      <c r="CB195" s="88"/>
      <c r="CC195" s="88"/>
      <c r="CD195" s="88"/>
      <c r="CE195" s="88"/>
      <c r="CF195" s="88"/>
      <c r="CG195" s="88"/>
      <c r="CH195" s="88"/>
      <c r="CI195" s="88"/>
      <c r="CJ195" s="88"/>
      <c r="CK195" s="88"/>
      <c r="CL195" s="88"/>
      <c r="CM195" s="88"/>
      <c r="CN195" s="88"/>
      <c r="CO195" s="88"/>
      <c r="CP195" s="88"/>
      <c r="CQ195" s="88"/>
      <c r="CR195" s="88"/>
      <c r="CS195" s="88"/>
      <c r="CT195" s="88"/>
      <c r="CU195" s="88"/>
      <c r="CV195" s="88"/>
      <c r="CW195" s="88"/>
      <c r="CX195" s="88"/>
      <c r="CY195" s="88"/>
      <c r="CZ195" s="88"/>
      <c r="DA195" s="88"/>
      <c r="DB195" s="88"/>
      <c r="DC195" s="88"/>
      <c r="DD195" s="88"/>
      <c r="DE195" s="88"/>
      <c r="DF195" s="88"/>
      <c r="DG195" s="88"/>
      <c r="DH195" s="88"/>
      <c r="DI195" s="42"/>
    </row>
    <row r="196" spans="1:113" s="43" customFormat="1" x14ac:dyDescent="0.25">
      <c r="A196" s="52" t="s">
        <v>215</v>
      </c>
      <c r="B196" s="54">
        <v>17</v>
      </c>
      <c r="C196" s="55">
        <v>27</v>
      </c>
      <c r="D196" s="3">
        <v>23</v>
      </c>
      <c r="E196" s="56">
        <v>23</v>
      </c>
      <c r="F196" s="56">
        <v>34</v>
      </c>
      <c r="G196" s="3">
        <v>33</v>
      </c>
      <c r="H196" s="57">
        <v>38</v>
      </c>
      <c r="I196" s="3">
        <v>11</v>
      </c>
      <c r="J196" s="3">
        <v>35</v>
      </c>
      <c r="K196" s="3">
        <v>32</v>
      </c>
      <c r="L196" s="58">
        <v>38</v>
      </c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  <c r="BE196" s="88"/>
      <c r="BF196" s="88"/>
      <c r="BG196" s="88"/>
      <c r="BH196" s="88"/>
      <c r="BI196" s="88"/>
      <c r="BJ196" s="88"/>
      <c r="BK196" s="88"/>
      <c r="BL196" s="88"/>
      <c r="BM196" s="88"/>
      <c r="BN196" s="88"/>
      <c r="BO196" s="88"/>
      <c r="BP196" s="88"/>
      <c r="BQ196" s="88"/>
      <c r="BR196" s="88"/>
      <c r="BS196" s="88"/>
      <c r="BT196" s="88"/>
      <c r="BU196" s="88"/>
      <c r="BV196" s="88"/>
      <c r="BW196" s="88"/>
      <c r="BX196" s="88"/>
      <c r="BY196" s="88"/>
      <c r="BZ196" s="88"/>
      <c r="CA196" s="88"/>
      <c r="CB196" s="88"/>
      <c r="CC196" s="88"/>
      <c r="CD196" s="88"/>
      <c r="CE196" s="88"/>
      <c r="CF196" s="88"/>
      <c r="CG196" s="88"/>
      <c r="CH196" s="88"/>
      <c r="CI196" s="88"/>
      <c r="CJ196" s="88"/>
      <c r="CK196" s="88"/>
      <c r="CL196" s="88"/>
      <c r="CM196" s="88"/>
      <c r="CN196" s="88"/>
      <c r="CO196" s="88"/>
      <c r="CP196" s="88"/>
      <c r="CQ196" s="88"/>
      <c r="CR196" s="88"/>
      <c r="CS196" s="88"/>
      <c r="CT196" s="88"/>
      <c r="CU196" s="88"/>
      <c r="CV196" s="88"/>
      <c r="CW196" s="88"/>
      <c r="CX196" s="88"/>
      <c r="CY196" s="88"/>
      <c r="CZ196" s="88"/>
      <c r="DA196" s="88"/>
      <c r="DB196" s="88"/>
      <c r="DC196" s="88"/>
      <c r="DD196" s="88"/>
      <c r="DE196" s="88"/>
      <c r="DF196" s="88"/>
      <c r="DG196" s="88"/>
      <c r="DH196" s="88"/>
      <c r="DI196" s="42"/>
    </row>
    <row r="197" spans="1:113" s="43" customFormat="1" x14ac:dyDescent="0.25">
      <c r="A197" s="52" t="s">
        <v>82</v>
      </c>
      <c r="B197" s="54">
        <v>36</v>
      </c>
      <c r="C197" s="55">
        <v>37</v>
      </c>
      <c r="D197" s="3">
        <v>30</v>
      </c>
      <c r="E197" s="56">
        <v>30</v>
      </c>
      <c r="F197" s="56">
        <v>37</v>
      </c>
      <c r="G197" s="3">
        <v>30</v>
      </c>
      <c r="H197" s="57">
        <v>33</v>
      </c>
      <c r="I197" s="3">
        <v>6</v>
      </c>
      <c r="J197" s="3">
        <v>37</v>
      </c>
      <c r="K197" s="3">
        <v>30</v>
      </c>
      <c r="L197" s="58">
        <v>33</v>
      </c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  <c r="BA197" s="88"/>
      <c r="BB197" s="88"/>
      <c r="BC197" s="88"/>
      <c r="BD197" s="88"/>
      <c r="BE197" s="88"/>
      <c r="BF197" s="88"/>
      <c r="BG197" s="88"/>
      <c r="BH197" s="88"/>
      <c r="BI197" s="88"/>
      <c r="BJ197" s="88"/>
      <c r="BK197" s="88"/>
      <c r="BL197" s="88"/>
      <c r="BM197" s="88"/>
      <c r="BN197" s="88"/>
      <c r="BO197" s="88"/>
      <c r="BP197" s="88"/>
      <c r="BQ197" s="88"/>
      <c r="BR197" s="88"/>
      <c r="BS197" s="88"/>
      <c r="BT197" s="88"/>
      <c r="BU197" s="88"/>
      <c r="BV197" s="88"/>
      <c r="BW197" s="88"/>
      <c r="BX197" s="88"/>
      <c r="BY197" s="88"/>
      <c r="BZ197" s="88"/>
      <c r="CA197" s="88"/>
      <c r="CB197" s="88"/>
      <c r="CC197" s="88"/>
      <c r="CD197" s="88"/>
      <c r="CE197" s="88"/>
      <c r="CF197" s="88"/>
      <c r="CG197" s="88"/>
      <c r="CH197" s="88"/>
      <c r="CI197" s="88"/>
      <c r="CJ197" s="88"/>
      <c r="CK197" s="88"/>
      <c r="CL197" s="88"/>
      <c r="CM197" s="88"/>
      <c r="CN197" s="88"/>
      <c r="CO197" s="88"/>
      <c r="CP197" s="88"/>
      <c r="CQ197" s="88"/>
      <c r="CR197" s="88"/>
      <c r="CS197" s="88"/>
      <c r="CT197" s="88"/>
      <c r="CU197" s="88"/>
      <c r="CV197" s="88"/>
      <c r="CW197" s="88"/>
      <c r="CX197" s="88"/>
      <c r="CY197" s="88"/>
      <c r="CZ197" s="88"/>
      <c r="DA197" s="88"/>
      <c r="DB197" s="88"/>
      <c r="DC197" s="88"/>
      <c r="DD197" s="88"/>
      <c r="DE197" s="88"/>
      <c r="DF197" s="88"/>
      <c r="DG197" s="88"/>
      <c r="DH197" s="88"/>
      <c r="DI197" s="42"/>
    </row>
    <row r="198" spans="1:113" s="43" customFormat="1" x14ac:dyDescent="0.25">
      <c r="A198" s="52" t="s">
        <v>216</v>
      </c>
      <c r="B198" s="54">
        <v>27</v>
      </c>
      <c r="C198" s="55">
        <v>20</v>
      </c>
      <c r="D198" s="3">
        <v>15</v>
      </c>
      <c r="E198" s="56">
        <v>15</v>
      </c>
      <c r="F198" s="56">
        <v>25</v>
      </c>
      <c r="G198" s="3">
        <v>29</v>
      </c>
      <c r="H198" s="57">
        <v>23</v>
      </c>
      <c r="I198" s="3">
        <v>4</v>
      </c>
      <c r="J198" s="3">
        <v>27</v>
      </c>
      <c r="K198" s="3">
        <v>32</v>
      </c>
      <c r="L198" s="58">
        <v>23</v>
      </c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  <c r="BA198" s="88"/>
      <c r="BB198" s="88"/>
      <c r="BC198" s="88"/>
      <c r="BD198" s="88"/>
      <c r="BE198" s="88"/>
      <c r="BF198" s="88"/>
      <c r="BG198" s="88"/>
      <c r="BH198" s="88"/>
      <c r="BI198" s="88"/>
      <c r="BJ198" s="88"/>
      <c r="BK198" s="88"/>
      <c r="BL198" s="88"/>
      <c r="BM198" s="88"/>
      <c r="BN198" s="88"/>
      <c r="BO198" s="88"/>
      <c r="BP198" s="88"/>
      <c r="BQ198" s="88"/>
      <c r="BR198" s="88"/>
      <c r="BS198" s="88"/>
      <c r="BT198" s="88"/>
      <c r="BU198" s="88"/>
      <c r="BV198" s="88"/>
      <c r="BW198" s="88"/>
      <c r="BX198" s="88"/>
      <c r="BY198" s="88"/>
      <c r="BZ198" s="88"/>
      <c r="CA198" s="88"/>
      <c r="CB198" s="88"/>
      <c r="CC198" s="88"/>
      <c r="CD198" s="88"/>
      <c r="CE198" s="88"/>
      <c r="CF198" s="88"/>
      <c r="CG198" s="88"/>
      <c r="CH198" s="88"/>
      <c r="CI198" s="88"/>
      <c r="CJ198" s="88"/>
      <c r="CK198" s="88"/>
      <c r="CL198" s="88"/>
      <c r="CM198" s="88"/>
      <c r="CN198" s="88"/>
      <c r="CO198" s="88"/>
      <c r="CP198" s="88"/>
      <c r="CQ198" s="88"/>
      <c r="CR198" s="88"/>
      <c r="CS198" s="88"/>
      <c r="CT198" s="88"/>
      <c r="CU198" s="88"/>
      <c r="CV198" s="88"/>
      <c r="CW198" s="88"/>
      <c r="CX198" s="88"/>
      <c r="CY198" s="88"/>
      <c r="CZ198" s="88"/>
      <c r="DA198" s="88"/>
      <c r="DB198" s="88"/>
      <c r="DC198" s="88"/>
      <c r="DD198" s="88"/>
      <c r="DE198" s="88"/>
      <c r="DF198" s="88"/>
      <c r="DG198" s="88"/>
      <c r="DH198" s="88"/>
      <c r="DI198" s="42"/>
    </row>
    <row r="199" spans="1:113" s="43" customFormat="1" x14ac:dyDescent="0.25">
      <c r="A199" s="52" t="s">
        <v>217</v>
      </c>
      <c r="B199" s="54">
        <v>3</v>
      </c>
      <c r="C199" s="55">
        <v>14</v>
      </c>
      <c r="D199" s="3">
        <v>4</v>
      </c>
      <c r="E199" s="56">
        <v>4</v>
      </c>
      <c r="F199" s="56">
        <v>6</v>
      </c>
      <c r="G199" s="3">
        <v>4</v>
      </c>
      <c r="H199" s="57">
        <v>8</v>
      </c>
      <c r="I199" s="3">
        <v>0</v>
      </c>
      <c r="J199" s="3">
        <v>4</v>
      </c>
      <c r="K199" s="3">
        <v>4</v>
      </c>
      <c r="L199" s="58">
        <v>8</v>
      </c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  <c r="BA199" s="88"/>
      <c r="BB199" s="88"/>
      <c r="BC199" s="88"/>
      <c r="BD199" s="88"/>
      <c r="BE199" s="88"/>
      <c r="BF199" s="88"/>
      <c r="BG199" s="88"/>
      <c r="BH199" s="88"/>
      <c r="BI199" s="88"/>
      <c r="BJ199" s="88"/>
      <c r="BK199" s="88"/>
      <c r="BL199" s="88"/>
      <c r="BM199" s="88"/>
      <c r="BN199" s="88"/>
      <c r="BO199" s="88"/>
      <c r="BP199" s="88"/>
      <c r="BQ199" s="88"/>
      <c r="BR199" s="88"/>
      <c r="BS199" s="88"/>
      <c r="BT199" s="88"/>
      <c r="BU199" s="88"/>
      <c r="BV199" s="88"/>
      <c r="BW199" s="88"/>
      <c r="BX199" s="88"/>
      <c r="BY199" s="88"/>
      <c r="BZ199" s="88"/>
      <c r="CA199" s="88"/>
      <c r="CB199" s="88"/>
      <c r="CC199" s="88"/>
      <c r="CD199" s="88"/>
      <c r="CE199" s="88"/>
      <c r="CF199" s="88"/>
      <c r="CG199" s="88"/>
      <c r="CH199" s="88"/>
      <c r="CI199" s="88"/>
      <c r="CJ199" s="88"/>
      <c r="CK199" s="88"/>
      <c r="CL199" s="88"/>
      <c r="CM199" s="88"/>
      <c r="CN199" s="88"/>
      <c r="CO199" s="88"/>
      <c r="CP199" s="88"/>
      <c r="CQ199" s="88"/>
      <c r="CR199" s="88"/>
      <c r="CS199" s="88"/>
      <c r="CT199" s="88"/>
      <c r="CU199" s="88"/>
      <c r="CV199" s="88"/>
      <c r="CW199" s="88"/>
      <c r="CX199" s="88"/>
      <c r="CY199" s="88"/>
      <c r="CZ199" s="88"/>
      <c r="DA199" s="88"/>
      <c r="DB199" s="88"/>
      <c r="DC199" s="88"/>
      <c r="DD199" s="88"/>
      <c r="DE199" s="88"/>
      <c r="DF199" s="88"/>
      <c r="DG199" s="88"/>
      <c r="DH199" s="88"/>
      <c r="DI199" s="42"/>
    </row>
    <row r="200" spans="1:113" s="8" customFormat="1" x14ac:dyDescent="0.25">
      <c r="A200" s="36"/>
      <c r="B200" s="61"/>
      <c r="C200" s="62"/>
      <c r="D200" s="63"/>
      <c r="E200" s="64"/>
      <c r="F200" s="64"/>
      <c r="G200" s="63"/>
      <c r="H200" s="65"/>
      <c r="I200" s="63"/>
      <c r="J200" s="63"/>
      <c r="K200" s="63"/>
      <c r="L200" s="66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51"/>
    </row>
    <row r="201" spans="1:113" s="43" customFormat="1" x14ac:dyDescent="0.25">
      <c r="A201" s="36" t="s">
        <v>83</v>
      </c>
      <c r="B201" s="37">
        <f>SUM(B202:B212)</f>
        <v>291</v>
      </c>
      <c r="C201" s="38">
        <f t="shared" ref="C201:L201" si="18">SUM(C202:C212)</f>
        <v>308</v>
      </c>
      <c r="D201" s="4">
        <f>SUM(D202:D213)</f>
        <v>193</v>
      </c>
      <c r="E201" s="39">
        <f t="shared" si="18"/>
        <v>193</v>
      </c>
      <c r="F201" s="39">
        <f t="shared" si="18"/>
        <v>327</v>
      </c>
      <c r="G201" s="4">
        <f t="shared" si="18"/>
        <v>329</v>
      </c>
      <c r="H201" s="40">
        <f t="shared" si="18"/>
        <v>329</v>
      </c>
      <c r="I201" s="4">
        <f t="shared" si="18"/>
        <v>26</v>
      </c>
      <c r="J201" s="4">
        <f t="shared" si="18"/>
        <v>328</v>
      </c>
      <c r="K201" s="4">
        <f t="shared" si="18"/>
        <v>329</v>
      </c>
      <c r="L201" s="41">
        <f t="shared" si="18"/>
        <v>327</v>
      </c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  <c r="AR201" s="88"/>
      <c r="AS201" s="88"/>
      <c r="AT201" s="88"/>
      <c r="AU201" s="88"/>
      <c r="AV201" s="88"/>
      <c r="AW201" s="88"/>
      <c r="AX201" s="88"/>
      <c r="AY201" s="88"/>
      <c r="AZ201" s="88"/>
      <c r="BA201" s="88"/>
      <c r="BB201" s="88"/>
      <c r="BC201" s="88"/>
      <c r="BD201" s="88"/>
      <c r="BE201" s="88"/>
      <c r="BF201" s="88"/>
      <c r="BG201" s="88"/>
      <c r="BH201" s="88"/>
      <c r="BI201" s="88"/>
      <c r="BJ201" s="88"/>
      <c r="BK201" s="88"/>
      <c r="BL201" s="88"/>
      <c r="BM201" s="88"/>
      <c r="BN201" s="88"/>
      <c r="BO201" s="88"/>
      <c r="BP201" s="88"/>
      <c r="BQ201" s="88"/>
      <c r="BR201" s="88"/>
      <c r="BS201" s="88"/>
      <c r="BT201" s="88"/>
      <c r="BU201" s="88"/>
      <c r="BV201" s="88"/>
      <c r="BW201" s="88"/>
      <c r="BX201" s="88"/>
      <c r="BY201" s="88"/>
      <c r="BZ201" s="88"/>
      <c r="CA201" s="88"/>
      <c r="CB201" s="88"/>
      <c r="CC201" s="88"/>
      <c r="CD201" s="88"/>
      <c r="CE201" s="88"/>
      <c r="CF201" s="88"/>
      <c r="CG201" s="88"/>
      <c r="CH201" s="88"/>
      <c r="CI201" s="88"/>
      <c r="CJ201" s="88"/>
      <c r="CK201" s="88"/>
      <c r="CL201" s="88"/>
      <c r="CM201" s="88"/>
      <c r="CN201" s="88"/>
      <c r="CO201" s="88"/>
      <c r="CP201" s="88"/>
      <c r="CQ201" s="88"/>
      <c r="CR201" s="88"/>
      <c r="CS201" s="88"/>
      <c r="CT201" s="88"/>
      <c r="CU201" s="88"/>
      <c r="CV201" s="88"/>
      <c r="CW201" s="88"/>
      <c r="CX201" s="88"/>
      <c r="CY201" s="88"/>
      <c r="CZ201" s="88"/>
      <c r="DA201" s="88"/>
      <c r="DB201" s="88"/>
      <c r="DC201" s="88"/>
      <c r="DD201" s="88"/>
      <c r="DE201" s="88"/>
      <c r="DF201" s="88"/>
      <c r="DG201" s="88"/>
      <c r="DH201" s="88"/>
      <c r="DI201" s="42"/>
    </row>
    <row r="202" spans="1:113" s="43" customFormat="1" x14ac:dyDescent="0.25">
      <c r="A202" s="52" t="s">
        <v>218</v>
      </c>
      <c r="B202" s="54">
        <v>31</v>
      </c>
      <c r="C202" s="55">
        <v>43</v>
      </c>
      <c r="D202" s="3">
        <v>11</v>
      </c>
      <c r="E202" s="56">
        <v>11</v>
      </c>
      <c r="F202" s="56">
        <v>36</v>
      </c>
      <c r="G202" s="3">
        <v>29</v>
      </c>
      <c r="H202" s="57">
        <v>33</v>
      </c>
      <c r="I202" s="3">
        <v>4</v>
      </c>
      <c r="J202" s="3">
        <v>36</v>
      </c>
      <c r="K202" s="3">
        <v>29</v>
      </c>
      <c r="L202" s="58">
        <v>33</v>
      </c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  <c r="AS202" s="88"/>
      <c r="AT202" s="88"/>
      <c r="AU202" s="88"/>
      <c r="AV202" s="88"/>
      <c r="AW202" s="88"/>
      <c r="AX202" s="88"/>
      <c r="AY202" s="88"/>
      <c r="AZ202" s="88"/>
      <c r="BA202" s="88"/>
      <c r="BB202" s="88"/>
      <c r="BC202" s="88"/>
      <c r="BD202" s="88"/>
      <c r="BE202" s="88"/>
      <c r="BF202" s="88"/>
      <c r="BG202" s="88"/>
      <c r="BH202" s="88"/>
      <c r="BI202" s="88"/>
      <c r="BJ202" s="88"/>
      <c r="BK202" s="88"/>
      <c r="BL202" s="88"/>
      <c r="BM202" s="88"/>
      <c r="BN202" s="88"/>
      <c r="BO202" s="88"/>
      <c r="BP202" s="88"/>
      <c r="BQ202" s="88"/>
      <c r="BR202" s="88"/>
      <c r="BS202" s="88"/>
      <c r="BT202" s="88"/>
      <c r="BU202" s="88"/>
      <c r="BV202" s="88"/>
      <c r="BW202" s="88"/>
      <c r="BX202" s="88"/>
      <c r="BY202" s="88"/>
      <c r="BZ202" s="88"/>
      <c r="CA202" s="88"/>
      <c r="CB202" s="88"/>
      <c r="CC202" s="88"/>
      <c r="CD202" s="88"/>
      <c r="CE202" s="88"/>
      <c r="CF202" s="88"/>
      <c r="CG202" s="88"/>
      <c r="CH202" s="88"/>
      <c r="CI202" s="88"/>
      <c r="CJ202" s="88"/>
      <c r="CK202" s="88"/>
      <c r="CL202" s="88"/>
      <c r="CM202" s="88"/>
      <c r="CN202" s="88"/>
      <c r="CO202" s="88"/>
      <c r="CP202" s="88"/>
      <c r="CQ202" s="88"/>
      <c r="CR202" s="88"/>
      <c r="CS202" s="88"/>
      <c r="CT202" s="88"/>
      <c r="CU202" s="88"/>
      <c r="CV202" s="88"/>
      <c r="CW202" s="88"/>
      <c r="CX202" s="88"/>
      <c r="CY202" s="88"/>
      <c r="CZ202" s="88"/>
      <c r="DA202" s="88"/>
      <c r="DB202" s="88"/>
      <c r="DC202" s="88"/>
      <c r="DD202" s="88"/>
      <c r="DE202" s="88"/>
      <c r="DF202" s="88"/>
      <c r="DG202" s="88"/>
      <c r="DH202" s="88"/>
      <c r="DI202" s="42"/>
    </row>
    <row r="203" spans="1:113" s="43" customFormat="1" x14ac:dyDescent="0.25">
      <c r="A203" s="52" t="s">
        <v>219</v>
      </c>
      <c r="B203" s="54">
        <v>10</v>
      </c>
      <c r="C203" s="55">
        <v>19</v>
      </c>
      <c r="D203" s="3">
        <v>9</v>
      </c>
      <c r="E203" s="56">
        <v>9</v>
      </c>
      <c r="F203" s="56">
        <v>16</v>
      </c>
      <c r="G203" s="3">
        <v>25</v>
      </c>
      <c r="H203" s="57">
        <v>16</v>
      </c>
      <c r="I203" s="3">
        <v>1</v>
      </c>
      <c r="J203" s="3">
        <v>17</v>
      </c>
      <c r="K203" s="3">
        <v>23</v>
      </c>
      <c r="L203" s="58">
        <v>16</v>
      </c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  <c r="AS203" s="88"/>
      <c r="AT203" s="88"/>
      <c r="AU203" s="88"/>
      <c r="AV203" s="88"/>
      <c r="AW203" s="88"/>
      <c r="AX203" s="88"/>
      <c r="AY203" s="88"/>
      <c r="AZ203" s="88"/>
      <c r="BA203" s="88"/>
      <c r="BB203" s="88"/>
      <c r="BC203" s="88"/>
      <c r="BD203" s="88"/>
      <c r="BE203" s="88"/>
      <c r="BF203" s="88"/>
      <c r="BG203" s="88"/>
      <c r="BH203" s="88"/>
      <c r="BI203" s="88"/>
      <c r="BJ203" s="88"/>
      <c r="BK203" s="88"/>
      <c r="BL203" s="88"/>
      <c r="BM203" s="88"/>
      <c r="BN203" s="88"/>
      <c r="BO203" s="88"/>
      <c r="BP203" s="88"/>
      <c r="BQ203" s="88"/>
      <c r="BR203" s="88"/>
      <c r="BS203" s="88"/>
      <c r="BT203" s="88"/>
      <c r="BU203" s="88"/>
      <c r="BV203" s="88"/>
      <c r="BW203" s="88"/>
      <c r="BX203" s="88"/>
      <c r="BY203" s="88"/>
      <c r="BZ203" s="88"/>
      <c r="CA203" s="88"/>
      <c r="CB203" s="88"/>
      <c r="CC203" s="88"/>
      <c r="CD203" s="88"/>
      <c r="CE203" s="88"/>
      <c r="CF203" s="88"/>
      <c r="CG203" s="88"/>
      <c r="CH203" s="88"/>
      <c r="CI203" s="88"/>
      <c r="CJ203" s="88"/>
      <c r="CK203" s="88"/>
      <c r="CL203" s="88"/>
      <c r="CM203" s="88"/>
      <c r="CN203" s="88"/>
      <c r="CO203" s="88"/>
      <c r="CP203" s="88"/>
      <c r="CQ203" s="88"/>
      <c r="CR203" s="88"/>
      <c r="CS203" s="88"/>
      <c r="CT203" s="88"/>
      <c r="CU203" s="88"/>
      <c r="CV203" s="88"/>
      <c r="CW203" s="88"/>
      <c r="CX203" s="88"/>
      <c r="CY203" s="88"/>
      <c r="CZ203" s="88"/>
      <c r="DA203" s="88"/>
      <c r="DB203" s="88"/>
      <c r="DC203" s="88"/>
      <c r="DD203" s="88"/>
      <c r="DE203" s="88"/>
      <c r="DF203" s="88"/>
      <c r="DG203" s="88"/>
      <c r="DH203" s="88"/>
      <c r="DI203" s="42"/>
    </row>
    <row r="204" spans="1:113" s="43" customFormat="1" x14ac:dyDescent="0.25">
      <c r="A204" s="52" t="s">
        <v>84</v>
      </c>
      <c r="B204" s="54">
        <v>19</v>
      </c>
      <c r="C204" s="55">
        <v>10</v>
      </c>
      <c r="D204" s="3">
        <v>19</v>
      </c>
      <c r="E204" s="56">
        <v>19</v>
      </c>
      <c r="F204" s="56">
        <v>11</v>
      </c>
      <c r="G204" s="3">
        <v>17</v>
      </c>
      <c r="H204" s="57">
        <v>15</v>
      </c>
      <c r="I204" s="3">
        <v>2</v>
      </c>
      <c r="J204" s="3">
        <v>11</v>
      </c>
      <c r="K204" s="3">
        <v>16</v>
      </c>
      <c r="L204" s="58">
        <v>16</v>
      </c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  <c r="AS204" s="88"/>
      <c r="AT204" s="88"/>
      <c r="AU204" s="88"/>
      <c r="AV204" s="88"/>
      <c r="AW204" s="88"/>
      <c r="AX204" s="88"/>
      <c r="AY204" s="88"/>
      <c r="AZ204" s="88"/>
      <c r="BA204" s="88"/>
      <c r="BB204" s="88"/>
      <c r="BC204" s="88"/>
      <c r="BD204" s="88"/>
      <c r="BE204" s="88"/>
      <c r="BF204" s="88"/>
      <c r="BG204" s="88"/>
      <c r="BH204" s="88"/>
      <c r="BI204" s="88"/>
      <c r="BJ204" s="88"/>
      <c r="BK204" s="88"/>
      <c r="BL204" s="88"/>
      <c r="BM204" s="88"/>
      <c r="BN204" s="88"/>
      <c r="BO204" s="88"/>
      <c r="BP204" s="88"/>
      <c r="BQ204" s="88"/>
      <c r="BR204" s="88"/>
      <c r="BS204" s="88"/>
      <c r="BT204" s="88"/>
      <c r="BU204" s="88"/>
      <c r="BV204" s="88"/>
      <c r="BW204" s="88"/>
      <c r="BX204" s="88"/>
      <c r="BY204" s="88"/>
      <c r="BZ204" s="88"/>
      <c r="CA204" s="88"/>
      <c r="CB204" s="88"/>
      <c r="CC204" s="88"/>
      <c r="CD204" s="88"/>
      <c r="CE204" s="88"/>
      <c r="CF204" s="88"/>
      <c r="CG204" s="88"/>
      <c r="CH204" s="88"/>
      <c r="CI204" s="88"/>
      <c r="CJ204" s="88"/>
      <c r="CK204" s="88"/>
      <c r="CL204" s="88"/>
      <c r="CM204" s="88"/>
      <c r="CN204" s="88"/>
      <c r="CO204" s="88"/>
      <c r="CP204" s="88"/>
      <c r="CQ204" s="88"/>
      <c r="CR204" s="88"/>
      <c r="CS204" s="88"/>
      <c r="CT204" s="88"/>
      <c r="CU204" s="88"/>
      <c r="CV204" s="88"/>
      <c r="CW204" s="88"/>
      <c r="CX204" s="88"/>
      <c r="CY204" s="88"/>
      <c r="CZ204" s="88"/>
      <c r="DA204" s="88"/>
      <c r="DB204" s="88"/>
      <c r="DC204" s="88"/>
      <c r="DD204" s="88"/>
      <c r="DE204" s="88"/>
      <c r="DF204" s="88"/>
      <c r="DG204" s="88"/>
      <c r="DH204" s="88"/>
      <c r="DI204" s="42"/>
    </row>
    <row r="205" spans="1:113" s="43" customFormat="1" x14ac:dyDescent="0.25">
      <c r="A205" s="52" t="s">
        <v>220</v>
      </c>
      <c r="B205" s="54">
        <v>1</v>
      </c>
      <c r="C205" s="55">
        <v>12</v>
      </c>
      <c r="D205" s="3">
        <v>5</v>
      </c>
      <c r="E205" s="56">
        <v>5</v>
      </c>
      <c r="F205" s="56">
        <v>1</v>
      </c>
      <c r="G205" s="3">
        <v>0</v>
      </c>
      <c r="H205" s="57">
        <v>2</v>
      </c>
      <c r="I205" s="3">
        <v>0</v>
      </c>
      <c r="J205" s="3">
        <v>4</v>
      </c>
      <c r="K205" s="3">
        <v>0</v>
      </c>
      <c r="L205" s="58">
        <v>2</v>
      </c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  <c r="AS205" s="88"/>
      <c r="AT205" s="88"/>
      <c r="AU205" s="88"/>
      <c r="AV205" s="88"/>
      <c r="AW205" s="88"/>
      <c r="AX205" s="88"/>
      <c r="AY205" s="88"/>
      <c r="AZ205" s="88"/>
      <c r="BA205" s="88"/>
      <c r="BB205" s="88"/>
      <c r="BC205" s="88"/>
      <c r="BD205" s="88"/>
      <c r="BE205" s="88"/>
      <c r="BF205" s="88"/>
      <c r="BG205" s="88"/>
      <c r="BH205" s="88"/>
      <c r="BI205" s="88"/>
      <c r="BJ205" s="88"/>
      <c r="BK205" s="88"/>
      <c r="BL205" s="88"/>
      <c r="BM205" s="88"/>
      <c r="BN205" s="88"/>
      <c r="BO205" s="88"/>
      <c r="BP205" s="88"/>
      <c r="BQ205" s="88"/>
      <c r="BR205" s="88"/>
      <c r="BS205" s="88"/>
      <c r="BT205" s="88"/>
      <c r="BU205" s="88"/>
      <c r="BV205" s="88"/>
      <c r="BW205" s="88"/>
      <c r="BX205" s="88"/>
      <c r="BY205" s="88"/>
      <c r="BZ205" s="88"/>
      <c r="CA205" s="88"/>
      <c r="CB205" s="88"/>
      <c r="CC205" s="88"/>
      <c r="CD205" s="88"/>
      <c r="CE205" s="88"/>
      <c r="CF205" s="88"/>
      <c r="CG205" s="88"/>
      <c r="CH205" s="88"/>
      <c r="CI205" s="88"/>
      <c r="CJ205" s="88"/>
      <c r="CK205" s="88"/>
      <c r="CL205" s="88"/>
      <c r="CM205" s="88"/>
      <c r="CN205" s="88"/>
      <c r="CO205" s="88"/>
      <c r="CP205" s="88"/>
      <c r="CQ205" s="88"/>
      <c r="CR205" s="88"/>
      <c r="CS205" s="88"/>
      <c r="CT205" s="88"/>
      <c r="CU205" s="88"/>
      <c r="CV205" s="88"/>
      <c r="CW205" s="88"/>
      <c r="CX205" s="88"/>
      <c r="CY205" s="88"/>
      <c r="CZ205" s="88"/>
      <c r="DA205" s="88"/>
      <c r="DB205" s="88"/>
      <c r="DC205" s="88"/>
      <c r="DD205" s="88"/>
      <c r="DE205" s="88"/>
      <c r="DF205" s="88"/>
      <c r="DG205" s="88"/>
      <c r="DH205" s="88"/>
      <c r="DI205" s="42"/>
    </row>
    <row r="206" spans="1:113" s="43" customFormat="1" x14ac:dyDescent="0.25">
      <c r="A206" s="52" t="s">
        <v>221</v>
      </c>
      <c r="B206" s="54">
        <v>73</v>
      </c>
      <c r="C206" s="55">
        <v>68</v>
      </c>
      <c r="D206" s="3">
        <v>45</v>
      </c>
      <c r="E206" s="56">
        <v>45</v>
      </c>
      <c r="F206" s="56">
        <v>77</v>
      </c>
      <c r="G206" s="3">
        <v>81</v>
      </c>
      <c r="H206" s="57">
        <v>79</v>
      </c>
      <c r="I206" s="3">
        <v>3</v>
      </c>
      <c r="J206" s="3">
        <v>73</v>
      </c>
      <c r="K206" s="3">
        <v>83</v>
      </c>
      <c r="L206" s="58">
        <v>80</v>
      </c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s="88"/>
      <c r="BE206" s="88"/>
      <c r="BF206" s="88"/>
      <c r="BG206" s="88"/>
      <c r="BH206" s="88"/>
      <c r="BI206" s="88"/>
      <c r="BJ206" s="88"/>
      <c r="BK206" s="88"/>
      <c r="BL206" s="88"/>
      <c r="BM206" s="88"/>
      <c r="BN206" s="88"/>
      <c r="BO206" s="88"/>
      <c r="BP206" s="88"/>
      <c r="BQ206" s="88"/>
      <c r="BR206" s="88"/>
      <c r="BS206" s="88"/>
      <c r="BT206" s="88"/>
      <c r="BU206" s="88"/>
      <c r="BV206" s="88"/>
      <c r="BW206" s="88"/>
      <c r="BX206" s="88"/>
      <c r="BY206" s="88"/>
      <c r="BZ206" s="88"/>
      <c r="CA206" s="88"/>
      <c r="CB206" s="88"/>
      <c r="CC206" s="88"/>
      <c r="CD206" s="88"/>
      <c r="CE206" s="88"/>
      <c r="CF206" s="88"/>
      <c r="CG206" s="88"/>
      <c r="CH206" s="88"/>
      <c r="CI206" s="88"/>
      <c r="CJ206" s="88"/>
      <c r="CK206" s="88"/>
      <c r="CL206" s="88"/>
      <c r="CM206" s="88"/>
      <c r="CN206" s="88"/>
      <c r="CO206" s="88"/>
      <c r="CP206" s="88"/>
      <c r="CQ206" s="88"/>
      <c r="CR206" s="88"/>
      <c r="CS206" s="88"/>
      <c r="CT206" s="88"/>
      <c r="CU206" s="88"/>
      <c r="CV206" s="88"/>
      <c r="CW206" s="88"/>
      <c r="CX206" s="88"/>
      <c r="CY206" s="88"/>
      <c r="CZ206" s="88"/>
      <c r="DA206" s="88"/>
      <c r="DB206" s="88"/>
      <c r="DC206" s="88"/>
      <c r="DD206" s="88"/>
      <c r="DE206" s="88"/>
      <c r="DF206" s="88"/>
      <c r="DG206" s="88"/>
      <c r="DH206" s="88"/>
      <c r="DI206" s="42"/>
    </row>
    <row r="207" spans="1:113" s="43" customFormat="1" x14ac:dyDescent="0.25">
      <c r="A207" s="52" t="s">
        <v>222</v>
      </c>
      <c r="B207" s="54">
        <v>31</v>
      </c>
      <c r="C207" s="55">
        <v>35</v>
      </c>
      <c r="D207" s="3">
        <v>21</v>
      </c>
      <c r="E207" s="56">
        <v>22</v>
      </c>
      <c r="F207" s="56">
        <v>29</v>
      </c>
      <c r="G207" s="3">
        <v>34</v>
      </c>
      <c r="H207" s="57">
        <v>30</v>
      </c>
      <c r="I207" s="3">
        <v>4</v>
      </c>
      <c r="J207" s="3">
        <v>29</v>
      </c>
      <c r="K207" s="3">
        <v>34</v>
      </c>
      <c r="L207" s="58">
        <v>30</v>
      </c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  <c r="AS207" s="88"/>
      <c r="AT207" s="88"/>
      <c r="AU207" s="88"/>
      <c r="AV207" s="88"/>
      <c r="AW207" s="88"/>
      <c r="AX207" s="88"/>
      <c r="AY207" s="88"/>
      <c r="AZ207" s="88"/>
      <c r="BA207" s="88"/>
      <c r="BB207" s="88"/>
      <c r="BC207" s="88"/>
      <c r="BD207" s="88"/>
      <c r="BE207" s="88"/>
      <c r="BF207" s="88"/>
      <c r="BG207" s="88"/>
      <c r="BH207" s="88"/>
      <c r="BI207" s="88"/>
      <c r="BJ207" s="88"/>
      <c r="BK207" s="88"/>
      <c r="BL207" s="88"/>
      <c r="BM207" s="88"/>
      <c r="BN207" s="88"/>
      <c r="BO207" s="88"/>
      <c r="BP207" s="88"/>
      <c r="BQ207" s="88"/>
      <c r="BR207" s="88"/>
      <c r="BS207" s="88"/>
      <c r="BT207" s="88"/>
      <c r="BU207" s="88"/>
      <c r="BV207" s="88"/>
      <c r="BW207" s="88"/>
      <c r="BX207" s="88"/>
      <c r="BY207" s="88"/>
      <c r="BZ207" s="88"/>
      <c r="CA207" s="88"/>
      <c r="CB207" s="88"/>
      <c r="CC207" s="88"/>
      <c r="CD207" s="88"/>
      <c r="CE207" s="88"/>
      <c r="CF207" s="88"/>
      <c r="CG207" s="88"/>
      <c r="CH207" s="88"/>
      <c r="CI207" s="88"/>
      <c r="CJ207" s="88"/>
      <c r="CK207" s="88"/>
      <c r="CL207" s="88"/>
      <c r="CM207" s="88"/>
      <c r="CN207" s="88"/>
      <c r="CO207" s="88"/>
      <c r="CP207" s="88"/>
      <c r="CQ207" s="88"/>
      <c r="CR207" s="88"/>
      <c r="CS207" s="88"/>
      <c r="CT207" s="88"/>
      <c r="CU207" s="88"/>
      <c r="CV207" s="88"/>
      <c r="CW207" s="88"/>
      <c r="CX207" s="88"/>
      <c r="CY207" s="88"/>
      <c r="CZ207" s="88"/>
      <c r="DA207" s="88"/>
      <c r="DB207" s="88"/>
      <c r="DC207" s="88"/>
      <c r="DD207" s="88"/>
      <c r="DE207" s="88"/>
      <c r="DF207" s="88"/>
      <c r="DG207" s="88"/>
      <c r="DH207" s="88"/>
      <c r="DI207" s="42"/>
    </row>
    <row r="208" spans="1:113" s="43" customFormat="1" x14ac:dyDescent="0.25">
      <c r="A208" s="52" t="s">
        <v>223</v>
      </c>
      <c r="B208" s="54">
        <v>48</v>
      </c>
      <c r="C208" s="55">
        <v>46</v>
      </c>
      <c r="D208" s="3">
        <v>25</v>
      </c>
      <c r="E208" s="56">
        <v>23</v>
      </c>
      <c r="F208" s="56">
        <v>48</v>
      </c>
      <c r="G208" s="3">
        <v>37</v>
      </c>
      <c r="H208" s="57">
        <v>40</v>
      </c>
      <c r="I208" s="3">
        <v>4</v>
      </c>
      <c r="J208" s="3">
        <v>49</v>
      </c>
      <c r="K208" s="3">
        <v>37</v>
      </c>
      <c r="L208" s="58">
        <v>40</v>
      </c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  <c r="AS208" s="88"/>
      <c r="AT208" s="88"/>
      <c r="AU208" s="88"/>
      <c r="AV208" s="88"/>
      <c r="AW208" s="88"/>
      <c r="AX208" s="88"/>
      <c r="AY208" s="88"/>
      <c r="AZ208" s="88"/>
      <c r="BA208" s="88"/>
      <c r="BB208" s="88"/>
      <c r="BC208" s="88"/>
      <c r="BD208" s="88"/>
      <c r="BE208" s="88"/>
      <c r="BF208" s="88"/>
      <c r="BG208" s="88"/>
      <c r="BH208" s="88"/>
      <c r="BI208" s="88"/>
      <c r="BJ208" s="88"/>
      <c r="BK208" s="88"/>
      <c r="BL208" s="88"/>
      <c r="BM208" s="88"/>
      <c r="BN208" s="88"/>
      <c r="BO208" s="88"/>
      <c r="BP208" s="88"/>
      <c r="BQ208" s="88"/>
      <c r="BR208" s="88"/>
      <c r="BS208" s="88"/>
      <c r="BT208" s="88"/>
      <c r="BU208" s="88"/>
      <c r="BV208" s="88"/>
      <c r="BW208" s="88"/>
      <c r="BX208" s="88"/>
      <c r="BY208" s="88"/>
      <c r="BZ208" s="88"/>
      <c r="CA208" s="88"/>
      <c r="CB208" s="88"/>
      <c r="CC208" s="88"/>
      <c r="CD208" s="88"/>
      <c r="CE208" s="88"/>
      <c r="CF208" s="88"/>
      <c r="CG208" s="88"/>
      <c r="CH208" s="88"/>
      <c r="CI208" s="88"/>
      <c r="CJ208" s="88"/>
      <c r="CK208" s="88"/>
      <c r="CL208" s="88"/>
      <c r="CM208" s="88"/>
      <c r="CN208" s="88"/>
      <c r="CO208" s="88"/>
      <c r="CP208" s="88"/>
      <c r="CQ208" s="88"/>
      <c r="CR208" s="88"/>
      <c r="CS208" s="88"/>
      <c r="CT208" s="88"/>
      <c r="CU208" s="88"/>
      <c r="CV208" s="88"/>
      <c r="CW208" s="88"/>
      <c r="CX208" s="88"/>
      <c r="CY208" s="88"/>
      <c r="CZ208" s="88"/>
      <c r="DA208" s="88"/>
      <c r="DB208" s="88"/>
      <c r="DC208" s="88"/>
      <c r="DD208" s="88"/>
      <c r="DE208" s="88"/>
      <c r="DF208" s="88"/>
      <c r="DG208" s="88"/>
      <c r="DH208" s="88"/>
      <c r="DI208" s="42"/>
    </row>
    <row r="209" spans="1:113" s="43" customFormat="1" x14ac:dyDescent="0.25">
      <c r="A209" s="52" t="s">
        <v>85</v>
      </c>
      <c r="B209" s="54">
        <v>0</v>
      </c>
      <c r="C209" s="55">
        <v>0</v>
      </c>
      <c r="D209" s="3">
        <v>4</v>
      </c>
      <c r="E209" s="56">
        <v>5</v>
      </c>
      <c r="F209" s="56">
        <v>0</v>
      </c>
      <c r="G209" s="3">
        <v>0</v>
      </c>
      <c r="H209" s="57">
        <v>0</v>
      </c>
      <c r="I209" s="3">
        <v>0</v>
      </c>
      <c r="J209" s="3">
        <v>0</v>
      </c>
      <c r="K209" s="3">
        <v>0</v>
      </c>
      <c r="L209" s="58">
        <v>0</v>
      </c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  <c r="AR209" s="88"/>
      <c r="AS209" s="88"/>
      <c r="AT209" s="88"/>
      <c r="AU209" s="88"/>
      <c r="AV209" s="88"/>
      <c r="AW209" s="88"/>
      <c r="AX209" s="88"/>
      <c r="AY209" s="88"/>
      <c r="AZ209" s="88"/>
      <c r="BA209" s="88"/>
      <c r="BB209" s="88"/>
      <c r="BC209" s="88"/>
      <c r="BD209" s="88"/>
      <c r="BE209" s="88"/>
      <c r="BF209" s="88"/>
      <c r="BG209" s="88"/>
      <c r="BH209" s="88"/>
      <c r="BI209" s="88"/>
      <c r="BJ209" s="88"/>
      <c r="BK209" s="88"/>
      <c r="BL209" s="88"/>
      <c r="BM209" s="88"/>
      <c r="BN209" s="88"/>
      <c r="BO209" s="88"/>
      <c r="BP209" s="88"/>
      <c r="BQ209" s="88"/>
      <c r="BR209" s="88"/>
      <c r="BS209" s="88"/>
      <c r="BT209" s="88"/>
      <c r="BU209" s="88"/>
      <c r="BV209" s="88"/>
      <c r="BW209" s="88"/>
      <c r="BX209" s="88"/>
      <c r="BY209" s="88"/>
      <c r="BZ209" s="88"/>
      <c r="CA209" s="88"/>
      <c r="CB209" s="88"/>
      <c r="CC209" s="88"/>
      <c r="CD209" s="88"/>
      <c r="CE209" s="88"/>
      <c r="CF209" s="88"/>
      <c r="CG209" s="88"/>
      <c r="CH209" s="88"/>
      <c r="CI209" s="88"/>
      <c r="CJ209" s="88"/>
      <c r="CK209" s="88"/>
      <c r="CL209" s="88"/>
      <c r="CM209" s="88"/>
      <c r="CN209" s="88"/>
      <c r="CO209" s="88"/>
      <c r="CP209" s="88"/>
      <c r="CQ209" s="88"/>
      <c r="CR209" s="88"/>
      <c r="CS209" s="88"/>
      <c r="CT209" s="88"/>
      <c r="CU209" s="88"/>
      <c r="CV209" s="88"/>
      <c r="CW209" s="88"/>
      <c r="CX209" s="88"/>
      <c r="CY209" s="88"/>
      <c r="CZ209" s="88"/>
      <c r="DA209" s="88"/>
      <c r="DB209" s="88"/>
      <c r="DC209" s="88"/>
      <c r="DD209" s="88"/>
      <c r="DE209" s="88"/>
      <c r="DF209" s="88"/>
      <c r="DG209" s="88"/>
      <c r="DH209" s="88"/>
      <c r="DI209" s="42"/>
    </row>
    <row r="210" spans="1:113" s="43" customFormat="1" x14ac:dyDescent="0.25">
      <c r="A210" s="52" t="s">
        <v>224</v>
      </c>
      <c r="B210" s="54">
        <v>19</v>
      </c>
      <c r="C210" s="55">
        <v>13</v>
      </c>
      <c r="D210" s="3">
        <v>17</v>
      </c>
      <c r="E210" s="56">
        <v>17</v>
      </c>
      <c r="F210" s="56">
        <v>34</v>
      </c>
      <c r="G210" s="3">
        <v>25</v>
      </c>
      <c r="H210" s="57">
        <v>26</v>
      </c>
      <c r="I210" s="3">
        <v>3</v>
      </c>
      <c r="J210" s="3">
        <v>34</v>
      </c>
      <c r="K210" s="3">
        <v>26</v>
      </c>
      <c r="L210" s="58">
        <v>19</v>
      </c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  <c r="BA210" s="88"/>
      <c r="BB210" s="88"/>
      <c r="BC210" s="88"/>
      <c r="BD210" s="88"/>
      <c r="BE210" s="88"/>
      <c r="BF210" s="88"/>
      <c r="BG210" s="88"/>
      <c r="BH210" s="88"/>
      <c r="BI210" s="88"/>
      <c r="BJ210" s="88"/>
      <c r="BK210" s="88"/>
      <c r="BL210" s="88"/>
      <c r="BM210" s="88"/>
      <c r="BN210" s="88"/>
      <c r="BO210" s="88"/>
      <c r="BP210" s="88"/>
      <c r="BQ210" s="88"/>
      <c r="BR210" s="88"/>
      <c r="BS210" s="88"/>
      <c r="BT210" s="88"/>
      <c r="BU210" s="88"/>
      <c r="BV210" s="88"/>
      <c r="BW210" s="88"/>
      <c r="BX210" s="88"/>
      <c r="BY210" s="88"/>
      <c r="BZ210" s="88"/>
      <c r="CA210" s="88"/>
      <c r="CB210" s="88"/>
      <c r="CC210" s="88"/>
      <c r="CD210" s="88"/>
      <c r="CE210" s="88"/>
      <c r="CF210" s="88"/>
      <c r="CG210" s="88"/>
      <c r="CH210" s="88"/>
      <c r="CI210" s="88"/>
      <c r="CJ210" s="88"/>
      <c r="CK210" s="88"/>
      <c r="CL210" s="88"/>
      <c r="CM210" s="88"/>
      <c r="CN210" s="88"/>
      <c r="CO210" s="88"/>
      <c r="CP210" s="88"/>
      <c r="CQ210" s="88"/>
      <c r="CR210" s="88"/>
      <c r="CS210" s="88"/>
      <c r="CT210" s="88"/>
      <c r="CU210" s="88"/>
      <c r="CV210" s="88"/>
      <c r="CW210" s="88"/>
      <c r="CX210" s="88"/>
      <c r="CY210" s="88"/>
      <c r="CZ210" s="88"/>
      <c r="DA210" s="88"/>
      <c r="DB210" s="88"/>
      <c r="DC210" s="88"/>
      <c r="DD210" s="88"/>
      <c r="DE210" s="88"/>
      <c r="DF210" s="88"/>
      <c r="DG210" s="88"/>
      <c r="DH210" s="88"/>
      <c r="DI210" s="42"/>
    </row>
    <row r="211" spans="1:113" s="43" customFormat="1" x14ac:dyDescent="0.25">
      <c r="A211" s="52" t="s">
        <v>225</v>
      </c>
      <c r="B211" s="54">
        <v>43</v>
      </c>
      <c r="C211" s="55">
        <v>36</v>
      </c>
      <c r="D211" s="3">
        <v>29</v>
      </c>
      <c r="E211" s="56">
        <v>28</v>
      </c>
      <c r="F211" s="56">
        <v>59</v>
      </c>
      <c r="G211" s="3">
        <v>57</v>
      </c>
      <c r="H211" s="57">
        <v>69</v>
      </c>
      <c r="I211" s="3">
        <v>4</v>
      </c>
      <c r="J211" s="3">
        <v>59</v>
      </c>
      <c r="K211" s="3">
        <v>57</v>
      </c>
      <c r="L211" s="58">
        <v>72</v>
      </c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88"/>
      <c r="BB211" s="88"/>
      <c r="BC211" s="88"/>
      <c r="BD211" s="88"/>
      <c r="BE211" s="88"/>
      <c r="BF211" s="88"/>
      <c r="BG211" s="88"/>
      <c r="BH211" s="88"/>
      <c r="BI211" s="88"/>
      <c r="BJ211" s="88"/>
      <c r="BK211" s="88"/>
      <c r="BL211" s="88"/>
      <c r="BM211" s="88"/>
      <c r="BN211" s="88"/>
      <c r="BO211" s="88"/>
      <c r="BP211" s="88"/>
      <c r="BQ211" s="88"/>
      <c r="BR211" s="88"/>
      <c r="BS211" s="88"/>
      <c r="BT211" s="88"/>
      <c r="BU211" s="88"/>
      <c r="BV211" s="88"/>
      <c r="BW211" s="88"/>
      <c r="BX211" s="88"/>
      <c r="BY211" s="88"/>
      <c r="BZ211" s="88"/>
      <c r="CA211" s="88"/>
      <c r="CB211" s="88"/>
      <c r="CC211" s="88"/>
      <c r="CD211" s="88"/>
      <c r="CE211" s="88"/>
      <c r="CF211" s="88"/>
      <c r="CG211" s="88"/>
      <c r="CH211" s="88"/>
      <c r="CI211" s="88"/>
      <c r="CJ211" s="88"/>
      <c r="CK211" s="88"/>
      <c r="CL211" s="88"/>
      <c r="CM211" s="88"/>
      <c r="CN211" s="88"/>
      <c r="CO211" s="88"/>
      <c r="CP211" s="88"/>
      <c r="CQ211" s="88"/>
      <c r="CR211" s="88"/>
      <c r="CS211" s="88"/>
      <c r="CT211" s="88"/>
      <c r="CU211" s="88"/>
      <c r="CV211" s="88"/>
      <c r="CW211" s="88"/>
      <c r="CX211" s="88"/>
      <c r="CY211" s="88"/>
      <c r="CZ211" s="88"/>
      <c r="DA211" s="88"/>
      <c r="DB211" s="88"/>
      <c r="DC211" s="88"/>
      <c r="DD211" s="88"/>
      <c r="DE211" s="88"/>
      <c r="DF211" s="88"/>
      <c r="DG211" s="88"/>
      <c r="DH211" s="88"/>
      <c r="DI211" s="42"/>
    </row>
    <row r="212" spans="1:113" s="43" customFormat="1" x14ac:dyDescent="0.25">
      <c r="A212" s="52" t="s">
        <v>226</v>
      </c>
      <c r="B212" s="54">
        <v>16</v>
      </c>
      <c r="C212" s="55">
        <v>26</v>
      </c>
      <c r="D212" s="3">
        <v>8</v>
      </c>
      <c r="E212" s="56">
        <v>9</v>
      </c>
      <c r="F212" s="56">
        <v>16</v>
      </c>
      <c r="G212" s="3">
        <v>24</v>
      </c>
      <c r="H212" s="57">
        <v>19</v>
      </c>
      <c r="I212" s="3">
        <v>1</v>
      </c>
      <c r="J212" s="3">
        <v>16</v>
      </c>
      <c r="K212" s="3">
        <v>24</v>
      </c>
      <c r="L212" s="58">
        <v>19</v>
      </c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  <c r="BA212" s="88"/>
      <c r="BB212" s="88"/>
      <c r="BC212" s="88"/>
      <c r="BD212" s="88"/>
      <c r="BE212" s="88"/>
      <c r="BF212" s="88"/>
      <c r="BG212" s="88"/>
      <c r="BH212" s="88"/>
      <c r="BI212" s="88"/>
      <c r="BJ212" s="88"/>
      <c r="BK212" s="88"/>
      <c r="BL212" s="88"/>
      <c r="BM212" s="88"/>
      <c r="BN212" s="88"/>
      <c r="BO212" s="88"/>
      <c r="BP212" s="88"/>
      <c r="BQ212" s="88"/>
      <c r="BR212" s="88"/>
      <c r="BS212" s="88"/>
      <c r="BT212" s="88"/>
      <c r="BU212" s="88"/>
      <c r="BV212" s="88"/>
      <c r="BW212" s="88"/>
      <c r="BX212" s="88"/>
      <c r="BY212" s="88"/>
      <c r="BZ212" s="88"/>
      <c r="CA212" s="88"/>
      <c r="CB212" s="88"/>
      <c r="CC212" s="88"/>
      <c r="CD212" s="88"/>
      <c r="CE212" s="88"/>
      <c r="CF212" s="88"/>
      <c r="CG212" s="88"/>
      <c r="CH212" s="88"/>
      <c r="CI212" s="88"/>
      <c r="CJ212" s="88"/>
      <c r="CK212" s="88"/>
      <c r="CL212" s="88"/>
      <c r="CM212" s="88"/>
      <c r="CN212" s="88"/>
      <c r="CO212" s="88"/>
      <c r="CP212" s="88"/>
      <c r="CQ212" s="88"/>
      <c r="CR212" s="88"/>
      <c r="CS212" s="88"/>
      <c r="CT212" s="88"/>
      <c r="CU212" s="88"/>
      <c r="CV212" s="88"/>
      <c r="CW212" s="88"/>
      <c r="CX212" s="88"/>
      <c r="CY212" s="88"/>
      <c r="CZ212" s="88"/>
      <c r="DA212" s="88"/>
      <c r="DB212" s="88"/>
      <c r="DC212" s="88"/>
      <c r="DD212" s="88"/>
      <c r="DE212" s="88"/>
      <c r="DF212" s="88"/>
      <c r="DG212" s="88"/>
      <c r="DH212" s="88"/>
      <c r="DI212" s="42"/>
    </row>
    <row r="213" spans="1:113" s="8" customFormat="1" x14ac:dyDescent="0.25">
      <c r="A213" s="73"/>
      <c r="B213" s="61"/>
      <c r="C213" s="62"/>
      <c r="D213" s="63"/>
      <c r="E213" s="64"/>
      <c r="F213" s="64"/>
      <c r="G213" s="63"/>
      <c r="H213" s="65"/>
      <c r="I213" s="63"/>
      <c r="J213" s="63"/>
      <c r="K213" s="63"/>
      <c r="L213" s="66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51"/>
    </row>
    <row r="214" spans="1:113" s="43" customFormat="1" x14ac:dyDescent="0.25">
      <c r="A214" s="36" t="s">
        <v>87</v>
      </c>
      <c r="B214" s="37">
        <f>SUM(B215:B223)</f>
        <v>173</v>
      </c>
      <c r="C214" s="38">
        <f t="shared" ref="C214:L214" si="19">SUM(C215:C223)</f>
        <v>168</v>
      </c>
      <c r="D214" s="4">
        <f t="shared" si="19"/>
        <v>70</v>
      </c>
      <c r="E214" s="39">
        <f t="shared" si="19"/>
        <v>70</v>
      </c>
      <c r="F214" s="39">
        <f t="shared" si="19"/>
        <v>191</v>
      </c>
      <c r="G214" s="4">
        <f t="shared" si="19"/>
        <v>191</v>
      </c>
      <c r="H214" s="40">
        <f t="shared" si="19"/>
        <v>189</v>
      </c>
      <c r="I214" s="4">
        <f t="shared" si="19"/>
        <v>15</v>
      </c>
      <c r="J214" s="4">
        <f t="shared" si="19"/>
        <v>191</v>
      </c>
      <c r="K214" s="4">
        <f t="shared" si="19"/>
        <v>191</v>
      </c>
      <c r="L214" s="41">
        <f t="shared" si="19"/>
        <v>189</v>
      </c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  <c r="AS214" s="88"/>
      <c r="AT214" s="88"/>
      <c r="AU214" s="88"/>
      <c r="AV214" s="88"/>
      <c r="AW214" s="88"/>
      <c r="AX214" s="88"/>
      <c r="AY214" s="88"/>
      <c r="AZ214" s="88"/>
      <c r="BA214" s="88"/>
      <c r="BB214" s="88"/>
      <c r="BC214" s="88"/>
      <c r="BD214" s="88"/>
      <c r="BE214" s="88"/>
      <c r="BF214" s="88"/>
      <c r="BG214" s="88"/>
      <c r="BH214" s="88"/>
      <c r="BI214" s="88"/>
      <c r="BJ214" s="88"/>
      <c r="BK214" s="88"/>
      <c r="BL214" s="88"/>
      <c r="BM214" s="88"/>
      <c r="BN214" s="88"/>
      <c r="BO214" s="88"/>
      <c r="BP214" s="88"/>
      <c r="BQ214" s="88"/>
      <c r="BR214" s="88"/>
      <c r="BS214" s="88"/>
      <c r="BT214" s="88"/>
      <c r="BU214" s="88"/>
      <c r="BV214" s="88"/>
      <c r="BW214" s="88"/>
      <c r="BX214" s="88"/>
      <c r="BY214" s="88"/>
      <c r="BZ214" s="88"/>
      <c r="CA214" s="88"/>
      <c r="CB214" s="88"/>
      <c r="CC214" s="88"/>
      <c r="CD214" s="88"/>
      <c r="CE214" s="88"/>
      <c r="CF214" s="88"/>
      <c r="CG214" s="88"/>
      <c r="CH214" s="88"/>
      <c r="CI214" s="88"/>
      <c r="CJ214" s="88"/>
      <c r="CK214" s="88"/>
      <c r="CL214" s="88"/>
      <c r="CM214" s="88"/>
      <c r="CN214" s="88"/>
      <c r="CO214" s="88"/>
      <c r="CP214" s="88"/>
      <c r="CQ214" s="88"/>
      <c r="CR214" s="88"/>
      <c r="CS214" s="88"/>
      <c r="CT214" s="88"/>
      <c r="CU214" s="88"/>
      <c r="CV214" s="88"/>
      <c r="CW214" s="88"/>
      <c r="CX214" s="88"/>
      <c r="CY214" s="88"/>
      <c r="CZ214" s="88"/>
      <c r="DA214" s="88"/>
      <c r="DB214" s="88"/>
      <c r="DC214" s="88"/>
      <c r="DD214" s="88"/>
      <c r="DE214" s="88"/>
      <c r="DF214" s="88"/>
      <c r="DG214" s="88"/>
      <c r="DH214" s="88"/>
      <c r="DI214" s="42"/>
    </row>
    <row r="215" spans="1:113" s="43" customFormat="1" x14ac:dyDescent="0.25">
      <c r="A215" s="52" t="s">
        <v>227</v>
      </c>
      <c r="B215" s="54">
        <v>40</v>
      </c>
      <c r="C215" s="55">
        <v>52</v>
      </c>
      <c r="D215" s="3">
        <v>30</v>
      </c>
      <c r="E215" s="56">
        <v>30</v>
      </c>
      <c r="F215" s="56">
        <v>39</v>
      </c>
      <c r="G215" s="3">
        <v>47</v>
      </c>
      <c r="H215" s="57">
        <v>47</v>
      </c>
      <c r="I215" s="3">
        <v>6</v>
      </c>
      <c r="J215" s="3">
        <v>39</v>
      </c>
      <c r="K215" s="3">
        <v>44</v>
      </c>
      <c r="L215" s="58">
        <v>47</v>
      </c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  <c r="AR215" s="88"/>
      <c r="AS215" s="88"/>
      <c r="AT215" s="88"/>
      <c r="AU215" s="88"/>
      <c r="AV215" s="88"/>
      <c r="AW215" s="88"/>
      <c r="AX215" s="88"/>
      <c r="AY215" s="88"/>
      <c r="AZ215" s="88"/>
      <c r="BA215" s="88"/>
      <c r="BB215" s="88"/>
      <c r="BC215" s="88"/>
      <c r="BD215" s="88"/>
      <c r="BE215" s="88"/>
      <c r="BF215" s="88"/>
      <c r="BG215" s="88"/>
      <c r="BH215" s="88"/>
      <c r="BI215" s="88"/>
      <c r="BJ215" s="88"/>
      <c r="BK215" s="88"/>
      <c r="BL215" s="88"/>
      <c r="BM215" s="88"/>
      <c r="BN215" s="88"/>
      <c r="BO215" s="88"/>
      <c r="BP215" s="88"/>
      <c r="BQ215" s="88"/>
      <c r="BR215" s="88"/>
      <c r="BS215" s="88"/>
      <c r="BT215" s="88"/>
      <c r="BU215" s="88"/>
      <c r="BV215" s="88"/>
      <c r="BW215" s="88"/>
      <c r="BX215" s="88"/>
      <c r="BY215" s="88"/>
      <c r="BZ215" s="88"/>
      <c r="CA215" s="88"/>
      <c r="CB215" s="88"/>
      <c r="CC215" s="88"/>
      <c r="CD215" s="88"/>
      <c r="CE215" s="88"/>
      <c r="CF215" s="88"/>
      <c r="CG215" s="88"/>
      <c r="CH215" s="88"/>
      <c r="CI215" s="88"/>
      <c r="CJ215" s="88"/>
      <c r="CK215" s="88"/>
      <c r="CL215" s="88"/>
      <c r="CM215" s="88"/>
      <c r="CN215" s="88"/>
      <c r="CO215" s="88"/>
      <c r="CP215" s="88"/>
      <c r="CQ215" s="88"/>
      <c r="CR215" s="88"/>
      <c r="CS215" s="88"/>
      <c r="CT215" s="88"/>
      <c r="CU215" s="88"/>
      <c r="CV215" s="88"/>
      <c r="CW215" s="88"/>
      <c r="CX215" s="88"/>
      <c r="CY215" s="88"/>
      <c r="CZ215" s="88"/>
      <c r="DA215" s="88"/>
      <c r="DB215" s="88"/>
      <c r="DC215" s="88"/>
      <c r="DD215" s="88"/>
      <c r="DE215" s="88"/>
      <c r="DF215" s="88"/>
      <c r="DG215" s="88"/>
      <c r="DH215" s="88"/>
      <c r="DI215" s="42"/>
    </row>
    <row r="216" spans="1:113" s="43" customFormat="1" x14ac:dyDescent="0.25">
      <c r="A216" s="52" t="s">
        <v>88</v>
      </c>
      <c r="B216" s="54">
        <v>16</v>
      </c>
      <c r="C216" s="55">
        <v>15</v>
      </c>
      <c r="D216" s="3">
        <v>9</v>
      </c>
      <c r="E216" s="56">
        <v>9</v>
      </c>
      <c r="F216" s="56">
        <v>26</v>
      </c>
      <c r="G216" s="3">
        <v>24</v>
      </c>
      <c r="H216" s="57">
        <v>25</v>
      </c>
      <c r="I216" s="3">
        <v>0</v>
      </c>
      <c r="J216" s="3">
        <v>26</v>
      </c>
      <c r="K216" s="3">
        <v>26</v>
      </c>
      <c r="L216" s="58">
        <v>25</v>
      </c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88"/>
      <c r="AZ216" s="88"/>
      <c r="BA216" s="88"/>
      <c r="BB216" s="88"/>
      <c r="BC216" s="88"/>
      <c r="BD216" s="88"/>
      <c r="BE216" s="88"/>
      <c r="BF216" s="88"/>
      <c r="BG216" s="88"/>
      <c r="BH216" s="88"/>
      <c r="BI216" s="88"/>
      <c r="BJ216" s="88"/>
      <c r="BK216" s="88"/>
      <c r="BL216" s="88"/>
      <c r="BM216" s="88"/>
      <c r="BN216" s="88"/>
      <c r="BO216" s="88"/>
      <c r="BP216" s="88"/>
      <c r="BQ216" s="88"/>
      <c r="BR216" s="88"/>
      <c r="BS216" s="88"/>
      <c r="BT216" s="88"/>
      <c r="BU216" s="88"/>
      <c r="BV216" s="88"/>
      <c r="BW216" s="88"/>
      <c r="BX216" s="88"/>
      <c r="BY216" s="88"/>
      <c r="BZ216" s="88"/>
      <c r="CA216" s="88"/>
      <c r="CB216" s="88"/>
      <c r="CC216" s="88"/>
      <c r="CD216" s="88"/>
      <c r="CE216" s="88"/>
      <c r="CF216" s="88"/>
      <c r="CG216" s="88"/>
      <c r="CH216" s="88"/>
      <c r="CI216" s="88"/>
      <c r="CJ216" s="88"/>
      <c r="CK216" s="88"/>
      <c r="CL216" s="88"/>
      <c r="CM216" s="88"/>
      <c r="CN216" s="88"/>
      <c r="CO216" s="88"/>
      <c r="CP216" s="88"/>
      <c r="CQ216" s="88"/>
      <c r="CR216" s="88"/>
      <c r="CS216" s="88"/>
      <c r="CT216" s="88"/>
      <c r="CU216" s="88"/>
      <c r="CV216" s="88"/>
      <c r="CW216" s="88"/>
      <c r="CX216" s="88"/>
      <c r="CY216" s="88"/>
      <c r="CZ216" s="88"/>
      <c r="DA216" s="88"/>
      <c r="DB216" s="88"/>
      <c r="DC216" s="88"/>
      <c r="DD216" s="88"/>
      <c r="DE216" s="88"/>
      <c r="DF216" s="88"/>
      <c r="DG216" s="88"/>
      <c r="DH216" s="88"/>
      <c r="DI216" s="42"/>
    </row>
    <row r="217" spans="1:113" s="43" customFormat="1" x14ac:dyDescent="0.25">
      <c r="A217" s="52" t="s">
        <v>228</v>
      </c>
      <c r="B217" s="54">
        <v>32</v>
      </c>
      <c r="C217" s="55">
        <v>20</v>
      </c>
      <c r="D217" s="3">
        <v>1</v>
      </c>
      <c r="E217" s="56">
        <v>1</v>
      </c>
      <c r="F217" s="56">
        <v>34</v>
      </c>
      <c r="G217" s="3">
        <v>32</v>
      </c>
      <c r="H217" s="57">
        <v>26</v>
      </c>
      <c r="I217" s="3">
        <v>0</v>
      </c>
      <c r="J217" s="3">
        <v>37</v>
      </c>
      <c r="K217" s="3">
        <v>33</v>
      </c>
      <c r="L217" s="58">
        <v>26</v>
      </c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  <c r="AS217" s="88"/>
      <c r="AT217" s="88"/>
      <c r="AU217" s="88"/>
      <c r="AV217" s="88"/>
      <c r="AW217" s="88"/>
      <c r="AX217" s="88"/>
      <c r="AY217" s="88"/>
      <c r="AZ217" s="88"/>
      <c r="BA217" s="88"/>
      <c r="BB217" s="88"/>
      <c r="BC217" s="88"/>
      <c r="BD217" s="88"/>
      <c r="BE217" s="88"/>
      <c r="BF217" s="88"/>
      <c r="BG217" s="88"/>
      <c r="BH217" s="88"/>
      <c r="BI217" s="88"/>
      <c r="BJ217" s="88"/>
      <c r="BK217" s="88"/>
      <c r="BL217" s="88"/>
      <c r="BM217" s="88"/>
      <c r="BN217" s="88"/>
      <c r="BO217" s="88"/>
      <c r="BP217" s="88"/>
      <c r="BQ217" s="88"/>
      <c r="BR217" s="88"/>
      <c r="BS217" s="88"/>
      <c r="BT217" s="88"/>
      <c r="BU217" s="88"/>
      <c r="BV217" s="88"/>
      <c r="BW217" s="88"/>
      <c r="BX217" s="88"/>
      <c r="BY217" s="88"/>
      <c r="BZ217" s="88"/>
      <c r="CA217" s="88"/>
      <c r="CB217" s="88"/>
      <c r="CC217" s="88"/>
      <c r="CD217" s="88"/>
      <c r="CE217" s="88"/>
      <c r="CF217" s="88"/>
      <c r="CG217" s="88"/>
      <c r="CH217" s="88"/>
      <c r="CI217" s="88"/>
      <c r="CJ217" s="88"/>
      <c r="CK217" s="88"/>
      <c r="CL217" s="88"/>
      <c r="CM217" s="88"/>
      <c r="CN217" s="88"/>
      <c r="CO217" s="88"/>
      <c r="CP217" s="88"/>
      <c r="CQ217" s="88"/>
      <c r="CR217" s="88"/>
      <c r="CS217" s="88"/>
      <c r="CT217" s="88"/>
      <c r="CU217" s="88"/>
      <c r="CV217" s="88"/>
      <c r="CW217" s="88"/>
      <c r="CX217" s="88"/>
      <c r="CY217" s="88"/>
      <c r="CZ217" s="88"/>
      <c r="DA217" s="88"/>
      <c r="DB217" s="88"/>
      <c r="DC217" s="88"/>
      <c r="DD217" s="88"/>
      <c r="DE217" s="88"/>
      <c r="DF217" s="88"/>
      <c r="DG217" s="88"/>
      <c r="DH217" s="88"/>
      <c r="DI217" s="42"/>
    </row>
    <row r="218" spans="1:113" s="43" customFormat="1" x14ac:dyDescent="0.25">
      <c r="A218" s="52" t="s">
        <v>229</v>
      </c>
      <c r="B218" s="54">
        <v>10</v>
      </c>
      <c r="C218" s="55">
        <v>5</v>
      </c>
      <c r="D218" s="3">
        <v>9</v>
      </c>
      <c r="E218" s="56">
        <v>9</v>
      </c>
      <c r="F218" s="56">
        <v>9</v>
      </c>
      <c r="G218" s="3">
        <v>13</v>
      </c>
      <c r="H218" s="57">
        <v>13</v>
      </c>
      <c r="I218" s="3">
        <v>4</v>
      </c>
      <c r="J218" s="3">
        <v>10</v>
      </c>
      <c r="K218" s="3">
        <v>13</v>
      </c>
      <c r="L218" s="58">
        <v>13</v>
      </c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  <c r="AR218" s="88"/>
      <c r="AS218" s="88"/>
      <c r="AT218" s="88"/>
      <c r="AU218" s="88"/>
      <c r="AV218" s="88"/>
      <c r="AW218" s="88"/>
      <c r="AX218" s="88"/>
      <c r="AY218" s="88"/>
      <c r="AZ218" s="88"/>
      <c r="BA218" s="88"/>
      <c r="BB218" s="88"/>
      <c r="BC218" s="88"/>
      <c r="BD218" s="88"/>
      <c r="BE218" s="88"/>
      <c r="BF218" s="88"/>
      <c r="BG218" s="88"/>
      <c r="BH218" s="88"/>
      <c r="BI218" s="88"/>
      <c r="BJ218" s="88"/>
      <c r="BK218" s="88"/>
      <c r="BL218" s="88"/>
      <c r="BM218" s="88"/>
      <c r="BN218" s="88"/>
      <c r="BO218" s="88"/>
      <c r="BP218" s="88"/>
      <c r="BQ218" s="88"/>
      <c r="BR218" s="88"/>
      <c r="BS218" s="88"/>
      <c r="BT218" s="88"/>
      <c r="BU218" s="88"/>
      <c r="BV218" s="88"/>
      <c r="BW218" s="88"/>
      <c r="BX218" s="88"/>
      <c r="BY218" s="88"/>
      <c r="BZ218" s="88"/>
      <c r="CA218" s="88"/>
      <c r="CB218" s="88"/>
      <c r="CC218" s="88"/>
      <c r="CD218" s="88"/>
      <c r="CE218" s="88"/>
      <c r="CF218" s="88"/>
      <c r="CG218" s="88"/>
      <c r="CH218" s="88"/>
      <c r="CI218" s="88"/>
      <c r="CJ218" s="88"/>
      <c r="CK218" s="88"/>
      <c r="CL218" s="88"/>
      <c r="CM218" s="88"/>
      <c r="CN218" s="88"/>
      <c r="CO218" s="88"/>
      <c r="CP218" s="88"/>
      <c r="CQ218" s="88"/>
      <c r="CR218" s="88"/>
      <c r="CS218" s="88"/>
      <c r="CT218" s="88"/>
      <c r="CU218" s="88"/>
      <c r="CV218" s="88"/>
      <c r="CW218" s="88"/>
      <c r="CX218" s="88"/>
      <c r="CY218" s="88"/>
      <c r="CZ218" s="88"/>
      <c r="DA218" s="88"/>
      <c r="DB218" s="88"/>
      <c r="DC218" s="88"/>
      <c r="DD218" s="88"/>
      <c r="DE218" s="88"/>
      <c r="DF218" s="88"/>
      <c r="DG218" s="88"/>
      <c r="DH218" s="88"/>
      <c r="DI218" s="42"/>
    </row>
    <row r="219" spans="1:113" s="43" customFormat="1" x14ac:dyDescent="0.25">
      <c r="A219" s="52" t="s">
        <v>230</v>
      </c>
      <c r="B219" s="54">
        <v>23</v>
      </c>
      <c r="C219" s="55">
        <v>20</v>
      </c>
      <c r="D219" s="3">
        <v>5</v>
      </c>
      <c r="E219" s="56">
        <v>5</v>
      </c>
      <c r="F219" s="56">
        <v>34</v>
      </c>
      <c r="G219" s="3">
        <v>23</v>
      </c>
      <c r="H219" s="57">
        <v>32</v>
      </c>
      <c r="I219" s="3">
        <v>2</v>
      </c>
      <c r="J219" s="3">
        <v>29</v>
      </c>
      <c r="K219" s="3">
        <v>23</v>
      </c>
      <c r="L219" s="58">
        <v>32</v>
      </c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  <c r="AR219" s="88"/>
      <c r="AS219" s="88"/>
      <c r="AT219" s="88"/>
      <c r="AU219" s="88"/>
      <c r="AV219" s="88"/>
      <c r="AW219" s="88"/>
      <c r="AX219" s="88"/>
      <c r="AY219" s="88"/>
      <c r="AZ219" s="88"/>
      <c r="BA219" s="88"/>
      <c r="BB219" s="88"/>
      <c r="BC219" s="88"/>
      <c r="BD219" s="88"/>
      <c r="BE219" s="88"/>
      <c r="BF219" s="88"/>
      <c r="BG219" s="88"/>
      <c r="BH219" s="88"/>
      <c r="BI219" s="88"/>
      <c r="BJ219" s="88"/>
      <c r="BK219" s="88"/>
      <c r="BL219" s="88"/>
      <c r="BM219" s="88"/>
      <c r="BN219" s="88"/>
      <c r="BO219" s="88"/>
      <c r="BP219" s="88"/>
      <c r="BQ219" s="88"/>
      <c r="BR219" s="88"/>
      <c r="BS219" s="88"/>
      <c r="BT219" s="88"/>
      <c r="BU219" s="88"/>
      <c r="BV219" s="88"/>
      <c r="BW219" s="88"/>
      <c r="BX219" s="88"/>
      <c r="BY219" s="88"/>
      <c r="BZ219" s="88"/>
      <c r="CA219" s="88"/>
      <c r="CB219" s="88"/>
      <c r="CC219" s="88"/>
      <c r="CD219" s="88"/>
      <c r="CE219" s="88"/>
      <c r="CF219" s="88"/>
      <c r="CG219" s="88"/>
      <c r="CH219" s="88"/>
      <c r="CI219" s="88"/>
      <c r="CJ219" s="88"/>
      <c r="CK219" s="88"/>
      <c r="CL219" s="88"/>
      <c r="CM219" s="88"/>
      <c r="CN219" s="88"/>
      <c r="CO219" s="88"/>
      <c r="CP219" s="88"/>
      <c r="CQ219" s="88"/>
      <c r="CR219" s="88"/>
      <c r="CS219" s="88"/>
      <c r="CT219" s="88"/>
      <c r="CU219" s="88"/>
      <c r="CV219" s="88"/>
      <c r="CW219" s="88"/>
      <c r="CX219" s="88"/>
      <c r="CY219" s="88"/>
      <c r="CZ219" s="88"/>
      <c r="DA219" s="88"/>
      <c r="DB219" s="88"/>
      <c r="DC219" s="88"/>
      <c r="DD219" s="88"/>
      <c r="DE219" s="88"/>
      <c r="DF219" s="88"/>
      <c r="DG219" s="88"/>
      <c r="DH219" s="88"/>
      <c r="DI219" s="42"/>
    </row>
    <row r="220" spans="1:113" s="43" customFormat="1" x14ac:dyDescent="0.25">
      <c r="A220" s="52" t="s">
        <v>231</v>
      </c>
      <c r="B220" s="54">
        <v>11</v>
      </c>
      <c r="C220" s="55">
        <v>13</v>
      </c>
      <c r="D220" s="3">
        <v>3</v>
      </c>
      <c r="E220" s="56">
        <v>3</v>
      </c>
      <c r="F220" s="56">
        <v>13</v>
      </c>
      <c r="G220" s="3">
        <v>12</v>
      </c>
      <c r="H220" s="57">
        <v>5</v>
      </c>
      <c r="I220" s="3">
        <v>0</v>
      </c>
      <c r="J220" s="3">
        <v>14</v>
      </c>
      <c r="K220" s="3">
        <v>12</v>
      </c>
      <c r="L220" s="58">
        <v>5</v>
      </c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  <c r="AR220" s="88"/>
      <c r="AS220" s="88"/>
      <c r="AT220" s="88"/>
      <c r="AU220" s="88"/>
      <c r="AV220" s="88"/>
      <c r="AW220" s="88"/>
      <c r="AX220" s="88"/>
      <c r="AY220" s="88"/>
      <c r="AZ220" s="88"/>
      <c r="BA220" s="88"/>
      <c r="BB220" s="88"/>
      <c r="BC220" s="88"/>
      <c r="BD220" s="88"/>
      <c r="BE220" s="88"/>
      <c r="BF220" s="88"/>
      <c r="BG220" s="88"/>
      <c r="BH220" s="88"/>
      <c r="BI220" s="88"/>
      <c r="BJ220" s="88"/>
      <c r="BK220" s="88"/>
      <c r="BL220" s="88"/>
      <c r="BM220" s="88"/>
      <c r="BN220" s="88"/>
      <c r="BO220" s="88"/>
      <c r="BP220" s="88"/>
      <c r="BQ220" s="88"/>
      <c r="BR220" s="88"/>
      <c r="BS220" s="88"/>
      <c r="BT220" s="88"/>
      <c r="BU220" s="88"/>
      <c r="BV220" s="88"/>
      <c r="BW220" s="88"/>
      <c r="BX220" s="88"/>
      <c r="BY220" s="88"/>
      <c r="BZ220" s="88"/>
      <c r="CA220" s="88"/>
      <c r="CB220" s="88"/>
      <c r="CC220" s="88"/>
      <c r="CD220" s="88"/>
      <c r="CE220" s="88"/>
      <c r="CF220" s="88"/>
      <c r="CG220" s="88"/>
      <c r="CH220" s="88"/>
      <c r="CI220" s="88"/>
      <c r="CJ220" s="88"/>
      <c r="CK220" s="88"/>
      <c r="CL220" s="88"/>
      <c r="CM220" s="88"/>
      <c r="CN220" s="88"/>
      <c r="CO220" s="88"/>
      <c r="CP220" s="88"/>
      <c r="CQ220" s="88"/>
      <c r="CR220" s="88"/>
      <c r="CS220" s="88"/>
      <c r="CT220" s="88"/>
      <c r="CU220" s="88"/>
      <c r="CV220" s="88"/>
      <c r="CW220" s="88"/>
      <c r="CX220" s="88"/>
      <c r="CY220" s="88"/>
      <c r="CZ220" s="88"/>
      <c r="DA220" s="88"/>
      <c r="DB220" s="88"/>
      <c r="DC220" s="88"/>
      <c r="DD220" s="88"/>
      <c r="DE220" s="88"/>
      <c r="DF220" s="88"/>
      <c r="DG220" s="88"/>
      <c r="DH220" s="88"/>
      <c r="DI220" s="42"/>
    </row>
    <row r="221" spans="1:113" s="43" customFormat="1" x14ac:dyDescent="0.25">
      <c r="A221" s="52" t="s">
        <v>232</v>
      </c>
      <c r="B221" s="54">
        <v>8</v>
      </c>
      <c r="C221" s="55">
        <v>3</v>
      </c>
      <c r="D221" s="3">
        <v>0</v>
      </c>
      <c r="E221" s="56">
        <v>0</v>
      </c>
      <c r="F221" s="56">
        <v>2</v>
      </c>
      <c r="G221" s="3">
        <v>4</v>
      </c>
      <c r="H221" s="57">
        <v>4</v>
      </c>
      <c r="I221" s="3">
        <v>0</v>
      </c>
      <c r="J221" s="3">
        <v>2</v>
      </c>
      <c r="K221" s="3">
        <v>4</v>
      </c>
      <c r="L221" s="58">
        <v>4</v>
      </c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  <c r="AR221" s="88"/>
      <c r="AS221" s="88"/>
      <c r="AT221" s="88"/>
      <c r="AU221" s="88"/>
      <c r="AV221" s="88"/>
      <c r="AW221" s="88"/>
      <c r="AX221" s="88"/>
      <c r="AY221" s="88"/>
      <c r="AZ221" s="88"/>
      <c r="BA221" s="88"/>
      <c r="BB221" s="88"/>
      <c r="BC221" s="88"/>
      <c r="BD221" s="88"/>
      <c r="BE221" s="88"/>
      <c r="BF221" s="88"/>
      <c r="BG221" s="88"/>
      <c r="BH221" s="88"/>
      <c r="BI221" s="88"/>
      <c r="BJ221" s="88"/>
      <c r="BK221" s="88"/>
      <c r="BL221" s="88"/>
      <c r="BM221" s="88"/>
      <c r="BN221" s="88"/>
      <c r="BO221" s="88"/>
      <c r="BP221" s="88"/>
      <c r="BQ221" s="88"/>
      <c r="BR221" s="88"/>
      <c r="BS221" s="88"/>
      <c r="BT221" s="88"/>
      <c r="BU221" s="88"/>
      <c r="BV221" s="88"/>
      <c r="BW221" s="88"/>
      <c r="BX221" s="88"/>
      <c r="BY221" s="88"/>
      <c r="BZ221" s="88"/>
      <c r="CA221" s="88"/>
      <c r="CB221" s="88"/>
      <c r="CC221" s="88"/>
      <c r="CD221" s="88"/>
      <c r="CE221" s="88"/>
      <c r="CF221" s="88"/>
      <c r="CG221" s="88"/>
      <c r="CH221" s="88"/>
      <c r="CI221" s="88"/>
      <c r="CJ221" s="88"/>
      <c r="CK221" s="88"/>
      <c r="CL221" s="88"/>
      <c r="CM221" s="88"/>
      <c r="CN221" s="88"/>
      <c r="CO221" s="88"/>
      <c r="CP221" s="88"/>
      <c r="CQ221" s="88"/>
      <c r="CR221" s="88"/>
      <c r="CS221" s="88"/>
      <c r="CT221" s="88"/>
      <c r="CU221" s="88"/>
      <c r="CV221" s="88"/>
      <c r="CW221" s="88"/>
      <c r="CX221" s="88"/>
      <c r="CY221" s="88"/>
      <c r="CZ221" s="88"/>
      <c r="DA221" s="88"/>
      <c r="DB221" s="88"/>
      <c r="DC221" s="88"/>
      <c r="DD221" s="88"/>
      <c r="DE221" s="88"/>
      <c r="DF221" s="88"/>
      <c r="DG221" s="88"/>
      <c r="DH221" s="88"/>
      <c r="DI221" s="42"/>
    </row>
    <row r="222" spans="1:113" s="43" customFormat="1" x14ac:dyDescent="0.25">
      <c r="A222" s="52" t="s">
        <v>89</v>
      </c>
      <c r="B222" s="54">
        <v>17</v>
      </c>
      <c r="C222" s="55">
        <v>24</v>
      </c>
      <c r="D222" s="3">
        <v>4</v>
      </c>
      <c r="E222" s="56">
        <v>4</v>
      </c>
      <c r="F222" s="56">
        <v>23</v>
      </c>
      <c r="G222" s="3">
        <v>23</v>
      </c>
      <c r="H222" s="57">
        <v>23</v>
      </c>
      <c r="I222" s="3">
        <v>3</v>
      </c>
      <c r="J222" s="3">
        <v>23</v>
      </c>
      <c r="K222" s="3">
        <v>23</v>
      </c>
      <c r="L222" s="58">
        <v>23</v>
      </c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  <c r="AS222" s="88"/>
      <c r="AT222" s="88"/>
      <c r="AU222" s="88"/>
      <c r="AV222" s="88"/>
      <c r="AW222" s="88"/>
      <c r="AX222" s="88"/>
      <c r="AY222" s="88"/>
      <c r="AZ222" s="88"/>
      <c r="BA222" s="88"/>
      <c r="BB222" s="88"/>
      <c r="BC222" s="88"/>
      <c r="BD222" s="88"/>
      <c r="BE222" s="88"/>
      <c r="BF222" s="88"/>
      <c r="BG222" s="88"/>
      <c r="BH222" s="88"/>
      <c r="BI222" s="88"/>
      <c r="BJ222" s="88"/>
      <c r="BK222" s="88"/>
      <c r="BL222" s="88"/>
      <c r="BM222" s="88"/>
      <c r="BN222" s="88"/>
      <c r="BO222" s="88"/>
      <c r="BP222" s="88"/>
      <c r="BQ222" s="88"/>
      <c r="BR222" s="88"/>
      <c r="BS222" s="88"/>
      <c r="BT222" s="88"/>
      <c r="BU222" s="88"/>
      <c r="BV222" s="88"/>
      <c r="BW222" s="88"/>
      <c r="BX222" s="88"/>
      <c r="BY222" s="88"/>
      <c r="BZ222" s="88"/>
      <c r="CA222" s="88"/>
      <c r="CB222" s="88"/>
      <c r="CC222" s="88"/>
      <c r="CD222" s="88"/>
      <c r="CE222" s="88"/>
      <c r="CF222" s="88"/>
      <c r="CG222" s="88"/>
      <c r="CH222" s="88"/>
      <c r="CI222" s="88"/>
      <c r="CJ222" s="88"/>
      <c r="CK222" s="88"/>
      <c r="CL222" s="88"/>
      <c r="CM222" s="88"/>
      <c r="CN222" s="88"/>
      <c r="CO222" s="88"/>
      <c r="CP222" s="88"/>
      <c r="CQ222" s="88"/>
      <c r="CR222" s="88"/>
      <c r="CS222" s="88"/>
      <c r="CT222" s="88"/>
      <c r="CU222" s="88"/>
      <c r="CV222" s="88"/>
      <c r="CW222" s="88"/>
      <c r="CX222" s="88"/>
      <c r="CY222" s="88"/>
      <c r="CZ222" s="88"/>
      <c r="DA222" s="88"/>
      <c r="DB222" s="88"/>
      <c r="DC222" s="88"/>
      <c r="DD222" s="88"/>
      <c r="DE222" s="88"/>
      <c r="DF222" s="88"/>
      <c r="DG222" s="88"/>
      <c r="DH222" s="88"/>
      <c r="DI222" s="42"/>
    </row>
    <row r="223" spans="1:113" s="43" customFormat="1" x14ac:dyDescent="0.25">
      <c r="A223" s="52" t="s">
        <v>233</v>
      </c>
      <c r="B223" s="54">
        <v>16</v>
      </c>
      <c r="C223" s="55">
        <v>16</v>
      </c>
      <c r="D223" s="3">
        <v>9</v>
      </c>
      <c r="E223" s="56">
        <v>9</v>
      </c>
      <c r="F223" s="56">
        <v>11</v>
      </c>
      <c r="G223" s="3">
        <v>13</v>
      </c>
      <c r="H223" s="57">
        <v>14</v>
      </c>
      <c r="I223" s="3">
        <v>0</v>
      </c>
      <c r="J223" s="3">
        <v>11</v>
      </c>
      <c r="K223" s="3">
        <v>13</v>
      </c>
      <c r="L223" s="58">
        <v>14</v>
      </c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  <c r="AR223" s="88"/>
      <c r="AS223" s="88"/>
      <c r="AT223" s="88"/>
      <c r="AU223" s="88"/>
      <c r="AV223" s="88"/>
      <c r="AW223" s="88"/>
      <c r="AX223" s="88"/>
      <c r="AY223" s="88"/>
      <c r="AZ223" s="88"/>
      <c r="BA223" s="88"/>
      <c r="BB223" s="88"/>
      <c r="BC223" s="88"/>
      <c r="BD223" s="88"/>
      <c r="BE223" s="88"/>
      <c r="BF223" s="88"/>
      <c r="BG223" s="88"/>
      <c r="BH223" s="88"/>
      <c r="BI223" s="88"/>
      <c r="BJ223" s="88"/>
      <c r="BK223" s="88"/>
      <c r="BL223" s="88"/>
      <c r="BM223" s="88"/>
      <c r="BN223" s="88"/>
      <c r="BO223" s="88"/>
      <c r="BP223" s="88"/>
      <c r="BQ223" s="88"/>
      <c r="BR223" s="88"/>
      <c r="BS223" s="88"/>
      <c r="BT223" s="88"/>
      <c r="BU223" s="88"/>
      <c r="BV223" s="88"/>
      <c r="BW223" s="88"/>
      <c r="BX223" s="88"/>
      <c r="BY223" s="88"/>
      <c r="BZ223" s="88"/>
      <c r="CA223" s="88"/>
      <c r="CB223" s="88"/>
      <c r="CC223" s="88"/>
      <c r="CD223" s="88"/>
      <c r="CE223" s="88"/>
      <c r="CF223" s="88"/>
      <c r="CG223" s="88"/>
      <c r="CH223" s="88"/>
      <c r="CI223" s="88"/>
      <c r="CJ223" s="88"/>
      <c r="CK223" s="88"/>
      <c r="CL223" s="88"/>
      <c r="CM223" s="88"/>
      <c r="CN223" s="88"/>
      <c r="CO223" s="88"/>
      <c r="CP223" s="88"/>
      <c r="CQ223" s="88"/>
      <c r="CR223" s="88"/>
      <c r="CS223" s="88"/>
      <c r="CT223" s="88"/>
      <c r="CU223" s="88"/>
      <c r="CV223" s="88"/>
      <c r="CW223" s="88"/>
      <c r="CX223" s="88"/>
      <c r="CY223" s="88"/>
      <c r="CZ223" s="88"/>
      <c r="DA223" s="88"/>
      <c r="DB223" s="88"/>
      <c r="DC223" s="88"/>
      <c r="DD223" s="88"/>
      <c r="DE223" s="88"/>
      <c r="DF223" s="88"/>
      <c r="DG223" s="88"/>
      <c r="DH223" s="88"/>
      <c r="DI223" s="42"/>
    </row>
    <row r="224" spans="1:113" s="8" customFormat="1" x14ac:dyDescent="0.25">
      <c r="A224" s="36"/>
      <c r="B224" s="61"/>
      <c r="C224" s="62"/>
      <c r="D224" s="63"/>
      <c r="E224" s="64"/>
      <c r="F224" s="64"/>
      <c r="G224" s="63"/>
      <c r="H224" s="65"/>
      <c r="I224" s="63"/>
      <c r="J224" s="63"/>
      <c r="K224" s="63"/>
      <c r="L224" s="66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51"/>
    </row>
    <row r="225" spans="1:113" s="43" customFormat="1" x14ac:dyDescent="0.25">
      <c r="A225" s="36" t="s">
        <v>90</v>
      </c>
      <c r="B225" s="37">
        <f>SUM(B226:B234)</f>
        <v>235</v>
      </c>
      <c r="C225" s="38">
        <f t="shared" ref="C225:L225" si="20">SUM(C226:C234)</f>
        <v>237</v>
      </c>
      <c r="D225" s="4">
        <f t="shared" si="20"/>
        <v>229</v>
      </c>
      <c r="E225" s="39">
        <f t="shared" si="20"/>
        <v>229</v>
      </c>
      <c r="F225" s="39">
        <f t="shared" si="20"/>
        <v>237</v>
      </c>
      <c r="G225" s="4">
        <f t="shared" si="20"/>
        <v>239</v>
      </c>
      <c r="H225" s="40">
        <f t="shared" si="20"/>
        <v>237</v>
      </c>
      <c r="I225" s="4">
        <f t="shared" si="20"/>
        <v>74</v>
      </c>
      <c r="J225" s="4">
        <f t="shared" si="20"/>
        <v>237</v>
      </c>
      <c r="K225" s="4">
        <f t="shared" si="20"/>
        <v>239</v>
      </c>
      <c r="L225" s="41">
        <f t="shared" si="20"/>
        <v>237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  <c r="AS225" s="88"/>
      <c r="AT225" s="88"/>
      <c r="AU225" s="88"/>
      <c r="AV225" s="88"/>
      <c r="AW225" s="88"/>
      <c r="AX225" s="88"/>
      <c r="AY225" s="88"/>
      <c r="AZ225" s="88"/>
      <c r="BA225" s="88"/>
      <c r="BB225" s="88"/>
      <c r="BC225" s="88"/>
      <c r="BD225" s="88"/>
      <c r="BE225" s="88"/>
      <c r="BF225" s="88"/>
      <c r="BG225" s="88"/>
      <c r="BH225" s="88"/>
      <c r="BI225" s="88"/>
      <c r="BJ225" s="88"/>
      <c r="BK225" s="88"/>
      <c r="BL225" s="88"/>
      <c r="BM225" s="88"/>
      <c r="BN225" s="88"/>
      <c r="BO225" s="88"/>
      <c r="BP225" s="88"/>
      <c r="BQ225" s="88"/>
      <c r="BR225" s="88"/>
      <c r="BS225" s="88"/>
      <c r="BT225" s="88"/>
      <c r="BU225" s="88"/>
      <c r="BV225" s="88"/>
      <c r="BW225" s="88"/>
      <c r="BX225" s="88"/>
      <c r="BY225" s="88"/>
      <c r="BZ225" s="88"/>
      <c r="CA225" s="88"/>
      <c r="CB225" s="88"/>
      <c r="CC225" s="88"/>
      <c r="CD225" s="88"/>
      <c r="CE225" s="88"/>
      <c r="CF225" s="88"/>
      <c r="CG225" s="88"/>
      <c r="CH225" s="88"/>
      <c r="CI225" s="88"/>
      <c r="CJ225" s="88"/>
      <c r="CK225" s="88"/>
      <c r="CL225" s="88"/>
      <c r="CM225" s="88"/>
      <c r="CN225" s="88"/>
      <c r="CO225" s="88"/>
      <c r="CP225" s="88"/>
      <c r="CQ225" s="88"/>
      <c r="CR225" s="88"/>
      <c r="CS225" s="88"/>
      <c r="CT225" s="88"/>
      <c r="CU225" s="88"/>
      <c r="CV225" s="88"/>
      <c r="CW225" s="88"/>
      <c r="CX225" s="88"/>
      <c r="CY225" s="88"/>
      <c r="CZ225" s="88"/>
      <c r="DA225" s="88"/>
      <c r="DB225" s="88"/>
      <c r="DC225" s="88"/>
      <c r="DD225" s="88"/>
      <c r="DE225" s="88"/>
      <c r="DF225" s="88"/>
      <c r="DG225" s="88"/>
      <c r="DH225" s="88"/>
      <c r="DI225" s="42"/>
    </row>
    <row r="226" spans="1:113" s="43" customFormat="1" x14ac:dyDescent="0.25">
      <c r="A226" s="52" t="s">
        <v>67</v>
      </c>
      <c r="B226" s="54">
        <v>13</v>
      </c>
      <c r="C226" s="55">
        <v>23</v>
      </c>
      <c r="D226" s="3">
        <v>4</v>
      </c>
      <c r="E226" s="56">
        <v>4</v>
      </c>
      <c r="F226" s="56">
        <v>19</v>
      </c>
      <c r="G226" s="3">
        <v>10</v>
      </c>
      <c r="H226" s="57">
        <v>14</v>
      </c>
      <c r="I226" s="3">
        <v>8</v>
      </c>
      <c r="J226" s="3">
        <v>19</v>
      </c>
      <c r="K226" s="3">
        <v>10</v>
      </c>
      <c r="L226" s="58">
        <v>14</v>
      </c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  <c r="AR226" s="88"/>
      <c r="AS226" s="88"/>
      <c r="AT226" s="88"/>
      <c r="AU226" s="88"/>
      <c r="AV226" s="88"/>
      <c r="AW226" s="88"/>
      <c r="AX226" s="88"/>
      <c r="AY226" s="88"/>
      <c r="AZ226" s="88"/>
      <c r="BA226" s="88"/>
      <c r="BB226" s="88"/>
      <c r="BC226" s="88"/>
      <c r="BD226" s="88"/>
      <c r="BE226" s="88"/>
      <c r="BF226" s="88"/>
      <c r="BG226" s="88"/>
      <c r="BH226" s="88"/>
      <c r="BI226" s="88"/>
      <c r="BJ226" s="88"/>
      <c r="BK226" s="88"/>
      <c r="BL226" s="88"/>
      <c r="BM226" s="88"/>
      <c r="BN226" s="88"/>
      <c r="BO226" s="88"/>
      <c r="BP226" s="88"/>
      <c r="BQ226" s="88"/>
      <c r="BR226" s="88"/>
      <c r="BS226" s="88"/>
      <c r="BT226" s="88"/>
      <c r="BU226" s="88"/>
      <c r="BV226" s="88"/>
      <c r="BW226" s="88"/>
      <c r="BX226" s="88"/>
      <c r="BY226" s="88"/>
      <c r="BZ226" s="88"/>
      <c r="CA226" s="88"/>
      <c r="CB226" s="88"/>
      <c r="CC226" s="88"/>
      <c r="CD226" s="88"/>
      <c r="CE226" s="88"/>
      <c r="CF226" s="88"/>
      <c r="CG226" s="88"/>
      <c r="CH226" s="88"/>
      <c r="CI226" s="88"/>
      <c r="CJ226" s="88"/>
      <c r="CK226" s="88"/>
      <c r="CL226" s="88"/>
      <c r="CM226" s="88"/>
      <c r="CN226" s="88"/>
      <c r="CO226" s="88"/>
      <c r="CP226" s="88"/>
      <c r="CQ226" s="88"/>
      <c r="CR226" s="88"/>
      <c r="CS226" s="88"/>
      <c r="CT226" s="88"/>
      <c r="CU226" s="88"/>
      <c r="CV226" s="88"/>
      <c r="CW226" s="88"/>
      <c r="CX226" s="88"/>
      <c r="CY226" s="88"/>
      <c r="CZ226" s="88"/>
      <c r="DA226" s="88"/>
      <c r="DB226" s="88"/>
      <c r="DC226" s="88"/>
      <c r="DD226" s="88"/>
      <c r="DE226" s="88"/>
      <c r="DF226" s="88"/>
      <c r="DG226" s="88"/>
      <c r="DH226" s="88"/>
      <c r="DI226" s="42"/>
    </row>
    <row r="227" spans="1:113" s="43" customFormat="1" x14ac:dyDescent="0.25">
      <c r="A227" s="52" t="s">
        <v>91</v>
      </c>
      <c r="B227" s="54">
        <v>15</v>
      </c>
      <c r="C227" s="55">
        <v>19</v>
      </c>
      <c r="D227" s="3">
        <v>7</v>
      </c>
      <c r="E227" s="56">
        <v>7</v>
      </c>
      <c r="F227" s="56">
        <v>21</v>
      </c>
      <c r="G227" s="3">
        <v>17</v>
      </c>
      <c r="H227" s="57">
        <v>17</v>
      </c>
      <c r="I227" s="3">
        <v>4</v>
      </c>
      <c r="J227" s="3">
        <v>21</v>
      </c>
      <c r="K227" s="3">
        <v>17</v>
      </c>
      <c r="L227" s="58">
        <v>17</v>
      </c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  <c r="AR227" s="88"/>
      <c r="AS227" s="88"/>
      <c r="AT227" s="88"/>
      <c r="AU227" s="88"/>
      <c r="AV227" s="88"/>
      <c r="AW227" s="88"/>
      <c r="AX227" s="88"/>
      <c r="AY227" s="88"/>
      <c r="AZ227" s="88"/>
      <c r="BA227" s="88"/>
      <c r="BB227" s="88"/>
      <c r="BC227" s="88"/>
      <c r="BD227" s="88"/>
      <c r="BE227" s="88"/>
      <c r="BF227" s="88"/>
      <c r="BG227" s="88"/>
      <c r="BH227" s="88"/>
      <c r="BI227" s="88"/>
      <c r="BJ227" s="88"/>
      <c r="BK227" s="88"/>
      <c r="BL227" s="88"/>
      <c r="BM227" s="88"/>
      <c r="BN227" s="88"/>
      <c r="BO227" s="88"/>
      <c r="BP227" s="88"/>
      <c r="BQ227" s="88"/>
      <c r="BR227" s="88"/>
      <c r="BS227" s="88"/>
      <c r="BT227" s="88"/>
      <c r="BU227" s="88"/>
      <c r="BV227" s="88"/>
      <c r="BW227" s="88"/>
      <c r="BX227" s="88"/>
      <c r="BY227" s="88"/>
      <c r="BZ227" s="88"/>
      <c r="CA227" s="88"/>
      <c r="CB227" s="88"/>
      <c r="CC227" s="88"/>
      <c r="CD227" s="88"/>
      <c r="CE227" s="88"/>
      <c r="CF227" s="88"/>
      <c r="CG227" s="88"/>
      <c r="CH227" s="88"/>
      <c r="CI227" s="88"/>
      <c r="CJ227" s="88"/>
      <c r="CK227" s="88"/>
      <c r="CL227" s="88"/>
      <c r="CM227" s="88"/>
      <c r="CN227" s="88"/>
      <c r="CO227" s="88"/>
      <c r="CP227" s="88"/>
      <c r="CQ227" s="88"/>
      <c r="CR227" s="88"/>
      <c r="CS227" s="88"/>
      <c r="CT227" s="88"/>
      <c r="CU227" s="88"/>
      <c r="CV227" s="88"/>
      <c r="CW227" s="88"/>
      <c r="CX227" s="88"/>
      <c r="CY227" s="88"/>
      <c r="CZ227" s="88"/>
      <c r="DA227" s="88"/>
      <c r="DB227" s="88"/>
      <c r="DC227" s="88"/>
      <c r="DD227" s="88"/>
      <c r="DE227" s="88"/>
      <c r="DF227" s="88"/>
      <c r="DG227" s="88"/>
      <c r="DH227" s="88"/>
      <c r="DI227" s="42"/>
    </row>
    <row r="228" spans="1:113" s="43" customFormat="1" x14ac:dyDescent="0.25">
      <c r="A228" s="52" t="s">
        <v>92</v>
      </c>
      <c r="B228" s="54">
        <v>18</v>
      </c>
      <c r="C228" s="55">
        <v>13</v>
      </c>
      <c r="D228" s="3">
        <v>1</v>
      </c>
      <c r="E228" s="56">
        <v>1</v>
      </c>
      <c r="F228" s="56">
        <v>13</v>
      </c>
      <c r="G228" s="3">
        <v>22</v>
      </c>
      <c r="H228" s="57">
        <v>17</v>
      </c>
      <c r="I228" s="3">
        <v>4</v>
      </c>
      <c r="J228" s="3">
        <v>13</v>
      </c>
      <c r="K228" s="3">
        <v>23</v>
      </c>
      <c r="L228" s="58">
        <v>17</v>
      </c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  <c r="BN228" s="88"/>
      <c r="BO228" s="88"/>
      <c r="BP228" s="88"/>
      <c r="BQ228" s="88"/>
      <c r="BR228" s="88"/>
      <c r="BS228" s="88"/>
      <c r="BT228" s="88"/>
      <c r="BU228" s="88"/>
      <c r="BV228" s="88"/>
      <c r="BW228" s="88"/>
      <c r="BX228" s="88"/>
      <c r="BY228" s="88"/>
      <c r="BZ228" s="88"/>
      <c r="CA228" s="88"/>
      <c r="CB228" s="88"/>
      <c r="CC228" s="88"/>
      <c r="CD228" s="88"/>
      <c r="CE228" s="88"/>
      <c r="CF228" s="88"/>
      <c r="CG228" s="88"/>
      <c r="CH228" s="88"/>
      <c r="CI228" s="88"/>
      <c r="CJ228" s="88"/>
      <c r="CK228" s="88"/>
      <c r="CL228" s="88"/>
      <c r="CM228" s="88"/>
      <c r="CN228" s="88"/>
      <c r="CO228" s="88"/>
      <c r="CP228" s="88"/>
      <c r="CQ228" s="88"/>
      <c r="CR228" s="88"/>
      <c r="CS228" s="88"/>
      <c r="CT228" s="88"/>
      <c r="CU228" s="88"/>
      <c r="CV228" s="88"/>
      <c r="CW228" s="88"/>
      <c r="CX228" s="88"/>
      <c r="CY228" s="88"/>
      <c r="CZ228" s="88"/>
      <c r="DA228" s="88"/>
      <c r="DB228" s="88"/>
      <c r="DC228" s="88"/>
      <c r="DD228" s="88"/>
      <c r="DE228" s="88"/>
      <c r="DF228" s="88"/>
      <c r="DG228" s="88"/>
      <c r="DH228" s="88"/>
      <c r="DI228" s="42"/>
    </row>
    <row r="229" spans="1:113" s="43" customFormat="1" x14ac:dyDescent="0.25">
      <c r="A229" s="52" t="s">
        <v>93</v>
      </c>
      <c r="B229" s="54">
        <v>12</v>
      </c>
      <c r="C229" s="55">
        <v>12</v>
      </c>
      <c r="D229" s="3">
        <v>7</v>
      </c>
      <c r="E229" s="56">
        <v>7</v>
      </c>
      <c r="F229" s="56">
        <v>12</v>
      </c>
      <c r="G229" s="3">
        <v>10</v>
      </c>
      <c r="H229" s="57">
        <v>6</v>
      </c>
      <c r="I229" s="3">
        <v>3</v>
      </c>
      <c r="J229" s="3">
        <v>12</v>
      </c>
      <c r="K229" s="3">
        <v>9</v>
      </c>
      <c r="L229" s="58">
        <v>6</v>
      </c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  <c r="AS229" s="88"/>
      <c r="AT229" s="88"/>
      <c r="AU229" s="88"/>
      <c r="AV229" s="88"/>
      <c r="AW229" s="88"/>
      <c r="AX229" s="88"/>
      <c r="AY229" s="88"/>
      <c r="AZ229" s="88"/>
      <c r="BA229" s="88"/>
      <c r="BB229" s="88"/>
      <c r="BC229" s="88"/>
      <c r="BD229" s="88"/>
      <c r="BE229" s="88"/>
      <c r="BF229" s="88"/>
      <c r="BG229" s="88"/>
      <c r="BH229" s="88"/>
      <c r="BI229" s="88"/>
      <c r="BJ229" s="88"/>
      <c r="BK229" s="88"/>
      <c r="BL229" s="88"/>
      <c r="BM229" s="88"/>
      <c r="BN229" s="88"/>
      <c r="BO229" s="88"/>
      <c r="BP229" s="88"/>
      <c r="BQ229" s="88"/>
      <c r="BR229" s="88"/>
      <c r="BS229" s="88"/>
      <c r="BT229" s="88"/>
      <c r="BU229" s="88"/>
      <c r="BV229" s="88"/>
      <c r="BW229" s="88"/>
      <c r="BX229" s="88"/>
      <c r="BY229" s="88"/>
      <c r="BZ229" s="88"/>
      <c r="CA229" s="88"/>
      <c r="CB229" s="88"/>
      <c r="CC229" s="88"/>
      <c r="CD229" s="88"/>
      <c r="CE229" s="88"/>
      <c r="CF229" s="88"/>
      <c r="CG229" s="88"/>
      <c r="CH229" s="88"/>
      <c r="CI229" s="88"/>
      <c r="CJ229" s="88"/>
      <c r="CK229" s="88"/>
      <c r="CL229" s="88"/>
      <c r="CM229" s="88"/>
      <c r="CN229" s="88"/>
      <c r="CO229" s="88"/>
      <c r="CP229" s="88"/>
      <c r="CQ229" s="88"/>
      <c r="CR229" s="88"/>
      <c r="CS229" s="88"/>
      <c r="CT229" s="88"/>
      <c r="CU229" s="88"/>
      <c r="CV229" s="88"/>
      <c r="CW229" s="88"/>
      <c r="CX229" s="88"/>
      <c r="CY229" s="88"/>
      <c r="CZ229" s="88"/>
      <c r="DA229" s="88"/>
      <c r="DB229" s="88"/>
      <c r="DC229" s="88"/>
      <c r="DD229" s="88"/>
      <c r="DE229" s="88"/>
      <c r="DF229" s="88"/>
      <c r="DG229" s="88"/>
      <c r="DH229" s="88"/>
      <c r="DI229" s="42"/>
    </row>
    <row r="230" spans="1:113" s="43" customFormat="1" x14ac:dyDescent="0.25">
      <c r="A230" s="52" t="s">
        <v>44</v>
      </c>
      <c r="B230" s="54">
        <v>14</v>
      </c>
      <c r="C230" s="55">
        <v>20</v>
      </c>
      <c r="D230" s="3">
        <v>7</v>
      </c>
      <c r="E230" s="56">
        <v>7</v>
      </c>
      <c r="F230" s="56">
        <v>14</v>
      </c>
      <c r="G230" s="3">
        <v>14</v>
      </c>
      <c r="H230" s="57">
        <v>14</v>
      </c>
      <c r="I230" s="3">
        <v>1</v>
      </c>
      <c r="J230" s="3">
        <v>14</v>
      </c>
      <c r="K230" s="3">
        <v>14</v>
      </c>
      <c r="L230" s="58">
        <v>14</v>
      </c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  <c r="AR230" s="88"/>
      <c r="AS230" s="88"/>
      <c r="AT230" s="88"/>
      <c r="AU230" s="88"/>
      <c r="AV230" s="88"/>
      <c r="AW230" s="88"/>
      <c r="AX230" s="88"/>
      <c r="AY230" s="88"/>
      <c r="AZ230" s="88"/>
      <c r="BA230" s="88"/>
      <c r="BB230" s="88"/>
      <c r="BC230" s="88"/>
      <c r="BD230" s="88"/>
      <c r="BE230" s="88"/>
      <c r="BF230" s="88"/>
      <c r="BG230" s="88"/>
      <c r="BH230" s="88"/>
      <c r="BI230" s="88"/>
      <c r="BJ230" s="88"/>
      <c r="BK230" s="88"/>
      <c r="BL230" s="88"/>
      <c r="BM230" s="88"/>
      <c r="BN230" s="88"/>
      <c r="BO230" s="88"/>
      <c r="BP230" s="88"/>
      <c r="BQ230" s="88"/>
      <c r="BR230" s="88"/>
      <c r="BS230" s="88"/>
      <c r="BT230" s="88"/>
      <c r="BU230" s="88"/>
      <c r="BV230" s="88"/>
      <c r="BW230" s="88"/>
      <c r="BX230" s="88"/>
      <c r="BY230" s="88"/>
      <c r="BZ230" s="88"/>
      <c r="CA230" s="88"/>
      <c r="CB230" s="88"/>
      <c r="CC230" s="88"/>
      <c r="CD230" s="88"/>
      <c r="CE230" s="88"/>
      <c r="CF230" s="88"/>
      <c r="CG230" s="88"/>
      <c r="CH230" s="88"/>
      <c r="CI230" s="88"/>
      <c r="CJ230" s="88"/>
      <c r="CK230" s="88"/>
      <c r="CL230" s="88"/>
      <c r="CM230" s="88"/>
      <c r="CN230" s="88"/>
      <c r="CO230" s="88"/>
      <c r="CP230" s="88"/>
      <c r="CQ230" s="88"/>
      <c r="CR230" s="88"/>
      <c r="CS230" s="88"/>
      <c r="CT230" s="88"/>
      <c r="CU230" s="88"/>
      <c r="CV230" s="88"/>
      <c r="CW230" s="88"/>
      <c r="CX230" s="88"/>
      <c r="CY230" s="88"/>
      <c r="CZ230" s="88"/>
      <c r="DA230" s="88"/>
      <c r="DB230" s="88"/>
      <c r="DC230" s="88"/>
      <c r="DD230" s="88"/>
      <c r="DE230" s="88"/>
      <c r="DF230" s="88"/>
      <c r="DG230" s="88"/>
      <c r="DH230" s="88"/>
      <c r="DI230" s="42"/>
    </row>
    <row r="231" spans="1:113" s="43" customFormat="1" x14ac:dyDescent="0.25">
      <c r="A231" s="52" t="s">
        <v>94</v>
      </c>
      <c r="B231" s="54">
        <v>25</v>
      </c>
      <c r="C231" s="55">
        <v>22</v>
      </c>
      <c r="D231" s="3">
        <v>9</v>
      </c>
      <c r="E231" s="56">
        <v>9</v>
      </c>
      <c r="F231" s="56">
        <v>26</v>
      </c>
      <c r="G231" s="3">
        <v>20</v>
      </c>
      <c r="H231" s="57">
        <v>26</v>
      </c>
      <c r="I231" s="3">
        <v>9</v>
      </c>
      <c r="J231" s="3">
        <v>26</v>
      </c>
      <c r="K231" s="3">
        <v>19</v>
      </c>
      <c r="L231" s="58">
        <v>26</v>
      </c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8"/>
      <c r="AV231" s="88"/>
      <c r="AW231" s="88"/>
      <c r="AX231" s="88"/>
      <c r="AY231" s="88"/>
      <c r="AZ231" s="88"/>
      <c r="BA231" s="88"/>
      <c r="BB231" s="88"/>
      <c r="BC231" s="88"/>
      <c r="BD231" s="88"/>
      <c r="BE231" s="88"/>
      <c r="BF231" s="88"/>
      <c r="BG231" s="88"/>
      <c r="BH231" s="88"/>
      <c r="BI231" s="88"/>
      <c r="BJ231" s="88"/>
      <c r="BK231" s="88"/>
      <c r="BL231" s="88"/>
      <c r="BM231" s="88"/>
      <c r="BN231" s="88"/>
      <c r="BO231" s="88"/>
      <c r="BP231" s="88"/>
      <c r="BQ231" s="88"/>
      <c r="BR231" s="88"/>
      <c r="BS231" s="88"/>
      <c r="BT231" s="88"/>
      <c r="BU231" s="88"/>
      <c r="BV231" s="88"/>
      <c r="BW231" s="88"/>
      <c r="BX231" s="88"/>
      <c r="BY231" s="88"/>
      <c r="BZ231" s="88"/>
      <c r="CA231" s="88"/>
      <c r="CB231" s="88"/>
      <c r="CC231" s="88"/>
      <c r="CD231" s="88"/>
      <c r="CE231" s="88"/>
      <c r="CF231" s="88"/>
      <c r="CG231" s="88"/>
      <c r="CH231" s="88"/>
      <c r="CI231" s="88"/>
      <c r="CJ231" s="88"/>
      <c r="CK231" s="88"/>
      <c r="CL231" s="88"/>
      <c r="CM231" s="88"/>
      <c r="CN231" s="88"/>
      <c r="CO231" s="88"/>
      <c r="CP231" s="88"/>
      <c r="CQ231" s="88"/>
      <c r="CR231" s="88"/>
      <c r="CS231" s="88"/>
      <c r="CT231" s="88"/>
      <c r="CU231" s="88"/>
      <c r="CV231" s="88"/>
      <c r="CW231" s="88"/>
      <c r="CX231" s="88"/>
      <c r="CY231" s="88"/>
      <c r="CZ231" s="88"/>
      <c r="DA231" s="88"/>
      <c r="DB231" s="88"/>
      <c r="DC231" s="88"/>
      <c r="DD231" s="88"/>
      <c r="DE231" s="88"/>
      <c r="DF231" s="88"/>
      <c r="DG231" s="88"/>
      <c r="DH231" s="88"/>
      <c r="DI231" s="42"/>
    </row>
    <row r="232" spans="1:113" s="43" customFormat="1" x14ac:dyDescent="0.25">
      <c r="A232" s="52" t="s">
        <v>95</v>
      </c>
      <c r="B232" s="54">
        <v>21</v>
      </c>
      <c r="C232" s="55">
        <v>28</v>
      </c>
      <c r="D232" s="3">
        <v>1</v>
      </c>
      <c r="E232" s="56">
        <v>1</v>
      </c>
      <c r="F232" s="56">
        <v>10</v>
      </c>
      <c r="G232" s="3">
        <v>20</v>
      </c>
      <c r="H232" s="57">
        <v>22</v>
      </c>
      <c r="I232" s="3">
        <v>4</v>
      </c>
      <c r="J232" s="3">
        <v>10</v>
      </c>
      <c r="K232" s="3">
        <v>21</v>
      </c>
      <c r="L232" s="58">
        <v>22</v>
      </c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/>
      <c r="BB232" s="88"/>
      <c r="BC232" s="88"/>
      <c r="BD232" s="88"/>
      <c r="BE232" s="88"/>
      <c r="BF232" s="88"/>
      <c r="BG232" s="88"/>
      <c r="BH232" s="88"/>
      <c r="BI232" s="88"/>
      <c r="BJ232" s="88"/>
      <c r="BK232" s="88"/>
      <c r="BL232" s="88"/>
      <c r="BM232" s="88"/>
      <c r="BN232" s="88"/>
      <c r="BO232" s="88"/>
      <c r="BP232" s="88"/>
      <c r="BQ232" s="88"/>
      <c r="BR232" s="88"/>
      <c r="BS232" s="88"/>
      <c r="BT232" s="88"/>
      <c r="BU232" s="88"/>
      <c r="BV232" s="88"/>
      <c r="BW232" s="88"/>
      <c r="BX232" s="88"/>
      <c r="BY232" s="88"/>
      <c r="BZ232" s="88"/>
      <c r="CA232" s="88"/>
      <c r="CB232" s="88"/>
      <c r="CC232" s="88"/>
      <c r="CD232" s="88"/>
      <c r="CE232" s="88"/>
      <c r="CF232" s="88"/>
      <c r="CG232" s="88"/>
      <c r="CH232" s="88"/>
      <c r="CI232" s="88"/>
      <c r="CJ232" s="88"/>
      <c r="CK232" s="88"/>
      <c r="CL232" s="88"/>
      <c r="CM232" s="88"/>
      <c r="CN232" s="88"/>
      <c r="CO232" s="88"/>
      <c r="CP232" s="88"/>
      <c r="CQ232" s="88"/>
      <c r="CR232" s="88"/>
      <c r="CS232" s="88"/>
      <c r="CT232" s="88"/>
      <c r="CU232" s="88"/>
      <c r="CV232" s="88"/>
      <c r="CW232" s="88"/>
      <c r="CX232" s="88"/>
      <c r="CY232" s="88"/>
      <c r="CZ232" s="88"/>
      <c r="DA232" s="88"/>
      <c r="DB232" s="88"/>
      <c r="DC232" s="88"/>
      <c r="DD232" s="88"/>
      <c r="DE232" s="88"/>
      <c r="DF232" s="88"/>
      <c r="DG232" s="88"/>
      <c r="DH232" s="88"/>
      <c r="DI232" s="42"/>
    </row>
    <row r="233" spans="1:113" s="43" customFormat="1" x14ac:dyDescent="0.25">
      <c r="A233" s="52" t="s">
        <v>96</v>
      </c>
      <c r="B233" s="54">
        <v>21</v>
      </c>
      <c r="C233" s="55">
        <v>21</v>
      </c>
      <c r="D233" s="3">
        <v>1</v>
      </c>
      <c r="E233" s="56">
        <v>1</v>
      </c>
      <c r="F233" s="56">
        <v>26</v>
      </c>
      <c r="G233" s="3">
        <v>40</v>
      </c>
      <c r="H233" s="57">
        <v>23</v>
      </c>
      <c r="I233" s="3">
        <v>9</v>
      </c>
      <c r="J233" s="3">
        <v>26</v>
      </c>
      <c r="K233" s="3">
        <v>40</v>
      </c>
      <c r="L233" s="58">
        <v>23</v>
      </c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8"/>
      <c r="AV233" s="88"/>
      <c r="AW233" s="88"/>
      <c r="AX233" s="88"/>
      <c r="AY233" s="88"/>
      <c r="AZ233" s="88"/>
      <c r="BA233" s="88"/>
      <c r="BB233" s="88"/>
      <c r="BC233" s="88"/>
      <c r="BD233" s="88"/>
      <c r="BE233" s="88"/>
      <c r="BF233" s="88"/>
      <c r="BG233" s="88"/>
      <c r="BH233" s="88"/>
      <c r="BI233" s="88"/>
      <c r="BJ233" s="88"/>
      <c r="BK233" s="88"/>
      <c r="BL233" s="88"/>
      <c r="BM233" s="88"/>
      <c r="BN233" s="88"/>
      <c r="BO233" s="88"/>
      <c r="BP233" s="88"/>
      <c r="BQ233" s="88"/>
      <c r="BR233" s="88"/>
      <c r="BS233" s="88"/>
      <c r="BT233" s="88"/>
      <c r="BU233" s="88"/>
      <c r="BV233" s="88"/>
      <c r="BW233" s="88"/>
      <c r="BX233" s="88"/>
      <c r="BY233" s="88"/>
      <c r="BZ233" s="88"/>
      <c r="CA233" s="88"/>
      <c r="CB233" s="88"/>
      <c r="CC233" s="88"/>
      <c r="CD233" s="88"/>
      <c r="CE233" s="88"/>
      <c r="CF233" s="88"/>
      <c r="CG233" s="88"/>
      <c r="CH233" s="88"/>
      <c r="CI233" s="88"/>
      <c r="CJ233" s="88"/>
      <c r="CK233" s="88"/>
      <c r="CL233" s="88"/>
      <c r="CM233" s="88"/>
      <c r="CN233" s="88"/>
      <c r="CO233" s="88"/>
      <c r="CP233" s="88"/>
      <c r="CQ233" s="88"/>
      <c r="CR233" s="88"/>
      <c r="CS233" s="88"/>
      <c r="CT233" s="88"/>
      <c r="CU233" s="88"/>
      <c r="CV233" s="88"/>
      <c r="CW233" s="88"/>
      <c r="CX233" s="88"/>
      <c r="CY233" s="88"/>
      <c r="CZ233" s="88"/>
      <c r="DA233" s="88"/>
      <c r="DB233" s="88"/>
      <c r="DC233" s="88"/>
      <c r="DD233" s="88"/>
      <c r="DE233" s="88"/>
      <c r="DF233" s="88"/>
      <c r="DG233" s="88"/>
      <c r="DH233" s="88"/>
      <c r="DI233" s="42"/>
    </row>
    <row r="234" spans="1:113" s="43" customFormat="1" x14ac:dyDescent="0.25">
      <c r="A234" s="52" t="s">
        <v>97</v>
      </c>
      <c r="B234" s="54">
        <v>96</v>
      </c>
      <c r="C234" s="55">
        <v>79</v>
      </c>
      <c r="D234" s="3">
        <v>192</v>
      </c>
      <c r="E234" s="56">
        <v>192</v>
      </c>
      <c r="F234" s="56">
        <v>96</v>
      </c>
      <c r="G234" s="3">
        <v>86</v>
      </c>
      <c r="H234" s="57">
        <v>98</v>
      </c>
      <c r="I234" s="3">
        <v>32</v>
      </c>
      <c r="J234" s="3">
        <v>96</v>
      </c>
      <c r="K234" s="3">
        <v>86</v>
      </c>
      <c r="L234" s="58">
        <v>98</v>
      </c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s="88"/>
      <c r="AS234" s="88"/>
      <c r="AT234" s="88"/>
      <c r="AU234" s="88"/>
      <c r="AV234" s="88"/>
      <c r="AW234" s="88"/>
      <c r="AX234" s="88"/>
      <c r="AY234" s="88"/>
      <c r="AZ234" s="88"/>
      <c r="BA234" s="88"/>
      <c r="BB234" s="88"/>
      <c r="BC234" s="88"/>
      <c r="BD234" s="88"/>
      <c r="BE234" s="88"/>
      <c r="BF234" s="88"/>
      <c r="BG234" s="88"/>
      <c r="BH234" s="88"/>
      <c r="BI234" s="88"/>
      <c r="BJ234" s="88"/>
      <c r="BK234" s="88"/>
      <c r="BL234" s="88"/>
      <c r="BM234" s="88"/>
      <c r="BN234" s="88"/>
      <c r="BO234" s="88"/>
      <c r="BP234" s="88"/>
      <c r="BQ234" s="88"/>
      <c r="BR234" s="88"/>
      <c r="BS234" s="88"/>
      <c r="BT234" s="88"/>
      <c r="BU234" s="88"/>
      <c r="BV234" s="88"/>
      <c r="BW234" s="88"/>
      <c r="BX234" s="88"/>
      <c r="BY234" s="88"/>
      <c r="BZ234" s="88"/>
      <c r="CA234" s="88"/>
      <c r="CB234" s="88"/>
      <c r="CC234" s="88"/>
      <c r="CD234" s="88"/>
      <c r="CE234" s="88"/>
      <c r="CF234" s="88"/>
      <c r="CG234" s="88"/>
      <c r="CH234" s="88"/>
      <c r="CI234" s="88"/>
      <c r="CJ234" s="88"/>
      <c r="CK234" s="88"/>
      <c r="CL234" s="88"/>
      <c r="CM234" s="88"/>
      <c r="CN234" s="88"/>
      <c r="CO234" s="88"/>
      <c r="CP234" s="88"/>
      <c r="CQ234" s="88"/>
      <c r="CR234" s="88"/>
      <c r="CS234" s="88"/>
      <c r="CT234" s="88"/>
      <c r="CU234" s="88"/>
      <c r="CV234" s="88"/>
      <c r="CW234" s="88"/>
      <c r="CX234" s="88"/>
      <c r="CY234" s="88"/>
      <c r="CZ234" s="88"/>
      <c r="DA234" s="88"/>
      <c r="DB234" s="88"/>
      <c r="DC234" s="88"/>
      <c r="DD234" s="88"/>
      <c r="DE234" s="88"/>
      <c r="DF234" s="88"/>
      <c r="DG234" s="88"/>
      <c r="DH234" s="88"/>
      <c r="DI234" s="42"/>
    </row>
    <row r="235" spans="1:113" s="8" customFormat="1" x14ac:dyDescent="0.25">
      <c r="A235" s="36"/>
      <c r="B235" s="61"/>
      <c r="C235" s="62"/>
      <c r="D235" s="63"/>
      <c r="E235" s="64"/>
      <c r="F235" s="64"/>
      <c r="G235" s="63"/>
      <c r="H235" s="65"/>
      <c r="I235" s="63"/>
      <c r="J235" s="63"/>
      <c r="K235" s="63"/>
      <c r="L235" s="66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51"/>
    </row>
    <row r="236" spans="1:113" s="43" customFormat="1" x14ac:dyDescent="0.25">
      <c r="A236" s="36" t="s">
        <v>98</v>
      </c>
      <c r="B236" s="37">
        <f>B237</f>
        <v>185</v>
      </c>
      <c r="C236" s="38">
        <f t="shared" ref="C236:L236" si="21">C237</f>
        <v>184</v>
      </c>
      <c r="D236" s="4">
        <f t="shared" si="21"/>
        <v>153</v>
      </c>
      <c r="E236" s="39">
        <f t="shared" si="21"/>
        <v>153</v>
      </c>
      <c r="F236" s="39">
        <f t="shared" si="21"/>
        <v>184</v>
      </c>
      <c r="G236" s="4">
        <f t="shared" si="21"/>
        <v>184</v>
      </c>
      <c r="H236" s="40">
        <f t="shared" si="21"/>
        <v>185</v>
      </c>
      <c r="I236" s="4">
        <f t="shared" si="21"/>
        <v>24</v>
      </c>
      <c r="J236" s="4">
        <f t="shared" si="21"/>
        <v>184</v>
      </c>
      <c r="K236" s="4">
        <f t="shared" si="21"/>
        <v>184</v>
      </c>
      <c r="L236" s="41">
        <f t="shared" si="21"/>
        <v>185</v>
      </c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  <c r="AR236" s="88"/>
      <c r="AS236" s="88"/>
      <c r="AT236" s="88"/>
      <c r="AU236" s="88"/>
      <c r="AV236" s="88"/>
      <c r="AW236" s="88"/>
      <c r="AX236" s="88"/>
      <c r="AY236" s="88"/>
      <c r="AZ236" s="88"/>
      <c r="BA236" s="88"/>
      <c r="BB236" s="88"/>
      <c r="BC236" s="88"/>
      <c r="BD236" s="88"/>
      <c r="BE236" s="88"/>
      <c r="BF236" s="88"/>
      <c r="BG236" s="88"/>
      <c r="BH236" s="88"/>
      <c r="BI236" s="88"/>
      <c r="BJ236" s="88"/>
      <c r="BK236" s="88"/>
      <c r="BL236" s="88"/>
      <c r="BM236" s="88"/>
      <c r="BN236" s="88"/>
      <c r="BO236" s="88"/>
      <c r="BP236" s="88"/>
      <c r="BQ236" s="88"/>
      <c r="BR236" s="88"/>
      <c r="BS236" s="88"/>
      <c r="BT236" s="88"/>
      <c r="BU236" s="88"/>
      <c r="BV236" s="88"/>
      <c r="BW236" s="88"/>
      <c r="BX236" s="88"/>
      <c r="BY236" s="88"/>
      <c r="BZ236" s="88"/>
      <c r="CA236" s="88"/>
      <c r="CB236" s="88"/>
      <c r="CC236" s="88"/>
      <c r="CD236" s="88"/>
      <c r="CE236" s="88"/>
      <c r="CF236" s="88"/>
      <c r="CG236" s="88"/>
      <c r="CH236" s="88"/>
      <c r="CI236" s="88"/>
      <c r="CJ236" s="88"/>
      <c r="CK236" s="88"/>
      <c r="CL236" s="88"/>
      <c r="CM236" s="88"/>
      <c r="CN236" s="88"/>
      <c r="CO236" s="88"/>
      <c r="CP236" s="88"/>
      <c r="CQ236" s="88"/>
      <c r="CR236" s="88"/>
      <c r="CS236" s="88"/>
      <c r="CT236" s="88"/>
      <c r="CU236" s="88"/>
      <c r="CV236" s="88"/>
      <c r="CW236" s="88"/>
      <c r="CX236" s="88"/>
      <c r="CY236" s="88"/>
      <c r="CZ236" s="88"/>
      <c r="DA236" s="88"/>
      <c r="DB236" s="88"/>
      <c r="DC236" s="88"/>
      <c r="DD236" s="88"/>
      <c r="DE236" s="88"/>
      <c r="DF236" s="88"/>
      <c r="DG236" s="88"/>
      <c r="DH236" s="88"/>
      <c r="DI236" s="42"/>
    </row>
    <row r="237" spans="1:113" s="43" customFormat="1" x14ac:dyDescent="0.25">
      <c r="A237" s="52" t="s">
        <v>99</v>
      </c>
      <c r="B237" s="54">
        <v>185</v>
      </c>
      <c r="C237" s="55">
        <v>184</v>
      </c>
      <c r="D237" s="3">
        <v>153</v>
      </c>
      <c r="E237" s="56">
        <v>153</v>
      </c>
      <c r="F237" s="56">
        <v>184</v>
      </c>
      <c r="G237" s="3">
        <v>184</v>
      </c>
      <c r="H237" s="57">
        <v>185</v>
      </c>
      <c r="I237" s="3">
        <v>24</v>
      </c>
      <c r="J237" s="3">
        <v>184</v>
      </c>
      <c r="K237" s="3">
        <v>184</v>
      </c>
      <c r="L237" s="58">
        <v>185</v>
      </c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8"/>
      <c r="AV237" s="88"/>
      <c r="AW237" s="88"/>
      <c r="AX237" s="88"/>
      <c r="AY237" s="88"/>
      <c r="AZ237" s="88"/>
      <c r="BA237" s="88"/>
      <c r="BB237" s="88"/>
      <c r="BC237" s="88"/>
      <c r="BD237" s="88"/>
      <c r="BE237" s="88"/>
      <c r="BF237" s="88"/>
      <c r="BG237" s="88"/>
      <c r="BH237" s="88"/>
      <c r="BI237" s="88"/>
      <c r="BJ237" s="88"/>
      <c r="BK237" s="88"/>
      <c r="BL237" s="88"/>
      <c r="BM237" s="88"/>
      <c r="BN237" s="88"/>
      <c r="BO237" s="88"/>
      <c r="BP237" s="88"/>
      <c r="BQ237" s="88"/>
      <c r="BR237" s="88"/>
      <c r="BS237" s="88"/>
      <c r="BT237" s="88"/>
      <c r="BU237" s="88"/>
      <c r="BV237" s="88"/>
      <c r="BW237" s="88"/>
      <c r="BX237" s="88"/>
      <c r="BY237" s="88"/>
      <c r="BZ237" s="88"/>
      <c r="CA237" s="88"/>
      <c r="CB237" s="88"/>
      <c r="CC237" s="88"/>
      <c r="CD237" s="88"/>
      <c r="CE237" s="88"/>
      <c r="CF237" s="88"/>
      <c r="CG237" s="88"/>
      <c r="CH237" s="88"/>
      <c r="CI237" s="88"/>
      <c r="CJ237" s="88"/>
      <c r="CK237" s="88"/>
      <c r="CL237" s="88"/>
      <c r="CM237" s="88"/>
      <c r="CN237" s="88"/>
      <c r="CO237" s="88"/>
      <c r="CP237" s="88"/>
      <c r="CQ237" s="88"/>
      <c r="CR237" s="88"/>
      <c r="CS237" s="88"/>
      <c r="CT237" s="88"/>
      <c r="CU237" s="88"/>
      <c r="CV237" s="88"/>
      <c r="CW237" s="88"/>
      <c r="CX237" s="88"/>
      <c r="CY237" s="88"/>
      <c r="CZ237" s="88"/>
      <c r="DA237" s="88"/>
      <c r="DB237" s="88"/>
      <c r="DC237" s="88"/>
      <c r="DD237" s="88"/>
      <c r="DE237" s="88"/>
      <c r="DF237" s="88"/>
      <c r="DG237" s="88"/>
      <c r="DH237" s="88"/>
      <c r="DI237" s="42"/>
    </row>
    <row r="238" spans="1:113" s="81" customFormat="1" x14ac:dyDescent="0.25">
      <c r="A238" s="73"/>
      <c r="B238" s="74"/>
      <c r="C238" s="75"/>
      <c r="D238" s="76"/>
      <c r="E238" s="77"/>
      <c r="F238" s="77"/>
      <c r="G238" s="76"/>
      <c r="H238" s="78"/>
      <c r="I238" s="76"/>
      <c r="J238" s="76"/>
      <c r="K238" s="76"/>
      <c r="L238" s="79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  <c r="BF238" s="105"/>
      <c r="BG238" s="105"/>
      <c r="BH238" s="105"/>
      <c r="BI238" s="105"/>
      <c r="BJ238" s="105"/>
      <c r="BK238" s="105"/>
      <c r="BL238" s="105"/>
      <c r="BM238" s="105"/>
      <c r="BN238" s="105"/>
      <c r="BO238" s="105"/>
      <c r="BP238" s="105"/>
      <c r="BQ238" s="105"/>
      <c r="BR238" s="105"/>
      <c r="BS238" s="105"/>
      <c r="BT238" s="105"/>
      <c r="BU238" s="105"/>
      <c r="BV238" s="105"/>
      <c r="BW238" s="105"/>
      <c r="BX238" s="105"/>
      <c r="BY238" s="105"/>
      <c r="BZ238" s="105"/>
      <c r="CA238" s="105"/>
      <c r="CB238" s="105"/>
      <c r="CC238" s="105"/>
      <c r="CD238" s="105"/>
      <c r="CE238" s="105"/>
      <c r="CF238" s="105"/>
      <c r="CG238" s="105"/>
      <c r="CH238" s="105"/>
      <c r="CI238" s="105"/>
      <c r="CJ238" s="105"/>
      <c r="CK238" s="105"/>
      <c r="CL238" s="105"/>
      <c r="CM238" s="105"/>
      <c r="CN238" s="105"/>
      <c r="CO238" s="105"/>
      <c r="CP238" s="105"/>
      <c r="CQ238" s="105"/>
      <c r="CR238" s="105"/>
      <c r="CS238" s="105"/>
      <c r="CT238" s="105"/>
      <c r="CU238" s="105"/>
      <c r="CV238" s="105"/>
      <c r="CW238" s="105"/>
      <c r="CX238" s="105"/>
      <c r="CY238" s="105"/>
      <c r="CZ238" s="105"/>
      <c r="DA238" s="105"/>
      <c r="DB238" s="105"/>
      <c r="DC238" s="105"/>
      <c r="DD238" s="105"/>
      <c r="DE238" s="105"/>
      <c r="DF238" s="105"/>
      <c r="DG238" s="105"/>
      <c r="DH238" s="105"/>
      <c r="DI238" s="80"/>
    </row>
    <row r="239" spans="1:113" s="43" customFormat="1" x14ac:dyDescent="0.25">
      <c r="A239" s="36" t="s">
        <v>100</v>
      </c>
      <c r="B239" s="37">
        <f>SUM(B240:B245)</f>
        <v>301</v>
      </c>
      <c r="C239" s="38">
        <f t="shared" ref="C239:L239" si="22">SUM(C240:C245)</f>
        <v>302</v>
      </c>
      <c r="D239" s="4">
        <f>SUM(D240:D245)</f>
        <v>279</v>
      </c>
      <c r="E239" s="39">
        <f t="shared" si="22"/>
        <v>279</v>
      </c>
      <c r="F239" s="39">
        <f t="shared" si="22"/>
        <v>359</v>
      </c>
      <c r="G239" s="4">
        <f t="shared" si="22"/>
        <v>361</v>
      </c>
      <c r="H239" s="40">
        <f t="shared" si="22"/>
        <v>361</v>
      </c>
      <c r="I239" s="4">
        <f t="shared" si="22"/>
        <v>46</v>
      </c>
      <c r="J239" s="4">
        <f t="shared" si="22"/>
        <v>359</v>
      </c>
      <c r="K239" s="4">
        <f t="shared" si="22"/>
        <v>361</v>
      </c>
      <c r="L239" s="41">
        <f t="shared" si="22"/>
        <v>361</v>
      </c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  <c r="AQ239" s="88"/>
      <c r="AR239" s="88"/>
      <c r="AS239" s="88"/>
      <c r="AT239" s="88"/>
      <c r="AU239" s="88"/>
      <c r="AV239" s="88"/>
      <c r="AW239" s="88"/>
      <c r="AX239" s="88"/>
      <c r="AY239" s="88"/>
      <c r="AZ239" s="88"/>
      <c r="BA239" s="88"/>
      <c r="BB239" s="88"/>
      <c r="BC239" s="88"/>
      <c r="BD239" s="88"/>
      <c r="BE239" s="88"/>
      <c r="BF239" s="88"/>
      <c r="BG239" s="88"/>
      <c r="BH239" s="88"/>
      <c r="BI239" s="88"/>
      <c r="BJ239" s="88"/>
      <c r="BK239" s="88"/>
      <c r="BL239" s="88"/>
      <c r="BM239" s="88"/>
      <c r="BN239" s="88"/>
      <c r="BO239" s="88"/>
      <c r="BP239" s="88"/>
      <c r="BQ239" s="88"/>
      <c r="BR239" s="88"/>
      <c r="BS239" s="88"/>
      <c r="BT239" s="88"/>
      <c r="BU239" s="88"/>
      <c r="BV239" s="88"/>
      <c r="BW239" s="88"/>
      <c r="BX239" s="88"/>
      <c r="BY239" s="88"/>
      <c r="BZ239" s="88"/>
      <c r="CA239" s="88"/>
      <c r="CB239" s="88"/>
      <c r="CC239" s="88"/>
      <c r="CD239" s="88"/>
      <c r="CE239" s="88"/>
      <c r="CF239" s="88"/>
      <c r="CG239" s="88"/>
      <c r="CH239" s="88"/>
      <c r="CI239" s="88"/>
      <c r="CJ239" s="88"/>
      <c r="CK239" s="88"/>
      <c r="CL239" s="88"/>
      <c r="CM239" s="88"/>
      <c r="CN239" s="88"/>
      <c r="CO239" s="88"/>
      <c r="CP239" s="88"/>
      <c r="CQ239" s="88"/>
      <c r="CR239" s="88"/>
      <c r="CS239" s="88"/>
      <c r="CT239" s="88"/>
      <c r="CU239" s="88"/>
      <c r="CV239" s="88"/>
      <c r="CW239" s="88"/>
      <c r="CX239" s="88"/>
      <c r="CY239" s="88"/>
      <c r="CZ239" s="88"/>
      <c r="DA239" s="88"/>
      <c r="DB239" s="88"/>
      <c r="DC239" s="88"/>
      <c r="DD239" s="88"/>
      <c r="DE239" s="88"/>
      <c r="DF239" s="88"/>
      <c r="DG239" s="88"/>
      <c r="DH239" s="88"/>
      <c r="DI239" s="42"/>
    </row>
    <row r="240" spans="1:113" s="43" customFormat="1" x14ac:dyDescent="0.25">
      <c r="A240" s="52" t="s">
        <v>86</v>
      </c>
      <c r="B240" s="54">
        <v>173</v>
      </c>
      <c r="C240" s="55">
        <v>139</v>
      </c>
      <c r="D240" s="3">
        <v>162</v>
      </c>
      <c r="E240" s="56">
        <v>149</v>
      </c>
      <c r="F240" s="56">
        <v>181</v>
      </c>
      <c r="G240" s="3">
        <v>185</v>
      </c>
      <c r="H240" s="57">
        <v>197</v>
      </c>
      <c r="I240" s="3">
        <v>31</v>
      </c>
      <c r="J240" s="3">
        <v>178</v>
      </c>
      <c r="K240" s="3">
        <v>185</v>
      </c>
      <c r="L240" s="58">
        <v>197</v>
      </c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88"/>
      <c r="AV240" s="88"/>
      <c r="AW240" s="88"/>
      <c r="AX240" s="88"/>
      <c r="AY240" s="88"/>
      <c r="AZ240" s="88"/>
      <c r="BA240" s="88"/>
      <c r="BB240" s="88"/>
      <c r="BC240" s="88"/>
      <c r="BD240" s="88"/>
      <c r="BE240" s="88"/>
      <c r="BF240" s="88"/>
      <c r="BG240" s="88"/>
      <c r="BH240" s="88"/>
      <c r="BI240" s="88"/>
      <c r="BJ240" s="88"/>
      <c r="BK240" s="88"/>
      <c r="BL240" s="88"/>
      <c r="BM240" s="88"/>
      <c r="BN240" s="88"/>
      <c r="BO240" s="88"/>
      <c r="BP240" s="88"/>
      <c r="BQ240" s="88"/>
      <c r="BR240" s="88"/>
      <c r="BS240" s="88"/>
      <c r="BT240" s="88"/>
      <c r="BU240" s="88"/>
      <c r="BV240" s="88"/>
      <c r="BW240" s="88"/>
      <c r="BX240" s="88"/>
      <c r="BY240" s="88"/>
      <c r="BZ240" s="88"/>
      <c r="CA240" s="88"/>
      <c r="CB240" s="88"/>
      <c r="CC240" s="88"/>
      <c r="CD240" s="88"/>
      <c r="CE240" s="88"/>
      <c r="CF240" s="88"/>
      <c r="CG240" s="88"/>
      <c r="CH240" s="88"/>
      <c r="CI240" s="88"/>
      <c r="CJ240" s="88"/>
      <c r="CK240" s="88"/>
      <c r="CL240" s="88"/>
      <c r="CM240" s="88"/>
      <c r="CN240" s="88"/>
      <c r="CO240" s="88"/>
      <c r="CP240" s="88"/>
      <c r="CQ240" s="88"/>
      <c r="CR240" s="88"/>
      <c r="CS240" s="88"/>
      <c r="CT240" s="88"/>
      <c r="CU240" s="88"/>
      <c r="CV240" s="88"/>
      <c r="CW240" s="88"/>
      <c r="CX240" s="88"/>
      <c r="CY240" s="88"/>
      <c r="CZ240" s="88"/>
      <c r="DA240" s="88"/>
      <c r="DB240" s="88"/>
      <c r="DC240" s="88"/>
      <c r="DD240" s="88"/>
      <c r="DE240" s="88"/>
      <c r="DF240" s="88"/>
      <c r="DG240" s="88"/>
      <c r="DH240" s="88"/>
      <c r="DI240" s="42"/>
    </row>
    <row r="241" spans="1:113" s="43" customFormat="1" x14ac:dyDescent="0.25">
      <c r="A241" s="52" t="s">
        <v>101</v>
      </c>
      <c r="B241" s="54">
        <v>31</v>
      </c>
      <c r="C241" s="55">
        <v>31</v>
      </c>
      <c r="D241" s="3">
        <v>39</v>
      </c>
      <c r="E241" s="56">
        <v>37</v>
      </c>
      <c r="F241" s="56">
        <v>48</v>
      </c>
      <c r="G241" s="3">
        <v>50</v>
      </c>
      <c r="H241" s="57">
        <v>47</v>
      </c>
      <c r="I241" s="3">
        <v>8</v>
      </c>
      <c r="J241" s="3">
        <v>48</v>
      </c>
      <c r="K241" s="3">
        <v>50</v>
      </c>
      <c r="L241" s="58">
        <v>47</v>
      </c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  <c r="AQ241" s="88"/>
      <c r="AR241" s="88"/>
      <c r="AS241" s="88"/>
      <c r="AT241" s="88"/>
      <c r="AU241" s="88"/>
      <c r="AV241" s="88"/>
      <c r="AW241" s="88"/>
      <c r="AX241" s="88"/>
      <c r="AY241" s="88"/>
      <c r="AZ241" s="88"/>
      <c r="BA241" s="88"/>
      <c r="BB241" s="88"/>
      <c r="BC241" s="88"/>
      <c r="BD241" s="88"/>
      <c r="BE241" s="88"/>
      <c r="BF241" s="88"/>
      <c r="BG241" s="88"/>
      <c r="BH241" s="88"/>
      <c r="BI241" s="88"/>
      <c r="BJ241" s="88"/>
      <c r="BK241" s="88"/>
      <c r="BL241" s="88"/>
      <c r="BM241" s="88"/>
      <c r="BN241" s="88"/>
      <c r="BO241" s="88"/>
      <c r="BP241" s="88"/>
      <c r="BQ241" s="88"/>
      <c r="BR241" s="88"/>
      <c r="BS241" s="88"/>
      <c r="BT241" s="88"/>
      <c r="BU241" s="88"/>
      <c r="BV241" s="88"/>
      <c r="BW241" s="88"/>
      <c r="BX241" s="88"/>
      <c r="BY241" s="88"/>
      <c r="BZ241" s="88"/>
      <c r="CA241" s="88"/>
      <c r="CB241" s="88"/>
      <c r="CC241" s="88"/>
      <c r="CD241" s="88"/>
      <c r="CE241" s="88"/>
      <c r="CF241" s="88"/>
      <c r="CG241" s="88"/>
      <c r="CH241" s="88"/>
      <c r="CI241" s="88"/>
      <c r="CJ241" s="88"/>
      <c r="CK241" s="88"/>
      <c r="CL241" s="88"/>
      <c r="CM241" s="88"/>
      <c r="CN241" s="88"/>
      <c r="CO241" s="88"/>
      <c r="CP241" s="88"/>
      <c r="CQ241" s="88"/>
      <c r="CR241" s="88"/>
      <c r="CS241" s="88"/>
      <c r="CT241" s="88"/>
      <c r="CU241" s="88"/>
      <c r="CV241" s="88"/>
      <c r="CW241" s="88"/>
      <c r="CX241" s="88"/>
      <c r="CY241" s="88"/>
      <c r="CZ241" s="88"/>
      <c r="DA241" s="88"/>
      <c r="DB241" s="88"/>
      <c r="DC241" s="88"/>
      <c r="DD241" s="88"/>
      <c r="DE241" s="88"/>
      <c r="DF241" s="88"/>
      <c r="DG241" s="88"/>
      <c r="DH241" s="88"/>
      <c r="DI241" s="42"/>
    </row>
    <row r="242" spans="1:113" s="43" customFormat="1" x14ac:dyDescent="0.25">
      <c r="A242" s="52" t="s">
        <v>234</v>
      </c>
      <c r="B242" s="54">
        <v>21</v>
      </c>
      <c r="C242" s="55">
        <v>16</v>
      </c>
      <c r="D242" s="3">
        <v>8</v>
      </c>
      <c r="E242" s="56">
        <v>11</v>
      </c>
      <c r="F242" s="56">
        <v>10</v>
      </c>
      <c r="G242" s="3">
        <v>16</v>
      </c>
      <c r="H242" s="57">
        <v>18</v>
      </c>
      <c r="I242" s="3">
        <v>3</v>
      </c>
      <c r="J242" s="3">
        <v>11</v>
      </c>
      <c r="K242" s="3">
        <v>16</v>
      </c>
      <c r="L242" s="58">
        <v>18</v>
      </c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  <c r="AQ242" s="88"/>
      <c r="AR242" s="88"/>
      <c r="AS242" s="88"/>
      <c r="AT242" s="88"/>
      <c r="AU242" s="88"/>
      <c r="AV242" s="88"/>
      <c r="AW242" s="88"/>
      <c r="AX242" s="88"/>
      <c r="AY242" s="88"/>
      <c r="AZ242" s="88"/>
      <c r="BA242" s="88"/>
      <c r="BB242" s="88"/>
      <c r="BC242" s="88"/>
      <c r="BD242" s="88"/>
      <c r="BE242" s="88"/>
      <c r="BF242" s="88"/>
      <c r="BG242" s="88"/>
      <c r="BH242" s="88"/>
      <c r="BI242" s="88"/>
      <c r="BJ242" s="88"/>
      <c r="BK242" s="88"/>
      <c r="BL242" s="88"/>
      <c r="BM242" s="88"/>
      <c r="BN242" s="88"/>
      <c r="BO242" s="88"/>
      <c r="BP242" s="88"/>
      <c r="BQ242" s="88"/>
      <c r="BR242" s="88"/>
      <c r="BS242" s="88"/>
      <c r="BT242" s="88"/>
      <c r="BU242" s="88"/>
      <c r="BV242" s="88"/>
      <c r="BW242" s="88"/>
      <c r="BX242" s="88"/>
      <c r="BY242" s="88"/>
      <c r="BZ242" s="88"/>
      <c r="CA242" s="88"/>
      <c r="CB242" s="88"/>
      <c r="CC242" s="88"/>
      <c r="CD242" s="88"/>
      <c r="CE242" s="88"/>
      <c r="CF242" s="88"/>
      <c r="CG242" s="88"/>
      <c r="CH242" s="88"/>
      <c r="CI242" s="88"/>
      <c r="CJ242" s="88"/>
      <c r="CK242" s="88"/>
      <c r="CL242" s="88"/>
      <c r="CM242" s="88"/>
      <c r="CN242" s="88"/>
      <c r="CO242" s="88"/>
      <c r="CP242" s="88"/>
      <c r="CQ242" s="88"/>
      <c r="CR242" s="88"/>
      <c r="CS242" s="88"/>
      <c r="CT242" s="88"/>
      <c r="CU242" s="88"/>
      <c r="CV242" s="88"/>
      <c r="CW242" s="88"/>
      <c r="CX242" s="88"/>
      <c r="CY242" s="88"/>
      <c r="CZ242" s="88"/>
      <c r="DA242" s="88"/>
      <c r="DB242" s="88"/>
      <c r="DC242" s="88"/>
      <c r="DD242" s="88"/>
      <c r="DE242" s="88"/>
      <c r="DF242" s="88"/>
      <c r="DG242" s="88"/>
      <c r="DH242" s="88"/>
      <c r="DI242" s="42"/>
    </row>
    <row r="243" spans="1:113" s="43" customFormat="1" x14ac:dyDescent="0.25">
      <c r="A243" s="52" t="s">
        <v>40</v>
      </c>
      <c r="B243" s="54">
        <v>38</v>
      </c>
      <c r="C243" s="55">
        <v>56</v>
      </c>
      <c r="D243" s="3">
        <v>39</v>
      </c>
      <c r="E243" s="56">
        <v>40</v>
      </c>
      <c r="F243" s="56">
        <v>45</v>
      </c>
      <c r="G243" s="3">
        <v>38</v>
      </c>
      <c r="H243" s="57">
        <v>42</v>
      </c>
      <c r="I243" s="3">
        <v>1</v>
      </c>
      <c r="J243" s="3">
        <v>45</v>
      </c>
      <c r="K243" s="3">
        <v>38</v>
      </c>
      <c r="L243" s="58">
        <v>42</v>
      </c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  <c r="AQ243" s="88"/>
      <c r="AR243" s="88"/>
      <c r="AS243" s="88"/>
      <c r="AT243" s="88"/>
      <c r="AU243" s="88"/>
      <c r="AV243" s="88"/>
      <c r="AW243" s="88"/>
      <c r="AX243" s="88"/>
      <c r="AY243" s="88"/>
      <c r="AZ243" s="88"/>
      <c r="BA243" s="88"/>
      <c r="BB243" s="88"/>
      <c r="BC243" s="88"/>
      <c r="BD243" s="88"/>
      <c r="BE243" s="88"/>
      <c r="BF243" s="88"/>
      <c r="BG243" s="88"/>
      <c r="BH243" s="88"/>
      <c r="BI243" s="88"/>
      <c r="BJ243" s="88"/>
      <c r="BK243" s="88"/>
      <c r="BL243" s="88"/>
      <c r="BM243" s="88"/>
      <c r="BN243" s="88"/>
      <c r="BO243" s="88"/>
      <c r="BP243" s="88"/>
      <c r="BQ243" s="88"/>
      <c r="BR243" s="88"/>
      <c r="BS243" s="88"/>
      <c r="BT243" s="88"/>
      <c r="BU243" s="88"/>
      <c r="BV243" s="88"/>
      <c r="BW243" s="88"/>
      <c r="BX243" s="88"/>
      <c r="BY243" s="88"/>
      <c r="BZ243" s="88"/>
      <c r="CA243" s="88"/>
      <c r="CB243" s="88"/>
      <c r="CC243" s="88"/>
      <c r="CD243" s="88"/>
      <c r="CE243" s="88"/>
      <c r="CF243" s="88"/>
      <c r="CG243" s="88"/>
      <c r="CH243" s="88"/>
      <c r="CI243" s="88"/>
      <c r="CJ243" s="88"/>
      <c r="CK243" s="88"/>
      <c r="CL243" s="88"/>
      <c r="CM243" s="88"/>
      <c r="CN243" s="88"/>
      <c r="CO243" s="88"/>
      <c r="CP243" s="88"/>
      <c r="CQ243" s="88"/>
      <c r="CR243" s="88"/>
      <c r="CS243" s="88"/>
      <c r="CT243" s="88"/>
      <c r="CU243" s="88"/>
      <c r="CV243" s="88"/>
      <c r="CW243" s="88"/>
      <c r="CX243" s="88"/>
      <c r="CY243" s="88"/>
      <c r="CZ243" s="88"/>
      <c r="DA243" s="88"/>
      <c r="DB243" s="88"/>
      <c r="DC243" s="88"/>
      <c r="DD243" s="88"/>
      <c r="DE243" s="88"/>
      <c r="DF243" s="88"/>
      <c r="DG243" s="88"/>
      <c r="DH243" s="88"/>
      <c r="DI243" s="42"/>
    </row>
    <row r="244" spans="1:113" s="43" customFormat="1" x14ac:dyDescent="0.25">
      <c r="A244" s="52" t="s">
        <v>102</v>
      </c>
      <c r="B244" s="54">
        <v>11</v>
      </c>
      <c r="C244" s="55">
        <v>26</v>
      </c>
      <c r="D244" s="3">
        <v>11</v>
      </c>
      <c r="E244" s="56">
        <v>12</v>
      </c>
      <c r="F244" s="56">
        <v>32</v>
      </c>
      <c r="G244" s="3">
        <v>23</v>
      </c>
      <c r="H244" s="57">
        <v>19</v>
      </c>
      <c r="I244" s="3">
        <v>0</v>
      </c>
      <c r="J244" s="3">
        <v>32</v>
      </c>
      <c r="K244" s="3">
        <v>23</v>
      </c>
      <c r="L244" s="58">
        <v>19</v>
      </c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  <c r="AQ244" s="88"/>
      <c r="AR244" s="88"/>
      <c r="AS244" s="88"/>
      <c r="AT244" s="88"/>
      <c r="AU244" s="88"/>
      <c r="AV244" s="88"/>
      <c r="AW244" s="88"/>
      <c r="AX244" s="88"/>
      <c r="AY244" s="88"/>
      <c r="AZ244" s="88"/>
      <c r="BA244" s="88"/>
      <c r="BB244" s="88"/>
      <c r="BC244" s="88"/>
      <c r="BD244" s="88"/>
      <c r="BE244" s="88"/>
      <c r="BF244" s="88"/>
      <c r="BG244" s="88"/>
      <c r="BH244" s="88"/>
      <c r="BI244" s="88"/>
      <c r="BJ244" s="88"/>
      <c r="BK244" s="88"/>
      <c r="BL244" s="88"/>
      <c r="BM244" s="88"/>
      <c r="BN244" s="88"/>
      <c r="BO244" s="88"/>
      <c r="BP244" s="88"/>
      <c r="BQ244" s="88"/>
      <c r="BR244" s="88"/>
      <c r="BS244" s="88"/>
      <c r="BT244" s="88"/>
      <c r="BU244" s="88"/>
      <c r="BV244" s="88"/>
      <c r="BW244" s="88"/>
      <c r="BX244" s="88"/>
      <c r="BY244" s="88"/>
      <c r="BZ244" s="88"/>
      <c r="CA244" s="88"/>
      <c r="CB244" s="88"/>
      <c r="CC244" s="88"/>
      <c r="CD244" s="88"/>
      <c r="CE244" s="88"/>
      <c r="CF244" s="88"/>
      <c r="CG244" s="88"/>
      <c r="CH244" s="88"/>
      <c r="CI244" s="88"/>
      <c r="CJ244" s="88"/>
      <c r="CK244" s="88"/>
      <c r="CL244" s="88"/>
      <c r="CM244" s="88"/>
      <c r="CN244" s="88"/>
      <c r="CO244" s="88"/>
      <c r="CP244" s="88"/>
      <c r="CQ244" s="88"/>
      <c r="CR244" s="88"/>
      <c r="CS244" s="88"/>
      <c r="CT244" s="88"/>
      <c r="CU244" s="88"/>
      <c r="CV244" s="88"/>
      <c r="CW244" s="88"/>
      <c r="CX244" s="88"/>
      <c r="CY244" s="88"/>
      <c r="CZ244" s="88"/>
      <c r="DA244" s="88"/>
      <c r="DB244" s="88"/>
      <c r="DC244" s="88"/>
      <c r="DD244" s="88"/>
      <c r="DE244" s="88"/>
      <c r="DF244" s="88"/>
      <c r="DG244" s="88"/>
      <c r="DH244" s="88"/>
      <c r="DI244" s="42"/>
    </row>
    <row r="245" spans="1:113" s="43" customFormat="1" x14ac:dyDescent="0.25">
      <c r="A245" s="82" t="s">
        <v>45</v>
      </c>
      <c r="B245" s="94">
        <v>27</v>
      </c>
      <c r="C245" s="95">
        <v>34</v>
      </c>
      <c r="D245" s="96">
        <v>20</v>
      </c>
      <c r="E245" s="97">
        <v>30</v>
      </c>
      <c r="F245" s="97">
        <v>43</v>
      </c>
      <c r="G245" s="96">
        <v>49</v>
      </c>
      <c r="H245" s="98">
        <v>38</v>
      </c>
      <c r="I245" s="96">
        <v>3</v>
      </c>
      <c r="J245" s="96">
        <v>45</v>
      </c>
      <c r="K245" s="96">
        <v>49</v>
      </c>
      <c r="L245" s="99">
        <v>38</v>
      </c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  <c r="AQ245" s="88"/>
      <c r="AR245" s="88"/>
      <c r="AS245" s="88"/>
      <c r="AT245" s="88"/>
      <c r="AU245" s="88"/>
      <c r="AV245" s="88"/>
      <c r="AW245" s="88"/>
      <c r="AX245" s="88"/>
      <c r="AY245" s="88"/>
      <c r="AZ245" s="88"/>
      <c r="BA245" s="88"/>
      <c r="BB245" s="88"/>
      <c r="BC245" s="88"/>
      <c r="BD245" s="88"/>
      <c r="BE245" s="88"/>
      <c r="BF245" s="88"/>
      <c r="BG245" s="88"/>
      <c r="BH245" s="88"/>
      <c r="BI245" s="88"/>
      <c r="BJ245" s="88"/>
      <c r="BK245" s="88"/>
      <c r="BL245" s="88"/>
      <c r="BM245" s="88"/>
      <c r="BN245" s="88"/>
      <c r="BO245" s="88"/>
      <c r="BP245" s="88"/>
      <c r="BQ245" s="88"/>
      <c r="BR245" s="88"/>
      <c r="BS245" s="88"/>
      <c r="BT245" s="88"/>
      <c r="BU245" s="88"/>
      <c r="BV245" s="88"/>
      <c r="BW245" s="88"/>
      <c r="BX245" s="88"/>
      <c r="BY245" s="88"/>
      <c r="BZ245" s="88"/>
      <c r="CA245" s="88"/>
      <c r="CB245" s="88"/>
      <c r="CC245" s="88"/>
      <c r="CD245" s="88"/>
      <c r="CE245" s="88"/>
      <c r="CF245" s="88"/>
      <c r="CG245" s="88"/>
      <c r="CH245" s="88"/>
      <c r="CI245" s="88"/>
      <c r="CJ245" s="88"/>
      <c r="CK245" s="88"/>
      <c r="CL245" s="88"/>
      <c r="CM245" s="88"/>
      <c r="CN245" s="88"/>
      <c r="CO245" s="88"/>
      <c r="CP245" s="88"/>
      <c r="CQ245" s="88"/>
      <c r="CR245" s="88"/>
      <c r="CS245" s="88"/>
      <c r="CT245" s="88"/>
      <c r="CU245" s="88"/>
      <c r="CV245" s="88"/>
      <c r="CW245" s="88"/>
      <c r="CX245" s="88"/>
      <c r="CY245" s="88"/>
      <c r="CZ245" s="88"/>
      <c r="DA245" s="88"/>
      <c r="DB245" s="88"/>
      <c r="DC245" s="88"/>
      <c r="DD245" s="88"/>
      <c r="DE245" s="88"/>
      <c r="DF245" s="88"/>
      <c r="DG245" s="88"/>
      <c r="DH245" s="88"/>
      <c r="DI245" s="42"/>
    </row>
    <row r="246" spans="1:113" s="8" customFormat="1" x14ac:dyDescent="0.25">
      <c r="E246" s="83"/>
      <c r="F246" s="83"/>
      <c r="G246" s="7"/>
      <c r="H246" s="51"/>
      <c r="I246" s="83"/>
      <c r="J246" s="7"/>
      <c r="K246" s="7"/>
      <c r="L246" s="5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51"/>
    </row>
    <row r="247" spans="1:113" s="86" customFormat="1" x14ac:dyDescent="0.25">
      <c r="A247" s="84" t="s">
        <v>235</v>
      </c>
      <c r="B247" s="85"/>
      <c r="C247" s="85"/>
      <c r="D247" s="85"/>
      <c r="E247" s="87"/>
      <c r="F247" s="87"/>
      <c r="G247" s="88"/>
      <c r="H247" s="89"/>
      <c r="I247" s="87"/>
      <c r="J247" s="88"/>
      <c r="K247" s="88"/>
      <c r="L247" s="89"/>
      <c r="M247" s="87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  <c r="AQ247" s="88"/>
      <c r="AR247" s="88"/>
      <c r="AS247" s="88"/>
      <c r="AT247" s="88"/>
      <c r="AU247" s="88"/>
      <c r="AV247" s="88"/>
      <c r="AW247" s="88"/>
      <c r="AX247" s="88"/>
      <c r="AY247" s="88"/>
      <c r="AZ247" s="88"/>
      <c r="BA247" s="88"/>
      <c r="BB247" s="88"/>
      <c r="BC247" s="88"/>
      <c r="BD247" s="88"/>
      <c r="BE247" s="88"/>
      <c r="BF247" s="88"/>
      <c r="BG247" s="88"/>
      <c r="BH247" s="88"/>
      <c r="BI247" s="88"/>
      <c r="BJ247" s="88"/>
      <c r="BK247" s="88"/>
      <c r="BL247" s="88"/>
      <c r="BM247" s="88"/>
      <c r="BN247" s="88"/>
      <c r="BO247" s="88"/>
      <c r="BP247" s="88"/>
      <c r="BQ247" s="88"/>
      <c r="BR247" s="88"/>
      <c r="BS247" s="88"/>
      <c r="BT247" s="88"/>
      <c r="BU247" s="88"/>
      <c r="BV247" s="88"/>
      <c r="BW247" s="88"/>
      <c r="BX247" s="88"/>
      <c r="BY247" s="88"/>
      <c r="BZ247" s="88"/>
      <c r="CA247" s="88"/>
      <c r="CB247" s="88"/>
      <c r="CC247" s="88"/>
      <c r="CD247" s="88"/>
      <c r="CE247" s="88"/>
      <c r="CF247" s="88"/>
      <c r="CG247" s="88"/>
      <c r="CH247" s="88"/>
      <c r="CI247" s="88"/>
      <c r="CJ247" s="88"/>
      <c r="CK247" s="88"/>
      <c r="CL247" s="88"/>
      <c r="CM247" s="88"/>
      <c r="CN247" s="88"/>
      <c r="CO247" s="88"/>
      <c r="CP247" s="88"/>
      <c r="CQ247" s="88"/>
      <c r="CR247" s="88"/>
      <c r="CS247" s="88"/>
      <c r="CT247" s="88"/>
      <c r="CU247" s="88"/>
      <c r="CV247" s="88"/>
      <c r="CW247" s="88"/>
      <c r="CX247" s="88"/>
      <c r="CY247" s="88"/>
      <c r="CZ247" s="88"/>
      <c r="DA247" s="88"/>
      <c r="DB247" s="88"/>
      <c r="DC247" s="88"/>
      <c r="DD247" s="88"/>
      <c r="DE247" s="88"/>
      <c r="DF247" s="88"/>
      <c r="DG247" s="88"/>
      <c r="DH247" s="88"/>
      <c r="DI247" s="89"/>
    </row>
    <row r="248" spans="1:113" s="86" customFormat="1" x14ac:dyDescent="0.25">
      <c r="A248" s="84" t="s">
        <v>236</v>
      </c>
      <c r="B248" s="85"/>
      <c r="C248" s="85"/>
      <c r="D248" s="85"/>
      <c r="E248" s="87"/>
      <c r="F248" s="87"/>
      <c r="G248" s="88"/>
      <c r="H248" s="89"/>
      <c r="I248" s="87"/>
      <c r="J248" s="88"/>
      <c r="K248" s="88"/>
      <c r="L248" s="89"/>
      <c r="M248" s="87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  <c r="AQ248" s="88"/>
      <c r="AR248" s="88"/>
      <c r="AS248" s="88"/>
      <c r="AT248" s="88"/>
      <c r="AU248" s="88"/>
      <c r="AV248" s="88"/>
      <c r="AW248" s="88"/>
      <c r="AX248" s="88"/>
      <c r="AY248" s="88"/>
      <c r="AZ248" s="88"/>
      <c r="BA248" s="88"/>
      <c r="BB248" s="88"/>
      <c r="BC248" s="88"/>
      <c r="BD248" s="88"/>
      <c r="BE248" s="88"/>
      <c r="BF248" s="88"/>
      <c r="BG248" s="88"/>
      <c r="BH248" s="88"/>
      <c r="BI248" s="88"/>
      <c r="BJ248" s="88"/>
      <c r="BK248" s="88"/>
      <c r="BL248" s="88"/>
      <c r="BM248" s="88"/>
      <c r="BN248" s="88"/>
      <c r="BO248" s="88"/>
      <c r="BP248" s="88"/>
      <c r="BQ248" s="88"/>
      <c r="BR248" s="88"/>
      <c r="BS248" s="88"/>
      <c r="BT248" s="88"/>
      <c r="BU248" s="88"/>
      <c r="BV248" s="88"/>
      <c r="BW248" s="88"/>
      <c r="BX248" s="88"/>
      <c r="BY248" s="88"/>
      <c r="BZ248" s="88"/>
      <c r="CA248" s="88"/>
      <c r="CB248" s="88"/>
      <c r="CC248" s="88"/>
      <c r="CD248" s="88"/>
      <c r="CE248" s="88"/>
      <c r="CF248" s="88"/>
      <c r="CG248" s="88"/>
      <c r="CH248" s="88"/>
      <c r="CI248" s="88"/>
      <c r="CJ248" s="88"/>
      <c r="CK248" s="88"/>
      <c r="CL248" s="88"/>
      <c r="CM248" s="88"/>
      <c r="CN248" s="88"/>
      <c r="CO248" s="88"/>
      <c r="CP248" s="88"/>
      <c r="CQ248" s="88"/>
      <c r="CR248" s="88"/>
      <c r="CS248" s="88"/>
      <c r="CT248" s="88"/>
      <c r="CU248" s="88"/>
      <c r="CV248" s="88"/>
      <c r="CW248" s="88"/>
      <c r="CX248" s="88"/>
      <c r="CY248" s="88"/>
      <c r="CZ248" s="88"/>
      <c r="DA248" s="88"/>
      <c r="DB248" s="88"/>
      <c r="DC248" s="88"/>
      <c r="DD248" s="88"/>
      <c r="DE248" s="88"/>
      <c r="DF248" s="88"/>
      <c r="DG248" s="88"/>
      <c r="DH248" s="88"/>
      <c r="DI248" s="89"/>
    </row>
    <row r="249" spans="1:113" s="86" customFormat="1" x14ac:dyDescent="0.25">
      <c r="A249" s="84" t="s">
        <v>237</v>
      </c>
      <c r="B249" s="85"/>
      <c r="C249" s="85"/>
      <c r="D249" s="85"/>
      <c r="E249" s="87"/>
      <c r="F249" s="87"/>
      <c r="G249" s="88"/>
      <c r="H249" s="89"/>
      <c r="I249" s="87"/>
      <c r="J249" s="88"/>
      <c r="K249" s="88"/>
      <c r="L249" s="89"/>
      <c r="M249" s="87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  <c r="AQ249" s="88"/>
      <c r="AR249" s="88"/>
      <c r="AS249" s="88"/>
      <c r="AT249" s="88"/>
      <c r="AU249" s="88"/>
      <c r="AV249" s="88"/>
      <c r="AW249" s="88"/>
      <c r="AX249" s="88"/>
      <c r="AY249" s="88"/>
      <c r="AZ249" s="88"/>
      <c r="BA249" s="88"/>
      <c r="BB249" s="88"/>
      <c r="BC249" s="88"/>
      <c r="BD249" s="88"/>
      <c r="BE249" s="88"/>
      <c r="BF249" s="88"/>
      <c r="BG249" s="88"/>
      <c r="BH249" s="88"/>
      <c r="BI249" s="88"/>
      <c r="BJ249" s="88"/>
      <c r="BK249" s="88"/>
      <c r="BL249" s="88"/>
      <c r="BM249" s="88"/>
      <c r="BN249" s="88"/>
      <c r="BO249" s="88"/>
      <c r="BP249" s="88"/>
      <c r="BQ249" s="88"/>
      <c r="BR249" s="88"/>
      <c r="BS249" s="88"/>
      <c r="BT249" s="88"/>
      <c r="BU249" s="88"/>
      <c r="BV249" s="88"/>
      <c r="BW249" s="88"/>
      <c r="BX249" s="88"/>
      <c r="BY249" s="88"/>
      <c r="BZ249" s="88"/>
      <c r="CA249" s="88"/>
      <c r="CB249" s="88"/>
      <c r="CC249" s="88"/>
      <c r="CD249" s="88"/>
      <c r="CE249" s="88"/>
      <c r="CF249" s="88"/>
      <c r="CG249" s="88"/>
      <c r="CH249" s="88"/>
      <c r="CI249" s="88"/>
      <c r="CJ249" s="88"/>
      <c r="CK249" s="88"/>
      <c r="CL249" s="88"/>
      <c r="CM249" s="88"/>
      <c r="CN249" s="88"/>
      <c r="CO249" s="88"/>
      <c r="CP249" s="88"/>
      <c r="CQ249" s="88"/>
      <c r="CR249" s="88"/>
      <c r="CS249" s="88"/>
      <c r="CT249" s="88"/>
      <c r="CU249" s="88"/>
      <c r="CV249" s="88"/>
      <c r="CW249" s="88"/>
      <c r="CX249" s="88"/>
      <c r="CY249" s="88"/>
      <c r="CZ249" s="88"/>
      <c r="DA249" s="88"/>
      <c r="DB249" s="88"/>
      <c r="DC249" s="88"/>
      <c r="DD249" s="88"/>
      <c r="DE249" s="88"/>
      <c r="DF249" s="88"/>
      <c r="DG249" s="88"/>
      <c r="DH249" s="88"/>
      <c r="DI249" s="89"/>
    </row>
    <row r="250" spans="1:113" s="86" customFormat="1" x14ac:dyDescent="0.25">
      <c r="A250" s="84"/>
      <c r="B250" s="85"/>
      <c r="C250" s="85"/>
      <c r="D250" s="85"/>
      <c r="E250" s="87"/>
      <c r="F250" s="87"/>
      <c r="G250" s="88"/>
      <c r="H250" s="89"/>
      <c r="I250" s="87"/>
      <c r="J250" s="88"/>
      <c r="K250" s="88"/>
      <c r="L250" s="89"/>
      <c r="M250" s="87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  <c r="AQ250" s="88"/>
      <c r="AR250" s="88"/>
      <c r="AS250" s="88"/>
      <c r="AT250" s="88"/>
      <c r="AU250" s="88"/>
      <c r="AV250" s="88"/>
      <c r="AW250" s="88"/>
      <c r="AX250" s="88"/>
      <c r="AY250" s="88"/>
      <c r="AZ250" s="88"/>
      <c r="BA250" s="88"/>
      <c r="BB250" s="88"/>
      <c r="BC250" s="88"/>
      <c r="BD250" s="88"/>
      <c r="BE250" s="88"/>
      <c r="BF250" s="88"/>
      <c r="BG250" s="88"/>
      <c r="BH250" s="88"/>
      <c r="BI250" s="88"/>
      <c r="BJ250" s="88"/>
      <c r="BK250" s="88"/>
      <c r="BL250" s="88"/>
      <c r="BM250" s="88"/>
      <c r="BN250" s="88"/>
      <c r="BO250" s="88"/>
      <c r="BP250" s="88"/>
      <c r="BQ250" s="88"/>
      <c r="BR250" s="88"/>
      <c r="BS250" s="88"/>
      <c r="BT250" s="88"/>
      <c r="BU250" s="88"/>
      <c r="BV250" s="88"/>
      <c r="BW250" s="88"/>
      <c r="BX250" s="88"/>
      <c r="BY250" s="88"/>
      <c r="BZ250" s="88"/>
      <c r="CA250" s="88"/>
      <c r="CB250" s="88"/>
      <c r="CC250" s="88"/>
      <c r="CD250" s="88"/>
      <c r="CE250" s="88"/>
      <c r="CF250" s="88"/>
      <c r="CG250" s="88"/>
      <c r="CH250" s="88"/>
      <c r="CI250" s="88"/>
      <c r="CJ250" s="88"/>
      <c r="CK250" s="88"/>
      <c r="CL250" s="88"/>
      <c r="CM250" s="88"/>
      <c r="CN250" s="88"/>
      <c r="CO250" s="88"/>
      <c r="CP250" s="88"/>
      <c r="CQ250" s="88"/>
      <c r="CR250" s="88"/>
      <c r="CS250" s="88"/>
      <c r="CT250" s="88"/>
      <c r="CU250" s="88"/>
      <c r="CV250" s="88"/>
      <c r="CW250" s="88"/>
      <c r="CX250" s="88"/>
      <c r="CY250" s="88"/>
      <c r="CZ250" s="88"/>
      <c r="DA250" s="88"/>
      <c r="DB250" s="88"/>
      <c r="DC250" s="88"/>
      <c r="DD250" s="88"/>
      <c r="DE250" s="88"/>
      <c r="DF250" s="88"/>
      <c r="DG250" s="88"/>
      <c r="DH250" s="88"/>
      <c r="DI250" s="89"/>
    </row>
    <row r="251" spans="1:113" x14ac:dyDescent="0.25">
      <c r="A251" s="90" t="s">
        <v>21</v>
      </c>
      <c r="B251" s="85"/>
      <c r="C251" s="85"/>
      <c r="D251" s="85"/>
      <c r="E251" s="91"/>
      <c r="F251" s="91"/>
      <c r="G251" s="88"/>
      <c r="H251" s="92"/>
      <c r="I251" s="91"/>
      <c r="J251" s="88"/>
      <c r="K251" s="88"/>
      <c r="L251" s="92"/>
    </row>
    <row r="252" spans="1:113" x14ac:dyDescent="0.25">
      <c r="A252" s="84" t="s">
        <v>238</v>
      </c>
      <c r="B252" s="88"/>
      <c r="C252" s="88"/>
      <c r="D252" s="88"/>
      <c r="F252" s="91"/>
      <c r="G252" s="88"/>
      <c r="H252" s="92"/>
      <c r="J252" s="86"/>
      <c r="K252" s="86"/>
    </row>
    <row r="253" spans="1:113" x14ac:dyDescent="0.25">
      <c r="A253" s="84" t="s">
        <v>239</v>
      </c>
      <c r="F253" s="91"/>
      <c r="G253" s="88"/>
      <c r="H253" s="92"/>
    </row>
    <row r="254" spans="1:113" x14ac:dyDescent="0.25">
      <c r="A254" s="84" t="s">
        <v>240</v>
      </c>
    </row>
    <row r="257" spans="13:113" s="108" customFormat="1" x14ac:dyDescent="0.25">
      <c r="M257" s="109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88"/>
      <c r="AX257" s="88"/>
      <c r="AY257" s="88"/>
      <c r="AZ257" s="88"/>
      <c r="BA257" s="88"/>
      <c r="BB257" s="88"/>
      <c r="BC257" s="88"/>
      <c r="BD257" s="88"/>
      <c r="BE257" s="88"/>
      <c r="BF257" s="88"/>
      <c r="BG257" s="88"/>
      <c r="BH257" s="88"/>
      <c r="BI257" s="88"/>
      <c r="BJ257" s="88"/>
      <c r="BK257" s="88"/>
      <c r="BL257" s="88"/>
      <c r="BM257" s="88"/>
      <c r="BN257" s="88"/>
      <c r="BO257" s="88"/>
      <c r="BP257" s="88"/>
      <c r="BQ257" s="88"/>
      <c r="BR257" s="88"/>
      <c r="BS257" s="88"/>
      <c r="BT257" s="88"/>
      <c r="BU257" s="88"/>
      <c r="BV257" s="88"/>
      <c r="BW257" s="88"/>
      <c r="BX257" s="88"/>
      <c r="BY257" s="88"/>
      <c r="BZ257" s="88"/>
      <c r="CA257" s="88"/>
      <c r="CB257" s="88"/>
      <c r="CC257" s="88"/>
      <c r="CD257" s="88"/>
      <c r="CE257" s="88"/>
      <c r="CF257" s="88"/>
      <c r="CG257" s="88"/>
      <c r="CH257" s="88"/>
      <c r="CI257" s="88"/>
      <c r="CJ257" s="88"/>
      <c r="CK257" s="88"/>
      <c r="CL257" s="88"/>
      <c r="CM257" s="88"/>
      <c r="CN257" s="88"/>
      <c r="CO257" s="88"/>
      <c r="CP257" s="88"/>
      <c r="CQ257" s="88"/>
      <c r="CR257" s="88"/>
      <c r="CS257" s="88"/>
      <c r="CT257" s="88"/>
      <c r="CU257" s="88"/>
      <c r="CV257" s="88"/>
      <c r="CW257" s="88"/>
      <c r="CX257" s="88"/>
      <c r="CY257" s="88"/>
      <c r="CZ257" s="88"/>
      <c r="DA257" s="88"/>
      <c r="DB257" s="88"/>
      <c r="DC257" s="88"/>
      <c r="DD257" s="88"/>
      <c r="DE257" s="88"/>
      <c r="DF257" s="88"/>
      <c r="DG257" s="88"/>
      <c r="DH257" s="88"/>
      <c r="DI257" s="110"/>
    </row>
    <row r="258" spans="13:113" s="88" customFormat="1" x14ac:dyDescent="0.25"/>
    <row r="259" spans="13:113" s="88" customFormat="1" x14ac:dyDescent="0.25"/>
    <row r="260" spans="13:113" s="88" customFormat="1" x14ac:dyDescent="0.25"/>
    <row r="261" spans="13:113" s="88" customFormat="1" x14ac:dyDescent="0.25"/>
    <row r="262" spans="13:113" s="88" customFormat="1" x14ac:dyDescent="0.25"/>
    <row r="263" spans="13:113" s="88" customFormat="1" x14ac:dyDescent="0.25"/>
    <row r="264" spans="13:113" s="88" customFormat="1" x14ac:dyDescent="0.25"/>
    <row r="265" spans="13:113" s="88" customFormat="1" x14ac:dyDescent="0.25"/>
    <row r="266" spans="13:113" s="88" customFormat="1" x14ac:dyDescent="0.25"/>
    <row r="267" spans="13:113" s="88" customFormat="1" x14ac:dyDescent="0.25"/>
    <row r="268" spans="13:113" s="88" customFormat="1" x14ac:dyDescent="0.25"/>
    <row r="269" spans="13:113" s="88" customFormat="1" x14ac:dyDescent="0.25"/>
    <row r="270" spans="13:113" s="88" customFormat="1" x14ac:dyDescent="0.25"/>
    <row r="271" spans="13:113" s="88" customFormat="1" x14ac:dyDescent="0.25"/>
    <row r="272" spans="13:113" s="88" customFormat="1" x14ac:dyDescent="0.25"/>
    <row r="273" s="88" customFormat="1" x14ac:dyDescent="0.25"/>
    <row r="274" s="88" customFormat="1" x14ac:dyDescent="0.25"/>
    <row r="275" s="88" customFormat="1" x14ac:dyDescent="0.25"/>
    <row r="276" s="88" customFormat="1" x14ac:dyDescent="0.25"/>
    <row r="277" s="88" customFormat="1" x14ac:dyDescent="0.25"/>
    <row r="278" s="88" customFormat="1" x14ac:dyDescent="0.25"/>
    <row r="279" s="88" customFormat="1" x14ac:dyDescent="0.25"/>
    <row r="280" s="88" customFormat="1" x14ac:dyDescent="0.25"/>
    <row r="281" s="88" customFormat="1" x14ac:dyDescent="0.25"/>
    <row r="282" s="88" customFormat="1" x14ac:dyDescent="0.25"/>
    <row r="283" s="88" customFormat="1" x14ac:dyDescent="0.25"/>
    <row r="284" s="88" customFormat="1" x14ac:dyDescent="0.25"/>
    <row r="285" s="88" customFormat="1" x14ac:dyDescent="0.25"/>
    <row r="286" s="88" customFormat="1" x14ac:dyDescent="0.25"/>
    <row r="287" s="88" customFormat="1" x14ac:dyDescent="0.25"/>
    <row r="288" s="88" customFormat="1" x14ac:dyDescent="0.25"/>
    <row r="289" s="88" customFormat="1" x14ac:dyDescent="0.25"/>
    <row r="290" s="88" customFormat="1" x14ac:dyDescent="0.25"/>
    <row r="291" s="88" customFormat="1" x14ac:dyDescent="0.25"/>
    <row r="292" s="88" customFormat="1" x14ac:dyDescent="0.25"/>
    <row r="293" s="88" customFormat="1" x14ac:dyDescent="0.25"/>
    <row r="294" s="88" customFormat="1" x14ac:dyDescent="0.25"/>
    <row r="295" s="88" customFormat="1" x14ac:dyDescent="0.25"/>
    <row r="296" s="88" customFormat="1" x14ac:dyDescent="0.25"/>
    <row r="297" s="88" customFormat="1" x14ac:dyDescent="0.25"/>
    <row r="298" s="88" customFormat="1" x14ac:dyDescent="0.25"/>
    <row r="299" s="88" customFormat="1" x14ac:dyDescent="0.25"/>
    <row r="300" s="88" customFormat="1" x14ac:dyDescent="0.25"/>
    <row r="301" s="88" customFormat="1" x14ac:dyDescent="0.25"/>
    <row r="302" s="88" customFormat="1" x14ac:dyDescent="0.25"/>
    <row r="303" s="88" customFormat="1" x14ac:dyDescent="0.25"/>
    <row r="304" s="88" customFormat="1" x14ac:dyDescent="0.25"/>
    <row r="305" s="88" customFormat="1" x14ac:dyDescent="0.25"/>
    <row r="306" s="88" customFormat="1" x14ac:dyDescent="0.25"/>
    <row r="307" s="88" customFormat="1" x14ac:dyDescent="0.25"/>
    <row r="308" s="88" customFormat="1" x14ac:dyDescent="0.25"/>
    <row r="309" s="88" customFormat="1" x14ac:dyDescent="0.25"/>
    <row r="310" s="88" customFormat="1" x14ac:dyDescent="0.25"/>
    <row r="311" s="88" customFormat="1" x14ac:dyDescent="0.25"/>
    <row r="312" s="88" customFormat="1" x14ac:dyDescent="0.25"/>
    <row r="313" s="88" customFormat="1" x14ac:dyDescent="0.25"/>
    <row r="314" s="88" customFormat="1" x14ac:dyDescent="0.25"/>
    <row r="315" s="88" customFormat="1" x14ac:dyDescent="0.25"/>
    <row r="316" s="88" customFormat="1" x14ac:dyDescent="0.25"/>
    <row r="317" s="88" customFormat="1" x14ac:dyDescent="0.25"/>
    <row r="318" s="88" customFormat="1" x14ac:dyDescent="0.25"/>
    <row r="319" s="88" customFormat="1" x14ac:dyDescent="0.25"/>
    <row r="320" s="88" customFormat="1" x14ac:dyDescent="0.25"/>
    <row r="321" s="88" customFormat="1" x14ac:dyDescent="0.25"/>
    <row r="322" s="88" customFormat="1" x14ac:dyDescent="0.25"/>
    <row r="323" s="88" customFormat="1" x14ac:dyDescent="0.25"/>
    <row r="324" s="88" customFormat="1" x14ac:dyDescent="0.25"/>
    <row r="325" s="88" customFormat="1" x14ac:dyDescent="0.25"/>
    <row r="326" s="88" customFormat="1" x14ac:dyDescent="0.25"/>
    <row r="327" s="88" customFormat="1" x14ac:dyDescent="0.25"/>
    <row r="328" s="88" customFormat="1" x14ac:dyDescent="0.25"/>
    <row r="329" s="88" customFormat="1" x14ac:dyDescent="0.25"/>
    <row r="330" s="88" customFormat="1" x14ac:dyDescent="0.25"/>
    <row r="331" s="88" customFormat="1" x14ac:dyDescent="0.25"/>
    <row r="332" s="88" customFormat="1" x14ac:dyDescent="0.25"/>
    <row r="333" s="88" customFormat="1" x14ac:dyDescent="0.25"/>
    <row r="334" s="88" customFormat="1" x14ac:dyDescent="0.25"/>
    <row r="335" s="88" customFormat="1" x14ac:dyDescent="0.25"/>
    <row r="336" s="88" customFormat="1" x14ac:dyDescent="0.25"/>
    <row r="337" s="88" customFormat="1" x14ac:dyDescent="0.25"/>
    <row r="338" s="88" customFormat="1" x14ac:dyDescent="0.25"/>
    <row r="339" s="88" customFormat="1" x14ac:dyDescent="0.25"/>
    <row r="340" s="88" customFormat="1" x14ac:dyDescent="0.25"/>
    <row r="341" s="88" customFormat="1" x14ac:dyDescent="0.25"/>
    <row r="342" s="88" customFormat="1" x14ac:dyDescent="0.25"/>
    <row r="343" s="88" customFormat="1" x14ac:dyDescent="0.25"/>
    <row r="344" s="88" customFormat="1" x14ac:dyDescent="0.25"/>
    <row r="345" s="88" customFormat="1" x14ac:dyDescent="0.25"/>
    <row r="346" s="88" customFormat="1" x14ac:dyDescent="0.25"/>
    <row r="347" s="88" customFormat="1" x14ac:dyDescent="0.25"/>
    <row r="348" s="88" customFormat="1" x14ac:dyDescent="0.25"/>
    <row r="349" s="88" customFormat="1" x14ac:dyDescent="0.25"/>
    <row r="350" s="88" customFormat="1" x14ac:dyDescent="0.25"/>
    <row r="351" s="88" customFormat="1" x14ac:dyDescent="0.25"/>
    <row r="352" s="88" customFormat="1" x14ac:dyDescent="0.25"/>
    <row r="353" s="88" customFormat="1" x14ac:dyDescent="0.25"/>
    <row r="354" s="88" customFormat="1" x14ac:dyDescent="0.25"/>
    <row r="355" s="88" customFormat="1" x14ac:dyDescent="0.25"/>
    <row r="356" s="88" customFormat="1" x14ac:dyDescent="0.25"/>
    <row r="357" s="88" customFormat="1" x14ac:dyDescent="0.25"/>
    <row r="358" s="88" customFormat="1" x14ac:dyDescent="0.25"/>
    <row r="359" s="88" customFormat="1" x14ac:dyDescent="0.25"/>
    <row r="360" s="88" customFormat="1" x14ac:dyDescent="0.25"/>
    <row r="361" s="88" customFormat="1" x14ac:dyDescent="0.25"/>
    <row r="362" s="88" customFormat="1" x14ac:dyDescent="0.25"/>
    <row r="363" s="88" customFormat="1" x14ac:dyDescent="0.25"/>
    <row r="364" s="88" customFormat="1" x14ac:dyDescent="0.25"/>
    <row r="365" s="88" customFormat="1" x14ac:dyDescent="0.25"/>
    <row r="366" s="88" customFormat="1" x14ac:dyDescent="0.25"/>
    <row r="367" s="88" customFormat="1" x14ac:dyDescent="0.25"/>
    <row r="368" s="88" customFormat="1" x14ac:dyDescent="0.25"/>
    <row r="369" s="88" customFormat="1" x14ac:dyDescent="0.25"/>
    <row r="370" s="88" customFormat="1" x14ac:dyDescent="0.25"/>
    <row r="371" s="88" customFormat="1" x14ac:dyDescent="0.25"/>
    <row r="372" s="88" customFormat="1" x14ac:dyDescent="0.25"/>
    <row r="373" s="88" customFormat="1" x14ac:dyDescent="0.25"/>
    <row r="374" s="88" customFormat="1" x14ac:dyDescent="0.25"/>
    <row r="375" s="88" customFormat="1" x14ac:dyDescent="0.25"/>
    <row r="376" s="88" customFormat="1" x14ac:dyDescent="0.25"/>
    <row r="377" s="88" customFormat="1" x14ac:dyDescent="0.25"/>
    <row r="378" s="88" customFormat="1" x14ac:dyDescent="0.25"/>
    <row r="379" s="88" customFormat="1" x14ac:dyDescent="0.25"/>
    <row r="380" s="88" customFormat="1" x14ac:dyDescent="0.25"/>
    <row r="381" s="88" customFormat="1" x14ac:dyDescent="0.25"/>
    <row r="382" s="88" customFormat="1" x14ac:dyDescent="0.25"/>
    <row r="383" s="88" customFormat="1" x14ac:dyDescent="0.25"/>
    <row r="384" s="88" customFormat="1" x14ac:dyDescent="0.25"/>
    <row r="385" s="88" customFormat="1" x14ac:dyDescent="0.25"/>
    <row r="386" s="88" customFormat="1" x14ac:dyDescent="0.25"/>
    <row r="387" s="88" customFormat="1" x14ac:dyDescent="0.25"/>
    <row r="388" s="88" customFormat="1" x14ac:dyDescent="0.25"/>
    <row r="389" s="88" customFormat="1" x14ac:dyDescent="0.25"/>
    <row r="390" s="88" customFormat="1" x14ac:dyDescent="0.25"/>
    <row r="391" s="88" customFormat="1" x14ac:dyDescent="0.25"/>
    <row r="392" s="88" customFormat="1" x14ac:dyDescent="0.25"/>
    <row r="393" s="88" customFormat="1" x14ac:dyDescent="0.25"/>
    <row r="394" s="88" customFormat="1" x14ac:dyDescent="0.25"/>
    <row r="395" s="88" customFormat="1" x14ac:dyDescent="0.25"/>
    <row r="396" s="88" customFormat="1" x14ac:dyDescent="0.25"/>
    <row r="397" s="88" customFormat="1" x14ac:dyDescent="0.25"/>
    <row r="398" s="88" customFormat="1" x14ac:dyDescent="0.25"/>
    <row r="399" s="88" customFormat="1" x14ac:dyDescent="0.25"/>
    <row r="400" s="88" customFormat="1" x14ac:dyDescent="0.25"/>
    <row r="401" s="88" customFormat="1" x14ac:dyDescent="0.25"/>
    <row r="402" s="88" customFormat="1" x14ac:dyDescent="0.25"/>
    <row r="403" s="88" customFormat="1" x14ac:dyDescent="0.25"/>
    <row r="404" s="88" customFormat="1" x14ac:dyDescent="0.25"/>
    <row r="405" s="88" customFormat="1" x14ac:dyDescent="0.25"/>
    <row r="406" s="88" customFormat="1" x14ac:dyDescent="0.25"/>
    <row r="407" s="88" customFormat="1" x14ac:dyDescent="0.25"/>
    <row r="408" s="88" customFormat="1" x14ac:dyDescent="0.25"/>
    <row r="409" s="88" customFormat="1" x14ac:dyDescent="0.25"/>
    <row r="410" s="88" customFormat="1" x14ac:dyDescent="0.25"/>
    <row r="411" s="88" customFormat="1" x14ac:dyDescent="0.25"/>
    <row r="412" s="88" customFormat="1" x14ac:dyDescent="0.25"/>
    <row r="413" s="88" customFormat="1" x14ac:dyDescent="0.25"/>
    <row r="414" s="88" customFormat="1" x14ac:dyDescent="0.25"/>
    <row r="415" s="88" customFormat="1" x14ac:dyDescent="0.25"/>
    <row r="416" s="88" customFormat="1" x14ac:dyDescent="0.25"/>
    <row r="417" s="88" customFormat="1" x14ac:dyDescent="0.25"/>
    <row r="418" s="88" customFormat="1" x14ac:dyDescent="0.25"/>
    <row r="419" s="88" customFormat="1" x14ac:dyDescent="0.25"/>
    <row r="420" s="88" customFormat="1" x14ac:dyDescent="0.25"/>
    <row r="421" s="88" customFormat="1" x14ac:dyDescent="0.25"/>
    <row r="422" s="88" customFormat="1" x14ac:dyDescent="0.25"/>
    <row r="423" s="88" customFormat="1" x14ac:dyDescent="0.25"/>
    <row r="424" s="88" customFormat="1" x14ac:dyDescent="0.25"/>
    <row r="425" s="88" customFormat="1" x14ac:dyDescent="0.25"/>
    <row r="426" s="88" customFormat="1" x14ac:dyDescent="0.25"/>
    <row r="427" s="88" customFormat="1" x14ac:dyDescent="0.25"/>
    <row r="428" s="88" customFormat="1" x14ac:dyDescent="0.25"/>
    <row r="429" s="88" customFormat="1" x14ac:dyDescent="0.25"/>
    <row r="430" s="88" customFormat="1" x14ac:dyDescent="0.25"/>
    <row r="431" s="88" customFormat="1" x14ac:dyDescent="0.25"/>
    <row r="432" s="88" customFormat="1" x14ac:dyDescent="0.25"/>
    <row r="433" s="88" customFormat="1" x14ac:dyDescent="0.25"/>
    <row r="434" s="88" customFormat="1" x14ac:dyDescent="0.25"/>
    <row r="435" s="88" customFormat="1" x14ac:dyDescent="0.25"/>
    <row r="436" s="88" customFormat="1" x14ac:dyDescent="0.25"/>
    <row r="437" s="88" customFormat="1" x14ac:dyDescent="0.25"/>
    <row r="438" s="88" customFormat="1" x14ac:dyDescent="0.25"/>
    <row r="439" s="88" customFormat="1" x14ac:dyDescent="0.25"/>
    <row r="440" s="88" customFormat="1" x14ac:dyDescent="0.25"/>
    <row r="441" s="88" customFormat="1" x14ac:dyDescent="0.25"/>
    <row r="442" s="88" customFormat="1" x14ac:dyDescent="0.25"/>
    <row r="443" s="88" customFormat="1" x14ac:dyDescent="0.25"/>
    <row r="444" s="88" customFormat="1" x14ac:dyDescent="0.25"/>
    <row r="445" s="88" customFormat="1" x14ac:dyDescent="0.25"/>
    <row r="446" s="88" customFormat="1" x14ac:dyDescent="0.25"/>
    <row r="447" s="88" customFormat="1" x14ac:dyDescent="0.25"/>
    <row r="448" s="88" customFormat="1" x14ac:dyDescent="0.25"/>
    <row r="449" s="88" customFormat="1" x14ac:dyDescent="0.25"/>
    <row r="450" s="88" customFormat="1" x14ac:dyDescent="0.25"/>
    <row r="451" s="88" customFormat="1" x14ac:dyDescent="0.25"/>
    <row r="452" s="88" customFormat="1" x14ac:dyDescent="0.25"/>
    <row r="453" s="88" customFormat="1" x14ac:dyDescent="0.25"/>
    <row r="454" s="88" customFormat="1" x14ac:dyDescent="0.25"/>
    <row r="455" s="88" customFormat="1" x14ac:dyDescent="0.25"/>
    <row r="456" s="88" customFormat="1" x14ac:dyDescent="0.25"/>
    <row r="457" s="88" customFormat="1" x14ac:dyDescent="0.25"/>
    <row r="458" s="88" customFormat="1" x14ac:dyDescent="0.25"/>
    <row r="459" s="88" customFormat="1" x14ac:dyDescent="0.25"/>
    <row r="460" s="88" customFormat="1" x14ac:dyDescent="0.25"/>
    <row r="461" s="88" customFormat="1" x14ac:dyDescent="0.25"/>
    <row r="462" s="88" customFormat="1" x14ac:dyDescent="0.25"/>
    <row r="463" s="88" customFormat="1" x14ac:dyDescent="0.25"/>
    <row r="464" s="88" customFormat="1" x14ac:dyDescent="0.25"/>
    <row r="465" s="88" customFormat="1" x14ac:dyDescent="0.25"/>
    <row r="466" s="88" customFormat="1" x14ac:dyDescent="0.25"/>
    <row r="467" s="88" customFormat="1" x14ac:dyDescent="0.25"/>
    <row r="468" s="88" customFormat="1" x14ac:dyDescent="0.25"/>
    <row r="469" s="88" customFormat="1" x14ac:dyDescent="0.25"/>
    <row r="470" s="88" customFormat="1" x14ac:dyDescent="0.25"/>
    <row r="471" s="88" customFormat="1" x14ac:dyDescent="0.25"/>
    <row r="472" s="88" customFormat="1" x14ac:dyDescent="0.25"/>
    <row r="473" s="88" customFormat="1" x14ac:dyDescent="0.25"/>
    <row r="474" s="88" customFormat="1" x14ac:dyDescent="0.25"/>
    <row r="475" s="88" customFormat="1" x14ac:dyDescent="0.25"/>
    <row r="476" s="88" customFormat="1" x14ac:dyDescent="0.25"/>
    <row r="477" s="88" customFormat="1" x14ac:dyDescent="0.25"/>
    <row r="478" s="88" customFormat="1" x14ac:dyDescent="0.25"/>
    <row r="479" s="88" customFormat="1" x14ac:dyDescent="0.25"/>
    <row r="480" s="88" customFormat="1" x14ac:dyDescent="0.25"/>
    <row r="481" s="88" customFormat="1" x14ac:dyDescent="0.25"/>
    <row r="482" s="88" customFormat="1" x14ac:dyDescent="0.25"/>
    <row r="483" s="88" customFormat="1" x14ac:dyDescent="0.25"/>
    <row r="484" s="88" customFormat="1" x14ac:dyDescent="0.25"/>
    <row r="485" s="88" customFormat="1" x14ac:dyDescent="0.25"/>
    <row r="486" s="88" customFormat="1" x14ac:dyDescent="0.25"/>
    <row r="487" s="88" customFormat="1" x14ac:dyDescent="0.25"/>
    <row r="488" s="88" customFormat="1" x14ac:dyDescent="0.25"/>
    <row r="489" s="88" customFormat="1" x14ac:dyDescent="0.25"/>
    <row r="490" s="88" customFormat="1" x14ac:dyDescent="0.25"/>
    <row r="491" s="88" customFormat="1" x14ac:dyDescent="0.25"/>
    <row r="492" s="88" customFormat="1" x14ac:dyDescent="0.25"/>
    <row r="493" s="88" customFormat="1" x14ac:dyDescent="0.25"/>
    <row r="494" s="88" customFormat="1" x14ac:dyDescent="0.25"/>
    <row r="495" s="88" customFormat="1" x14ac:dyDescent="0.25"/>
    <row r="496" s="88" customFormat="1" x14ac:dyDescent="0.25"/>
    <row r="497" s="88" customFormat="1" x14ac:dyDescent="0.25"/>
    <row r="498" s="88" customFormat="1" x14ac:dyDescent="0.25"/>
    <row r="499" s="88" customFormat="1" x14ac:dyDescent="0.25"/>
    <row r="500" s="88" customFormat="1" x14ac:dyDescent="0.25"/>
    <row r="501" s="88" customFormat="1" x14ac:dyDescent="0.25"/>
    <row r="502" s="88" customFormat="1" x14ac:dyDescent="0.25"/>
    <row r="503" s="88" customFormat="1" x14ac:dyDescent="0.25"/>
    <row r="504" s="88" customFormat="1" x14ac:dyDescent="0.25"/>
    <row r="505" s="88" customFormat="1" x14ac:dyDescent="0.25"/>
    <row r="506" s="88" customFormat="1" x14ac:dyDescent="0.25"/>
    <row r="507" s="88" customFormat="1" x14ac:dyDescent="0.25"/>
    <row r="508" s="88" customFormat="1" x14ac:dyDescent="0.25"/>
    <row r="509" s="88" customFormat="1" x14ac:dyDescent="0.25"/>
    <row r="510" s="88" customFormat="1" x14ac:dyDescent="0.25"/>
    <row r="511" s="88" customFormat="1" x14ac:dyDescent="0.25"/>
    <row r="512" s="88" customFormat="1" x14ac:dyDescent="0.25"/>
    <row r="513" s="88" customFormat="1" x14ac:dyDescent="0.25"/>
    <row r="514" s="88" customFormat="1" x14ac:dyDescent="0.25"/>
    <row r="515" s="88" customFormat="1" x14ac:dyDescent="0.25"/>
    <row r="516" s="88" customFormat="1" x14ac:dyDescent="0.25"/>
    <row r="517" s="88" customFormat="1" x14ac:dyDescent="0.25"/>
    <row r="518" s="88" customFormat="1" x14ac:dyDescent="0.25"/>
    <row r="519" s="88" customFormat="1" x14ac:dyDescent="0.25"/>
    <row r="520" s="88" customFormat="1" x14ac:dyDescent="0.25"/>
    <row r="521" s="88" customFormat="1" x14ac:dyDescent="0.25"/>
    <row r="522" s="88" customFormat="1" x14ac:dyDescent="0.25"/>
    <row r="523" s="88" customFormat="1" x14ac:dyDescent="0.25"/>
    <row r="524" s="88" customFormat="1" x14ac:dyDescent="0.25"/>
    <row r="525" s="88" customFormat="1" x14ac:dyDescent="0.25"/>
    <row r="526" s="88" customFormat="1" x14ac:dyDescent="0.25"/>
    <row r="527" s="88" customFormat="1" x14ac:dyDescent="0.25"/>
    <row r="528" s="88" customFormat="1" x14ac:dyDescent="0.25"/>
    <row r="529" s="88" customFormat="1" x14ac:dyDescent="0.25"/>
    <row r="530" s="88" customFormat="1" x14ac:dyDescent="0.25"/>
    <row r="531" s="88" customFormat="1" x14ac:dyDescent="0.25"/>
    <row r="532" s="88" customFormat="1" x14ac:dyDescent="0.25"/>
    <row r="533" s="88" customFormat="1" x14ac:dyDescent="0.25"/>
    <row r="534" s="88" customFormat="1" x14ac:dyDescent="0.25"/>
    <row r="535" s="88" customFormat="1" x14ac:dyDescent="0.25"/>
    <row r="536" s="88" customFormat="1" x14ac:dyDescent="0.25"/>
    <row r="537" s="88" customFormat="1" x14ac:dyDescent="0.25"/>
    <row r="538" s="88" customFormat="1" x14ac:dyDescent="0.25"/>
    <row r="539" s="88" customFormat="1" x14ac:dyDescent="0.25"/>
    <row r="540" s="88" customFormat="1" x14ac:dyDescent="0.25"/>
    <row r="541" s="88" customFormat="1" x14ac:dyDescent="0.25"/>
    <row r="542" s="88" customFormat="1" x14ac:dyDescent="0.25"/>
    <row r="543" s="88" customFormat="1" x14ac:dyDescent="0.25"/>
    <row r="544" s="88" customFormat="1" x14ac:dyDescent="0.25"/>
    <row r="545" s="88" customFormat="1" x14ac:dyDescent="0.25"/>
    <row r="546" s="88" customFormat="1" x14ac:dyDescent="0.25"/>
    <row r="547" s="88" customFormat="1" x14ac:dyDescent="0.25"/>
    <row r="548" s="88" customFormat="1" x14ac:dyDescent="0.25"/>
    <row r="549" s="88" customFormat="1" x14ac:dyDescent="0.25"/>
    <row r="550" s="88" customFormat="1" x14ac:dyDescent="0.25"/>
    <row r="551" s="88" customFormat="1" x14ac:dyDescent="0.25"/>
    <row r="552" s="88" customFormat="1" x14ac:dyDescent="0.25"/>
    <row r="553" s="88" customFormat="1" x14ac:dyDescent="0.25"/>
    <row r="554" s="88" customFormat="1" x14ac:dyDescent="0.25"/>
    <row r="555" s="88" customFormat="1" x14ac:dyDescent="0.25"/>
    <row r="556" s="88" customFormat="1" x14ac:dyDescent="0.25"/>
    <row r="557" s="88" customFormat="1" x14ac:dyDescent="0.25"/>
    <row r="558" s="88" customFormat="1" x14ac:dyDescent="0.25"/>
    <row r="559" s="88" customFormat="1" x14ac:dyDescent="0.25"/>
    <row r="560" s="88" customFormat="1" x14ac:dyDescent="0.25"/>
    <row r="561" s="88" customFormat="1" x14ac:dyDescent="0.25"/>
    <row r="562" s="88" customFormat="1" x14ac:dyDescent="0.25"/>
    <row r="563" s="88" customFormat="1" x14ac:dyDescent="0.25"/>
    <row r="564" s="88" customFormat="1" x14ac:dyDescent="0.25"/>
    <row r="565" s="88" customFormat="1" x14ac:dyDescent="0.25"/>
    <row r="566" s="88" customFormat="1" x14ac:dyDescent="0.25"/>
    <row r="567" s="88" customFormat="1" x14ac:dyDescent="0.25"/>
    <row r="568" s="88" customFormat="1" x14ac:dyDescent="0.25"/>
    <row r="569" s="88" customFormat="1" x14ac:dyDescent="0.25"/>
    <row r="570" s="88" customFormat="1" x14ac:dyDescent="0.25"/>
    <row r="571" s="88" customFormat="1" x14ac:dyDescent="0.25"/>
    <row r="572" s="88" customFormat="1" x14ac:dyDescent="0.25"/>
    <row r="573" s="88" customFormat="1" x14ac:dyDescent="0.25"/>
    <row r="574" s="88" customFormat="1" x14ac:dyDescent="0.25"/>
    <row r="575" s="88" customFormat="1" x14ac:dyDescent="0.25"/>
    <row r="576" s="88" customFormat="1" x14ac:dyDescent="0.25"/>
    <row r="577" s="88" customFormat="1" x14ac:dyDescent="0.25"/>
    <row r="578" s="88" customFormat="1" x14ac:dyDescent="0.25"/>
    <row r="579" s="88" customFormat="1" x14ac:dyDescent="0.25"/>
    <row r="580" s="88" customFormat="1" x14ac:dyDescent="0.25"/>
    <row r="581" s="88" customFormat="1" x14ac:dyDescent="0.25"/>
    <row r="582" s="88" customFormat="1" x14ac:dyDescent="0.25"/>
    <row r="583" s="88" customFormat="1" x14ac:dyDescent="0.25"/>
    <row r="584" s="88" customFormat="1" x14ac:dyDescent="0.25"/>
    <row r="585" s="88" customFormat="1" x14ac:dyDescent="0.25"/>
    <row r="586" s="88" customFormat="1" x14ac:dyDescent="0.25"/>
    <row r="587" s="88" customFormat="1" x14ac:dyDescent="0.25"/>
    <row r="588" s="88" customFormat="1" x14ac:dyDescent="0.25"/>
    <row r="589" s="88" customFormat="1" x14ac:dyDescent="0.25"/>
    <row r="590" s="88" customFormat="1" x14ac:dyDescent="0.25"/>
    <row r="591" s="88" customFormat="1" x14ac:dyDescent="0.25"/>
    <row r="592" s="88" customFormat="1" x14ac:dyDescent="0.25"/>
    <row r="593" s="88" customFormat="1" x14ac:dyDescent="0.25"/>
    <row r="594" s="88" customFormat="1" x14ac:dyDescent="0.25"/>
    <row r="595" s="88" customFormat="1" x14ac:dyDescent="0.25"/>
    <row r="596" s="88" customFormat="1" x14ac:dyDescent="0.25"/>
    <row r="597" s="88" customFormat="1" x14ac:dyDescent="0.25"/>
    <row r="598" s="88" customFormat="1" x14ac:dyDescent="0.25"/>
    <row r="599" s="88" customFormat="1" x14ac:dyDescent="0.25"/>
    <row r="600" s="88" customFormat="1" x14ac:dyDescent="0.25"/>
    <row r="601" s="88" customFormat="1" x14ac:dyDescent="0.25"/>
    <row r="602" s="88" customFormat="1" x14ac:dyDescent="0.25"/>
    <row r="603" s="88" customFormat="1" x14ac:dyDescent="0.25"/>
    <row r="604" s="88" customFormat="1" x14ac:dyDescent="0.25"/>
    <row r="605" s="88" customFormat="1" x14ac:dyDescent="0.25"/>
    <row r="606" s="88" customFormat="1" x14ac:dyDescent="0.25"/>
    <row r="607" s="88" customFormat="1" x14ac:dyDescent="0.25"/>
    <row r="608" s="88" customFormat="1" x14ac:dyDescent="0.25"/>
    <row r="609" s="88" customFormat="1" x14ac:dyDescent="0.25"/>
    <row r="610" s="88" customFormat="1" x14ac:dyDescent="0.25"/>
    <row r="611" s="88" customFormat="1" x14ac:dyDescent="0.25"/>
    <row r="612" s="88" customFormat="1" x14ac:dyDescent="0.25"/>
    <row r="613" s="88" customFormat="1" x14ac:dyDescent="0.25"/>
    <row r="614" s="88" customFormat="1" x14ac:dyDescent="0.25"/>
    <row r="615" s="88" customFormat="1" x14ac:dyDescent="0.25"/>
    <row r="616" s="88" customFormat="1" x14ac:dyDescent="0.25"/>
    <row r="617" s="88" customFormat="1" x14ac:dyDescent="0.25"/>
    <row r="618" s="88" customFormat="1" x14ac:dyDescent="0.25"/>
    <row r="619" s="88" customFormat="1" x14ac:dyDescent="0.25"/>
    <row r="620" s="88" customFormat="1" x14ac:dyDescent="0.25"/>
    <row r="621" s="88" customFormat="1" x14ac:dyDescent="0.25"/>
    <row r="622" s="88" customFormat="1" x14ac:dyDescent="0.25"/>
    <row r="623" s="88" customFormat="1" x14ac:dyDescent="0.25"/>
    <row r="624" s="88" customFormat="1" x14ac:dyDescent="0.25"/>
    <row r="625" s="88" customFormat="1" x14ac:dyDescent="0.25"/>
    <row r="626" s="88" customFormat="1" x14ac:dyDescent="0.25"/>
    <row r="627" s="88" customFormat="1" x14ac:dyDescent="0.25"/>
    <row r="628" s="88" customFormat="1" x14ac:dyDescent="0.25"/>
    <row r="629" s="88" customFormat="1" x14ac:dyDescent="0.25"/>
    <row r="630" s="88" customFormat="1" x14ac:dyDescent="0.25"/>
    <row r="631" s="88" customFormat="1" x14ac:dyDescent="0.25"/>
    <row r="632" s="88" customFormat="1" x14ac:dyDescent="0.25"/>
    <row r="633" s="88" customFormat="1" x14ac:dyDescent="0.25"/>
    <row r="634" s="88" customFormat="1" x14ac:dyDescent="0.25"/>
    <row r="635" s="88" customFormat="1" x14ac:dyDescent="0.25"/>
    <row r="636" s="88" customFormat="1" x14ac:dyDescent="0.25"/>
    <row r="637" s="88" customFormat="1" x14ac:dyDescent="0.25"/>
    <row r="638" s="88" customFormat="1" x14ac:dyDescent="0.25"/>
    <row r="639" s="88" customFormat="1" x14ac:dyDescent="0.25"/>
    <row r="640" s="88" customFormat="1" x14ac:dyDescent="0.25"/>
    <row r="641" s="88" customFormat="1" x14ac:dyDescent="0.25"/>
    <row r="642" s="88" customFormat="1" x14ac:dyDescent="0.25"/>
    <row r="643" s="88" customFormat="1" x14ac:dyDescent="0.25"/>
    <row r="644" s="88" customFormat="1" x14ac:dyDescent="0.25"/>
    <row r="645" s="88" customFormat="1" x14ac:dyDescent="0.25"/>
    <row r="646" s="88" customFormat="1" x14ac:dyDescent="0.25"/>
    <row r="647" s="88" customFormat="1" x14ac:dyDescent="0.25"/>
    <row r="648" s="88" customFormat="1" x14ac:dyDescent="0.25"/>
    <row r="649" s="88" customFormat="1" x14ac:dyDescent="0.25"/>
    <row r="650" s="88" customFormat="1" x14ac:dyDescent="0.25"/>
    <row r="651" s="88" customFormat="1" x14ac:dyDescent="0.25"/>
    <row r="652" s="88" customFormat="1" x14ac:dyDescent="0.25"/>
    <row r="653" s="88" customFormat="1" x14ac:dyDescent="0.25"/>
    <row r="654" s="88" customFormat="1" x14ac:dyDescent="0.25"/>
    <row r="655" s="88" customFormat="1" x14ac:dyDescent="0.25"/>
    <row r="656" s="88" customFormat="1" x14ac:dyDescent="0.25"/>
    <row r="657" s="88" customFormat="1" x14ac:dyDescent="0.25"/>
    <row r="658" s="88" customFormat="1" x14ac:dyDescent="0.25"/>
    <row r="659" s="88" customFormat="1" x14ac:dyDescent="0.25"/>
    <row r="660" s="88" customFormat="1" x14ac:dyDescent="0.25"/>
    <row r="661" s="88" customFormat="1" x14ac:dyDescent="0.25"/>
    <row r="662" s="88" customFormat="1" x14ac:dyDescent="0.25"/>
    <row r="663" s="88" customFormat="1" x14ac:dyDescent="0.25"/>
    <row r="664" s="88" customFormat="1" x14ac:dyDescent="0.25"/>
    <row r="665" s="88" customFormat="1" x14ac:dyDescent="0.25"/>
    <row r="666" s="88" customFormat="1" x14ac:dyDescent="0.25"/>
    <row r="667" s="88" customFormat="1" x14ac:dyDescent="0.25"/>
    <row r="668" s="88" customFormat="1" x14ac:dyDescent="0.25"/>
    <row r="669" s="88" customFormat="1" x14ac:dyDescent="0.25"/>
    <row r="670" s="88" customFormat="1" x14ac:dyDescent="0.25"/>
    <row r="671" s="88" customFormat="1" x14ac:dyDescent="0.25"/>
    <row r="672" s="88" customFormat="1" x14ac:dyDescent="0.25"/>
    <row r="673" s="88" customFormat="1" x14ac:dyDescent="0.25"/>
    <row r="674" s="88" customFormat="1" x14ac:dyDescent="0.25"/>
    <row r="675" s="88" customFormat="1" x14ac:dyDescent="0.25"/>
    <row r="676" s="88" customFormat="1" x14ac:dyDescent="0.25"/>
    <row r="677" s="88" customFormat="1" x14ac:dyDescent="0.25"/>
    <row r="678" s="88" customFormat="1" x14ac:dyDescent="0.25"/>
    <row r="679" s="88" customFormat="1" x14ac:dyDescent="0.25"/>
    <row r="680" s="88" customFormat="1" x14ac:dyDescent="0.25"/>
    <row r="681" s="88" customFormat="1" x14ac:dyDescent="0.25"/>
    <row r="682" s="88" customFormat="1" x14ac:dyDescent="0.25"/>
    <row r="683" s="88" customFormat="1" x14ac:dyDescent="0.25"/>
    <row r="684" s="88" customFormat="1" x14ac:dyDescent="0.25"/>
    <row r="685" s="88" customFormat="1" x14ac:dyDescent="0.25"/>
    <row r="686" s="88" customFormat="1" x14ac:dyDescent="0.25"/>
    <row r="687" s="88" customFormat="1" x14ac:dyDescent="0.25"/>
    <row r="688" s="88" customFormat="1" x14ac:dyDescent="0.25"/>
    <row r="689" s="88" customFormat="1" x14ac:dyDescent="0.25"/>
    <row r="690" s="88" customFormat="1" x14ac:dyDescent="0.25"/>
    <row r="691" s="88" customFormat="1" x14ac:dyDescent="0.25"/>
    <row r="692" s="88" customFormat="1" x14ac:dyDescent="0.25"/>
    <row r="693" s="88" customFormat="1" x14ac:dyDescent="0.25"/>
    <row r="694" s="88" customFormat="1" x14ac:dyDescent="0.25"/>
    <row r="695" s="88" customFormat="1" x14ac:dyDescent="0.25"/>
    <row r="696" s="88" customFormat="1" x14ac:dyDescent="0.25"/>
    <row r="697" s="88" customFormat="1" x14ac:dyDescent="0.25"/>
    <row r="698" s="88" customFormat="1" x14ac:dyDescent="0.25"/>
    <row r="699" s="88" customFormat="1" x14ac:dyDescent="0.25"/>
    <row r="700" s="88" customFormat="1" x14ac:dyDescent="0.25"/>
    <row r="701" s="88" customFormat="1" x14ac:dyDescent="0.25"/>
    <row r="702" s="88" customFormat="1" x14ac:dyDescent="0.25"/>
    <row r="703" s="88" customFormat="1" x14ac:dyDescent="0.25"/>
    <row r="704" s="88" customFormat="1" x14ac:dyDescent="0.25"/>
    <row r="705" s="88" customFormat="1" x14ac:dyDescent="0.25"/>
    <row r="706" s="88" customFormat="1" x14ac:dyDescent="0.25"/>
    <row r="707" s="88" customFormat="1" x14ac:dyDescent="0.25"/>
    <row r="708" s="88" customFormat="1" x14ac:dyDescent="0.25"/>
    <row r="709" s="88" customFormat="1" x14ac:dyDescent="0.25"/>
    <row r="710" s="88" customFormat="1" x14ac:dyDescent="0.25"/>
    <row r="711" s="88" customFormat="1" x14ac:dyDescent="0.25"/>
    <row r="712" s="88" customFormat="1" x14ac:dyDescent="0.25"/>
    <row r="713" s="88" customFormat="1" x14ac:dyDescent="0.25"/>
    <row r="714" s="88" customFormat="1" x14ac:dyDescent="0.25"/>
    <row r="715" s="88" customFormat="1" x14ac:dyDescent="0.25"/>
    <row r="716" s="88" customFormat="1" x14ac:dyDescent="0.25"/>
    <row r="717" s="88" customFormat="1" x14ac:dyDescent="0.25"/>
    <row r="718" s="88" customFormat="1" x14ac:dyDescent="0.25"/>
    <row r="719" s="88" customFormat="1" x14ac:dyDescent="0.25"/>
    <row r="720" s="88" customFormat="1" x14ac:dyDescent="0.25"/>
    <row r="721" s="88" customFormat="1" x14ac:dyDescent="0.25"/>
    <row r="722" s="88" customFormat="1" x14ac:dyDescent="0.25"/>
    <row r="723" s="88" customFormat="1" x14ac:dyDescent="0.25"/>
    <row r="724" s="88" customFormat="1" x14ac:dyDescent="0.25"/>
    <row r="725" s="88" customFormat="1" x14ac:dyDescent="0.25"/>
    <row r="726" s="88" customFormat="1" x14ac:dyDescent="0.25"/>
    <row r="727" s="88" customFormat="1" x14ac:dyDescent="0.25"/>
    <row r="728" s="88" customFormat="1" x14ac:dyDescent="0.25"/>
    <row r="729" s="88" customFormat="1" x14ac:dyDescent="0.25"/>
    <row r="730" s="88" customFormat="1" x14ac:dyDescent="0.25"/>
    <row r="731" s="88" customFormat="1" x14ac:dyDescent="0.25"/>
    <row r="732" s="88" customFormat="1" x14ac:dyDescent="0.25"/>
    <row r="733" s="88" customFormat="1" x14ac:dyDescent="0.25"/>
    <row r="734" s="88" customFormat="1" x14ac:dyDescent="0.25"/>
    <row r="735" s="88" customFormat="1" x14ac:dyDescent="0.25"/>
    <row r="736" s="88" customFormat="1" x14ac:dyDescent="0.25"/>
    <row r="737" s="88" customFormat="1" x14ac:dyDescent="0.25"/>
    <row r="738" s="88" customFormat="1" x14ac:dyDescent="0.25"/>
    <row r="739" s="88" customFormat="1" x14ac:dyDescent="0.25"/>
    <row r="740" s="88" customFormat="1" x14ac:dyDescent="0.25"/>
    <row r="741" s="88" customFormat="1" x14ac:dyDescent="0.25"/>
    <row r="742" s="88" customFormat="1" x14ac:dyDescent="0.25"/>
    <row r="743" s="88" customFormat="1" x14ac:dyDescent="0.25"/>
    <row r="744" s="88" customFormat="1" x14ac:dyDescent="0.25"/>
    <row r="745" s="88" customFormat="1" x14ac:dyDescent="0.25"/>
    <row r="746" s="88" customFormat="1" x14ac:dyDescent="0.25"/>
    <row r="747" s="88" customFormat="1" x14ac:dyDescent="0.25"/>
    <row r="748" s="88" customFormat="1" x14ac:dyDescent="0.25"/>
    <row r="749" s="88" customFormat="1" x14ac:dyDescent="0.25"/>
    <row r="750" s="88" customFormat="1" x14ac:dyDescent="0.25"/>
    <row r="751" s="88" customFormat="1" x14ac:dyDescent="0.25"/>
    <row r="752" s="88" customFormat="1" x14ac:dyDescent="0.25"/>
    <row r="753" s="88" customFormat="1" x14ac:dyDescent="0.25"/>
    <row r="754" s="88" customFormat="1" x14ac:dyDescent="0.25"/>
    <row r="755" s="88" customFormat="1" x14ac:dyDescent="0.25"/>
    <row r="756" s="88" customFormat="1" x14ac:dyDescent="0.25"/>
    <row r="757" s="88" customFormat="1" x14ac:dyDescent="0.25"/>
    <row r="758" s="88" customFormat="1" x14ac:dyDescent="0.25"/>
    <row r="759" s="88" customFormat="1" x14ac:dyDescent="0.25"/>
    <row r="760" s="88" customFormat="1" x14ac:dyDescent="0.25"/>
    <row r="761" s="88" customFormat="1" x14ac:dyDescent="0.25"/>
    <row r="762" s="88" customFormat="1" x14ac:dyDescent="0.25"/>
    <row r="763" s="88" customFormat="1" x14ac:dyDescent="0.25"/>
    <row r="764" s="88" customFormat="1" x14ac:dyDescent="0.25"/>
    <row r="765" s="88" customFormat="1" x14ac:dyDescent="0.25"/>
    <row r="766" s="88" customFormat="1" x14ac:dyDescent="0.25"/>
    <row r="767" s="88" customFormat="1" x14ac:dyDescent="0.25"/>
    <row r="768" s="88" customFormat="1" x14ac:dyDescent="0.25"/>
    <row r="769" s="88" customFormat="1" x14ac:dyDescent="0.25"/>
    <row r="770" s="88" customFormat="1" x14ac:dyDescent="0.25"/>
    <row r="771" s="88" customFormat="1" x14ac:dyDescent="0.25"/>
    <row r="772" s="88" customFormat="1" x14ac:dyDescent="0.25"/>
    <row r="773" s="88" customFormat="1" x14ac:dyDescent="0.25"/>
    <row r="774" s="88" customFormat="1" x14ac:dyDescent="0.25"/>
    <row r="775" s="88" customFormat="1" x14ac:dyDescent="0.25"/>
    <row r="776" s="88" customFormat="1" x14ac:dyDescent="0.25"/>
    <row r="777" s="88" customFormat="1" x14ac:dyDescent="0.25"/>
    <row r="778" s="88" customFormat="1" x14ac:dyDescent="0.25"/>
    <row r="779" s="88" customFormat="1" x14ac:dyDescent="0.25"/>
    <row r="780" s="88" customFormat="1" x14ac:dyDescent="0.25"/>
    <row r="781" s="88" customFormat="1" x14ac:dyDescent="0.25"/>
    <row r="782" s="88" customFormat="1" x14ac:dyDescent="0.25"/>
    <row r="783" s="88" customFormat="1" x14ac:dyDescent="0.25"/>
    <row r="784" s="88" customFormat="1" x14ac:dyDescent="0.25"/>
    <row r="785" s="88" customFormat="1" x14ac:dyDescent="0.25"/>
    <row r="786" s="88" customFormat="1" x14ac:dyDescent="0.25"/>
    <row r="787" s="88" customFormat="1" x14ac:dyDescent="0.25"/>
    <row r="788" s="88" customFormat="1" x14ac:dyDescent="0.25"/>
    <row r="789" s="88" customFormat="1" x14ac:dyDescent="0.25"/>
    <row r="790" s="88" customFormat="1" x14ac:dyDescent="0.25"/>
    <row r="791" s="88" customFormat="1" x14ac:dyDescent="0.25"/>
    <row r="792" s="88" customFormat="1" x14ac:dyDescent="0.25"/>
    <row r="793" s="88" customFormat="1" x14ac:dyDescent="0.25"/>
    <row r="794" s="88" customFormat="1" x14ac:dyDescent="0.25"/>
    <row r="795" s="88" customFormat="1" x14ac:dyDescent="0.25"/>
    <row r="796" s="88" customFormat="1" x14ac:dyDescent="0.25"/>
    <row r="797" s="88" customFormat="1" x14ac:dyDescent="0.25"/>
    <row r="798" s="88" customFormat="1" x14ac:dyDescent="0.25"/>
    <row r="799" s="88" customFormat="1" x14ac:dyDescent="0.25"/>
    <row r="800" s="88" customFormat="1" x14ac:dyDescent="0.25"/>
    <row r="801" s="88" customFormat="1" x14ac:dyDescent="0.25"/>
    <row r="802" s="88" customFormat="1" x14ac:dyDescent="0.25"/>
    <row r="803" s="88" customFormat="1" x14ac:dyDescent="0.25"/>
    <row r="804" s="88" customFormat="1" x14ac:dyDescent="0.25"/>
    <row r="805" s="88" customFormat="1" x14ac:dyDescent="0.25"/>
    <row r="806" s="88" customFormat="1" x14ac:dyDescent="0.25"/>
    <row r="807" s="88" customFormat="1" x14ac:dyDescent="0.25"/>
    <row r="808" s="88" customFormat="1" x14ac:dyDescent="0.25"/>
    <row r="809" s="88" customFormat="1" x14ac:dyDescent="0.25"/>
    <row r="810" s="88" customFormat="1" x14ac:dyDescent="0.25"/>
    <row r="811" s="88" customFormat="1" x14ac:dyDescent="0.25"/>
    <row r="812" s="88" customFormat="1" x14ac:dyDescent="0.25"/>
    <row r="813" s="88" customFormat="1" x14ac:dyDescent="0.25"/>
    <row r="814" s="88" customFormat="1" x14ac:dyDescent="0.25"/>
    <row r="815" s="88" customFormat="1" x14ac:dyDescent="0.25"/>
    <row r="816" s="88" customFormat="1" x14ac:dyDescent="0.25"/>
    <row r="817" s="88" customFormat="1" x14ac:dyDescent="0.25"/>
    <row r="818" s="88" customFormat="1" x14ac:dyDescent="0.25"/>
    <row r="819" s="88" customFormat="1" x14ac:dyDescent="0.25"/>
    <row r="820" s="88" customFormat="1" x14ac:dyDescent="0.25"/>
    <row r="821" s="88" customFormat="1" x14ac:dyDescent="0.25"/>
    <row r="822" s="88" customFormat="1" x14ac:dyDescent="0.25"/>
    <row r="823" s="88" customFormat="1" x14ac:dyDescent="0.25"/>
    <row r="824" s="88" customFormat="1" x14ac:dyDescent="0.25"/>
    <row r="825" s="88" customFormat="1" x14ac:dyDescent="0.25"/>
    <row r="826" s="88" customFormat="1" x14ac:dyDescent="0.25"/>
    <row r="827" s="88" customFormat="1" x14ac:dyDescent="0.25"/>
    <row r="828" s="88" customFormat="1" x14ac:dyDescent="0.25"/>
    <row r="829" s="88" customFormat="1" x14ac:dyDescent="0.25"/>
    <row r="830" s="88" customFormat="1" x14ac:dyDescent="0.25"/>
    <row r="831" s="88" customFormat="1" x14ac:dyDescent="0.25"/>
    <row r="832" s="88" customFormat="1" x14ac:dyDescent="0.25"/>
    <row r="833" s="88" customFormat="1" x14ac:dyDescent="0.25"/>
    <row r="834" s="88" customFormat="1" x14ac:dyDescent="0.25"/>
    <row r="835" s="88" customFormat="1" x14ac:dyDescent="0.25"/>
    <row r="836" s="88" customFormat="1" x14ac:dyDescent="0.25"/>
    <row r="837" s="88" customFormat="1" x14ac:dyDescent="0.25"/>
    <row r="838" s="88" customFormat="1" x14ac:dyDescent="0.25"/>
    <row r="839" s="88" customFormat="1" x14ac:dyDescent="0.25"/>
    <row r="840" s="88" customFormat="1" x14ac:dyDescent="0.25"/>
    <row r="841" s="88" customFormat="1" x14ac:dyDescent="0.25"/>
    <row r="842" s="88" customFormat="1" x14ac:dyDescent="0.25"/>
    <row r="843" s="88" customFormat="1" x14ac:dyDescent="0.25"/>
    <row r="844" s="88" customFormat="1" x14ac:dyDescent="0.25"/>
    <row r="845" s="88" customFormat="1" x14ac:dyDescent="0.25"/>
    <row r="846" s="88" customFormat="1" x14ac:dyDescent="0.25"/>
    <row r="847" s="88" customFormat="1" x14ac:dyDescent="0.25"/>
    <row r="848" s="88" customFormat="1" x14ac:dyDescent="0.25"/>
    <row r="849" s="88" customFormat="1" x14ac:dyDescent="0.25"/>
    <row r="850" s="88" customFormat="1" x14ac:dyDescent="0.25"/>
    <row r="851" s="88" customFormat="1" x14ac:dyDescent="0.25"/>
    <row r="852" s="88" customFormat="1" x14ac:dyDescent="0.25"/>
    <row r="853" s="88" customFormat="1" x14ac:dyDescent="0.25"/>
    <row r="854" s="88" customFormat="1" x14ac:dyDescent="0.25"/>
    <row r="855" s="88" customFormat="1" x14ac:dyDescent="0.25"/>
    <row r="856" s="88" customFormat="1" x14ac:dyDescent="0.25"/>
    <row r="857" s="88" customFormat="1" x14ac:dyDescent="0.25"/>
    <row r="858" s="88" customFormat="1" x14ac:dyDescent="0.25"/>
    <row r="859" s="88" customFormat="1" x14ac:dyDescent="0.25"/>
    <row r="860" s="88" customFormat="1" x14ac:dyDescent="0.25"/>
    <row r="861" s="88" customFormat="1" x14ac:dyDescent="0.25"/>
    <row r="862" s="88" customFormat="1" x14ac:dyDescent="0.25"/>
    <row r="863" s="88" customFormat="1" x14ac:dyDescent="0.25"/>
    <row r="864" s="88" customFormat="1" x14ac:dyDescent="0.25"/>
    <row r="865" s="88" customFormat="1" x14ac:dyDescent="0.25"/>
    <row r="866" s="88" customFormat="1" x14ac:dyDescent="0.25"/>
    <row r="867" s="88" customFormat="1" x14ac:dyDescent="0.25"/>
    <row r="868" s="88" customFormat="1" x14ac:dyDescent="0.25"/>
    <row r="869" s="88" customFormat="1" x14ac:dyDescent="0.25"/>
    <row r="870" s="88" customFormat="1" x14ac:dyDescent="0.25"/>
    <row r="871" s="88" customFormat="1" x14ac:dyDescent="0.25"/>
    <row r="872" s="88" customFormat="1" x14ac:dyDescent="0.25"/>
    <row r="873" s="88" customFormat="1" x14ac:dyDescent="0.25"/>
    <row r="874" s="88" customFormat="1" x14ac:dyDescent="0.25"/>
    <row r="875" s="88" customFormat="1" x14ac:dyDescent="0.25"/>
    <row r="876" s="88" customFormat="1" x14ac:dyDescent="0.25"/>
    <row r="877" s="88" customFormat="1" x14ac:dyDescent="0.25"/>
    <row r="878" s="88" customFormat="1" x14ac:dyDescent="0.25"/>
    <row r="879" s="88" customFormat="1" x14ac:dyDescent="0.25"/>
    <row r="880" s="88" customFormat="1" x14ac:dyDescent="0.25"/>
    <row r="881" s="88" customFormat="1" x14ac:dyDescent="0.25"/>
    <row r="882" s="88" customFormat="1" x14ac:dyDescent="0.25"/>
    <row r="883" s="88" customFormat="1" x14ac:dyDescent="0.25"/>
    <row r="884" s="88" customFormat="1" x14ac:dyDescent="0.25"/>
    <row r="885" s="88" customFormat="1" x14ac:dyDescent="0.25"/>
    <row r="886" s="88" customFormat="1" x14ac:dyDescent="0.25"/>
    <row r="887" s="88" customFormat="1" x14ac:dyDescent="0.25"/>
    <row r="888" s="88" customFormat="1" x14ac:dyDescent="0.25"/>
    <row r="889" s="88" customFormat="1" x14ac:dyDescent="0.25"/>
    <row r="890" s="88" customFormat="1" x14ac:dyDescent="0.25"/>
    <row r="891" s="88" customFormat="1" x14ac:dyDescent="0.25"/>
    <row r="892" s="88" customFormat="1" x14ac:dyDescent="0.25"/>
    <row r="893" s="88" customFormat="1" x14ac:dyDescent="0.25"/>
    <row r="894" s="88" customFormat="1" x14ac:dyDescent="0.25"/>
    <row r="895" s="88" customFormat="1" x14ac:dyDescent="0.25"/>
    <row r="896" s="88" customFormat="1" x14ac:dyDescent="0.25"/>
    <row r="897" s="88" customFormat="1" x14ac:dyDescent="0.25"/>
    <row r="898" s="88" customFormat="1" x14ac:dyDescent="0.25"/>
    <row r="899" s="88" customFormat="1" x14ac:dyDescent="0.25"/>
    <row r="900" s="88" customFormat="1" x14ac:dyDescent="0.25"/>
    <row r="901" s="88" customFormat="1" x14ac:dyDescent="0.25"/>
    <row r="902" s="88" customFormat="1" x14ac:dyDescent="0.25"/>
    <row r="903" s="88" customFormat="1" x14ac:dyDescent="0.25"/>
    <row r="904" s="88" customFormat="1" x14ac:dyDescent="0.25"/>
    <row r="905" s="88" customFormat="1" x14ac:dyDescent="0.25"/>
    <row r="906" s="88" customFormat="1" x14ac:dyDescent="0.25"/>
    <row r="907" s="88" customFormat="1" x14ac:dyDescent="0.25"/>
    <row r="908" s="88" customFormat="1" x14ac:dyDescent="0.25"/>
    <row r="909" s="88" customFormat="1" x14ac:dyDescent="0.25"/>
    <row r="910" s="88" customFormat="1" x14ac:dyDescent="0.25"/>
    <row r="911" s="88" customFormat="1" x14ac:dyDescent="0.25"/>
    <row r="912" s="88" customFormat="1" x14ac:dyDescent="0.25"/>
    <row r="913" s="88" customFormat="1" x14ac:dyDescent="0.25"/>
    <row r="914" s="88" customFormat="1" x14ac:dyDescent="0.25"/>
    <row r="915" s="88" customFormat="1" x14ac:dyDescent="0.25"/>
    <row r="916" s="88" customFormat="1" x14ac:dyDescent="0.25"/>
    <row r="917" s="88" customFormat="1" x14ac:dyDescent="0.25"/>
    <row r="918" s="88" customFormat="1" x14ac:dyDescent="0.25"/>
    <row r="919" s="88" customFormat="1" x14ac:dyDescent="0.25"/>
    <row r="920" s="88" customFormat="1" x14ac:dyDescent="0.25"/>
    <row r="921" s="88" customFormat="1" x14ac:dyDescent="0.25"/>
    <row r="922" s="88" customFormat="1" x14ac:dyDescent="0.25"/>
    <row r="923" s="88" customFormat="1" x14ac:dyDescent="0.25"/>
    <row r="924" s="88" customFormat="1" x14ac:dyDescent="0.25"/>
    <row r="925" s="88" customFormat="1" x14ac:dyDescent="0.25"/>
    <row r="926" s="88" customFormat="1" x14ac:dyDescent="0.25"/>
    <row r="927" s="88" customFormat="1" x14ac:dyDescent="0.25"/>
    <row r="928" s="88" customFormat="1" x14ac:dyDescent="0.25"/>
    <row r="929" s="88" customFormat="1" x14ac:dyDescent="0.25"/>
    <row r="930" s="88" customFormat="1" x14ac:dyDescent="0.25"/>
    <row r="931" s="88" customFormat="1" x14ac:dyDescent="0.25"/>
    <row r="932" s="88" customFormat="1" x14ac:dyDescent="0.25"/>
    <row r="933" s="88" customFormat="1" x14ac:dyDescent="0.25"/>
    <row r="934" s="88" customFormat="1" x14ac:dyDescent="0.25"/>
    <row r="935" s="88" customFormat="1" x14ac:dyDescent="0.25"/>
    <row r="936" s="88" customFormat="1" x14ac:dyDescent="0.25"/>
    <row r="937" s="88" customFormat="1" x14ac:dyDescent="0.25"/>
    <row r="938" s="88" customFormat="1" x14ac:dyDescent="0.25"/>
    <row r="939" s="88" customFormat="1" x14ac:dyDescent="0.25"/>
    <row r="940" s="88" customFormat="1" x14ac:dyDescent="0.25"/>
    <row r="941" s="88" customFormat="1" x14ac:dyDescent="0.25"/>
    <row r="942" s="88" customFormat="1" x14ac:dyDescent="0.25"/>
    <row r="943" s="88" customFormat="1" x14ac:dyDescent="0.25"/>
    <row r="944" s="88" customFormat="1" x14ac:dyDescent="0.25"/>
    <row r="945" s="88" customFormat="1" x14ac:dyDescent="0.25"/>
    <row r="946" s="88" customFormat="1" x14ac:dyDescent="0.25"/>
    <row r="947" s="88" customFormat="1" x14ac:dyDescent="0.25"/>
    <row r="948" s="88" customFormat="1" x14ac:dyDescent="0.25"/>
    <row r="949" s="88" customFormat="1" x14ac:dyDescent="0.25"/>
    <row r="950" s="88" customFormat="1" x14ac:dyDescent="0.25"/>
    <row r="951" s="88" customFormat="1" x14ac:dyDescent="0.25"/>
    <row r="952" s="88" customFormat="1" x14ac:dyDescent="0.25"/>
    <row r="953" s="88" customFormat="1" x14ac:dyDescent="0.25"/>
    <row r="954" s="88" customFormat="1" x14ac:dyDescent="0.25"/>
    <row r="955" s="88" customFormat="1" x14ac:dyDescent="0.25"/>
    <row r="956" s="88" customFormat="1" x14ac:dyDescent="0.25"/>
    <row r="957" s="88" customFormat="1" x14ac:dyDescent="0.25"/>
    <row r="958" s="88" customFormat="1" x14ac:dyDescent="0.25"/>
    <row r="959" s="88" customFormat="1" x14ac:dyDescent="0.25"/>
    <row r="960" s="88" customFormat="1" x14ac:dyDescent="0.25"/>
    <row r="961" s="88" customFormat="1" x14ac:dyDescent="0.25"/>
    <row r="962" s="88" customFormat="1" x14ac:dyDescent="0.25"/>
    <row r="963" s="88" customFormat="1" x14ac:dyDescent="0.25"/>
    <row r="964" s="88" customFormat="1" x14ac:dyDescent="0.25"/>
    <row r="965" s="88" customFormat="1" x14ac:dyDescent="0.25"/>
    <row r="966" s="88" customFormat="1" x14ac:dyDescent="0.25"/>
    <row r="967" s="88" customFormat="1" x14ac:dyDescent="0.25"/>
    <row r="968" s="88" customFormat="1" x14ac:dyDescent="0.25"/>
    <row r="969" s="88" customFormat="1" x14ac:dyDescent="0.25"/>
    <row r="970" s="88" customFormat="1" x14ac:dyDescent="0.25"/>
    <row r="971" s="88" customFormat="1" x14ac:dyDescent="0.25"/>
    <row r="972" s="88" customFormat="1" x14ac:dyDescent="0.25"/>
    <row r="973" s="88" customFormat="1" x14ac:dyDescent="0.25"/>
    <row r="974" s="88" customFormat="1" x14ac:dyDescent="0.25"/>
    <row r="975" s="88" customFormat="1" x14ac:dyDescent="0.25"/>
    <row r="976" s="88" customFormat="1" x14ac:dyDescent="0.25"/>
    <row r="977" s="88" customFormat="1" x14ac:dyDescent="0.25"/>
    <row r="978" s="88" customFormat="1" x14ac:dyDescent="0.25"/>
    <row r="979" s="88" customFormat="1" x14ac:dyDescent="0.25"/>
    <row r="980" s="88" customFormat="1" x14ac:dyDescent="0.25"/>
    <row r="981" s="88" customFormat="1" x14ac:dyDescent="0.25"/>
    <row r="982" s="88" customFormat="1" x14ac:dyDescent="0.25"/>
    <row r="983" s="88" customFormat="1" x14ac:dyDescent="0.25"/>
    <row r="984" s="88" customFormat="1" x14ac:dyDescent="0.25"/>
    <row r="985" s="88" customFormat="1" x14ac:dyDescent="0.25"/>
    <row r="986" s="88" customFormat="1" x14ac:dyDescent="0.25"/>
    <row r="987" s="88" customFormat="1" x14ac:dyDescent="0.25"/>
    <row r="988" s="88" customFormat="1" x14ac:dyDescent="0.25"/>
    <row r="989" s="88" customFormat="1" x14ac:dyDescent="0.25"/>
    <row r="990" s="88" customFormat="1" x14ac:dyDescent="0.25"/>
    <row r="991" s="88" customFormat="1" x14ac:dyDescent="0.25"/>
    <row r="992" s="88" customFormat="1" x14ac:dyDescent="0.25"/>
    <row r="993" s="88" customFormat="1" x14ac:dyDescent="0.25"/>
    <row r="994" s="88" customFormat="1" x14ac:dyDescent="0.25"/>
    <row r="995" s="88" customFormat="1" x14ac:dyDescent="0.25"/>
    <row r="996" s="88" customFormat="1" x14ac:dyDescent="0.25"/>
    <row r="997" s="88" customFormat="1" x14ac:dyDescent="0.25"/>
    <row r="998" s="88" customFormat="1" x14ac:dyDescent="0.25"/>
    <row r="999" s="88" customFormat="1" x14ac:dyDescent="0.25"/>
    <row r="1000" s="88" customFormat="1" x14ac:dyDescent="0.25"/>
    <row r="1001" s="88" customFormat="1" x14ac:dyDescent="0.25"/>
    <row r="1002" s="88" customFormat="1" x14ac:dyDescent="0.25"/>
    <row r="1003" s="88" customFormat="1" x14ac:dyDescent="0.25"/>
    <row r="1004" s="88" customFormat="1" x14ac:dyDescent="0.25"/>
    <row r="1005" s="88" customFormat="1" x14ac:dyDescent="0.25"/>
    <row r="1006" s="88" customFormat="1" x14ac:dyDescent="0.25"/>
    <row r="1007" s="88" customFormat="1" x14ac:dyDescent="0.25"/>
    <row r="1008" s="88" customFormat="1" x14ac:dyDescent="0.25"/>
    <row r="1009" s="88" customFormat="1" x14ac:dyDescent="0.25"/>
    <row r="1010" s="88" customFormat="1" x14ac:dyDescent="0.25"/>
    <row r="1011" s="88" customFormat="1" x14ac:dyDescent="0.25"/>
    <row r="1012" s="88" customFormat="1" x14ac:dyDescent="0.25"/>
    <row r="1013" s="88" customFormat="1" x14ac:dyDescent="0.25"/>
    <row r="1014" s="88" customFormat="1" x14ac:dyDescent="0.25"/>
    <row r="1015" s="88" customFormat="1" x14ac:dyDescent="0.25"/>
    <row r="1016" s="88" customFormat="1" x14ac:dyDescent="0.25"/>
    <row r="1017" s="88" customFormat="1" x14ac:dyDescent="0.25"/>
    <row r="1018" s="88" customFormat="1" x14ac:dyDescent="0.25"/>
    <row r="1019" s="88" customFormat="1" x14ac:dyDescent="0.25"/>
    <row r="1020" s="88" customFormat="1" x14ac:dyDescent="0.25"/>
    <row r="1021" s="88" customFormat="1" x14ac:dyDescent="0.25"/>
    <row r="1022" s="88" customFormat="1" x14ac:dyDescent="0.25"/>
    <row r="1023" s="88" customFormat="1" x14ac:dyDescent="0.25"/>
    <row r="1024" s="88" customFormat="1" x14ac:dyDescent="0.25"/>
    <row r="1025" s="88" customFormat="1" x14ac:dyDescent="0.25"/>
    <row r="1026" s="88" customFormat="1" x14ac:dyDescent="0.25"/>
    <row r="1027" s="88" customFormat="1" x14ac:dyDescent="0.25"/>
    <row r="1028" s="88" customFormat="1" x14ac:dyDescent="0.25"/>
    <row r="1029" s="88" customFormat="1" x14ac:dyDescent="0.25"/>
    <row r="1030" s="88" customFormat="1" x14ac:dyDescent="0.25"/>
    <row r="1031" s="88" customFormat="1" x14ac:dyDescent="0.25"/>
    <row r="1032" s="88" customFormat="1" x14ac:dyDescent="0.25"/>
    <row r="1033" s="88" customFormat="1" x14ac:dyDescent="0.25"/>
    <row r="1034" s="88" customFormat="1" x14ac:dyDescent="0.25"/>
    <row r="1035" s="88" customFormat="1" x14ac:dyDescent="0.25"/>
    <row r="1036" s="88" customFormat="1" x14ac:dyDescent="0.25"/>
    <row r="1037" s="88" customFormat="1" x14ac:dyDescent="0.25"/>
    <row r="1038" s="88" customFormat="1" x14ac:dyDescent="0.25"/>
    <row r="1039" s="88" customFormat="1" x14ac:dyDescent="0.25"/>
    <row r="1040" s="88" customFormat="1" x14ac:dyDescent="0.25"/>
    <row r="1041" s="88" customFormat="1" x14ac:dyDescent="0.25"/>
    <row r="1042" s="88" customFormat="1" x14ac:dyDescent="0.25"/>
    <row r="1043" s="88" customFormat="1" x14ac:dyDescent="0.25"/>
    <row r="1044" s="88" customFormat="1" x14ac:dyDescent="0.25"/>
    <row r="1045" s="88" customFormat="1" x14ac:dyDescent="0.25"/>
    <row r="1046" s="88" customFormat="1" x14ac:dyDescent="0.25"/>
    <row r="1047" s="88" customFormat="1" x14ac:dyDescent="0.25"/>
    <row r="1048" s="88" customFormat="1" x14ac:dyDescent="0.25"/>
    <row r="1049" s="88" customFormat="1" x14ac:dyDescent="0.25"/>
    <row r="1050" s="88" customFormat="1" x14ac:dyDescent="0.25"/>
    <row r="1051" s="88" customFormat="1" x14ac:dyDescent="0.25"/>
    <row r="1052" s="88" customFormat="1" x14ac:dyDescent="0.25"/>
    <row r="1053" s="88" customFormat="1" x14ac:dyDescent="0.25"/>
    <row r="1054" s="88" customFormat="1" x14ac:dyDescent="0.25"/>
    <row r="1055" s="88" customFormat="1" x14ac:dyDescent="0.25"/>
    <row r="1056" s="88" customFormat="1" x14ac:dyDescent="0.25"/>
    <row r="1057" s="88" customFormat="1" x14ac:dyDescent="0.25"/>
    <row r="1058" s="88" customFormat="1" x14ac:dyDescent="0.25"/>
    <row r="1059" s="88" customFormat="1" x14ac:dyDescent="0.25"/>
    <row r="1060" s="88" customFormat="1" x14ac:dyDescent="0.25"/>
    <row r="1061" s="88" customFormat="1" x14ac:dyDescent="0.25"/>
    <row r="1062" s="88" customFormat="1" x14ac:dyDescent="0.25"/>
    <row r="1063" s="88" customFormat="1" x14ac:dyDescent="0.25"/>
    <row r="1064" s="88" customFormat="1" x14ac:dyDescent="0.25"/>
    <row r="1065" s="88" customFormat="1" x14ac:dyDescent="0.25"/>
    <row r="1066" s="88" customFormat="1" x14ac:dyDescent="0.25"/>
    <row r="1067" s="88" customFormat="1" x14ac:dyDescent="0.25"/>
    <row r="1068" s="88" customFormat="1" x14ac:dyDescent="0.25"/>
    <row r="1069" s="88" customFormat="1" x14ac:dyDescent="0.25"/>
    <row r="1070" s="88" customFormat="1" x14ac:dyDescent="0.25"/>
    <row r="1071" s="88" customFormat="1" x14ac:dyDescent="0.25"/>
    <row r="1072" s="88" customFormat="1" x14ac:dyDescent="0.25"/>
    <row r="1073" s="88" customFormat="1" x14ac:dyDescent="0.25"/>
    <row r="1074" s="88" customFormat="1" x14ac:dyDescent="0.25"/>
    <row r="1075" s="88" customFormat="1" x14ac:dyDescent="0.25"/>
    <row r="1076" s="88" customFormat="1" x14ac:dyDescent="0.25"/>
    <row r="1077" s="88" customFormat="1" x14ac:dyDescent="0.25"/>
    <row r="1078" s="88" customFormat="1" x14ac:dyDescent="0.25"/>
    <row r="1079" s="88" customFormat="1" x14ac:dyDescent="0.25"/>
    <row r="1080" s="88" customFormat="1" x14ac:dyDescent="0.25"/>
    <row r="1081" s="88" customFormat="1" x14ac:dyDescent="0.25"/>
    <row r="1082" s="88" customFormat="1" x14ac:dyDescent="0.25"/>
    <row r="1083" s="88" customFormat="1" x14ac:dyDescent="0.25"/>
    <row r="1084" s="88" customFormat="1" x14ac:dyDescent="0.25"/>
    <row r="1085" s="88" customFormat="1" x14ac:dyDescent="0.25"/>
    <row r="1086" s="88" customFormat="1" x14ac:dyDescent="0.25"/>
    <row r="1087" s="88" customFormat="1" x14ac:dyDescent="0.25"/>
    <row r="1088" s="88" customFormat="1" x14ac:dyDescent="0.25"/>
    <row r="1089" s="88" customFormat="1" x14ac:dyDescent="0.25"/>
    <row r="1090" s="88" customFormat="1" x14ac:dyDescent="0.25"/>
    <row r="1091" s="88" customFormat="1" x14ac:dyDescent="0.25"/>
    <row r="1092" s="88" customFormat="1" x14ac:dyDescent="0.25"/>
    <row r="1093" s="88" customFormat="1" x14ac:dyDescent="0.25"/>
    <row r="1094" s="88" customFormat="1" x14ac:dyDescent="0.25"/>
    <row r="1095" s="88" customFormat="1" x14ac:dyDescent="0.25"/>
    <row r="1096" s="88" customFormat="1" x14ac:dyDescent="0.25"/>
    <row r="1097" s="88" customFormat="1" x14ac:dyDescent="0.25"/>
    <row r="1098" s="88" customFormat="1" x14ac:dyDescent="0.25"/>
    <row r="1099" s="88" customFormat="1" x14ac:dyDescent="0.25"/>
    <row r="1100" s="88" customFormat="1" x14ac:dyDescent="0.25"/>
    <row r="1101" s="88" customFormat="1" x14ac:dyDescent="0.25"/>
    <row r="1102" s="88" customFormat="1" x14ac:dyDescent="0.25"/>
    <row r="1103" s="88" customFormat="1" x14ac:dyDescent="0.25"/>
    <row r="1104" s="88" customFormat="1" x14ac:dyDescent="0.25"/>
    <row r="1105" s="88" customFormat="1" x14ac:dyDescent="0.25"/>
    <row r="1106" s="88" customFormat="1" x14ac:dyDescent="0.25"/>
    <row r="1107" s="88" customFormat="1" x14ac:dyDescent="0.25"/>
    <row r="1108" s="88" customFormat="1" x14ac:dyDescent="0.25"/>
    <row r="1109" s="88" customFormat="1" x14ac:dyDescent="0.25"/>
    <row r="1110" s="88" customFormat="1" x14ac:dyDescent="0.25"/>
    <row r="1111" s="88" customFormat="1" x14ac:dyDescent="0.25"/>
    <row r="1112" s="88" customFormat="1" x14ac:dyDescent="0.25"/>
    <row r="1113" s="88" customFormat="1" x14ac:dyDescent="0.25"/>
    <row r="1114" s="88" customFormat="1" x14ac:dyDescent="0.25"/>
    <row r="1115" s="88" customFormat="1" x14ac:dyDescent="0.25"/>
    <row r="1116" s="88" customFormat="1" x14ac:dyDescent="0.25"/>
    <row r="1117" s="88" customFormat="1" x14ac:dyDescent="0.25"/>
    <row r="1118" s="88" customFormat="1" x14ac:dyDescent="0.25"/>
    <row r="1119" s="88" customFormat="1" x14ac:dyDescent="0.25"/>
    <row r="1120" s="88" customFormat="1" x14ac:dyDescent="0.25"/>
    <row r="1121" s="88" customFormat="1" x14ac:dyDescent="0.25"/>
    <row r="1122" s="88" customFormat="1" x14ac:dyDescent="0.25"/>
    <row r="1123" s="88" customFormat="1" x14ac:dyDescent="0.25"/>
    <row r="1124" s="88" customFormat="1" x14ac:dyDescent="0.25"/>
    <row r="1125" s="88" customFormat="1" x14ac:dyDescent="0.25"/>
    <row r="1126" s="88" customFormat="1" x14ac:dyDescent="0.25"/>
    <row r="1127" s="88" customFormat="1" x14ac:dyDescent="0.25"/>
    <row r="1128" s="88" customFormat="1" x14ac:dyDescent="0.25"/>
    <row r="1129" s="88" customFormat="1" x14ac:dyDescent="0.25"/>
    <row r="1130" s="88" customFormat="1" x14ac:dyDescent="0.25"/>
    <row r="1131" s="88" customFormat="1" x14ac:dyDescent="0.25"/>
    <row r="1132" s="88" customFormat="1" x14ac:dyDescent="0.25"/>
    <row r="1133" s="88" customFormat="1" x14ac:dyDescent="0.25"/>
    <row r="1134" s="88" customFormat="1" x14ac:dyDescent="0.25"/>
    <row r="1135" s="88" customFormat="1" x14ac:dyDescent="0.25"/>
    <row r="1136" s="88" customFormat="1" x14ac:dyDescent="0.25"/>
    <row r="1137" s="88" customFormat="1" x14ac:dyDescent="0.25"/>
    <row r="1138" s="88" customFormat="1" x14ac:dyDescent="0.25"/>
    <row r="1139" s="88" customFormat="1" x14ac:dyDescent="0.25"/>
    <row r="1140" s="88" customFormat="1" x14ac:dyDescent="0.25"/>
    <row r="1141" s="88" customFormat="1" x14ac:dyDescent="0.25"/>
    <row r="1142" s="88" customFormat="1" x14ac:dyDescent="0.25"/>
    <row r="1143" s="88" customFormat="1" x14ac:dyDescent="0.25"/>
    <row r="1144" s="88" customFormat="1" x14ac:dyDescent="0.25"/>
    <row r="1145" s="88" customFormat="1" x14ac:dyDescent="0.25"/>
    <row r="1146" s="88" customFormat="1" x14ac:dyDescent="0.25"/>
    <row r="1147" s="88" customFormat="1" x14ac:dyDescent="0.25"/>
    <row r="1148" s="88" customFormat="1" x14ac:dyDescent="0.25"/>
    <row r="1149" s="88" customFormat="1" x14ac:dyDescent="0.25"/>
    <row r="1150" s="88" customFormat="1" x14ac:dyDescent="0.25"/>
    <row r="1151" s="88" customFormat="1" x14ac:dyDescent="0.25"/>
    <row r="1152" s="88" customFormat="1" x14ac:dyDescent="0.25"/>
    <row r="1153" s="88" customFormat="1" x14ac:dyDescent="0.25"/>
    <row r="1154" s="88" customFormat="1" x14ac:dyDescent="0.25"/>
    <row r="1155" s="88" customFormat="1" x14ac:dyDescent="0.25"/>
    <row r="1156" s="88" customFormat="1" x14ac:dyDescent="0.25"/>
    <row r="1157" s="88" customFormat="1" x14ac:dyDescent="0.25"/>
    <row r="1158" s="88" customFormat="1" x14ac:dyDescent="0.25"/>
    <row r="1159" s="88" customFormat="1" x14ac:dyDescent="0.25"/>
    <row r="1160" s="88" customFormat="1" x14ac:dyDescent="0.25"/>
    <row r="1161" s="88" customFormat="1" x14ac:dyDescent="0.25"/>
    <row r="1162" s="88" customFormat="1" x14ac:dyDescent="0.25"/>
    <row r="1163" s="88" customFormat="1" x14ac:dyDescent="0.25"/>
    <row r="1164" s="88" customFormat="1" x14ac:dyDescent="0.25"/>
    <row r="1165" s="88" customFormat="1" x14ac:dyDescent="0.25"/>
    <row r="1166" s="88" customFormat="1" x14ac:dyDescent="0.25"/>
    <row r="1167" s="88" customFormat="1" x14ac:dyDescent="0.25"/>
    <row r="1168" s="88" customFormat="1" x14ac:dyDescent="0.25"/>
    <row r="1169" s="88" customFormat="1" x14ac:dyDescent="0.25"/>
    <row r="1170" s="88" customFormat="1" x14ac:dyDescent="0.25"/>
    <row r="1171" s="88" customFormat="1" x14ac:dyDescent="0.25"/>
    <row r="1172" s="88" customFormat="1" x14ac:dyDescent="0.25"/>
    <row r="1173" s="88" customFormat="1" x14ac:dyDescent="0.25"/>
    <row r="1174" s="88" customFormat="1" x14ac:dyDescent="0.25"/>
    <row r="1175" s="88" customFormat="1" x14ac:dyDescent="0.25"/>
    <row r="1176" s="88" customFormat="1" x14ac:dyDescent="0.25"/>
    <row r="1177" s="88" customFormat="1" x14ac:dyDescent="0.25"/>
    <row r="1178" s="88" customFormat="1" x14ac:dyDescent="0.25"/>
    <row r="1179" s="88" customFormat="1" x14ac:dyDescent="0.25"/>
    <row r="1180" s="88" customFormat="1" x14ac:dyDescent="0.25"/>
    <row r="1181" s="88" customFormat="1" x14ac:dyDescent="0.25"/>
    <row r="1182" s="88" customFormat="1" x14ac:dyDescent="0.25"/>
    <row r="1183" s="88" customFormat="1" x14ac:dyDescent="0.25"/>
    <row r="1184" s="88" customFormat="1" x14ac:dyDescent="0.25"/>
    <row r="1185" s="88" customFormat="1" x14ac:dyDescent="0.25"/>
    <row r="1186" s="88" customFormat="1" x14ac:dyDescent="0.25"/>
    <row r="1187" s="88" customFormat="1" x14ac:dyDescent="0.25"/>
    <row r="1188" s="88" customFormat="1" x14ac:dyDescent="0.25"/>
    <row r="1189" s="88" customFormat="1" x14ac:dyDescent="0.25"/>
    <row r="1190" s="88" customFormat="1" x14ac:dyDescent="0.25"/>
    <row r="1191" s="88" customFormat="1" x14ac:dyDescent="0.25"/>
    <row r="1192" s="88" customFormat="1" x14ac:dyDescent="0.25"/>
    <row r="1193" s="88" customFormat="1" x14ac:dyDescent="0.25"/>
    <row r="1194" s="88" customFormat="1" x14ac:dyDescent="0.25"/>
    <row r="1195" s="88" customFormat="1" x14ac:dyDescent="0.25"/>
    <row r="1196" s="88" customFormat="1" x14ac:dyDescent="0.25"/>
    <row r="1197" s="88" customFormat="1" x14ac:dyDescent="0.25"/>
    <row r="1198" s="88" customFormat="1" x14ac:dyDescent="0.25"/>
    <row r="1199" s="88" customFormat="1" x14ac:dyDescent="0.25"/>
    <row r="1200" s="88" customFormat="1" x14ac:dyDescent="0.25"/>
    <row r="1201" s="88" customFormat="1" x14ac:dyDescent="0.25"/>
    <row r="1202" s="88" customFormat="1" x14ac:dyDescent="0.25"/>
    <row r="1203" s="88" customFormat="1" x14ac:dyDescent="0.25"/>
    <row r="1204" s="88" customFormat="1" x14ac:dyDescent="0.25"/>
    <row r="1205" s="88" customFormat="1" x14ac:dyDescent="0.25"/>
    <row r="1206" s="88" customFormat="1" x14ac:dyDescent="0.25"/>
    <row r="1207" s="88" customFormat="1" x14ac:dyDescent="0.25"/>
    <row r="1208" s="88" customFormat="1" x14ac:dyDescent="0.25"/>
    <row r="1209" s="88" customFormat="1" x14ac:dyDescent="0.25"/>
    <row r="1210" s="88" customFormat="1" x14ac:dyDescent="0.25"/>
    <row r="1211" s="88" customFormat="1" x14ac:dyDescent="0.25"/>
    <row r="1212" s="88" customFormat="1" x14ac:dyDescent="0.25"/>
    <row r="1213" s="88" customFormat="1" x14ac:dyDescent="0.25"/>
    <row r="1214" s="88" customFormat="1" x14ac:dyDescent="0.25"/>
    <row r="1215" s="88" customFormat="1" x14ac:dyDescent="0.25"/>
    <row r="1216" s="88" customFormat="1" x14ac:dyDescent="0.25"/>
    <row r="1217" s="88" customFormat="1" x14ac:dyDescent="0.25"/>
    <row r="1218" s="88" customFormat="1" x14ac:dyDescent="0.25"/>
    <row r="1219" s="88" customFormat="1" x14ac:dyDescent="0.25"/>
    <row r="1220" s="88" customFormat="1" x14ac:dyDescent="0.25"/>
    <row r="1221" s="88" customFormat="1" x14ac:dyDescent="0.25"/>
    <row r="1222" s="88" customFormat="1" x14ac:dyDescent="0.25"/>
    <row r="1223" s="88" customFormat="1" x14ac:dyDescent="0.25"/>
    <row r="1224" s="88" customFormat="1" x14ac:dyDescent="0.25"/>
    <row r="1225" s="88" customFormat="1" x14ac:dyDescent="0.25"/>
    <row r="1226" s="88" customFormat="1" x14ac:dyDescent="0.25"/>
    <row r="1227" s="88" customFormat="1" x14ac:dyDescent="0.25"/>
    <row r="1228" s="88" customFormat="1" x14ac:dyDescent="0.25"/>
    <row r="1229" s="88" customFormat="1" x14ac:dyDescent="0.25"/>
    <row r="1230" s="88" customFormat="1" x14ac:dyDescent="0.25"/>
    <row r="1231" s="88" customFormat="1" x14ac:dyDescent="0.25"/>
    <row r="1232" s="88" customFormat="1" x14ac:dyDescent="0.25"/>
    <row r="1233" s="88" customFormat="1" x14ac:dyDescent="0.25"/>
    <row r="1234" s="88" customFormat="1" x14ac:dyDescent="0.25"/>
    <row r="1235" s="88" customFormat="1" x14ac:dyDescent="0.25"/>
    <row r="1236" s="88" customFormat="1" x14ac:dyDescent="0.25"/>
    <row r="1237" s="88" customFormat="1" x14ac:dyDescent="0.25"/>
    <row r="1238" s="88" customFormat="1" x14ac:dyDescent="0.25"/>
    <row r="1239" s="88" customFormat="1" x14ac:dyDescent="0.25"/>
    <row r="1240" s="88" customFormat="1" x14ac:dyDescent="0.25"/>
    <row r="1241" s="88" customFormat="1" x14ac:dyDescent="0.25"/>
    <row r="1242" s="88" customFormat="1" x14ac:dyDescent="0.25"/>
    <row r="1243" s="88" customFormat="1" x14ac:dyDescent="0.25"/>
    <row r="1244" s="88" customFormat="1" x14ac:dyDescent="0.25"/>
    <row r="1245" s="88" customFormat="1" x14ac:dyDescent="0.25"/>
    <row r="1246" s="88" customFormat="1" x14ac:dyDescent="0.25"/>
    <row r="1247" s="88" customFormat="1" x14ac:dyDescent="0.25"/>
    <row r="1248" s="88" customFormat="1" x14ac:dyDescent="0.25"/>
    <row r="1249" s="88" customFormat="1" x14ac:dyDescent="0.25"/>
    <row r="1250" s="88" customFormat="1" x14ac:dyDescent="0.25"/>
    <row r="1251" s="88" customFormat="1" x14ac:dyDescent="0.25"/>
    <row r="1252" s="88" customFormat="1" x14ac:dyDescent="0.25"/>
    <row r="1253" s="88" customFormat="1" x14ac:dyDescent="0.25"/>
    <row r="1254" s="88" customFormat="1" x14ac:dyDescent="0.25"/>
    <row r="1255" s="88" customFormat="1" x14ac:dyDescent="0.25"/>
    <row r="1256" s="88" customFormat="1" x14ac:dyDescent="0.25"/>
    <row r="1257" s="88" customFormat="1" x14ac:dyDescent="0.25"/>
    <row r="1258" s="88" customFormat="1" x14ac:dyDescent="0.25"/>
    <row r="1259" s="88" customFormat="1" x14ac:dyDescent="0.25"/>
    <row r="1260" s="88" customFormat="1" x14ac:dyDescent="0.25"/>
    <row r="1261" s="88" customFormat="1" x14ac:dyDescent="0.25"/>
    <row r="1262" s="88" customFormat="1" x14ac:dyDescent="0.25"/>
    <row r="1263" s="88" customFormat="1" x14ac:dyDescent="0.25"/>
    <row r="1264" s="88" customFormat="1" x14ac:dyDescent="0.25"/>
    <row r="1265" s="88" customFormat="1" x14ac:dyDescent="0.25"/>
    <row r="1266" s="88" customFormat="1" x14ac:dyDescent="0.25"/>
    <row r="1267" s="88" customFormat="1" x14ac:dyDescent="0.25"/>
    <row r="1268" s="88" customFormat="1" x14ac:dyDescent="0.25"/>
    <row r="1269" s="88" customFormat="1" x14ac:dyDescent="0.25"/>
    <row r="1270" s="88" customFormat="1" x14ac:dyDescent="0.25"/>
    <row r="1271" s="88" customFormat="1" x14ac:dyDescent="0.25"/>
    <row r="1272" s="88" customFormat="1" x14ac:dyDescent="0.25"/>
    <row r="1273" s="88" customFormat="1" x14ac:dyDescent="0.25"/>
    <row r="1274" s="88" customFormat="1" x14ac:dyDescent="0.25"/>
    <row r="1275" s="88" customFormat="1" x14ac:dyDescent="0.25"/>
    <row r="1276" s="88" customFormat="1" x14ac:dyDescent="0.25"/>
    <row r="1277" s="88" customFormat="1" x14ac:dyDescent="0.25"/>
    <row r="1278" s="88" customFormat="1" x14ac:dyDescent="0.25"/>
    <row r="1279" s="88" customFormat="1" x14ac:dyDescent="0.25"/>
    <row r="1280" s="88" customFormat="1" x14ac:dyDescent="0.25"/>
    <row r="1281" s="88" customFormat="1" x14ac:dyDescent="0.25"/>
    <row r="1282" s="88" customFormat="1" x14ac:dyDescent="0.25"/>
    <row r="1283" s="88" customFormat="1" x14ac:dyDescent="0.25"/>
    <row r="1284" s="88" customFormat="1" x14ac:dyDescent="0.25"/>
    <row r="1285" s="88" customFormat="1" x14ac:dyDescent="0.25"/>
    <row r="1286" s="88" customFormat="1" x14ac:dyDescent="0.25"/>
    <row r="1287" s="88" customFormat="1" x14ac:dyDescent="0.25"/>
    <row r="1288" s="88" customFormat="1" x14ac:dyDescent="0.25"/>
    <row r="1289" s="88" customFormat="1" x14ac:dyDescent="0.25"/>
    <row r="1290" s="88" customFormat="1" x14ac:dyDescent="0.25"/>
    <row r="1291" s="88" customFormat="1" x14ac:dyDescent="0.25"/>
    <row r="1292" s="88" customFormat="1" x14ac:dyDescent="0.25"/>
    <row r="1293" s="88" customFormat="1" x14ac:dyDescent="0.25"/>
    <row r="1294" s="88" customFormat="1" x14ac:dyDescent="0.25"/>
    <row r="1295" s="88" customFormat="1" x14ac:dyDescent="0.25"/>
    <row r="1296" s="88" customFormat="1" x14ac:dyDescent="0.25"/>
    <row r="1297" s="88" customFormat="1" x14ac:dyDescent="0.25"/>
    <row r="1298" s="88" customFormat="1" x14ac:dyDescent="0.25"/>
    <row r="1299" s="88" customFormat="1" x14ac:dyDescent="0.25"/>
    <row r="1300" s="88" customFormat="1" x14ac:dyDescent="0.25"/>
    <row r="1301" s="88" customFormat="1" x14ac:dyDescent="0.25"/>
    <row r="1302" s="88" customFormat="1" x14ac:dyDescent="0.25"/>
    <row r="1303" s="88" customFormat="1" x14ac:dyDescent="0.25"/>
    <row r="1304" s="88" customFormat="1" x14ac:dyDescent="0.25"/>
    <row r="1305" s="88" customFormat="1" x14ac:dyDescent="0.25"/>
    <row r="1306" s="88" customFormat="1" x14ac:dyDescent="0.25"/>
    <row r="1307" s="88" customFormat="1" x14ac:dyDescent="0.25"/>
    <row r="1308" s="88" customFormat="1" x14ac:dyDescent="0.25"/>
    <row r="1309" s="88" customFormat="1" x14ac:dyDescent="0.25"/>
    <row r="1310" s="88" customFormat="1" x14ac:dyDescent="0.25"/>
    <row r="1311" s="88" customFormat="1" x14ac:dyDescent="0.25"/>
    <row r="1312" s="88" customFormat="1" x14ac:dyDescent="0.25"/>
    <row r="1313" s="88" customFormat="1" x14ac:dyDescent="0.25"/>
    <row r="1314" s="88" customFormat="1" x14ac:dyDescent="0.25"/>
    <row r="1315" s="88" customFormat="1" x14ac:dyDescent="0.25"/>
    <row r="1316" s="88" customFormat="1" x14ac:dyDescent="0.25"/>
    <row r="1317" s="88" customFormat="1" x14ac:dyDescent="0.25"/>
    <row r="1318" s="88" customFormat="1" x14ac:dyDescent="0.25"/>
    <row r="1319" s="88" customFormat="1" x14ac:dyDescent="0.25"/>
    <row r="1320" s="88" customFormat="1" x14ac:dyDescent="0.25"/>
    <row r="1321" s="88" customFormat="1" x14ac:dyDescent="0.25"/>
    <row r="1322" s="88" customFormat="1" x14ac:dyDescent="0.25"/>
    <row r="1323" s="88" customFormat="1" x14ac:dyDescent="0.25"/>
    <row r="1324" s="88" customFormat="1" x14ac:dyDescent="0.25"/>
    <row r="1325" s="88" customFormat="1" x14ac:dyDescent="0.25"/>
    <row r="1326" s="88" customFormat="1" x14ac:dyDescent="0.25"/>
    <row r="1327" s="88" customFormat="1" x14ac:dyDescent="0.25"/>
    <row r="1328" s="88" customFormat="1" x14ac:dyDescent="0.25"/>
    <row r="1329" s="88" customFormat="1" x14ac:dyDescent="0.25"/>
    <row r="1330" s="88" customFormat="1" x14ac:dyDescent="0.25"/>
    <row r="1331" s="88" customFormat="1" x14ac:dyDescent="0.25"/>
    <row r="1332" s="88" customFormat="1" x14ac:dyDescent="0.25"/>
    <row r="1333" s="88" customFormat="1" x14ac:dyDescent="0.25"/>
    <row r="1334" s="88" customFormat="1" x14ac:dyDescent="0.25"/>
    <row r="1335" s="88" customFormat="1" x14ac:dyDescent="0.25"/>
    <row r="1336" s="88" customFormat="1" x14ac:dyDescent="0.25"/>
    <row r="1337" s="88" customFormat="1" x14ac:dyDescent="0.25"/>
    <row r="1338" s="88" customFormat="1" x14ac:dyDescent="0.25"/>
    <row r="1339" s="88" customFormat="1" x14ac:dyDescent="0.25"/>
    <row r="1340" s="88" customFormat="1" x14ac:dyDescent="0.25"/>
    <row r="1341" s="88" customFormat="1" x14ac:dyDescent="0.25"/>
    <row r="1342" s="88" customFormat="1" x14ac:dyDescent="0.25"/>
    <row r="1343" s="88" customFormat="1" x14ac:dyDescent="0.25"/>
    <row r="1344" s="88" customFormat="1" x14ac:dyDescent="0.25"/>
    <row r="1345" s="88" customFormat="1" x14ac:dyDescent="0.25"/>
    <row r="1346" s="88" customFormat="1" x14ac:dyDescent="0.25"/>
    <row r="1347" s="88" customFormat="1" x14ac:dyDescent="0.25"/>
    <row r="1348" s="88" customFormat="1" x14ac:dyDescent="0.25"/>
    <row r="1349" s="88" customFormat="1" x14ac:dyDescent="0.25"/>
    <row r="1350" s="88" customFormat="1" x14ac:dyDescent="0.25"/>
    <row r="1351" s="88" customFormat="1" x14ac:dyDescent="0.25"/>
    <row r="1352" s="88" customFormat="1" x14ac:dyDescent="0.25"/>
    <row r="1353" s="88" customFormat="1" x14ac:dyDescent="0.25"/>
    <row r="1354" s="88" customFormat="1" x14ac:dyDescent="0.25"/>
    <row r="1355" s="88" customFormat="1" x14ac:dyDescent="0.25"/>
    <row r="1356" s="88" customFormat="1" x14ac:dyDescent="0.25"/>
    <row r="1357" s="88" customFormat="1" x14ac:dyDescent="0.25"/>
    <row r="1358" s="88" customFormat="1" x14ac:dyDescent="0.25"/>
    <row r="1359" s="88" customFormat="1" x14ac:dyDescent="0.25"/>
    <row r="1360" s="88" customFormat="1" x14ac:dyDescent="0.25"/>
    <row r="1361" s="88" customFormat="1" x14ac:dyDescent="0.25"/>
    <row r="1362" s="88" customFormat="1" x14ac:dyDescent="0.25"/>
    <row r="1363" s="88" customFormat="1" x14ac:dyDescent="0.25"/>
    <row r="1364" s="88" customFormat="1" x14ac:dyDescent="0.25"/>
    <row r="1365" s="88" customFormat="1" x14ac:dyDescent="0.25"/>
    <row r="1366" s="88" customFormat="1" x14ac:dyDescent="0.25"/>
    <row r="1367" s="88" customFormat="1" x14ac:dyDescent="0.25"/>
    <row r="1368" s="88" customFormat="1" x14ac:dyDescent="0.25"/>
    <row r="1369" s="88" customFormat="1" x14ac:dyDescent="0.25"/>
    <row r="1370" s="88" customFormat="1" x14ac:dyDescent="0.25"/>
    <row r="1371" s="88" customFormat="1" x14ac:dyDescent="0.25"/>
    <row r="1372" s="88" customFormat="1" x14ac:dyDescent="0.25"/>
    <row r="1373" s="88" customFormat="1" x14ac:dyDescent="0.25"/>
    <row r="1374" s="88" customFormat="1" x14ac:dyDescent="0.25"/>
    <row r="1375" s="88" customFormat="1" x14ac:dyDescent="0.25"/>
    <row r="1376" s="88" customFormat="1" x14ac:dyDescent="0.25"/>
    <row r="1377" s="88" customFormat="1" x14ac:dyDescent="0.25"/>
    <row r="1378" s="88" customFormat="1" x14ac:dyDescent="0.25"/>
    <row r="1379" s="88" customFormat="1" x14ac:dyDescent="0.25"/>
    <row r="1380" s="88" customFormat="1" x14ac:dyDescent="0.25"/>
    <row r="1381" s="88" customFormat="1" x14ac:dyDescent="0.25"/>
    <row r="1382" s="88" customFormat="1" x14ac:dyDescent="0.25"/>
    <row r="1383" s="88" customFormat="1" x14ac:dyDescent="0.25"/>
    <row r="1384" s="88" customFormat="1" x14ac:dyDescent="0.25"/>
    <row r="1385" s="88" customFormat="1" x14ac:dyDescent="0.25"/>
    <row r="1386" s="88" customFormat="1" x14ac:dyDescent="0.25"/>
    <row r="1387" s="88" customFormat="1" x14ac:dyDescent="0.25"/>
    <row r="1388" s="88" customFormat="1" x14ac:dyDescent="0.25"/>
    <row r="1389" s="88" customFormat="1" x14ac:dyDescent="0.25"/>
    <row r="1390" s="88" customFormat="1" x14ac:dyDescent="0.25"/>
    <row r="1391" s="88" customFormat="1" x14ac:dyDescent="0.25"/>
    <row r="1392" s="88" customFormat="1" x14ac:dyDescent="0.25"/>
    <row r="1393" s="88" customFormat="1" x14ac:dyDescent="0.25"/>
    <row r="1394" s="88" customFormat="1" x14ac:dyDescent="0.25"/>
    <row r="1395" s="88" customFormat="1" x14ac:dyDescent="0.25"/>
    <row r="1396" s="88" customFormat="1" x14ac:dyDescent="0.25"/>
    <row r="1397" s="88" customFormat="1" x14ac:dyDescent="0.25"/>
    <row r="1398" s="88" customFormat="1" x14ac:dyDescent="0.25"/>
    <row r="1399" s="88" customFormat="1" x14ac:dyDescent="0.25"/>
    <row r="1400" s="88" customFormat="1" x14ac:dyDescent="0.25"/>
    <row r="1401" s="88" customFormat="1" x14ac:dyDescent="0.25"/>
    <row r="1402" s="88" customFormat="1" x14ac:dyDescent="0.25"/>
    <row r="1403" s="88" customFormat="1" x14ac:dyDescent="0.25"/>
    <row r="1404" s="88" customFormat="1" x14ac:dyDescent="0.25"/>
    <row r="1405" s="88" customFormat="1" x14ac:dyDescent="0.25"/>
    <row r="1406" s="88" customFormat="1" x14ac:dyDescent="0.25"/>
    <row r="1407" s="88" customFormat="1" x14ac:dyDescent="0.25"/>
    <row r="1408" s="88" customFormat="1" x14ac:dyDescent="0.25"/>
    <row r="1409" s="88" customFormat="1" x14ac:dyDescent="0.25"/>
    <row r="1410" s="88" customFormat="1" x14ac:dyDescent="0.25"/>
    <row r="1411" s="88" customFormat="1" x14ac:dyDescent="0.25"/>
    <row r="1412" s="88" customFormat="1" x14ac:dyDescent="0.25"/>
    <row r="1413" s="88" customFormat="1" x14ac:dyDescent="0.25"/>
    <row r="1414" s="88" customFormat="1" x14ac:dyDescent="0.25"/>
    <row r="1415" s="88" customFormat="1" x14ac:dyDescent="0.25"/>
    <row r="1416" s="88" customFormat="1" x14ac:dyDescent="0.25"/>
    <row r="1417" s="88" customFormat="1" x14ac:dyDescent="0.25"/>
    <row r="1418" s="88" customFormat="1" x14ac:dyDescent="0.25"/>
    <row r="1419" s="88" customFormat="1" x14ac:dyDescent="0.25"/>
    <row r="1420" s="88" customFormat="1" x14ac:dyDescent="0.25"/>
    <row r="1421" s="88" customFormat="1" x14ac:dyDescent="0.25"/>
    <row r="1422" s="88" customFormat="1" x14ac:dyDescent="0.25"/>
    <row r="1423" s="88" customFormat="1" x14ac:dyDescent="0.25"/>
    <row r="1424" s="88" customFormat="1" x14ac:dyDescent="0.25"/>
    <row r="1425" s="88" customFormat="1" x14ac:dyDescent="0.25"/>
    <row r="1426" s="88" customFormat="1" x14ac:dyDescent="0.25"/>
    <row r="1427" s="88" customFormat="1" x14ac:dyDescent="0.25"/>
    <row r="1428" s="88" customFormat="1" x14ac:dyDescent="0.25"/>
    <row r="1429" s="88" customFormat="1" x14ac:dyDescent="0.25"/>
    <row r="1430" s="88" customFormat="1" x14ac:dyDescent="0.25"/>
    <row r="1431" s="88" customFormat="1" x14ac:dyDescent="0.25"/>
    <row r="1432" s="88" customFormat="1" x14ac:dyDescent="0.25"/>
    <row r="1433" s="88" customFormat="1" x14ac:dyDescent="0.25"/>
    <row r="1434" s="88" customFormat="1" x14ac:dyDescent="0.25"/>
    <row r="1435" s="88" customFormat="1" x14ac:dyDescent="0.25"/>
    <row r="1436" s="88" customFormat="1" x14ac:dyDescent="0.25"/>
    <row r="1437" s="88" customFormat="1" x14ac:dyDescent="0.25"/>
    <row r="1438" s="88" customFormat="1" x14ac:dyDescent="0.25"/>
    <row r="1439" s="88" customFormat="1" x14ac:dyDescent="0.25"/>
    <row r="1440" s="88" customFormat="1" x14ac:dyDescent="0.25"/>
    <row r="1441" s="88" customFormat="1" x14ac:dyDescent="0.25"/>
    <row r="1442" s="88" customFormat="1" x14ac:dyDescent="0.25"/>
    <row r="1443" s="88" customFormat="1" x14ac:dyDescent="0.25"/>
    <row r="1444" s="88" customFormat="1" x14ac:dyDescent="0.25"/>
    <row r="1445" s="88" customFormat="1" x14ac:dyDescent="0.25"/>
    <row r="1446" s="88" customFormat="1" x14ac:dyDescent="0.25"/>
    <row r="1447" s="88" customFormat="1" x14ac:dyDescent="0.25"/>
    <row r="1448" s="88" customFormat="1" x14ac:dyDescent="0.25"/>
    <row r="1449" s="88" customFormat="1" x14ac:dyDescent="0.25"/>
    <row r="1450" s="88" customFormat="1" x14ac:dyDescent="0.25"/>
    <row r="1451" s="88" customFormat="1" x14ac:dyDescent="0.25"/>
    <row r="1452" s="88" customFormat="1" x14ac:dyDescent="0.25"/>
    <row r="1453" s="88" customFormat="1" x14ac:dyDescent="0.25"/>
    <row r="1454" s="88" customFormat="1" x14ac:dyDescent="0.25"/>
    <row r="1455" s="88" customFormat="1" x14ac:dyDescent="0.25"/>
    <row r="1456" s="88" customFormat="1" x14ac:dyDescent="0.25"/>
    <row r="1457" s="88" customFormat="1" x14ac:dyDescent="0.25"/>
    <row r="1458" s="88" customFormat="1" x14ac:dyDescent="0.25"/>
    <row r="1459" s="88" customFormat="1" x14ac:dyDescent="0.25"/>
    <row r="1460" s="88" customFormat="1" x14ac:dyDescent="0.25"/>
    <row r="1461" s="88" customFormat="1" x14ac:dyDescent="0.25"/>
    <row r="1462" s="88" customFormat="1" x14ac:dyDescent="0.25"/>
    <row r="1463" s="88" customFormat="1" x14ac:dyDescent="0.25"/>
    <row r="1464" s="88" customFormat="1" x14ac:dyDescent="0.25"/>
    <row r="1465" s="88" customFormat="1" x14ac:dyDescent="0.25"/>
    <row r="1466" s="88" customFormat="1" x14ac:dyDescent="0.25"/>
    <row r="1467" s="88" customFormat="1" x14ac:dyDescent="0.25"/>
    <row r="1468" s="88" customFormat="1" x14ac:dyDescent="0.25"/>
    <row r="1469" s="88" customFormat="1" x14ac:dyDescent="0.25"/>
    <row r="1470" s="88" customFormat="1" x14ac:dyDescent="0.25"/>
    <row r="1471" s="88" customFormat="1" x14ac:dyDescent="0.25"/>
    <row r="1472" s="88" customFormat="1" x14ac:dyDescent="0.25"/>
    <row r="1473" s="88" customFormat="1" x14ac:dyDescent="0.25"/>
    <row r="1474" s="88" customFormat="1" x14ac:dyDescent="0.25"/>
    <row r="1475" s="88" customFormat="1" x14ac:dyDescent="0.25"/>
    <row r="1476" s="88" customFormat="1" x14ac:dyDescent="0.25"/>
    <row r="1477" s="88" customFormat="1" x14ac:dyDescent="0.25"/>
    <row r="1478" s="88" customFormat="1" x14ac:dyDescent="0.25"/>
    <row r="1479" s="88" customFormat="1" x14ac:dyDescent="0.25"/>
    <row r="1480" s="88" customFormat="1" x14ac:dyDescent="0.25"/>
    <row r="1481" s="88" customFormat="1" x14ac:dyDescent="0.25"/>
    <row r="1482" s="88" customFormat="1" x14ac:dyDescent="0.25"/>
    <row r="1483" s="88" customFormat="1" x14ac:dyDescent="0.25"/>
    <row r="1484" s="88" customFormat="1" x14ac:dyDescent="0.25"/>
    <row r="1485" s="88" customFormat="1" x14ac:dyDescent="0.25"/>
    <row r="1486" s="88" customFormat="1" x14ac:dyDescent="0.25"/>
    <row r="1487" s="88" customFormat="1" x14ac:dyDescent="0.25"/>
    <row r="1488" s="88" customFormat="1" x14ac:dyDescent="0.25"/>
    <row r="1489" s="88" customFormat="1" x14ac:dyDescent="0.25"/>
    <row r="1490" s="88" customFormat="1" x14ac:dyDescent="0.25"/>
    <row r="1491" s="88" customFormat="1" x14ac:dyDescent="0.25"/>
    <row r="1492" s="88" customFormat="1" x14ac:dyDescent="0.25"/>
    <row r="1493" s="88" customFormat="1" x14ac:dyDescent="0.25"/>
    <row r="1494" s="88" customFormat="1" x14ac:dyDescent="0.25"/>
    <row r="1495" s="88" customFormat="1" x14ac:dyDescent="0.25"/>
    <row r="1496" s="88" customFormat="1" x14ac:dyDescent="0.25"/>
    <row r="1497" s="88" customFormat="1" x14ac:dyDescent="0.25"/>
    <row r="1498" s="88" customFormat="1" x14ac:dyDescent="0.25"/>
    <row r="1499" s="88" customFormat="1" x14ac:dyDescent="0.25"/>
    <row r="1500" s="88" customFormat="1" x14ac:dyDescent="0.25"/>
    <row r="1501" s="88" customFormat="1" x14ac:dyDescent="0.25"/>
    <row r="1502" s="88" customFormat="1" x14ac:dyDescent="0.25"/>
    <row r="1503" s="88" customFormat="1" x14ac:dyDescent="0.25"/>
    <row r="1504" s="88" customFormat="1" x14ac:dyDescent="0.25"/>
    <row r="1505" s="88" customFormat="1" x14ac:dyDescent="0.25"/>
    <row r="1506" s="88" customFormat="1" x14ac:dyDescent="0.25"/>
    <row r="1507" s="88" customFormat="1" x14ac:dyDescent="0.25"/>
    <row r="1508" s="88" customFormat="1" x14ac:dyDescent="0.25"/>
    <row r="1509" s="88" customFormat="1" x14ac:dyDescent="0.25"/>
    <row r="1510" s="88" customFormat="1" x14ac:dyDescent="0.25"/>
    <row r="1511" s="88" customFormat="1" x14ac:dyDescent="0.25"/>
    <row r="1512" s="88" customFormat="1" x14ac:dyDescent="0.25"/>
    <row r="1513" s="88" customFormat="1" x14ac:dyDescent="0.25"/>
    <row r="1514" s="88" customFormat="1" x14ac:dyDescent="0.25"/>
    <row r="1515" s="88" customFormat="1" x14ac:dyDescent="0.25"/>
    <row r="1516" s="88" customFormat="1" x14ac:dyDescent="0.25"/>
    <row r="1517" s="88" customFormat="1" x14ac:dyDescent="0.25"/>
    <row r="1518" s="88" customFormat="1" x14ac:dyDescent="0.25"/>
    <row r="1519" s="88" customFormat="1" x14ac:dyDescent="0.25"/>
    <row r="1520" s="88" customFormat="1" x14ac:dyDescent="0.25"/>
    <row r="1521" s="88" customFormat="1" x14ac:dyDescent="0.25"/>
    <row r="1522" s="88" customFormat="1" x14ac:dyDescent="0.25"/>
    <row r="1523" s="88" customFormat="1" x14ac:dyDescent="0.25"/>
    <row r="1524" s="88" customFormat="1" x14ac:dyDescent="0.25"/>
    <row r="1525" s="88" customFormat="1" x14ac:dyDescent="0.25"/>
    <row r="1526" s="88" customFormat="1" x14ac:dyDescent="0.25"/>
    <row r="1527" s="88" customFormat="1" x14ac:dyDescent="0.25"/>
    <row r="1528" s="88" customFormat="1" x14ac:dyDescent="0.25"/>
    <row r="1529" s="88" customFormat="1" x14ac:dyDescent="0.25"/>
    <row r="1530" s="88" customFormat="1" x14ac:dyDescent="0.25"/>
    <row r="1531" s="88" customFormat="1" x14ac:dyDescent="0.25"/>
    <row r="1532" s="88" customFormat="1" x14ac:dyDescent="0.25"/>
    <row r="1533" s="88" customFormat="1" x14ac:dyDescent="0.25"/>
    <row r="1534" s="88" customFormat="1" x14ac:dyDescent="0.25"/>
    <row r="1535" s="88" customFormat="1" x14ac:dyDescent="0.25"/>
    <row r="1536" s="88" customFormat="1" x14ac:dyDescent="0.25"/>
    <row r="1537" s="88" customFormat="1" x14ac:dyDescent="0.25"/>
    <row r="1538" s="88" customFormat="1" x14ac:dyDescent="0.25"/>
    <row r="1539" s="88" customFormat="1" x14ac:dyDescent="0.25"/>
    <row r="1540" s="88" customFormat="1" x14ac:dyDescent="0.25"/>
    <row r="1541" s="88" customFormat="1" x14ac:dyDescent="0.25"/>
    <row r="1542" s="88" customFormat="1" x14ac:dyDescent="0.25"/>
    <row r="1543" s="88" customFormat="1" x14ac:dyDescent="0.25"/>
    <row r="1544" s="88" customFormat="1" x14ac:dyDescent="0.25"/>
    <row r="1545" s="88" customFormat="1" x14ac:dyDescent="0.25"/>
    <row r="1546" s="88" customFormat="1" x14ac:dyDescent="0.25"/>
    <row r="1547" s="88" customFormat="1" x14ac:dyDescent="0.25"/>
    <row r="1548" s="88" customFormat="1" x14ac:dyDescent="0.25"/>
    <row r="1549" s="88" customFormat="1" x14ac:dyDescent="0.25"/>
    <row r="1550" s="88" customFormat="1" x14ac:dyDescent="0.25"/>
    <row r="1551" s="88" customFormat="1" x14ac:dyDescent="0.25"/>
    <row r="1552" s="88" customFormat="1" x14ac:dyDescent="0.25"/>
    <row r="1553" s="88" customFormat="1" x14ac:dyDescent="0.25"/>
    <row r="1554" s="88" customFormat="1" x14ac:dyDescent="0.25"/>
    <row r="1555" s="88" customFormat="1" x14ac:dyDescent="0.25"/>
    <row r="1556" s="88" customFormat="1" x14ac:dyDescent="0.25"/>
    <row r="1557" s="88" customFormat="1" x14ac:dyDescent="0.25"/>
    <row r="1558" s="88" customFormat="1" x14ac:dyDescent="0.25"/>
    <row r="1559" s="88" customFormat="1" x14ac:dyDescent="0.25"/>
    <row r="1560" s="88" customFormat="1" x14ac:dyDescent="0.25"/>
    <row r="1561" s="88" customFormat="1" x14ac:dyDescent="0.25"/>
    <row r="1562" s="88" customFormat="1" x14ac:dyDescent="0.25"/>
    <row r="1563" s="88" customFormat="1" x14ac:dyDescent="0.25"/>
    <row r="1564" s="88" customFormat="1" x14ac:dyDescent="0.25"/>
    <row r="1565" s="88" customFormat="1" x14ac:dyDescent="0.25"/>
    <row r="1566" s="88" customFormat="1" x14ac:dyDescent="0.25"/>
    <row r="1567" s="88" customFormat="1" x14ac:dyDescent="0.25"/>
    <row r="1568" s="88" customFormat="1" x14ac:dyDescent="0.25"/>
    <row r="1569" s="88" customFormat="1" x14ac:dyDescent="0.25"/>
    <row r="1570" s="88" customFormat="1" x14ac:dyDescent="0.25"/>
    <row r="1571" s="88" customFormat="1" x14ac:dyDescent="0.25"/>
    <row r="1572" s="88" customFormat="1" x14ac:dyDescent="0.25"/>
    <row r="1573" s="88" customFormat="1" x14ac:dyDescent="0.25"/>
    <row r="1574" s="88" customFormat="1" x14ac:dyDescent="0.25"/>
    <row r="1575" s="88" customFormat="1" x14ac:dyDescent="0.25"/>
    <row r="1576" s="88" customFormat="1" x14ac:dyDescent="0.25"/>
    <row r="1577" s="88" customFormat="1" x14ac:dyDescent="0.25"/>
    <row r="1578" s="88" customFormat="1" x14ac:dyDescent="0.25"/>
    <row r="1579" s="88" customFormat="1" x14ac:dyDescent="0.25"/>
    <row r="1580" s="88" customFormat="1" x14ac:dyDescent="0.25"/>
    <row r="1581" s="88" customFormat="1" x14ac:dyDescent="0.25"/>
    <row r="1582" s="88" customFormat="1" x14ac:dyDescent="0.25"/>
    <row r="1583" s="88" customFormat="1" x14ac:dyDescent="0.25"/>
    <row r="1584" s="88" customFormat="1" x14ac:dyDescent="0.25"/>
    <row r="1585" s="88" customFormat="1" x14ac:dyDescent="0.25"/>
    <row r="1586" s="88" customFormat="1" x14ac:dyDescent="0.25"/>
    <row r="1587" s="88" customFormat="1" x14ac:dyDescent="0.25"/>
    <row r="1588" s="88" customFormat="1" x14ac:dyDescent="0.25"/>
    <row r="1589" s="88" customFormat="1" x14ac:dyDescent="0.25"/>
    <row r="1590" s="88" customFormat="1" x14ac:dyDescent="0.25"/>
    <row r="1591" s="88" customFormat="1" x14ac:dyDescent="0.25"/>
    <row r="1592" s="88" customFormat="1" x14ac:dyDescent="0.25"/>
    <row r="1593" s="88" customFormat="1" x14ac:dyDescent="0.25"/>
    <row r="1594" s="88" customFormat="1" x14ac:dyDescent="0.25"/>
    <row r="1595" s="88" customFormat="1" x14ac:dyDescent="0.25"/>
    <row r="1596" s="88" customFormat="1" x14ac:dyDescent="0.25"/>
    <row r="1597" s="88" customFormat="1" x14ac:dyDescent="0.25"/>
    <row r="1598" s="88" customFormat="1" x14ac:dyDescent="0.25"/>
    <row r="1599" s="88" customFormat="1" x14ac:dyDescent="0.25"/>
    <row r="1600" s="88" customFormat="1" x14ac:dyDescent="0.25"/>
    <row r="1601" s="88" customFormat="1" x14ac:dyDescent="0.25"/>
    <row r="1602" s="88" customFormat="1" x14ac:dyDescent="0.25"/>
    <row r="1603" s="88" customFormat="1" x14ac:dyDescent="0.25"/>
    <row r="1604" s="88" customFormat="1" x14ac:dyDescent="0.25"/>
    <row r="1605" s="88" customFormat="1" x14ac:dyDescent="0.25"/>
    <row r="1606" s="88" customFormat="1" x14ac:dyDescent="0.25"/>
    <row r="1607" s="88" customFormat="1" x14ac:dyDescent="0.25"/>
    <row r="1608" s="88" customFormat="1" x14ac:dyDescent="0.25"/>
    <row r="1609" s="88" customFormat="1" x14ac:dyDescent="0.25"/>
    <row r="1610" s="88" customFormat="1" x14ac:dyDescent="0.25"/>
    <row r="1611" s="88" customFormat="1" x14ac:dyDescent="0.25"/>
    <row r="1612" s="88" customFormat="1" x14ac:dyDescent="0.25"/>
    <row r="1613" s="88" customFormat="1" x14ac:dyDescent="0.25"/>
    <row r="1614" s="88" customFormat="1" x14ac:dyDescent="0.25"/>
    <row r="1615" s="88" customFormat="1" x14ac:dyDescent="0.25"/>
    <row r="1616" s="88" customFormat="1" x14ac:dyDescent="0.25"/>
    <row r="1617" s="88" customFormat="1" x14ac:dyDescent="0.25"/>
    <row r="1618" s="88" customFormat="1" x14ac:dyDescent="0.25"/>
    <row r="1619" s="88" customFormat="1" x14ac:dyDescent="0.25"/>
    <row r="1620" s="88" customFormat="1" x14ac:dyDescent="0.25"/>
    <row r="1621" s="88" customFormat="1" x14ac:dyDescent="0.25"/>
    <row r="1622" s="88" customFormat="1" x14ac:dyDescent="0.25"/>
    <row r="1623" s="88" customFormat="1" x14ac:dyDescent="0.25"/>
    <row r="1624" s="88" customFormat="1" x14ac:dyDescent="0.25"/>
    <row r="1625" s="88" customFormat="1" x14ac:dyDescent="0.25"/>
    <row r="1626" s="88" customFormat="1" x14ac:dyDescent="0.25"/>
    <row r="1627" s="88" customFormat="1" x14ac:dyDescent="0.25"/>
    <row r="1628" s="88" customFormat="1" x14ac:dyDescent="0.25"/>
    <row r="1629" s="88" customFormat="1" x14ac:dyDescent="0.25"/>
    <row r="1630" s="88" customFormat="1" x14ac:dyDescent="0.25"/>
    <row r="1631" s="88" customFormat="1" x14ac:dyDescent="0.25"/>
    <row r="1632" s="88" customFormat="1" x14ac:dyDescent="0.25"/>
    <row r="1633" s="88" customFormat="1" x14ac:dyDescent="0.25"/>
    <row r="1634" s="88" customFormat="1" x14ac:dyDescent="0.25"/>
    <row r="1635" s="88" customFormat="1" x14ac:dyDescent="0.25"/>
    <row r="1636" s="88" customFormat="1" x14ac:dyDescent="0.25"/>
    <row r="1637" s="88" customFormat="1" x14ac:dyDescent="0.25"/>
    <row r="1638" s="88" customFormat="1" x14ac:dyDescent="0.25"/>
    <row r="1639" s="88" customFormat="1" x14ac:dyDescent="0.25"/>
    <row r="1640" s="88" customFormat="1" x14ac:dyDescent="0.25"/>
    <row r="1641" s="88" customFormat="1" x14ac:dyDescent="0.25"/>
    <row r="1642" s="88" customFormat="1" x14ac:dyDescent="0.25"/>
    <row r="1643" s="88" customFormat="1" x14ac:dyDescent="0.25"/>
    <row r="1644" s="88" customFormat="1" x14ac:dyDescent="0.25"/>
    <row r="1645" s="88" customFormat="1" x14ac:dyDescent="0.25"/>
    <row r="1646" s="88" customFormat="1" x14ac:dyDescent="0.25"/>
    <row r="1647" s="88" customFormat="1" x14ac:dyDescent="0.25"/>
    <row r="1648" s="88" customFormat="1" x14ac:dyDescent="0.25"/>
    <row r="1649" s="88" customFormat="1" x14ac:dyDescent="0.25"/>
    <row r="1650" s="88" customFormat="1" x14ac:dyDescent="0.25"/>
    <row r="1651" s="88" customFormat="1" x14ac:dyDescent="0.25"/>
    <row r="1652" s="88" customFormat="1" x14ac:dyDescent="0.25"/>
    <row r="1653" s="88" customFormat="1" x14ac:dyDescent="0.25"/>
    <row r="1654" s="88" customFormat="1" x14ac:dyDescent="0.25"/>
    <row r="1655" s="88" customFormat="1" x14ac:dyDescent="0.25"/>
    <row r="1656" s="88" customFormat="1" x14ac:dyDescent="0.25"/>
    <row r="1657" s="88" customFormat="1" x14ac:dyDescent="0.25"/>
    <row r="1658" s="88" customFormat="1" x14ac:dyDescent="0.25"/>
    <row r="1659" s="88" customFormat="1" x14ac:dyDescent="0.25"/>
    <row r="1660" s="88" customFormat="1" x14ac:dyDescent="0.25"/>
    <row r="1661" s="88" customFormat="1" x14ac:dyDescent="0.25"/>
    <row r="1662" s="88" customFormat="1" x14ac:dyDescent="0.25"/>
    <row r="1663" s="88" customFormat="1" x14ac:dyDescent="0.25"/>
    <row r="1664" s="88" customFormat="1" x14ac:dyDescent="0.25"/>
    <row r="1665" s="88" customFormat="1" x14ac:dyDescent="0.25"/>
    <row r="1666" s="88" customFormat="1" x14ac:dyDescent="0.25"/>
    <row r="1667" s="88" customFormat="1" x14ac:dyDescent="0.25"/>
    <row r="1668" s="88" customFormat="1" x14ac:dyDescent="0.25"/>
    <row r="1669" s="88" customFormat="1" x14ac:dyDescent="0.25"/>
    <row r="1670" s="88" customFormat="1" x14ac:dyDescent="0.25"/>
    <row r="1671" s="88" customFormat="1" x14ac:dyDescent="0.25"/>
    <row r="1672" s="88" customFormat="1" x14ac:dyDescent="0.25"/>
    <row r="1673" s="88" customFormat="1" x14ac:dyDescent="0.25"/>
    <row r="1674" s="88" customFormat="1" x14ac:dyDescent="0.25"/>
    <row r="1675" s="88" customFormat="1" x14ac:dyDescent="0.25"/>
    <row r="1676" s="88" customFormat="1" x14ac:dyDescent="0.25"/>
    <row r="1677" s="88" customFormat="1" x14ac:dyDescent="0.25"/>
    <row r="1678" s="88" customFormat="1" x14ac:dyDescent="0.25"/>
    <row r="1679" s="88" customFormat="1" x14ac:dyDescent="0.25"/>
    <row r="1680" s="88" customFormat="1" x14ac:dyDescent="0.25"/>
    <row r="1681" s="88" customFormat="1" x14ac:dyDescent="0.25"/>
    <row r="1682" s="88" customFormat="1" x14ac:dyDescent="0.25"/>
    <row r="1683" s="88" customFormat="1" x14ac:dyDescent="0.25"/>
    <row r="1684" s="88" customFormat="1" x14ac:dyDescent="0.25"/>
    <row r="1685" s="88" customFormat="1" x14ac:dyDescent="0.25"/>
    <row r="1686" s="88" customFormat="1" x14ac:dyDescent="0.25"/>
    <row r="1687" s="88" customFormat="1" x14ac:dyDescent="0.25"/>
    <row r="1688" s="88" customFormat="1" x14ac:dyDescent="0.25"/>
    <row r="1689" s="88" customFormat="1" x14ac:dyDescent="0.25"/>
    <row r="1690" s="88" customFormat="1" x14ac:dyDescent="0.25"/>
    <row r="1691" s="88" customFormat="1" x14ac:dyDescent="0.25"/>
    <row r="1692" s="88" customFormat="1" x14ac:dyDescent="0.25"/>
    <row r="1693" s="88" customFormat="1" x14ac:dyDescent="0.25"/>
    <row r="1694" s="88" customFormat="1" x14ac:dyDescent="0.25"/>
    <row r="1695" s="88" customFormat="1" x14ac:dyDescent="0.25"/>
    <row r="1696" s="88" customFormat="1" x14ac:dyDescent="0.25"/>
    <row r="1697" s="88" customFormat="1" x14ac:dyDescent="0.25"/>
    <row r="1698" s="88" customFormat="1" x14ac:dyDescent="0.25"/>
    <row r="1699" s="88" customFormat="1" x14ac:dyDescent="0.25"/>
    <row r="1700" s="88" customFormat="1" x14ac:dyDescent="0.25"/>
    <row r="1701" s="88" customFormat="1" x14ac:dyDescent="0.25"/>
    <row r="1702" s="88" customFormat="1" x14ac:dyDescent="0.25"/>
    <row r="1703" s="88" customFormat="1" x14ac:dyDescent="0.25"/>
    <row r="1704" s="88" customFormat="1" x14ac:dyDescent="0.25"/>
    <row r="1705" s="88" customFormat="1" x14ac:dyDescent="0.25"/>
    <row r="1706" s="88" customFormat="1" x14ac:dyDescent="0.25"/>
    <row r="1707" s="88" customFormat="1" x14ac:dyDescent="0.25"/>
    <row r="1708" s="88" customFormat="1" x14ac:dyDescent="0.25"/>
    <row r="1709" s="88" customFormat="1" x14ac:dyDescent="0.25"/>
    <row r="1710" s="88" customFormat="1" x14ac:dyDescent="0.25"/>
    <row r="1711" s="88" customFormat="1" x14ac:dyDescent="0.25"/>
    <row r="1712" s="88" customFormat="1" x14ac:dyDescent="0.25"/>
    <row r="1713" s="88" customFormat="1" x14ac:dyDescent="0.25"/>
    <row r="1714" s="88" customFormat="1" x14ac:dyDescent="0.25"/>
    <row r="1715" s="88" customFormat="1" x14ac:dyDescent="0.25"/>
    <row r="1716" s="88" customFormat="1" x14ac:dyDescent="0.25"/>
    <row r="1717" s="88" customFormat="1" x14ac:dyDescent="0.25"/>
    <row r="1718" s="88" customFormat="1" x14ac:dyDescent="0.25"/>
    <row r="1719" s="88" customFormat="1" x14ac:dyDescent="0.25"/>
    <row r="1720" s="88" customFormat="1" x14ac:dyDescent="0.25"/>
    <row r="1721" s="88" customFormat="1" x14ac:dyDescent="0.25"/>
    <row r="1722" s="88" customFormat="1" x14ac:dyDescent="0.25"/>
    <row r="1723" s="88" customFormat="1" x14ac:dyDescent="0.25"/>
    <row r="1724" s="88" customFormat="1" x14ac:dyDescent="0.25"/>
    <row r="1725" s="88" customFormat="1" x14ac:dyDescent="0.25"/>
    <row r="1726" s="88" customFormat="1" x14ac:dyDescent="0.25"/>
    <row r="1727" s="88" customFormat="1" x14ac:dyDescent="0.25"/>
    <row r="1728" s="88" customFormat="1" x14ac:dyDescent="0.25"/>
    <row r="1729" s="88" customFormat="1" x14ac:dyDescent="0.25"/>
    <row r="1730" s="88" customFormat="1" x14ac:dyDescent="0.25"/>
    <row r="1731" s="88" customFormat="1" x14ac:dyDescent="0.25"/>
    <row r="1732" s="88" customFormat="1" x14ac:dyDescent="0.25"/>
    <row r="1733" s="88" customFormat="1" x14ac:dyDescent="0.25"/>
    <row r="1734" s="88" customFormat="1" x14ac:dyDescent="0.25"/>
    <row r="1735" s="88" customFormat="1" x14ac:dyDescent="0.25"/>
    <row r="1736" s="88" customFormat="1" x14ac:dyDescent="0.25"/>
    <row r="1737" s="88" customFormat="1" x14ac:dyDescent="0.25"/>
    <row r="1738" s="88" customFormat="1" x14ac:dyDescent="0.25"/>
    <row r="1739" s="88" customFormat="1" x14ac:dyDescent="0.25"/>
    <row r="1740" s="88" customFormat="1" x14ac:dyDescent="0.25"/>
    <row r="1741" s="88" customFormat="1" x14ac:dyDescent="0.25"/>
    <row r="1742" s="88" customFormat="1" x14ac:dyDescent="0.25"/>
    <row r="1743" s="88" customFormat="1" x14ac:dyDescent="0.25"/>
    <row r="1744" s="88" customFormat="1" x14ac:dyDescent="0.25"/>
    <row r="1745" s="88" customFormat="1" x14ac:dyDescent="0.25"/>
    <row r="1746" s="88" customFormat="1" x14ac:dyDescent="0.25"/>
    <row r="1747" s="88" customFormat="1" x14ac:dyDescent="0.25"/>
    <row r="1748" s="88" customFormat="1" x14ac:dyDescent="0.25"/>
    <row r="1749" s="88" customFormat="1" x14ac:dyDescent="0.25"/>
    <row r="1750" s="88" customFormat="1" x14ac:dyDescent="0.25"/>
    <row r="1751" s="88" customFormat="1" x14ac:dyDescent="0.25"/>
    <row r="1752" s="88" customFormat="1" x14ac:dyDescent="0.25"/>
    <row r="1753" s="88" customFormat="1" x14ac:dyDescent="0.25"/>
    <row r="1754" s="88" customFormat="1" x14ac:dyDescent="0.25"/>
    <row r="1755" s="88" customFormat="1" x14ac:dyDescent="0.25"/>
    <row r="1756" s="88" customFormat="1" x14ac:dyDescent="0.25"/>
    <row r="1757" s="88" customFormat="1" x14ac:dyDescent="0.25"/>
    <row r="1758" s="88" customFormat="1" x14ac:dyDescent="0.25"/>
    <row r="1759" s="88" customFormat="1" x14ac:dyDescent="0.25"/>
    <row r="1760" s="88" customFormat="1" x14ac:dyDescent="0.25"/>
    <row r="1761" s="88" customFormat="1" x14ac:dyDescent="0.25"/>
    <row r="1762" s="88" customFormat="1" x14ac:dyDescent="0.25"/>
    <row r="1763" s="88" customFormat="1" x14ac:dyDescent="0.25"/>
    <row r="1764" s="88" customFormat="1" x14ac:dyDescent="0.25"/>
    <row r="1765" s="88" customFormat="1" x14ac:dyDescent="0.25"/>
    <row r="1766" s="88" customFormat="1" x14ac:dyDescent="0.25"/>
    <row r="1767" s="88" customFormat="1" x14ac:dyDescent="0.25"/>
    <row r="1768" s="88" customFormat="1" x14ac:dyDescent="0.25"/>
    <row r="1769" s="88" customFormat="1" x14ac:dyDescent="0.25"/>
    <row r="1770" s="88" customFormat="1" x14ac:dyDescent="0.25"/>
  </sheetData>
  <mergeCells count="9">
    <mergeCell ref="F7:H8"/>
    <mergeCell ref="I7:L7"/>
    <mergeCell ref="I8:L8"/>
    <mergeCell ref="A2:L2"/>
    <mergeCell ref="A3:L3"/>
    <mergeCell ref="E5:E6"/>
    <mergeCell ref="F5:H6"/>
    <mergeCell ref="I5:L5"/>
    <mergeCell ref="I6:L6"/>
  </mergeCells>
  <pageMargins left="0.7" right="0.7" top="0.75" bottom="0.75" header="0.3" footer="0.3"/>
  <pageSetup scale="62" orientation="portrait" r:id="rId1"/>
  <rowBreaks count="2" manualBreakCount="2">
    <brk id="81" max="12" man="1"/>
    <brk id="169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6.20</vt:lpstr>
      <vt:lpstr>'6.20'!Print_Area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2024-09-24T08:47:35Z</cp:lastPrinted>
  <dcterms:created xsi:type="dcterms:W3CDTF">2019-08-06T05:35:20Z</dcterms:created>
  <dcterms:modified xsi:type="dcterms:W3CDTF">2024-09-24T08:47:49Z</dcterms:modified>
</cp:coreProperties>
</file>