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AA89D32C-08CE-4C7F-B034-CEBA79440A4B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5" sheetId="6" r:id="rId1"/>
  </sheets>
  <definedNames>
    <definedName name="_xlnm.Print_Area" localSheetId="0">'17.5'!$A$1:$S$74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6" i="6" l="1"/>
  <c r="N56" i="6"/>
  <c r="N57" i="6"/>
  <c r="N58" i="6"/>
  <c r="N59" i="6"/>
  <c r="N60" i="6"/>
  <c r="N61" i="6"/>
  <c r="N62" i="6"/>
  <c r="N63" i="6"/>
  <c r="N64" i="6"/>
  <c r="N65" i="6"/>
  <c r="N67" i="6"/>
  <c r="N68" i="6"/>
  <c r="N69" i="6"/>
  <c r="N70" i="6"/>
  <c r="N71" i="6"/>
  <c r="N72" i="6"/>
  <c r="N55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32" i="6"/>
  <c r="N24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5" i="6"/>
  <c r="N26" i="6"/>
  <c r="N9" i="6"/>
</calcChain>
</file>

<file path=xl/sharedStrings.xml><?xml version="1.0" encoding="utf-8"?>
<sst xmlns="http://schemas.openxmlformats.org/spreadsheetml/2006/main" count="210" uniqueCount="79">
  <si>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</si>
  <si>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</si>
  <si>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</si>
  <si>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</si>
  <si>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</si>
  <si>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</si>
  <si>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</si>
  <si>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</si>
  <si>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</si>
  <si>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</si>
  <si>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</si>
  <si>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</si>
  <si>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</si>
  <si>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</si>
  <si>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</si>
  <si>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</si>
  <si>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</si>
  <si>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</si>
  <si>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</si>
  <si>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</si>
  <si>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</si>
  <si>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</si>
  <si>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</si>
  <si>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</si>
  <si>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</si>
  <si>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</si>
  <si>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</si>
  <si>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</si>
  <si>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</si>
  <si>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</si>
  <si>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</si>
  <si>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</si>
  <si>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</si>
  <si>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</si>
  <si>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</si>
  <si>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</si>
  <si>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</si>
  <si>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</si>
  <si>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</si>
  <si>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</si>
  <si>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</si>
  <si>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</si>
  <si>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</si>
  <si>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</si>
  <si>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</si>
  <si>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</si>
  <si>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</si>
  <si>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</si>
  <si>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</si>
  <si>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</si>
  <si>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</si>
  <si>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</si>
  <si>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</si>
  <si>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</si>
  <si>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</si>
  <si>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</si>
  <si>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</si>
  <si>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</si>
  <si>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</si>
  <si>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</si>
  <si>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</si>
  <si>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</si>
  <si>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</si>
  <si>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</si>
  <si>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</si>
  <si>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</si>
  <si>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</si>
  <si>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</si>
  <si>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</si>
  <si>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</si>
  <si>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</si>
  <si>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</si>
  <si>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މަޢުލޫމާތު ދެއްވި ފަރާތް: މޯލްޑިވްސް ބިއުރޯ އޮފް ސްޓެޓިސްޓިކްސް</t>
  </si>
  <si>
    <t xml:space="preserve">Source:   Maldives  Bureau of Statistics   </t>
  </si>
  <si>
    <t>Table  17.5 : CONSUMER PRICE INDEX, FOR MALE' AND ATOLLS BY MONTH,  2023</t>
  </si>
  <si>
    <t>2023 ,uDnwgcnim egugwa egurWzWb eguhwmcswmikea : 17.5 ulwvWt</t>
  </si>
  <si>
    <t>Monthly CPI , 2023</t>
  </si>
  <si>
    <t xml:space="preserve"> 2023 ،iawa.Ip.Is eguhwmcswm</t>
  </si>
  <si>
    <r>
      <t xml:space="preserve">(cnegiawlwbcSwa 100 IkwDnwgcnim eg </t>
    </r>
    <r>
      <rPr>
        <b/>
        <sz val="9"/>
        <rFont val="Faruma"/>
      </rPr>
      <t>ނޮވެންބަރ</t>
    </r>
    <r>
      <rPr>
        <b/>
        <sz val="9"/>
        <rFont val="A_Faseyha"/>
      </rPr>
      <t xml:space="preserve"> 2022 )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</si>
</sst>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69" formatCode="_-* #,##0.00_-;\-* #,##0.00_-;_-* &quot;-&quot;??_-;_-@_-"/>
    <numFmt numFmtId="170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7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4" fillId="2" borderId="0" xfId="2" applyFill="1"/>
    <xf numFmtId="2" fontId="0" fillId="2" borderId="0" xfId="0" applyNumberFormat="1" applyFill="1"/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0" fontId="12" fillId="2" borderId="0" xfId="2" applyFont="1" applyFill="1"/>
    <xf numFmtId="0" fontId="12" fillId="2" borderId="2" xfId="2" applyFont="1" applyFill="1" applyBorder="1"/>
    <xf numFmtId="0" fontId="14" fillId="2" borderId="0" xfId="2" applyFont="1" applyFill="1"/>
    <xf numFmtId="2" fontId="4" fillId="2" borderId="0" xfId="2" applyNumberFormat="1" applyFill="1"/>
    <xf numFmtId="165" fontId="3" fillId="2" borderId="0" xfId="3" applyFont="1" applyFill="1" applyAlignment="1">
      <alignment vertical="center"/>
    </xf>
    <xf numFmtId="165" fontId="1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3" fontId="13" fillId="2" borderId="1" xfId="6" applyNumberFormat="1" applyFont="1" applyFill="1" applyBorder="1" applyAlignment="1">
      <alignment horizontal="left" vertical="center"/>
    </xf>
    <xf numFmtId="3" fontId="14" fillId="2" borderId="1" xfId="6" applyNumberFormat="1" applyFont="1" applyFill="1" applyBorder="1" applyAlignment="1">
      <alignment horizontal="center" vertical="center"/>
    </xf>
    <xf numFmtId="3" fontId="14" fillId="2" borderId="1" xfId="6" applyNumberFormat="1" applyFont="1" applyFill="1" applyBorder="1" applyAlignment="1">
      <alignment horizontal="right" vertical="center"/>
    </xf>
    <xf numFmtId="0" fontId="4" fillId="2" borderId="1" xfId="2" applyFill="1" applyBorder="1"/>
    <xf numFmtId="0" fontId="12" fillId="2" borderId="1" xfId="2" applyFont="1" applyFill="1" applyBorder="1"/>
    <xf numFmtId="0" fontId="5" fillId="2" borderId="2" xfId="2" applyFont="1" applyFill="1" applyBorder="1"/>
    <xf numFmtId="0" fontId="14" fillId="2" borderId="2" xfId="2" applyFont="1" applyFill="1" applyBorder="1"/>
    <xf numFmtId="0" fontId="14" fillId="2" borderId="2" xfId="2" applyFont="1" applyFill="1" applyBorder="1" applyAlignment="1">
      <alignment horizontal="right"/>
    </xf>
    <xf numFmtId="0" fontId="14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Alignment="1">
      <alignment horizontal="left"/>
    </xf>
    <xf numFmtId="0" fontId="5" fillId="2" borderId="1" xfId="2" applyFont="1" applyFill="1" applyBorder="1" applyAlignment="1">
      <alignment horizontal="left"/>
    </xf>
    <xf numFmtId="166" fontId="12" fillId="2" borderId="0" xfId="2" applyNumberFormat="1" applyFont="1" applyFill="1"/>
    <xf numFmtId="0" fontId="14" fillId="2" borderId="1" xfId="2" applyFont="1" applyFill="1" applyBorder="1"/>
    <xf numFmtId="3" fontId="13" fillId="2" borderId="0" xfId="6" applyNumberFormat="1" applyFont="1" applyFill="1" applyAlignment="1">
      <alignment horizontal="left" vertical="center"/>
    </xf>
    <xf numFmtId="3" fontId="10" fillId="2" borderId="0" xfId="6" applyNumberFormat="1" applyFont="1" applyFill="1" applyAlignment="1">
      <alignment horizontal="right" vertical="center"/>
    </xf>
    <xf numFmtId="2" fontId="12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3" fillId="2" borderId="1" xfId="2" applyFont="1" applyFill="1" applyBorder="1"/>
    <xf numFmtId="0" fontId="13" fillId="2" borderId="0" xfId="2" applyFont="1" applyFill="1"/>
    <xf numFmtId="0" fontId="12" fillId="2" borderId="0" xfId="2" applyFont="1" applyFill="1" applyAlignment="1">
      <alignment horizontal="right"/>
    </xf>
    <xf numFmtId="168" fontId="12" fillId="2" borderId="0" xfId="2" applyNumberFormat="1" applyFont="1" applyFill="1"/>
    <xf numFmtId="0" fontId="12" fillId="2" borderId="0" xfId="2" applyFont="1" applyFill="1" applyAlignment="1">
      <alignment horizontal="right" vertical="center"/>
    </xf>
    <xf numFmtId="0" fontId="12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8" fillId="2" borderId="0" xfId="3" applyFont="1" applyFill="1" applyAlignment="1">
      <alignment horizontal="right" vertical="center"/>
    </xf>
    <xf numFmtId="165" fontId="18" fillId="2" borderId="1" xfId="1" applyFont="1" applyFill="1" applyBorder="1" applyAlignment="1">
      <alignment horizontal="right" vertical="center"/>
    </xf>
    <xf numFmtId="165" fontId="18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8" fillId="2" borderId="2" xfId="3" applyFont="1" applyFill="1" applyBorder="1" applyAlignment="1">
      <alignment horizontal="right" vertical="center"/>
    </xf>
    <xf numFmtId="165" fontId="18" fillId="2" borderId="4" xfId="3" applyFont="1" applyFill="1" applyBorder="1" applyAlignment="1">
      <alignment horizontal="right" vertical="center" wrapText="1"/>
    </xf>
    <xf numFmtId="165" fontId="18" fillId="2" borderId="0" xfId="3" applyFont="1" applyFill="1" applyAlignment="1">
      <alignment horizontal="right" vertical="center" wrapText="1"/>
    </xf>
    <xf numFmtId="2" fontId="11" fillId="2" borderId="0" xfId="2" applyNumberFormat="1" applyFont="1" applyFill="1"/>
    <xf numFmtId="169" fontId="18" fillId="2" borderId="0" xfId="3" applyNumberFormat="1" applyFont="1" applyFill="1" applyAlignment="1">
      <alignment horizontal="right"/>
    </xf>
    <xf numFmtId="17" fontId="8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horizontal="right" vertical="center"/>
    </xf>
    <xf numFmtId="165" fontId="8" fillId="2" borderId="1" xfId="3" applyFont="1" applyFill="1" applyBorder="1" applyAlignment="1">
      <alignment horizontal="right" vertical="center"/>
    </xf>
    <xf numFmtId="3" fontId="19" fillId="2" borderId="1" xfId="6" applyNumberFormat="1" applyFont="1" applyFill="1" applyBorder="1" applyAlignment="1">
      <alignment horizontal="right" vertical="center"/>
    </xf>
    <xf numFmtId="165" fontId="18" fillId="2" borderId="0" xfId="3" applyFont="1" applyFill="1" applyAlignment="1">
      <alignment horizontal="right"/>
    </xf>
    <xf numFmtId="0" fontId="19" fillId="2" borderId="0" xfId="2" applyFont="1" applyFill="1"/>
    <xf numFmtId="0" fontId="19" fillId="2" borderId="1" xfId="2" applyFont="1" applyFill="1" applyBorder="1"/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169" fontId="18" fillId="2" borderId="0" xfId="3" applyNumberFormat="1" applyFont="1" applyFill="1" applyAlignment="1">
      <alignment horizontal="right" vertical="center"/>
    </xf>
    <xf numFmtId="43" fontId="9" fillId="2" borderId="0" xfId="0" applyNumberFormat="1" applyFont="1" applyFill="1" applyAlignment="1">
      <alignment horizontal="right" vertical="center"/>
    </xf>
    <xf numFmtId="2" fontId="14" fillId="2" borderId="0" xfId="2" applyNumberFormat="1" applyFont="1" applyFill="1"/>
    <xf numFmtId="43" fontId="8" fillId="2" borderId="0" xfId="0" applyNumberFormat="1" applyFont="1" applyFill="1" applyAlignment="1">
      <alignment horizontal="right" vertical="center"/>
    </xf>
    <xf numFmtId="43" fontId="8" fillId="2" borderId="1" xfId="0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/>
    </xf>
    <xf numFmtId="165" fontId="20" fillId="2" borderId="0" xfId="3" applyFont="1" applyFill="1" applyAlignment="1">
      <alignment horizontal="center" vertical="center"/>
    </xf>
    <xf numFmtId="165" fontId="8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0" xfId="3" applyFont="1" applyFill="1" applyAlignment="1">
      <alignment horizontal="center" vertical="center"/>
    </xf>
  </cellXfs>
  <cellStyles count="22">
    <cellStyle name="1" xfId="11" xr:uid="{00000000-0005-0000-0000-000000000000}"/>
    <cellStyle name="Comma 2" xfId="12" xr:uid="{00000000-0005-0000-0000-000001000000}"/>
    <cellStyle name="Comma 2 2" xfId="17" xr:uid="{00000000-0005-0000-0000-000002000000}"/>
    <cellStyle name="Comma 3" xfId="13" xr:uid="{00000000-0005-0000-0000-000003000000}"/>
    <cellStyle name="Comma 3 2" xfId="7" xr:uid="{00000000-0005-0000-0000-000004000000}"/>
    <cellStyle name="Normal" xfId="0" builtinId="0"/>
    <cellStyle name="Normal - Style1" xfId="14" xr:uid="{00000000-0005-0000-0000-000007000000}"/>
    <cellStyle name="Normal 2" xfId="16" xr:uid="{00000000-0005-0000-0000-000008000000}"/>
    <cellStyle name="Normal 3" xfId="8" xr:uid="{00000000-0005-0000-0000-000009000000}"/>
    <cellStyle name="Normal 4" xfId="9" xr:uid="{00000000-0005-0000-0000-00000A000000}"/>
    <cellStyle name="Normal 5" xfId="10" xr:uid="{00000000-0005-0000-0000-00000B000000}"/>
    <cellStyle name="Normal 5 2" xfId="20" xr:uid="{00000000-0005-0000-0000-00000C000000}"/>
    <cellStyle name="Normal 6" xfId="19" xr:uid="{00000000-0005-0000-0000-00000D000000}"/>
    <cellStyle name="Normal 6 2" xfId="21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5" xr:uid="{00000000-0005-0000-0000-000015000000}"/>
    <cellStyle name="Percent 2 2" xfId="18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N89"/>
  <sheetViews>
    <sheetView tabSelected="1" zoomScale="115" zoomScaleNormal="115" zoomScaleSheetLayoutView="95" workbookViewId="0">
      <selection activeCell="Z73" sqref="Z73:AP91"/>
    </sheetView>
  </sheetViews>
  <sheetFormatPr defaultColWidth="9.140625" defaultRowHeight="14.25" x14ac:dyDescent="0.35"/>
  <cols>
    <col min="1" max="1" width="37.42578125" style="36" customWidth="1"/>
    <col min="2" max="2" width="10.5703125" style="9" customWidth="1"/>
    <col min="3" max="4" width="10.5703125" style="37" customWidth="1"/>
    <col min="5" max="13" width="10.5703125" style="9" customWidth="1"/>
    <col min="14" max="14" width="9.85546875" style="9" customWidth="1"/>
    <col min="15" max="15" width="7.7109375" style="9" customWidth="1"/>
    <col min="16" max="16" width="8.85546875" style="9" customWidth="1"/>
    <col min="17" max="17" width="6.42578125" style="9" customWidth="1"/>
    <col min="18" max="18" width="17.7109375" style="61" customWidth="1"/>
    <col min="19" max="26" width="6.42578125" style="9" customWidth="1"/>
    <col min="27" max="27" width="9.140625" style="9"/>
    <col min="28" max="40" width="10.140625" style="9" customWidth="1"/>
    <col min="41" max="16384" width="9.140625" style="9"/>
  </cols>
  <sheetData>
    <row r="1" spans="1:30" s="14" customFormat="1" ht="23.25" customHeight="1" x14ac:dyDescent="0.25">
      <c r="A1" s="71" t="s">
        <v>75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13"/>
      <c r="T1" s="13"/>
      <c r="U1" s="13"/>
      <c r="V1" s="13"/>
      <c r="W1" s="13"/>
      <c r="X1" s="13"/>
      <c r="Y1" s="13"/>
      <c r="Z1" s="13"/>
    </row>
    <row r="2" spans="1:30" s="15" customFormat="1" ht="12.75" x14ac:dyDescent="0.25">
      <c r="A2" s="72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30" s="14" customFormat="1" ht="15" customHeight="1" x14ac:dyDescent="0.25">
      <c r="A3" s="73" t="s">
        <v>78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16"/>
      <c r="T3" s="16"/>
      <c r="U3" s="16"/>
      <c r="V3" s="16"/>
      <c r="W3" s="16"/>
      <c r="X3" s="16"/>
      <c r="Y3" s="16"/>
      <c r="Z3" s="16"/>
    </row>
    <row r="4" spans="1:30" s="15" customFormat="1" ht="12" x14ac:dyDescent="0.25">
      <c r="A4" s="74" t="s">
        <v>71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30" ht="6" customHeight="1" x14ac:dyDescent="0.2">
      <c r="A5" s="17"/>
      <c r="B5" s="18"/>
      <c r="C5" s="19"/>
      <c r="D5" s="19"/>
      <c r="E5" s="18"/>
      <c r="F5" s="20"/>
      <c r="G5" s="20"/>
      <c r="H5" s="20"/>
      <c r="I5" s="20"/>
      <c r="J5" s="20"/>
      <c r="K5" s="20"/>
      <c r="L5" s="20"/>
      <c r="M5" s="20"/>
      <c r="O5" s="21"/>
      <c r="P5" s="21"/>
      <c r="Q5" s="21"/>
      <c r="R5" s="59"/>
    </row>
    <row r="6" spans="1:30" ht="15" x14ac:dyDescent="0.2">
      <c r="A6" s="22"/>
      <c r="B6" s="23" t="s">
        <v>76</v>
      </c>
      <c r="C6" s="24"/>
      <c r="D6" s="24"/>
      <c r="E6" s="23"/>
      <c r="F6" s="11"/>
      <c r="G6" s="25"/>
      <c r="H6" s="26"/>
      <c r="I6" s="26"/>
      <c r="J6" s="26"/>
      <c r="K6" s="26"/>
      <c r="L6" s="26"/>
      <c r="M6" s="25"/>
      <c r="N6" s="48" t="s">
        <v>77</v>
      </c>
      <c r="R6" s="46" t="s">
        <v>50</v>
      </c>
    </row>
    <row r="7" spans="1:30" ht="20.25" customHeight="1" x14ac:dyDescent="0.35">
      <c r="A7" s="27" t="s">
        <v>51</v>
      </c>
      <c r="B7" s="52" t="s">
        <v>25</v>
      </c>
      <c r="C7" s="52" t="s">
        <v>26</v>
      </c>
      <c r="D7" s="52" t="s">
        <v>27</v>
      </c>
      <c r="E7" s="52" t="s">
        <v>28</v>
      </c>
      <c r="F7" s="52" t="s">
        <v>29</v>
      </c>
      <c r="G7" s="53" t="s">
        <v>30</v>
      </c>
      <c r="H7" s="53" t="s">
        <v>31</v>
      </c>
      <c r="I7" s="53" t="s">
        <v>32</v>
      </c>
      <c r="J7" s="53" t="s">
        <v>33</v>
      </c>
      <c r="K7" s="53" t="s">
        <v>34</v>
      </c>
      <c r="L7" s="53" t="s">
        <v>35</v>
      </c>
      <c r="M7" s="53" t="s">
        <v>36</v>
      </c>
      <c r="N7" s="55" t="s">
        <v>37</v>
      </c>
      <c r="R7" s="60" t="s">
        <v>52</v>
      </c>
    </row>
    <row r="8" spans="1:30" s="8" customFormat="1" ht="18" customHeight="1" x14ac:dyDescent="0.25">
      <c r="A8" s="41" t="s">
        <v>0</v>
      </c>
      <c r="B8" s="56" t="s">
        <v>38</v>
      </c>
      <c r="C8" s="57" t="s">
        <v>39</v>
      </c>
      <c r="D8" s="57" t="s">
        <v>40</v>
      </c>
      <c r="E8" s="57" t="s">
        <v>41</v>
      </c>
      <c r="F8" s="57" t="s">
        <v>42</v>
      </c>
      <c r="G8" s="57" t="s">
        <v>43</v>
      </c>
      <c r="H8" s="57" t="s">
        <v>44</v>
      </c>
      <c r="I8" s="57" t="s">
        <v>45</v>
      </c>
      <c r="J8" s="57" t="s">
        <v>46</v>
      </c>
      <c r="K8" s="57" t="s">
        <v>47</v>
      </c>
      <c r="L8" s="57" t="s">
        <v>48</v>
      </c>
      <c r="M8" s="57" t="s">
        <v>49</v>
      </c>
      <c r="N8" s="58" t="s">
        <v>53</v>
      </c>
      <c r="O8" s="40"/>
      <c r="P8" s="40"/>
      <c r="Q8" s="40"/>
      <c r="R8" s="49"/>
    </row>
    <row r="9" spans="1:30" ht="19.5" customHeight="1" x14ac:dyDescent="0.2">
      <c r="A9" s="3" t="s">
        <v>2</v>
      </c>
      <c r="B9" s="66">
        <v>101.80868421761069</v>
      </c>
      <c r="C9" s="66">
        <v>102.02748474611516</v>
      </c>
      <c r="D9" s="66">
        <v>103.0558804937836</v>
      </c>
      <c r="E9" s="66">
        <v>102.66124327445891</v>
      </c>
      <c r="F9" s="66">
        <v>102.04089630578062</v>
      </c>
      <c r="G9" s="66">
        <v>102.6955966383761</v>
      </c>
      <c r="H9" s="66">
        <v>103.35749827627396</v>
      </c>
      <c r="I9" s="66">
        <v>103.8051325374683</v>
      </c>
      <c r="J9" s="66">
        <v>105.80199406716467</v>
      </c>
      <c r="K9" s="66">
        <v>105.74241339578107</v>
      </c>
      <c r="L9" s="66">
        <v>105.26450790775235</v>
      </c>
      <c r="M9" s="66">
        <v>106.73818160690871</v>
      </c>
      <c r="N9" s="66">
        <f>AVERAGE(B9:M9)</f>
        <v>103.74995945562284</v>
      </c>
      <c r="R9" s="44" t="s">
        <v>3</v>
      </c>
      <c r="S9" s="29"/>
      <c r="T9" s="29"/>
      <c r="U9" s="29"/>
      <c r="V9" s="29"/>
      <c r="W9" s="29"/>
      <c r="X9" s="29"/>
      <c r="Y9" s="29"/>
      <c r="Z9" s="29"/>
    </row>
    <row r="10" spans="1:30" ht="19.5" customHeight="1" x14ac:dyDescent="0.2">
      <c r="A10" s="3" t="s">
        <v>4</v>
      </c>
      <c r="B10" s="66">
        <v>101.91000864268179</v>
      </c>
      <c r="C10" s="66">
        <v>102.22494413535532</v>
      </c>
      <c r="D10" s="66">
        <v>103.19137534553295</v>
      </c>
      <c r="E10" s="66">
        <v>103.02901682398486</v>
      </c>
      <c r="F10" s="66">
        <v>102.0438921533615</v>
      </c>
      <c r="G10" s="66">
        <v>102.25418667356095</v>
      </c>
      <c r="H10" s="66">
        <v>102.99008625175819</v>
      </c>
      <c r="I10" s="66">
        <v>103.46183523735854</v>
      </c>
      <c r="J10" s="66">
        <v>105.33074765432188</v>
      </c>
      <c r="K10" s="66">
        <v>105.31044690851212</v>
      </c>
      <c r="L10" s="66">
        <v>104.76573990236378</v>
      </c>
      <c r="M10" s="66">
        <v>106.20454530721217</v>
      </c>
      <c r="N10" s="66">
        <f t="shared" ref="N10:N26" si="0">AVERAGE(B10:M10)</f>
        <v>103.55973541966699</v>
      </c>
      <c r="R10" s="44" t="s">
        <v>5</v>
      </c>
      <c r="S10" s="29"/>
      <c r="T10" s="29"/>
      <c r="U10" s="29"/>
      <c r="V10" s="29"/>
      <c r="W10" s="29"/>
      <c r="X10" s="29"/>
      <c r="Y10" s="29"/>
      <c r="Z10" s="29"/>
    </row>
    <row r="11" spans="1:30" ht="19.5" customHeight="1" x14ac:dyDescent="0.2">
      <c r="A11" s="4" t="s">
        <v>6</v>
      </c>
      <c r="B11" s="66">
        <v>101.3799586398199</v>
      </c>
      <c r="C11" s="66">
        <v>101.19199132305563</v>
      </c>
      <c r="D11" s="66">
        <v>102.48257244329992</v>
      </c>
      <c r="E11" s="66">
        <v>101.10511376860653</v>
      </c>
      <c r="F11" s="66">
        <v>102.02822022610711</v>
      </c>
      <c r="G11" s="66">
        <v>104.56329775856713</v>
      </c>
      <c r="H11" s="66">
        <v>104.912098091543</v>
      </c>
      <c r="I11" s="66">
        <v>105.25769773327683</v>
      </c>
      <c r="J11" s="66">
        <v>107.79593965813257</v>
      </c>
      <c r="K11" s="66">
        <v>107.57015711809389</v>
      </c>
      <c r="L11" s="66">
        <v>107.3749033148196</v>
      </c>
      <c r="M11" s="66">
        <v>108.99611231568899</v>
      </c>
      <c r="N11" s="66">
        <f t="shared" si="0"/>
        <v>104.55483853258427</v>
      </c>
      <c r="R11" s="44" t="s">
        <v>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9.5" customHeight="1" x14ac:dyDescent="0.2">
      <c r="A12" s="4" t="s">
        <v>8</v>
      </c>
      <c r="B12" s="66">
        <v>104.04901051073912</v>
      </c>
      <c r="C12" s="66">
        <v>104.14372017126104</v>
      </c>
      <c r="D12" s="66">
        <v>104.66589459042588</v>
      </c>
      <c r="E12" s="66">
        <v>104.61813504764888</v>
      </c>
      <c r="F12" s="66">
        <v>104.37250976366569</v>
      </c>
      <c r="G12" s="66">
        <v>104.47778207371884</v>
      </c>
      <c r="H12" s="66">
        <v>104.37385505085213</v>
      </c>
      <c r="I12" s="66">
        <v>104.57941459086292</v>
      </c>
      <c r="J12" s="66">
        <v>104.19957500494674</v>
      </c>
      <c r="K12" s="66">
        <v>104.13658491001812</v>
      </c>
      <c r="L12" s="66">
        <v>102.9314928257398</v>
      </c>
      <c r="M12" s="66">
        <v>102.97995080949536</v>
      </c>
      <c r="N12" s="66">
        <f t="shared" si="0"/>
        <v>104.12732711244787</v>
      </c>
      <c r="R12" s="44" t="s">
        <v>24</v>
      </c>
      <c r="S12" s="29"/>
      <c r="T12" s="29"/>
      <c r="U12" s="29"/>
      <c r="V12" s="29"/>
      <c r="W12" s="29"/>
      <c r="X12" s="29"/>
      <c r="Y12" s="29"/>
      <c r="Z12" s="29"/>
    </row>
    <row r="13" spans="1:30" ht="19.5" customHeight="1" x14ac:dyDescent="0.2">
      <c r="A13" s="4" t="s">
        <v>59</v>
      </c>
      <c r="B13" s="66">
        <v>100.62629859201154</v>
      </c>
      <c r="C13" s="66">
        <v>100.91777017089908</v>
      </c>
      <c r="D13" s="66">
        <v>101.02943817699341</v>
      </c>
      <c r="E13" s="66">
        <v>100.82961919943945</v>
      </c>
      <c r="F13" s="66">
        <v>100.81365077249347</v>
      </c>
      <c r="G13" s="66">
        <v>100.92253010934691</v>
      </c>
      <c r="H13" s="66">
        <v>100.9473706278915</v>
      </c>
      <c r="I13" s="66">
        <v>101.1163714778161</v>
      </c>
      <c r="J13" s="66">
        <v>101.17065396105544</v>
      </c>
      <c r="K13" s="66">
        <v>101.30611964040082</v>
      </c>
      <c r="L13" s="66">
        <v>101.84941790793034</v>
      </c>
      <c r="M13" s="66">
        <v>101.95876454883063</v>
      </c>
      <c r="N13" s="66">
        <f t="shared" si="0"/>
        <v>101.12400043209239</v>
      </c>
      <c r="R13" s="44" t="s">
        <v>9</v>
      </c>
      <c r="S13" s="29"/>
      <c r="T13" s="29"/>
      <c r="U13" s="29"/>
      <c r="V13" s="29"/>
      <c r="W13" s="29"/>
      <c r="X13" s="29"/>
      <c r="Y13" s="29"/>
      <c r="Z13" s="29"/>
    </row>
    <row r="14" spans="1:30" ht="19.5" customHeight="1" x14ac:dyDescent="0.2">
      <c r="A14" s="4" t="s">
        <v>60</v>
      </c>
      <c r="B14" s="66">
        <v>100.31188859956748</v>
      </c>
      <c r="C14" s="66">
        <v>100.78957916460757</v>
      </c>
      <c r="D14" s="66">
        <v>101.37685011502334</v>
      </c>
      <c r="E14" s="66">
        <v>102.61697731597131</v>
      </c>
      <c r="F14" s="66">
        <v>101.89550229036404</v>
      </c>
      <c r="G14" s="66">
        <v>101.88877322714849</v>
      </c>
      <c r="H14" s="66">
        <v>101.21017550511843</v>
      </c>
      <c r="I14" s="66">
        <v>101.51412689251758</v>
      </c>
      <c r="J14" s="66">
        <v>101.60390718376239</v>
      </c>
      <c r="K14" s="66">
        <v>101.47093151202999</v>
      </c>
      <c r="L14" s="66">
        <v>101.35253735074545</v>
      </c>
      <c r="M14" s="66">
        <v>101.53848634903804</v>
      </c>
      <c r="N14" s="66">
        <f t="shared" si="0"/>
        <v>101.46414462549119</v>
      </c>
      <c r="R14" s="44" t="s">
        <v>10</v>
      </c>
      <c r="S14" s="29"/>
      <c r="T14" s="29"/>
      <c r="U14" s="29"/>
      <c r="V14" s="29"/>
      <c r="W14" s="29"/>
      <c r="X14" s="29"/>
      <c r="Y14" s="29"/>
      <c r="Z14" s="29"/>
    </row>
    <row r="15" spans="1:30" ht="19.5" customHeight="1" x14ac:dyDescent="0.2">
      <c r="A15" s="4" t="s">
        <v>61</v>
      </c>
      <c r="B15" s="66">
        <v>99.992138667940239</v>
      </c>
      <c r="C15" s="66">
        <v>99.992138667940239</v>
      </c>
      <c r="D15" s="66">
        <v>99.992138667940239</v>
      </c>
      <c r="E15" s="66">
        <v>99.992138667940239</v>
      </c>
      <c r="F15" s="66">
        <v>99.992138667940239</v>
      </c>
      <c r="G15" s="66">
        <v>99.992138667940239</v>
      </c>
      <c r="H15" s="66">
        <v>99.992138667940239</v>
      </c>
      <c r="I15" s="66">
        <v>99.992138667940239</v>
      </c>
      <c r="J15" s="66">
        <v>99.992138667940239</v>
      </c>
      <c r="K15" s="66">
        <v>99.992138667940239</v>
      </c>
      <c r="L15" s="66">
        <v>99.992150572363414</v>
      </c>
      <c r="M15" s="66">
        <v>99.992150572363414</v>
      </c>
      <c r="N15" s="66">
        <f t="shared" si="0"/>
        <v>99.992140652010775</v>
      </c>
      <c r="R15" s="50" t="s">
        <v>54</v>
      </c>
      <c r="S15" s="29"/>
      <c r="T15" s="29"/>
      <c r="U15" s="29"/>
      <c r="V15" s="29"/>
      <c r="W15" s="29"/>
      <c r="X15" s="29"/>
      <c r="Y15" s="29"/>
      <c r="Z15" s="29"/>
    </row>
    <row r="16" spans="1:30" ht="25.5" x14ac:dyDescent="0.2">
      <c r="A16" s="3" t="s">
        <v>62</v>
      </c>
      <c r="B16" s="66">
        <v>102.89547001133693</v>
      </c>
      <c r="C16" s="66">
        <v>101.37463633893148</v>
      </c>
      <c r="D16" s="66">
        <v>101.27439479151704</v>
      </c>
      <c r="E16" s="66">
        <v>102.91206217534241</v>
      </c>
      <c r="F16" s="66">
        <v>103.65592102798186</v>
      </c>
      <c r="G16" s="66">
        <v>103.60012997389035</v>
      </c>
      <c r="H16" s="66">
        <v>103.50558367439872</v>
      </c>
      <c r="I16" s="66">
        <v>104.20505754061308</v>
      </c>
      <c r="J16" s="66">
        <v>103.98985609439687</v>
      </c>
      <c r="K16" s="66">
        <v>104.05986141749672</v>
      </c>
      <c r="L16" s="66">
        <v>103.73568727655586</v>
      </c>
      <c r="M16" s="66">
        <v>103.65518385935161</v>
      </c>
      <c r="N16" s="66">
        <f t="shared" si="0"/>
        <v>103.23865368181775</v>
      </c>
      <c r="R16" s="44" t="s">
        <v>11</v>
      </c>
      <c r="S16" s="29"/>
      <c r="T16" s="29"/>
      <c r="U16" s="29"/>
      <c r="V16" s="29"/>
      <c r="W16" s="29"/>
      <c r="X16" s="29"/>
      <c r="Y16" s="29"/>
      <c r="Z16" s="29"/>
    </row>
    <row r="17" spans="1:40" ht="19.5" customHeight="1" x14ac:dyDescent="0.2">
      <c r="A17" s="5" t="s">
        <v>12</v>
      </c>
      <c r="B17" s="66">
        <v>103.99157543717241</v>
      </c>
      <c r="C17" s="66">
        <v>103.99157543717241</v>
      </c>
      <c r="D17" s="66">
        <v>103.99157543717241</v>
      </c>
      <c r="E17" s="66">
        <v>103.99157543717241</v>
      </c>
      <c r="F17" s="66">
        <v>103.99157543717241</v>
      </c>
      <c r="G17" s="66">
        <v>104.20452193117973</v>
      </c>
      <c r="H17" s="66">
        <v>104.20452193117973</v>
      </c>
      <c r="I17" s="66">
        <v>104.8459526911072</v>
      </c>
      <c r="J17" s="66">
        <v>104.84760806716766</v>
      </c>
      <c r="K17" s="66">
        <v>104.8455299068607</v>
      </c>
      <c r="L17" s="66">
        <v>104.8455299068607</v>
      </c>
      <c r="M17" s="66">
        <v>104.83905161102807</v>
      </c>
      <c r="N17" s="66">
        <f t="shared" si="0"/>
        <v>104.38254943593715</v>
      </c>
      <c r="R17" s="44" t="s">
        <v>13</v>
      </c>
      <c r="S17" s="29"/>
      <c r="T17" s="29"/>
      <c r="U17" s="29"/>
      <c r="V17" s="29"/>
      <c r="W17" s="29"/>
      <c r="X17" s="29"/>
      <c r="Y17" s="29"/>
      <c r="Z17" s="29"/>
    </row>
    <row r="18" spans="1:40" ht="19.5" customHeight="1" x14ac:dyDescent="0.2">
      <c r="A18" s="5" t="s">
        <v>63</v>
      </c>
      <c r="B18" s="66">
        <v>101.59301699843289</v>
      </c>
      <c r="C18" s="66">
        <v>100.61910562250935</v>
      </c>
      <c r="D18" s="66">
        <v>100.82441429970913</v>
      </c>
      <c r="E18" s="66">
        <v>101.64909418747176</v>
      </c>
      <c r="F18" s="66">
        <v>101.9313182672236</v>
      </c>
      <c r="G18" s="66">
        <v>102.01556576648773</v>
      </c>
      <c r="H18" s="66">
        <v>103.95203491450148</v>
      </c>
      <c r="I18" s="66">
        <v>103.84588108941217</v>
      </c>
      <c r="J18" s="66">
        <v>104.27202907199781</v>
      </c>
      <c r="K18" s="66">
        <v>103.71422661577634</v>
      </c>
      <c r="L18" s="66">
        <v>103.64411994310228</v>
      </c>
      <c r="M18" s="66">
        <v>103.67154341579742</v>
      </c>
      <c r="N18" s="66">
        <f t="shared" si="0"/>
        <v>102.64436251603519</v>
      </c>
      <c r="R18" s="44" t="s">
        <v>14</v>
      </c>
      <c r="S18" s="29"/>
      <c r="T18" s="29"/>
      <c r="U18" s="29"/>
      <c r="V18" s="29"/>
      <c r="W18" s="29"/>
      <c r="X18" s="29"/>
      <c r="Y18" s="29"/>
      <c r="Z18" s="29"/>
    </row>
    <row r="19" spans="1:40" ht="19.5" customHeight="1" x14ac:dyDescent="0.2">
      <c r="A19" s="5" t="s">
        <v>64</v>
      </c>
      <c r="B19" s="66">
        <v>97.995314347959194</v>
      </c>
      <c r="C19" s="66">
        <v>98.966961329452857</v>
      </c>
      <c r="D19" s="66">
        <v>98.487195899848757</v>
      </c>
      <c r="E19" s="66">
        <v>96.604882313671823</v>
      </c>
      <c r="F19" s="66">
        <v>95.299253940736506</v>
      </c>
      <c r="G19" s="66">
        <v>94.491661814841692</v>
      </c>
      <c r="H19" s="66">
        <v>93.944926510647505</v>
      </c>
      <c r="I19" s="66">
        <v>92.336464733425601</v>
      </c>
      <c r="J19" s="66">
        <v>91.431791466195648</v>
      </c>
      <c r="K19" s="66">
        <v>91.430358310454068</v>
      </c>
      <c r="L19" s="66">
        <v>87.954507564926431</v>
      </c>
      <c r="M19" s="66">
        <v>87.869869292604591</v>
      </c>
      <c r="N19" s="66">
        <f t="shared" si="0"/>
        <v>93.90109896039705</v>
      </c>
      <c r="R19" s="44" t="s">
        <v>15</v>
      </c>
      <c r="S19" s="29"/>
      <c r="T19" s="29"/>
      <c r="U19" s="29"/>
      <c r="V19" s="29"/>
      <c r="W19" s="29"/>
      <c r="X19" s="29"/>
      <c r="Y19" s="29"/>
      <c r="Z19" s="29"/>
    </row>
    <row r="20" spans="1:40" ht="19.5" customHeight="1" x14ac:dyDescent="0.2">
      <c r="A20" s="3" t="s">
        <v>65</v>
      </c>
      <c r="B20" s="66">
        <v>101.10780478893604</v>
      </c>
      <c r="C20" s="66">
        <v>101.0912366645239</v>
      </c>
      <c r="D20" s="66">
        <v>100.73265199242722</v>
      </c>
      <c r="E20" s="66">
        <v>100.71075742062777</v>
      </c>
      <c r="F20" s="66">
        <v>100.68135022918892</v>
      </c>
      <c r="G20" s="66">
        <v>100.60218405380735</v>
      </c>
      <c r="H20" s="66">
        <v>100.57423432974902</v>
      </c>
      <c r="I20" s="66">
        <v>100.87771382839075</v>
      </c>
      <c r="J20" s="66">
        <v>100.99655307766243</v>
      </c>
      <c r="K20" s="66">
        <v>101.00412197255027</v>
      </c>
      <c r="L20" s="66">
        <v>101.00412197255027</v>
      </c>
      <c r="M20" s="66">
        <v>101.16203159438982</v>
      </c>
      <c r="N20" s="66">
        <f t="shared" si="0"/>
        <v>100.87873016040032</v>
      </c>
      <c r="R20" s="45" t="s">
        <v>16</v>
      </c>
      <c r="S20" s="29"/>
      <c r="T20" s="29"/>
      <c r="U20" s="29"/>
      <c r="V20" s="29"/>
      <c r="W20" s="29"/>
      <c r="X20" s="29"/>
      <c r="Y20" s="29"/>
      <c r="Z20" s="29"/>
    </row>
    <row r="21" spans="1:40" ht="19.5" customHeight="1" x14ac:dyDescent="0.2">
      <c r="A21" s="4" t="s">
        <v>66</v>
      </c>
      <c r="B21" s="66">
        <v>102.94096122769429</v>
      </c>
      <c r="C21" s="66">
        <v>102.94096122769429</v>
      </c>
      <c r="D21" s="66">
        <v>102.94096122769429</v>
      </c>
      <c r="E21" s="66">
        <v>102.94096122769429</v>
      </c>
      <c r="F21" s="66">
        <v>102.94096122769429</v>
      </c>
      <c r="G21" s="66">
        <v>102.94096122769429</v>
      </c>
      <c r="H21" s="66">
        <v>102.94096122769429</v>
      </c>
      <c r="I21" s="66">
        <v>105.25812112245031</v>
      </c>
      <c r="J21" s="66">
        <v>105.25812112245031</v>
      </c>
      <c r="K21" s="66">
        <v>105.25812112245031</v>
      </c>
      <c r="L21" s="66">
        <v>105.3880891503201</v>
      </c>
      <c r="M21" s="66">
        <v>105.3880891503201</v>
      </c>
      <c r="N21" s="66">
        <f t="shared" si="0"/>
        <v>103.92810585515429</v>
      </c>
      <c r="R21" s="45" t="s">
        <v>17</v>
      </c>
      <c r="S21" s="29"/>
      <c r="T21" s="29"/>
      <c r="U21" s="29"/>
      <c r="V21" s="29"/>
      <c r="W21" s="29"/>
      <c r="X21" s="29"/>
      <c r="Y21" s="29"/>
      <c r="Z21" s="29"/>
    </row>
    <row r="22" spans="1:40" ht="19.5" customHeight="1" x14ac:dyDescent="0.2">
      <c r="A22" s="4" t="s">
        <v>67</v>
      </c>
      <c r="B22" s="66">
        <v>104.70778176463504</v>
      </c>
      <c r="C22" s="66">
        <v>106.70263556221235</v>
      </c>
      <c r="D22" s="66">
        <v>106.70509623879516</v>
      </c>
      <c r="E22" s="66">
        <v>106.70509623879516</v>
      </c>
      <c r="F22" s="66">
        <v>106.76461857204687</v>
      </c>
      <c r="G22" s="66">
        <v>106.76461857204687</v>
      </c>
      <c r="H22" s="66">
        <v>106.77752718673356</v>
      </c>
      <c r="I22" s="66">
        <v>106.78182365479509</v>
      </c>
      <c r="J22" s="66">
        <v>107.1521863613446</v>
      </c>
      <c r="K22" s="66">
        <v>107.09341333821888</v>
      </c>
      <c r="L22" s="66">
        <v>107.09341333821888</v>
      </c>
      <c r="M22" s="66">
        <v>107.09341333821888</v>
      </c>
      <c r="N22" s="66">
        <f t="shared" si="0"/>
        <v>106.69513534717176</v>
      </c>
      <c r="R22" s="45" t="s">
        <v>18</v>
      </c>
      <c r="S22" s="29"/>
      <c r="T22" s="29"/>
      <c r="U22" s="29"/>
      <c r="V22" s="29"/>
      <c r="W22" s="29"/>
      <c r="X22" s="29"/>
      <c r="Y22" s="29"/>
      <c r="Z22" s="29"/>
      <c r="AF22" s="1"/>
      <c r="AG22" s="1"/>
      <c r="AH22" s="1"/>
    </row>
    <row r="23" spans="1:40" ht="19.5" customHeight="1" x14ac:dyDescent="0.2">
      <c r="A23" s="4" t="s">
        <v>68</v>
      </c>
      <c r="B23" s="66">
        <v>102.84271019348523</v>
      </c>
      <c r="C23" s="66">
        <v>102.84271019348523</v>
      </c>
      <c r="D23" s="66">
        <v>102.84271019348523</v>
      </c>
      <c r="E23" s="66">
        <v>103.94984455675434</v>
      </c>
      <c r="F23" s="66">
        <v>103.94984455675434</v>
      </c>
      <c r="G23" s="66">
        <v>104.65456154072498</v>
      </c>
      <c r="H23" s="66">
        <v>104.65456154072498</v>
      </c>
      <c r="I23" s="66">
        <v>104.1150471414086</v>
      </c>
      <c r="J23" s="66">
        <v>104.65456154072501</v>
      </c>
      <c r="K23" s="66">
        <v>104.65456154072501</v>
      </c>
      <c r="L23" s="66">
        <v>108.02079541021179</v>
      </c>
      <c r="M23" s="66">
        <v>108.02079541021179</v>
      </c>
      <c r="N23" s="66">
        <f t="shared" si="0"/>
        <v>104.60022531822472</v>
      </c>
      <c r="R23" s="42" t="s">
        <v>70</v>
      </c>
      <c r="S23" s="29"/>
      <c r="T23" s="29"/>
      <c r="U23" s="29"/>
      <c r="V23" s="29"/>
      <c r="W23" s="29"/>
      <c r="X23" s="29"/>
      <c r="Y23" s="29"/>
      <c r="Z23" s="29"/>
      <c r="AF23" s="1"/>
      <c r="AG23" s="1"/>
      <c r="AH23" s="1"/>
    </row>
    <row r="24" spans="1:40" s="1" customFormat="1" ht="25.5" customHeight="1" x14ac:dyDescent="0.2">
      <c r="A24" s="3" t="s">
        <v>69</v>
      </c>
      <c r="B24" s="66">
        <v>102.55725748894756</v>
      </c>
      <c r="C24" s="66">
        <v>102.11818267082117</v>
      </c>
      <c r="D24" s="66">
        <v>102.65383846186322</v>
      </c>
      <c r="E24" s="66">
        <v>103.34874457822883</v>
      </c>
      <c r="F24" s="66">
        <v>103.3197080823668</v>
      </c>
      <c r="G24" s="66">
        <v>103.58131552604969</v>
      </c>
      <c r="H24" s="66">
        <v>103.67754274004295</v>
      </c>
      <c r="I24" s="66">
        <v>103.80072195188731</v>
      </c>
      <c r="J24" s="66">
        <v>104.17166651082781</v>
      </c>
      <c r="K24" s="66">
        <v>104.25463187459761</v>
      </c>
      <c r="L24" s="66">
        <v>104.45173264980019</v>
      </c>
      <c r="M24" s="66">
        <v>104.53066305843167</v>
      </c>
      <c r="N24" s="66">
        <f>AVERAGE(B24:M24)</f>
        <v>103.53883379948876</v>
      </c>
      <c r="O24" s="9"/>
      <c r="P24" s="9"/>
      <c r="Q24" s="9"/>
      <c r="R24" s="45" t="s">
        <v>19</v>
      </c>
      <c r="S24" s="29"/>
      <c r="T24" s="29"/>
      <c r="U24" s="29"/>
      <c r="V24" s="29"/>
      <c r="W24" s="29"/>
      <c r="X24" s="29"/>
      <c r="Y24" s="29"/>
      <c r="Z24" s="29"/>
      <c r="AB24" s="9"/>
      <c r="AC24" s="9"/>
      <c r="AD24" s="9"/>
      <c r="AE24" s="9"/>
    </row>
    <row r="25" spans="1:40" s="11" customFormat="1" ht="19.5" customHeight="1" x14ac:dyDescent="0.2">
      <c r="A25" s="6" t="s">
        <v>20</v>
      </c>
      <c r="B25" s="68">
        <v>101.45083290683624</v>
      </c>
      <c r="C25" s="68">
        <v>101.6780132053055</v>
      </c>
      <c r="D25" s="68">
        <v>102.06833656996474</v>
      </c>
      <c r="E25" s="68">
        <v>102.28151796320527</v>
      </c>
      <c r="F25" s="68">
        <v>101.87534331898557</v>
      </c>
      <c r="G25" s="68">
        <v>101.98111143964394</v>
      </c>
      <c r="H25" s="68">
        <v>102.0419939675199</v>
      </c>
      <c r="I25" s="68">
        <v>102.2462468357688</v>
      </c>
      <c r="J25" s="68">
        <v>102.70426648863089</v>
      </c>
      <c r="K25" s="68">
        <v>102.62523419341326</v>
      </c>
      <c r="L25" s="68">
        <v>102.12884294395305</v>
      </c>
      <c r="M25" s="68">
        <v>102.52380309864995</v>
      </c>
      <c r="N25" s="68">
        <f t="shared" si="0"/>
        <v>102.1337952443231</v>
      </c>
      <c r="R25" s="46" t="s">
        <v>21</v>
      </c>
      <c r="S25" s="29"/>
      <c r="T25" s="33"/>
      <c r="U25" s="33"/>
      <c r="V25" s="33"/>
      <c r="W25" s="33"/>
      <c r="X25" s="33"/>
      <c r="Y25" s="33"/>
      <c r="Z25" s="33"/>
      <c r="AA25" s="67"/>
      <c r="AB25" s="54"/>
      <c r="AC25" s="54"/>
      <c r="AD25" s="54"/>
      <c r="AE25" s="54"/>
    </row>
    <row r="26" spans="1:40" s="11" customFormat="1" ht="19.5" customHeight="1" x14ac:dyDescent="0.2">
      <c r="A26" s="7" t="s">
        <v>22</v>
      </c>
      <c r="B26" s="69">
        <v>101.45416524175526</v>
      </c>
      <c r="C26" s="69">
        <v>101.70086476706157</v>
      </c>
      <c r="D26" s="69">
        <v>102.04886021100479</v>
      </c>
      <c r="E26" s="69">
        <v>102.33682961497399</v>
      </c>
      <c r="F26" s="69">
        <v>101.86815542022681</v>
      </c>
      <c r="G26" s="69">
        <v>101.85970334612477</v>
      </c>
      <c r="H26" s="69">
        <v>101.90704868206718</v>
      </c>
      <c r="I26" s="69">
        <v>102.10465577027762</v>
      </c>
      <c r="J26" s="69">
        <v>102.46486845301983</v>
      </c>
      <c r="K26" s="69">
        <v>102.3927359958645</v>
      </c>
      <c r="L26" s="69">
        <v>101.8821859992369</v>
      </c>
      <c r="M26" s="69">
        <v>102.21949092839765</v>
      </c>
      <c r="N26" s="69">
        <f t="shared" si="0"/>
        <v>102.0199637025009</v>
      </c>
      <c r="O26" s="30"/>
      <c r="P26" s="30"/>
      <c r="Q26" s="30"/>
      <c r="R26" s="47" t="s">
        <v>23</v>
      </c>
      <c r="S26" s="29"/>
      <c r="T26" s="33"/>
      <c r="U26" s="33"/>
      <c r="V26" s="33"/>
      <c r="W26" s="33"/>
      <c r="X26" s="33"/>
      <c r="Y26" s="33"/>
      <c r="Z26" s="33"/>
      <c r="AA26" s="67"/>
      <c r="AB26" s="54"/>
      <c r="AC26" s="54"/>
      <c r="AD26" s="54"/>
      <c r="AE26" s="54"/>
    </row>
    <row r="27" spans="1:40" x14ac:dyDescent="0.3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spans="1:40" ht="15" x14ac:dyDescent="0.35">
      <c r="A28" s="31"/>
      <c r="B28" s="63"/>
      <c r="C28" s="63"/>
      <c r="D28" s="63"/>
      <c r="E28" s="63"/>
      <c r="F28" s="64"/>
      <c r="G28" s="63"/>
      <c r="H28" s="63"/>
      <c r="I28" s="39"/>
      <c r="J28" s="39"/>
      <c r="K28" s="39"/>
      <c r="L28" s="39"/>
      <c r="M28" s="32"/>
      <c r="N28" s="39"/>
    </row>
    <row r="29" spans="1:40" ht="15" x14ac:dyDescent="0.2">
      <c r="A29" s="22"/>
      <c r="B29" s="23" t="s">
        <v>76</v>
      </c>
      <c r="C29" s="24"/>
      <c r="D29" s="24"/>
      <c r="E29" s="23"/>
      <c r="F29" s="11"/>
      <c r="G29" s="25"/>
      <c r="H29" s="26"/>
      <c r="I29" s="26"/>
      <c r="J29" s="26"/>
      <c r="K29" s="26"/>
      <c r="L29" s="26"/>
      <c r="M29" s="25"/>
      <c r="N29" s="48" t="s">
        <v>77</v>
      </c>
      <c r="O29" s="10"/>
      <c r="P29" s="10"/>
      <c r="Q29" s="10"/>
      <c r="R29" s="51" t="s">
        <v>50</v>
      </c>
    </row>
    <row r="30" spans="1:40" x14ac:dyDescent="0.35">
      <c r="A30" s="27" t="s">
        <v>51</v>
      </c>
      <c r="B30" s="52" t="s">
        <v>25</v>
      </c>
      <c r="C30" s="52" t="s">
        <v>26</v>
      </c>
      <c r="D30" s="52" t="s">
        <v>27</v>
      </c>
      <c r="E30" s="52" t="s">
        <v>28</v>
      </c>
      <c r="F30" s="52" t="s">
        <v>29</v>
      </c>
      <c r="G30" s="53" t="s">
        <v>30</v>
      </c>
      <c r="H30" s="53" t="s">
        <v>31</v>
      </c>
      <c r="I30" s="53" t="s">
        <v>32</v>
      </c>
      <c r="J30" s="53" t="s">
        <v>33</v>
      </c>
      <c r="K30" s="53" t="s">
        <v>34</v>
      </c>
      <c r="L30" s="53" t="s">
        <v>35</v>
      </c>
      <c r="M30" s="53" t="s">
        <v>36</v>
      </c>
      <c r="N30" s="65" t="s">
        <v>37</v>
      </c>
      <c r="R30" s="60" t="s">
        <v>55</v>
      </c>
    </row>
    <row r="31" spans="1:40" ht="18" customHeight="1" x14ac:dyDescent="0.35">
      <c r="A31" s="28" t="s">
        <v>1</v>
      </c>
      <c r="B31" s="56" t="s">
        <v>38</v>
      </c>
      <c r="C31" s="57" t="s">
        <v>39</v>
      </c>
      <c r="D31" s="57" t="s">
        <v>40</v>
      </c>
      <c r="E31" s="57" t="s">
        <v>41</v>
      </c>
      <c r="F31" s="57" t="s">
        <v>42</v>
      </c>
      <c r="G31" s="57" t="s">
        <v>43</v>
      </c>
      <c r="H31" s="57" t="s">
        <v>44</v>
      </c>
      <c r="I31" s="57" t="s">
        <v>45</v>
      </c>
      <c r="J31" s="57" t="s">
        <v>46</v>
      </c>
      <c r="K31" s="57" t="s">
        <v>47</v>
      </c>
      <c r="L31" s="57" t="s">
        <v>48</v>
      </c>
      <c r="M31" s="57" t="s">
        <v>49</v>
      </c>
      <c r="N31" s="58" t="s">
        <v>53</v>
      </c>
      <c r="O31" s="21"/>
      <c r="P31" s="21"/>
      <c r="Q31" s="21"/>
      <c r="R31" s="62"/>
    </row>
    <row r="32" spans="1:40" ht="19.5" customHeight="1" x14ac:dyDescent="0.2">
      <c r="A32" s="3" t="s">
        <v>2</v>
      </c>
      <c r="B32" s="33">
        <v>101.65690176182416</v>
      </c>
      <c r="C32" s="70">
        <v>101.9874506369494</v>
      </c>
      <c r="D32" s="70">
        <v>102.65852511283059</v>
      </c>
      <c r="E32" s="33">
        <v>102.96282803073373</v>
      </c>
      <c r="F32" s="33">
        <v>101.75887402431842</v>
      </c>
      <c r="G32" s="33">
        <v>102.23264937102083</v>
      </c>
      <c r="H32" s="33">
        <v>102.86947158710859</v>
      </c>
      <c r="I32" s="33">
        <v>104.67457436606649</v>
      </c>
      <c r="J32" s="33">
        <v>106.45893942766936</v>
      </c>
      <c r="K32" s="33">
        <v>106.95021321129011</v>
      </c>
      <c r="L32" s="33">
        <v>105.31141915361536</v>
      </c>
      <c r="M32" s="33">
        <v>107.66008050935355</v>
      </c>
      <c r="N32" s="66">
        <f>AVERAGE(B32:M32)</f>
        <v>103.93182726606504</v>
      </c>
      <c r="R32" s="44" t="s">
        <v>3</v>
      </c>
      <c r="S32" s="29"/>
      <c r="T32" s="29"/>
      <c r="U32" s="33"/>
      <c r="V32" s="29"/>
      <c r="W32" s="29"/>
      <c r="X32" s="29"/>
      <c r="Y32" s="29"/>
      <c r="Z32" s="29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9.5" customHeight="1" x14ac:dyDescent="0.2">
      <c r="A33" s="3" t="s">
        <v>4</v>
      </c>
      <c r="B33" s="66">
        <v>101.10065761622414</v>
      </c>
      <c r="C33" s="66">
        <v>101.30260296958357</v>
      </c>
      <c r="D33" s="66">
        <v>101.71641955211466</v>
      </c>
      <c r="E33" s="66">
        <v>102.03202379376494</v>
      </c>
      <c r="F33" s="66">
        <v>100.75515252800824</v>
      </c>
      <c r="G33" s="66">
        <v>101.0876034215957</v>
      </c>
      <c r="H33" s="66">
        <v>101.84085874378911</v>
      </c>
      <c r="I33" s="66">
        <v>103.75963149429192</v>
      </c>
      <c r="J33" s="66">
        <v>105.79347921286534</v>
      </c>
      <c r="K33" s="66">
        <v>106.31210536013997</v>
      </c>
      <c r="L33" s="66">
        <v>104.79978471856901</v>
      </c>
      <c r="M33" s="66">
        <v>106.62972317007545</v>
      </c>
      <c r="N33" s="66">
        <f t="shared" ref="N33:N49" si="1">AVERAGE(B33:M33)</f>
        <v>103.09417021508519</v>
      </c>
      <c r="R33" s="44" t="s">
        <v>5</v>
      </c>
      <c r="S33" s="29"/>
      <c r="T33" s="29"/>
      <c r="U33" s="33"/>
      <c r="V33" s="29"/>
      <c r="W33" s="29"/>
      <c r="X33" s="29"/>
      <c r="Y33" s="29"/>
      <c r="Z33" s="29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9.5" customHeight="1" x14ac:dyDescent="0.2">
      <c r="A34" s="4" t="s">
        <v>6</v>
      </c>
      <c r="B34" s="66">
        <v>104.36996022015434</v>
      </c>
      <c r="C34" s="66">
        <v>105.32776760264136</v>
      </c>
      <c r="D34" s="66">
        <v>107.25360711119136</v>
      </c>
      <c r="E34" s="66">
        <v>107.50278827684772</v>
      </c>
      <c r="F34" s="66">
        <v>106.65448527148885</v>
      </c>
      <c r="G34" s="66">
        <v>107.81756495680814</v>
      </c>
      <c r="H34" s="66">
        <v>107.88648937864799</v>
      </c>
      <c r="I34" s="66">
        <v>109.13717144109589</v>
      </c>
      <c r="J34" s="66">
        <v>109.7046948728952</v>
      </c>
      <c r="K34" s="66">
        <v>110.06255860239925</v>
      </c>
      <c r="L34" s="66">
        <v>107.80689554209592</v>
      </c>
      <c r="M34" s="66">
        <v>112.68560700979975</v>
      </c>
      <c r="N34" s="66">
        <f t="shared" si="1"/>
        <v>108.01746585717213</v>
      </c>
      <c r="R34" s="44" t="s">
        <v>7</v>
      </c>
      <c r="S34" s="29"/>
      <c r="T34" s="29"/>
      <c r="U34" s="33"/>
      <c r="V34" s="29"/>
      <c r="W34" s="29"/>
      <c r="X34" s="29"/>
      <c r="Y34" s="29"/>
      <c r="Z34" s="29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9.5" customHeight="1" x14ac:dyDescent="0.2">
      <c r="A35" s="4" t="s">
        <v>8</v>
      </c>
      <c r="B35" s="66">
        <v>104.11512018394083</v>
      </c>
      <c r="C35" s="66">
        <v>103.94304667396115</v>
      </c>
      <c r="D35" s="66">
        <v>104.61754992971571</v>
      </c>
      <c r="E35" s="66">
        <v>104.47583496751828</v>
      </c>
      <c r="F35" s="66">
        <v>104.32869239562626</v>
      </c>
      <c r="G35" s="66">
        <v>104.8234471248734</v>
      </c>
      <c r="H35" s="66">
        <v>104.96556130523709</v>
      </c>
      <c r="I35" s="66">
        <v>105.17158508142323</v>
      </c>
      <c r="J35" s="66">
        <v>105.39736977480962</v>
      </c>
      <c r="K35" s="66">
        <v>105.49638998173663</v>
      </c>
      <c r="L35" s="66">
        <v>103.95019381026233</v>
      </c>
      <c r="M35" s="66">
        <v>103.57537251234605</v>
      </c>
      <c r="N35" s="66">
        <f t="shared" si="1"/>
        <v>104.57168031178755</v>
      </c>
      <c r="R35" s="44" t="s">
        <v>24</v>
      </c>
      <c r="S35" s="29"/>
      <c r="T35" s="29"/>
      <c r="U35" s="33"/>
      <c r="V35" s="29"/>
      <c r="W35" s="29"/>
      <c r="X35" s="29"/>
      <c r="Y35" s="29"/>
      <c r="Z35" s="2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9.5" customHeight="1" x14ac:dyDescent="0.2">
      <c r="A36" s="4" t="s">
        <v>59</v>
      </c>
      <c r="B36" s="66">
        <v>100.75163795470844</v>
      </c>
      <c r="C36" s="66">
        <v>101.36394710430456</v>
      </c>
      <c r="D36" s="66">
        <v>101.37611348962649</v>
      </c>
      <c r="E36" s="66">
        <v>100.99686232867776</v>
      </c>
      <c r="F36" s="66">
        <v>100.97963162346674</v>
      </c>
      <c r="G36" s="66">
        <v>101.29879975975103</v>
      </c>
      <c r="H36" s="66">
        <v>101.28100041366743</v>
      </c>
      <c r="I36" s="66">
        <v>101.30563635011256</v>
      </c>
      <c r="J36" s="66">
        <v>101.33375291696501</v>
      </c>
      <c r="K36" s="66">
        <v>101.33474970207557</v>
      </c>
      <c r="L36" s="66">
        <v>101.33851922335927</v>
      </c>
      <c r="M36" s="66">
        <v>101.3501959793455</v>
      </c>
      <c r="N36" s="66">
        <f t="shared" si="1"/>
        <v>101.22590390383836</v>
      </c>
      <c r="R36" s="44" t="s">
        <v>9</v>
      </c>
      <c r="S36" s="29"/>
      <c r="T36" s="29"/>
      <c r="U36" s="33"/>
      <c r="V36" s="29"/>
      <c r="W36" s="29"/>
      <c r="X36" s="29"/>
      <c r="Y36" s="29"/>
      <c r="Z36" s="29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9.5" customHeight="1" x14ac:dyDescent="0.2">
      <c r="A37" s="4" t="s">
        <v>60</v>
      </c>
      <c r="B37" s="66">
        <v>100.2325255801384</v>
      </c>
      <c r="C37" s="66">
        <v>100.38027101492825</v>
      </c>
      <c r="D37" s="66">
        <v>100.88405029807427</v>
      </c>
      <c r="E37" s="66">
        <v>101.6580948660543</v>
      </c>
      <c r="F37" s="66">
        <v>101.42808748206643</v>
      </c>
      <c r="G37" s="66">
        <v>101.39415790812163</v>
      </c>
      <c r="H37" s="66">
        <v>100.80735008891649</v>
      </c>
      <c r="I37" s="66">
        <v>101.16716506166783</v>
      </c>
      <c r="J37" s="66">
        <v>100.98906882965851</v>
      </c>
      <c r="K37" s="66">
        <v>100.69216212396738</v>
      </c>
      <c r="L37" s="66">
        <v>100.75843391255631</v>
      </c>
      <c r="M37" s="66">
        <v>100.98695153372705</v>
      </c>
      <c r="N37" s="66">
        <f t="shared" si="1"/>
        <v>100.94819322498972</v>
      </c>
      <c r="R37" s="44" t="s">
        <v>10</v>
      </c>
      <c r="S37" s="29"/>
      <c r="T37" s="29"/>
      <c r="U37" s="33"/>
      <c r="V37" s="29"/>
      <c r="W37" s="29"/>
      <c r="X37" s="29"/>
      <c r="Y37" s="29"/>
      <c r="Z37" s="29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9.5" customHeight="1" x14ac:dyDescent="0.2">
      <c r="A38" s="4" t="s">
        <v>61</v>
      </c>
      <c r="B38" s="66">
        <v>99.992138667940239</v>
      </c>
      <c r="C38" s="66">
        <v>99.992138667940239</v>
      </c>
      <c r="D38" s="66">
        <v>99.992138667940239</v>
      </c>
      <c r="E38" s="66">
        <v>99.992138667940239</v>
      </c>
      <c r="F38" s="66">
        <v>99.992138667940239</v>
      </c>
      <c r="G38" s="66">
        <v>99.992138667940239</v>
      </c>
      <c r="H38" s="66">
        <v>99.992138667940239</v>
      </c>
      <c r="I38" s="66">
        <v>99.992138667940239</v>
      </c>
      <c r="J38" s="66">
        <v>99.992138667940239</v>
      </c>
      <c r="K38" s="66">
        <v>99.992138667940239</v>
      </c>
      <c r="L38" s="66">
        <v>99.992150572363443</v>
      </c>
      <c r="M38" s="66">
        <v>99.992150572363443</v>
      </c>
      <c r="N38" s="66">
        <f t="shared" si="1"/>
        <v>99.992140652010775</v>
      </c>
      <c r="R38" s="50" t="s">
        <v>54</v>
      </c>
      <c r="S38" s="29"/>
      <c r="T38" s="29"/>
      <c r="U38" s="33"/>
      <c r="V38" s="29"/>
      <c r="W38" s="29"/>
      <c r="X38" s="29"/>
      <c r="Y38" s="29"/>
      <c r="Z38" s="29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25.5" x14ac:dyDescent="0.2">
      <c r="A39" s="3" t="s">
        <v>62</v>
      </c>
      <c r="B39" s="66">
        <v>101.19981533917228</v>
      </c>
      <c r="C39" s="66">
        <v>98.403295483036956</v>
      </c>
      <c r="D39" s="66">
        <v>98.245872689270556</v>
      </c>
      <c r="E39" s="66">
        <v>101.53264710099046</v>
      </c>
      <c r="F39" s="66">
        <v>101.16582962551725</v>
      </c>
      <c r="G39" s="66">
        <v>99.778244476213914</v>
      </c>
      <c r="H39" s="66">
        <v>99.556345843686884</v>
      </c>
      <c r="I39" s="66">
        <v>100.8916947959336</v>
      </c>
      <c r="J39" s="66">
        <v>100.39608633729384</v>
      </c>
      <c r="K39" s="66">
        <v>100.52343000040912</v>
      </c>
      <c r="L39" s="66">
        <v>100.78949764195276</v>
      </c>
      <c r="M39" s="66">
        <v>100.72973981016581</v>
      </c>
      <c r="N39" s="66">
        <f t="shared" si="1"/>
        <v>100.26770826197027</v>
      </c>
      <c r="R39" s="44" t="s">
        <v>11</v>
      </c>
      <c r="S39" s="29"/>
      <c r="T39" s="29"/>
      <c r="U39" s="33"/>
      <c r="V39" s="29"/>
      <c r="W39" s="29"/>
      <c r="X39" s="29"/>
      <c r="Y39" s="29"/>
      <c r="Z39" s="29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9.5" customHeight="1" x14ac:dyDescent="0.2">
      <c r="A40" s="5" t="s">
        <v>12</v>
      </c>
      <c r="B40" s="66">
        <v>104.65565435350058</v>
      </c>
      <c r="C40" s="66">
        <v>104.65565435350058</v>
      </c>
      <c r="D40" s="66">
        <v>104.65565435350058</v>
      </c>
      <c r="E40" s="66">
        <v>104.65565435350058</v>
      </c>
      <c r="F40" s="66">
        <v>104.65565435350058</v>
      </c>
      <c r="G40" s="66">
        <v>105.04374599219506</v>
      </c>
      <c r="H40" s="66">
        <v>105.04374599219506</v>
      </c>
      <c r="I40" s="66">
        <v>105.94782768251699</v>
      </c>
      <c r="J40" s="66">
        <v>106.13181367488576</v>
      </c>
      <c r="K40" s="66">
        <v>106.13181367488576</v>
      </c>
      <c r="L40" s="66">
        <v>106.13181367488576</v>
      </c>
      <c r="M40" s="66">
        <v>106.13181367488576</v>
      </c>
      <c r="N40" s="66">
        <f t="shared" si="1"/>
        <v>105.32007051116274</v>
      </c>
      <c r="R40" s="44" t="s">
        <v>13</v>
      </c>
      <c r="S40" s="29"/>
      <c r="T40" s="29"/>
      <c r="U40" s="33"/>
      <c r="V40" s="29"/>
      <c r="W40" s="29"/>
      <c r="X40" s="29"/>
      <c r="Y40" s="29"/>
      <c r="Z40" s="29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9.5" customHeight="1" x14ac:dyDescent="0.2">
      <c r="A41" s="5" t="s">
        <v>63</v>
      </c>
      <c r="B41" s="66">
        <v>103.02620146162663</v>
      </c>
      <c r="C41" s="66">
        <v>101.53518838049334</v>
      </c>
      <c r="D41" s="66">
        <v>102.18884256163425</v>
      </c>
      <c r="E41" s="66">
        <v>103.15579709434346</v>
      </c>
      <c r="F41" s="66">
        <v>103.15803807437467</v>
      </c>
      <c r="G41" s="66">
        <v>103.43939926401825</v>
      </c>
      <c r="H41" s="66">
        <v>102.21700195714453</v>
      </c>
      <c r="I41" s="66">
        <v>102.10590246026494</v>
      </c>
      <c r="J41" s="66">
        <v>102.88312324653052</v>
      </c>
      <c r="K41" s="66">
        <v>101.96543673259613</v>
      </c>
      <c r="L41" s="66">
        <v>101.95734321965325</v>
      </c>
      <c r="M41" s="66">
        <v>102.1913899154156</v>
      </c>
      <c r="N41" s="66">
        <f t="shared" si="1"/>
        <v>102.48530536400796</v>
      </c>
      <c r="R41" s="44" t="s">
        <v>14</v>
      </c>
      <c r="S41" s="29"/>
      <c r="T41" s="29"/>
      <c r="U41" s="33"/>
      <c r="V41" s="29"/>
      <c r="W41" s="29"/>
      <c r="X41" s="29"/>
      <c r="Y41" s="29"/>
      <c r="Z41" s="29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9.5" customHeight="1" x14ac:dyDescent="0.2">
      <c r="A42" s="5" t="s">
        <v>64</v>
      </c>
      <c r="B42" s="66">
        <v>97.88262190082753</v>
      </c>
      <c r="C42" s="66">
        <v>98.852132218061143</v>
      </c>
      <c r="D42" s="66">
        <v>98.118113600625136</v>
      </c>
      <c r="E42" s="66">
        <v>95.651863674485668</v>
      </c>
      <c r="F42" s="66">
        <v>94.454201740035387</v>
      </c>
      <c r="G42" s="66">
        <v>93.895349850033639</v>
      </c>
      <c r="H42" s="66">
        <v>93.33274887028503</v>
      </c>
      <c r="I42" s="66">
        <v>91.584399379187403</v>
      </c>
      <c r="J42" s="66">
        <v>90.563002240018946</v>
      </c>
      <c r="K42" s="66">
        <v>90.563002240018946</v>
      </c>
      <c r="L42" s="66">
        <v>87.169366153387202</v>
      </c>
      <c r="M42" s="66">
        <v>87.086347766909114</v>
      </c>
      <c r="N42" s="66">
        <f t="shared" si="1"/>
        <v>93.262762469489587</v>
      </c>
      <c r="R42" s="44" t="s">
        <v>15</v>
      </c>
      <c r="S42" s="29"/>
      <c r="T42" s="29"/>
      <c r="U42" s="33"/>
      <c r="V42" s="29"/>
      <c r="W42" s="29"/>
      <c r="X42" s="29"/>
      <c r="Y42" s="29"/>
      <c r="Z42" s="29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9.5" customHeight="1" x14ac:dyDescent="0.2">
      <c r="A43" s="3" t="s">
        <v>65</v>
      </c>
      <c r="B43" s="66">
        <v>103.57770860910355</v>
      </c>
      <c r="C43" s="66">
        <v>103.57770860910355</v>
      </c>
      <c r="D43" s="66">
        <v>103.57770860910355</v>
      </c>
      <c r="E43" s="66">
        <v>103.50174762383934</v>
      </c>
      <c r="F43" s="66">
        <v>103.50174762383934</v>
      </c>
      <c r="G43" s="66">
        <v>103.10668447954902</v>
      </c>
      <c r="H43" s="66">
        <v>103.10668447954902</v>
      </c>
      <c r="I43" s="66">
        <v>103.7017244303112</v>
      </c>
      <c r="J43" s="66">
        <v>103.94242228229946</v>
      </c>
      <c r="K43" s="66">
        <v>103.95775237528301</v>
      </c>
      <c r="L43" s="66">
        <v>103.95775237528301</v>
      </c>
      <c r="M43" s="66">
        <v>103.95775237528301</v>
      </c>
      <c r="N43" s="66">
        <f t="shared" si="1"/>
        <v>103.62228282271225</v>
      </c>
      <c r="R43" s="45" t="s">
        <v>16</v>
      </c>
      <c r="S43" s="29"/>
      <c r="T43" s="29"/>
      <c r="U43" s="33"/>
      <c r="V43" s="29"/>
      <c r="W43" s="29"/>
      <c r="X43" s="29"/>
      <c r="Y43" s="29"/>
      <c r="Z43" s="29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9.5" customHeight="1" x14ac:dyDescent="0.2">
      <c r="A44" s="4" t="s">
        <v>66</v>
      </c>
      <c r="B44" s="66">
        <v>104.0537477226346</v>
      </c>
      <c r="C44" s="66">
        <v>104.0537477226346</v>
      </c>
      <c r="D44" s="66">
        <v>104.0537477226346</v>
      </c>
      <c r="E44" s="66">
        <v>104.0537477226346</v>
      </c>
      <c r="F44" s="66">
        <v>104.0537477226346</v>
      </c>
      <c r="G44" s="66">
        <v>104.0537477226346</v>
      </c>
      <c r="H44" s="66">
        <v>104.0537477226346</v>
      </c>
      <c r="I44" s="66">
        <v>107.41077935345608</v>
      </c>
      <c r="J44" s="66">
        <v>107.41077935345608</v>
      </c>
      <c r="K44" s="66">
        <v>107.41077935345608</v>
      </c>
      <c r="L44" s="66">
        <v>107.41077935345608</v>
      </c>
      <c r="M44" s="66">
        <v>107.41077935345608</v>
      </c>
      <c r="N44" s="66">
        <f t="shared" si="1"/>
        <v>105.45251090214356</v>
      </c>
      <c r="R44" s="45" t="s">
        <v>17</v>
      </c>
      <c r="S44" s="29"/>
      <c r="T44" s="29"/>
      <c r="U44" s="33"/>
      <c r="V44" s="29"/>
      <c r="W44" s="29"/>
      <c r="X44" s="29"/>
      <c r="Y44" s="29"/>
      <c r="Z44" s="29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9.5" customHeight="1" x14ac:dyDescent="0.2">
      <c r="A45" s="4" t="s">
        <v>67</v>
      </c>
      <c r="B45" s="66">
        <v>105.680772342813</v>
      </c>
      <c r="C45" s="66">
        <v>108.25907147160851</v>
      </c>
      <c r="D45" s="66">
        <v>108.25907147160851</v>
      </c>
      <c r="E45" s="66">
        <v>108.25907147160851</v>
      </c>
      <c r="F45" s="66">
        <v>108.35082392575892</v>
      </c>
      <c r="G45" s="66">
        <v>108.35082392575892</v>
      </c>
      <c r="H45" s="66">
        <v>108.35082392575892</v>
      </c>
      <c r="I45" s="66">
        <v>108.33820575866567</v>
      </c>
      <c r="J45" s="66">
        <v>108.8840440326391</v>
      </c>
      <c r="K45" s="66">
        <v>108.87295003564154</v>
      </c>
      <c r="L45" s="66">
        <v>108.87295003564154</v>
      </c>
      <c r="M45" s="66">
        <v>108.87295003564154</v>
      </c>
      <c r="N45" s="66">
        <f t="shared" si="1"/>
        <v>108.27929653609539</v>
      </c>
      <c r="R45" s="45" t="s">
        <v>18</v>
      </c>
      <c r="S45" s="29"/>
      <c r="T45" s="29"/>
      <c r="U45" s="33"/>
      <c r="V45" s="29"/>
      <c r="W45" s="29"/>
      <c r="X45" s="29"/>
      <c r="Y45" s="29"/>
      <c r="Z45" s="29"/>
      <c r="AB45" s="33"/>
      <c r="AC45" s="33"/>
      <c r="AD45" s="33"/>
      <c r="AE45" s="33"/>
      <c r="AF45" s="12"/>
      <c r="AG45" s="12"/>
      <c r="AH45" s="12"/>
      <c r="AI45" s="33"/>
      <c r="AJ45" s="33"/>
      <c r="AK45" s="33"/>
      <c r="AL45" s="33"/>
      <c r="AM45" s="33"/>
      <c r="AN45" s="33"/>
    </row>
    <row r="46" spans="1:40" ht="19.5" customHeight="1" x14ac:dyDescent="0.2">
      <c r="A46" s="4" t="s">
        <v>68</v>
      </c>
      <c r="B46" s="66">
        <v>102.98373713697787</v>
      </c>
      <c r="C46" s="66">
        <v>102.98373713697787</v>
      </c>
      <c r="D46" s="66">
        <v>102.98373713697787</v>
      </c>
      <c r="E46" s="66">
        <v>104.14579647136971</v>
      </c>
      <c r="F46" s="66">
        <v>104.14579647136971</v>
      </c>
      <c r="G46" s="66">
        <v>104.88547448742325</v>
      </c>
      <c r="H46" s="66">
        <v>104.88547448742325</v>
      </c>
      <c r="I46" s="66">
        <v>104.31919476152513</v>
      </c>
      <c r="J46" s="66">
        <v>104.88547448742327</v>
      </c>
      <c r="K46" s="66">
        <v>104.88547448742327</v>
      </c>
      <c r="L46" s="66">
        <v>108.41870732669004</v>
      </c>
      <c r="M46" s="66">
        <v>108.41870732669004</v>
      </c>
      <c r="N46" s="66">
        <f t="shared" si="1"/>
        <v>104.82844264318929</v>
      </c>
      <c r="R46" s="42" t="s">
        <v>70</v>
      </c>
      <c r="S46" s="29"/>
      <c r="T46" s="29"/>
      <c r="U46" s="33"/>
      <c r="V46" s="29"/>
      <c r="W46" s="29"/>
      <c r="X46" s="29"/>
      <c r="Y46" s="29"/>
      <c r="Z46" s="29"/>
      <c r="AB46" s="33"/>
      <c r="AC46" s="33"/>
      <c r="AD46" s="33"/>
      <c r="AE46" s="33"/>
      <c r="AF46" s="12"/>
      <c r="AG46" s="12"/>
      <c r="AH46" s="12"/>
      <c r="AI46" s="33"/>
      <c r="AJ46" s="33"/>
      <c r="AK46" s="33"/>
      <c r="AL46" s="33"/>
      <c r="AM46" s="33"/>
      <c r="AN46" s="33"/>
    </row>
    <row r="47" spans="1:40" s="1" customFormat="1" ht="25.5" customHeight="1" x14ac:dyDescent="0.2">
      <c r="A47" s="3" t="s">
        <v>69</v>
      </c>
      <c r="B47" s="66">
        <v>103.43542696949712</v>
      </c>
      <c r="C47" s="66">
        <v>102.36928272493408</v>
      </c>
      <c r="D47" s="66">
        <v>103.05925765580574</v>
      </c>
      <c r="E47" s="66">
        <v>104.20374294693562</v>
      </c>
      <c r="F47" s="66">
        <v>104.1765496836705</v>
      </c>
      <c r="G47" s="66">
        <v>104.46981058434804</v>
      </c>
      <c r="H47" s="66">
        <v>104.57503390492569</v>
      </c>
      <c r="I47" s="66">
        <v>104.94365592360123</v>
      </c>
      <c r="J47" s="66">
        <v>105.31319279190649</v>
      </c>
      <c r="K47" s="66">
        <v>105.55955598189648</v>
      </c>
      <c r="L47" s="66">
        <v>105.96210171534067</v>
      </c>
      <c r="M47" s="66">
        <v>106.20998354402664</v>
      </c>
      <c r="N47" s="66">
        <f t="shared" si="1"/>
        <v>104.52313286890735</v>
      </c>
      <c r="O47" s="9"/>
      <c r="P47" s="9"/>
      <c r="Q47" s="9"/>
      <c r="R47" s="45" t="s">
        <v>19</v>
      </c>
      <c r="S47" s="29"/>
      <c r="T47" s="29"/>
      <c r="U47" s="33"/>
      <c r="V47" s="29"/>
      <c r="W47" s="29"/>
      <c r="X47" s="29"/>
      <c r="Y47" s="29"/>
      <c r="Z47" s="29"/>
      <c r="AB47" s="33"/>
      <c r="AC47" s="33"/>
      <c r="AD47" s="33"/>
      <c r="AE47" s="33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9.5" customHeight="1" x14ac:dyDescent="0.2">
      <c r="A48" s="6" t="s">
        <v>20</v>
      </c>
      <c r="B48" s="68">
        <v>101.47030764894934</v>
      </c>
      <c r="C48" s="68">
        <v>101.60953168965433</v>
      </c>
      <c r="D48" s="68">
        <v>101.90844943918357</v>
      </c>
      <c r="E48" s="68">
        <v>102.23182328032195</v>
      </c>
      <c r="F48" s="68">
        <v>101.7997698438072</v>
      </c>
      <c r="G48" s="68">
        <v>101.82041510687338</v>
      </c>
      <c r="H48" s="68">
        <v>101.60726538228975</v>
      </c>
      <c r="I48" s="68">
        <v>102.17815748302128</v>
      </c>
      <c r="J48" s="68">
        <v>102.42943646636269</v>
      </c>
      <c r="K48" s="68">
        <v>102.38383219267487</v>
      </c>
      <c r="L48" s="68">
        <v>101.78885922268162</v>
      </c>
      <c r="M48" s="68">
        <v>102.30685585315744</v>
      </c>
      <c r="N48" s="68">
        <f t="shared" si="1"/>
        <v>101.96122530074813</v>
      </c>
      <c r="R48" s="46" t="s">
        <v>21</v>
      </c>
      <c r="S48" s="29"/>
      <c r="T48" s="29"/>
      <c r="U48" s="33"/>
      <c r="V48" s="33"/>
      <c r="W48" s="33"/>
      <c r="X48" s="33"/>
      <c r="Y48" s="33"/>
      <c r="Z48" s="33"/>
      <c r="AA48" s="33"/>
      <c r="AB48" s="12"/>
      <c r="AC48" s="12"/>
      <c r="AD48" s="12"/>
      <c r="AE48" s="12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9.5" customHeight="1" x14ac:dyDescent="0.2">
      <c r="A49" s="7" t="s">
        <v>22</v>
      </c>
      <c r="B49" s="69">
        <v>101.37711413160413</v>
      </c>
      <c r="C49" s="69">
        <v>101.49002927529902</v>
      </c>
      <c r="D49" s="69">
        <v>101.73665849803224</v>
      </c>
      <c r="E49" s="69">
        <v>102.06241685808095</v>
      </c>
      <c r="F49" s="69">
        <v>101.64374149375293</v>
      </c>
      <c r="G49" s="69">
        <v>101.62766943309443</v>
      </c>
      <c r="H49" s="69">
        <v>101.40545397349192</v>
      </c>
      <c r="I49" s="69">
        <v>101.95449793344361</v>
      </c>
      <c r="J49" s="69">
        <v>102.1956129637703</v>
      </c>
      <c r="K49" s="69">
        <v>102.13704141161365</v>
      </c>
      <c r="L49" s="69">
        <v>101.59544226725495</v>
      </c>
      <c r="M49" s="69">
        <v>101.97328750240278</v>
      </c>
      <c r="N49" s="69">
        <f t="shared" si="1"/>
        <v>101.76658047848673</v>
      </c>
      <c r="O49" s="21"/>
      <c r="P49" s="21"/>
      <c r="Q49" s="21"/>
      <c r="R49" s="47" t="s">
        <v>23</v>
      </c>
      <c r="S49" s="29"/>
      <c r="T49" s="29"/>
      <c r="U49" s="33"/>
      <c r="V49" s="33"/>
      <c r="W49" s="33"/>
      <c r="X49" s="33"/>
      <c r="Y49" s="33"/>
      <c r="Z49" s="33"/>
      <c r="AA49" s="33"/>
      <c r="AB49" s="12"/>
      <c r="AC49" s="12"/>
      <c r="AD49" s="12"/>
      <c r="AE49" s="12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x14ac:dyDescent="0.3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</row>
    <row r="51" spans="1:40" ht="15" x14ac:dyDescent="0.35">
      <c r="A51" s="31"/>
      <c r="B51" s="63"/>
      <c r="C51" s="63"/>
      <c r="D51" s="63"/>
      <c r="E51" s="63"/>
      <c r="F51" s="64"/>
      <c r="G51" s="63"/>
      <c r="H51" s="63"/>
      <c r="I51" s="39"/>
      <c r="J51" s="39"/>
      <c r="K51" s="39"/>
      <c r="L51" s="39"/>
      <c r="M51" s="32"/>
      <c r="N51" s="39"/>
    </row>
    <row r="52" spans="1:40" ht="15" x14ac:dyDescent="0.2">
      <c r="A52" s="34" t="s">
        <v>51</v>
      </c>
      <c r="B52" s="23" t="s">
        <v>76</v>
      </c>
      <c r="C52" s="24"/>
      <c r="D52" s="24"/>
      <c r="E52" s="23"/>
      <c r="F52" s="11"/>
      <c r="G52" s="25"/>
      <c r="H52" s="26"/>
      <c r="I52" s="26"/>
      <c r="J52" s="26"/>
      <c r="K52" s="26"/>
      <c r="L52" s="26"/>
      <c r="M52" s="25"/>
      <c r="N52" s="48" t="s">
        <v>77</v>
      </c>
      <c r="O52" s="10"/>
      <c r="P52" s="10"/>
      <c r="Q52" s="10"/>
      <c r="R52" s="51" t="s">
        <v>50</v>
      </c>
    </row>
    <row r="53" spans="1:40" x14ac:dyDescent="0.2">
      <c r="A53" s="27" t="s">
        <v>56</v>
      </c>
      <c r="B53" s="52" t="s">
        <v>25</v>
      </c>
      <c r="C53" s="52" t="s">
        <v>26</v>
      </c>
      <c r="D53" s="52" t="s">
        <v>27</v>
      </c>
      <c r="E53" s="52" t="s">
        <v>28</v>
      </c>
      <c r="F53" s="52" t="s">
        <v>29</v>
      </c>
      <c r="G53" s="53" t="s">
        <v>30</v>
      </c>
      <c r="H53" s="53" t="s">
        <v>31</v>
      </c>
      <c r="I53" s="53" t="s">
        <v>32</v>
      </c>
      <c r="J53" s="53" t="s">
        <v>33</v>
      </c>
      <c r="K53" s="53" t="s">
        <v>34</v>
      </c>
      <c r="L53" s="53" t="s">
        <v>35</v>
      </c>
      <c r="M53" s="53" t="s">
        <v>36</v>
      </c>
      <c r="N53" s="65" t="s">
        <v>37</v>
      </c>
      <c r="R53" s="46" t="s">
        <v>57</v>
      </c>
    </row>
    <row r="54" spans="1:40" x14ac:dyDescent="0.35">
      <c r="A54" s="35"/>
      <c r="B54" s="56" t="s">
        <v>38</v>
      </c>
      <c r="C54" s="57" t="s">
        <v>39</v>
      </c>
      <c r="D54" s="57" t="s">
        <v>40</v>
      </c>
      <c r="E54" s="57" t="s">
        <v>41</v>
      </c>
      <c r="F54" s="57" t="s">
        <v>42</v>
      </c>
      <c r="G54" s="57" t="s">
        <v>43</v>
      </c>
      <c r="H54" s="57" t="s">
        <v>44</v>
      </c>
      <c r="I54" s="57" t="s">
        <v>45</v>
      </c>
      <c r="J54" s="57" t="s">
        <v>46</v>
      </c>
      <c r="K54" s="57" t="s">
        <v>47</v>
      </c>
      <c r="L54" s="57" t="s">
        <v>48</v>
      </c>
      <c r="M54" s="57" t="s">
        <v>49</v>
      </c>
      <c r="N54" s="58" t="s">
        <v>53</v>
      </c>
      <c r="O54" s="21"/>
      <c r="P54" s="21"/>
      <c r="Q54" s="21"/>
      <c r="R54" s="62"/>
    </row>
    <row r="55" spans="1:40" ht="22.5" customHeight="1" x14ac:dyDescent="0.25">
      <c r="A55" s="3" t="s">
        <v>2</v>
      </c>
      <c r="B55" s="66">
        <v>101.94178141872855</v>
      </c>
      <c r="C55" s="66">
        <v>102.06259043637164</v>
      </c>
      <c r="D55" s="66">
        <v>103.40431924304431</v>
      </c>
      <c r="E55" s="66">
        <v>102.39678525951912</v>
      </c>
      <c r="F55" s="66">
        <v>102.28820009409385</v>
      </c>
      <c r="G55" s="66">
        <v>103.10155255225865</v>
      </c>
      <c r="H55" s="66">
        <v>103.78544619727798</v>
      </c>
      <c r="I55" s="66">
        <v>103.04272377736773</v>
      </c>
      <c r="J55" s="66">
        <v>105.22592229182375</v>
      </c>
      <c r="K55" s="66">
        <v>104.6833003769416</v>
      </c>
      <c r="L55" s="66">
        <v>105.22337169413022</v>
      </c>
      <c r="M55" s="66">
        <v>105.92977352711304</v>
      </c>
      <c r="N55" s="66">
        <f t="shared" ref="N55:N72" si="2">AVERAGE(B55:M55)</f>
        <v>103.59048057238921</v>
      </c>
      <c r="R55" s="44" t="s">
        <v>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22.5" customHeight="1" x14ac:dyDescent="0.25">
      <c r="A56" s="3" t="s">
        <v>4</v>
      </c>
      <c r="B56" s="66">
        <v>102.65514635316366</v>
      </c>
      <c r="C56" s="66">
        <v>103.07410743048865</v>
      </c>
      <c r="D56" s="66">
        <v>104.54930922964741</v>
      </c>
      <c r="E56" s="66">
        <v>103.9469091594724</v>
      </c>
      <c r="F56" s="66">
        <v>103.23038412341059</v>
      </c>
      <c r="G56" s="66">
        <v>103.32821406716353</v>
      </c>
      <c r="H56" s="66">
        <v>104.04813489334553</v>
      </c>
      <c r="I56" s="66">
        <v>103.18766591672068</v>
      </c>
      <c r="J56" s="66">
        <v>104.90472887775969</v>
      </c>
      <c r="K56" s="66">
        <v>104.38825930272432</v>
      </c>
      <c r="L56" s="66">
        <v>104.73439617687049</v>
      </c>
      <c r="M56" s="66">
        <v>105.81310074369785</v>
      </c>
      <c r="N56" s="66">
        <f t="shared" si="2"/>
        <v>103.98836302287204</v>
      </c>
      <c r="R56" s="44" t="s">
        <v>5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22.5" customHeight="1" x14ac:dyDescent="0.25">
      <c r="A57" s="4" t="s">
        <v>6</v>
      </c>
      <c r="B57" s="66">
        <v>99.251545069306161</v>
      </c>
      <c r="C57" s="66">
        <v>98.247965334582872</v>
      </c>
      <c r="D57" s="66">
        <v>99.08634181943647</v>
      </c>
      <c r="E57" s="66">
        <v>96.550969940512758</v>
      </c>
      <c r="F57" s="66">
        <v>98.735042935450736</v>
      </c>
      <c r="G57" s="66">
        <v>102.24676839203778</v>
      </c>
      <c r="H57" s="66">
        <v>102.79479660878526</v>
      </c>
      <c r="I57" s="66">
        <v>102.49611909717127</v>
      </c>
      <c r="J57" s="66">
        <v>106.43720442246916</v>
      </c>
      <c r="K57" s="66">
        <v>105.79595700487164</v>
      </c>
      <c r="L57" s="66">
        <v>107.06739240079916</v>
      </c>
      <c r="M57" s="66">
        <v>106.36976902980837</v>
      </c>
      <c r="N57" s="66">
        <f t="shared" si="2"/>
        <v>102.08998933793596</v>
      </c>
      <c r="R57" s="44" t="s">
        <v>7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22.5" customHeight="1" x14ac:dyDescent="0.25">
      <c r="A58" s="4" t="s">
        <v>8</v>
      </c>
      <c r="B58" s="66">
        <v>103.99207017290382</v>
      </c>
      <c r="C58" s="66">
        <v>104.31656048611157</v>
      </c>
      <c r="D58" s="66">
        <v>104.7075339024971</v>
      </c>
      <c r="E58" s="66">
        <v>104.74069827091438</v>
      </c>
      <c r="F58" s="66">
        <v>104.410249713334</v>
      </c>
      <c r="G58" s="66">
        <v>104.18006036617767</v>
      </c>
      <c r="H58" s="66">
        <v>103.86421777097704</v>
      </c>
      <c r="I58" s="66">
        <v>104.0693774638342</v>
      </c>
      <c r="J58" s="66">
        <v>103.16791298711659</v>
      </c>
      <c r="K58" s="66">
        <v>102.96538323220031</v>
      </c>
      <c r="L58" s="66">
        <v>102.0540844919412</v>
      </c>
      <c r="M58" s="66">
        <v>102.46711340956827</v>
      </c>
      <c r="N58" s="66">
        <f t="shared" si="2"/>
        <v>103.74460518896468</v>
      </c>
      <c r="R58" s="44" t="s">
        <v>24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22.5" customHeight="1" x14ac:dyDescent="0.25">
      <c r="A59" s="4" t="s">
        <v>59</v>
      </c>
      <c r="B59" s="66">
        <v>100.49132233197382</v>
      </c>
      <c r="C59" s="66">
        <v>100.43728828164781</v>
      </c>
      <c r="D59" s="66">
        <v>100.65610823387117</v>
      </c>
      <c r="E59" s="66">
        <v>100.64951734144468</v>
      </c>
      <c r="F59" s="66">
        <v>100.63490824484533</v>
      </c>
      <c r="G59" s="66">
        <v>100.51733042518978</v>
      </c>
      <c r="H59" s="66">
        <v>100.58808923573933</v>
      </c>
      <c r="I59" s="66">
        <v>100.91255470334542</v>
      </c>
      <c r="J59" s="66">
        <v>100.9950149071218</v>
      </c>
      <c r="K59" s="66">
        <v>101.27528831521805</v>
      </c>
      <c r="L59" s="66">
        <v>102.39959777335957</v>
      </c>
      <c r="M59" s="66">
        <v>102.61412378888213</v>
      </c>
      <c r="N59" s="66">
        <f t="shared" si="2"/>
        <v>101.01426196521992</v>
      </c>
      <c r="R59" s="44" t="s">
        <v>9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22.5" customHeight="1" x14ac:dyDescent="0.25">
      <c r="A60" s="4" t="s">
        <v>60</v>
      </c>
      <c r="B60" s="66">
        <v>100.69219639142393</v>
      </c>
      <c r="C60" s="66">
        <v>102.75098486355002</v>
      </c>
      <c r="D60" s="66">
        <v>103.73834809682273</v>
      </c>
      <c r="E60" s="66">
        <v>107.21194446567682</v>
      </c>
      <c r="F60" s="66">
        <v>104.13535524585335</v>
      </c>
      <c r="G60" s="66">
        <v>104.25897109954278</v>
      </c>
      <c r="H60" s="66">
        <v>103.1405159286756</v>
      </c>
      <c r="I60" s="66">
        <v>103.17676887234971</v>
      </c>
      <c r="J60" s="66">
        <v>104.55021414738539</v>
      </c>
      <c r="K60" s="66">
        <v>105.20279640918567</v>
      </c>
      <c r="L60" s="66">
        <v>104.19948254433241</v>
      </c>
      <c r="M60" s="66">
        <v>104.18144259304073</v>
      </c>
      <c r="N60" s="66">
        <f t="shared" si="2"/>
        <v>103.9365850548199</v>
      </c>
      <c r="R60" s="44" t="s">
        <v>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6" customHeight="1" x14ac:dyDescent="0.25">
      <c r="A61" s="4" t="s">
        <v>61</v>
      </c>
      <c r="B61" s="66">
        <v>99.992138667940239</v>
      </c>
      <c r="C61" s="66">
        <v>99.992138667940239</v>
      </c>
      <c r="D61" s="66">
        <v>99.992138667940239</v>
      </c>
      <c r="E61" s="66">
        <v>99.992138667940239</v>
      </c>
      <c r="F61" s="66">
        <v>99.992138667940239</v>
      </c>
      <c r="G61" s="66">
        <v>99.992138667940239</v>
      </c>
      <c r="H61" s="66">
        <v>99.992138667940239</v>
      </c>
      <c r="I61" s="66">
        <v>99.992138667940239</v>
      </c>
      <c r="J61" s="66">
        <v>99.992138667940239</v>
      </c>
      <c r="K61" s="66">
        <v>99.992138667940239</v>
      </c>
      <c r="L61" s="66">
        <v>99.992150572363443</v>
      </c>
      <c r="M61" s="66">
        <v>99.992150572363443</v>
      </c>
      <c r="N61" s="66">
        <f t="shared" si="2"/>
        <v>99.992140652010775</v>
      </c>
      <c r="R61" s="50" t="s">
        <v>58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30" customHeight="1" x14ac:dyDescent="0.25">
      <c r="A62" s="3" t="s">
        <v>62</v>
      </c>
      <c r="B62" s="66">
        <v>104.5402223359215</v>
      </c>
      <c r="C62" s="66">
        <v>104.25677965507425</v>
      </c>
      <c r="D62" s="66">
        <v>104.21200281365444</v>
      </c>
      <c r="E62" s="66">
        <v>104.25006818998162</v>
      </c>
      <c r="F62" s="66">
        <v>106.07126165709904</v>
      </c>
      <c r="G62" s="66">
        <v>107.30728518644</v>
      </c>
      <c r="H62" s="66">
        <v>107.33626819349863</v>
      </c>
      <c r="I62" s="66">
        <v>107.41895549163071</v>
      </c>
      <c r="J62" s="66">
        <v>107.47574343870571</v>
      </c>
      <c r="K62" s="66">
        <v>107.49013167798753</v>
      </c>
      <c r="L62" s="66">
        <v>106.59343439318683</v>
      </c>
      <c r="M62" s="66">
        <v>106.4928081582886</v>
      </c>
      <c r="N62" s="66">
        <f t="shared" si="2"/>
        <v>106.12041343262241</v>
      </c>
      <c r="R62" s="44" t="s">
        <v>11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22.5" customHeight="1" x14ac:dyDescent="0.25">
      <c r="A63" s="5" t="s">
        <v>12</v>
      </c>
      <c r="B63" s="66">
        <v>103.18152070732482</v>
      </c>
      <c r="C63" s="66">
        <v>103.18152070732482</v>
      </c>
      <c r="D63" s="66">
        <v>103.18152070732482</v>
      </c>
      <c r="E63" s="66">
        <v>103.18152070732482</v>
      </c>
      <c r="F63" s="66">
        <v>103.18152070732482</v>
      </c>
      <c r="G63" s="66">
        <v>103.18082218208031</v>
      </c>
      <c r="H63" s="66">
        <v>103.18082218208031</v>
      </c>
      <c r="I63" s="66">
        <v>103.50186688060217</v>
      </c>
      <c r="J63" s="66">
        <v>103.28111227720835</v>
      </c>
      <c r="K63" s="66">
        <v>103.27649914169795</v>
      </c>
      <c r="L63" s="66">
        <v>103.27649914169795</v>
      </c>
      <c r="M63" s="66">
        <v>103.26211851068861</v>
      </c>
      <c r="N63" s="66">
        <f t="shared" si="2"/>
        <v>103.23894532105665</v>
      </c>
      <c r="R63" s="44" t="s">
        <v>13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22.5" customHeight="1" x14ac:dyDescent="0.25">
      <c r="A64" s="5" t="s">
        <v>63</v>
      </c>
      <c r="B64" s="66">
        <v>100.46915052475224</v>
      </c>
      <c r="C64" s="66">
        <v>99.900737034755579</v>
      </c>
      <c r="D64" s="66">
        <v>99.754464674450915</v>
      </c>
      <c r="E64" s="66">
        <v>100.4675764370931</v>
      </c>
      <c r="F64" s="66">
        <v>100.96935607794275</v>
      </c>
      <c r="G64" s="66">
        <v>100.89903208008973</v>
      </c>
      <c r="H64" s="66">
        <v>105.31260323043138</v>
      </c>
      <c r="I64" s="66">
        <v>105.21032767423047</v>
      </c>
      <c r="J64" s="66">
        <v>105.36117337437459</v>
      </c>
      <c r="K64" s="66">
        <v>105.08558275986846</v>
      </c>
      <c r="L64" s="66">
        <v>104.96684695888695</v>
      </c>
      <c r="M64" s="66">
        <v>104.83224180299118</v>
      </c>
      <c r="N64" s="66">
        <f t="shared" si="2"/>
        <v>102.76909105248893</v>
      </c>
      <c r="R64" s="44" t="s">
        <v>14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22.5" customHeight="1" x14ac:dyDescent="0.25">
      <c r="A65" s="5" t="s">
        <v>64</v>
      </c>
      <c r="B65" s="66">
        <v>98.151248953988912</v>
      </c>
      <c r="C65" s="66">
        <v>99.125852477008536</v>
      </c>
      <c r="D65" s="66">
        <v>98.997901846758666</v>
      </c>
      <c r="E65" s="66">
        <v>97.923591684379105</v>
      </c>
      <c r="F65" s="66">
        <v>96.468568170259871</v>
      </c>
      <c r="G65" s="66">
        <v>95.316789617723671</v>
      </c>
      <c r="H65" s="66">
        <v>94.792007939792356</v>
      </c>
      <c r="I65" s="66">
        <v>93.377111357992277</v>
      </c>
      <c r="J65" s="66">
        <v>92.633951053239144</v>
      </c>
      <c r="K65" s="66">
        <v>92.630534813611902</v>
      </c>
      <c r="L65" s="66">
        <v>89.040922136640731</v>
      </c>
      <c r="M65" s="66">
        <v>88.954042398565974</v>
      </c>
      <c r="N65" s="66">
        <f t="shared" si="2"/>
        <v>94.784376870830087</v>
      </c>
      <c r="R65" s="44" t="s">
        <v>15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22.5" customHeight="1" x14ac:dyDescent="0.25">
      <c r="A66" s="3" t="s">
        <v>65</v>
      </c>
      <c r="B66" s="66">
        <v>98.699099049508803</v>
      </c>
      <c r="C66" s="66">
        <v>98.666373317647682</v>
      </c>
      <c r="D66" s="66">
        <v>97.958088810805478</v>
      </c>
      <c r="E66" s="66">
        <v>97.98892102106106</v>
      </c>
      <c r="F66" s="66">
        <v>97.930835275331646</v>
      </c>
      <c r="G66" s="66">
        <v>98.159738926744595</v>
      </c>
      <c r="H66" s="66">
        <v>98.104532003355231</v>
      </c>
      <c r="I66" s="66">
        <v>98.123675193563372</v>
      </c>
      <c r="J66" s="66">
        <v>98.123675193563372</v>
      </c>
      <c r="K66" s="66">
        <v>98.123675193563372</v>
      </c>
      <c r="L66" s="66">
        <v>98.123675193563372</v>
      </c>
      <c r="M66" s="66">
        <v>98.435581829104436</v>
      </c>
      <c r="N66" s="66">
        <f>AVERAGE(B66:M66)</f>
        <v>98.203155917317702</v>
      </c>
      <c r="R66" s="45" t="s">
        <v>16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8" customHeight="1" x14ac:dyDescent="0.25">
      <c r="A67" s="4" t="s">
        <v>66</v>
      </c>
      <c r="B67" s="66">
        <v>100.46469068422795</v>
      </c>
      <c r="C67" s="66">
        <v>100.46469068422795</v>
      </c>
      <c r="D67" s="66">
        <v>100.46469068422795</v>
      </c>
      <c r="E67" s="66">
        <v>100.46469068422795</v>
      </c>
      <c r="F67" s="66">
        <v>100.46469068422795</v>
      </c>
      <c r="G67" s="66">
        <v>100.46469068422795</v>
      </c>
      <c r="H67" s="66">
        <v>100.46469068422795</v>
      </c>
      <c r="I67" s="66">
        <v>100.46783638065361</v>
      </c>
      <c r="J67" s="66">
        <v>100.46783638065361</v>
      </c>
      <c r="K67" s="66">
        <v>100.46783638065361</v>
      </c>
      <c r="L67" s="66">
        <v>100.88702071413969</v>
      </c>
      <c r="M67" s="66">
        <v>100.88702071413969</v>
      </c>
      <c r="N67" s="66">
        <f t="shared" si="2"/>
        <v>100.53586544665298</v>
      </c>
      <c r="R67" s="45" t="s">
        <v>17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s="1" customFormat="1" ht="22.5" customHeight="1" x14ac:dyDescent="0.25">
      <c r="A68" s="4" t="s">
        <v>67</v>
      </c>
      <c r="B68" s="66">
        <v>102.91087043355284</v>
      </c>
      <c r="C68" s="66">
        <v>103.82822199190377</v>
      </c>
      <c r="D68" s="66">
        <v>103.83522702660571</v>
      </c>
      <c r="E68" s="66">
        <v>103.83522702660571</v>
      </c>
      <c r="F68" s="66">
        <v>103.83522702660571</v>
      </c>
      <c r="G68" s="66">
        <v>103.83522702660571</v>
      </c>
      <c r="H68" s="66">
        <v>103.8719751691556</v>
      </c>
      <c r="I68" s="66">
        <v>103.90750945210706</v>
      </c>
      <c r="J68" s="66">
        <v>103.95380526376172</v>
      </c>
      <c r="K68" s="66">
        <v>103.80697899096825</v>
      </c>
      <c r="L68" s="66">
        <v>103.80697899096825</v>
      </c>
      <c r="M68" s="66">
        <v>103.80697899096825</v>
      </c>
      <c r="N68" s="66">
        <f t="shared" si="2"/>
        <v>103.76951894915072</v>
      </c>
      <c r="R68" s="45" t="s">
        <v>18</v>
      </c>
      <c r="AA68" s="9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s="1" customFormat="1" ht="22.5" customHeight="1" x14ac:dyDescent="0.25">
      <c r="A69" s="4" t="s">
        <v>68</v>
      </c>
      <c r="B69" s="66">
        <v>102.53135558624007</v>
      </c>
      <c r="C69" s="66">
        <v>102.53135558624007</v>
      </c>
      <c r="D69" s="66">
        <v>102.53135558624007</v>
      </c>
      <c r="E69" s="66">
        <v>103.5172284204116</v>
      </c>
      <c r="F69" s="66">
        <v>103.5172284204116</v>
      </c>
      <c r="G69" s="66">
        <v>104.14475959758913</v>
      </c>
      <c r="H69" s="66">
        <v>104.14475959758913</v>
      </c>
      <c r="I69" s="66">
        <v>103.66433679835467</v>
      </c>
      <c r="J69" s="66">
        <v>104.14475959758916</v>
      </c>
      <c r="K69" s="66">
        <v>104.14475959758916</v>
      </c>
      <c r="L69" s="66">
        <v>107.14229868182086</v>
      </c>
      <c r="M69" s="66">
        <v>107.14229868182086</v>
      </c>
      <c r="N69" s="66">
        <f t="shared" si="2"/>
        <v>104.0963746793247</v>
      </c>
      <c r="R69" s="42" t="s">
        <v>70</v>
      </c>
      <c r="AA69" s="9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s="1" customFormat="1" ht="33.75" customHeight="1" x14ac:dyDescent="0.25">
      <c r="A70" s="3" t="s">
        <v>69</v>
      </c>
      <c r="B70" s="66">
        <v>101.63919890195628</v>
      </c>
      <c r="C70" s="66">
        <v>101.85567689491094</v>
      </c>
      <c r="D70" s="66">
        <v>102.23000390535245</v>
      </c>
      <c r="E70" s="66">
        <v>102.45490960486627</v>
      </c>
      <c r="F70" s="66">
        <v>102.42394615122343</v>
      </c>
      <c r="G70" s="66">
        <v>102.65246234242542</v>
      </c>
      <c r="H70" s="66">
        <v>102.73928481954017</v>
      </c>
      <c r="I70" s="66">
        <v>102.60587247199034</v>
      </c>
      <c r="J70" s="66">
        <v>102.97828866312045</v>
      </c>
      <c r="K70" s="66">
        <v>102.89043417858117</v>
      </c>
      <c r="L70" s="66">
        <v>102.87275806589902</v>
      </c>
      <c r="M70" s="66">
        <v>102.77506277140506</v>
      </c>
      <c r="N70" s="66">
        <f t="shared" si="2"/>
        <v>102.50982489760594</v>
      </c>
      <c r="R70" s="45" t="s">
        <v>19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22.5" customHeight="1" x14ac:dyDescent="0.25">
      <c r="A71" s="6" t="s">
        <v>20</v>
      </c>
      <c r="B71" s="68">
        <v>101.42165875130918</v>
      </c>
      <c r="C71" s="68">
        <v>101.78060200348999</v>
      </c>
      <c r="D71" s="68">
        <v>102.30785563486918</v>
      </c>
      <c r="E71" s="68">
        <v>102.35596312909693</v>
      </c>
      <c r="F71" s="68">
        <v>101.98855623373285</v>
      </c>
      <c r="G71" s="68">
        <v>102.22184273034087</v>
      </c>
      <c r="H71" s="68">
        <v>102.69323952876553</v>
      </c>
      <c r="I71" s="68">
        <v>102.348248153951</v>
      </c>
      <c r="J71" s="68">
        <v>103.11597585898316</v>
      </c>
      <c r="K71" s="68">
        <v>102.98686668503677</v>
      </c>
      <c r="L71" s="68">
        <v>102.63815587366668</v>
      </c>
      <c r="M71" s="68">
        <v>102.84880112144324</v>
      </c>
      <c r="N71" s="68">
        <f t="shared" si="2"/>
        <v>102.39231380872378</v>
      </c>
      <c r="R71" s="46" t="s">
        <v>21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22.5" customHeight="1" x14ac:dyDescent="0.25">
      <c r="A72" s="7" t="s">
        <v>22</v>
      </c>
      <c r="B72" s="69">
        <v>101.5738398230331</v>
      </c>
      <c r="C72" s="69">
        <v>102.02833116106542</v>
      </c>
      <c r="D72" s="69">
        <v>102.53376703714811</v>
      </c>
      <c r="E72" s="69">
        <v>102.76304322453851</v>
      </c>
      <c r="F72" s="69">
        <v>102.21671162702248</v>
      </c>
      <c r="G72" s="69">
        <v>102.2200947970681</v>
      </c>
      <c r="H72" s="69">
        <v>102.68611775196337</v>
      </c>
      <c r="I72" s="69">
        <v>102.33787857801462</v>
      </c>
      <c r="J72" s="69">
        <v>102.88307187500158</v>
      </c>
      <c r="K72" s="69">
        <v>102.78987683193046</v>
      </c>
      <c r="L72" s="69">
        <v>102.32755188678443</v>
      </c>
      <c r="M72" s="69">
        <v>102.6018902456471</v>
      </c>
      <c r="N72" s="69">
        <f t="shared" si="2"/>
        <v>102.41351456993478</v>
      </c>
      <c r="O72" s="21"/>
      <c r="P72" s="21"/>
      <c r="Q72" s="21"/>
      <c r="R72" s="47" t="s">
        <v>23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7.25" x14ac:dyDescent="0.2">
      <c r="A73" s="43" t="s">
        <v>73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42" t="s">
        <v>72</v>
      </c>
    </row>
    <row r="74" spans="1:40" ht="15" customHeight="1" x14ac:dyDescent="0.35"/>
    <row r="75" spans="1:40" ht="15" customHeight="1" x14ac:dyDescent="0.35"/>
    <row r="76" spans="1:40" ht="15" customHeight="1" x14ac:dyDescent="0.35"/>
    <row r="77" spans="1:40" ht="15" customHeight="1" x14ac:dyDescent="0.35">
      <c r="Q77" s="38"/>
    </row>
    <row r="78" spans="1:40" ht="15" customHeight="1" x14ac:dyDescent="0.35">
      <c r="Q78" s="38"/>
    </row>
    <row r="79" spans="1:40" ht="15" customHeight="1" x14ac:dyDescent="0.35">
      <c r="Q79" s="38"/>
    </row>
    <row r="80" spans="1:40" ht="15" customHeight="1" x14ac:dyDescent="0.35">
      <c r="Q80" s="38"/>
    </row>
    <row r="81" spans="17:18" ht="15" customHeight="1" x14ac:dyDescent="0.35">
      <c r="Q81" s="38"/>
    </row>
    <row r="82" spans="17:18" ht="15" customHeight="1" x14ac:dyDescent="0.2">
      <c r="Q82" s="38"/>
      <c r="R82" s="3"/>
    </row>
    <row r="83" spans="17:18" ht="15" customHeight="1" x14ac:dyDescent="0.2">
      <c r="Q83" s="38"/>
      <c r="R83" s="3"/>
    </row>
    <row r="84" spans="17:18" ht="15" customHeight="1" x14ac:dyDescent="0.2">
      <c r="Q84" s="38"/>
      <c r="R84" s="3"/>
    </row>
    <row r="86" spans="17:18" x14ac:dyDescent="0.35">
      <c r="Q86" s="38"/>
    </row>
    <row r="87" spans="17:18" x14ac:dyDescent="0.35">
      <c r="Q87" s="38"/>
    </row>
    <row r="88" spans="17:18" x14ac:dyDescent="0.35">
      <c r="Q88" s="38"/>
    </row>
    <row r="89" spans="17:18" x14ac:dyDescent="0.35">
      <c r="Q89" s="38"/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2024-06-10T05:06:01Z</cp:lastPrinted>
  <dcterms:created xsi:type="dcterms:W3CDTF">2019-03-21T03:27:43Z</dcterms:created>
  <dcterms:modified xsi:type="dcterms:W3CDTF">2024-06-10T05:06:09Z</dcterms:modified>
</cp:coreProperties>
</file>