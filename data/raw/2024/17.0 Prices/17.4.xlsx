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rices\"/>
    </mc:Choice>
  </mc:AlternateContent>
  <xr:revisionPtr revIDLastSave="0" documentId="13_ncr:1_{36CA8D15-076B-4294-94A5-92BA7BFFC86E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4" sheetId="4" r:id="rId1"/>
  </sheets>
  <definedNames>
    <definedName name="_xlnm.Print_Area" localSheetId="0">'17.4'!$A$1:$P$31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4" l="1"/>
  <c r="N24" i="4"/>
  <c r="N26" i="4"/>
  <c r="N25" i="4"/>
  <c r="N10" i="4"/>
  <c r="N11" i="4"/>
  <c r="N12" i="4"/>
  <c r="N13" i="4"/>
  <c r="N14" i="4"/>
  <c r="N16" i="4"/>
  <c r="N17" i="4"/>
  <c r="N18" i="4"/>
  <c r="N19" i="4"/>
  <c r="N20" i="4"/>
  <c r="N21" i="4"/>
  <c r="N22" i="4"/>
  <c r="N23" i="4"/>
  <c r="N9" i="4"/>
</calcChain>
</file>

<file path=xl/sharedStrings.xml><?xml version="1.0" encoding="utf-8"?>
<sst xmlns="http://schemas.openxmlformats.org/spreadsheetml/2006/main" count="75" uniqueCount="75">
  <si>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</si>
  <si>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</si>
  <si>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</si>
  <si>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</si>
  <si>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</si>
  <si>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</si>
  <si>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</si>
  <si>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</si>
  <si>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</si>
  <si>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</si>
  <si>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</si>
  <si>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</si>
  <si>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</si>
  <si>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</si>
  <si>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</si>
  <si>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</si>
  <si>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</si>
  <si>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</si>
  <si>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</si>
  <si>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</si>
  <si>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</si>
  <si>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</si>
  <si>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</si>
  <si>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</si>
  <si>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</si>
  <si>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</si>
  <si>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</si>
  <si>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</si>
  <si>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</si>
  <si>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</si>
  <si>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</si>
  <si>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</si>
  <si>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</si>
  <si>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</si>
  <si>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</si>
  <si>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</si>
  <si>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</si>
  <si>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</si>
  <si>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</si>
  <si>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</si>
  <si>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</si>
  <si>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</si>
  <si>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</si>
  <si>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</si>
  <si>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</si>
  <si>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</si>
  <si>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</si>
  <si>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</si>
  <si>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</si>
  <si>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</si>
  <si>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</si>
  <si>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</si>
  <si>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</si>
  <si>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</si>
  <si>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</si>
  <si>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</si>
  <si>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</si>
  <si>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</si>
  <si>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</si>
  <si>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</si>
  <si>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</si>
  <si>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</si>
  <si>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</si>
  <si>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</si>
  <si>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</si>
  <si>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</si>
  <si>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</si>
  <si>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In 2019, base of ndex: Aug 2019=100, COICOP 2018 has been adopted in the rebased series</t>
  </si>
  <si>
    <t>އިންޝުއަރެންސް އަދި މާލީ ޚިދުމަތްތައް</t>
  </si>
  <si>
    <t>(Index - base: Nov 2022=100)</t>
  </si>
  <si>
    <t>މަޢުލޫމާތު ދެއްވި ފަރާތް: މޯލްޑިވްސް ބިއުރޯ އޮފް ސްޓެޓިސްޓިކްސް</t>
  </si>
  <si>
    <r>
      <t xml:space="preserve">(cnegiawlwbcSwa 100 IkwDnwgcnim eg </t>
    </r>
    <r>
      <rPr>
        <b/>
        <sz val="9"/>
        <color theme="1"/>
        <rFont val="Faruma"/>
      </rPr>
      <t xml:space="preserve">ނޮވެންބަރ </t>
    </r>
    <r>
      <rPr>
        <b/>
        <sz val="9"/>
        <color theme="1"/>
        <rFont val="A_Faseyha"/>
      </rPr>
      <t>2022 )</t>
    </r>
  </si>
  <si>
    <t xml:space="preserve">Source:   Maldives  Bureau of Statistics   </t>
  </si>
  <si>
    <t>2023 ,cSwaejcaWr ,uDnwgcnim egugwa egurWzWb uhwmcswmikea : 17.4 ulwvWt</t>
  </si>
  <si>
    <t>Table 17.4 :   CPI GROUPS, by months,  Republic,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</si>
</sst>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8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</cellStyleXfs>
  <cellXfs count="45">
    <xf numFmtId="0" fontId="0" fillId="0" borderId="0" xfId="0"/>
    <xf numFmtId="0" fontId="0" fillId="2" borderId="0" xfId="0" applyFill="1"/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ill="1" applyBorder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165" fontId="1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Alignment="1">
      <alignment horizontal="left" vertical="center"/>
    </xf>
    <xf numFmtId="166" fontId="14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2" fontId="11" fillId="2" borderId="0" xfId="5" applyNumberFormat="1" applyFont="1" applyFill="1" applyAlignment="1">
      <alignment horizontal="right" vertical="center"/>
    </xf>
    <xf numFmtId="2" fontId="11" fillId="2" borderId="1" xfId="5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 indent="1"/>
    </xf>
    <xf numFmtId="165" fontId="21" fillId="2" borderId="0" xfId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165" fontId="19" fillId="2" borderId="1" xfId="1" applyFont="1" applyFill="1" applyBorder="1" applyAlignment="1">
      <alignment horizontal="right" vertical="center"/>
    </xf>
    <xf numFmtId="0" fontId="22" fillId="2" borderId="0" xfId="0" applyFont="1" applyFill="1"/>
    <xf numFmtId="165" fontId="19" fillId="2" borderId="3" xfId="3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 vertical="center" wrapText="1"/>
    </xf>
    <xf numFmtId="0" fontId="21" fillId="2" borderId="2" xfId="2" applyFont="1" applyFill="1" applyBorder="1" applyAlignment="1">
      <alignment horizontal="right"/>
    </xf>
    <xf numFmtId="0" fontId="20" fillId="2" borderId="0" xfId="2" applyFont="1" applyFill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65" fontId="21" fillId="2" borderId="0" xfId="3" applyFont="1" applyFill="1" applyAlignment="1">
      <alignment horizontal="right" vertical="center" wrapText="1"/>
    </xf>
    <xf numFmtId="2" fontId="12" fillId="2" borderId="0" xfId="5" applyNumberFormat="1" applyFont="1" applyFill="1" applyAlignment="1">
      <alignment horizontal="right" vertical="center"/>
    </xf>
    <xf numFmtId="165" fontId="10" fillId="2" borderId="0" xfId="1" applyFont="1" applyFill="1" applyAlignment="1">
      <alignment horizontal="center" vertical="center"/>
    </xf>
    <xf numFmtId="165" fontId="4" fillId="2" borderId="0" xfId="1" applyFont="1" applyFill="1" applyAlignment="1">
      <alignment horizontal="center" vertical="center"/>
    </xf>
    <xf numFmtId="165" fontId="23" fillId="2" borderId="0" xfId="1" applyFont="1" applyFill="1" applyAlignment="1">
      <alignment horizontal="center" vertical="center" wrapText="1"/>
    </xf>
    <xf numFmtId="165" fontId="10" fillId="2" borderId="0" xfId="1" applyFont="1" applyFill="1" applyAlignment="1">
      <alignment horizontal="center" vertical="center"/>
    </xf>
    <xf numFmtId="165" fontId="2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249390"/>
      <color rgb="FF196563"/>
      <color rgb="FFF9FBFD"/>
      <color rgb="FFD0F5F4"/>
      <color rgb="FF33CCCC"/>
      <color rgb="FFEAFAFA"/>
      <color rgb="FFFF990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36"/>
  <sheetViews>
    <sheetView tabSelected="1" zoomScale="130" zoomScaleNormal="130" workbookViewId="0">
      <selection activeCell="AF41" sqref="AF41"/>
    </sheetView>
  </sheetViews>
  <sheetFormatPr defaultColWidth="9.140625" defaultRowHeight="18" x14ac:dyDescent="0.45"/>
  <cols>
    <col min="1" max="1" width="39.7109375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40" style="30" customWidth="1"/>
    <col min="16" max="16384" width="9.140625" style="1"/>
  </cols>
  <sheetData>
    <row r="1" spans="1:24" s="2" customFormat="1" ht="19.5" x14ac:dyDescent="0.2">
      <c r="A1" s="43" t="s">
        <v>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12"/>
      <c r="Q1" s="40"/>
      <c r="R1" s="40"/>
      <c r="S1" s="40"/>
      <c r="T1" s="40"/>
      <c r="U1" s="40"/>
      <c r="V1" s="40"/>
      <c r="W1" s="40"/>
      <c r="X1" s="40"/>
    </row>
    <row r="2" spans="1:24" s="13" customFormat="1" ht="15" x14ac:dyDescent="0.25">
      <c r="A2" s="44" t="s">
        <v>74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4" s="3" customFormat="1" ht="15.75" customHeight="1" x14ac:dyDescent="0.2">
      <c r="A3" s="41" t="s">
        <v>71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24" s="3" customFormat="1" ht="13.5" customHeight="1" x14ac:dyDescent="0.2">
      <c r="A4" s="42" t="s">
        <v>69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24" s="3" customFormat="1" ht="17.2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24" s="14" customFormat="1" ht="15.75" customHeight="1" x14ac:dyDescent="0.35">
      <c r="A6" s="15"/>
      <c r="B6" s="4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1" t="s">
        <v>29</v>
      </c>
      <c r="O6" s="33"/>
    </row>
    <row r="7" spans="1:24" s="14" customFormat="1" ht="15.75" x14ac:dyDescent="0.25">
      <c r="A7" s="16" t="s">
        <v>0</v>
      </c>
      <c r="B7" s="32" t="s">
        <v>30</v>
      </c>
      <c r="C7" s="32" t="s">
        <v>31</v>
      </c>
      <c r="D7" s="32" t="s">
        <v>32</v>
      </c>
      <c r="E7" s="32" t="s">
        <v>33</v>
      </c>
      <c r="F7" s="32" t="s">
        <v>34</v>
      </c>
      <c r="G7" s="32" t="s">
        <v>35</v>
      </c>
      <c r="H7" s="32" t="s">
        <v>36</v>
      </c>
      <c r="I7" s="32" t="s">
        <v>37</v>
      </c>
      <c r="J7" s="32" t="s">
        <v>38</v>
      </c>
      <c r="K7" s="32" t="s">
        <v>39</v>
      </c>
      <c r="L7" s="32" t="s">
        <v>40</v>
      </c>
      <c r="M7" s="32" t="s">
        <v>41</v>
      </c>
      <c r="N7" s="32" t="s">
        <v>42</v>
      </c>
      <c r="O7" s="34" t="s">
        <v>1</v>
      </c>
      <c r="Q7" s="17"/>
    </row>
    <row r="8" spans="1:24" s="14" customFormat="1" ht="14.25" x14ac:dyDescent="0.25">
      <c r="A8" s="18"/>
      <c r="B8" s="19" t="s">
        <v>43</v>
      </c>
      <c r="C8" s="18" t="s">
        <v>44</v>
      </c>
      <c r="D8" s="18" t="s">
        <v>45</v>
      </c>
      <c r="E8" s="18" t="s">
        <v>46</v>
      </c>
      <c r="F8" s="18" t="s">
        <v>47</v>
      </c>
      <c r="G8" s="18" t="s">
        <v>48</v>
      </c>
      <c r="H8" s="18" t="s">
        <v>49</v>
      </c>
      <c r="I8" s="18" t="s">
        <v>50</v>
      </c>
      <c r="J8" s="18" t="s">
        <v>51</v>
      </c>
      <c r="K8" s="18" t="s">
        <v>52</v>
      </c>
      <c r="L8" s="18" t="s">
        <v>53</v>
      </c>
      <c r="M8" s="18" t="s">
        <v>54</v>
      </c>
      <c r="N8" s="18" t="s">
        <v>55</v>
      </c>
      <c r="O8" s="35"/>
      <c r="Q8" s="17"/>
    </row>
    <row r="9" spans="1:24" s="14" customFormat="1" ht="14.25" x14ac:dyDescent="0.25">
      <c r="A9" s="6" t="s">
        <v>2</v>
      </c>
      <c r="B9" s="38">
        <v>101.80868421761069</v>
      </c>
      <c r="C9" s="38">
        <v>102.02748474611516</v>
      </c>
      <c r="D9" s="38">
        <v>103.0558804937836</v>
      </c>
      <c r="E9" s="38">
        <v>102.66124327445891</v>
      </c>
      <c r="F9" s="38">
        <v>102.04089630578062</v>
      </c>
      <c r="G9" s="38">
        <v>102.6955966383761</v>
      </c>
      <c r="H9" s="38">
        <v>103.35749827627396</v>
      </c>
      <c r="I9" s="38">
        <v>103.8051325374683</v>
      </c>
      <c r="J9" s="38">
        <v>105.80199406716467</v>
      </c>
      <c r="K9" s="38">
        <v>105.74241339578107</v>
      </c>
      <c r="L9" s="38">
        <v>105.26450790775235</v>
      </c>
      <c r="M9" s="38">
        <v>106.73818160690871</v>
      </c>
      <c r="N9" s="38">
        <f>AVERAGE(B9:M9)</f>
        <v>103.74995945562284</v>
      </c>
      <c r="O9" s="25" t="s">
        <v>3</v>
      </c>
      <c r="Q9" s="17"/>
    </row>
    <row r="10" spans="1:24" s="14" customFormat="1" ht="14.25" x14ac:dyDescent="0.25">
      <c r="A10" s="6" t="s">
        <v>4</v>
      </c>
      <c r="B10" s="38">
        <v>101.91000864268179</v>
      </c>
      <c r="C10" s="38">
        <v>102.22494413535532</v>
      </c>
      <c r="D10" s="38">
        <v>103.19137534553295</v>
      </c>
      <c r="E10" s="38">
        <v>103.02901682398486</v>
      </c>
      <c r="F10" s="38">
        <v>102.0438921533615</v>
      </c>
      <c r="G10" s="38">
        <v>102.25418667356095</v>
      </c>
      <c r="H10" s="38">
        <v>102.99008625175819</v>
      </c>
      <c r="I10" s="38">
        <v>103.46183523735854</v>
      </c>
      <c r="J10" s="38">
        <v>105.33074765432188</v>
      </c>
      <c r="K10" s="38">
        <v>105.31044690851212</v>
      </c>
      <c r="L10" s="38">
        <v>104.76573990236378</v>
      </c>
      <c r="M10" s="38">
        <v>106.20454530721217</v>
      </c>
      <c r="N10" s="38">
        <f t="shared" ref="N10:N23" si="0">AVERAGE(B10:M10)</f>
        <v>103.55973541966699</v>
      </c>
      <c r="O10" s="25" t="s">
        <v>5</v>
      </c>
      <c r="Q10" s="17"/>
    </row>
    <row r="11" spans="1:24" s="14" customFormat="1" ht="14.25" x14ac:dyDescent="0.25">
      <c r="A11" s="7" t="s">
        <v>6</v>
      </c>
      <c r="B11" s="38">
        <v>101.3799586398199</v>
      </c>
      <c r="C11" s="38">
        <v>101.19199132305563</v>
      </c>
      <c r="D11" s="38">
        <v>102.48257244329992</v>
      </c>
      <c r="E11" s="38">
        <v>101.10511376860653</v>
      </c>
      <c r="F11" s="38">
        <v>102.02822022610711</v>
      </c>
      <c r="G11" s="38">
        <v>104.56329775856713</v>
      </c>
      <c r="H11" s="38">
        <v>104.912098091543</v>
      </c>
      <c r="I11" s="38">
        <v>105.25769773327683</v>
      </c>
      <c r="J11" s="38">
        <v>107.79593965813257</v>
      </c>
      <c r="K11" s="38">
        <v>107.57015711809389</v>
      </c>
      <c r="L11" s="38">
        <v>107.3749033148196</v>
      </c>
      <c r="M11" s="38">
        <v>108.99611231568899</v>
      </c>
      <c r="N11" s="38">
        <f t="shared" si="0"/>
        <v>104.55483853258427</v>
      </c>
      <c r="O11" s="25" t="s">
        <v>7</v>
      </c>
      <c r="Q11" s="17"/>
    </row>
    <row r="12" spans="1:24" s="14" customFormat="1" ht="14.25" x14ac:dyDescent="0.25">
      <c r="A12" s="7" t="s">
        <v>8</v>
      </c>
      <c r="B12" s="38">
        <v>100.62629859201154</v>
      </c>
      <c r="C12" s="38">
        <v>100.91777017089908</v>
      </c>
      <c r="D12" s="38">
        <v>101.02943817699341</v>
      </c>
      <c r="E12" s="38">
        <v>100.82961919943945</v>
      </c>
      <c r="F12" s="38">
        <v>100.81365077249347</v>
      </c>
      <c r="G12" s="38">
        <v>100.92253010934691</v>
      </c>
      <c r="H12" s="38">
        <v>100.9473706278915</v>
      </c>
      <c r="I12" s="38">
        <v>101.1163714778161</v>
      </c>
      <c r="J12" s="38">
        <v>101.17065396105544</v>
      </c>
      <c r="K12" s="38">
        <v>101.30611964040082</v>
      </c>
      <c r="L12" s="38">
        <v>101.84941790793034</v>
      </c>
      <c r="M12" s="38">
        <v>101.95876454883063</v>
      </c>
      <c r="N12" s="38">
        <f t="shared" si="0"/>
        <v>101.12400043209239</v>
      </c>
      <c r="O12" s="25" t="s">
        <v>25</v>
      </c>
      <c r="Q12" s="17"/>
    </row>
    <row r="13" spans="1:24" ht="15" x14ac:dyDescent="0.25">
      <c r="A13" s="7" t="s">
        <v>56</v>
      </c>
      <c r="B13" s="38">
        <v>100.62629859201154</v>
      </c>
      <c r="C13" s="38">
        <v>100.91777017089908</v>
      </c>
      <c r="D13" s="38">
        <v>101.02943817699341</v>
      </c>
      <c r="E13" s="38">
        <v>100.82961919943945</v>
      </c>
      <c r="F13" s="38">
        <v>100.81365077249347</v>
      </c>
      <c r="G13" s="38">
        <v>100.92253010934691</v>
      </c>
      <c r="H13" s="38">
        <v>100.9473706278915</v>
      </c>
      <c r="I13" s="38">
        <v>101.1163714778161</v>
      </c>
      <c r="J13" s="38">
        <v>101.17065396105544</v>
      </c>
      <c r="K13" s="38">
        <v>101.30611964040082</v>
      </c>
      <c r="L13" s="38">
        <v>101.84941790793034</v>
      </c>
      <c r="M13" s="38">
        <v>101.95876454883063</v>
      </c>
      <c r="N13" s="38">
        <f t="shared" si="0"/>
        <v>101.12400043209239</v>
      </c>
      <c r="O13" s="25" t="s">
        <v>9</v>
      </c>
      <c r="Q13" s="17"/>
    </row>
    <row r="14" spans="1:24" ht="15" x14ac:dyDescent="0.25">
      <c r="A14" s="7" t="s">
        <v>57</v>
      </c>
      <c r="B14" s="38">
        <v>100.31188859956748</v>
      </c>
      <c r="C14" s="38">
        <v>100.78957916460757</v>
      </c>
      <c r="D14" s="38">
        <v>101.37685011502334</v>
      </c>
      <c r="E14" s="38">
        <v>102.61697731597131</v>
      </c>
      <c r="F14" s="38">
        <v>101.89550229036404</v>
      </c>
      <c r="G14" s="38">
        <v>101.88877322714849</v>
      </c>
      <c r="H14" s="38">
        <v>101.21017550511843</v>
      </c>
      <c r="I14" s="38">
        <v>101.51412689251758</v>
      </c>
      <c r="J14" s="38">
        <v>101.60390718376239</v>
      </c>
      <c r="K14" s="38">
        <v>101.47093151202999</v>
      </c>
      <c r="L14" s="38">
        <v>101.35253735074545</v>
      </c>
      <c r="M14" s="38">
        <v>101.53848634903804</v>
      </c>
      <c r="N14" s="38">
        <f t="shared" si="0"/>
        <v>101.46414462549119</v>
      </c>
      <c r="O14" s="25" t="s">
        <v>10</v>
      </c>
      <c r="Q14" s="17"/>
    </row>
    <row r="15" spans="1:24" ht="15" x14ac:dyDescent="0.25">
      <c r="A15" s="7" t="s">
        <v>58</v>
      </c>
      <c r="B15" s="38">
        <v>99.992138667940239</v>
      </c>
      <c r="C15" s="38">
        <v>99.992138667940239</v>
      </c>
      <c r="D15" s="38">
        <v>99.992138667940239</v>
      </c>
      <c r="E15" s="38">
        <v>99.992138667940239</v>
      </c>
      <c r="F15" s="38">
        <v>99.992138667940239</v>
      </c>
      <c r="G15" s="38">
        <v>99.992138667940239</v>
      </c>
      <c r="H15" s="38">
        <v>99.992138667940239</v>
      </c>
      <c r="I15" s="38">
        <v>99.992138667940239</v>
      </c>
      <c r="J15" s="38">
        <v>99.992138667940239</v>
      </c>
      <c r="K15" s="38">
        <v>99.992138667940239</v>
      </c>
      <c r="L15" s="38">
        <v>99.992150572363414</v>
      </c>
      <c r="M15" s="38">
        <v>99.992150572363414</v>
      </c>
      <c r="N15" s="38">
        <f>AVERAGE(B15:M15)</f>
        <v>99.992140652010775</v>
      </c>
      <c r="O15" s="26" t="s">
        <v>11</v>
      </c>
      <c r="Q15" s="17"/>
    </row>
    <row r="16" spans="1:24" ht="25.5" x14ac:dyDescent="0.25">
      <c r="A16" s="6" t="s">
        <v>59</v>
      </c>
      <c r="B16" s="38">
        <v>102.89547001133693</v>
      </c>
      <c r="C16" s="38">
        <v>101.37463633893148</v>
      </c>
      <c r="D16" s="38">
        <v>101.27439479151704</v>
      </c>
      <c r="E16" s="38">
        <v>102.91206217534241</v>
      </c>
      <c r="F16" s="38">
        <v>103.65592102798186</v>
      </c>
      <c r="G16" s="38">
        <v>103.60012997389035</v>
      </c>
      <c r="H16" s="38">
        <v>103.50558367439872</v>
      </c>
      <c r="I16" s="38">
        <v>104.20505754061308</v>
      </c>
      <c r="J16" s="38">
        <v>103.98985609439687</v>
      </c>
      <c r="K16" s="38">
        <v>104.05986141749672</v>
      </c>
      <c r="L16" s="38">
        <v>103.73568727655586</v>
      </c>
      <c r="M16" s="38">
        <v>103.65518385935161</v>
      </c>
      <c r="N16" s="38">
        <f t="shared" si="0"/>
        <v>103.23865368181775</v>
      </c>
      <c r="O16" s="37" t="s">
        <v>12</v>
      </c>
      <c r="Q16" s="17"/>
    </row>
    <row r="17" spans="1:17" ht="15" x14ac:dyDescent="0.25">
      <c r="A17" s="8" t="s">
        <v>13</v>
      </c>
      <c r="B17" s="38">
        <v>103.99157543717241</v>
      </c>
      <c r="C17" s="38">
        <v>103.99157543717241</v>
      </c>
      <c r="D17" s="38">
        <v>103.99157543717241</v>
      </c>
      <c r="E17" s="38">
        <v>103.99157543717241</v>
      </c>
      <c r="F17" s="38">
        <v>103.99157543717241</v>
      </c>
      <c r="G17" s="38">
        <v>104.20452193117973</v>
      </c>
      <c r="H17" s="38">
        <v>104.20452193117973</v>
      </c>
      <c r="I17" s="38">
        <v>104.8459526911072</v>
      </c>
      <c r="J17" s="38">
        <v>104.84760806716766</v>
      </c>
      <c r="K17" s="38">
        <v>104.8455299068607</v>
      </c>
      <c r="L17" s="38">
        <v>104.8455299068607</v>
      </c>
      <c r="M17" s="38">
        <v>104.83905161102807</v>
      </c>
      <c r="N17" s="38">
        <f t="shared" si="0"/>
        <v>104.38254943593715</v>
      </c>
      <c r="O17" s="25" t="s">
        <v>14</v>
      </c>
      <c r="Q17" s="17"/>
    </row>
    <row r="18" spans="1:17" ht="15" x14ac:dyDescent="0.25">
      <c r="A18" s="8" t="s">
        <v>60</v>
      </c>
      <c r="B18" s="38">
        <v>101.59301699843289</v>
      </c>
      <c r="C18" s="38">
        <v>100.61910562250935</v>
      </c>
      <c r="D18" s="38">
        <v>100.82441429970913</v>
      </c>
      <c r="E18" s="38">
        <v>101.64909418747176</v>
      </c>
      <c r="F18" s="38">
        <v>101.9313182672236</v>
      </c>
      <c r="G18" s="38">
        <v>102.01556576648773</v>
      </c>
      <c r="H18" s="38">
        <v>103.95203491450148</v>
      </c>
      <c r="I18" s="38">
        <v>103.84588108941217</v>
      </c>
      <c r="J18" s="38">
        <v>104.27202907199781</v>
      </c>
      <c r="K18" s="38">
        <v>103.71422661577634</v>
      </c>
      <c r="L18" s="38">
        <v>103.64411994310228</v>
      </c>
      <c r="M18" s="38">
        <v>103.67154341579742</v>
      </c>
      <c r="N18" s="38">
        <f t="shared" si="0"/>
        <v>102.64436251603519</v>
      </c>
      <c r="O18" s="25" t="s">
        <v>15</v>
      </c>
      <c r="Q18" s="17"/>
    </row>
    <row r="19" spans="1:17" ht="15" x14ac:dyDescent="0.25">
      <c r="A19" s="8" t="s">
        <v>61</v>
      </c>
      <c r="B19" s="38">
        <v>97.995314347959194</v>
      </c>
      <c r="C19" s="38">
        <v>98.966961329452857</v>
      </c>
      <c r="D19" s="38">
        <v>98.487195899848757</v>
      </c>
      <c r="E19" s="38">
        <v>96.604882313671823</v>
      </c>
      <c r="F19" s="38">
        <v>95.299253940736506</v>
      </c>
      <c r="G19" s="38">
        <v>94.491661814841692</v>
      </c>
      <c r="H19" s="38">
        <v>93.944926510647505</v>
      </c>
      <c r="I19" s="38">
        <v>92.336464733425601</v>
      </c>
      <c r="J19" s="38">
        <v>91.431791466195648</v>
      </c>
      <c r="K19" s="38">
        <v>91.430358310454068</v>
      </c>
      <c r="L19" s="38">
        <v>87.954507564926431</v>
      </c>
      <c r="M19" s="38">
        <v>87.869869292604591</v>
      </c>
      <c r="N19" s="38">
        <f t="shared" si="0"/>
        <v>93.90109896039705</v>
      </c>
      <c r="O19" s="25" t="s">
        <v>16</v>
      </c>
      <c r="Q19" s="17"/>
    </row>
    <row r="20" spans="1:17" ht="15" x14ac:dyDescent="0.25">
      <c r="A20" s="6" t="s">
        <v>62</v>
      </c>
      <c r="B20" s="38">
        <v>101.10780478893604</v>
      </c>
      <c r="C20" s="38">
        <v>101.0912366645239</v>
      </c>
      <c r="D20" s="38">
        <v>100.73265199242722</v>
      </c>
      <c r="E20" s="38">
        <v>100.71075742062777</v>
      </c>
      <c r="F20" s="38">
        <v>100.68135022918892</v>
      </c>
      <c r="G20" s="38">
        <v>100.60218405380735</v>
      </c>
      <c r="H20" s="38">
        <v>100.57423432974902</v>
      </c>
      <c r="I20" s="38">
        <v>100.87771382839075</v>
      </c>
      <c r="J20" s="38">
        <v>100.99655307766243</v>
      </c>
      <c r="K20" s="38">
        <v>101.00412197255027</v>
      </c>
      <c r="L20" s="38">
        <v>101.00412197255027</v>
      </c>
      <c r="M20" s="38">
        <v>101.16203159438982</v>
      </c>
      <c r="N20" s="38">
        <f t="shared" si="0"/>
        <v>100.87873016040032</v>
      </c>
      <c r="O20" s="27" t="s">
        <v>17</v>
      </c>
      <c r="Q20" s="17"/>
    </row>
    <row r="21" spans="1:17" ht="15" x14ac:dyDescent="0.25">
      <c r="A21" s="7" t="s">
        <v>63</v>
      </c>
      <c r="B21" s="38">
        <v>102.94096122769429</v>
      </c>
      <c r="C21" s="38">
        <v>102.94096122769429</v>
      </c>
      <c r="D21" s="38">
        <v>102.94096122769429</v>
      </c>
      <c r="E21" s="38">
        <v>102.94096122769429</v>
      </c>
      <c r="F21" s="38">
        <v>102.94096122769429</v>
      </c>
      <c r="G21" s="38">
        <v>102.94096122769429</v>
      </c>
      <c r="H21" s="38">
        <v>102.94096122769429</v>
      </c>
      <c r="I21" s="38">
        <v>105.25812112245031</v>
      </c>
      <c r="J21" s="38">
        <v>105.25812112245031</v>
      </c>
      <c r="K21" s="38">
        <v>105.25812112245031</v>
      </c>
      <c r="L21" s="38">
        <v>105.3880891503201</v>
      </c>
      <c r="M21" s="38">
        <v>105.3880891503201</v>
      </c>
      <c r="N21" s="38">
        <f t="shared" si="0"/>
        <v>103.92810585515429</v>
      </c>
      <c r="O21" s="27" t="s">
        <v>18</v>
      </c>
      <c r="Q21" s="17"/>
    </row>
    <row r="22" spans="1:17" ht="15" x14ac:dyDescent="0.25">
      <c r="A22" s="7" t="s">
        <v>64</v>
      </c>
      <c r="B22" s="38">
        <v>104.70778176463504</v>
      </c>
      <c r="C22" s="38">
        <v>106.70263556221235</v>
      </c>
      <c r="D22" s="38">
        <v>106.70509623879516</v>
      </c>
      <c r="E22" s="38">
        <v>106.70509623879516</v>
      </c>
      <c r="F22" s="38">
        <v>106.76461857204687</v>
      </c>
      <c r="G22" s="38">
        <v>106.76461857204687</v>
      </c>
      <c r="H22" s="38">
        <v>106.77752718673356</v>
      </c>
      <c r="I22" s="38">
        <v>106.78182365479509</v>
      </c>
      <c r="J22" s="38">
        <v>107.1521863613446</v>
      </c>
      <c r="K22" s="38">
        <v>107.09341333821888</v>
      </c>
      <c r="L22" s="38">
        <v>107.09341333821888</v>
      </c>
      <c r="M22" s="38">
        <v>107.09341333821888</v>
      </c>
      <c r="N22" s="38">
        <f t="shared" si="0"/>
        <v>106.69513534717176</v>
      </c>
      <c r="O22" s="27" t="s">
        <v>19</v>
      </c>
      <c r="Q22" s="17"/>
    </row>
    <row r="23" spans="1:17" ht="17.25" x14ac:dyDescent="0.25">
      <c r="A23" s="7" t="s">
        <v>65</v>
      </c>
      <c r="B23" s="38">
        <v>102.84271019348523</v>
      </c>
      <c r="C23" s="38">
        <v>102.84271019348523</v>
      </c>
      <c r="D23" s="38">
        <v>102.84271019348523</v>
      </c>
      <c r="E23" s="38">
        <v>103.94984455675434</v>
      </c>
      <c r="F23" s="38">
        <v>103.94984455675434</v>
      </c>
      <c r="G23" s="38">
        <v>104.65456154072498</v>
      </c>
      <c r="H23" s="38">
        <v>104.65456154072498</v>
      </c>
      <c r="I23" s="38">
        <v>104.1150471414086</v>
      </c>
      <c r="J23" s="38">
        <v>104.65456154072501</v>
      </c>
      <c r="K23" s="38">
        <v>104.65456154072501</v>
      </c>
      <c r="L23" s="38">
        <v>108.02079541021179</v>
      </c>
      <c r="M23" s="38">
        <v>108.02079541021179</v>
      </c>
      <c r="N23" s="38">
        <f t="shared" si="0"/>
        <v>104.60022531822472</v>
      </c>
      <c r="O23" s="23" t="s">
        <v>68</v>
      </c>
      <c r="Q23" s="17"/>
    </row>
    <row r="24" spans="1:17" ht="25.5" x14ac:dyDescent="0.25">
      <c r="A24" s="6" t="s">
        <v>66</v>
      </c>
      <c r="B24" s="38">
        <v>102.55725748894756</v>
      </c>
      <c r="C24" s="38">
        <v>102.11818267082117</v>
      </c>
      <c r="D24" s="38">
        <v>102.65383846186322</v>
      </c>
      <c r="E24" s="38">
        <v>103.34874457822883</v>
      </c>
      <c r="F24" s="38">
        <v>103.3197080823668</v>
      </c>
      <c r="G24" s="38">
        <v>103.58131552604969</v>
      </c>
      <c r="H24" s="38">
        <v>103.67754274004295</v>
      </c>
      <c r="I24" s="38">
        <v>103.80072195188731</v>
      </c>
      <c r="J24" s="38">
        <v>104.17166651082781</v>
      </c>
      <c r="K24" s="38">
        <v>104.25463187459761</v>
      </c>
      <c r="L24" s="38">
        <v>104.45173264980019</v>
      </c>
      <c r="M24" s="38">
        <v>104.53066305843167</v>
      </c>
      <c r="N24" s="38">
        <f>AVERAGE(B24:M24)</f>
        <v>103.53883379948876</v>
      </c>
      <c r="O24" s="27" t="s">
        <v>20</v>
      </c>
      <c r="Q24" s="17"/>
    </row>
    <row r="25" spans="1:17" ht="15" x14ac:dyDescent="0.25">
      <c r="A25" s="9" t="s">
        <v>21</v>
      </c>
      <c r="B25" s="21">
        <v>101.45083290683624</v>
      </c>
      <c r="C25" s="21">
        <v>101.6780132053055</v>
      </c>
      <c r="D25" s="21">
        <v>102.06833656996474</v>
      </c>
      <c r="E25" s="21">
        <v>102.28151796320527</v>
      </c>
      <c r="F25" s="21">
        <v>101.87534331898557</v>
      </c>
      <c r="G25" s="21">
        <v>101.98111143964394</v>
      </c>
      <c r="H25" s="21">
        <v>102.0419939675199</v>
      </c>
      <c r="I25" s="21">
        <v>102.2462468357688</v>
      </c>
      <c r="J25" s="21">
        <v>102.70426648863089</v>
      </c>
      <c r="K25" s="21">
        <v>102.62523419341326</v>
      </c>
      <c r="L25" s="21">
        <v>102.12884294395305</v>
      </c>
      <c r="M25" s="21">
        <v>102.52380309864995</v>
      </c>
      <c r="N25" s="21">
        <f>AVERAGE(B25:M25)</f>
        <v>102.1337952443231</v>
      </c>
      <c r="O25" s="28" t="s">
        <v>22</v>
      </c>
      <c r="Q25" s="17"/>
    </row>
    <row r="26" spans="1:17" ht="15" x14ac:dyDescent="0.25">
      <c r="A26" s="10" t="s">
        <v>23</v>
      </c>
      <c r="B26" s="22">
        <v>101.45416524175526</v>
      </c>
      <c r="C26" s="22">
        <v>101.70086476706157</v>
      </c>
      <c r="D26" s="22">
        <v>102.04886021100479</v>
      </c>
      <c r="E26" s="22">
        <v>102.33682961497399</v>
      </c>
      <c r="F26" s="22">
        <v>101.86815542022681</v>
      </c>
      <c r="G26" s="22">
        <v>101.85970334612477</v>
      </c>
      <c r="H26" s="22">
        <v>101.90704868206718</v>
      </c>
      <c r="I26" s="22">
        <v>102.10465577027762</v>
      </c>
      <c r="J26" s="22">
        <v>102.46486845301983</v>
      </c>
      <c r="K26" s="22">
        <v>102.3927359958645</v>
      </c>
      <c r="L26" s="22">
        <v>101.8821859992369</v>
      </c>
      <c r="M26" s="22">
        <v>102.21949092839765</v>
      </c>
      <c r="N26" s="22">
        <f>AVERAGE(B26:M26)</f>
        <v>102.0199637025009</v>
      </c>
      <c r="O26" s="29" t="s">
        <v>24</v>
      </c>
      <c r="Q26" s="17"/>
    </row>
    <row r="27" spans="1:17" ht="17.25" x14ac:dyDescent="0.25">
      <c r="A27" s="20" t="s">
        <v>26</v>
      </c>
      <c r="B27" s="2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23" t="s">
        <v>70</v>
      </c>
      <c r="Q27" s="17"/>
    </row>
    <row r="28" spans="1:17" ht="15" x14ac:dyDescent="0.25">
      <c r="A28" s="11" t="s">
        <v>27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36"/>
      <c r="Q28" s="17"/>
    </row>
    <row r="29" spans="1:17" ht="15" x14ac:dyDescent="0.25">
      <c r="A29" s="11" t="s">
        <v>67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6"/>
      <c r="Q29" s="17"/>
    </row>
    <row r="30" spans="1:17" ht="15" x14ac:dyDescent="0.25">
      <c r="A30" s="24" t="s">
        <v>72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6"/>
      <c r="Q30" s="17"/>
    </row>
    <row r="31" spans="1:17" x14ac:dyDescent="0.45">
      <c r="Q31" s="17"/>
    </row>
    <row r="36" spans="17:17" x14ac:dyDescent="0.45">
      <c r="Q36" s="17"/>
    </row>
  </sheetData>
  <mergeCells count="5">
    <mergeCell ref="A1:O1"/>
    <mergeCell ref="Q1:X1"/>
    <mergeCell ref="A2:O2"/>
    <mergeCell ref="A3:O3"/>
    <mergeCell ref="A4:O4"/>
  </mergeCells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2024-06-10T05:05:11Z</cp:lastPrinted>
  <dcterms:created xsi:type="dcterms:W3CDTF">2019-03-21T03:27:43Z</dcterms:created>
  <dcterms:modified xsi:type="dcterms:W3CDTF">2024-06-10T05:05:23Z</dcterms:modified>
</cp:coreProperties>
</file>