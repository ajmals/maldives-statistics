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5B1BC7A4-5291-495D-A3CE-897083C0500D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8" sheetId="9" r:id="rId1"/>
  </sheets>
  <externalReferences>
    <externalReference r:id="rId2"/>
    <externalReference r:id="rId3"/>
    <externalReference r:id="rId4"/>
  </externalReferences>
  <definedNames>
    <definedName name="_xlnm.Print_Area" localSheetId="0">'3.8'!$A$1:$L$38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9" l="1"/>
  <c r="D7" i="9"/>
  <c r="H8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 s="1"/>
  <c r="J9" i="9"/>
  <c r="I9" i="9"/>
  <c r="H9" i="9" s="1"/>
  <c r="E9" i="9"/>
  <c r="E7" i="9" s="1"/>
  <c r="D9" i="9"/>
  <c r="C8" i="9"/>
  <c r="J7" i="9"/>
  <c r="I7" i="9"/>
  <c r="H7" i="9" s="1"/>
</calcChain>
</file>

<file path=xl/sharedStrings.xml><?xml version="1.0" encoding="utf-8"?>
<sst xmlns="http://schemas.openxmlformats.org/spreadsheetml/2006/main" count="79" uniqueCount="72">
  <si>
    <t>cscnijed</t>
  </si>
  <si>
    <t>cnehirif</t>
  </si>
  <si>
    <t>cnehcnwa</t>
  </si>
  <si>
    <t>Both Sexes</t>
  </si>
  <si>
    <t>Male</t>
  </si>
  <si>
    <t>Female</t>
  </si>
  <si>
    <t>Locality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</si>
  <si>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</si>
  <si>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</si>
  <si>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</si>
  <si>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</si>
  <si>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</si>
  <si>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</si>
  <si>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</si>
  <si>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</si>
  <si>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</si>
  <si>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</si>
  <si>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</si>
  <si>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</si>
  <si>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</si>
  <si>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</si>
  <si>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</si>
  <si>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</si>
  <si>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</si>
  <si>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</si>
  <si>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</si>
  <si>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</si>
  <si>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</si>
  <si>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</si>
  <si>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</si>
  <si>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</si>
  <si>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</si>
  <si>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</si>
  <si>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</si>
  <si>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</si>
  <si>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</si>
  <si>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</si>
  <si>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</si>
  <si>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</si>
  <si>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</si>
  <si>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</si>
  <si>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</si>
  <si>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</si>
  <si>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</si>
  <si>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</si>
  <si>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</si>
  <si>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</si>
  <si>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</si>
  <si>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</si>
  <si>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ivcnwfua</t>
  </si>
  <si>
    <t>ivurwm</t>
  </si>
  <si>
    <t>Births</t>
  </si>
  <si>
    <t>Deaths</t>
  </si>
  <si>
    <t>K</t>
  </si>
  <si>
    <t>k</t>
  </si>
  <si>
    <t>Not stated</t>
  </si>
  <si>
    <t>ރާއްޖޭން ބޭރުގައި އުފަންވި އަދި މަރުވި ދިވެހިން</t>
  </si>
  <si>
    <t xml:space="preserve">Note: </t>
  </si>
  <si>
    <t xml:space="preserve">Few deaths have not certified in the same atoll/island in which the death occurred, those deaths are counted in the place of death certified atoll/island </t>
  </si>
  <si>
    <t xml:space="preserve">އަތޮޅުތަކުގެ ޖުމްލައިގެ ތެރޭގައި ރާއްޖޭން ބޭރުގައި އުފަންވި އަދި މަރުވި ދިވެހިނެއް ނުހިމެނޭނެއެވެ.  </t>
  </si>
  <si>
    <t>iawnwmihun cnIsEdib iawgumurukcaea wlcmuj  1_/</t>
  </si>
  <si>
    <t xml:space="preserve">Source: Ministry of Health </t>
  </si>
  <si>
    <t xml:space="preserve">މަޢުލޫމާތު ދެއްވީ: މިނިސްޓްރީ އޮފް ހެލްތު </t>
  </si>
  <si>
    <t>ތަން</t>
  </si>
  <si>
    <r>
      <t xml:space="preserve">Republic </t>
    </r>
    <r>
      <rPr>
        <b/>
        <vertAlign val="superscript"/>
        <sz val="10"/>
        <color indexed="8"/>
        <rFont val="Calibri"/>
        <family val="2"/>
      </rPr>
      <t>1_/</t>
    </r>
  </si>
  <si>
    <r>
      <t xml:space="preserve">Maldivians born and died abroad  </t>
    </r>
    <r>
      <rPr>
        <b/>
        <vertAlign val="superscript"/>
        <sz val="10"/>
        <color indexed="8"/>
        <rFont val="Calibri"/>
        <family val="2"/>
      </rPr>
      <t>2_/</t>
    </r>
  </si>
  <si>
    <t xml:space="preserve">ނ 2020 ވަނަ އަހަރުގެ މައުލޫމާތު ރިވައިޒުކުރަމުންދާތީވެ މިއަދަދުތަކަށް ބަދަލުއައުން އެކަށީގެންވެއެވެ. </t>
  </si>
  <si>
    <t xml:space="preserve">1_/ Total (Births  and Deaths)  include foreigners </t>
  </si>
  <si>
    <t xml:space="preserve"> Total include Maldivians born and died abroad </t>
  </si>
  <si>
    <t>Table 3.8 :  BIRTHS AND DEATHS, BY SEX AND LOCALITY,  2021</t>
  </si>
  <si>
    <t>2021 ,cnuhIm ivurwmiaWncnuhIm ivcnwfua cnutog eguscnij iaWncnutog egunwt : 3.8 ulwvWt</t>
  </si>
  <si>
    <t>2021 figures are revised and  tentative and is expected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</si>
</sst>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5" formatCode="0;[Red]0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Arial"/>
      <family val="2"/>
    </font>
    <font>
      <b/>
      <sz val="9"/>
      <color indexed="8"/>
      <name val="Win Ahamedey PRB"/>
      <family val="2"/>
    </font>
    <font>
      <b/>
      <sz val="9"/>
      <color indexed="8"/>
      <name val="A_Randhoo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1"/>
      <name val="Faruma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9"/>
      <color indexed="8"/>
      <name val="Arial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8"/>
      <color indexed="8"/>
      <name val="Calibri"/>
      <family val="2"/>
    </font>
    <font>
      <sz val="10"/>
      <name val="Calibri"/>
      <family val="2"/>
      <scheme val="minor"/>
    </font>
    <font>
      <sz val="8"/>
      <name val="Faruma"/>
    </font>
    <font>
      <sz val="10"/>
      <color indexed="8"/>
      <name val="Faruma"/>
    </font>
    <font>
      <sz val="9"/>
      <color indexed="8"/>
      <name val="A_Faseyha"/>
    </font>
    <font>
      <b/>
      <sz val="9"/>
      <color indexed="8"/>
      <name val="A_Faseyha"/>
    </font>
    <font>
      <b/>
      <sz val="10"/>
      <color indexed="8"/>
      <name val="A_Faseyha"/>
    </font>
    <font>
      <b/>
      <sz val="10"/>
      <color indexed="8"/>
      <name val="Arial"/>
      <family val="2"/>
    </font>
    <font>
      <b/>
      <vertAlign val="superscript"/>
      <sz val="10"/>
      <color indexed="8"/>
      <name val="Calibri"/>
      <family val="2"/>
    </font>
    <font>
      <sz val="10"/>
      <color indexed="8"/>
      <name val="A_Faseyha"/>
    </font>
    <font>
      <sz val="10"/>
      <color indexed="8"/>
      <name val="A_Randhoo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27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3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74">
    <xf numFmtId="0" fontId="0" fillId="0" borderId="0" xfId="0"/>
    <xf numFmtId="167" fontId="2" fillId="2" borderId="0" xfId="11" applyFill="1"/>
    <xf numFmtId="167" fontId="18" fillId="2" borderId="0" xfId="10" applyFont="1" applyFill="1"/>
    <xf numFmtId="167" fontId="9" fillId="2" borderId="0" xfId="0" applyNumberFormat="1" applyFont="1" applyFill="1" applyAlignment="1">
      <alignment horizontal="right" vertical="center"/>
    </xf>
    <xf numFmtId="167" fontId="9" fillId="2" borderId="5" xfId="0" applyNumberFormat="1" applyFont="1" applyFill="1" applyBorder="1" applyAlignment="1">
      <alignment horizontal="center" vertical="center"/>
    </xf>
    <xf numFmtId="167" fontId="7" fillId="2" borderId="8" xfId="0" applyNumberFormat="1" applyFont="1" applyFill="1" applyBorder="1" applyAlignment="1">
      <alignment vertical="center"/>
    </xf>
    <xf numFmtId="167" fontId="8" fillId="2" borderId="3" xfId="0" applyNumberFormat="1" applyFont="1" applyFill="1" applyBorder="1" applyAlignment="1">
      <alignment vertical="center"/>
    </xf>
    <xf numFmtId="167" fontId="6" fillId="2" borderId="1" xfId="0" applyNumberFormat="1" applyFont="1" applyFill="1" applyBorder="1" applyAlignment="1">
      <alignment horizontal="right" vertical="center" wrapText="1"/>
    </xf>
    <xf numFmtId="167" fontId="6" fillId="2" borderId="0" xfId="0" applyNumberFormat="1" applyFont="1" applyFill="1" applyAlignment="1">
      <alignment horizontal="right" vertical="center"/>
    </xf>
    <xf numFmtId="167" fontId="6" fillId="2" borderId="0" xfId="0" applyNumberFormat="1" applyFont="1" applyFill="1" applyAlignment="1">
      <alignment horizontal="right" vertical="center" wrapText="1"/>
    </xf>
    <xf numFmtId="167" fontId="6" fillId="2" borderId="3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Alignment="1">
      <alignment vertical="center"/>
    </xf>
    <xf numFmtId="3" fontId="16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 applyProtection="1">
      <alignment vertical="center"/>
      <protection locked="0"/>
    </xf>
    <xf numFmtId="3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 applyProtection="1">
      <alignment horizontal="right" vertical="center"/>
      <protection locked="0"/>
    </xf>
    <xf numFmtId="167" fontId="18" fillId="2" borderId="0" xfId="0" applyNumberFormat="1" applyFont="1" applyFill="1"/>
    <xf numFmtId="167" fontId="21" fillId="2" borderId="0" xfId="0" applyNumberFormat="1" applyFont="1" applyFill="1"/>
    <xf numFmtId="167" fontId="11" fillId="2" borderId="0" xfId="0" applyNumberFormat="1" applyFont="1" applyFill="1" applyAlignment="1">
      <alignment vertical="center"/>
    </xf>
    <xf numFmtId="167" fontId="23" fillId="2" borderId="0" xfId="0" applyNumberFormat="1" applyFont="1" applyFill="1"/>
    <xf numFmtId="167" fontId="11" fillId="2" borderId="0" xfId="0" applyNumberFormat="1" applyFont="1" applyFill="1" applyAlignment="1">
      <alignment horizontal="left" vertical="center"/>
    </xf>
    <xf numFmtId="167" fontId="12" fillId="2" borderId="0" xfId="0" applyNumberFormat="1" applyFont="1" applyFill="1" applyAlignment="1" applyProtection="1">
      <alignment horizontal="right"/>
      <protection hidden="1"/>
    </xf>
    <xf numFmtId="167" fontId="20" fillId="2" borderId="0" xfId="0" applyNumberFormat="1" applyFont="1" applyFill="1"/>
    <xf numFmtId="167" fontId="22" fillId="2" borderId="0" xfId="0" applyNumberFormat="1" applyFont="1" applyFill="1" applyAlignment="1" applyProtection="1">
      <alignment horizontal="right" vertical="top"/>
      <protection hidden="1"/>
    </xf>
    <xf numFmtId="167" fontId="22" fillId="2" borderId="0" xfId="10" applyFont="1" applyFill="1" applyAlignment="1" applyProtection="1">
      <alignment horizontal="right"/>
      <protection hidden="1"/>
    </xf>
    <xf numFmtId="167" fontId="27" fillId="2" borderId="0" xfId="0" applyNumberFormat="1" applyFont="1" applyFill="1" applyAlignment="1">
      <alignment horizontal="right" vertical="center"/>
    </xf>
    <xf numFmtId="167" fontId="28" fillId="2" borderId="7" xfId="0" applyNumberFormat="1" applyFont="1" applyFill="1" applyBorder="1" applyAlignment="1">
      <alignment horizontal="right" vertical="center"/>
    </xf>
    <xf numFmtId="167" fontId="28" fillId="2" borderId="0" xfId="0" applyNumberFormat="1" applyFont="1" applyFill="1" applyAlignment="1">
      <alignment horizontal="right" vertical="center"/>
    </xf>
    <xf numFmtId="167" fontId="30" fillId="2" borderId="0" xfId="10" applyFont="1" applyFill="1"/>
    <xf numFmtId="3" fontId="5" fillId="2" borderId="2" xfId="0" applyNumberFormat="1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vertical="center"/>
    </xf>
    <xf numFmtId="3" fontId="5" fillId="2" borderId="0" xfId="0" applyNumberFormat="1" applyFont="1" applyFill="1" applyAlignment="1" applyProtection="1">
      <alignment vertical="center"/>
      <protection locked="0"/>
    </xf>
    <xf numFmtId="3" fontId="14" fillId="2" borderId="0" xfId="0" applyNumberFormat="1" applyFont="1" applyFill="1" applyAlignment="1">
      <alignment vertical="center"/>
    </xf>
    <xf numFmtId="3" fontId="5" fillId="2" borderId="3" xfId="0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vertical="center"/>
    </xf>
    <xf numFmtId="3" fontId="21" fillId="2" borderId="3" xfId="0" applyNumberFormat="1" applyFont="1" applyFill="1" applyBorder="1" applyAlignment="1" applyProtection="1">
      <alignment vertical="center"/>
      <protection locked="0"/>
    </xf>
    <xf numFmtId="3" fontId="24" fillId="2" borderId="0" xfId="0" applyNumberFormat="1" applyFont="1" applyFill="1" applyAlignment="1" applyProtection="1">
      <alignment vertical="center"/>
      <protection locked="0"/>
    </xf>
    <xf numFmtId="3" fontId="21" fillId="2" borderId="3" xfId="0" applyNumberFormat="1" applyFont="1" applyFill="1" applyBorder="1" applyAlignment="1" applyProtection="1">
      <alignment horizontal="right" vertical="center"/>
      <protection locked="0"/>
    </xf>
    <xf numFmtId="3" fontId="3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 applyProtection="1">
      <alignment horizontal="right" vertical="center"/>
      <protection locked="0"/>
    </xf>
    <xf numFmtId="167" fontId="5" fillId="2" borderId="0" xfId="0" applyNumberFormat="1" applyFont="1" applyFill="1" applyAlignment="1">
      <alignment horizontal="left" vertical="center" indent="2"/>
    </xf>
    <xf numFmtId="167" fontId="29" fillId="2" borderId="0" xfId="0" applyNumberFormat="1" applyFont="1" applyFill="1" applyAlignment="1">
      <alignment horizontal="right" vertical="center" indent="1"/>
    </xf>
    <xf numFmtId="167" fontId="21" fillId="2" borderId="0" xfId="0" applyNumberFormat="1" applyFont="1" applyFill="1" applyAlignment="1">
      <alignment horizontal="left" vertical="center" indent="3"/>
    </xf>
    <xf numFmtId="3" fontId="21" fillId="2" borderId="0" xfId="0" applyNumberFormat="1" applyFont="1" applyFill="1" applyAlignment="1" applyProtection="1">
      <alignment vertical="center"/>
      <protection locked="0"/>
    </xf>
    <xf numFmtId="167" fontId="32" fillId="2" borderId="0" xfId="0" applyNumberFormat="1" applyFont="1" applyFill="1" applyAlignment="1">
      <alignment horizontal="right" vertical="center" indent="2"/>
    </xf>
    <xf numFmtId="3" fontId="21" fillId="2" borderId="0" xfId="0" applyNumberFormat="1" applyFont="1" applyFill="1" applyAlignment="1" applyProtection="1">
      <alignment horizontal="right" vertical="center"/>
      <protection locked="0"/>
    </xf>
    <xf numFmtId="167" fontId="30" fillId="2" borderId="0" xfId="0" applyNumberFormat="1" applyFont="1" applyFill="1" applyAlignment="1">
      <alignment vertical="center"/>
    </xf>
    <xf numFmtId="167" fontId="5" fillId="2" borderId="1" xfId="0" applyNumberFormat="1" applyFont="1" applyFill="1" applyBorder="1" applyAlignment="1">
      <alignment horizontal="left" vertical="center" wrapText="1" indent="2"/>
    </xf>
    <xf numFmtId="175" fontId="21" fillId="2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 applyProtection="1">
      <alignment vertical="center"/>
      <protection locked="0"/>
    </xf>
    <xf numFmtId="3" fontId="24" fillId="2" borderId="1" xfId="0" applyNumberFormat="1" applyFont="1" applyFill="1" applyBorder="1" applyAlignment="1">
      <alignment vertical="center"/>
    </xf>
    <xf numFmtId="3" fontId="24" fillId="2" borderId="1" xfId="0" applyNumberFormat="1" applyFont="1" applyFill="1" applyBorder="1" applyAlignment="1" applyProtection="1">
      <alignment horizontal="right" vertical="center"/>
      <protection locked="0"/>
    </xf>
    <xf numFmtId="3" fontId="21" fillId="2" borderId="4" xfId="0" applyNumberFormat="1" applyFont="1" applyFill="1" applyBorder="1" applyAlignment="1" applyProtection="1">
      <alignment horizontal="right" vertical="center"/>
      <protection locked="0"/>
    </xf>
    <xf numFmtId="167" fontId="26" fillId="2" borderId="1" xfId="0" applyNumberFormat="1" applyFont="1" applyFill="1" applyBorder="1" applyAlignment="1">
      <alignment horizontal="right" vertical="center" wrapText="1" indent="1"/>
    </xf>
    <xf numFmtId="167" fontId="5" fillId="2" borderId="0" xfId="0" applyNumberFormat="1" applyFont="1" applyFill="1" applyAlignment="1">
      <alignment horizontal="left" vertical="center" wrapText="1"/>
    </xf>
    <xf numFmtId="167" fontId="33" fillId="2" borderId="0" xfId="0" applyNumberFormat="1" applyFont="1" applyFill="1" applyAlignment="1">
      <alignment horizontal="right"/>
    </xf>
    <xf numFmtId="167" fontId="25" fillId="2" borderId="0" xfId="10" applyFont="1" applyFill="1" applyAlignment="1" applyProtection="1">
      <alignment horizontal="right"/>
      <protection hidden="1"/>
    </xf>
    <xf numFmtId="167" fontId="11" fillId="2" borderId="0" xfId="0" applyNumberFormat="1" applyFont="1" applyFill="1" applyAlignment="1">
      <alignment horizontal="left" vertical="center" wrapText="1"/>
    </xf>
    <xf numFmtId="167" fontId="28" fillId="2" borderId="5" xfId="0" applyNumberFormat="1" applyFont="1" applyFill="1" applyBorder="1" applyAlignment="1">
      <alignment horizontal="center" vertical="center"/>
    </xf>
    <xf numFmtId="167" fontId="5" fillId="2" borderId="0" xfId="0" applyNumberFormat="1" applyFont="1" applyFill="1" applyAlignment="1">
      <alignment horizontal="left" vertical="center" wrapText="1" indent="2"/>
    </xf>
    <xf numFmtId="175" fontId="21" fillId="2" borderId="0" xfId="0" applyNumberFormat="1" applyFont="1" applyFill="1" applyAlignment="1">
      <alignment horizontal="right" vertical="center"/>
    </xf>
    <xf numFmtId="167" fontId="26" fillId="2" borderId="0" xfId="0" applyNumberFormat="1" applyFont="1" applyFill="1" applyAlignment="1">
      <alignment horizontal="right" vertical="center" wrapText="1" indent="1"/>
    </xf>
    <xf numFmtId="167" fontId="15" fillId="2" borderId="0" xfId="10" applyFont="1" applyFill="1" applyAlignment="1" applyProtection="1">
      <alignment horizontal="right" vertical="center"/>
      <protection hidden="1"/>
    </xf>
    <xf numFmtId="0" fontId="34" fillId="0" borderId="0" xfId="26"/>
    <xf numFmtId="167" fontId="29" fillId="2" borderId="0" xfId="12" applyFont="1" applyFill="1" applyAlignment="1">
      <alignment horizontal="center" vertical="center"/>
    </xf>
    <xf numFmtId="167" fontId="19" fillId="2" borderId="1" xfId="10" applyFont="1" applyFill="1" applyBorder="1" applyAlignment="1">
      <alignment horizontal="center" vertical="top"/>
    </xf>
    <xf numFmtId="167" fontId="6" fillId="2" borderId="0" xfId="0" applyNumberFormat="1" applyFont="1" applyFill="1" applyAlignment="1">
      <alignment horizontal="left" vertical="center"/>
    </xf>
    <xf numFmtId="167" fontId="6" fillId="2" borderId="1" xfId="0" applyNumberFormat="1" applyFont="1" applyFill="1" applyBorder="1" applyAlignment="1">
      <alignment horizontal="left" vertical="center"/>
    </xf>
    <xf numFmtId="167" fontId="10" fillId="2" borderId="0" xfId="0" applyNumberFormat="1" applyFont="1" applyFill="1" applyAlignment="1">
      <alignment horizontal="right" vertical="center"/>
    </xf>
    <xf numFmtId="167" fontId="10" fillId="2" borderId="1" xfId="0" applyNumberFormat="1" applyFont="1" applyFill="1" applyBorder="1" applyAlignment="1">
      <alignment horizontal="right" vertical="center"/>
    </xf>
    <xf numFmtId="167" fontId="11" fillId="2" borderId="0" xfId="0" applyNumberFormat="1" applyFont="1" applyFill="1" applyAlignment="1">
      <alignment horizontal="left" vertical="center" wrapText="1"/>
    </xf>
    <xf numFmtId="167" fontId="22" fillId="2" borderId="0" xfId="0" applyNumberFormat="1" applyFont="1" applyFill="1" applyAlignment="1">
      <alignment horizontal="right" vertical="center"/>
    </xf>
    <xf numFmtId="167" fontId="6" fillId="2" borderId="5" xfId="0" applyNumberFormat="1" applyFont="1" applyFill="1" applyBorder="1" applyAlignment="1">
      <alignment horizontal="center" vertical="center"/>
    </xf>
  </cellXfs>
  <cellStyles count="27">
    <cellStyle name="1" xfId="15" xr:uid="{00000000-0005-0000-0000-000000000000}"/>
    <cellStyle name="Comma 2" xfId="14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Hyperlink" xfId="26" builtinId="8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3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Health Data" xfId="12" xr:uid="{00000000-0005-0000-0000-00001F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M70"/>
  <sheetViews>
    <sheetView tabSelected="1" zoomScale="112" zoomScaleNormal="112" workbookViewId="0">
      <selection activeCell="O10" sqref="O10"/>
    </sheetView>
  </sheetViews>
  <sheetFormatPr defaultColWidth="11.140625" defaultRowHeight="12.75"/>
  <cols>
    <col min="1" max="1" width="15.42578125" style="2" customWidth="1"/>
    <col min="2" max="2" width="1.7109375" style="2" hidden="1" customWidth="1"/>
    <col min="3" max="5" width="10.140625" style="2" customWidth="1"/>
    <col min="6" max="6" width="2.7109375" style="2" customWidth="1"/>
    <col min="7" max="7" width="1.5703125" style="2" customWidth="1"/>
    <col min="8" max="10" width="10.85546875" style="2" customWidth="1"/>
    <col min="11" max="11" width="17.5703125" style="2" customWidth="1"/>
    <col min="12" max="12" width="4.85546875" style="2" customWidth="1"/>
    <col min="13" max="256" width="11.140625" style="2"/>
    <col min="257" max="257" width="18" style="2" customWidth="1"/>
    <col min="258" max="258" width="1.7109375" style="2" customWidth="1"/>
    <col min="259" max="261" width="10.140625" style="2" customWidth="1"/>
    <col min="262" max="262" width="2.7109375" style="2" customWidth="1"/>
    <col min="263" max="263" width="1.5703125" style="2" customWidth="1"/>
    <col min="264" max="266" width="10.85546875" style="2" customWidth="1"/>
    <col min="267" max="267" width="17.5703125" style="2" customWidth="1"/>
    <col min="268" max="268" width="27.42578125" style="2" customWidth="1"/>
    <col min="269" max="512" width="11.140625" style="2"/>
    <col min="513" max="513" width="18" style="2" customWidth="1"/>
    <col min="514" max="514" width="1.7109375" style="2" customWidth="1"/>
    <col min="515" max="517" width="10.140625" style="2" customWidth="1"/>
    <col min="518" max="518" width="2.7109375" style="2" customWidth="1"/>
    <col min="519" max="519" width="1.5703125" style="2" customWidth="1"/>
    <col min="520" max="522" width="10.85546875" style="2" customWidth="1"/>
    <col min="523" max="523" width="17.5703125" style="2" customWidth="1"/>
    <col min="524" max="524" width="27.42578125" style="2" customWidth="1"/>
    <col min="525" max="768" width="11.140625" style="2"/>
    <col min="769" max="769" width="18" style="2" customWidth="1"/>
    <col min="770" max="770" width="1.7109375" style="2" customWidth="1"/>
    <col min="771" max="773" width="10.140625" style="2" customWidth="1"/>
    <col min="774" max="774" width="2.7109375" style="2" customWidth="1"/>
    <col min="775" max="775" width="1.5703125" style="2" customWidth="1"/>
    <col min="776" max="778" width="10.85546875" style="2" customWidth="1"/>
    <col min="779" max="779" width="17.5703125" style="2" customWidth="1"/>
    <col min="780" max="780" width="27.42578125" style="2" customWidth="1"/>
    <col min="781" max="1024" width="11.140625" style="2"/>
    <col min="1025" max="1025" width="18" style="2" customWidth="1"/>
    <col min="1026" max="1026" width="1.7109375" style="2" customWidth="1"/>
    <col min="1027" max="1029" width="10.140625" style="2" customWidth="1"/>
    <col min="1030" max="1030" width="2.7109375" style="2" customWidth="1"/>
    <col min="1031" max="1031" width="1.5703125" style="2" customWidth="1"/>
    <col min="1032" max="1034" width="10.85546875" style="2" customWidth="1"/>
    <col min="1035" max="1035" width="17.5703125" style="2" customWidth="1"/>
    <col min="1036" max="1036" width="27.42578125" style="2" customWidth="1"/>
    <col min="1037" max="1280" width="11.140625" style="2"/>
    <col min="1281" max="1281" width="18" style="2" customWidth="1"/>
    <col min="1282" max="1282" width="1.7109375" style="2" customWidth="1"/>
    <col min="1283" max="1285" width="10.140625" style="2" customWidth="1"/>
    <col min="1286" max="1286" width="2.7109375" style="2" customWidth="1"/>
    <col min="1287" max="1287" width="1.5703125" style="2" customWidth="1"/>
    <col min="1288" max="1290" width="10.85546875" style="2" customWidth="1"/>
    <col min="1291" max="1291" width="17.5703125" style="2" customWidth="1"/>
    <col min="1292" max="1292" width="27.42578125" style="2" customWidth="1"/>
    <col min="1293" max="1536" width="11.140625" style="2"/>
    <col min="1537" max="1537" width="18" style="2" customWidth="1"/>
    <col min="1538" max="1538" width="1.7109375" style="2" customWidth="1"/>
    <col min="1539" max="1541" width="10.140625" style="2" customWidth="1"/>
    <col min="1542" max="1542" width="2.7109375" style="2" customWidth="1"/>
    <col min="1543" max="1543" width="1.5703125" style="2" customWidth="1"/>
    <col min="1544" max="1546" width="10.85546875" style="2" customWidth="1"/>
    <col min="1547" max="1547" width="17.5703125" style="2" customWidth="1"/>
    <col min="1548" max="1548" width="27.42578125" style="2" customWidth="1"/>
    <col min="1549" max="1792" width="11.140625" style="2"/>
    <col min="1793" max="1793" width="18" style="2" customWidth="1"/>
    <col min="1794" max="1794" width="1.7109375" style="2" customWidth="1"/>
    <col min="1795" max="1797" width="10.140625" style="2" customWidth="1"/>
    <col min="1798" max="1798" width="2.7109375" style="2" customWidth="1"/>
    <col min="1799" max="1799" width="1.5703125" style="2" customWidth="1"/>
    <col min="1800" max="1802" width="10.85546875" style="2" customWidth="1"/>
    <col min="1803" max="1803" width="17.5703125" style="2" customWidth="1"/>
    <col min="1804" max="1804" width="27.42578125" style="2" customWidth="1"/>
    <col min="1805" max="2048" width="11.140625" style="2"/>
    <col min="2049" max="2049" width="18" style="2" customWidth="1"/>
    <col min="2050" max="2050" width="1.7109375" style="2" customWidth="1"/>
    <col min="2051" max="2053" width="10.140625" style="2" customWidth="1"/>
    <col min="2054" max="2054" width="2.7109375" style="2" customWidth="1"/>
    <col min="2055" max="2055" width="1.5703125" style="2" customWidth="1"/>
    <col min="2056" max="2058" width="10.85546875" style="2" customWidth="1"/>
    <col min="2059" max="2059" width="17.5703125" style="2" customWidth="1"/>
    <col min="2060" max="2060" width="27.42578125" style="2" customWidth="1"/>
    <col min="2061" max="2304" width="11.140625" style="2"/>
    <col min="2305" max="2305" width="18" style="2" customWidth="1"/>
    <col min="2306" max="2306" width="1.7109375" style="2" customWidth="1"/>
    <col min="2307" max="2309" width="10.140625" style="2" customWidth="1"/>
    <col min="2310" max="2310" width="2.7109375" style="2" customWidth="1"/>
    <col min="2311" max="2311" width="1.5703125" style="2" customWidth="1"/>
    <col min="2312" max="2314" width="10.85546875" style="2" customWidth="1"/>
    <col min="2315" max="2315" width="17.5703125" style="2" customWidth="1"/>
    <col min="2316" max="2316" width="27.42578125" style="2" customWidth="1"/>
    <col min="2317" max="2560" width="11.140625" style="2"/>
    <col min="2561" max="2561" width="18" style="2" customWidth="1"/>
    <col min="2562" max="2562" width="1.7109375" style="2" customWidth="1"/>
    <col min="2563" max="2565" width="10.140625" style="2" customWidth="1"/>
    <col min="2566" max="2566" width="2.7109375" style="2" customWidth="1"/>
    <col min="2567" max="2567" width="1.5703125" style="2" customWidth="1"/>
    <col min="2568" max="2570" width="10.85546875" style="2" customWidth="1"/>
    <col min="2571" max="2571" width="17.5703125" style="2" customWidth="1"/>
    <col min="2572" max="2572" width="27.42578125" style="2" customWidth="1"/>
    <col min="2573" max="2816" width="11.140625" style="2"/>
    <col min="2817" max="2817" width="18" style="2" customWidth="1"/>
    <col min="2818" max="2818" width="1.7109375" style="2" customWidth="1"/>
    <col min="2819" max="2821" width="10.140625" style="2" customWidth="1"/>
    <col min="2822" max="2822" width="2.7109375" style="2" customWidth="1"/>
    <col min="2823" max="2823" width="1.5703125" style="2" customWidth="1"/>
    <col min="2824" max="2826" width="10.85546875" style="2" customWidth="1"/>
    <col min="2827" max="2827" width="17.5703125" style="2" customWidth="1"/>
    <col min="2828" max="2828" width="27.42578125" style="2" customWidth="1"/>
    <col min="2829" max="3072" width="11.140625" style="2"/>
    <col min="3073" max="3073" width="18" style="2" customWidth="1"/>
    <col min="3074" max="3074" width="1.7109375" style="2" customWidth="1"/>
    <col min="3075" max="3077" width="10.140625" style="2" customWidth="1"/>
    <col min="3078" max="3078" width="2.7109375" style="2" customWidth="1"/>
    <col min="3079" max="3079" width="1.5703125" style="2" customWidth="1"/>
    <col min="3080" max="3082" width="10.85546875" style="2" customWidth="1"/>
    <col min="3083" max="3083" width="17.5703125" style="2" customWidth="1"/>
    <col min="3084" max="3084" width="27.42578125" style="2" customWidth="1"/>
    <col min="3085" max="3328" width="11.140625" style="2"/>
    <col min="3329" max="3329" width="18" style="2" customWidth="1"/>
    <col min="3330" max="3330" width="1.7109375" style="2" customWidth="1"/>
    <col min="3331" max="3333" width="10.140625" style="2" customWidth="1"/>
    <col min="3334" max="3334" width="2.7109375" style="2" customWidth="1"/>
    <col min="3335" max="3335" width="1.5703125" style="2" customWidth="1"/>
    <col min="3336" max="3338" width="10.85546875" style="2" customWidth="1"/>
    <col min="3339" max="3339" width="17.5703125" style="2" customWidth="1"/>
    <col min="3340" max="3340" width="27.42578125" style="2" customWidth="1"/>
    <col min="3341" max="3584" width="11.140625" style="2"/>
    <col min="3585" max="3585" width="18" style="2" customWidth="1"/>
    <col min="3586" max="3586" width="1.7109375" style="2" customWidth="1"/>
    <col min="3587" max="3589" width="10.140625" style="2" customWidth="1"/>
    <col min="3590" max="3590" width="2.7109375" style="2" customWidth="1"/>
    <col min="3591" max="3591" width="1.5703125" style="2" customWidth="1"/>
    <col min="3592" max="3594" width="10.85546875" style="2" customWidth="1"/>
    <col min="3595" max="3595" width="17.5703125" style="2" customWidth="1"/>
    <col min="3596" max="3596" width="27.42578125" style="2" customWidth="1"/>
    <col min="3597" max="3840" width="11.140625" style="2"/>
    <col min="3841" max="3841" width="18" style="2" customWidth="1"/>
    <col min="3842" max="3842" width="1.7109375" style="2" customWidth="1"/>
    <col min="3843" max="3845" width="10.140625" style="2" customWidth="1"/>
    <col min="3846" max="3846" width="2.7109375" style="2" customWidth="1"/>
    <col min="3847" max="3847" width="1.5703125" style="2" customWidth="1"/>
    <col min="3848" max="3850" width="10.85546875" style="2" customWidth="1"/>
    <col min="3851" max="3851" width="17.5703125" style="2" customWidth="1"/>
    <col min="3852" max="3852" width="27.42578125" style="2" customWidth="1"/>
    <col min="3853" max="4096" width="11.140625" style="2"/>
    <col min="4097" max="4097" width="18" style="2" customWidth="1"/>
    <col min="4098" max="4098" width="1.7109375" style="2" customWidth="1"/>
    <col min="4099" max="4101" width="10.140625" style="2" customWidth="1"/>
    <col min="4102" max="4102" width="2.7109375" style="2" customWidth="1"/>
    <col min="4103" max="4103" width="1.5703125" style="2" customWidth="1"/>
    <col min="4104" max="4106" width="10.85546875" style="2" customWidth="1"/>
    <col min="4107" max="4107" width="17.5703125" style="2" customWidth="1"/>
    <col min="4108" max="4108" width="27.42578125" style="2" customWidth="1"/>
    <col min="4109" max="4352" width="11.140625" style="2"/>
    <col min="4353" max="4353" width="18" style="2" customWidth="1"/>
    <col min="4354" max="4354" width="1.7109375" style="2" customWidth="1"/>
    <col min="4355" max="4357" width="10.140625" style="2" customWidth="1"/>
    <col min="4358" max="4358" width="2.7109375" style="2" customWidth="1"/>
    <col min="4359" max="4359" width="1.5703125" style="2" customWidth="1"/>
    <col min="4360" max="4362" width="10.85546875" style="2" customWidth="1"/>
    <col min="4363" max="4363" width="17.5703125" style="2" customWidth="1"/>
    <col min="4364" max="4364" width="27.42578125" style="2" customWidth="1"/>
    <col min="4365" max="4608" width="11.140625" style="2"/>
    <col min="4609" max="4609" width="18" style="2" customWidth="1"/>
    <col min="4610" max="4610" width="1.7109375" style="2" customWidth="1"/>
    <col min="4611" max="4613" width="10.140625" style="2" customWidth="1"/>
    <col min="4614" max="4614" width="2.7109375" style="2" customWidth="1"/>
    <col min="4615" max="4615" width="1.5703125" style="2" customWidth="1"/>
    <col min="4616" max="4618" width="10.85546875" style="2" customWidth="1"/>
    <col min="4619" max="4619" width="17.5703125" style="2" customWidth="1"/>
    <col min="4620" max="4620" width="27.42578125" style="2" customWidth="1"/>
    <col min="4621" max="4864" width="11.140625" style="2"/>
    <col min="4865" max="4865" width="18" style="2" customWidth="1"/>
    <col min="4866" max="4866" width="1.7109375" style="2" customWidth="1"/>
    <col min="4867" max="4869" width="10.140625" style="2" customWidth="1"/>
    <col min="4870" max="4870" width="2.7109375" style="2" customWidth="1"/>
    <col min="4871" max="4871" width="1.5703125" style="2" customWidth="1"/>
    <col min="4872" max="4874" width="10.85546875" style="2" customWidth="1"/>
    <col min="4875" max="4875" width="17.5703125" style="2" customWidth="1"/>
    <col min="4876" max="4876" width="27.42578125" style="2" customWidth="1"/>
    <col min="4877" max="5120" width="11.140625" style="2"/>
    <col min="5121" max="5121" width="18" style="2" customWidth="1"/>
    <col min="5122" max="5122" width="1.7109375" style="2" customWidth="1"/>
    <col min="5123" max="5125" width="10.140625" style="2" customWidth="1"/>
    <col min="5126" max="5126" width="2.7109375" style="2" customWidth="1"/>
    <col min="5127" max="5127" width="1.5703125" style="2" customWidth="1"/>
    <col min="5128" max="5130" width="10.85546875" style="2" customWidth="1"/>
    <col min="5131" max="5131" width="17.5703125" style="2" customWidth="1"/>
    <col min="5132" max="5132" width="27.42578125" style="2" customWidth="1"/>
    <col min="5133" max="5376" width="11.140625" style="2"/>
    <col min="5377" max="5377" width="18" style="2" customWidth="1"/>
    <col min="5378" max="5378" width="1.7109375" style="2" customWidth="1"/>
    <col min="5379" max="5381" width="10.140625" style="2" customWidth="1"/>
    <col min="5382" max="5382" width="2.7109375" style="2" customWidth="1"/>
    <col min="5383" max="5383" width="1.5703125" style="2" customWidth="1"/>
    <col min="5384" max="5386" width="10.85546875" style="2" customWidth="1"/>
    <col min="5387" max="5387" width="17.5703125" style="2" customWidth="1"/>
    <col min="5388" max="5388" width="27.42578125" style="2" customWidth="1"/>
    <col min="5389" max="5632" width="11.140625" style="2"/>
    <col min="5633" max="5633" width="18" style="2" customWidth="1"/>
    <col min="5634" max="5634" width="1.7109375" style="2" customWidth="1"/>
    <col min="5635" max="5637" width="10.140625" style="2" customWidth="1"/>
    <col min="5638" max="5638" width="2.7109375" style="2" customWidth="1"/>
    <col min="5639" max="5639" width="1.5703125" style="2" customWidth="1"/>
    <col min="5640" max="5642" width="10.85546875" style="2" customWidth="1"/>
    <col min="5643" max="5643" width="17.5703125" style="2" customWidth="1"/>
    <col min="5644" max="5644" width="27.42578125" style="2" customWidth="1"/>
    <col min="5645" max="5888" width="11.140625" style="2"/>
    <col min="5889" max="5889" width="18" style="2" customWidth="1"/>
    <col min="5890" max="5890" width="1.7109375" style="2" customWidth="1"/>
    <col min="5891" max="5893" width="10.140625" style="2" customWidth="1"/>
    <col min="5894" max="5894" width="2.7109375" style="2" customWidth="1"/>
    <col min="5895" max="5895" width="1.5703125" style="2" customWidth="1"/>
    <col min="5896" max="5898" width="10.85546875" style="2" customWidth="1"/>
    <col min="5899" max="5899" width="17.5703125" style="2" customWidth="1"/>
    <col min="5900" max="5900" width="27.42578125" style="2" customWidth="1"/>
    <col min="5901" max="6144" width="11.140625" style="2"/>
    <col min="6145" max="6145" width="18" style="2" customWidth="1"/>
    <col min="6146" max="6146" width="1.7109375" style="2" customWidth="1"/>
    <col min="6147" max="6149" width="10.140625" style="2" customWidth="1"/>
    <col min="6150" max="6150" width="2.7109375" style="2" customWidth="1"/>
    <col min="6151" max="6151" width="1.5703125" style="2" customWidth="1"/>
    <col min="6152" max="6154" width="10.85546875" style="2" customWidth="1"/>
    <col min="6155" max="6155" width="17.5703125" style="2" customWidth="1"/>
    <col min="6156" max="6156" width="27.42578125" style="2" customWidth="1"/>
    <col min="6157" max="6400" width="11.140625" style="2"/>
    <col min="6401" max="6401" width="18" style="2" customWidth="1"/>
    <col min="6402" max="6402" width="1.7109375" style="2" customWidth="1"/>
    <col min="6403" max="6405" width="10.140625" style="2" customWidth="1"/>
    <col min="6406" max="6406" width="2.7109375" style="2" customWidth="1"/>
    <col min="6407" max="6407" width="1.5703125" style="2" customWidth="1"/>
    <col min="6408" max="6410" width="10.85546875" style="2" customWidth="1"/>
    <col min="6411" max="6411" width="17.5703125" style="2" customWidth="1"/>
    <col min="6412" max="6412" width="27.42578125" style="2" customWidth="1"/>
    <col min="6413" max="6656" width="11.140625" style="2"/>
    <col min="6657" max="6657" width="18" style="2" customWidth="1"/>
    <col min="6658" max="6658" width="1.7109375" style="2" customWidth="1"/>
    <col min="6659" max="6661" width="10.140625" style="2" customWidth="1"/>
    <col min="6662" max="6662" width="2.7109375" style="2" customWidth="1"/>
    <col min="6663" max="6663" width="1.5703125" style="2" customWidth="1"/>
    <col min="6664" max="6666" width="10.85546875" style="2" customWidth="1"/>
    <col min="6667" max="6667" width="17.5703125" style="2" customWidth="1"/>
    <col min="6668" max="6668" width="27.42578125" style="2" customWidth="1"/>
    <col min="6669" max="6912" width="11.140625" style="2"/>
    <col min="6913" max="6913" width="18" style="2" customWidth="1"/>
    <col min="6914" max="6914" width="1.7109375" style="2" customWidth="1"/>
    <col min="6915" max="6917" width="10.140625" style="2" customWidth="1"/>
    <col min="6918" max="6918" width="2.7109375" style="2" customWidth="1"/>
    <col min="6919" max="6919" width="1.5703125" style="2" customWidth="1"/>
    <col min="6920" max="6922" width="10.85546875" style="2" customWidth="1"/>
    <col min="6923" max="6923" width="17.5703125" style="2" customWidth="1"/>
    <col min="6924" max="6924" width="27.42578125" style="2" customWidth="1"/>
    <col min="6925" max="7168" width="11.140625" style="2"/>
    <col min="7169" max="7169" width="18" style="2" customWidth="1"/>
    <col min="7170" max="7170" width="1.7109375" style="2" customWidth="1"/>
    <col min="7171" max="7173" width="10.140625" style="2" customWidth="1"/>
    <col min="7174" max="7174" width="2.7109375" style="2" customWidth="1"/>
    <col min="7175" max="7175" width="1.5703125" style="2" customWidth="1"/>
    <col min="7176" max="7178" width="10.85546875" style="2" customWidth="1"/>
    <col min="7179" max="7179" width="17.5703125" style="2" customWidth="1"/>
    <col min="7180" max="7180" width="27.42578125" style="2" customWidth="1"/>
    <col min="7181" max="7424" width="11.140625" style="2"/>
    <col min="7425" max="7425" width="18" style="2" customWidth="1"/>
    <col min="7426" max="7426" width="1.7109375" style="2" customWidth="1"/>
    <col min="7427" max="7429" width="10.140625" style="2" customWidth="1"/>
    <col min="7430" max="7430" width="2.7109375" style="2" customWidth="1"/>
    <col min="7431" max="7431" width="1.5703125" style="2" customWidth="1"/>
    <col min="7432" max="7434" width="10.85546875" style="2" customWidth="1"/>
    <col min="7435" max="7435" width="17.5703125" style="2" customWidth="1"/>
    <col min="7436" max="7436" width="27.42578125" style="2" customWidth="1"/>
    <col min="7437" max="7680" width="11.140625" style="2"/>
    <col min="7681" max="7681" width="18" style="2" customWidth="1"/>
    <col min="7682" max="7682" width="1.7109375" style="2" customWidth="1"/>
    <col min="7683" max="7685" width="10.140625" style="2" customWidth="1"/>
    <col min="7686" max="7686" width="2.7109375" style="2" customWidth="1"/>
    <col min="7687" max="7687" width="1.5703125" style="2" customWidth="1"/>
    <col min="7688" max="7690" width="10.85546875" style="2" customWidth="1"/>
    <col min="7691" max="7691" width="17.5703125" style="2" customWidth="1"/>
    <col min="7692" max="7692" width="27.42578125" style="2" customWidth="1"/>
    <col min="7693" max="7936" width="11.140625" style="2"/>
    <col min="7937" max="7937" width="18" style="2" customWidth="1"/>
    <col min="7938" max="7938" width="1.7109375" style="2" customWidth="1"/>
    <col min="7939" max="7941" width="10.140625" style="2" customWidth="1"/>
    <col min="7942" max="7942" width="2.7109375" style="2" customWidth="1"/>
    <col min="7943" max="7943" width="1.5703125" style="2" customWidth="1"/>
    <col min="7944" max="7946" width="10.85546875" style="2" customWidth="1"/>
    <col min="7947" max="7947" width="17.5703125" style="2" customWidth="1"/>
    <col min="7948" max="7948" width="27.42578125" style="2" customWidth="1"/>
    <col min="7949" max="8192" width="11.140625" style="2"/>
    <col min="8193" max="8193" width="18" style="2" customWidth="1"/>
    <col min="8194" max="8194" width="1.7109375" style="2" customWidth="1"/>
    <col min="8195" max="8197" width="10.140625" style="2" customWidth="1"/>
    <col min="8198" max="8198" width="2.7109375" style="2" customWidth="1"/>
    <col min="8199" max="8199" width="1.5703125" style="2" customWidth="1"/>
    <col min="8200" max="8202" width="10.85546875" style="2" customWidth="1"/>
    <col min="8203" max="8203" width="17.5703125" style="2" customWidth="1"/>
    <col min="8204" max="8204" width="27.42578125" style="2" customWidth="1"/>
    <col min="8205" max="8448" width="11.140625" style="2"/>
    <col min="8449" max="8449" width="18" style="2" customWidth="1"/>
    <col min="8450" max="8450" width="1.7109375" style="2" customWidth="1"/>
    <col min="8451" max="8453" width="10.140625" style="2" customWidth="1"/>
    <col min="8454" max="8454" width="2.7109375" style="2" customWidth="1"/>
    <col min="8455" max="8455" width="1.5703125" style="2" customWidth="1"/>
    <col min="8456" max="8458" width="10.85546875" style="2" customWidth="1"/>
    <col min="8459" max="8459" width="17.5703125" style="2" customWidth="1"/>
    <col min="8460" max="8460" width="27.42578125" style="2" customWidth="1"/>
    <col min="8461" max="8704" width="11.140625" style="2"/>
    <col min="8705" max="8705" width="18" style="2" customWidth="1"/>
    <col min="8706" max="8706" width="1.7109375" style="2" customWidth="1"/>
    <col min="8707" max="8709" width="10.140625" style="2" customWidth="1"/>
    <col min="8710" max="8710" width="2.7109375" style="2" customWidth="1"/>
    <col min="8711" max="8711" width="1.5703125" style="2" customWidth="1"/>
    <col min="8712" max="8714" width="10.85546875" style="2" customWidth="1"/>
    <col min="8715" max="8715" width="17.5703125" style="2" customWidth="1"/>
    <col min="8716" max="8716" width="27.42578125" style="2" customWidth="1"/>
    <col min="8717" max="8960" width="11.140625" style="2"/>
    <col min="8961" max="8961" width="18" style="2" customWidth="1"/>
    <col min="8962" max="8962" width="1.7109375" style="2" customWidth="1"/>
    <col min="8963" max="8965" width="10.140625" style="2" customWidth="1"/>
    <col min="8966" max="8966" width="2.7109375" style="2" customWidth="1"/>
    <col min="8967" max="8967" width="1.5703125" style="2" customWidth="1"/>
    <col min="8968" max="8970" width="10.85546875" style="2" customWidth="1"/>
    <col min="8971" max="8971" width="17.5703125" style="2" customWidth="1"/>
    <col min="8972" max="8972" width="27.42578125" style="2" customWidth="1"/>
    <col min="8973" max="9216" width="11.140625" style="2"/>
    <col min="9217" max="9217" width="18" style="2" customWidth="1"/>
    <col min="9218" max="9218" width="1.7109375" style="2" customWidth="1"/>
    <col min="9219" max="9221" width="10.140625" style="2" customWidth="1"/>
    <col min="9222" max="9222" width="2.7109375" style="2" customWidth="1"/>
    <col min="9223" max="9223" width="1.5703125" style="2" customWidth="1"/>
    <col min="9224" max="9226" width="10.85546875" style="2" customWidth="1"/>
    <col min="9227" max="9227" width="17.5703125" style="2" customWidth="1"/>
    <col min="9228" max="9228" width="27.42578125" style="2" customWidth="1"/>
    <col min="9229" max="9472" width="11.140625" style="2"/>
    <col min="9473" max="9473" width="18" style="2" customWidth="1"/>
    <col min="9474" max="9474" width="1.7109375" style="2" customWidth="1"/>
    <col min="9475" max="9477" width="10.140625" style="2" customWidth="1"/>
    <col min="9478" max="9478" width="2.7109375" style="2" customWidth="1"/>
    <col min="9479" max="9479" width="1.5703125" style="2" customWidth="1"/>
    <col min="9480" max="9482" width="10.85546875" style="2" customWidth="1"/>
    <col min="9483" max="9483" width="17.5703125" style="2" customWidth="1"/>
    <col min="9484" max="9484" width="27.42578125" style="2" customWidth="1"/>
    <col min="9485" max="9728" width="11.140625" style="2"/>
    <col min="9729" max="9729" width="18" style="2" customWidth="1"/>
    <col min="9730" max="9730" width="1.7109375" style="2" customWidth="1"/>
    <col min="9731" max="9733" width="10.140625" style="2" customWidth="1"/>
    <col min="9734" max="9734" width="2.7109375" style="2" customWidth="1"/>
    <col min="9735" max="9735" width="1.5703125" style="2" customWidth="1"/>
    <col min="9736" max="9738" width="10.85546875" style="2" customWidth="1"/>
    <col min="9739" max="9739" width="17.5703125" style="2" customWidth="1"/>
    <col min="9740" max="9740" width="27.42578125" style="2" customWidth="1"/>
    <col min="9741" max="9984" width="11.140625" style="2"/>
    <col min="9985" max="9985" width="18" style="2" customWidth="1"/>
    <col min="9986" max="9986" width="1.7109375" style="2" customWidth="1"/>
    <col min="9987" max="9989" width="10.140625" style="2" customWidth="1"/>
    <col min="9990" max="9990" width="2.7109375" style="2" customWidth="1"/>
    <col min="9991" max="9991" width="1.5703125" style="2" customWidth="1"/>
    <col min="9992" max="9994" width="10.85546875" style="2" customWidth="1"/>
    <col min="9995" max="9995" width="17.5703125" style="2" customWidth="1"/>
    <col min="9996" max="9996" width="27.42578125" style="2" customWidth="1"/>
    <col min="9997" max="10240" width="11.140625" style="2"/>
    <col min="10241" max="10241" width="18" style="2" customWidth="1"/>
    <col min="10242" max="10242" width="1.7109375" style="2" customWidth="1"/>
    <col min="10243" max="10245" width="10.140625" style="2" customWidth="1"/>
    <col min="10246" max="10246" width="2.7109375" style="2" customWidth="1"/>
    <col min="10247" max="10247" width="1.5703125" style="2" customWidth="1"/>
    <col min="10248" max="10250" width="10.85546875" style="2" customWidth="1"/>
    <col min="10251" max="10251" width="17.5703125" style="2" customWidth="1"/>
    <col min="10252" max="10252" width="27.42578125" style="2" customWidth="1"/>
    <col min="10253" max="10496" width="11.140625" style="2"/>
    <col min="10497" max="10497" width="18" style="2" customWidth="1"/>
    <col min="10498" max="10498" width="1.7109375" style="2" customWidth="1"/>
    <col min="10499" max="10501" width="10.140625" style="2" customWidth="1"/>
    <col min="10502" max="10502" width="2.7109375" style="2" customWidth="1"/>
    <col min="10503" max="10503" width="1.5703125" style="2" customWidth="1"/>
    <col min="10504" max="10506" width="10.85546875" style="2" customWidth="1"/>
    <col min="10507" max="10507" width="17.5703125" style="2" customWidth="1"/>
    <col min="10508" max="10508" width="27.42578125" style="2" customWidth="1"/>
    <col min="10509" max="10752" width="11.140625" style="2"/>
    <col min="10753" max="10753" width="18" style="2" customWidth="1"/>
    <col min="10754" max="10754" width="1.7109375" style="2" customWidth="1"/>
    <col min="10755" max="10757" width="10.140625" style="2" customWidth="1"/>
    <col min="10758" max="10758" width="2.7109375" style="2" customWidth="1"/>
    <col min="10759" max="10759" width="1.5703125" style="2" customWidth="1"/>
    <col min="10760" max="10762" width="10.85546875" style="2" customWidth="1"/>
    <col min="10763" max="10763" width="17.5703125" style="2" customWidth="1"/>
    <col min="10764" max="10764" width="27.42578125" style="2" customWidth="1"/>
    <col min="10765" max="11008" width="11.140625" style="2"/>
    <col min="11009" max="11009" width="18" style="2" customWidth="1"/>
    <col min="11010" max="11010" width="1.7109375" style="2" customWidth="1"/>
    <col min="11011" max="11013" width="10.140625" style="2" customWidth="1"/>
    <col min="11014" max="11014" width="2.7109375" style="2" customWidth="1"/>
    <col min="11015" max="11015" width="1.5703125" style="2" customWidth="1"/>
    <col min="11016" max="11018" width="10.85546875" style="2" customWidth="1"/>
    <col min="11019" max="11019" width="17.5703125" style="2" customWidth="1"/>
    <col min="11020" max="11020" width="27.42578125" style="2" customWidth="1"/>
    <col min="11021" max="11264" width="11.140625" style="2"/>
    <col min="11265" max="11265" width="18" style="2" customWidth="1"/>
    <col min="11266" max="11266" width="1.7109375" style="2" customWidth="1"/>
    <col min="11267" max="11269" width="10.140625" style="2" customWidth="1"/>
    <col min="11270" max="11270" width="2.7109375" style="2" customWidth="1"/>
    <col min="11271" max="11271" width="1.5703125" style="2" customWidth="1"/>
    <col min="11272" max="11274" width="10.85546875" style="2" customWidth="1"/>
    <col min="11275" max="11275" width="17.5703125" style="2" customWidth="1"/>
    <col min="11276" max="11276" width="27.42578125" style="2" customWidth="1"/>
    <col min="11277" max="11520" width="11.140625" style="2"/>
    <col min="11521" max="11521" width="18" style="2" customWidth="1"/>
    <col min="11522" max="11522" width="1.7109375" style="2" customWidth="1"/>
    <col min="11523" max="11525" width="10.140625" style="2" customWidth="1"/>
    <col min="11526" max="11526" width="2.7109375" style="2" customWidth="1"/>
    <col min="11527" max="11527" width="1.5703125" style="2" customWidth="1"/>
    <col min="11528" max="11530" width="10.85546875" style="2" customWidth="1"/>
    <col min="11531" max="11531" width="17.5703125" style="2" customWidth="1"/>
    <col min="11532" max="11532" width="27.42578125" style="2" customWidth="1"/>
    <col min="11533" max="11776" width="11.140625" style="2"/>
    <col min="11777" max="11777" width="18" style="2" customWidth="1"/>
    <col min="11778" max="11778" width="1.7109375" style="2" customWidth="1"/>
    <col min="11779" max="11781" width="10.140625" style="2" customWidth="1"/>
    <col min="11782" max="11782" width="2.7109375" style="2" customWidth="1"/>
    <col min="11783" max="11783" width="1.5703125" style="2" customWidth="1"/>
    <col min="11784" max="11786" width="10.85546875" style="2" customWidth="1"/>
    <col min="11787" max="11787" width="17.5703125" style="2" customWidth="1"/>
    <col min="11788" max="11788" width="27.42578125" style="2" customWidth="1"/>
    <col min="11789" max="12032" width="11.140625" style="2"/>
    <col min="12033" max="12033" width="18" style="2" customWidth="1"/>
    <col min="12034" max="12034" width="1.7109375" style="2" customWidth="1"/>
    <col min="12035" max="12037" width="10.140625" style="2" customWidth="1"/>
    <col min="12038" max="12038" width="2.7109375" style="2" customWidth="1"/>
    <col min="12039" max="12039" width="1.5703125" style="2" customWidth="1"/>
    <col min="12040" max="12042" width="10.85546875" style="2" customWidth="1"/>
    <col min="12043" max="12043" width="17.5703125" style="2" customWidth="1"/>
    <col min="12044" max="12044" width="27.42578125" style="2" customWidth="1"/>
    <col min="12045" max="12288" width="11.140625" style="2"/>
    <col min="12289" max="12289" width="18" style="2" customWidth="1"/>
    <col min="12290" max="12290" width="1.7109375" style="2" customWidth="1"/>
    <col min="12291" max="12293" width="10.140625" style="2" customWidth="1"/>
    <col min="12294" max="12294" width="2.7109375" style="2" customWidth="1"/>
    <col min="12295" max="12295" width="1.5703125" style="2" customWidth="1"/>
    <col min="12296" max="12298" width="10.85546875" style="2" customWidth="1"/>
    <col min="12299" max="12299" width="17.5703125" style="2" customWidth="1"/>
    <col min="12300" max="12300" width="27.42578125" style="2" customWidth="1"/>
    <col min="12301" max="12544" width="11.140625" style="2"/>
    <col min="12545" max="12545" width="18" style="2" customWidth="1"/>
    <col min="12546" max="12546" width="1.7109375" style="2" customWidth="1"/>
    <col min="12547" max="12549" width="10.140625" style="2" customWidth="1"/>
    <col min="12550" max="12550" width="2.7109375" style="2" customWidth="1"/>
    <col min="12551" max="12551" width="1.5703125" style="2" customWidth="1"/>
    <col min="12552" max="12554" width="10.85546875" style="2" customWidth="1"/>
    <col min="12555" max="12555" width="17.5703125" style="2" customWidth="1"/>
    <col min="12556" max="12556" width="27.42578125" style="2" customWidth="1"/>
    <col min="12557" max="12800" width="11.140625" style="2"/>
    <col min="12801" max="12801" width="18" style="2" customWidth="1"/>
    <col min="12802" max="12802" width="1.7109375" style="2" customWidth="1"/>
    <col min="12803" max="12805" width="10.140625" style="2" customWidth="1"/>
    <col min="12806" max="12806" width="2.7109375" style="2" customWidth="1"/>
    <col min="12807" max="12807" width="1.5703125" style="2" customWidth="1"/>
    <col min="12808" max="12810" width="10.85546875" style="2" customWidth="1"/>
    <col min="12811" max="12811" width="17.5703125" style="2" customWidth="1"/>
    <col min="12812" max="12812" width="27.42578125" style="2" customWidth="1"/>
    <col min="12813" max="13056" width="11.140625" style="2"/>
    <col min="13057" max="13057" width="18" style="2" customWidth="1"/>
    <col min="13058" max="13058" width="1.7109375" style="2" customWidth="1"/>
    <col min="13059" max="13061" width="10.140625" style="2" customWidth="1"/>
    <col min="13062" max="13062" width="2.7109375" style="2" customWidth="1"/>
    <col min="13063" max="13063" width="1.5703125" style="2" customWidth="1"/>
    <col min="13064" max="13066" width="10.85546875" style="2" customWidth="1"/>
    <col min="13067" max="13067" width="17.5703125" style="2" customWidth="1"/>
    <col min="13068" max="13068" width="27.42578125" style="2" customWidth="1"/>
    <col min="13069" max="13312" width="11.140625" style="2"/>
    <col min="13313" max="13313" width="18" style="2" customWidth="1"/>
    <col min="13314" max="13314" width="1.7109375" style="2" customWidth="1"/>
    <col min="13315" max="13317" width="10.140625" style="2" customWidth="1"/>
    <col min="13318" max="13318" width="2.7109375" style="2" customWidth="1"/>
    <col min="13319" max="13319" width="1.5703125" style="2" customWidth="1"/>
    <col min="13320" max="13322" width="10.85546875" style="2" customWidth="1"/>
    <col min="13323" max="13323" width="17.5703125" style="2" customWidth="1"/>
    <col min="13324" max="13324" width="27.42578125" style="2" customWidth="1"/>
    <col min="13325" max="13568" width="11.140625" style="2"/>
    <col min="13569" max="13569" width="18" style="2" customWidth="1"/>
    <col min="13570" max="13570" width="1.7109375" style="2" customWidth="1"/>
    <col min="13571" max="13573" width="10.140625" style="2" customWidth="1"/>
    <col min="13574" max="13574" width="2.7109375" style="2" customWidth="1"/>
    <col min="13575" max="13575" width="1.5703125" style="2" customWidth="1"/>
    <col min="13576" max="13578" width="10.85546875" style="2" customWidth="1"/>
    <col min="13579" max="13579" width="17.5703125" style="2" customWidth="1"/>
    <col min="13580" max="13580" width="27.42578125" style="2" customWidth="1"/>
    <col min="13581" max="13824" width="11.140625" style="2"/>
    <col min="13825" max="13825" width="18" style="2" customWidth="1"/>
    <col min="13826" max="13826" width="1.7109375" style="2" customWidth="1"/>
    <col min="13827" max="13829" width="10.140625" style="2" customWidth="1"/>
    <col min="13830" max="13830" width="2.7109375" style="2" customWidth="1"/>
    <col min="13831" max="13831" width="1.5703125" style="2" customWidth="1"/>
    <col min="13832" max="13834" width="10.85546875" style="2" customWidth="1"/>
    <col min="13835" max="13835" width="17.5703125" style="2" customWidth="1"/>
    <col min="13836" max="13836" width="27.42578125" style="2" customWidth="1"/>
    <col min="13837" max="14080" width="11.140625" style="2"/>
    <col min="14081" max="14081" width="18" style="2" customWidth="1"/>
    <col min="14082" max="14082" width="1.7109375" style="2" customWidth="1"/>
    <col min="14083" max="14085" width="10.140625" style="2" customWidth="1"/>
    <col min="14086" max="14086" width="2.7109375" style="2" customWidth="1"/>
    <col min="14087" max="14087" width="1.5703125" style="2" customWidth="1"/>
    <col min="14088" max="14090" width="10.85546875" style="2" customWidth="1"/>
    <col min="14091" max="14091" width="17.5703125" style="2" customWidth="1"/>
    <col min="14092" max="14092" width="27.42578125" style="2" customWidth="1"/>
    <col min="14093" max="14336" width="11.140625" style="2"/>
    <col min="14337" max="14337" width="18" style="2" customWidth="1"/>
    <col min="14338" max="14338" width="1.7109375" style="2" customWidth="1"/>
    <col min="14339" max="14341" width="10.140625" style="2" customWidth="1"/>
    <col min="14342" max="14342" width="2.7109375" style="2" customWidth="1"/>
    <col min="14343" max="14343" width="1.5703125" style="2" customWidth="1"/>
    <col min="14344" max="14346" width="10.85546875" style="2" customWidth="1"/>
    <col min="14347" max="14347" width="17.5703125" style="2" customWidth="1"/>
    <col min="14348" max="14348" width="27.42578125" style="2" customWidth="1"/>
    <col min="14349" max="14592" width="11.140625" style="2"/>
    <col min="14593" max="14593" width="18" style="2" customWidth="1"/>
    <col min="14594" max="14594" width="1.7109375" style="2" customWidth="1"/>
    <col min="14595" max="14597" width="10.140625" style="2" customWidth="1"/>
    <col min="14598" max="14598" width="2.7109375" style="2" customWidth="1"/>
    <col min="14599" max="14599" width="1.5703125" style="2" customWidth="1"/>
    <col min="14600" max="14602" width="10.85546875" style="2" customWidth="1"/>
    <col min="14603" max="14603" width="17.5703125" style="2" customWidth="1"/>
    <col min="14604" max="14604" width="27.42578125" style="2" customWidth="1"/>
    <col min="14605" max="14848" width="11.140625" style="2"/>
    <col min="14849" max="14849" width="18" style="2" customWidth="1"/>
    <col min="14850" max="14850" width="1.7109375" style="2" customWidth="1"/>
    <col min="14851" max="14853" width="10.140625" style="2" customWidth="1"/>
    <col min="14854" max="14854" width="2.7109375" style="2" customWidth="1"/>
    <col min="14855" max="14855" width="1.5703125" style="2" customWidth="1"/>
    <col min="14856" max="14858" width="10.85546875" style="2" customWidth="1"/>
    <col min="14859" max="14859" width="17.5703125" style="2" customWidth="1"/>
    <col min="14860" max="14860" width="27.42578125" style="2" customWidth="1"/>
    <col min="14861" max="15104" width="11.140625" style="2"/>
    <col min="15105" max="15105" width="18" style="2" customWidth="1"/>
    <col min="15106" max="15106" width="1.7109375" style="2" customWidth="1"/>
    <col min="15107" max="15109" width="10.140625" style="2" customWidth="1"/>
    <col min="15110" max="15110" width="2.7109375" style="2" customWidth="1"/>
    <col min="15111" max="15111" width="1.5703125" style="2" customWidth="1"/>
    <col min="15112" max="15114" width="10.85546875" style="2" customWidth="1"/>
    <col min="15115" max="15115" width="17.5703125" style="2" customWidth="1"/>
    <col min="15116" max="15116" width="27.42578125" style="2" customWidth="1"/>
    <col min="15117" max="15360" width="11.140625" style="2"/>
    <col min="15361" max="15361" width="18" style="2" customWidth="1"/>
    <col min="15362" max="15362" width="1.7109375" style="2" customWidth="1"/>
    <col min="15363" max="15365" width="10.140625" style="2" customWidth="1"/>
    <col min="15366" max="15366" width="2.7109375" style="2" customWidth="1"/>
    <col min="15367" max="15367" width="1.5703125" style="2" customWidth="1"/>
    <col min="15368" max="15370" width="10.85546875" style="2" customWidth="1"/>
    <col min="15371" max="15371" width="17.5703125" style="2" customWidth="1"/>
    <col min="15372" max="15372" width="27.42578125" style="2" customWidth="1"/>
    <col min="15373" max="15616" width="11.140625" style="2"/>
    <col min="15617" max="15617" width="18" style="2" customWidth="1"/>
    <col min="15618" max="15618" width="1.7109375" style="2" customWidth="1"/>
    <col min="15619" max="15621" width="10.140625" style="2" customWidth="1"/>
    <col min="15622" max="15622" width="2.7109375" style="2" customWidth="1"/>
    <col min="15623" max="15623" width="1.5703125" style="2" customWidth="1"/>
    <col min="15624" max="15626" width="10.85546875" style="2" customWidth="1"/>
    <col min="15627" max="15627" width="17.5703125" style="2" customWidth="1"/>
    <col min="15628" max="15628" width="27.42578125" style="2" customWidth="1"/>
    <col min="15629" max="15872" width="11.140625" style="2"/>
    <col min="15873" max="15873" width="18" style="2" customWidth="1"/>
    <col min="15874" max="15874" width="1.7109375" style="2" customWidth="1"/>
    <col min="15875" max="15877" width="10.140625" style="2" customWidth="1"/>
    <col min="15878" max="15878" width="2.7109375" style="2" customWidth="1"/>
    <col min="15879" max="15879" width="1.5703125" style="2" customWidth="1"/>
    <col min="15880" max="15882" width="10.85546875" style="2" customWidth="1"/>
    <col min="15883" max="15883" width="17.5703125" style="2" customWidth="1"/>
    <col min="15884" max="15884" width="27.42578125" style="2" customWidth="1"/>
    <col min="15885" max="16128" width="11.140625" style="2"/>
    <col min="16129" max="16129" width="18" style="2" customWidth="1"/>
    <col min="16130" max="16130" width="1.7109375" style="2" customWidth="1"/>
    <col min="16131" max="16133" width="10.140625" style="2" customWidth="1"/>
    <col min="16134" max="16134" width="2.7109375" style="2" customWidth="1"/>
    <col min="16135" max="16135" width="1.5703125" style="2" customWidth="1"/>
    <col min="16136" max="16138" width="10.85546875" style="2" customWidth="1"/>
    <col min="16139" max="16139" width="17.5703125" style="2" customWidth="1"/>
    <col min="16140" max="16140" width="27.42578125" style="2" customWidth="1"/>
    <col min="16141" max="16384" width="11.140625" style="2"/>
  </cols>
  <sheetData>
    <row r="1" spans="1:11" ht="17.25">
      <c r="A1" s="20"/>
      <c r="B1" s="21"/>
      <c r="C1" s="21"/>
      <c r="D1" s="21"/>
      <c r="E1" s="21"/>
      <c r="F1" s="21"/>
      <c r="G1" s="16"/>
      <c r="H1" s="22"/>
      <c r="I1" s="22"/>
      <c r="J1" s="23"/>
      <c r="K1" s="24"/>
    </row>
    <row r="2" spans="1:11" ht="15.75">
      <c r="A2" s="65" t="s">
        <v>70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15">
      <c r="A3" s="66" t="s">
        <v>69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ht="15">
      <c r="A4" s="67" t="s">
        <v>6</v>
      </c>
      <c r="B4" s="3"/>
      <c r="C4" s="73" t="s">
        <v>51</v>
      </c>
      <c r="D4" s="73"/>
      <c r="E4" s="59" t="s">
        <v>49</v>
      </c>
      <c r="F4" s="4"/>
      <c r="G4" s="5"/>
      <c r="H4" s="73" t="s">
        <v>52</v>
      </c>
      <c r="I4" s="73"/>
      <c r="J4" s="59" t="s">
        <v>50</v>
      </c>
      <c r="K4" s="69" t="s">
        <v>63</v>
      </c>
    </row>
    <row r="5" spans="1:11" ht="15">
      <c r="A5" s="67"/>
      <c r="B5" s="3"/>
      <c r="C5" s="26" t="s">
        <v>0</v>
      </c>
      <c r="D5" s="26" t="s">
        <v>1</v>
      </c>
      <c r="E5" s="27" t="s">
        <v>2</v>
      </c>
      <c r="F5" s="3"/>
      <c r="G5" s="6"/>
      <c r="H5" s="26" t="s">
        <v>0</v>
      </c>
      <c r="I5" s="26" t="s">
        <v>1</v>
      </c>
      <c r="J5" s="27" t="s">
        <v>2</v>
      </c>
      <c r="K5" s="69"/>
    </row>
    <row r="6" spans="1:11">
      <c r="A6" s="68"/>
      <c r="B6" s="7"/>
      <c r="C6" s="8" t="s">
        <v>3</v>
      </c>
      <c r="D6" s="8" t="s">
        <v>4</v>
      </c>
      <c r="E6" s="9" t="s">
        <v>5</v>
      </c>
      <c r="F6" s="9"/>
      <c r="G6" s="10"/>
      <c r="H6" s="8" t="s">
        <v>3</v>
      </c>
      <c r="I6" s="8" t="s">
        <v>4</v>
      </c>
      <c r="J6" s="9" t="s">
        <v>5</v>
      </c>
      <c r="K6" s="70"/>
    </row>
    <row r="7" spans="1:11" ht="15.75">
      <c r="A7" s="41" t="s">
        <v>64</v>
      </c>
      <c r="B7" s="34"/>
      <c r="C7" s="29">
        <f>SUM(D7:E7)</f>
        <v>5914</v>
      </c>
      <c r="D7" s="29">
        <f>D8+D9+D31</f>
        <v>2951</v>
      </c>
      <c r="E7" s="29">
        <f>E8+E9+E31</f>
        <v>2963</v>
      </c>
      <c r="F7" s="29"/>
      <c r="G7" s="30"/>
      <c r="H7" s="29">
        <f>SUM(I7:J7)</f>
        <v>1513</v>
      </c>
      <c r="I7" s="29">
        <f>I8+I9+I31</f>
        <v>902</v>
      </c>
      <c r="J7" s="29">
        <f>J8+J9+J31</f>
        <v>611</v>
      </c>
      <c r="K7" s="42" t="s">
        <v>7</v>
      </c>
    </row>
    <row r="8" spans="1:11" s="28" customFormat="1" ht="15.75">
      <c r="A8" s="41" t="s">
        <v>8</v>
      </c>
      <c r="B8" s="34"/>
      <c r="C8" s="31">
        <f>SUM(D8:E8)</f>
        <v>3191</v>
      </c>
      <c r="D8" s="34">
        <v>1584</v>
      </c>
      <c r="E8" s="34">
        <v>1607</v>
      </c>
      <c r="F8" s="32"/>
      <c r="G8" s="33"/>
      <c r="H8" s="31">
        <f t="shared" ref="H8:H31" si="0">SUM(I8:J8)</f>
        <v>880</v>
      </c>
      <c r="I8" s="34">
        <v>499</v>
      </c>
      <c r="J8" s="34">
        <v>381</v>
      </c>
      <c r="K8" s="42" t="s">
        <v>9</v>
      </c>
    </row>
    <row r="9" spans="1:11" ht="15.75">
      <c r="A9" s="41" t="s">
        <v>10</v>
      </c>
      <c r="B9" s="34"/>
      <c r="C9" s="31">
        <f>SUM(C10:C29)</f>
        <v>2723</v>
      </c>
      <c r="D9" s="34">
        <f>SUM(D10:D29)</f>
        <v>1367</v>
      </c>
      <c r="E9" s="34">
        <f>SUM(E10:E29)</f>
        <v>1356</v>
      </c>
      <c r="F9" s="34"/>
      <c r="G9" s="33"/>
      <c r="H9" s="31">
        <f t="shared" si="0"/>
        <v>632</v>
      </c>
      <c r="I9" s="34">
        <f>SUM(I10:I29)</f>
        <v>403</v>
      </c>
      <c r="J9" s="34">
        <f>SUM(J10:J29)</f>
        <v>229</v>
      </c>
      <c r="K9" s="42" t="s">
        <v>11</v>
      </c>
    </row>
    <row r="10" spans="1:11" ht="15.75">
      <c r="A10" s="43" t="s">
        <v>12</v>
      </c>
      <c r="B10" s="44"/>
      <c r="C10" s="31">
        <f>SUM(D10:E10)</f>
        <v>133</v>
      </c>
      <c r="D10" s="35">
        <v>67</v>
      </c>
      <c r="E10" s="35">
        <v>66</v>
      </c>
      <c r="F10" s="35"/>
      <c r="G10" s="36"/>
      <c r="H10" s="31">
        <f t="shared" si="0"/>
        <v>33</v>
      </c>
      <c r="I10" s="35">
        <v>24</v>
      </c>
      <c r="J10" s="35">
        <v>9</v>
      </c>
      <c r="K10" s="45" t="s">
        <v>13</v>
      </c>
    </row>
    <row r="11" spans="1:11" ht="15.75">
      <c r="A11" s="43" t="s">
        <v>14</v>
      </c>
      <c r="B11" s="46"/>
      <c r="C11" s="31">
        <f t="shared" ref="C11:C31" si="1">SUM(D11:E11)</f>
        <v>514</v>
      </c>
      <c r="D11" s="35">
        <v>253</v>
      </c>
      <c r="E11" s="35">
        <v>261</v>
      </c>
      <c r="F11" s="37"/>
      <c r="G11" s="38"/>
      <c r="H11" s="31">
        <f t="shared" si="0"/>
        <v>85</v>
      </c>
      <c r="I11" s="35">
        <v>50</v>
      </c>
      <c r="J11" s="35">
        <v>35</v>
      </c>
      <c r="K11" s="45" t="s">
        <v>15</v>
      </c>
    </row>
    <row r="12" spans="1:11" ht="15.75">
      <c r="A12" s="43" t="s">
        <v>16</v>
      </c>
      <c r="B12" s="46"/>
      <c r="C12" s="31">
        <f t="shared" si="1"/>
        <v>118</v>
      </c>
      <c r="D12" s="35">
        <v>61</v>
      </c>
      <c r="E12" s="35">
        <v>57</v>
      </c>
      <c r="F12" s="39"/>
      <c r="G12" s="38"/>
      <c r="H12" s="31">
        <f t="shared" si="0"/>
        <v>20</v>
      </c>
      <c r="I12" s="35">
        <v>11</v>
      </c>
      <c r="J12" s="35">
        <v>9</v>
      </c>
      <c r="K12" s="45" t="s">
        <v>17</v>
      </c>
    </row>
    <row r="13" spans="1:11" ht="15.75">
      <c r="A13" s="43" t="s">
        <v>18</v>
      </c>
      <c r="B13" s="47"/>
      <c r="C13" s="31">
        <f t="shared" si="1"/>
        <v>52</v>
      </c>
      <c r="D13" s="35">
        <v>31</v>
      </c>
      <c r="E13" s="35">
        <v>21</v>
      </c>
      <c r="F13" s="40"/>
      <c r="G13" s="38"/>
      <c r="H13" s="31">
        <f t="shared" si="0"/>
        <v>21</v>
      </c>
      <c r="I13" s="35">
        <v>12</v>
      </c>
      <c r="J13" s="35">
        <v>9</v>
      </c>
      <c r="K13" s="45" t="s">
        <v>19</v>
      </c>
    </row>
    <row r="14" spans="1:11" ht="15.75">
      <c r="A14" s="43" t="s">
        <v>20</v>
      </c>
      <c r="B14" s="47"/>
      <c r="C14" s="31">
        <f t="shared" si="1"/>
        <v>395</v>
      </c>
      <c r="D14" s="35">
        <v>184</v>
      </c>
      <c r="E14" s="35">
        <v>211</v>
      </c>
      <c r="F14" s="40"/>
      <c r="G14" s="38"/>
      <c r="H14" s="31">
        <f t="shared" si="0"/>
        <v>39</v>
      </c>
      <c r="I14" s="35">
        <v>20</v>
      </c>
      <c r="J14" s="35">
        <v>19</v>
      </c>
      <c r="K14" s="45" t="s">
        <v>21</v>
      </c>
    </row>
    <row r="15" spans="1:11" ht="15.75">
      <c r="A15" s="43" t="s">
        <v>22</v>
      </c>
      <c r="B15" s="47"/>
      <c r="C15" s="31">
        <f t="shared" si="1"/>
        <v>97</v>
      </c>
      <c r="D15" s="35">
        <v>51</v>
      </c>
      <c r="E15" s="35">
        <v>46</v>
      </c>
      <c r="F15" s="40"/>
      <c r="G15" s="38"/>
      <c r="H15" s="31">
        <f t="shared" si="0"/>
        <v>32</v>
      </c>
      <c r="I15" s="35">
        <v>18</v>
      </c>
      <c r="J15" s="35">
        <v>14</v>
      </c>
      <c r="K15" s="45" t="s">
        <v>23</v>
      </c>
    </row>
    <row r="16" spans="1:11" ht="15.75">
      <c r="A16" s="43" t="s">
        <v>24</v>
      </c>
      <c r="B16" s="46"/>
      <c r="C16" s="31">
        <f t="shared" si="1"/>
        <v>91</v>
      </c>
      <c r="D16" s="35">
        <v>44</v>
      </c>
      <c r="E16" s="35">
        <v>47</v>
      </c>
      <c r="F16" s="40"/>
      <c r="G16" s="38"/>
      <c r="H16" s="31">
        <f t="shared" si="0"/>
        <v>38</v>
      </c>
      <c r="I16" s="35">
        <v>28</v>
      </c>
      <c r="J16" s="35">
        <v>10</v>
      </c>
      <c r="K16" s="45" t="s">
        <v>25</v>
      </c>
    </row>
    <row r="17" spans="1:13" ht="15.75">
      <c r="A17" s="43" t="s">
        <v>53</v>
      </c>
      <c r="B17" s="46"/>
      <c r="C17" s="31">
        <f t="shared" si="1"/>
        <v>1</v>
      </c>
      <c r="D17" s="35">
        <v>0</v>
      </c>
      <c r="E17" s="35">
        <v>1</v>
      </c>
      <c r="F17" s="40"/>
      <c r="G17" s="38"/>
      <c r="H17" s="31">
        <f t="shared" si="0"/>
        <v>35</v>
      </c>
      <c r="I17" s="35">
        <v>22</v>
      </c>
      <c r="J17" s="35">
        <v>13</v>
      </c>
      <c r="K17" s="45" t="s">
        <v>54</v>
      </c>
      <c r="L17" s="12"/>
    </row>
    <row r="18" spans="1:13" ht="15.75">
      <c r="A18" s="43" t="s">
        <v>26</v>
      </c>
      <c r="B18" s="46"/>
      <c r="C18" s="31">
        <f t="shared" si="1"/>
        <v>28</v>
      </c>
      <c r="D18" s="35">
        <v>15</v>
      </c>
      <c r="E18" s="35">
        <v>13</v>
      </c>
      <c r="F18" s="40"/>
      <c r="G18" s="38"/>
      <c r="H18" s="31">
        <f t="shared" si="0"/>
        <v>11</v>
      </c>
      <c r="I18" s="35">
        <v>9</v>
      </c>
      <c r="J18" s="35">
        <v>2</v>
      </c>
      <c r="K18" s="45" t="s">
        <v>27</v>
      </c>
      <c r="L18" s="11"/>
    </row>
    <row r="19" spans="1:13" ht="15.75">
      <c r="A19" s="43" t="s">
        <v>28</v>
      </c>
      <c r="B19" s="46"/>
      <c r="C19" s="31">
        <f t="shared" si="1"/>
        <v>76</v>
      </c>
      <c r="D19" s="35">
        <v>35</v>
      </c>
      <c r="E19" s="35">
        <v>41</v>
      </c>
      <c r="F19" s="40"/>
      <c r="G19" s="38"/>
      <c r="H19" s="31">
        <f t="shared" si="0"/>
        <v>21</v>
      </c>
      <c r="I19" s="35">
        <v>12</v>
      </c>
      <c r="J19" s="35">
        <v>9</v>
      </c>
      <c r="K19" s="45" t="s">
        <v>29</v>
      </c>
      <c r="L19" s="13"/>
    </row>
    <row r="20" spans="1:13" ht="15.75">
      <c r="A20" s="43" t="s">
        <v>30</v>
      </c>
      <c r="B20" s="46"/>
      <c r="C20" s="31">
        <f t="shared" si="1"/>
        <v>0</v>
      </c>
      <c r="D20" s="35">
        <v>0</v>
      </c>
      <c r="E20" s="35">
        <v>0</v>
      </c>
      <c r="F20" s="40"/>
      <c r="G20" s="38"/>
      <c r="H20" s="31">
        <f t="shared" si="0"/>
        <v>3</v>
      </c>
      <c r="I20" s="35">
        <v>3</v>
      </c>
      <c r="J20" s="35">
        <v>0</v>
      </c>
      <c r="K20" s="45" t="s">
        <v>31</v>
      </c>
      <c r="L20" s="15"/>
    </row>
    <row r="21" spans="1:13" ht="15.75">
      <c r="A21" s="43" t="s">
        <v>32</v>
      </c>
      <c r="B21" s="46"/>
      <c r="C21" s="31">
        <f t="shared" si="1"/>
        <v>31</v>
      </c>
      <c r="D21" s="35">
        <v>15</v>
      </c>
      <c r="E21" s="35">
        <v>16</v>
      </c>
      <c r="F21" s="40"/>
      <c r="G21" s="38"/>
      <c r="H21" s="31">
        <f t="shared" si="0"/>
        <v>19</v>
      </c>
      <c r="I21" s="35">
        <v>12</v>
      </c>
      <c r="J21" s="35">
        <v>7</v>
      </c>
      <c r="K21" s="45" t="s">
        <v>33</v>
      </c>
      <c r="L21" s="15"/>
    </row>
    <row r="22" spans="1:13" ht="15.75">
      <c r="A22" s="43" t="s">
        <v>34</v>
      </c>
      <c r="B22" s="46"/>
      <c r="C22" s="31">
        <f t="shared" si="1"/>
        <v>46</v>
      </c>
      <c r="D22" s="35">
        <v>22</v>
      </c>
      <c r="E22" s="35">
        <v>24</v>
      </c>
      <c r="F22" s="40"/>
      <c r="G22" s="38"/>
      <c r="H22" s="31">
        <f t="shared" si="0"/>
        <v>12</v>
      </c>
      <c r="I22" s="35">
        <v>6</v>
      </c>
      <c r="J22" s="35">
        <v>6</v>
      </c>
      <c r="K22" s="45" t="s">
        <v>35</v>
      </c>
      <c r="L22" s="15"/>
    </row>
    <row r="23" spans="1:13" ht="15.75">
      <c r="A23" s="43" t="s">
        <v>36</v>
      </c>
      <c r="B23" s="46"/>
      <c r="C23" s="31">
        <f t="shared" si="1"/>
        <v>64</v>
      </c>
      <c r="D23" s="35">
        <v>36</v>
      </c>
      <c r="E23" s="35">
        <v>28</v>
      </c>
      <c r="F23" s="40"/>
      <c r="G23" s="38"/>
      <c r="H23" s="31">
        <f t="shared" si="0"/>
        <v>11</v>
      </c>
      <c r="I23" s="35">
        <v>8</v>
      </c>
      <c r="J23" s="35">
        <v>3</v>
      </c>
      <c r="K23" s="45" t="s">
        <v>37</v>
      </c>
      <c r="L23" s="15"/>
    </row>
    <row r="24" spans="1:13" ht="15.75">
      <c r="A24" s="43" t="s">
        <v>38</v>
      </c>
      <c r="B24" s="46"/>
      <c r="C24" s="31">
        <f t="shared" si="1"/>
        <v>56</v>
      </c>
      <c r="D24" s="35">
        <v>30</v>
      </c>
      <c r="E24" s="35">
        <v>26</v>
      </c>
      <c r="F24" s="40"/>
      <c r="G24" s="38"/>
      <c r="H24" s="31">
        <f t="shared" si="0"/>
        <v>18</v>
      </c>
      <c r="I24" s="35">
        <v>11</v>
      </c>
      <c r="J24" s="35">
        <v>7</v>
      </c>
      <c r="K24" s="45" t="s">
        <v>39</v>
      </c>
      <c r="L24" s="15"/>
    </row>
    <row r="25" spans="1:13" ht="15.75">
      <c r="A25" s="43" t="s">
        <v>40</v>
      </c>
      <c r="B25" s="46"/>
      <c r="C25" s="31">
        <f t="shared" si="1"/>
        <v>288</v>
      </c>
      <c r="D25" s="35">
        <v>156</v>
      </c>
      <c r="E25" s="35">
        <v>132</v>
      </c>
      <c r="F25" s="35"/>
      <c r="G25" s="38"/>
      <c r="H25" s="31">
        <f t="shared" si="0"/>
        <v>40</v>
      </c>
      <c r="I25" s="35">
        <v>24</v>
      </c>
      <c r="J25" s="35">
        <v>16</v>
      </c>
      <c r="K25" s="45" t="s">
        <v>41</v>
      </c>
      <c r="L25" s="15"/>
    </row>
    <row r="26" spans="1:13" ht="15.75">
      <c r="A26" s="43" t="s">
        <v>42</v>
      </c>
      <c r="B26" s="46"/>
      <c r="C26" s="31">
        <f t="shared" si="1"/>
        <v>91</v>
      </c>
      <c r="D26" s="35">
        <v>52</v>
      </c>
      <c r="E26" s="35">
        <v>39</v>
      </c>
      <c r="F26" s="40"/>
      <c r="G26" s="38"/>
      <c r="H26" s="31">
        <f t="shared" si="0"/>
        <v>28</v>
      </c>
      <c r="I26" s="35">
        <v>19</v>
      </c>
      <c r="J26" s="35">
        <v>9</v>
      </c>
      <c r="K26" s="45" t="s">
        <v>43</v>
      </c>
      <c r="L26" s="15"/>
    </row>
    <row r="27" spans="1:13" ht="15.75">
      <c r="A27" s="43" t="s">
        <v>44</v>
      </c>
      <c r="B27" s="46"/>
      <c r="C27" s="31">
        <f t="shared" si="1"/>
        <v>176</v>
      </c>
      <c r="D27" s="35">
        <v>86</v>
      </c>
      <c r="E27" s="35">
        <v>90</v>
      </c>
      <c r="F27" s="40"/>
      <c r="G27" s="38"/>
      <c r="H27" s="31">
        <f t="shared" si="0"/>
        <v>46</v>
      </c>
      <c r="I27" s="35">
        <v>32</v>
      </c>
      <c r="J27" s="35">
        <v>14</v>
      </c>
      <c r="K27" s="45" t="s">
        <v>45</v>
      </c>
      <c r="L27" s="15"/>
      <c r="M27" s="15"/>
    </row>
    <row r="28" spans="1:13" ht="15.75">
      <c r="A28" s="43" t="s">
        <v>46</v>
      </c>
      <c r="B28" s="46"/>
      <c r="C28" s="31">
        <f t="shared" si="1"/>
        <v>106</v>
      </c>
      <c r="D28" s="35">
        <v>54</v>
      </c>
      <c r="E28" s="35">
        <v>52</v>
      </c>
      <c r="F28" s="40"/>
      <c r="G28" s="38"/>
      <c r="H28" s="31">
        <f t="shared" si="0"/>
        <v>30</v>
      </c>
      <c r="I28" s="35">
        <v>18</v>
      </c>
      <c r="J28" s="35">
        <v>12</v>
      </c>
      <c r="K28" s="45" t="s">
        <v>47</v>
      </c>
      <c r="L28" s="15"/>
      <c r="M28" s="15"/>
    </row>
    <row r="29" spans="1:13" ht="15.75">
      <c r="A29" s="43" t="s">
        <v>17</v>
      </c>
      <c r="B29" s="46"/>
      <c r="C29" s="31">
        <f>SUM(D29:E29)</f>
        <v>360</v>
      </c>
      <c r="D29" s="35">
        <v>175</v>
      </c>
      <c r="E29" s="35">
        <v>185</v>
      </c>
      <c r="F29" s="40"/>
      <c r="G29" s="38"/>
      <c r="H29" s="31">
        <f t="shared" si="0"/>
        <v>90</v>
      </c>
      <c r="I29" s="35">
        <v>64</v>
      </c>
      <c r="J29" s="35">
        <v>26</v>
      </c>
      <c r="K29" s="45" t="s">
        <v>48</v>
      </c>
      <c r="L29" s="15"/>
      <c r="M29" s="15"/>
    </row>
    <row r="30" spans="1:13" ht="55.5" customHeight="1">
      <c r="A30" s="60" t="s">
        <v>65</v>
      </c>
      <c r="B30" s="61"/>
      <c r="C30" s="31">
        <f t="shared" si="1"/>
        <v>117</v>
      </c>
      <c r="D30" s="35">
        <v>55</v>
      </c>
      <c r="E30" s="35">
        <v>62</v>
      </c>
      <c r="F30" s="40"/>
      <c r="G30" s="38"/>
      <c r="H30" s="31">
        <f t="shared" si="0"/>
        <v>39</v>
      </c>
      <c r="I30" s="35">
        <v>25</v>
      </c>
      <c r="J30" s="35">
        <v>14</v>
      </c>
      <c r="K30" s="62" t="s">
        <v>56</v>
      </c>
      <c r="L30" s="15"/>
      <c r="M30" s="15"/>
    </row>
    <row r="31" spans="1:13" ht="14.25" customHeight="1">
      <c r="A31" s="48" t="s">
        <v>55</v>
      </c>
      <c r="B31" s="49"/>
      <c r="C31" s="50">
        <f t="shared" si="1"/>
        <v>0</v>
      </c>
      <c r="D31" s="51">
        <v>0</v>
      </c>
      <c r="E31" s="51">
        <v>0</v>
      </c>
      <c r="F31" s="52"/>
      <c r="G31" s="53"/>
      <c r="H31" s="50">
        <f t="shared" si="0"/>
        <v>1</v>
      </c>
      <c r="I31" s="51">
        <v>0</v>
      </c>
      <c r="J31" s="51">
        <v>1</v>
      </c>
      <c r="K31" s="54"/>
      <c r="L31" s="15"/>
      <c r="M31" s="15"/>
    </row>
    <row r="32" spans="1:13" ht="15.75">
      <c r="A32" s="55" t="s">
        <v>57</v>
      </c>
      <c r="B32" s="16"/>
      <c r="C32" s="17"/>
      <c r="D32" s="16"/>
      <c r="E32" s="16"/>
      <c r="F32" s="17"/>
      <c r="G32" s="17"/>
      <c r="H32" s="16"/>
      <c r="I32" s="16"/>
      <c r="J32" s="16"/>
      <c r="K32" s="56"/>
      <c r="L32" s="15"/>
      <c r="M32" s="15"/>
    </row>
    <row r="33" spans="1:13">
      <c r="A33" s="71" t="s">
        <v>58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15"/>
      <c r="M33" s="14"/>
    </row>
    <row r="34" spans="1:13" ht="17.25">
      <c r="A34" s="71" t="s">
        <v>68</v>
      </c>
      <c r="B34" s="71"/>
      <c r="C34" s="71"/>
      <c r="D34" s="71"/>
      <c r="E34" s="71"/>
      <c r="F34" s="58"/>
      <c r="G34" s="72" t="s">
        <v>59</v>
      </c>
      <c r="H34" s="72"/>
      <c r="I34" s="72"/>
      <c r="J34" s="72"/>
      <c r="K34" s="72"/>
      <c r="L34" s="15"/>
      <c r="M34" s="15"/>
    </row>
    <row r="35" spans="1:13" ht="14.25">
      <c r="A35" s="18" t="s">
        <v>67</v>
      </c>
      <c r="B35" s="19"/>
      <c r="C35" s="17"/>
      <c r="D35" s="17"/>
      <c r="E35" s="17"/>
      <c r="F35" s="17"/>
      <c r="G35" s="16"/>
      <c r="H35" s="16"/>
      <c r="I35" s="16"/>
      <c r="J35" s="16"/>
      <c r="K35" s="25" t="s">
        <v>60</v>
      </c>
      <c r="L35" s="15"/>
      <c r="M35" s="15"/>
    </row>
    <row r="36" spans="1:13" ht="16.5">
      <c r="A36" s="18" t="s">
        <v>71</v>
      </c>
      <c r="K36" s="57" t="s">
        <v>66</v>
      </c>
      <c r="L36" s="1"/>
      <c r="M36" s="15"/>
    </row>
    <row r="37" spans="1:13" ht="17.25">
      <c r="A37" s="20" t="s">
        <v>61</v>
      </c>
      <c r="B37" s="21"/>
      <c r="C37" s="21"/>
      <c r="D37" s="21"/>
      <c r="E37" s="21"/>
      <c r="F37" s="21"/>
      <c r="G37" s="16"/>
      <c r="H37" s="22"/>
      <c r="I37" s="22"/>
      <c r="J37" s="23"/>
      <c r="K37" s="24" t="s">
        <v>62</v>
      </c>
      <c r="M37" s="15"/>
    </row>
    <row r="38" spans="1:13" ht="21">
      <c r="L38" s="63"/>
      <c r="M38" s="15"/>
    </row>
    <row r="39" spans="1:13">
      <c r="L39" s="15"/>
      <c r="M39" s="15"/>
    </row>
    <row r="40" spans="1:13">
      <c r="L40" s="15"/>
      <c r="M40" s="15"/>
    </row>
    <row r="48" spans="1:13">
      <c r="L48" s="15"/>
      <c r="M48" s="15"/>
    </row>
    <row r="70" spans="12:12" ht="15">
      <c r="L70" s="64"/>
    </row>
  </sheetData>
  <mergeCells count="9">
    <mergeCell ref="A2:K2"/>
    <mergeCell ref="A3:K3"/>
    <mergeCell ref="A4:A6"/>
    <mergeCell ref="K4:K6"/>
    <mergeCell ref="A34:E34"/>
    <mergeCell ref="G34:K34"/>
    <mergeCell ref="A33:K33"/>
    <mergeCell ref="H4:I4"/>
    <mergeCell ref="C4:D4"/>
  </mergeCells>
  <pageMargins left="0.7" right="0.7" top="0.75" bottom="0.75" header="0.3" footer="0.3"/>
  <pageSetup paperSize="9" scale="83" orientation="portrait" r:id="rId1"/>
  <colBreaks count="1" manualBreakCount="1">
    <brk id="12" max="1048575" man="1"/>
  </colBreaks>
  <ignoredErrors>
    <ignoredError sqref="C8 C14:C17 C31" unlockedFormula="1"/>
    <ignoredError sqref="D9:E9 C18:C19 C20:C29 C30" formulaRange="1" unlockedFormula="1"/>
    <ignoredError sqref="C9" formula="1" unlockedFormula="1"/>
    <ignoredError sqref="C10:C13" formula="1" formulaRange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3.8</vt:lpstr>
      <vt:lpstr>'3.8'!Print_Area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2024-07-29T06:04:16Z</cp:lastPrinted>
  <dcterms:created xsi:type="dcterms:W3CDTF">2019-07-22T06:02:33Z</dcterms:created>
  <dcterms:modified xsi:type="dcterms:W3CDTF">2024-07-29T06:04:21Z</dcterms:modified>
</cp:coreProperties>
</file>