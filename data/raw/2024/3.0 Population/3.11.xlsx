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pop\"/>
    </mc:Choice>
  </mc:AlternateContent>
  <xr:revisionPtr revIDLastSave="0" documentId="13_ncr:1_{A6CDB673-924D-48A0-9299-53845F62D480}" xr6:coauthVersionLast="47" xr6:coauthVersionMax="47" xr10:uidLastSave="{00000000-0000-0000-0000-000000000000}"/>
  <bookViews>
    <workbookView xWindow="-120" yWindow="-120" windowWidth="29040" windowHeight="15720" tabRatio="789" xr2:uid="{00000000-000D-0000-FFFF-FFFF00000000}"/>
  </bookViews>
  <sheets>
    <sheet name="3.11" sheetId="11" r:id="rId1"/>
  </sheets>
  <externalReferences>
    <externalReference r:id="rId2"/>
    <externalReference r:id="rId3"/>
  </externalReferences>
  <definedNames>
    <definedName name="_xlnm.Print_Area" localSheetId="0">'3.11'!$A$1:$S$28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20" i="11" l="1"/>
  <c r="Q15" i="11"/>
  <c r="N15" i="11"/>
  <c r="M15" i="11"/>
  <c r="J15" i="11"/>
  <c r="I15" i="11"/>
  <c r="H15" i="11"/>
  <c r="G15" i="11"/>
  <c r="F15" i="11"/>
  <c r="E15" i="11"/>
  <c r="D15" i="11"/>
  <c r="C15" i="11"/>
  <c r="B15" i="11"/>
  <c r="Q10" i="11"/>
  <c r="N10" i="11"/>
  <c r="M10" i="11"/>
  <c r="M5" i="11" s="1"/>
  <c r="J10" i="11"/>
  <c r="I10" i="11"/>
  <c r="I5" i="11" s="1"/>
  <c r="H10" i="11"/>
  <c r="H5" i="11" s="1"/>
  <c r="G10" i="11"/>
  <c r="F10" i="11"/>
  <c r="E10" i="11"/>
  <c r="D10" i="11"/>
  <c r="D5" i="11" s="1"/>
  <c r="C10" i="11"/>
  <c r="C5" i="11" s="1"/>
  <c r="B10" i="11"/>
  <c r="B5" i="11" s="1"/>
  <c r="Q9" i="11"/>
  <c r="P9" i="11"/>
  <c r="Q8" i="11"/>
  <c r="P8" i="11"/>
  <c r="N8" i="11"/>
  <c r="M8" i="11"/>
  <c r="L8" i="11"/>
  <c r="K8" i="11"/>
  <c r="J8" i="11"/>
  <c r="I8" i="11"/>
  <c r="H8" i="11"/>
  <c r="G8" i="11"/>
  <c r="F8" i="11"/>
  <c r="E8" i="11"/>
  <c r="D8" i="11"/>
  <c r="C8" i="11"/>
  <c r="B8" i="11"/>
  <c r="Q7" i="11"/>
  <c r="P7" i="11"/>
  <c r="N7" i="11"/>
  <c r="M7" i="11"/>
  <c r="L7" i="11"/>
  <c r="K7" i="11"/>
  <c r="J7" i="11"/>
  <c r="I7" i="11"/>
  <c r="H7" i="11"/>
  <c r="G7" i="11"/>
  <c r="F7" i="11"/>
  <c r="E7" i="11"/>
  <c r="D7" i="11"/>
  <c r="C7" i="11"/>
  <c r="B7" i="11"/>
  <c r="Q6" i="11"/>
  <c r="P6" i="11"/>
  <c r="M6" i="11"/>
  <c r="L6" i="11"/>
  <c r="K6" i="11"/>
  <c r="J6" i="11"/>
  <c r="I6" i="11"/>
  <c r="H6" i="11"/>
  <c r="G6" i="11"/>
  <c r="F6" i="11"/>
  <c r="E6" i="11"/>
  <c r="D6" i="11"/>
  <c r="C6" i="11"/>
  <c r="B6" i="11"/>
  <c r="L5" i="11"/>
  <c r="K5" i="11"/>
  <c r="G5" i="11"/>
  <c r="F5" i="11" l="1"/>
  <c r="N5" i="11"/>
  <c r="J5" i="11"/>
  <c r="E5" i="11"/>
  <c r="Q5" i="11"/>
</calcChain>
</file>

<file path=xl/sharedStrings.xml><?xml version="1.0" encoding="utf-8"?>
<sst xmlns="http://schemas.openxmlformats.org/spreadsheetml/2006/main" count="159" uniqueCount="32">
  <si>
    <t>cnehirif</t>
  </si>
  <si>
    <t>cnehcnwa</t>
  </si>
  <si>
    <t>Both Sexes</t>
  </si>
  <si>
    <t>Male</t>
  </si>
  <si>
    <t>Female</t>
  </si>
  <si>
    <t>-</t>
  </si>
  <si>
    <t>Not stated</t>
  </si>
  <si>
    <t>ބަޔާން ނުކުރާ</t>
  </si>
  <si>
    <t xml:space="preserve">Source: Ministry of Health </t>
  </si>
  <si>
    <t xml:space="preserve">މަޢުލޫމާތު ދެއްވީ: މިނިސްޓްރީ އޮފް ހެލްތު </t>
  </si>
  <si>
    <t>caerumua Whiruh</t>
  </si>
  <si>
    <t>Age (in days) and Sex</t>
  </si>
  <si>
    <t>uscnij idwa /(cnuhwvud) urumua</t>
  </si>
  <si>
    <t>Less than 7 days</t>
  </si>
  <si>
    <t>udwm eruvcSwhwvud 7</t>
  </si>
  <si>
    <t>7 - 27 days</t>
  </si>
  <si>
    <t>cswvud 27 - 7</t>
  </si>
  <si>
    <t>28 - 364</t>
  </si>
  <si>
    <t>364 - 28</t>
  </si>
  <si>
    <t>7 - 27</t>
  </si>
  <si>
    <t>27 - 7</t>
  </si>
  <si>
    <t>ޖިންސު ބަޔާންނުކުރާ</t>
  </si>
  <si>
    <t>Data includes Maldivians and foreigners</t>
  </si>
  <si>
    <t>Sex Not Stated</t>
  </si>
  <si>
    <t>Not Stated</t>
  </si>
  <si>
    <t>8 - 27</t>
  </si>
  <si>
    <t>29 - 364</t>
  </si>
  <si>
    <r>
      <t>2021</t>
    </r>
    <r>
      <rPr>
        <b/>
        <vertAlign val="superscript"/>
        <sz val="10"/>
        <color theme="1"/>
        <rFont val="Calibri"/>
        <family val="2"/>
      </rPr>
      <t>1_/</t>
    </r>
  </si>
  <si>
    <t>Table 3.11 : INFANT DEATHS BY AGE AND SEX, 2006 - 2021</t>
  </si>
  <si>
    <t>2021 - 2006 ,cnutogegurumua iaWscnij ,cnidukwDukivurwm : 3.11 ulwvWt</t>
  </si>
  <si>
    <r>
      <rPr>
        <sz val="2"/>
        <color theme="1"/>
        <rFont val="Faruma"/>
      </rPr>
      <t>ނ</t>
    </r>
    <r>
      <rPr>
        <sz val="9"/>
        <color theme="1"/>
        <rFont val="Faruma"/>
      </rPr>
      <t xml:space="preserve"> 2021 ވަނަ އަހަރުގެ މައުލޫމާތު ރިވައިޒުކުރަމުންދާތީވެ މިއަދަދުތަކަށް ބަދަލުއައުން އެކަށީގެންވެއެވެ. </t>
    </r>
  </si>
  <si>
    <t>Note: 1_/: 2021 figures are revised and  tentative and is expected to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</si>
</sst>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  <numFmt numFmtId="168" formatCode="_(* #,##0_);_(* \(#,##0\);_(* &quot;-&quot;??_);_(@_)"/>
    <numFmt numFmtId="169" formatCode="_(* #,##0.0_);_(* \(#,##0.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i/>
      <sz val="9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Faruma"/>
    </font>
    <font>
      <sz val="9"/>
      <color theme="1"/>
      <name val="Calibri"/>
      <family val="2"/>
    </font>
    <font>
      <i/>
      <sz val="9"/>
      <color theme="1"/>
      <name val="Calibri"/>
      <family val="2"/>
    </font>
    <font>
      <sz val="10"/>
      <color theme="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/>
      <name val="Faruma"/>
    </font>
    <font>
      <sz val="10"/>
      <color theme="1"/>
      <name val="A_Faseyha"/>
    </font>
    <font>
      <b/>
      <sz val="11"/>
      <color theme="1"/>
      <name val="A_Faseyha"/>
    </font>
    <font>
      <b/>
      <sz val="8"/>
      <color theme="1"/>
      <name val="A_Faseyha"/>
    </font>
    <font>
      <b/>
      <sz val="10"/>
      <color theme="1"/>
      <name val="A_Faseyha"/>
    </font>
    <font>
      <sz val="2"/>
      <color theme="1"/>
      <name val="Faruma"/>
    </font>
    <font>
      <b/>
      <vertAlign val="superscript"/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5" fillId="0" borderId="0"/>
    <xf numFmtId="0" fontId="5" fillId="0" borderId="0"/>
    <xf numFmtId="166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15" fillId="0" borderId="0"/>
    <xf numFmtId="0" fontId="5" fillId="0" borderId="0"/>
    <xf numFmtId="0" fontId="5" fillId="0" borderId="0"/>
    <xf numFmtId="0" fontId="1" fillId="0" borderId="0"/>
    <xf numFmtId="167" fontId="2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169" fontId="10" fillId="2" borderId="0" xfId="14" applyNumberFormat="1" applyFont="1" applyFill="1" applyBorder="1" applyAlignment="1">
      <alignment horizontal="right" vertical="center"/>
    </xf>
    <xf numFmtId="169" fontId="8" fillId="2" borderId="1" xfId="14" applyNumberFormat="1" applyFont="1" applyFill="1" applyBorder="1" applyAlignment="1">
      <alignment horizontal="right" vertical="center"/>
    </xf>
    <xf numFmtId="167" fontId="6" fillId="2" borderId="0" xfId="0" applyNumberFormat="1" applyFont="1" applyFill="1"/>
    <xf numFmtId="167" fontId="7" fillId="2" borderId="1" xfId="0" applyNumberFormat="1" applyFont="1" applyFill="1" applyBorder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9" fillId="2" borderId="2" xfId="0" applyNumberFormat="1" applyFont="1" applyFill="1" applyBorder="1" applyAlignment="1">
      <alignment horizontal="left" vertical="center"/>
    </xf>
    <xf numFmtId="167" fontId="9" fillId="2" borderId="2" xfId="0" applyNumberFormat="1" applyFont="1" applyFill="1" applyBorder="1" applyAlignment="1">
      <alignment horizontal="right" vertical="center"/>
    </xf>
    <xf numFmtId="167" fontId="8" fillId="2" borderId="2" xfId="0" applyNumberFormat="1" applyFont="1" applyFill="1" applyBorder="1" applyAlignment="1">
      <alignment horizontal="right" vertical="center"/>
    </xf>
    <xf numFmtId="167" fontId="19" fillId="2" borderId="2" xfId="0" applyNumberFormat="1" applyFont="1" applyFill="1" applyBorder="1" applyAlignment="1">
      <alignment horizontal="right" vertical="center"/>
    </xf>
    <xf numFmtId="167" fontId="9" fillId="2" borderId="0" xfId="0" applyNumberFormat="1" applyFont="1" applyFill="1" applyAlignment="1">
      <alignment horizontal="left" vertical="center" indent="1"/>
    </xf>
    <xf numFmtId="167" fontId="9" fillId="2" borderId="0" xfId="0" applyNumberFormat="1" applyFont="1" applyFill="1" applyAlignment="1">
      <alignment vertical="center"/>
    </xf>
    <xf numFmtId="167" fontId="20" fillId="2" borderId="0" xfId="0" applyNumberFormat="1" applyFont="1" applyFill="1" applyAlignment="1">
      <alignment horizontal="right" vertical="center" indent="1"/>
    </xf>
    <xf numFmtId="167" fontId="12" fillId="2" borderId="0" xfId="0" applyNumberFormat="1" applyFont="1" applyFill="1" applyAlignment="1">
      <alignment horizontal="left" vertical="center" indent="1"/>
    </xf>
    <xf numFmtId="167" fontId="12" fillId="2" borderId="0" xfId="0" applyNumberFormat="1" applyFont="1" applyFill="1" applyAlignment="1">
      <alignment vertical="center"/>
    </xf>
    <xf numFmtId="167" fontId="17" fillId="2" borderId="0" xfId="0" applyNumberFormat="1" applyFont="1" applyFill="1" applyAlignment="1">
      <alignment horizontal="right" vertical="center" indent="1"/>
    </xf>
    <xf numFmtId="167" fontId="12" fillId="2" borderId="0" xfId="0" quotePrefix="1" applyNumberFormat="1" applyFont="1" applyFill="1" applyAlignment="1">
      <alignment horizontal="left" vertical="center" indent="1"/>
    </xf>
    <xf numFmtId="167" fontId="17" fillId="2" borderId="0" xfId="0" quotePrefix="1" applyNumberFormat="1" applyFont="1" applyFill="1" applyAlignment="1">
      <alignment horizontal="right" vertical="center" indent="1"/>
    </xf>
    <xf numFmtId="167" fontId="14" fillId="2" borderId="0" xfId="0" quotePrefix="1" applyNumberFormat="1" applyFont="1" applyFill="1" applyAlignment="1">
      <alignment horizontal="right" vertical="center" indent="1"/>
    </xf>
    <xf numFmtId="167" fontId="12" fillId="2" borderId="1" xfId="0" quotePrefix="1" applyNumberFormat="1" applyFont="1" applyFill="1" applyBorder="1" applyAlignment="1">
      <alignment horizontal="left" vertical="center" indent="1"/>
    </xf>
    <xf numFmtId="167" fontId="12" fillId="2" borderId="1" xfId="0" applyNumberFormat="1" applyFont="1" applyFill="1" applyBorder="1" applyAlignment="1">
      <alignment vertical="center"/>
    </xf>
    <xf numFmtId="167" fontId="14" fillId="2" borderId="1" xfId="0" quotePrefix="1" applyNumberFormat="1" applyFont="1" applyFill="1" applyBorder="1" applyAlignment="1">
      <alignment horizontal="right" vertical="center" indent="1"/>
    </xf>
    <xf numFmtId="167" fontId="6" fillId="2" borderId="0" xfId="0" applyNumberFormat="1" applyFont="1" applyFill="1" applyAlignment="1">
      <alignment vertical="center"/>
    </xf>
    <xf numFmtId="167" fontId="11" fillId="2" borderId="0" xfId="10" applyFont="1" applyFill="1" applyAlignment="1" applyProtection="1">
      <alignment horizontal="right" vertical="center" indent="1"/>
      <protection hidden="1"/>
    </xf>
    <xf numFmtId="167" fontId="13" fillId="2" borderId="0" xfId="0" applyNumberFormat="1" applyFont="1" applyFill="1" applyAlignment="1">
      <alignment horizontal="left" vertical="center"/>
    </xf>
    <xf numFmtId="167" fontId="11" fillId="2" borderId="0" xfId="10" applyFont="1" applyFill="1" applyAlignment="1" applyProtection="1">
      <alignment horizontal="right"/>
      <protection hidden="1"/>
    </xf>
    <xf numFmtId="167" fontId="4" fillId="2" borderId="0" xfId="0" applyNumberFormat="1" applyFont="1" applyFill="1" applyAlignment="1">
      <alignment vertical="center"/>
    </xf>
    <xf numFmtId="167" fontId="9" fillId="2" borderId="0" xfId="0" applyNumberFormat="1" applyFont="1" applyFill="1" applyAlignment="1">
      <alignment horizontal="right" vertical="center"/>
    </xf>
    <xf numFmtId="167" fontId="12" fillId="2" borderId="0" xfId="0" applyNumberFormat="1" applyFont="1" applyFill="1" applyAlignment="1">
      <alignment horizontal="right" vertical="center"/>
    </xf>
    <xf numFmtId="168" fontId="10" fillId="2" borderId="1" xfId="14" applyNumberFormat="1" applyFont="1" applyFill="1" applyBorder="1" applyAlignment="1">
      <alignment horizontal="right" vertical="center"/>
    </xf>
    <xf numFmtId="167" fontId="12" fillId="2" borderId="1" xfId="0" applyNumberFormat="1" applyFont="1" applyFill="1" applyBorder="1" applyAlignment="1">
      <alignment horizontal="right" vertical="center"/>
    </xf>
    <xf numFmtId="168" fontId="10" fillId="2" borderId="0" xfId="14" applyNumberFormat="1" applyFont="1" applyFill="1" applyBorder="1" applyAlignment="1">
      <alignment horizontal="right" vertical="center"/>
    </xf>
    <xf numFmtId="167" fontId="18" fillId="2" borderId="0" xfId="0" applyNumberFormat="1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167" fontId="16" fillId="2" borderId="0" xfId="0" applyNumberFormat="1" applyFont="1" applyFill="1" applyAlignment="1">
      <alignment horizontal="right" vertical="center" indent="1"/>
    </xf>
    <xf numFmtId="167" fontId="13" fillId="2" borderId="0" xfId="11" applyFont="1" applyFill="1" applyAlignment="1" applyProtection="1">
      <alignment vertical="center"/>
      <protection hidden="1"/>
    </xf>
  </cellXfs>
  <cellStyles count="26">
    <cellStyle name="1" xfId="15" xr:uid="{00000000-0005-0000-0000-000000000000}"/>
    <cellStyle name="Comma" xfId="14" builtinId="3"/>
    <cellStyle name="Comma 2" xfId="13" xr:uid="{00000000-0005-0000-0000-000002000000}"/>
    <cellStyle name="Comma 2 2" xfId="24" xr:uid="{00000000-0005-0000-0000-000003000000}"/>
    <cellStyle name="Comma 3" xfId="5" xr:uid="{00000000-0005-0000-0000-000004000000}"/>
    <cellStyle name="Comma 3 2" xfId="17" xr:uid="{00000000-0005-0000-0000-000005000000}"/>
    <cellStyle name="Comma 3 3" xfId="25" xr:uid="{00000000-0005-0000-0000-000006000000}"/>
    <cellStyle name="Comma 4" xfId="3" xr:uid="{00000000-0005-0000-0000-000007000000}"/>
    <cellStyle name="Comma 4 2" xfId="20" xr:uid="{00000000-0005-0000-0000-000008000000}"/>
    <cellStyle name="Comma 7" xfId="16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21" xr:uid="{00000000-0005-0000-0000-000010000000}"/>
    <cellStyle name="Normal 20" xfId="2" xr:uid="{00000000-0005-0000-0000-000011000000}"/>
    <cellStyle name="Normal 20 2" xfId="19" xr:uid="{00000000-0005-0000-0000-000012000000}"/>
    <cellStyle name="Normal 3" xfId="12" xr:uid="{00000000-0005-0000-0000-000013000000}"/>
    <cellStyle name="Normal 32" xfId="7" xr:uid="{00000000-0005-0000-0000-000014000000}"/>
    <cellStyle name="Normal 32 2" xfId="22" xr:uid="{00000000-0005-0000-0000-000015000000}"/>
    <cellStyle name="Normal 4" xfId="10" xr:uid="{00000000-0005-0000-0000-000016000000}"/>
    <cellStyle name="Normal 44" xfId="8" xr:uid="{00000000-0005-0000-0000-000017000000}"/>
    <cellStyle name="Normal 44 2" xfId="23" xr:uid="{00000000-0005-0000-0000-000018000000}"/>
    <cellStyle name="Normal 48" xfId="9" xr:uid="{00000000-0005-0000-0000-000019000000}"/>
    <cellStyle name="Normal 5" xfId="1" xr:uid="{00000000-0005-0000-0000-00001A000000}"/>
    <cellStyle name="Normal 5 2" xfId="18" xr:uid="{00000000-0005-0000-0000-00001B000000}"/>
    <cellStyle name="Normal_Stat Year Book 2007 tables" xfId="11" xr:uid="{00000000-0005-0000-0000-000024000000}"/>
  </cellStyles>
  <dxfs count="0"/>
  <tableStyles count="0" defaultTableStyle="TableStyleMedium2" defaultPivotStyle="PivotStyleLight16"/>
  <colors>
    <mruColors>
      <color rgb="FF009999"/>
      <color rgb="FF00DFDA"/>
      <color rgb="FF006F6C"/>
      <color rgb="FF93FFFF"/>
      <color rgb="FFEFFFFF"/>
      <color rgb="FFD1FFFF"/>
      <color rgb="FFB9FFFF"/>
      <color rgb="FFCC0066"/>
      <color rgb="FFFF8181"/>
      <color rgb="FFFF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S28"/>
  <sheetViews>
    <sheetView tabSelected="1" zoomScaleNormal="100" zoomScaleSheetLayoutView="124" workbookViewId="0">
      <selection activeCell="J15" sqref="J15"/>
    </sheetView>
  </sheetViews>
  <sheetFormatPr defaultRowHeight="15" x14ac:dyDescent="0.25"/>
  <cols>
    <col min="1" max="1" width="19.140625" style="1" customWidth="1"/>
    <col min="2" max="11" width="8.140625" style="1" customWidth="1"/>
    <col min="12" max="17" width="8.5703125" style="1" customWidth="1"/>
    <col min="18" max="18" width="24" style="1" customWidth="1"/>
    <col min="19" max="19" width="3.42578125" style="1" customWidth="1"/>
    <col min="20" max="16384" width="9.140625" style="1"/>
  </cols>
  <sheetData>
    <row r="1" spans="1:19" ht="18" x14ac:dyDescent="0.25">
      <c r="A1" s="33" t="s">
        <v>29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4"/>
    </row>
    <row r="2" spans="1:19" x14ac:dyDescent="0.25">
      <c r="A2" s="34" t="s">
        <v>28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4"/>
    </row>
    <row r="3" spans="1:19" x14ac:dyDescent="0.25">
      <c r="A3" s="5"/>
      <c r="B3" s="5"/>
      <c r="C3" s="5"/>
      <c r="D3" s="5"/>
      <c r="E3" s="5"/>
      <c r="F3" s="5"/>
      <c r="G3" s="5"/>
      <c r="H3" s="5"/>
      <c r="I3" s="6"/>
      <c r="J3" s="6"/>
      <c r="K3" s="6"/>
      <c r="L3" s="6"/>
      <c r="M3" s="6"/>
      <c r="N3" s="6"/>
      <c r="O3" s="6"/>
      <c r="P3" s="6"/>
      <c r="Q3" s="6"/>
      <c r="R3" s="5"/>
      <c r="S3" s="4"/>
    </row>
    <row r="4" spans="1:19" x14ac:dyDescent="0.25">
      <c r="A4" s="7" t="s">
        <v>11</v>
      </c>
      <c r="B4" s="8">
        <v>2006</v>
      </c>
      <c r="C4" s="8">
        <v>2007</v>
      </c>
      <c r="D4" s="8">
        <v>2008</v>
      </c>
      <c r="E4" s="8">
        <v>2009</v>
      </c>
      <c r="F4" s="8">
        <v>2010</v>
      </c>
      <c r="G4" s="8">
        <v>2011</v>
      </c>
      <c r="H4" s="8">
        <v>2012</v>
      </c>
      <c r="I4" s="8">
        <v>2013</v>
      </c>
      <c r="J4" s="8">
        <v>2014</v>
      </c>
      <c r="K4" s="8">
        <v>2015</v>
      </c>
      <c r="L4" s="8">
        <v>2016</v>
      </c>
      <c r="M4" s="8">
        <v>2017</v>
      </c>
      <c r="N4" s="9">
        <v>2018</v>
      </c>
      <c r="O4" s="9">
        <v>2019</v>
      </c>
      <c r="P4" s="9">
        <v>2020</v>
      </c>
      <c r="Q4" s="9" t="s">
        <v>27</v>
      </c>
      <c r="R4" s="10" t="s">
        <v>12</v>
      </c>
      <c r="S4" s="4"/>
    </row>
    <row r="5" spans="1:19" ht="15.75" x14ac:dyDescent="0.25">
      <c r="A5" s="11" t="s">
        <v>2</v>
      </c>
      <c r="B5" s="12">
        <f>B10+B15</f>
        <v>92</v>
      </c>
      <c r="C5" s="12">
        <f t="shared" ref="C5:M5" si="0">C10+C15</f>
        <v>66</v>
      </c>
      <c r="D5" s="12">
        <f t="shared" si="0"/>
        <v>76</v>
      </c>
      <c r="E5" s="12">
        <f t="shared" si="0"/>
        <v>81</v>
      </c>
      <c r="F5" s="12">
        <f t="shared" si="0"/>
        <v>78</v>
      </c>
      <c r="G5" s="12">
        <f t="shared" si="0"/>
        <v>65</v>
      </c>
      <c r="H5" s="12">
        <f t="shared" si="0"/>
        <v>66</v>
      </c>
      <c r="I5" s="12">
        <f t="shared" si="0"/>
        <v>46</v>
      </c>
      <c r="J5" s="12">
        <f t="shared" si="0"/>
        <v>59</v>
      </c>
      <c r="K5" s="12">
        <f t="shared" si="0"/>
        <v>63</v>
      </c>
      <c r="L5" s="12">
        <f t="shared" si="0"/>
        <v>53</v>
      </c>
      <c r="M5" s="12">
        <f t="shared" si="0"/>
        <v>64</v>
      </c>
      <c r="N5" s="12">
        <f>N10+N15</f>
        <v>45</v>
      </c>
      <c r="O5" s="12">
        <v>43</v>
      </c>
      <c r="P5" s="12">
        <v>45</v>
      </c>
      <c r="Q5" s="12">
        <f>SUM(Q6:Q9)</f>
        <v>58</v>
      </c>
      <c r="R5" s="13" t="s">
        <v>10</v>
      </c>
      <c r="S5" s="4"/>
    </row>
    <row r="6" spans="1:19" ht="15.75" x14ac:dyDescent="0.25">
      <c r="A6" s="14" t="s">
        <v>13</v>
      </c>
      <c r="B6" s="15">
        <f>B11+B16</f>
        <v>51</v>
      </c>
      <c r="C6" s="15">
        <f t="shared" ref="C6:M6" si="1">C11+C16</f>
        <v>41</v>
      </c>
      <c r="D6" s="15">
        <f t="shared" si="1"/>
        <v>41</v>
      </c>
      <c r="E6" s="15">
        <f t="shared" si="1"/>
        <v>51</v>
      </c>
      <c r="F6" s="15">
        <f t="shared" si="1"/>
        <v>44</v>
      </c>
      <c r="G6" s="15">
        <f t="shared" si="1"/>
        <v>41</v>
      </c>
      <c r="H6" s="15">
        <f t="shared" si="1"/>
        <v>33</v>
      </c>
      <c r="I6" s="15">
        <f t="shared" si="1"/>
        <v>22</v>
      </c>
      <c r="J6" s="15">
        <f t="shared" si="1"/>
        <v>33</v>
      </c>
      <c r="K6" s="15">
        <f t="shared" si="1"/>
        <v>29</v>
      </c>
      <c r="L6" s="15">
        <f t="shared" si="1"/>
        <v>28</v>
      </c>
      <c r="M6" s="15">
        <f t="shared" si="1"/>
        <v>45</v>
      </c>
      <c r="N6" s="15">
        <v>30</v>
      </c>
      <c r="O6" s="15">
        <v>14</v>
      </c>
      <c r="P6" s="15">
        <f t="shared" ref="P6:Q9" si="2">P11+P16+P21</f>
        <v>17</v>
      </c>
      <c r="Q6" s="15">
        <f t="shared" si="2"/>
        <v>25</v>
      </c>
      <c r="R6" s="16" t="s">
        <v>14</v>
      </c>
      <c r="S6" s="4"/>
    </row>
    <row r="7" spans="1:19" ht="15.75" x14ac:dyDescent="0.25">
      <c r="A7" s="17" t="s">
        <v>15</v>
      </c>
      <c r="B7" s="15">
        <f>B12+B17</f>
        <v>16</v>
      </c>
      <c r="C7" s="15">
        <f t="shared" ref="C7:M7" si="3">C12+C17</f>
        <v>6</v>
      </c>
      <c r="D7" s="15">
        <f t="shared" si="3"/>
        <v>15</v>
      </c>
      <c r="E7" s="15">
        <f t="shared" si="3"/>
        <v>8</v>
      </c>
      <c r="F7" s="15">
        <f t="shared" si="3"/>
        <v>14</v>
      </c>
      <c r="G7" s="15">
        <f t="shared" si="3"/>
        <v>8</v>
      </c>
      <c r="H7" s="15">
        <f t="shared" si="3"/>
        <v>11</v>
      </c>
      <c r="I7" s="15">
        <f t="shared" si="3"/>
        <v>7</v>
      </c>
      <c r="J7" s="15">
        <f t="shared" si="3"/>
        <v>4</v>
      </c>
      <c r="K7" s="15">
        <f t="shared" si="3"/>
        <v>8</v>
      </c>
      <c r="L7" s="15">
        <f t="shared" si="3"/>
        <v>8</v>
      </c>
      <c r="M7" s="15">
        <f t="shared" si="3"/>
        <v>6</v>
      </c>
      <c r="N7" s="15">
        <f>N12+N17</f>
        <v>3</v>
      </c>
      <c r="O7" s="15">
        <v>4</v>
      </c>
      <c r="P7" s="15">
        <f t="shared" si="2"/>
        <v>6</v>
      </c>
      <c r="Q7" s="15">
        <f t="shared" si="2"/>
        <v>9</v>
      </c>
      <c r="R7" s="16" t="s">
        <v>16</v>
      </c>
      <c r="S7" s="4"/>
    </row>
    <row r="8" spans="1:19" ht="15.75" x14ac:dyDescent="0.25">
      <c r="A8" s="17" t="s">
        <v>17</v>
      </c>
      <c r="B8" s="15">
        <f>B13+B18</f>
        <v>25</v>
      </c>
      <c r="C8" s="15">
        <f t="shared" ref="C8:M8" si="4">C13+C18</f>
        <v>19</v>
      </c>
      <c r="D8" s="15">
        <f t="shared" si="4"/>
        <v>20</v>
      </c>
      <c r="E8" s="15">
        <f t="shared" si="4"/>
        <v>22</v>
      </c>
      <c r="F8" s="15">
        <f t="shared" si="4"/>
        <v>20</v>
      </c>
      <c r="G8" s="15">
        <f t="shared" si="4"/>
        <v>16</v>
      </c>
      <c r="H8" s="15">
        <f t="shared" si="4"/>
        <v>22</v>
      </c>
      <c r="I8" s="15">
        <f t="shared" si="4"/>
        <v>17</v>
      </c>
      <c r="J8" s="15">
        <f t="shared" si="4"/>
        <v>22</v>
      </c>
      <c r="K8" s="15">
        <f t="shared" si="4"/>
        <v>26</v>
      </c>
      <c r="L8" s="15">
        <f t="shared" si="4"/>
        <v>17</v>
      </c>
      <c r="M8" s="15">
        <f t="shared" si="4"/>
        <v>13</v>
      </c>
      <c r="N8" s="15">
        <f>N13+N18</f>
        <v>13</v>
      </c>
      <c r="O8" s="15">
        <v>15</v>
      </c>
      <c r="P8" s="15">
        <f t="shared" si="2"/>
        <v>15</v>
      </c>
      <c r="Q8" s="15">
        <f t="shared" si="2"/>
        <v>23</v>
      </c>
      <c r="R8" s="18" t="s">
        <v>18</v>
      </c>
      <c r="S8" s="4"/>
    </row>
    <row r="9" spans="1:19" ht="18.75" x14ac:dyDescent="0.25">
      <c r="A9" s="17" t="s">
        <v>6</v>
      </c>
      <c r="B9" s="2" t="s">
        <v>5</v>
      </c>
      <c r="C9" s="2" t="s">
        <v>5</v>
      </c>
      <c r="D9" s="2" t="s">
        <v>5</v>
      </c>
      <c r="E9" s="2" t="s">
        <v>5</v>
      </c>
      <c r="F9" s="2" t="s">
        <v>5</v>
      </c>
      <c r="G9" s="2" t="s">
        <v>5</v>
      </c>
      <c r="H9" s="2" t="s">
        <v>5</v>
      </c>
      <c r="I9" s="2" t="s">
        <v>5</v>
      </c>
      <c r="J9" s="2" t="s">
        <v>5</v>
      </c>
      <c r="K9" s="2" t="s">
        <v>5</v>
      </c>
      <c r="L9" s="2" t="s">
        <v>5</v>
      </c>
      <c r="M9" s="2" t="s">
        <v>5</v>
      </c>
      <c r="N9" s="2" t="s">
        <v>5</v>
      </c>
      <c r="O9" s="32">
        <v>10</v>
      </c>
      <c r="P9" s="32">
        <f t="shared" si="2"/>
        <v>7</v>
      </c>
      <c r="Q9" s="32">
        <f t="shared" si="2"/>
        <v>1</v>
      </c>
      <c r="R9" s="19" t="s">
        <v>7</v>
      </c>
      <c r="S9" s="4"/>
    </row>
    <row r="10" spans="1:19" ht="15.75" x14ac:dyDescent="0.25">
      <c r="A10" s="11" t="s">
        <v>3</v>
      </c>
      <c r="B10" s="12">
        <f t="shared" ref="B10:G10" si="5">SUM(B11:B13)</f>
        <v>54</v>
      </c>
      <c r="C10" s="12">
        <f t="shared" si="5"/>
        <v>47</v>
      </c>
      <c r="D10" s="12">
        <f t="shared" si="5"/>
        <v>38</v>
      </c>
      <c r="E10" s="12">
        <f t="shared" si="5"/>
        <v>42</v>
      </c>
      <c r="F10" s="12">
        <f t="shared" si="5"/>
        <v>45</v>
      </c>
      <c r="G10" s="12">
        <f t="shared" si="5"/>
        <v>37</v>
      </c>
      <c r="H10" s="12">
        <f>SUM(H11:H13)</f>
        <v>40</v>
      </c>
      <c r="I10" s="12">
        <f>SUM(I11:I13)</f>
        <v>29</v>
      </c>
      <c r="J10" s="12">
        <f>SUM(J11:J13)</f>
        <v>32</v>
      </c>
      <c r="K10" s="12">
        <v>34</v>
      </c>
      <c r="L10" s="12">
        <v>21</v>
      </c>
      <c r="M10" s="12">
        <f>SUM(M11:M13)</f>
        <v>42</v>
      </c>
      <c r="N10" s="12">
        <f>SUM(N11:N13)</f>
        <v>24</v>
      </c>
      <c r="O10" s="12">
        <v>23</v>
      </c>
      <c r="P10" s="12">
        <v>12</v>
      </c>
      <c r="Q10" s="12">
        <f>SUM(Q11:Q14)</f>
        <v>35</v>
      </c>
      <c r="R10" s="13" t="s">
        <v>0</v>
      </c>
      <c r="S10" s="4"/>
    </row>
    <row r="11" spans="1:19" ht="15.75" x14ac:dyDescent="0.25">
      <c r="A11" s="14" t="s">
        <v>13</v>
      </c>
      <c r="B11" s="15">
        <v>33</v>
      </c>
      <c r="C11" s="15">
        <v>26</v>
      </c>
      <c r="D11" s="15">
        <v>22</v>
      </c>
      <c r="E11" s="15">
        <v>25</v>
      </c>
      <c r="F11" s="15">
        <v>25</v>
      </c>
      <c r="G11" s="15">
        <v>23</v>
      </c>
      <c r="H11" s="15">
        <v>19</v>
      </c>
      <c r="I11" s="15">
        <v>14</v>
      </c>
      <c r="J11" s="15">
        <v>21</v>
      </c>
      <c r="K11" s="15">
        <v>21</v>
      </c>
      <c r="L11" s="15">
        <v>9</v>
      </c>
      <c r="M11" s="15">
        <v>29</v>
      </c>
      <c r="N11" s="15">
        <v>14</v>
      </c>
      <c r="O11" s="15">
        <v>8</v>
      </c>
      <c r="P11" s="15">
        <v>0</v>
      </c>
      <c r="Q11" s="15">
        <v>15</v>
      </c>
      <c r="R11" s="16" t="s">
        <v>14</v>
      </c>
      <c r="S11" s="4"/>
    </row>
    <row r="12" spans="1:19" ht="15.75" x14ac:dyDescent="0.25">
      <c r="A12" s="17" t="s">
        <v>19</v>
      </c>
      <c r="B12" s="15">
        <v>7</v>
      </c>
      <c r="C12" s="15">
        <v>5</v>
      </c>
      <c r="D12" s="15">
        <v>6</v>
      </c>
      <c r="E12" s="15">
        <v>4</v>
      </c>
      <c r="F12" s="15">
        <v>9</v>
      </c>
      <c r="G12" s="15">
        <v>3</v>
      </c>
      <c r="H12" s="15">
        <v>8</v>
      </c>
      <c r="I12" s="15">
        <v>4</v>
      </c>
      <c r="J12" s="15">
        <v>1</v>
      </c>
      <c r="K12" s="15">
        <v>4</v>
      </c>
      <c r="L12" s="15">
        <v>3</v>
      </c>
      <c r="M12" s="15">
        <v>3</v>
      </c>
      <c r="N12" s="15">
        <v>2</v>
      </c>
      <c r="O12" s="15">
        <v>1</v>
      </c>
      <c r="P12" s="15">
        <v>2</v>
      </c>
      <c r="Q12" s="15">
        <v>4</v>
      </c>
      <c r="R12" s="18" t="s">
        <v>20</v>
      </c>
      <c r="S12" s="4"/>
    </row>
    <row r="13" spans="1:19" ht="15.75" x14ac:dyDescent="0.25">
      <c r="A13" s="17" t="s">
        <v>17</v>
      </c>
      <c r="B13" s="15">
        <v>14</v>
      </c>
      <c r="C13" s="15">
        <v>16</v>
      </c>
      <c r="D13" s="15">
        <v>10</v>
      </c>
      <c r="E13" s="15">
        <v>13</v>
      </c>
      <c r="F13" s="15">
        <v>11</v>
      </c>
      <c r="G13" s="15">
        <v>11</v>
      </c>
      <c r="H13" s="15">
        <v>13</v>
      </c>
      <c r="I13" s="15">
        <v>11</v>
      </c>
      <c r="J13" s="15">
        <v>10</v>
      </c>
      <c r="K13" s="15">
        <v>9</v>
      </c>
      <c r="L13" s="15">
        <v>9</v>
      </c>
      <c r="M13" s="15">
        <v>10</v>
      </c>
      <c r="N13" s="15">
        <v>8</v>
      </c>
      <c r="O13" s="15">
        <v>9</v>
      </c>
      <c r="P13" s="15">
        <v>9</v>
      </c>
      <c r="Q13" s="15">
        <v>15</v>
      </c>
      <c r="R13" s="18" t="s">
        <v>18</v>
      </c>
      <c r="S13" s="4"/>
    </row>
    <row r="14" spans="1:19" ht="18.75" x14ac:dyDescent="0.25">
      <c r="A14" s="17" t="s">
        <v>6</v>
      </c>
      <c r="B14" s="2" t="s">
        <v>5</v>
      </c>
      <c r="C14" s="2" t="s">
        <v>5</v>
      </c>
      <c r="D14" s="2" t="s">
        <v>5</v>
      </c>
      <c r="E14" s="2" t="s">
        <v>5</v>
      </c>
      <c r="F14" s="2" t="s">
        <v>5</v>
      </c>
      <c r="G14" s="2" t="s">
        <v>5</v>
      </c>
      <c r="H14" s="2" t="s">
        <v>5</v>
      </c>
      <c r="I14" s="2" t="s">
        <v>5</v>
      </c>
      <c r="J14" s="2" t="s">
        <v>5</v>
      </c>
      <c r="K14" s="2" t="s">
        <v>5</v>
      </c>
      <c r="L14" s="2" t="s">
        <v>5</v>
      </c>
      <c r="M14" s="2" t="s">
        <v>5</v>
      </c>
      <c r="N14" s="2" t="s">
        <v>5</v>
      </c>
      <c r="O14" s="32">
        <v>5</v>
      </c>
      <c r="P14" s="32">
        <v>1</v>
      </c>
      <c r="Q14" s="32">
        <v>1</v>
      </c>
      <c r="R14" s="19" t="s">
        <v>7</v>
      </c>
      <c r="S14" s="4"/>
    </row>
    <row r="15" spans="1:19" ht="15.75" x14ac:dyDescent="0.25">
      <c r="A15" s="11" t="s">
        <v>4</v>
      </c>
      <c r="B15" s="12">
        <f t="shared" ref="B15:G15" si="6">SUM(B16:B18)</f>
        <v>38</v>
      </c>
      <c r="C15" s="12">
        <f t="shared" si="6"/>
        <v>19</v>
      </c>
      <c r="D15" s="12">
        <f t="shared" si="6"/>
        <v>38</v>
      </c>
      <c r="E15" s="12">
        <f t="shared" si="6"/>
        <v>39</v>
      </c>
      <c r="F15" s="12">
        <f t="shared" si="6"/>
        <v>33</v>
      </c>
      <c r="G15" s="12">
        <f t="shared" si="6"/>
        <v>28</v>
      </c>
      <c r="H15" s="12">
        <f>SUM(H16:H18)</f>
        <v>26</v>
      </c>
      <c r="I15" s="12">
        <f>SUM(I16:I18)</f>
        <v>17</v>
      </c>
      <c r="J15" s="12">
        <f>SUM(J16:J18)</f>
        <v>27</v>
      </c>
      <c r="K15" s="12">
        <v>29</v>
      </c>
      <c r="L15" s="12">
        <v>32</v>
      </c>
      <c r="M15" s="12">
        <f>SUM(M16:M18)</f>
        <v>22</v>
      </c>
      <c r="N15" s="12">
        <f>SUM(N16:N18)</f>
        <v>21</v>
      </c>
      <c r="O15" s="12">
        <v>20</v>
      </c>
      <c r="P15" s="12">
        <v>11</v>
      </c>
      <c r="Q15" s="12">
        <f>SUM(Q16:Q19)</f>
        <v>23</v>
      </c>
      <c r="R15" s="13" t="s">
        <v>1</v>
      </c>
      <c r="S15" s="4"/>
    </row>
    <row r="16" spans="1:19" ht="15.75" x14ac:dyDescent="0.25">
      <c r="A16" s="14" t="s">
        <v>13</v>
      </c>
      <c r="B16" s="15">
        <v>18</v>
      </c>
      <c r="C16" s="15">
        <v>15</v>
      </c>
      <c r="D16" s="15">
        <v>19</v>
      </c>
      <c r="E16" s="15">
        <v>26</v>
      </c>
      <c r="F16" s="15">
        <v>19</v>
      </c>
      <c r="G16" s="15">
        <v>18</v>
      </c>
      <c r="H16" s="15">
        <v>14</v>
      </c>
      <c r="I16" s="15">
        <v>8</v>
      </c>
      <c r="J16" s="15">
        <v>12</v>
      </c>
      <c r="K16" s="15">
        <v>8</v>
      </c>
      <c r="L16" s="15">
        <v>19</v>
      </c>
      <c r="M16" s="15">
        <v>16</v>
      </c>
      <c r="N16" s="15">
        <v>15</v>
      </c>
      <c r="O16" s="15">
        <v>6</v>
      </c>
      <c r="P16" s="15">
        <v>3</v>
      </c>
      <c r="Q16" s="15">
        <v>10</v>
      </c>
      <c r="R16" s="16" t="s">
        <v>14</v>
      </c>
      <c r="S16" s="4"/>
    </row>
    <row r="17" spans="1:19" ht="15.75" x14ac:dyDescent="0.25">
      <c r="A17" s="17" t="s">
        <v>19</v>
      </c>
      <c r="B17" s="15">
        <v>9</v>
      </c>
      <c r="C17" s="15">
        <v>1</v>
      </c>
      <c r="D17" s="15">
        <v>9</v>
      </c>
      <c r="E17" s="15">
        <v>4</v>
      </c>
      <c r="F17" s="15">
        <v>5</v>
      </c>
      <c r="G17" s="15">
        <v>5</v>
      </c>
      <c r="H17" s="15">
        <v>3</v>
      </c>
      <c r="I17" s="15">
        <v>3</v>
      </c>
      <c r="J17" s="15">
        <v>3</v>
      </c>
      <c r="K17" s="15">
        <v>4</v>
      </c>
      <c r="L17" s="15">
        <v>5</v>
      </c>
      <c r="M17" s="15">
        <v>3</v>
      </c>
      <c r="N17" s="15">
        <v>1</v>
      </c>
      <c r="O17" s="15">
        <v>3</v>
      </c>
      <c r="P17" s="15">
        <v>2</v>
      </c>
      <c r="Q17" s="15">
        <v>5</v>
      </c>
      <c r="R17" s="18" t="s">
        <v>20</v>
      </c>
      <c r="S17" s="4"/>
    </row>
    <row r="18" spans="1:19" ht="15.75" x14ac:dyDescent="0.25">
      <c r="A18" s="17" t="s">
        <v>17</v>
      </c>
      <c r="B18" s="15">
        <v>11</v>
      </c>
      <c r="C18" s="15">
        <v>3</v>
      </c>
      <c r="D18" s="15">
        <v>10</v>
      </c>
      <c r="E18" s="15">
        <v>9</v>
      </c>
      <c r="F18" s="15">
        <v>9</v>
      </c>
      <c r="G18" s="15">
        <v>5</v>
      </c>
      <c r="H18" s="15">
        <v>9</v>
      </c>
      <c r="I18" s="15">
        <v>6</v>
      </c>
      <c r="J18" s="15">
        <v>12</v>
      </c>
      <c r="K18" s="15">
        <v>17</v>
      </c>
      <c r="L18" s="15">
        <v>8</v>
      </c>
      <c r="M18" s="15">
        <v>3</v>
      </c>
      <c r="N18" s="15">
        <v>5</v>
      </c>
      <c r="O18" s="15">
        <v>6</v>
      </c>
      <c r="P18" s="15">
        <v>6</v>
      </c>
      <c r="Q18" s="15">
        <v>8</v>
      </c>
      <c r="R18" s="18" t="s">
        <v>18</v>
      </c>
      <c r="S18" s="4"/>
    </row>
    <row r="19" spans="1:19" ht="18.75" x14ac:dyDescent="0.25">
      <c r="A19" s="20" t="s">
        <v>6</v>
      </c>
      <c r="B19" s="3" t="s">
        <v>5</v>
      </c>
      <c r="C19" s="3" t="s">
        <v>5</v>
      </c>
      <c r="D19" s="3" t="s">
        <v>5</v>
      </c>
      <c r="E19" s="3" t="s">
        <v>5</v>
      </c>
      <c r="F19" s="3" t="s">
        <v>5</v>
      </c>
      <c r="G19" s="3" t="s">
        <v>5</v>
      </c>
      <c r="H19" s="3" t="s">
        <v>5</v>
      </c>
      <c r="I19" s="3" t="s">
        <v>5</v>
      </c>
      <c r="J19" s="3" t="s">
        <v>5</v>
      </c>
      <c r="K19" s="3" t="s">
        <v>5</v>
      </c>
      <c r="L19" s="3" t="s">
        <v>5</v>
      </c>
      <c r="M19" s="3" t="s">
        <v>5</v>
      </c>
      <c r="N19" s="3" t="s">
        <v>5</v>
      </c>
      <c r="O19" s="21">
        <v>5</v>
      </c>
      <c r="P19" s="21">
        <v>0</v>
      </c>
      <c r="Q19" s="21">
        <v>0</v>
      </c>
      <c r="R19" s="22" t="s">
        <v>7</v>
      </c>
      <c r="S19" s="4"/>
    </row>
    <row r="20" spans="1:19" ht="18.75" x14ac:dyDescent="0.25">
      <c r="A20" s="11" t="s">
        <v>23</v>
      </c>
      <c r="B20" s="28" t="s">
        <v>5</v>
      </c>
      <c r="C20" s="28" t="s">
        <v>5</v>
      </c>
      <c r="D20" s="28" t="s">
        <v>5</v>
      </c>
      <c r="E20" s="28" t="s">
        <v>5</v>
      </c>
      <c r="F20" s="28" t="s">
        <v>5</v>
      </c>
      <c r="G20" s="28" t="s">
        <v>5</v>
      </c>
      <c r="H20" s="28" t="s">
        <v>5</v>
      </c>
      <c r="I20" s="28" t="s">
        <v>5</v>
      </c>
      <c r="J20" s="28" t="s">
        <v>5</v>
      </c>
      <c r="K20" s="28" t="s">
        <v>5</v>
      </c>
      <c r="L20" s="28" t="s">
        <v>5</v>
      </c>
      <c r="M20" s="28" t="s">
        <v>5</v>
      </c>
      <c r="N20" s="28" t="s">
        <v>5</v>
      </c>
      <c r="O20" s="28" t="s">
        <v>5</v>
      </c>
      <c r="P20" s="12">
        <v>22</v>
      </c>
      <c r="Q20" s="12">
        <f>SUM(Q21:Q24)</f>
        <v>0</v>
      </c>
      <c r="R20" s="35" t="s">
        <v>21</v>
      </c>
      <c r="S20" s="4"/>
    </row>
    <row r="21" spans="1:19" ht="15.75" x14ac:dyDescent="0.25">
      <c r="A21" s="14" t="s">
        <v>13</v>
      </c>
      <c r="B21" s="29" t="s">
        <v>5</v>
      </c>
      <c r="C21" s="29" t="s">
        <v>5</v>
      </c>
      <c r="D21" s="29" t="s">
        <v>5</v>
      </c>
      <c r="E21" s="29" t="s">
        <v>5</v>
      </c>
      <c r="F21" s="29" t="s">
        <v>5</v>
      </c>
      <c r="G21" s="29" t="s">
        <v>5</v>
      </c>
      <c r="H21" s="29" t="s">
        <v>5</v>
      </c>
      <c r="I21" s="29" t="s">
        <v>5</v>
      </c>
      <c r="J21" s="29" t="s">
        <v>5</v>
      </c>
      <c r="K21" s="29" t="s">
        <v>5</v>
      </c>
      <c r="L21" s="29" t="s">
        <v>5</v>
      </c>
      <c r="M21" s="29" t="s">
        <v>5</v>
      </c>
      <c r="N21" s="29" t="s">
        <v>5</v>
      </c>
      <c r="O21" s="29" t="s">
        <v>5</v>
      </c>
      <c r="P21" s="15">
        <v>14</v>
      </c>
      <c r="Q21" s="15">
        <v>0</v>
      </c>
      <c r="R21" s="16" t="s">
        <v>14</v>
      </c>
      <c r="S21" s="4"/>
    </row>
    <row r="22" spans="1:19" ht="15.75" x14ac:dyDescent="0.25">
      <c r="A22" s="17" t="s">
        <v>25</v>
      </c>
      <c r="B22" s="29" t="s">
        <v>5</v>
      </c>
      <c r="C22" s="29" t="s">
        <v>5</v>
      </c>
      <c r="D22" s="29" t="s">
        <v>5</v>
      </c>
      <c r="E22" s="29" t="s">
        <v>5</v>
      </c>
      <c r="F22" s="29" t="s">
        <v>5</v>
      </c>
      <c r="G22" s="29" t="s">
        <v>5</v>
      </c>
      <c r="H22" s="29" t="s">
        <v>5</v>
      </c>
      <c r="I22" s="29" t="s">
        <v>5</v>
      </c>
      <c r="J22" s="29" t="s">
        <v>5</v>
      </c>
      <c r="K22" s="29" t="s">
        <v>5</v>
      </c>
      <c r="L22" s="29" t="s">
        <v>5</v>
      </c>
      <c r="M22" s="29" t="s">
        <v>5</v>
      </c>
      <c r="N22" s="29" t="s">
        <v>5</v>
      </c>
      <c r="O22" s="29" t="s">
        <v>5</v>
      </c>
      <c r="P22" s="15">
        <v>2</v>
      </c>
      <c r="Q22" s="15">
        <v>0</v>
      </c>
      <c r="R22" s="18" t="s">
        <v>20</v>
      </c>
      <c r="S22" s="4"/>
    </row>
    <row r="23" spans="1:19" ht="15.75" x14ac:dyDescent="0.25">
      <c r="A23" s="17" t="s">
        <v>26</v>
      </c>
      <c r="B23" s="29" t="s">
        <v>5</v>
      </c>
      <c r="C23" s="29" t="s">
        <v>5</v>
      </c>
      <c r="D23" s="29" t="s">
        <v>5</v>
      </c>
      <c r="E23" s="29" t="s">
        <v>5</v>
      </c>
      <c r="F23" s="29" t="s">
        <v>5</v>
      </c>
      <c r="G23" s="29" t="s">
        <v>5</v>
      </c>
      <c r="H23" s="29" t="s">
        <v>5</v>
      </c>
      <c r="I23" s="29" t="s">
        <v>5</v>
      </c>
      <c r="J23" s="29" t="s">
        <v>5</v>
      </c>
      <c r="K23" s="29" t="s">
        <v>5</v>
      </c>
      <c r="L23" s="29" t="s">
        <v>5</v>
      </c>
      <c r="M23" s="29" t="s">
        <v>5</v>
      </c>
      <c r="N23" s="29" t="s">
        <v>5</v>
      </c>
      <c r="O23" s="29" t="s">
        <v>5</v>
      </c>
      <c r="P23" s="15">
        <v>0</v>
      </c>
      <c r="Q23" s="15">
        <v>0</v>
      </c>
      <c r="R23" s="18" t="s">
        <v>18</v>
      </c>
      <c r="S23" s="4"/>
    </row>
    <row r="24" spans="1:19" ht="18.75" x14ac:dyDescent="0.25">
      <c r="A24" s="20" t="s">
        <v>24</v>
      </c>
      <c r="B24" s="31" t="s">
        <v>5</v>
      </c>
      <c r="C24" s="31" t="s">
        <v>5</v>
      </c>
      <c r="D24" s="31" t="s">
        <v>5</v>
      </c>
      <c r="E24" s="31" t="s">
        <v>5</v>
      </c>
      <c r="F24" s="31" t="s">
        <v>5</v>
      </c>
      <c r="G24" s="31" t="s">
        <v>5</v>
      </c>
      <c r="H24" s="31" t="s">
        <v>5</v>
      </c>
      <c r="I24" s="31" t="s">
        <v>5</v>
      </c>
      <c r="J24" s="31" t="s">
        <v>5</v>
      </c>
      <c r="K24" s="31" t="s">
        <v>5</v>
      </c>
      <c r="L24" s="31" t="s">
        <v>5</v>
      </c>
      <c r="M24" s="31" t="s">
        <v>5</v>
      </c>
      <c r="N24" s="31" t="s">
        <v>5</v>
      </c>
      <c r="O24" s="31" t="s">
        <v>5</v>
      </c>
      <c r="P24" s="30">
        <v>6</v>
      </c>
      <c r="Q24" s="21">
        <v>0</v>
      </c>
      <c r="R24" s="22" t="s">
        <v>7</v>
      </c>
      <c r="S24" s="4"/>
    </row>
    <row r="25" spans="1:19" ht="17.25" x14ac:dyDescent="0.25">
      <c r="A25" s="36" t="s">
        <v>31</v>
      </c>
      <c r="B25" s="23"/>
      <c r="R25" s="24" t="s">
        <v>30</v>
      </c>
    </row>
    <row r="26" spans="1:19" ht="18" x14ac:dyDescent="0.45">
      <c r="A26" s="27" t="s">
        <v>22</v>
      </c>
      <c r="B26" s="23"/>
      <c r="R26" s="26" t="s">
        <v>9</v>
      </c>
    </row>
    <row r="27" spans="1:19" x14ac:dyDescent="0.25">
      <c r="A27" s="25" t="s">
        <v>8</v>
      </c>
      <c r="B27" s="23"/>
    </row>
    <row r="28" spans="1:19" x14ac:dyDescent="0.25">
      <c r="B28" s="23"/>
    </row>
  </sheetData>
  <mergeCells count="2">
    <mergeCell ref="A1:R1"/>
    <mergeCell ref="A2:R2"/>
  </mergeCells>
  <pageMargins left="0.7" right="0.7" top="0.75" bottom="0.75" header="0.3" footer="0.3"/>
  <pageSetup scale="4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3.11</vt:lpstr>
      <vt:lpstr>'3.11'!Print_Area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2024-07-30T06:02:09Z</cp:lastPrinted>
  <dcterms:created xsi:type="dcterms:W3CDTF">2019-07-22T06:02:33Z</dcterms:created>
  <dcterms:modified xsi:type="dcterms:W3CDTF">2024-07-30T06:02:21Z</dcterms:modified>
</cp:coreProperties>
</file>