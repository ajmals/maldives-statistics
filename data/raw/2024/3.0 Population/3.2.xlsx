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ml.chartshapes+xml"/>
  <Override PartName="/xl/charts/chart5.xml" ContentType="application/vnd.openxmlformats-officedocument.drawingml.chart+xml"/>
  <Override PartName="/xl/drawings/drawing4.xml" ContentType="application/vnd.openxmlformats-officedocument.drawingml.chartshapes+xml"/>
  <Override PartName="/xl/charts/chart6.xml" ContentType="application/vnd.openxmlformats-officedocument.drawingml.chart+xml"/>
  <Override PartName="/xl/drawings/drawing5.xml" ContentType="application/vnd.openxmlformats-officedocument.drawingml.chartshapes+xml"/>
  <Override PartName="/xl/charts/chart7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pop\"/>
    </mc:Choice>
  </mc:AlternateContent>
  <xr:revisionPtr revIDLastSave="0" documentId="13_ncr:1_{1192CCF4-C8C7-403F-9AF5-764F28595885}" xr6:coauthVersionLast="47" xr6:coauthVersionMax="47" xr10:uidLastSave="{00000000-0000-0000-0000-000000000000}"/>
  <bookViews>
    <workbookView xWindow="-120" yWindow="-120" windowWidth="29040" windowHeight="15720" tabRatio="670" xr2:uid="{00000000-000D-0000-FFFF-FFFF00000000}"/>
  </bookViews>
  <sheets>
    <sheet name="3.2" sheetId="2" r:id="rId1"/>
  </sheets>
  <externalReferences>
    <externalReference r:id="rId2"/>
    <externalReference r:id="rId3"/>
    <externalReference r:id="rId4"/>
  </externalReferences>
  <definedNames>
    <definedName name="_xlnm.Print_Area" localSheetId="0">'3.2'!$A$1:$U$64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W119" i="2" l="1"/>
  <c r="AW118" i="2"/>
  <c r="AW117" i="2"/>
  <c r="AW116" i="2"/>
  <c r="AW115" i="2"/>
  <c r="AW114" i="2"/>
  <c r="AW113" i="2"/>
  <c r="AW112" i="2"/>
  <c r="AW111" i="2"/>
  <c r="AW110" i="2"/>
  <c r="AW109" i="2"/>
  <c r="AW108" i="2"/>
  <c r="AW107" i="2"/>
  <c r="AW106" i="2"/>
  <c r="AW105" i="2"/>
  <c r="AW104" i="2"/>
  <c r="AY94" i="2"/>
  <c r="AY96" i="2" s="1"/>
  <c r="AX94" i="2"/>
  <c r="AW94" i="2"/>
  <c r="AW93" i="2"/>
  <c r="AW92" i="2"/>
  <c r="AW91" i="2"/>
  <c r="AW90" i="2"/>
  <c r="AW89" i="2"/>
  <c r="AW88" i="2"/>
  <c r="AW87" i="2"/>
  <c r="AW86" i="2"/>
  <c r="AW85" i="2"/>
  <c r="AW84" i="2"/>
  <c r="AW83" i="2"/>
  <c r="AW82" i="2"/>
  <c r="AW81" i="2"/>
  <c r="AY80" i="2"/>
  <c r="AX80" i="2"/>
  <c r="AW80" i="2"/>
  <c r="AY79" i="2"/>
  <c r="AW79" i="2" s="1"/>
  <c r="AX79" i="2"/>
  <c r="AY72" i="2"/>
  <c r="AX72" i="2"/>
  <c r="AW72" i="2"/>
  <c r="AW71" i="2"/>
  <c r="AW70" i="2"/>
  <c r="AW69" i="2"/>
  <c r="AW68" i="2"/>
  <c r="AW67" i="2"/>
  <c r="AW66" i="2"/>
  <c r="AW65" i="2"/>
  <c r="AW64" i="2"/>
  <c r="AW63" i="2"/>
  <c r="AW62" i="2"/>
  <c r="AW61" i="2"/>
  <c r="AW60" i="2"/>
  <c r="AW59" i="2"/>
  <c r="AY58" i="2"/>
  <c r="AW58" i="2" s="1"/>
  <c r="AX58" i="2"/>
  <c r="AY57" i="2"/>
  <c r="AW57" i="2" s="1"/>
  <c r="AX57" i="2"/>
  <c r="AY55" i="2"/>
  <c r="AY47" i="2"/>
  <c r="AW47" i="2" s="1"/>
  <c r="AX47" i="2"/>
  <c r="AW46" i="2"/>
  <c r="AW45" i="2"/>
  <c r="AW44" i="2"/>
  <c r="AW43" i="2"/>
  <c r="AW42" i="2"/>
  <c r="AW41" i="2"/>
  <c r="AW40" i="2"/>
  <c r="AW39" i="2"/>
  <c r="AW38" i="2"/>
  <c r="AW37" i="2"/>
  <c r="AW36" i="2"/>
  <c r="AW35" i="2"/>
  <c r="AW34" i="2"/>
  <c r="AY33" i="2"/>
  <c r="AW33" i="2" s="1"/>
  <c r="AX33" i="2"/>
  <c r="AY32" i="2"/>
  <c r="AX32" i="2"/>
  <c r="AW32" i="2"/>
  <c r="R32" i="2"/>
  <c r="N32" i="2"/>
  <c r="N31" i="2"/>
  <c r="N30" i="2"/>
  <c r="N29" i="2"/>
  <c r="N28" i="2"/>
  <c r="N27" i="2"/>
  <c r="N26" i="2"/>
  <c r="N25" i="2"/>
  <c r="N24" i="2"/>
  <c r="AY23" i="2"/>
  <c r="AX23" i="2"/>
  <c r="AW23" i="2"/>
  <c r="N23" i="2"/>
  <c r="AW22" i="2"/>
  <c r="N22" i="2"/>
  <c r="AW21" i="2"/>
  <c r="N21" i="2"/>
  <c r="AW20" i="2"/>
  <c r="N20" i="2"/>
  <c r="AW19" i="2"/>
  <c r="N19" i="2"/>
  <c r="AW18" i="2"/>
  <c r="N18" i="2"/>
  <c r="AW17" i="2"/>
  <c r="N17" i="2"/>
  <c r="AW16" i="2"/>
  <c r="N16" i="2"/>
  <c r="AW15" i="2"/>
  <c r="N15" i="2"/>
  <c r="AW14" i="2"/>
  <c r="N14" i="2"/>
  <c r="AW13" i="2"/>
  <c r="N13" i="2"/>
  <c r="AW12" i="2"/>
  <c r="N12" i="2"/>
  <c r="AW11" i="2"/>
  <c r="N11" i="2"/>
  <c r="AW10" i="2"/>
  <c r="N10" i="2"/>
  <c r="AY9" i="2"/>
  <c r="AW9" i="2" s="1"/>
  <c r="AX9" i="2"/>
  <c r="AY8" i="2"/>
  <c r="AW8" i="2" s="1"/>
  <c r="AX8" i="2"/>
  <c r="T8" i="2"/>
  <c r="S8" i="2"/>
  <c r="R8" i="2" s="1"/>
  <c r="P8" i="2"/>
  <c r="O8" i="2"/>
  <c r="H8" i="2"/>
  <c r="G8" i="2"/>
  <c r="F8" i="2"/>
  <c r="D8" i="2"/>
  <c r="C8" i="2"/>
  <c r="B8" i="2"/>
  <c r="N8" i="2" l="1"/>
</calcChain>
</file>

<file path=xl/sharedStrings.xml><?xml version="1.0" encoding="utf-8"?>
<sst xmlns="http://schemas.openxmlformats.org/spreadsheetml/2006/main" count="162" uniqueCount="51">
  <si>
    <t>cscnijed</t>
  </si>
  <si>
    <t>cnehirif</t>
  </si>
  <si>
    <t>cnehcnwa</t>
  </si>
  <si>
    <t>Both Sexes</t>
  </si>
  <si>
    <t>Male</t>
  </si>
  <si>
    <t>Female</t>
  </si>
  <si>
    <t>1995 Census</t>
  </si>
  <si>
    <t>1995 cnunemihOb</t>
  </si>
  <si>
    <t>2000 Census</t>
  </si>
  <si>
    <t>2000 cnunemihOb</t>
  </si>
  <si>
    <t>2006 Census</t>
  </si>
  <si>
    <t>2006 cnunemihOb</t>
  </si>
  <si>
    <t>2014 Census</t>
  </si>
  <si>
    <t>2014 cnunemihOb</t>
  </si>
  <si>
    <t>Wrufurumua</t>
  </si>
  <si>
    <t>Age group</t>
  </si>
  <si>
    <t>wlcmuj</t>
  </si>
  <si>
    <t>Total</t>
  </si>
  <si>
    <t>0-4</t>
  </si>
  <si>
    <t xml:space="preserve">cSwdcnurwhwa 1 </t>
  </si>
  <si>
    <t>5 - 9</t>
  </si>
  <si>
    <t>Less than 1 year</t>
  </si>
  <si>
    <t>10 - 14</t>
  </si>
  <si>
    <t>1 - 4</t>
  </si>
  <si>
    <t>15 - 19</t>
  </si>
  <si>
    <t>5</t>
  </si>
  <si>
    <t>20 - 24</t>
  </si>
  <si>
    <t>6 - 9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</si>
  <si>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</si>
  <si>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</si>
  <si>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</si>
  <si>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</si>
  <si>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</si>
  <si>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</si>
  <si>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</si>
  <si>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</si>
  <si>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65 - 69</t>
  </si>
  <si>
    <t>70 - 74</t>
  </si>
  <si>
    <t>75+</t>
  </si>
  <si>
    <t>75 - 79</t>
  </si>
  <si>
    <t>80 - 84</t>
  </si>
  <si>
    <t>85 - 89</t>
  </si>
  <si>
    <t>90 - 94</t>
  </si>
  <si>
    <t>95 years and over</t>
  </si>
  <si>
    <t>Age not stated</t>
  </si>
  <si>
    <t>Source: Maldives Bureau of Statistics</t>
  </si>
  <si>
    <t>މައުލޫމާތު ދެއްވި ފަރާތް: މޯލްޑިވްސް ބިއުރޯ އޮފް ސްޓެޓިސްޓިކްސް</t>
  </si>
  <si>
    <t>2022 cnunemihOb</t>
  </si>
  <si>
    <t>2022 Census</t>
  </si>
  <si>
    <t>Table 3.2 : TOTAL MALDIVIAN POPULATION BY AGE AND SEX, CENSUS, 1995, 2000,  2006 , 2014 AND 2022</t>
  </si>
  <si>
    <t xml:space="preserve">  2022 idwa 2014 , 2006 ، 2000 ,1995 cnunemihOb ,cnutog egcscnij iaWaWrufurumua IdWbWa egcnihevid : 3.2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</si>
</sst>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6" formatCode="_-* #,##0.00\ _ރ_._-;_-* #,##0.00\ _ރ_.\-;_-* &quot;-&quot;??\ _ރ_._-;_-@_-"/>
    <numFmt numFmtId="167" formatCode="General_)"/>
    <numFmt numFmtId="173" formatCode="_(* #,##0_);_(* \(#,##0\);_(* &quot;-&quot;??_);_(@_)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1"/>
      <name val="Calibri"/>
      <family val="2"/>
    </font>
    <font>
      <b/>
      <sz val="10"/>
      <name val="Arial"/>
      <family val="2"/>
    </font>
    <font>
      <b/>
      <sz val="10"/>
      <name val="A_Randhoo"/>
    </font>
    <font>
      <b/>
      <sz val="9"/>
      <name val="Arial"/>
      <family val="2"/>
    </font>
    <font>
      <b/>
      <sz val="9"/>
      <name val="A_Randhoo"/>
    </font>
    <font>
      <sz val="9"/>
      <name val="Arial"/>
      <family val="2"/>
    </font>
    <font>
      <sz val="11"/>
      <name val="Calibri"/>
      <family val="2"/>
    </font>
    <font>
      <i/>
      <sz val="9"/>
      <name val="Calibri"/>
      <family val="2"/>
    </font>
    <font>
      <sz val="9"/>
      <name val="Faruma"/>
    </font>
    <font>
      <sz val="10"/>
      <name val="Arial"/>
      <family val="2"/>
    </font>
    <font>
      <b/>
      <sz val="10"/>
      <name val="Calibri"/>
      <family val="2"/>
    </font>
    <font>
      <sz val="11"/>
      <name val="Arial"/>
      <family val="2"/>
    </font>
    <font>
      <sz val="10"/>
      <name val="Calibri"/>
      <family val="2"/>
    </font>
    <font>
      <sz val="10"/>
      <name val="A_Randhoo"/>
    </font>
    <font>
      <sz val="11"/>
      <name val="Courier"/>
      <family val="3"/>
    </font>
    <font>
      <sz val="7"/>
      <name val="Arial"/>
      <family val="2"/>
    </font>
    <font>
      <b/>
      <sz val="8"/>
      <color rgb="FF000000"/>
      <name val="Calibri"/>
      <family val="2"/>
    </font>
    <font>
      <sz val="11"/>
      <color theme="1"/>
      <name val="Calibri"/>
      <family val="2"/>
      <charset val="1"/>
      <scheme val="minor"/>
    </font>
    <font>
      <b/>
      <sz val="10"/>
      <name val="A_Faseyha"/>
    </font>
    <font>
      <sz val="10"/>
      <name val="A_Faseyha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27">
    <xf numFmtId="0" fontId="0" fillId="0" borderId="0"/>
    <xf numFmtId="167" fontId="2" fillId="0" borderId="0"/>
    <xf numFmtId="0" fontId="13" fillId="0" borderId="0"/>
    <xf numFmtId="0" fontId="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21" fillId="0" borderId="0"/>
    <xf numFmtId="0" fontId="13" fillId="0" borderId="0"/>
    <xf numFmtId="0" fontId="13" fillId="0" borderId="0"/>
    <xf numFmtId="0" fontId="1" fillId="0" borderId="0"/>
    <xf numFmtId="167" fontId="2" fillId="0" borderId="0"/>
    <xf numFmtId="0" fontId="3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65">
    <xf numFmtId="0" fontId="0" fillId="0" borderId="0" xfId="0"/>
    <xf numFmtId="167" fontId="3" fillId="3" borderId="0" xfId="1" applyFont="1" applyFill="1"/>
    <xf numFmtId="2" fontId="12" fillId="3" borderId="0" xfId="1" applyNumberFormat="1" applyFont="1" applyFill="1" applyAlignment="1" applyProtection="1">
      <alignment vertical="center"/>
      <protection locked="0"/>
    </xf>
    <xf numFmtId="37" fontId="9" fillId="3" borderId="0" xfId="1" applyNumberFormat="1" applyFont="1" applyFill="1" applyAlignment="1" applyProtection="1">
      <alignment horizontal="right" vertical="center"/>
      <protection locked="0"/>
    </xf>
    <xf numFmtId="4" fontId="9" fillId="3" borderId="0" xfId="1" applyNumberFormat="1" applyFont="1" applyFill="1" applyAlignment="1" applyProtection="1">
      <alignment horizontal="right" vertical="center"/>
      <protection locked="0"/>
    </xf>
    <xf numFmtId="167" fontId="3" fillId="3" borderId="0" xfId="1" applyFont="1" applyFill="1" applyAlignment="1">
      <alignment horizontal="right" vertical="center"/>
    </xf>
    <xf numFmtId="49" fontId="9" fillId="3" borderId="0" xfId="3" applyNumberFormat="1" applyFont="1" applyFill="1" applyAlignment="1">
      <alignment horizontal="center"/>
    </xf>
    <xf numFmtId="3" fontId="9" fillId="3" borderId="0" xfId="3" applyNumberFormat="1" applyFont="1" applyFill="1"/>
    <xf numFmtId="0" fontId="3" fillId="3" borderId="0" xfId="3" applyFill="1"/>
    <xf numFmtId="0" fontId="3" fillId="3" borderId="1" xfId="3" applyFill="1" applyBorder="1"/>
    <xf numFmtId="0" fontId="5" fillId="3" borderId="0" xfId="3" applyFont="1" applyFill="1"/>
    <xf numFmtId="0" fontId="14" fillId="3" borderId="3" xfId="3" applyFont="1" applyFill="1" applyBorder="1" applyAlignment="1">
      <alignment horizontal="centerContinuous" vertical="center"/>
    </xf>
    <xf numFmtId="0" fontId="9" fillId="3" borderId="3" xfId="3" applyFont="1" applyFill="1" applyBorder="1" applyAlignment="1">
      <alignment horizontal="left" vertical="center"/>
    </xf>
    <xf numFmtId="0" fontId="6" fillId="3" borderId="0" xfId="3" applyFont="1" applyFill="1" applyAlignment="1">
      <alignment horizontal="center" vertical="center"/>
    </xf>
    <xf numFmtId="0" fontId="13" fillId="3" borderId="3" xfId="3" applyFont="1" applyFill="1" applyBorder="1"/>
    <xf numFmtId="0" fontId="4" fillId="3" borderId="1" xfId="3" applyFont="1" applyFill="1" applyBorder="1" applyAlignment="1">
      <alignment horizontal="center"/>
    </xf>
    <xf numFmtId="0" fontId="4" fillId="3" borderId="1" xfId="3" applyFont="1" applyFill="1" applyBorder="1" applyAlignment="1">
      <alignment horizontal="right"/>
    </xf>
    <xf numFmtId="3" fontId="3" fillId="3" borderId="0" xfId="3" applyNumberFormat="1" applyFill="1"/>
    <xf numFmtId="0" fontId="8" fillId="3" borderId="0" xfId="3" applyFont="1" applyFill="1" applyAlignment="1">
      <alignment horizontal="center" vertical="center"/>
    </xf>
    <xf numFmtId="0" fontId="5" fillId="3" borderId="0" xfId="3" applyFont="1" applyFill="1" applyAlignment="1">
      <alignment vertical="center"/>
    </xf>
    <xf numFmtId="0" fontId="9" fillId="3" borderId="0" xfId="3" applyFont="1" applyFill="1"/>
    <xf numFmtId="0" fontId="13" fillId="3" borderId="0" xfId="3" applyFont="1" applyFill="1"/>
    <xf numFmtId="0" fontId="14" fillId="3" borderId="0" xfId="3" applyFont="1" applyFill="1" applyAlignment="1">
      <alignment horizontal="center"/>
    </xf>
    <xf numFmtId="3" fontId="4" fillId="3" borderId="0" xfId="3" applyNumberFormat="1" applyFont="1" applyFill="1"/>
    <xf numFmtId="3" fontId="4" fillId="3" borderId="0" xfId="0" applyNumberFormat="1" applyFont="1" applyFill="1"/>
    <xf numFmtId="0" fontId="15" fillId="3" borderId="0" xfId="3" applyFont="1" applyFill="1"/>
    <xf numFmtId="49" fontId="16" fillId="3" borderId="0" xfId="3" applyNumberFormat="1" applyFont="1" applyFill="1" applyAlignment="1">
      <alignment horizontal="center"/>
    </xf>
    <xf numFmtId="167" fontId="9" fillId="3" borderId="0" xfId="1" applyFont="1" applyFill="1"/>
    <xf numFmtId="0" fontId="17" fillId="3" borderId="0" xfId="3" applyFont="1" applyFill="1" applyAlignment="1">
      <alignment horizontal="center" vertical="center"/>
    </xf>
    <xf numFmtId="3" fontId="15" fillId="3" borderId="0" xfId="3" applyNumberFormat="1" applyFont="1" applyFill="1"/>
    <xf numFmtId="3" fontId="15" fillId="3" borderId="0" xfId="0" applyNumberFormat="1" applyFont="1" applyFill="1"/>
    <xf numFmtId="0" fontId="16" fillId="3" borderId="0" xfId="3" applyFont="1" applyFill="1" applyAlignment="1">
      <alignment horizontal="center" vertical="top"/>
    </xf>
    <xf numFmtId="3" fontId="10" fillId="3" borderId="0" xfId="3" applyNumberFormat="1" applyFont="1" applyFill="1" applyAlignment="1">
      <alignment horizontal="right" vertical="center"/>
    </xf>
    <xf numFmtId="3" fontId="10" fillId="3" borderId="0" xfId="0" applyNumberFormat="1" applyFont="1" applyFill="1" applyAlignment="1">
      <alignment horizontal="right" vertical="center"/>
    </xf>
    <xf numFmtId="0" fontId="15" fillId="3" borderId="0" xfId="3" applyFont="1" applyFill="1" applyAlignment="1">
      <alignment horizontal="right" vertical="center"/>
    </xf>
    <xf numFmtId="0" fontId="3" fillId="3" borderId="0" xfId="3" applyFill="1" applyAlignment="1">
      <alignment vertical="top"/>
    </xf>
    <xf numFmtId="3" fontId="10" fillId="3" borderId="0" xfId="2" applyNumberFormat="1" applyFont="1" applyFill="1"/>
    <xf numFmtId="167" fontId="18" fillId="3" borderId="0" xfId="1" applyFont="1" applyFill="1" applyAlignment="1">
      <alignment horizontal="right" vertical="center"/>
    </xf>
    <xf numFmtId="0" fontId="10" fillId="3" borderId="0" xfId="3" applyFont="1" applyFill="1" applyAlignment="1">
      <alignment horizontal="right" vertical="center"/>
    </xf>
    <xf numFmtId="0" fontId="16" fillId="3" borderId="1" xfId="3" applyFont="1" applyFill="1" applyBorder="1" applyAlignment="1">
      <alignment horizontal="center"/>
    </xf>
    <xf numFmtId="0" fontId="10" fillId="3" borderId="1" xfId="3" applyFont="1" applyFill="1" applyBorder="1" applyAlignment="1">
      <alignment horizontal="right" vertical="center"/>
    </xf>
    <xf numFmtId="3" fontId="10" fillId="3" borderId="1" xfId="3" applyNumberFormat="1" applyFont="1" applyFill="1" applyBorder="1" applyAlignment="1">
      <alignment horizontal="right" vertical="center"/>
    </xf>
    <xf numFmtId="3" fontId="10" fillId="3" borderId="1" xfId="0" applyNumberFormat="1" applyFont="1" applyFill="1" applyBorder="1" applyAlignment="1">
      <alignment horizontal="right" vertical="center"/>
    </xf>
    <xf numFmtId="167" fontId="18" fillId="3" borderId="1" xfId="1" applyFont="1" applyFill="1" applyBorder="1" applyAlignment="1">
      <alignment horizontal="right" vertical="center"/>
    </xf>
    <xf numFmtId="0" fontId="3" fillId="3" borderId="2" xfId="3" applyFill="1" applyBorder="1"/>
    <xf numFmtId="167" fontId="2" fillId="3" borderId="0" xfId="1" applyFill="1"/>
    <xf numFmtId="0" fontId="9" fillId="3" borderId="0" xfId="3" applyFont="1" applyFill="1" applyAlignment="1">
      <alignment vertical="center"/>
    </xf>
    <xf numFmtId="49" fontId="9" fillId="3" borderId="0" xfId="1" applyNumberFormat="1" applyFont="1" applyFill="1" applyAlignment="1">
      <alignment horizontal="right" vertical="center"/>
    </xf>
    <xf numFmtId="167" fontId="19" fillId="3" borderId="0" xfId="1" applyFont="1" applyFill="1" applyAlignment="1">
      <alignment horizontal="right" vertical="center"/>
    </xf>
    <xf numFmtId="37" fontId="7" fillId="3" borderId="0" xfId="1" applyNumberFormat="1" applyFont="1" applyFill="1" applyAlignment="1">
      <alignment horizontal="right" vertical="center"/>
    </xf>
    <xf numFmtId="167" fontId="5" fillId="3" borderId="0" xfId="1" applyFont="1" applyFill="1" applyAlignment="1">
      <alignment horizontal="right" vertical="center"/>
    </xf>
    <xf numFmtId="0" fontId="20" fillId="3" borderId="0" xfId="0" applyFont="1" applyFill="1" applyAlignment="1">
      <alignment horizontal="center" vertical="center" readingOrder="1"/>
    </xf>
    <xf numFmtId="167" fontId="11" fillId="2" borderId="0" xfId="1" applyFont="1" applyFill="1" applyAlignment="1">
      <alignment horizontal="left" vertical="center"/>
    </xf>
    <xf numFmtId="2" fontId="12" fillId="2" borderId="0" xfId="1" applyNumberFormat="1" applyFont="1" applyFill="1" applyAlignment="1" applyProtection="1">
      <alignment vertical="center"/>
      <protection locked="0"/>
    </xf>
    <xf numFmtId="0" fontId="22" fillId="3" borderId="0" xfId="3" applyFont="1" applyFill="1" applyAlignment="1">
      <alignment horizontal="right" vertical="center"/>
    </xf>
    <xf numFmtId="0" fontId="22" fillId="3" borderId="0" xfId="3" applyFont="1" applyFill="1" applyAlignment="1">
      <alignment horizontal="center" vertical="center"/>
    </xf>
    <xf numFmtId="0" fontId="23" fillId="3" borderId="0" xfId="3" applyFont="1" applyFill="1"/>
    <xf numFmtId="0" fontId="22" fillId="3" borderId="3" xfId="3" applyFont="1" applyFill="1" applyBorder="1" applyAlignment="1">
      <alignment horizontal="right" vertical="center"/>
    </xf>
    <xf numFmtId="173" fontId="0" fillId="0" borderId="5" xfId="15" applyNumberFormat="1" applyFont="1" applyBorder="1"/>
    <xf numFmtId="0" fontId="14" fillId="3" borderId="4" xfId="3" applyFont="1" applyFill="1" applyBorder="1" applyAlignment="1">
      <alignment horizontal="centerContinuous" vertical="center"/>
    </xf>
    <xf numFmtId="0" fontId="13" fillId="3" borderId="4" xfId="3" applyFont="1" applyFill="1" applyBorder="1"/>
    <xf numFmtId="0" fontId="22" fillId="3" borderId="4" xfId="3" applyFont="1" applyFill="1" applyBorder="1" applyAlignment="1">
      <alignment horizontal="right" vertical="center"/>
    </xf>
    <xf numFmtId="3" fontId="0" fillId="0" borderId="5" xfId="15" applyNumberFormat="1" applyFont="1" applyBorder="1"/>
    <xf numFmtId="0" fontId="22" fillId="3" borderId="0" xfId="3" applyFont="1" applyFill="1" applyAlignment="1">
      <alignment horizontal="center" vertical="center"/>
    </xf>
    <xf numFmtId="0" fontId="4" fillId="3" borderId="0" xfId="3" applyFont="1" applyFill="1" applyAlignment="1">
      <alignment horizontal="center" vertical="center"/>
    </xf>
  </cellXfs>
  <cellStyles count="27">
    <cellStyle name="1" xfId="16" xr:uid="{00000000-0005-0000-0000-000000000000}"/>
    <cellStyle name="Comma" xfId="15" builtinId="3"/>
    <cellStyle name="Comma 2" xfId="14" xr:uid="{00000000-0005-0000-0000-000002000000}"/>
    <cellStyle name="Comma 2 2" xfId="25" xr:uid="{00000000-0005-0000-0000-000003000000}"/>
    <cellStyle name="Comma 3" xfId="7" xr:uid="{00000000-0005-0000-0000-000004000000}"/>
    <cellStyle name="Comma 3 2" xfId="18" xr:uid="{00000000-0005-0000-0000-000005000000}"/>
    <cellStyle name="Comma 3 3" xfId="26" xr:uid="{00000000-0005-0000-0000-000006000000}"/>
    <cellStyle name="Comma 4" xfId="5" xr:uid="{00000000-0005-0000-0000-000007000000}"/>
    <cellStyle name="Comma 4 2" xfId="21" xr:uid="{00000000-0005-0000-0000-000008000000}"/>
    <cellStyle name="Comma 7" xfId="17" xr:uid="{00000000-0005-0000-0000-000009000000}"/>
    <cellStyle name="Normal" xfId="0" builtinId="0"/>
    <cellStyle name="Normal 11" xfId="8" xr:uid="{00000000-0005-0000-0000-00000E000000}"/>
    <cellStyle name="Normal 2" xfId="6" xr:uid="{00000000-0005-0000-0000-00000F000000}"/>
    <cellStyle name="Normal 2 2" xfId="22" xr:uid="{00000000-0005-0000-0000-000010000000}"/>
    <cellStyle name="Normal 20" xfId="4" xr:uid="{00000000-0005-0000-0000-000011000000}"/>
    <cellStyle name="Normal 20 2" xfId="20" xr:uid="{00000000-0005-0000-0000-000012000000}"/>
    <cellStyle name="Normal 3" xfId="13" xr:uid="{00000000-0005-0000-0000-000013000000}"/>
    <cellStyle name="Normal 32" xfId="9" xr:uid="{00000000-0005-0000-0000-000014000000}"/>
    <cellStyle name="Normal 32 2" xfId="23" xr:uid="{00000000-0005-0000-0000-000015000000}"/>
    <cellStyle name="Normal 4" xfId="12" xr:uid="{00000000-0005-0000-0000-000016000000}"/>
    <cellStyle name="Normal 44" xfId="10" xr:uid="{00000000-0005-0000-0000-000017000000}"/>
    <cellStyle name="Normal 44 2" xfId="24" xr:uid="{00000000-0005-0000-0000-000018000000}"/>
    <cellStyle name="Normal 48" xfId="11" xr:uid="{00000000-0005-0000-0000-000019000000}"/>
    <cellStyle name="Normal 5" xfId="2" xr:uid="{00000000-0005-0000-0000-00001A000000}"/>
    <cellStyle name="Normal 5 2" xfId="19" xr:uid="{00000000-0005-0000-0000-00001B000000}"/>
    <cellStyle name="Normal_3 Population." xfId="1" xr:uid="{00000000-0005-0000-0000-00001D000000}"/>
    <cellStyle name="Normal_II-14(Population)" xfId="3" xr:uid="{00000000-0005-0000-0000-000020000000}"/>
  </cellStyles>
  <dxfs count="0"/>
  <tableStyles count="0" defaultTableStyle="TableStyleMedium2" defaultPivotStyle="PivotStyleLight16"/>
  <colors>
    <mruColors>
      <color rgb="FF009999"/>
      <color rgb="FF00DFDA"/>
      <color rgb="FF006F6C"/>
      <color rgb="FF93FFFF"/>
      <color rgb="FFEFFFFF"/>
      <color rgb="FFD1FFFF"/>
      <color rgb="FFB9FFFF"/>
      <color rgb="FFCC0066"/>
      <color rgb="FFFF8181"/>
      <color rgb="FFFF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Figure 3.2: Population Pyramid  of Maldives, 1995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4375600416714548"/>
          <c:y val="0.14500046317739695"/>
          <c:w val="0.81058766415771644"/>
          <c:h val="0.7151540778646280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'3.2'!$AX$7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93FFFF"/>
            </a:solidFill>
            <a:ln w="9525">
              <a:solidFill>
                <a:schemeClr val="bg1"/>
              </a:solidFill>
            </a:ln>
          </c:spPr>
          <c:invertIfNegative val="0"/>
          <c:cat>
            <c:strRef>
              <c:f>'3.2'!$AV$8:$AV$23</c:f>
              <c:strCache>
                <c:ptCount val="16"/>
                <c:pt idx="0">
                  <c:v>0-4</c:v>
                </c:pt>
                <c:pt idx="1">
                  <c:v>5 - 9</c:v>
                </c:pt>
                <c:pt idx="2">
                  <c:v>10 - 14</c:v>
                </c:pt>
                <c:pt idx="3">
                  <c:v>15 - 19</c:v>
                </c:pt>
                <c:pt idx="4">
                  <c:v>20 - 24</c:v>
                </c:pt>
                <c:pt idx="5">
                  <c:v>25 - 29</c:v>
                </c:pt>
                <c:pt idx="6">
                  <c:v>30 - 34</c:v>
                </c:pt>
                <c:pt idx="7">
                  <c:v>35 - 39</c:v>
                </c:pt>
                <c:pt idx="8">
                  <c:v>40 - 44</c:v>
                </c:pt>
                <c:pt idx="9">
                  <c:v>45 - 49</c:v>
                </c:pt>
                <c:pt idx="10">
                  <c:v>50 - 54</c:v>
                </c:pt>
                <c:pt idx="11">
                  <c:v>55 - 59</c:v>
                </c:pt>
                <c:pt idx="12">
                  <c:v>60 - 64</c:v>
                </c:pt>
                <c:pt idx="13">
                  <c:v>65 - 69</c:v>
                </c:pt>
                <c:pt idx="14">
                  <c:v>70 - 74</c:v>
                </c:pt>
                <c:pt idx="15">
                  <c:v>75+</c:v>
                </c:pt>
              </c:strCache>
            </c:strRef>
          </c:cat>
          <c:val>
            <c:numRef>
              <c:f>'3.2'!$AX$8:$AX$23</c:f>
              <c:numCache>
                <c:formatCode>#,##0</c:formatCode>
                <c:ptCount val="16"/>
                <c:pt idx="0">
                  <c:v>17859</c:v>
                </c:pt>
                <c:pt idx="1">
                  <c:v>19919</c:v>
                </c:pt>
                <c:pt idx="2">
                  <c:v>17584</c:v>
                </c:pt>
                <c:pt idx="3">
                  <c:v>12562</c:v>
                </c:pt>
                <c:pt idx="4">
                  <c:v>11077</c:v>
                </c:pt>
                <c:pt idx="5">
                  <c:v>9389</c:v>
                </c:pt>
                <c:pt idx="6">
                  <c:v>7785</c:v>
                </c:pt>
                <c:pt idx="7">
                  <c:v>6317</c:v>
                </c:pt>
                <c:pt idx="8">
                  <c:v>3297</c:v>
                </c:pt>
                <c:pt idx="9">
                  <c:v>3215</c:v>
                </c:pt>
                <c:pt idx="10">
                  <c:v>3042</c:v>
                </c:pt>
                <c:pt idx="11">
                  <c:v>2722</c:v>
                </c:pt>
                <c:pt idx="12">
                  <c:v>2284</c:v>
                </c:pt>
                <c:pt idx="13">
                  <c:v>1304</c:v>
                </c:pt>
                <c:pt idx="14">
                  <c:v>822</c:v>
                </c:pt>
                <c:pt idx="15">
                  <c:v>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79-409C-846C-416F5A6AA65A}"/>
            </c:ext>
          </c:extLst>
        </c:ser>
        <c:ser>
          <c:idx val="1"/>
          <c:order val="1"/>
          <c:tx>
            <c:strRef>
              <c:f>'3.2'!$AW$7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009999"/>
            </a:solidFill>
            <a:ln w="9525">
              <a:solidFill>
                <a:schemeClr val="bg1"/>
              </a:solidFill>
            </a:ln>
          </c:spPr>
          <c:invertIfNegative val="0"/>
          <c:cat>
            <c:strRef>
              <c:f>'3.2'!$AV$8:$AV$23</c:f>
              <c:strCache>
                <c:ptCount val="16"/>
                <c:pt idx="0">
                  <c:v>0-4</c:v>
                </c:pt>
                <c:pt idx="1">
                  <c:v>5 - 9</c:v>
                </c:pt>
                <c:pt idx="2">
                  <c:v>10 - 14</c:v>
                </c:pt>
                <c:pt idx="3">
                  <c:v>15 - 19</c:v>
                </c:pt>
                <c:pt idx="4">
                  <c:v>20 - 24</c:v>
                </c:pt>
                <c:pt idx="5">
                  <c:v>25 - 29</c:v>
                </c:pt>
                <c:pt idx="6">
                  <c:v>30 - 34</c:v>
                </c:pt>
                <c:pt idx="7">
                  <c:v>35 - 39</c:v>
                </c:pt>
                <c:pt idx="8">
                  <c:v>40 - 44</c:v>
                </c:pt>
                <c:pt idx="9">
                  <c:v>45 - 49</c:v>
                </c:pt>
                <c:pt idx="10">
                  <c:v>50 - 54</c:v>
                </c:pt>
                <c:pt idx="11">
                  <c:v>55 - 59</c:v>
                </c:pt>
                <c:pt idx="12">
                  <c:v>60 - 64</c:v>
                </c:pt>
                <c:pt idx="13">
                  <c:v>65 - 69</c:v>
                </c:pt>
                <c:pt idx="14">
                  <c:v>70 - 74</c:v>
                </c:pt>
                <c:pt idx="15">
                  <c:v>75+</c:v>
                </c:pt>
              </c:strCache>
            </c:strRef>
          </c:cat>
          <c:val>
            <c:numRef>
              <c:f>'3.2'!$AW$8:$AW$23</c:f>
              <c:numCache>
                <c:formatCode>General_)</c:formatCode>
                <c:ptCount val="16"/>
                <c:pt idx="0">
                  <c:v>-19113</c:v>
                </c:pt>
                <c:pt idx="1">
                  <c:v>-20840</c:v>
                </c:pt>
                <c:pt idx="2">
                  <c:v>-18286</c:v>
                </c:pt>
                <c:pt idx="3">
                  <c:v>-12343</c:v>
                </c:pt>
                <c:pt idx="4">
                  <c:v>-9944</c:v>
                </c:pt>
                <c:pt idx="5">
                  <c:v>-8802</c:v>
                </c:pt>
                <c:pt idx="6">
                  <c:v>-7579</c:v>
                </c:pt>
                <c:pt idx="7">
                  <c:v>-6315</c:v>
                </c:pt>
                <c:pt idx="8">
                  <c:v>-3625</c:v>
                </c:pt>
                <c:pt idx="9">
                  <c:v>-3369</c:v>
                </c:pt>
                <c:pt idx="10">
                  <c:v>-3205</c:v>
                </c:pt>
                <c:pt idx="11">
                  <c:v>-3240</c:v>
                </c:pt>
                <c:pt idx="12">
                  <c:v>-3010</c:v>
                </c:pt>
                <c:pt idx="13">
                  <c:v>-1897</c:v>
                </c:pt>
                <c:pt idx="14">
                  <c:v>-1279</c:v>
                </c:pt>
                <c:pt idx="15">
                  <c:v>-1384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79-409C-846C-416F5A6AA6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85714656"/>
        <c:axId val="385716224"/>
      </c:barChart>
      <c:dateAx>
        <c:axId val="385714656"/>
        <c:scaling>
          <c:orientation val="minMax"/>
        </c:scaling>
        <c:delete val="0"/>
        <c:axPos val="l"/>
        <c:numFmt formatCode="m/d/yyyy" sourceLinked="0"/>
        <c:majorTickMark val="none"/>
        <c:minorTickMark val="none"/>
        <c:tickLblPos val="low"/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5716224"/>
        <c:crosses val="autoZero"/>
        <c:auto val="0"/>
        <c:lblOffset val="100"/>
        <c:baseTimeUnit val="days"/>
      </c:dateAx>
      <c:valAx>
        <c:axId val="385716224"/>
        <c:scaling>
          <c:orientation val="minMax"/>
          <c:max val="25000"/>
          <c:min val="-25000"/>
        </c:scaling>
        <c:delete val="0"/>
        <c:axPos val="b"/>
        <c:majorGridlines>
          <c:spPr>
            <a:ln>
              <a:solidFill>
                <a:schemeClr val="bg1"/>
              </a:solidFill>
            </a:ln>
          </c:spPr>
        </c:majorGridlines>
        <c:numFmt formatCode="#,##0;[Red]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5714656"/>
        <c:crosses val="autoZero"/>
        <c:crossBetween val="between"/>
        <c:majorUnit val="5000"/>
        <c:minorUnit val="1000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4631349482269362"/>
          <c:y val="0.1784855128403067"/>
          <c:w val="0.23959884489379157"/>
          <c:h val="7.9077762338531227E-2"/>
        </c:manualLayout>
      </c:layout>
      <c:overlay val="0"/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chemeClr val="bg1">
          <a:lumMod val="85000"/>
        </a:schemeClr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1995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[1]Sheet1!$B$61</c:f>
              <c:strCache>
                <c:ptCount val="1"/>
                <c:pt idx="0">
                  <c:v>Male</c:v>
                </c:pt>
              </c:strCache>
            </c:strRef>
          </c:tx>
          <c:spPr>
            <a:blipFill dpi="0" rotWithShape="0">
              <a:blip xmlns:r="http://schemas.openxmlformats.org/officeDocument/2006/relationships"/>
              <a:srcRect/>
              <a:tile tx="0" ty="0" sx="100000" sy="100000" flip="none" algn="tl"/>
            </a:blip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[1]Sheet1!$A$62:$A$77</c:f>
              <c:strCache>
                <c:ptCount val="16"/>
                <c:pt idx="0">
                  <c:v>   0-4</c:v>
                </c:pt>
                <c:pt idx="1">
                  <c:v> 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  75+</c:v>
                </c:pt>
              </c:strCache>
            </c:strRef>
          </c:cat>
          <c:val>
            <c:numRef>
              <c:f>[1]Sheet1!$B$62:$B$77</c:f>
              <c:numCache>
                <c:formatCode>General</c:formatCode>
                <c:ptCount val="16"/>
                <c:pt idx="0">
                  <c:v>19113</c:v>
                </c:pt>
                <c:pt idx="1">
                  <c:v>20840</c:v>
                </c:pt>
                <c:pt idx="2">
                  <c:v>18286</c:v>
                </c:pt>
                <c:pt idx="3">
                  <c:v>12343</c:v>
                </c:pt>
                <c:pt idx="4">
                  <c:v>9944</c:v>
                </c:pt>
                <c:pt idx="5">
                  <c:v>8802</c:v>
                </c:pt>
                <c:pt idx="6">
                  <c:v>7579</c:v>
                </c:pt>
                <c:pt idx="7">
                  <c:v>6315</c:v>
                </c:pt>
                <c:pt idx="8">
                  <c:v>3625</c:v>
                </c:pt>
                <c:pt idx="9">
                  <c:v>3369</c:v>
                </c:pt>
                <c:pt idx="10">
                  <c:v>3205</c:v>
                </c:pt>
                <c:pt idx="11">
                  <c:v>3240</c:v>
                </c:pt>
                <c:pt idx="12">
                  <c:v>3010</c:v>
                </c:pt>
                <c:pt idx="13">
                  <c:v>1897</c:v>
                </c:pt>
                <c:pt idx="14">
                  <c:v>1279</c:v>
                </c:pt>
                <c:pt idx="15">
                  <c:v>1384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B3-4F0C-89FF-081E252C2486}"/>
            </c:ext>
          </c:extLst>
        </c:ser>
        <c:ser>
          <c:idx val="1"/>
          <c:order val="1"/>
          <c:tx>
            <c:strRef>
              <c:f>[1]Sheet1!$C$61</c:f>
              <c:strCache>
                <c:ptCount val="1"/>
                <c:pt idx="0">
                  <c:v>Female</c:v>
                </c:pt>
              </c:strCache>
            </c:strRef>
          </c:tx>
          <c:spPr>
            <a:blipFill dpi="0" rotWithShape="0">
              <a:blip xmlns:r="http://schemas.openxmlformats.org/officeDocument/2006/relationships"/>
              <a:srcRect/>
              <a:tile tx="0" ty="0" sx="100000" sy="100000" flip="none" algn="tl"/>
            </a:blip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[1]Sheet1!$A$62:$A$77</c:f>
              <c:strCache>
                <c:ptCount val="16"/>
                <c:pt idx="0">
                  <c:v>   0-4</c:v>
                </c:pt>
                <c:pt idx="1">
                  <c:v> 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  75+</c:v>
                </c:pt>
              </c:strCache>
            </c:strRef>
          </c:cat>
          <c:val>
            <c:numRef>
              <c:f>[1]Sheet1!$C$62:$C$77</c:f>
              <c:numCache>
                <c:formatCode>General</c:formatCode>
                <c:ptCount val="16"/>
                <c:pt idx="0">
                  <c:v>-17859</c:v>
                </c:pt>
                <c:pt idx="1">
                  <c:v>-19919</c:v>
                </c:pt>
                <c:pt idx="2">
                  <c:v>-17584</c:v>
                </c:pt>
                <c:pt idx="3">
                  <c:v>-12562</c:v>
                </c:pt>
                <c:pt idx="4">
                  <c:v>-11077</c:v>
                </c:pt>
                <c:pt idx="5">
                  <c:v>-9389</c:v>
                </c:pt>
                <c:pt idx="6">
                  <c:v>-7785</c:v>
                </c:pt>
                <c:pt idx="7">
                  <c:v>-6317</c:v>
                </c:pt>
                <c:pt idx="8">
                  <c:v>-3297</c:v>
                </c:pt>
                <c:pt idx="9">
                  <c:v>-3215</c:v>
                </c:pt>
                <c:pt idx="10">
                  <c:v>-3042</c:v>
                </c:pt>
                <c:pt idx="11">
                  <c:v>-2722</c:v>
                </c:pt>
                <c:pt idx="12">
                  <c:v>-2284</c:v>
                </c:pt>
                <c:pt idx="13">
                  <c:v>-1304</c:v>
                </c:pt>
                <c:pt idx="14">
                  <c:v>-822</c:v>
                </c:pt>
                <c:pt idx="15">
                  <c:v>-862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B3-4F0C-89FF-081E252C2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385717400"/>
        <c:axId val="385718968"/>
      </c:barChart>
      <c:catAx>
        <c:axId val="38571740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Ages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85718968"/>
        <c:crosses val="autoZero"/>
        <c:auto val="1"/>
        <c:lblAlgn val="ctr"/>
        <c:lblOffset val="100"/>
        <c:tickLblSkip val="9"/>
        <c:tickMarkSkip val="1"/>
        <c:noMultiLvlLbl val="0"/>
      </c:catAx>
      <c:valAx>
        <c:axId val="385718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population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85717400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-4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2000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[1]Sheet1!$B$87</c:f>
              <c:strCache>
                <c:ptCount val="1"/>
                <c:pt idx="0">
                  <c:v>Male</c:v>
                </c:pt>
              </c:strCache>
            </c:strRef>
          </c:tx>
          <c:spPr>
            <a:blipFill dpi="0" rotWithShape="0">
              <a:blip xmlns:r="http://schemas.openxmlformats.org/officeDocument/2006/relationships"/>
              <a:srcRect/>
              <a:tile tx="0" ty="0" sx="100000" sy="100000" flip="none" algn="tl"/>
            </a:blip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[1]Sheet1!$A$88:$A$103</c:f>
              <c:strCache>
                <c:ptCount val="16"/>
                <c:pt idx="0">
                  <c:v>   0-4</c:v>
                </c:pt>
                <c:pt idx="1">
                  <c:v> 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  75+</c:v>
                </c:pt>
              </c:strCache>
            </c:strRef>
          </c:cat>
          <c:val>
            <c:numRef>
              <c:f>[1]Sheet1!$B$88:$B$103</c:f>
              <c:numCache>
                <c:formatCode>General</c:formatCode>
                <c:ptCount val="16"/>
                <c:pt idx="0">
                  <c:v>-15699</c:v>
                </c:pt>
                <c:pt idx="1">
                  <c:v>-19336</c:v>
                </c:pt>
                <c:pt idx="2">
                  <c:v>-20897</c:v>
                </c:pt>
                <c:pt idx="3">
                  <c:v>-16590</c:v>
                </c:pt>
                <c:pt idx="4">
                  <c:v>-11620</c:v>
                </c:pt>
                <c:pt idx="5">
                  <c:v>-9805</c:v>
                </c:pt>
                <c:pt idx="6">
                  <c:v>-8890</c:v>
                </c:pt>
                <c:pt idx="7">
                  <c:v>-7828</c:v>
                </c:pt>
                <c:pt idx="8">
                  <c:v>-6272</c:v>
                </c:pt>
                <c:pt idx="9">
                  <c:v>-3977</c:v>
                </c:pt>
                <c:pt idx="10">
                  <c:v>-3051</c:v>
                </c:pt>
                <c:pt idx="11">
                  <c:v>-3131</c:v>
                </c:pt>
                <c:pt idx="12">
                  <c:v>-3370</c:v>
                </c:pt>
                <c:pt idx="13">
                  <c:v>-2650</c:v>
                </c:pt>
                <c:pt idx="14">
                  <c:v>-1737</c:v>
                </c:pt>
                <c:pt idx="15">
                  <c:v>-1532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48-4F64-8B0C-E4D03F6886A9}"/>
            </c:ext>
          </c:extLst>
        </c:ser>
        <c:ser>
          <c:idx val="1"/>
          <c:order val="1"/>
          <c:tx>
            <c:strRef>
              <c:f>[1]Sheet1!$C$87</c:f>
              <c:strCache>
                <c:ptCount val="1"/>
                <c:pt idx="0">
                  <c:v>Female</c:v>
                </c:pt>
              </c:strCache>
            </c:strRef>
          </c:tx>
          <c:spPr>
            <a:blipFill dpi="0" rotWithShape="0">
              <a:blip xmlns:r="http://schemas.openxmlformats.org/officeDocument/2006/relationships"/>
              <a:srcRect/>
              <a:tile tx="0" ty="0" sx="100000" sy="100000" flip="none" algn="tl"/>
            </a:blip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[1]Sheet1!$A$88:$A$103</c:f>
              <c:strCache>
                <c:ptCount val="16"/>
                <c:pt idx="0">
                  <c:v>   0-4</c:v>
                </c:pt>
                <c:pt idx="1">
                  <c:v> 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  75+</c:v>
                </c:pt>
              </c:strCache>
            </c:strRef>
          </c:cat>
          <c:val>
            <c:numRef>
              <c:f>[1]Sheet1!$C$88:$C$103</c:f>
              <c:numCache>
                <c:formatCode>General</c:formatCode>
                <c:ptCount val="16"/>
                <c:pt idx="0">
                  <c:v>15213</c:v>
                </c:pt>
                <c:pt idx="1">
                  <c:v>18591</c:v>
                </c:pt>
                <c:pt idx="2">
                  <c:v>20192</c:v>
                </c:pt>
                <c:pt idx="3">
                  <c:v>16676</c:v>
                </c:pt>
                <c:pt idx="4">
                  <c:v>11894</c:v>
                </c:pt>
                <c:pt idx="5">
                  <c:v>10285</c:v>
                </c:pt>
                <c:pt idx="6">
                  <c:v>9271</c:v>
                </c:pt>
                <c:pt idx="7">
                  <c:v>7871</c:v>
                </c:pt>
                <c:pt idx="8">
                  <c:v>6130</c:v>
                </c:pt>
                <c:pt idx="9">
                  <c:v>3484</c:v>
                </c:pt>
                <c:pt idx="10">
                  <c:v>2916</c:v>
                </c:pt>
                <c:pt idx="11">
                  <c:v>2865</c:v>
                </c:pt>
                <c:pt idx="12">
                  <c:v>2942</c:v>
                </c:pt>
                <c:pt idx="13">
                  <c:v>1961</c:v>
                </c:pt>
                <c:pt idx="14">
                  <c:v>1136</c:v>
                </c:pt>
                <c:pt idx="15">
                  <c:v>1013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48-4F64-8B0C-E4D03F688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497988848"/>
        <c:axId val="497992376"/>
      </c:barChart>
      <c:catAx>
        <c:axId val="4979888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-60000" vert="horz"/>
              <a:lstStyle/>
              <a:p>
                <a:pPr algn="ctr"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Age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97992376"/>
        <c:crossesAt val="0"/>
        <c:auto val="0"/>
        <c:lblAlgn val="ctr"/>
        <c:lblOffset val="100"/>
        <c:tickLblSkip val="2"/>
        <c:tickMarkSkip val="1"/>
        <c:noMultiLvlLbl val="0"/>
      </c:catAx>
      <c:valAx>
        <c:axId val="497992376"/>
        <c:scaling>
          <c:orientation val="minMax"/>
          <c:max val="30000"/>
          <c:min val="-30000"/>
        </c:scaling>
        <c:delete val="0"/>
        <c:axPos val="b"/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Population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97988848"/>
        <c:crosses val="autoZero"/>
        <c:crossBetween val="between"/>
        <c:majorUnit val="10000"/>
        <c:minorUnit val="200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noFill/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-4" verticalDpi="30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Figure 3.5: Population Pyramid  of Maldives,  2014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096385542168676"/>
          <c:y val="0.15036088131014688"/>
          <c:w val="0.82020138404859111"/>
          <c:h val="0.70979360121560009"/>
        </c:manualLayout>
      </c:layout>
      <c:barChart>
        <c:barDir val="bar"/>
        <c:grouping val="clustered"/>
        <c:varyColors val="0"/>
        <c:ser>
          <c:idx val="3"/>
          <c:order val="0"/>
          <c:tx>
            <c:strRef>
              <c:f>'3.2'!$AX$78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93FFFF"/>
            </a:solidFill>
            <a:ln w="9525">
              <a:solidFill>
                <a:schemeClr val="bg1"/>
              </a:solidFill>
            </a:ln>
          </c:spPr>
          <c:invertIfNegative val="0"/>
          <c:cat>
            <c:strRef>
              <c:f>'3.2'!$AV$79:$AV$94</c:f>
              <c:strCache>
                <c:ptCount val="16"/>
                <c:pt idx="0">
                  <c:v>0-4</c:v>
                </c:pt>
                <c:pt idx="1">
                  <c:v>5 - 9</c:v>
                </c:pt>
                <c:pt idx="2">
                  <c:v>10 - 14</c:v>
                </c:pt>
                <c:pt idx="3">
                  <c:v>15 - 19</c:v>
                </c:pt>
                <c:pt idx="4">
                  <c:v>20 - 24</c:v>
                </c:pt>
                <c:pt idx="5">
                  <c:v>25 - 29</c:v>
                </c:pt>
                <c:pt idx="6">
                  <c:v>30 - 34</c:v>
                </c:pt>
                <c:pt idx="7">
                  <c:v>35 - 39</c:v>
                </c:pt>
                <c:pt idx="8">
                  <c:v>40 - 44</c:v>
                </c:pt>
                <c:pt idx="9">
                  <c:v>45 - 49</c:v>
                </c:pt>
                <c:pt idx="10">
                  <c:v>50 - 54</c:v>
                </c:pt>
                <c:pt idx="11">
                  <c:v>55 - 59</c:v>
                </c:pt>
                <c:pt idx="12">
                  <c:v>60 - 64</c:v>
                </c:pt>
                <c:pt idx="13">
                  <c:v>65 - 69</c:v>
                </c:pt>
                <c:pt idx="14">
                  <c:v>70 - 74</c:v>
                </c:pt>
                <c:pt idx="15">
                  <c:v>75+</c:v>
                </c:pt>
              </c:strCache>
            </c:strRef>
          </c:cat>
          <c:val>
            <c:numRef>
              <c:f>'3.2'!$AX$79:$AX$94</c:f>
              <c:numCache>
                <c:formatCode>#,##0</c:formatCode>
                <c:ptCount val="16"/>
                <c:pt idx="0">
                  <c:v>17223</c:v>
                </c:pt>
                <c:pt idx="1">
                  <c:v>15616</c:v>
                </c:pt>
                <c:pt idx="2">
                  <c:v>12787</c:v>
                </c:pt>
                <c:pt idx="3">
                  <c:v>15461</c:v>
                </c:pt>
                <c:pt idx="4">
                  <c:v>18537</c:v>
                </c:pt>
                <c:pt idx="5">
                  <c:v>19738</c:v>
                </c:pt>
                <c:pt idx="6">
                  <c:v>15868</c:v>
                </c:pt>
                <c:pt idx="7">
                  <c:v>11518</c:v>
                </c:pt>
                <c:pt idx="8">
                  <c:v>10064</c:v>
                </c:pt>
                <c:pt idx="9">
                  <c:v>8795</c:v>
                </c:pt>
                <c:pt idx="10">
                  <c:v>7405</c:v>
                </c:pt>
                <c:pt idx="11">
                  <c:v>5672</c:v>
                </c:pt>
                <c:pt idx="12">
                  <c:v>2922</c:v>
                </c:pt>
                <c:pt idx="13">
                  <c:v>2426</c:v>
                </c:pt>
                <c:pt idx="14">
                  <c:v>2372</c:v>
                </c:pt>
                <c:pt idx="15">
                  <c:v>2953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FBD-4796-9A8F-2B78C860658C}"/>
            </c:ext>
          </c:extLst>
        </c:ser>
        <c:ser>
          <c:idx val="2"/>
          <c:order val="1"/>
          <c:tx>
            <c:strRef>
              <c:f>'3.2'!$AW$78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009999"/>
            </a:solidFill>
            <a:ln w="9525">
              <a:solidFill>
                <a:schemeClr val="bg1"/>
              </a:solidFill>
            </a:ln>
          </c:spPr>
          <c:invertIfNegative val="0"/>
          <c:cat>
            <c:strRef>
              <c:f>'3.2'!$AV$79:$AV$94</c:f>
              <c:strCache>
                <c:ptCount val="16"/>
                <c:pt idx="0">
                  <c:v>0-4</c:v>
                </c:pt>
                <c:pt idx="1">
                  <c:v>5 - 9</c:v>
                </c:pt>
                <c:pt idx="2">
                  <c:v>10 - 14</c:v>
                </c:pt>
                <c:pt idx="3">
                  <c:v>15 - 19</c:v>
                </c:pt>
                <c:pt idx="4">
                  <c:v>20 - 24</c:v>
                </c:pt>
                <c:pt idx="5">
                  <c:v>25 - 29</c:v>
                </c:pt>
                <c:pt idx="6">
                  <c:v>30 - 34</c:v>
                </c:pt>
                <c:pt idx="7">
                  <c:v>35 - 39</c:v>
                </c:pt>
                <c:pt idx="8">
                  <c:v>40 - 44</c:v>
                </c:pt>
                <c:pt idx="9">
                  <c:v>45 - 49</c:v>
                </c:pt>
                <c:pt idx="10">
                  <c:v>50 - 54</c:v>
                </c:pt>
                <c:pt idx="11">
                  <c:v>55 - 59</c:v>
                </c:pt>
                <c:pt idx="12">
                  <c:v>60 - 64</c:v>
                </c:pt>
                <c:pt idx="13">
                  <c:v>65 - 69</c:v>
                </c:pt>
                <c:pt idx="14">
                  <c:v>70 - 74</c:v>
                </c:pt>
                <c:pt idx="15">
                  <c:v>75+</c:v>
                </c:pt>
              </c:strCache>
            </c:strRef>
          </c:cat>
          <c:val>
            <c:numRef>
              <c:f>'3.2'!$AW$79:$AW$94</c:f>
              <c:numCache>
                <c:formatCode>General_)</c:formatCode>
                <c:ptCount val="16"/>
                <c:pt idx="0">
                  <c:v>-18863</c:v>
                </c:pt>
                <c:pt idx="1">
                  <c:v>-16364</c:v>
                </c:pt>
                <c:pt idx="2">
                  <c:v>-13571</c:v>
                </c:pt>
                <c:pt idx="3">
                  <c:v>-15922</c:v>
                </c:pt>
                <c:pt idx="4">
                  <c:v>-19349</c:v>
                </c:pt>
                <c:pt idx="5">
                  <c:v>-19451</c:v>
                </c:pt>
                <c:pt idx="6">
                  <c:v>-15494</c:v>
                </c:pt>
                <c:pt idx="7">
                  <c:v>-11386</c:v>
                </c:pt>
                <c:pt idx="8">
                  <c:v>-9811</c:v>
                </c:pt>
                <c:pt idx="9">
                  <c:v>-8784</c:v>
                </c:pt>
                <c:pt idx="10">
                  <c:v>-7645</c:v>
                </c:pt>
                <c:pt idx="11">
                  <c:v>-6031</c:v>
                </c:pt>
                <c:pt idx="12">
                  <c:v>-3327</c:v>
                </c:pt>
                <c:pt idx="13">
                  <c:v>-2445</c:v>
                </c:pt>
                <c:pt idx="14">
                  <c:v>-2471</c:v>
                </c:pt>
                <c:pt idx="15">
                  <c:v>-3752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FBD-4796-9A8F-2B78C86065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92731112"/>
        <c:axId val="392734640"/>
      </c:barChart>
      <c:dateAx>
        <c:axId val="392731112"/>
        <c:scaling>
          <c:orientation val="minMax"/>
        </c:scaling>
        <c:delete val="0"/>
        <c:axPos val="l"/>
        <c:numFmt formatCode="m/d/yyyy" sourceLinked="0"/>
        <c:majorTickMark val="none"/>
        <c:minorTickMark val="none"/>
        <c:tickLblPos val="low"/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2734640"/>
        <c:crosses val="autoZero"/>
        <c:auto val="0"/>
        <c:lblOffset val="100"/>
        <c:baseTimeUnit val="days"/>
      </c:dateAx>
      <c:valAx>
        <c:axId val="392734640"/>
        <c:scaling>
          <c:orientation val="minMax"/>
          <c:max val="25000"/>
          <c:min val="-25000"/>
        </c:scaling>
        <c:delete val="0"/>
        <c:axPos val="b"/>
        <c:majorGridlines>
          <c:spPr>
            <a:ln>
              <a:solidFill>
                <a:schemeClr val="bg1"/>
              </a:solidFill>
            </a:ln>
          </c:spPr>
        </c:majorGridlines>
        <c:numFmt formatCode="#,##0;[Red]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2731112"/>
        <c:crosses val="autoZero"/>
        <c:crossBetween val="between"/>
        <c:majorUnit val="5000"/>
        <c:minorUnit val="1000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4631339329029369"/>
          <c:y val="0.17848566929133858"/>
          <c:w val="0.23959896008259629"/>
          <c:h val="7.9077795275590557E-2"/>
        </c:manualLayout>
      </c:layout>
      <c:overlay val="0"/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chemeClr val="bg1">
          <a:lumMod val="85000"/>
        </a:schemeClr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Figure 3.5: Population Pyramid  of Maldives,  2000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096385542168676"/>
          <c:y val="0.15036088131014688"/>
          <c:w val="0.82020138404859111"/>
          <c:h val="0.70979360121560009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'3.2'!$AX$31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93FFFF"/>
            </a:solidFill>
            <a:ln w="9525">
              <a:solidFill>
                <a:schemeClr val="bg1"/>
              </a:solidFill>
            </a:ln>
          </c:spPr>
          <c:invertIfNegative val="0"/>
          <c:cat>
            <c:strRef>
              <c:f>'3.2'!$AV$32:$AV$47</c:f>
              <c:strCache>
                <c:ptCount val="16"/>
                <c:pt idx="0">
                  <c:v>0-4</c:v>
                </c:pt>
                <c:pt idx="1">
                  <c:v>5 - 9</c:v>
                </c:pt>
                <c:pt idx="2">
                  <c:v>10 - 14</c:v>
                </c:pt>
                <c:pt idx="3">
                  <c:v>15 - 19</c:v>
                </c:pt>
                <c:pt idx="4">
                  <c:v>20 - 24</c:v>
                </c:pt>
                <c:pt idx="5">
                  <c:v>25 - 29</c:v>
                </c:pt>
                <c:pt idx="6">
                  <c:v>30 - 34</c:v>
                </c:pt>
                <c:pt idx="7">
                  <c:v>35 - 39</c:v>
                </c:pt>
                <c:pt idx="8">
                  <c:v>40 - 44</c:v>
                </c:pt>
                <c:pt idx="9">
                  <c:v>45 - 49</c:v>
                </c:pt>
                <c:pt idx="10">
                  <c:v>50 - 54</c:v>
                </c:pt>
                <c:pt idx="11">
                  <c:v>55 - 59</c:v>
                </c:pt>
                <c:pt idx="12">
                  <c:v>60 - 64</c:v>
                </c:pt>
                <c:pt idx="13">
                  <c:v>65 - 69</c:v>
                </c:pt>
                <c:pt idx="14">
                  <c:v>70 - 74</c:v>
                </c:pt>
                <c:pt idx="15">
                  <c:v>75+</c:v>
                </c:pt>
              </c:strCache>
            </c:strRef>
          </c:cat>
          <c:val>
            <c:numRef>
              <c:f>'3.2'!$AX$32:$AX$47</c:f>
              <c:numCache>
                <c:formatCode>#,##0</c:formatCode>
                <c:ptCount val="16"/>
                <c:pt idx="0">
                  <c:v>15213</c:v>
                </c:pt>
                <c:pt idx="1">
                  <c:v>18591</c:v>
                </c:pt>
                <c:pt idx="2">
                  <c:v>20192</c:v>
                </c:pt>
                <c:pt idx="3">
                  <c:v>16676</c:v>
                </c:pt>
                <c:pt idx="4">
                  <c:v>11894</c:v>
                </c:pt>
                <c:pt idx="5">
                  <c:v>10285</c:v>
                </c:pt>
                <c:pt idx="6">
                  <c:v>9271</c:v>
                </c:pt>
                <c:pt idx="7">
                  <c:v>7871</c:v>
                </c:pt>
                <c:pt idx="8">
                  <c:v>6130</c:v>
                </c:pt>
                <c:pt idx="9">
                  <c:v>3484</c:v>
                </c:pt>
                <c:pt idx="10">
                  <c:v>2916</c:v>
                </c:pt>
                <c:pt idx="11">
                  <c:v>2865</c:v>
                </c:pt>
                <c:pt idx="12">
                  <c:v>2942</c:v>
                </c:pt>
                <c:pt idx="13">
                  <c:v>1961</c:v>
                </c:pt>
                <c:pt idx="14">
                  <c:v>1136</c:v>
                </c:pt>
                <c:pt idx="15">
                  <c:v>1013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18-44E6-BB45-19C88B456203}"/>
            </c:ext>
          </c:extLst>
        </c:ser>
        <c:ser>
          <c:idx val="0"/>
          <c:order val="1"/>
          <c:tx>
            <c:strRef>
              <c:f>'3.2'!$AW$31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009999"/>
            </a:solidFill>
            <a:ln w="9525">
              <a:solidFill>
                <a:schemeClr val="bg1"/>
              </a:solidFill>
            </a:ln>
          </c:spPr>
          <c:invertIfNegative val="0"/>
          <c:cat>
            <c:strRef>
              <c:f>'3.2'!$AV$32:$AV$47</c:f>
              <c:strCache>
                <c:ptCount val="16"/>
                <c:pt idx="0">
                  <c:v>0-4</c:v>
                </c:pt>
                <c:pt idx="1">
                  <c:v>5 - 9</c:v>
                </c:pt>
                <c:pt idx="2">
                  <c:v>10 - 14</c:v>
                </c:pt>
                <c:pt idx="3">
                  <c:v>15 - 19</c:v>
                </c:pt>
                <c:pt idx="4">
                  <c:v>20 - 24</c:v>
                </c:pt>
                <c:pt idx="5">
                  <c:v>25 - 29</c:v>
                </c:pt>
                <c:pt idx="6">
                  <c:v>30 - 34</c:v>
                </c:pt>
                <c:pt idx="7">
                  <c:v>35 - 39</c:v>
                </c:pt>
                <c:pt idx="8">
                  <c:v>40 - 44</c:v>
                </c:pt>
                <c:pt idx="9">
                  <c:v>45 - 49</c:v>
                </c:pt>
                <c:pt idx="10">
                  <c:v>50 - 54</c:v>
                </c:pt>
                <c:pt idx="11">
                  <c:v>55 - 59</c:v>
                </c:pt>
                <c:pt idx="12">
                  <c:v>60 - 64</c:v>
                </c:pt>
                <c:pt idx="13">
                  <c:v>65 - 69</c:v>
                </c:pt>
                <c:pt idx="14">
                  <c:v>70 - 74</c:v>
                </c:pt>
                <c:pt idx="15">
                  <c:v>75+</c:v>
                </c:pt>
              </c:strCache>
            </c:strRef>
          </c:cat>
          <c:val>
            <c:numRef>
              <c:f>'3.2'!$AW$32:$AW$47</c:f>
              <c:numCache>
                <c:formatCode>General_)</c:formatCode>
                <c:ptCount val="16"/>
                <c:pt idx="0">
                  <c:v>-15699</c:v>
                </c:pt>
                <c:pt idx="1">
                  <c:v>-19336</c:v>
                </c:pt>
                <c:pt idx="2">
                  <c:v>-20897</c:v>
                </c:pt>
                <c:pt idx="3">
                  <c:v>-16590</c:v>
                </c:pt>
                <c:pt idx="4">
                  <c:v>-11620</c:v>
                </c:pt>
                <c:pt idx="5">
                  <c:v>-9805</c:v>
                </c:pt>
                <c:pt idx="6">
                  <c:v>-8890</c:v>
                </c:pt>
                <c:pt idx="7">
                  <c:v>-7828</c:v>
                </c:pt>
                <c:pt idx="8">
                  <c:v>-6272</c:v>
                </c:pt>
                <c:pt idx="9">
                  <c:v>-3977</c:v>
                </c:pt>
                <c:pt idx="10">
                  <c:v>-3051</c:v>
                </c:pt>
                <c:pt idx="11">
                  <c:v>-3131</c:v>
                </c:pt>
                <c:pt idx="12">
                  <c:v>-3370</c:v>
                </c:pt>
                <c:pt idx="13">
                  <c:v>-2650</c:v>
                </c:pt>
                <c:pt idx="14">
                  <c:v>-1737</c:v>
                </c:pt>
                <c:pt idx="15">
                  <c:v>-1532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18-44E6-BB45-19C88B4562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92732288"/>
        <c:axId val="343053784"/>
      </c:barChart>
      <c:dateAx>
        <c:axId val="392732288"/>
        <c:scaling>
          <c:orientation val="minMax"/>
        </c:scaling>
        <c:delete val="0"/>
        <c:axPos val="l"/>
        <c:numFmt formatCode="m/d/yyyy" sourceLinked="0"/>
        <c:majorTickMark val="none"/>
        <c:minorTickMark val="none"/>
        <c:tickLblPos val="low"/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43053784"/>
        <c:crosses val="autoZero"/>
        <c:auto val="0"/>
        <c:lblOffset val="100"/>
        <c:baseTimeUnit val="days"/>
      </c:dateAx>
      <c:valAx>
        <c:axId val="343053784"/>
        <c:scaling>
          <c:orientation val="minMax"/>
          <c:max val="25000"/>
          <c:min val="-25000"/>
        </c:scaling>
        <c:delete val="0"/>
        <c:axPos val="b"/>
        <c:majorGridlines>
          <c:spPr>
            <a:ln>
              <a:solidFill>
                <a:schemeClr val="bg1"/>
              </a:solidFill>
            </a:ln>
          </c:spPr>
        </c:majorGridlines>
        <c:numFmt formatCode="#,##0;[Red]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2732288"/>
        <c:crosses val="autoZero"/>
        <c:crossBetween val="between"/>
        <c:majorUnit val="5000"/>
        <c:minorUnit val="1000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4631339329029369"/>
          <c:y val="0.17848566929133858"/>
          <c:w val="0.23959896008259629"/>
          <c:h val="7.9077795275590557E-2"/>
        </c:manualLayout>
      </c:layout>
      <c:overlay val="0"/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chemeClr val="bg1">
          <a:lumMod val="85000"/>
        </a:schemeClr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Figure 3.2: Population Pyramid  of Maldives, 2006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4375600416714548"/>
          <c:y val="0.14500046317739695"/>
          <c:w val="0.81058766415771644"/>
          <c:h val="0.7151540778646280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'3.2'!$AX$56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93FFFF"/>
            </a:solidFill>
            <a:ln>
              <a:solidFill>
                <a:schemeClr val="bg1"/>
              </a:solidFill>
            </a:ln>
          </c:spPr>
          <c:invertIfNegative val="0"/>
          <c:cat>
            <c:strRef>
              <c:f>'3.2'!$AV$57:$AV$72</c:f>
              <c:strCache>
                <c:ptCount val="16"/>
                <c:pt idx="0">
                  <c:v>0-4</c:v>
                </c:pt>
                <c:pt idx="1">
                  <c:v>5 - 9</c:v>
                </c:pt>
                <c:pt idx="2">
                  <c:v>10 - 14</c:v>
                </c:pt>
                <c:pt idx="3">
                  <c:v>15 - 19</c:v>
                </c:pt>
                <c:pt idx="4">
                  <c:v>20 - 24</c:v>
                </c:pt>
                <c:pt idx="5">
                  <c:v>25 - 29</c:v>
                </c:pt>
                <c:pt idx="6">
                  <c:v>30 - 34</c:v>
                </c:pt>
                <c:pt idx="7">
                  <c:v>35 - 39</c:v>
                </c:pt>
                <c:pt idx="8">
                  <c:v>40 - 44</c:v>
                </c:pt>
                <c:pt idx="9">
                  <c:v>45 - 49</c:v>
                </c:pt>
                <c:pt idx="10">
                  <c:v>50 - 54</c:v>
                </c:pt>
                <c:pt idx="11">
                  <c:v>55 - 59</c:v>
                </c:pt>
                <c:pt idx="12">
                  <c:v>60 - 64</c:v>
                </c:pt>
                <c:pt idx="13">
                  <c:v>65 - 69</c:v>
                </c:pt>
                <c:pt idx="14">
                  <c:v>70 - 74</c:v>
                </c:pt>
                <c:pt idx="15">
                  <c:v>75+</c:v>
                </c:pt>
              </c:strCache>
            </c:strRef>
          </c:cat>
          <c:val>
            <c:numRef>
              <c:f>'3.2'!$AX$57:$AX$72</c:f>
              <c:numCache>
                <c:formatCode>#,##0</c:formatCode>
                <c:ptCount val="16"/>
                <c:pt idx="0">
                  <c:v>12809</c:v>
                </c:pt>
                <c:pt idx="1">
                  <c:v>14515</c:v>
                </c:pt>
                <c:pt idx="2">
                  <c:v>17888</c:v>
                </c:pt>
                <c:pt idx="3">
                  <c:v>19749</c:v>
                </c:pt>
                <c:pt idx="4">
                  <c:v>17876</c:v>
                </c:pt>
                <c:pt idx="5">
                  <c:v>12666</c:v>
                </c:pt>
                <c:pt idx="6">
                  <c:v>10613</c:v>
                </c:pt>
                <c:pt idx="7">
                  <c:v>9394</c:v>
                </c:pt>
                <c:pt idx="8">
                  <c:v>8043</c:v>
                </c:pt>
                <c:pt idx="9">
                  <c:v>6697</c:v>
                </c:pt>
                <c:pt idx="10">
                  <c:v>3789</c:v>
                </c:pt>
                <c:pt idx="11">
                  <c:v>2813</c:v>
                </c:pt>
                <c:pt idx="12">
                  <c:v>2714</c:v>
                </c:pt>
                <c:pt idx="13">
                  <c:v>2664</c:v>
                </c:pt>
                <c:pt idx="14">
                  <c:v>1853</c:v>
                </c:pt>
                <c:pt idx="15">
                  <c:v>1637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E6-4915-B2C7-EE0CC8C75F93}"/>
            </c:ext>
          </c:extLst>
        </c:ser>
        <c:ser>
          <c:idx val="1"/>
          <c:order val="1"/>
          <c:tx>
            <c:strRef>
              <c:f>'3.2'!$AW$56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009999"/>
            </a:solidFill>
            <a:ln>
              <a:solidFill>
                <a:schemeClr val="bg1"/>
              </a:solidFill>
            </a:ln>
          </c:spPr>
          <c:invertIfNegative val="0"/>
          <c:cat>
            <c:strRef>
              <c:f>'3.2'!$AV$57:$AV$72</c:f>
              <c:strCache>
                <c:ptCount val="16"/>
                <c:pt idx="0">
                  <c:v>0-4</c:v>
                </c:pt>
                <c:pt idx="1">
                  <c:v>5 - 9</c:v>
                </c:pt>
                <c:pt idx="2">
                  <c:v>10 - 14</c:v>
                </c:pt>
                <c:pt idx="3">
                  <c:v>15 - 19</c:v>
                </c:pt>
                <c:pt idx="4">
                  <c:v>20 - 24</c:v>
                </c:pt>
                <c:pt idx="5">
                  <c:v>25 - 29</c:v>
                </c:pt>
                <c:pt idx="6">
                  <c:v>30 - 34</c:v>
                </c:pt>
                <c:pt idx="7">
                  <c:v>35 - 39</c:v>
                </c:pt>
                <c:pt idx="8">
                  <c:v>40 - 44</c:v>
                </c:pt>
                <c:pt idx="9">
                  <c:v>45 - 49</c:v>
                </c:pt>
                <c:pt idx="10">
                  <c:v>50 - 54</c:v>
                </c:pt>
                <c:pt idx="11">
                  <c:v>55 - 59</c:v>
                </c:pt>
                <c:pt idx="12">
                  <c:v>60 - 64</c:v>
                </c:pt>
                <c:pt idx="13">
                  <c:v>65 - 69</c:v>
                </c:pt>
                <c:pt idx="14">
                  <c:v>70 - 74</c:v>
                </c:pt>
                <c:pt idx="15">
                  <c:v>75+</c:v>
                </c:pt>
              </c:strCache>
            </c:strRef>
          </c:cat>
          <c:val>
            <c:numRef>
              <c:f>'3.2'!$AW$57:$AW$72</c:f>
              <c:numCache>
                <c:formatCode>General_)</c:formatCode>
                <c:ptCount val="16"/>
                <c:pt idx="0">
                  <c:v>-13362</c:v>
                </c:pt>
                <c:pt idx="1">
                  <c:v>-15352</c:v>
                </c:pt>
                <c:pt idx="2">
                  <c:v>-19111</c:v>
                </c:pt>
                <c:pt idx="3">
                  <c:v>-20155</c:v>
                </c:pt>
                <c:pt idx="4">
                  <c:v>-16933</c:v>
                </c:pt>
                <c:pt idx="5">
                  <c:v>-11915</c:v>
                </c:pt>
                <c:pt idx="6">
                  <c:v>-10022</c:v>
                </c:pt>
                <c:pt idx="7">
                  <c:v>-8780</c:v>
                </c:pt>
                <c:pt idx="8">
                  <c:v>-7828</c:v>
                </c:pt>
                <c:pt idx="9">
                  <c:v>-6872</c:v>
                </c:pt>
                <c:pt idx="10">
                  <c:v>-4147</c:v>
                </c:pt>
                <c:pt idx="11">
                  <c:v>-3046</c:v>
                </c:pt>
                <c:pt idx="12">
                  <c:v>-2852</c:v>
                </c:pt>
                <c:pt idx="13">
                  <c:v>-3014</c:v>
                </c:pt>
                <c:pt idx="14">
                  <c:v>-2333</c:v>
                </c:pt>
                <c:pt idx="15">
                  <c:v>-2443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E6-4915-B2C7-EE0CC8C75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96716128"/>
        <c:axId val="496722008"/>
      </c:barChart>
      <c:dateAx>
        <c:axId val="496716128"/>
        <c:scaling>
          <c:orientation val="minMax"/>
        </c:scaling>
        <c:delete val="0"/>
        <c:axPos val="l"/>
        <c:numFmt formatCode="m/d/yyyy" sourceLinked="0"/>
        <c:majorTickMark val="none"/>
        <c:minorTickMark val="none"/>
        <c:tickLblPos val="low"/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6722008"/>
        <c:crosses val="autoZero"/>
        <c:auto val="0"/>
        <c:lblOffset val="100"/>
        <c:baseTimeUnit val="days"/>
      </c:dateAx>
      <c:valAx>
        <c:axId val="496722008"/>
        <c:scaling>
          <c:orientation val="minMax"/>
          <c:max val="25000"/>
          <c:min val="-25000"/>
        </c:scaling>
        <c:delete val="0"/>
        <c:axPos val="b"/>
        <c:majorGridlines>
          <c:spPr>
            <a:ln>
              <a:solidFill>
                <a:schemeClr val="bg1"/>
              </a:solidFill>
            </a:ln>
          </c:spPr>
        </c:majorGridlines>
        <c:numFmt formatCode="#,##0;[Red]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6716128"/>
        <c:crosses val="autoZero"/>
        <c:crossBetween val="between"/>
        <c:majorUnit val="5000"/>
        <c:minorUnit val="1000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4631349482269362"/>
          <c:y val="0.1784855128403067"/>
          <c:w val="0.23959884489379157"/>
          <c:h val="7.9077762338531227E-2"/>
        </c:manualLayout>
      </c:layout>
      <c:overlay val="0"/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chemeClr val="bg1">
          <a:lumMod val="75000"/>
        </a:schemeClr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Figure 3.5: Population Pyramid  of Maldives,  2022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096385542168676"/>
          <c:y val="0.15036088131014688"/>
          <c:w val="0.82020138404859111"/>
          <c:h val="0.70979360121560009"/>
        </c:manualLayout>
      </c:layout>
      <c:barChart>
        <c:barDir val="bar"/>
        <c:grouping val="clustered"/>
        <c:varyColors val="0"/>
        <c:ser>
          <c:idx val="3"/>
          <c:order val="0"/>
          <c:tx>
            <c:strRef>
              <c:f>'3.2'!$AX$103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93FFFF"/>
            </a:solidFill>
          </c:spPr>
          <c:invertIfNegative val="0"/>
          <c:cat>
            <c:strRef>
              <c:f>'3.2'!$AV$104:$AV$119</c:f>
              <c:strCache>
                <c:ptCount val="16"/>
                <c:pt idx="0">
                  <c:v>0-4</c:v>
                </c:pt>
                <c:pt idx="1">
                  <c:v>5 - 9</c:v>
                </c:pt>
                <c:pt idx="2">
                  <c:v>10 - 14</c:v>
                </c:pt>
                <c:pt idx="3">
                  <c:v>15 - 19</c:v>
                </c:pt>
                <c:pt idx="4">
                  <c:v>20 - 24</c:v>
                </c:pt>
                <c:pt idx="5">
                  <c:v>25 - 29</c:v>
                </c:pt>
                <c:pt idx="6">
                  <c:v>30 - 34</c:v>
                </c:pt>
                <c:pt idx="7">
                  <c:v>35 - 39</c:v>
                </c:pt>
                <c:pt idx="8">
                  <c:v>40 - 44</c:v>
                </c:pt>
                <c:pt idx="9">
                  <c:v>45 - 49</c:v>
                </c:pt>
                <c:pt idx="10">
                  <c:v>50 - 54</c:v>
                </c:pt>
                <c:pt idx="11">
                  <c:v>55 - 59</c:v>
                </c:pt>
                <c:pt idx="12">
                  <c:v>60 - 64</c:v>
                </c:pt>
                <c:pt idx="13">
                  <c:v>65 - 69</c:v>
                </c:pt>
                <c:pt idx="14">
                  <c:v>70 - 74</c:v>
                </c:pt>
                <c:pt idx="15">
                  <c:v>75+</c:v>
                </c:pt>
              </c:strCache>
            </c:strRef>
          </c:cat>
          <c:val>
            <c:numRef>
              <c:f>'3.2'!$AX$104:$AX$119</c:f>
              <c:numCache>
                <c:formatCode>_(* #,##0_);_(* \(#,##0\);_(* "-"??_);_(@_)</c:formatCode>
                <c:ptCount val="16"/>
                <c:pt idx="0">
                  <c:v>14380</c:v>
                </c:pt>
                <c:pt idx="1">
                  <c:v>16855</c:v>
                </c:pt>
                <c:pt idx="2">
                  <c:v>17699</c:v>
                </c:pt>
                <c:pt idx="3">
                  <c:v>13376</c:v>
                </c:pt>
                <c:pt idx="4">
                  <c:v>12407</c:v>
                </c:pt>
                <c:pt idx="5">
                  <c:v>16650</c:v>
                </c:pt>
                <c:pt idx="6">
                  <c:v>19163</c:v>
                </c:pt>
                <c:pt idx="7">
                  <c:v>18873</c:v>
                </c:pt>
                <c:pt idx="8">
                  <c:v>13633</c:v>
                </c:pt>
                <c:pt idx="9">
                  <c:v>10840</c:v>
                </c:pt>
                <c:pt idx="10">
                  <c:v>9557</c:v>
                </c:pt>
                <c:pt idx="11">
                  <c:v>7730</c:v>
                </c:pt>
                <c:pt idx="12">
                  <c:v>6531</c:v>
                </c:pt>
                <c:pt idx="13">
                  <c:v>3959</c:v>
                </c:pt>
                <c:pt idx="14">
                  <c:v>2365</c:v>
                </c:pt>
                <c:pt idx="15">
                  <c:v>3680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E6-46AC-9EE3-54F6C9B4AAEB}"/>
            </c:ext>
          </c:extLst>
        </c:ser>
        <c:ser>
          <c:idx val="2"/>
          <c:order val="1"/>
          <c:tx>
            <c:strRef>
              <c:f>'3.2'!$AW$103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009999"/>
            </a:solidFill>
          </c:spPr>
          <c:invertIfNegative val="0"/>
          <c:cat>
            <c:strRef>
              <c:f>'3.2'!$AV$104:$AV$119</c:f>
              <c:strCache>
                <c:ptCount val="16"/>
                <c:pt idx="0">
                  <c:v>0-4</c:v>
                </c:pt>
                <c:pt idx="1">
                  <c:v>5 - 9</c:v>
                </c:pt>
                <c:pt idx="2">
                  <c:v>10 - 14</c:v>
                </c:pt>
                <c:pt idx="3">
                  <c:v>15 - 19</c:v>
                </c:pt>
                <c:pt idx="4">
                  <c:v>20 - 24</c:v>
                </c:pt>
                <c:pt idx="5">
                  <c:v>25 - 29</c:v>
                </c:pt>
                <c:pt idx="6">
                  <c:v>30 - 34</c:v>
                </c:pt>
                <c:pt idx="7">
                  <c:v>35 - 39</c:v>
                </c:pt>
                <c:pt idx="8">
                  <c:v>40 - 44</c:v>
                </c:pt>
                <c:pt idx="9">
                  <c:v>45 - 49</c:v>
                </c:pt>
                <c:pt idx="10">
                  <c:v>50 - 54</c:v>
                </c:pt>
                <c:pt idx="11">
                  <c:v>55 - 59</c:v>
                </c:pt>
                <c:pt idx="12">
                  <c:v>60 - 64</c:v>
                </c:pt>
                <c:pt idx="13">
                  <c:v>65 - 69</c:v>
                </c:pt>
                <c:pt idx="14">
                  <c:v>70 - 74</c:v>
                </c:pt>
                <c:pt idx="15">
                  <c:v>75+</c:v>
                </c:pt>
              </c:strCache>
            </c:strRef>
          </c:cat>
          <c:val>
            <c:numRef>
              <c:f>'3.2'!$AW$104:$AW$119</c:f>
              <c:numCache>
                <c:formatCode>#,##0</c:formatCode>
                <c:ptCount val="16"/>
                <c:pt idx="0">
                  <c:v>-14671</c:v>
                </c:pt>
                <c:pt idx="1">
                  <c:v>-17308</c:v>
                </c:pt>
                <c:pt idx="2">
                  <c:v>-18856</c:v>
                </c:pt>
                <c:pt idx="3">
                  <c:v>-14096</c:v>
                </c:pt>
                <c:pt idx="4">
                  <c:v>-13514</c:v>
                </c:pt>
                <c:pt idx="5">
                  <c:v>-18398</c:v>
                </c:pt>
                <c:pt idx="6">
                  <c:v>-20671</c:v>
                </c:pt>
                <c:pt idx="7">
                  <c:v>-19156</c:v>
                </c:pt>
                <c:pt idx="8">
                  <c:v>-13730</c:v>
                </c:pt>
                <c:pt idx="9">
                  <c:v>-10651</c:v>
                </c:pt>
                <c:pt idx="10">
                  <c:v>-9376</c:v>
                </c:pt>
                <c:pt idx="11">
                  <c:v>-7600</c:v>
                </c:pt>
                <c:pt idx="12">
                  <c:v>-6718</c:v>
                </c:pt>
                <c:pt idx="13">
                  <c:v>-4168</c:v>
                </c:pt>
                <c:pt idx="14">
                  <c:v>-2356</c:v>
                </c:pt>
                <c:pt idx="15">
                  <c:v>-3784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E6-46AC-9EE3-54F6C9B4AA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392731112"/>
        <c:axId val="392734640"/>
      </c:barChart>
      <c:dateAx>
        <c:axId val="392731112"/>
        <c:scaling>
          <c:orientation val="minMax"/>
        </c:scaling>
        <c:delete val="0"/>
        <c:axPos val="l"/>
        <c:numFmt formatCode="m/d/yyyy" sourceLinked="0"/>
        <c:majorTickMark val="none"/>
        <c:minorTickMark val="none"/>
        <c:tickLblPos val="low"/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2734640"/>
        <c:crosses val="autoZero"/>
        <c:auto val="0"/>
        <c:lblOffset val="100"/>
        <c:baseTimeUnit val="days"/>
      </c:dateAx>
      <c:valAx>
        <c:axId val="392734640"/>
        <c:scaling>
          <c:orientation val="minMax"/>
          <c:max val="25000"/>
          <c:min val="-25000"/>
        </c:scaling>
        <c:delete val="0"/>
        <c:axPos val="b"/>
        <c:majorGridlines>
          <c:spPr>
            <a:ln>
              <a:solidFill>
                <a:schemeClr val="bg1"/>
              </a:solidFill>
            </a:ln>
          </c:spPr>
        </c:majorGridlines>
        <c:numFmt formatCode="#,##0;[Red]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2731112"/>
        <c:crosses val="autoZero"/>
        <c:crossBetween val="between"/>
        <c:majorUnit val="5000"/>
        <c:minorUnit val="1000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4631339329029369"/>
          <c:y val="0.17848566929133858"/>
          <c:w val="0.23959896008259629"/>
          <c:h val="7.9077795275590557E-2"/>
        </c:manualLayout>
      </c:layout>
      <c:overlay val="0"/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chemeClr val="bg1">
          <a:lumMod val="85000"/>
        </a:schemeClr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93453</xdr:colOff>
      <xdr:row>33</xdr:row>
      <xdr:rowOff>180975</xdr:rowOff>
    </xdr:from>
    <xdr:to>
      <xdr:col>6</xdr:col>
      <xdr:colOff>45828</xdr:colOff>
      <xdr:row>46</xdr:row>
      <xdr:rowOff>123825</xdr:rowOff>
    </xdr:to>
    <xdr:graphicFrame macro="">
      <xdr:nvGraphicFramePr>
        <xdr:cNvPr id="2" name="Chart 1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352425</xdr:colOff>
      <xdr:row>33</xdr:row>
      <xdr:rowOff>0</xdr:rowOff>
    </xdr:from>
    <xdr:to>
      <xdr:col>7</xdr:col>
      <xdr:colOff>457200</xdr:colOff>
      <xdr:row>33</xdr:row>
      <xdr:rowOff>28575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5067300" y="70580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171450</xdr:colOff>
      <xdr:row>26</xdr:row>
      <xdr:rowOff>0</xdr:rowOff>
    </xdr:from>
    <xdr:to>
      <xdr:col>18</xdr:col>
      <xdr:colOff>266700</xdr:colOff>
      <xdr:row>26</xdr:row>
      <xdr:rowOff>38100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>
          <a:spLocks noChangeArrowheads="1"/>
        </xdr:cNvSpPr>
      </xdr:nvSpPr>
      <xdr:spPr bwMode="auto">
        <a:xfrm>
          <a:off x="11677650" y="5467350"/>
          <a:ext cx="952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95250</xdr:colOff>
      <xdr:row>33</xdr:row>
      <xdr:rowOff>38100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1038225" y="7058025"/>
          <a:ext cx="952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228600</xdr:colOff>
      <xdr:row>33</xdr:row>
      <xdr:rowOff>0</xdr:rowOff>
    </xdr:from>
    <xdr:to>
      <xdr:col>11</xdr:col>
      <xdr:colOff>247650</xdr:colOff>
      <xdr:row>33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628650</xdr:colOff>
      <xdr:row>26</xdr:row>
      <xdr:rowOff>0</xdr:rowOff>
    </xdr:from>
    <xdr:to>
      <xdr:col>38</xdr:col>
      <xdr:colOff>457200</xdr:colOff>
      <xdr:row>26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70036</xdr:colOff>
      <xdr:row>45</xdr:row>
      <xdr:rowOff>161084</xdr:rowOff>
    </xdr:from>
    <xdr:to>
      <xdr:col>3</xdr:col>
      <xdr:colOff>581306</xdr:colOff>
      <xdr:row>46</xdr:row>
      <xdr:rowOff>105054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1832161" y="9514634"/>
          <a:ext cx="1235170" cy="1344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Population in Thousands</a:t>
          </a:r>
          <a:endParaRPr lang="en-US" sz="700">
            <a:effectLst/>
          </a:endParaRPr>
        </a:p>
        <a:p>
          <a:endParaRPr lang="en-US" sz="700"/>
        </a:p>
      </xdr:txBody>
    </xdr:sp>
    <xdr:clientData/>
  </xdr:twoCellAnchor>
  <xdr:twoCellAnchor>
    <xdr:from>
      <xdr:col>10</xdr:col>
      <xdr:colOff>70572</xdr:colOff>
      <xdr:row>45</xdr:row>
      <xdr:rowOff>141784</xdr:rowOff>
    </xdr:from>
    <xdr:to>
      <xdr:col>12</xdr:col>
      <xdr:colOff>91584</xdr:colOff>
      <xdr:row>46</xdr:row>
      <xdr:rowOff>138149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6309447" y="9495334"/>
          <a:ext cx="1392612" cy="1868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Population in Thousands</a:t>
          </a:r>
          <a:endParaRPr lang="en-US" sz="700">
            <a:effectLst/>
          </a:endParaRPr>
        </a:p>
        <a:p>
          <a:endParaRPr lang="en-US" sz="400"/>
        </a:p>
      </xdr:txBody>
    </xdr:sp>
    <xdr:clientData/>
  </xdr:twoCellAnchor>
  <xdr:twoCellAnchor>
    <xdr:from>
      <xdr:col>1</xdr:col>
      <xdr:colOff>219075</xdr:colOff>
      <xdr:row>48</xdr:row>
      <xdr:rowOff>142875</xdr:rowOff>
    </xdr:from>
    <xdr:to>
      <xdr:col>7</xdr:col>
      <xdr:colOff>561975</xdr:colOff>
      <xdr:row>62</xdr:row>
      <xdr:rowOff>123825</xdr:rowOff>
    </xdr:to>
    <xdr:graphicFrame macro="">
      <xdr:nvGraphicFramePr>
        <xdr:cNvPr id="13" name="Chart 13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175701</xdr:colOff>
      <xdr:row>33</xdr:row>
      <xdr:rowOff>187034</xdr:rowOff>
    </xdr:from>
    <xdr:to>
      <xdr:col>13</xdr:col>
      <xdr:colOff>431797</xdr:colOff>
      <xdr:row>46</xdr:row>
      <xdr:rowOff>152400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555138</xdr:colOff>
      <xdr:row>34</xdr:row>
      <xdr:rowOff>2766</xdr:rowOff>
    </xdr:from>
    <xdr:to>
      <xdr:col>20</xdr:col>
      <xdr:colOff>45819</xdr:colOff>
      <xdr:row>47</xdr:row>
      <xdr:rowOff>0</xdr:rowOff>
    </xdr:to>
    <xdr:graphicFrame macro="">
      <xdr:nvGraphicFramePr>
        <xdr:cNvPr id="15" name="Chart 12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11988</xdr:colOff>
      <xdr:row>45</xdr:row>
      <xdr:rowOff>130064</xdr:rowOff>
    </xdr:from>
    <xdr:to>
      <xdr:col>18</xdr:col>
      <xdr:colOff>265879</xdr:colOff>
      <xdr:row>47</xdr:row>
      <xdr:rowOff>10510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9898938" y="9483614"/>
          <a:ext cx="1158766" cy="2328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Population in Thousands</a:t>
          </a:r>
          <a:endParaRPr lang="en-US" sz="700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9</xdr:col>
      <xdr:colOff>247650</xdr:colOff>
      <xdr:row>48</xdr:row>
      <xdr:rowOff>152400</xdr:rowOff>
    </xdr:from>
    <xdr:to>
      <xdr:col>15</xdr:col>
      <xdr:colOff>615593</xdr:colOff>
      <xdr:row>62</xdr:row>
      <xdr:rowOff>133350</xdr:rowOff>
    </xdr:to>
    <xdr:graphicFrame macro="">
      <xdr:nvGraphicFramePr>
        <xdr:cNvPr id="11" name="Chart 13">
          <a:extLst>
            <a:ext uri="{FF2B5EF4-FFF2-40B4-BE49-F238E27FC236}">
              <a16:creationId xmlns:a16="http://schemas.microsoft.com/office/drawing/2014/main" id="{6D31238C-590B-41D8-B32F-B27CE792EC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0.01332</cdr:x>
      <cdr:y>0.34779</cdr:y>
    </cdr:from>
    <cdr:to>
      <cdr:x>0.05621</cdr:x>
      <cdr:y>0.57189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53374" y="790082"/>
          <a:ext cx="171777" cy="5090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 anchor="ctr"/>
        <a:lstStyle xmlns:a="http://schemas.openxmlformats.org/drawingml/2006/main"/>
        <a:p xmlns:a="http://schemas.openxmlformats.org/drawingml/2006/main">
          <a:r>
            <a:rPr lang="en-US" sz="700" b="1"/>
            <a:t>Age Group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0.01332</cdr:x>
      <cdr:y>0.34779</cdr:y>
    </cdr:from>
    <cdr:to>
      <cdr:x>0.05621</cdr:x>
      <cdr:y>0.57189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53374" y="790082"/>
          <a:ext cx="171777" cy="5090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 anchor="ctr"/>
        <a:lstStyle xmlns:a="http://schemas.openxmlformats.org/drawingml/2006/main"/>
        <a:p xmlns:a="http://schemas.openxmlformats.org/drawingml/2006/main">
          <a:r>
            <a:rPr lang="en-US" sz="700" b="1"/>
            <a:t>Age Group</a:t>
          </a:r>
        </a:p>
      </cdr:txBody>
    </cdr:sp>
  </cdr:relSizeAnchor>
  <cdr:relSizeAnchor xmlns:cdr="http://schemas.openxmlformats.org/drawingml/2006/chartDrawing">
    <cdr:from>
      <cdr:x>0.31295</cdr:x>
      <cdr:y>0.91739</cdr:y>
    </cdr:from>
    <cdr:to>
      <cdr:x>0.70146</cdr:x>
      <cdr:y>0.9941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52462" y="2177851"/>
          <a:ext cx="1554816" cy="1820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marR="0" indent="0" algn="ctr" defTabSz="914400" eaLnBrk="1" fontAlgn="auto" latinLnBrk="0" hangingPunct="1">
            <a:lnSpc>
              <a:spcPts val="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 b="1">
              <a:effectLst/>
              <a:latin typeface="+mn-lt"/>
              <a:ea typeface="+mn-ea"/>
              <a:cs typeface="+mn-cs"/>
            </a:rPr>
            <a:t>Population in Thousands</a:t>
          </a:r>
          <a:endParaRPr lang="en-US" sz="700">
            <a:effectLst/>
          </a:endParaRPr>
        </a:p>
        <a:p xmlns:a="http://schemas.openxmlformats.org/drawingml/2006/main">
          <a:pPr algn="ctr">
            <a:lnSpc>
              <a:spcPts val="900"/>
            </a:lnSpc>
          </a:pPr>
          <a:endParaRPr lang="en-US" sz="800"/>
        </a:p>
      </cdr:txBody>
    </cdr:sp>
  </cdr:relSizeAnchor>
  <cdr:relSizeAnchor xmlns:cdr="http://schemas.openxmlformats.org/drawingml/2006/chartDrawing">
    <cdr:from>
      <cdr:x>0.01332</cdr:x>
      <cdr:y>0.34779</cdr:y>
    </cdr:from>
    <cdr:to>
      <cdr:x>0.05621</cdr:x>
      <cdr:y>0.57189</cdr:y>
    </cdr:to>
    <cdr:sp macro="" textlink="">
      <cdr:nvSpPr>
        <cdr:cNvPr id="4" name="TextBox 2"/>
        <cdr:cNvSpPr txBox="1"/>
      </cdr:nvSpPr>
      <cdr:spPr>
        <a:xfrm xmlns:a="http://schemas.openxmlformats.org/drawingml/2006/main">
          <a:off x="53374" y="790082"/>
          <a:ext cx="171777" cy="5090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 anchor="ctr"/>
        <a:lstStyle xmlns:a="http://schemas.openxmlformats.org/drawingml/2006/main"/>
        <a:p xmlns:a="http://schemas.openxmlformats.org/drawingml/2006/main">
          <a:r>
            <a:rPr lang="en-US" sz="700" b="1"/>
            <a:t>Age Group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0.01332</cdr:x>
      <cdr:y>0.34779</cdr:y>
    </cdr:from>
    <cdr:to>
      <cdr:x>0.05621</cdr:x>
      <cdr:y>0.57189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53374" y="790082"/>
          <a:ext cx="171777" cy="5090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 anchor="ctr"/>
        <a:lstStyle xmlns:a="http://schemas.openxmlformats.org/drawingml/2006/main"/>
        <a:p xmlns:a="http://schemas.openxmlformats.org/drawingml/2006/main">
          <a:r>
            <a:rPr lang="en-US" sz="700" b="1"/>
            <a:t>Age Group</a:t>
          </a:r>
        </a:p>
      </cdr:txBody>
    </cdr:sp>
  </cdr:relSizeAnchor>
  <cdr:relSizeAnchor xmlns:cdr="http://schemas.openxmlformats.org/drawingml/2006/chartDrawing">
    <cdr:from>
      <cdr:x>0.31295</cdr:x>
      <cdr:y>0.91739</cdr:y>
    </cdr:from>
    <cdr:to>
      <cdr:x>0.70146</cdr:x>
      <cdr:y>0.9941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52462" y="2177851"/>
          <a:ext cx="1554816" cy="1820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marR="0" indent="0" algn="ctr" defTabSz="914400" eaLnBrk="1" fontAlgn="auto" latinLnBrk="0" hangingPunct="1">
            <a:lnSpc>
              <a:spcPts val="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 b="1">
              <a:effectLst/>
              <a:latin typeface="+mn-lt"/>
              <a:ea typeface="+mn-ea"/>
              <a:cs typeface="+mn-cs"/>
            </a:rPr>
            <a:t>Population in Thousands</a:t>
          </a:r>
          <a:endParaRPr lang="en-US" sz="700">
            <a:effectLst/>
          </a:endParaRPr>
        </a:p>
        <a:p xmlns:a="http://schemas.openxmlformats.org/drawingml/2006/main">
          <a:pPr algn="ctr">
            <a:lnSpc>
              <a:spcPts val="900"/>
            </a:lnSpc>
          </a:pPr>
          <a:endParaRPr lang="en-US" sz="800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0.01332</cdr:x>
      <cdr:y>0.34779</cdr:y>
    </cdr:from>
    <cdr:to>
      <cdr:x>0.05621</cdr:x>
      <cdr:y>0.57189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53374" y="790082"/>
          <a:ext cx="171777" cy="5090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 anchor="ctr"/>
        <a:lstStyle xmlns:a="http://schemas.openxmlformats.org/drawingml/2006/main"/>
        <a:p xmlns:a="http://schemas.openxmlformats.org/drawingml/2006/main">
          <a:r>
            <a:rPr lang="en-US" sz="700" b="1"/>
            <a:t>Age Group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0.01332</cdr:x>
      <cdr:y>0.34779</cdr:y>
    </cdr:from>
    <cdr:to>
      <cdr:x>0.05621</cdr:x>
      <cdr:y>0.57189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53374" y="790082"/>
          <a:ext cx="171777" cy="5090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 anchor="ctr"/>
        <a:lstStyle xmlns:a="http://schemas.openxmlformats.org/drawingml/2006/main"/>
        <a:p xmlns:a="http://schemas.openxmlformats.org/drawingml/2006/main">
          <a:r>
            <a:rPr lang="en-US" sz="700" b="1"/>
            <a:t>Age Group</a:t>
          </a:r>
        </a:p>
      </cdr:txBody>
    </cdr:sp>
  </cdr:relSizeAnchor>
  <cdr:relSizeAnchor xmlns:cdr="http://schemas.openxmlformats.org/drawingml/2006/chartDrawing">
    <cdr:from>
      <cdr:x>0.31295</cdr:x>
      <cdr:y>0.91739</cdr:y>
    </cdr:from>
    <cdr:to>
      <cdr:x>0.70146</cdr:x>
      <cdr:y>0.9941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52462" y="2177851"/>
          <a:ext cx="1554816" cy="1820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marR="0" indent="0" algn="ctr" defTabSz="914400" eaLnBrk="1" fontAlgn="auto" latinLnBrk="0" hangingPunct="1">
            <a:lnSpc>
              <a:spcPts val="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 b="1">
              <a:effectLst/>
              <a:latin typeface="+mn-lt"/>
              <a:ea typeface="+mn-ea"/>
              <a:cs typeface="+mn-cs"/>
            </a:rPr>
            <a:t>Population in Thousands</a:t>
          </a:r>
          <a:endParaRPr lang="en-US" sz="700">
            <a:effectLst/>
          </a:endParaRPr>
        </a:p>
        <a:p xmlns:a="http://schemas.openxmlformats.org/drawingml/2006/main">
          <a:pPr algn="ctr">
            <a:lnSpc>
              <a:spcPts val="900"/>
            </a:lnSpc>
          </a:pPr>
          <a:endParaRPr lang="en-US" sz="800"/>
        </a:p>
      </cdr:txBody>
    </cdr:sp>
  </cdr:relSizeAnchor>
  <cdr:relSizeAnchor xmlns:cdr="http://schemas.openxmlformats.org/drawingml/2006/chartDrawing">
    <cdr:from>
      <cdr:x>0.01332</cdr:x>
      <cdr:y>0.34779</cdr:y>
    </cdr:from>
    <cdr:to>
      <cdr:x>0.05621</cdr:x>
      <cdr:y>0.57189</cdr:y>
    </cdr:to>
    <cdr:sp macro="" textlink="">
      <cdr:nvSpPr>
        <cdr:cNvPr id="4" name="TextBox 2"/>
        <cdr:cNvSpPr txBox="1"/>
      </cdr:nvSpPr>
      <cdr:spPr>
        <a:xfrm xmlns:a="http://schemas.openxmlformats.org/drawingml/2006/main">
          <a:off x="53374" y="790082"/>
          <a:ext cx="171777" cy="5090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 anchor="ctr"/>
        <a:lstStyle xmlns:a="http://schemas.openxmlformats.org/drawingml/2006/main"/>
        <a:p xmlns:a="http://schemas.openxmlformats.org/drawingml/2006/main">
          <a:r>
            <a:rPr lang="en-US" sz="700" b="1"/>
            <a:t>Age Group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_backs\userbackups\maha\Yearbook%202001\Graphs2001\pyramid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1">
          <cell r="B61" t="str">
            <v>Male</v>
          </cell>
          <cell r="C61" t="str">
            <v>Female</v>
          </cell>
        </row>
        <row r="62">
          <cell r="A62" t="str">
            <v xml:space="preserve">   0-4</v>
          </cell>
          <cell r="B62">
            <v>19113</v>
          </cell>
          <cell r="C62">
            <v>-17859</v>
          </cell>
        </row>
        <row r="63">
          <cell r="A63" t="str">
            <v xml:space="preserve">   5-9</v>
          </cell>
          <cell r="B63">
            <v>20840</v>
          </cell>
          <cell r="C63">
            <v>-19919</v>
          </cell>
        </row>
        <row r="64">
          <cell r="A64" t="str">
            <v xml:space="preserve"> 10-14</v>
          </cell>
          <cell r="B64">
            <v>18286</v>
          </cell>
          <cell r="C64">
            <v>-17584</v>
          </cell>
        </row>
        <row r="65">
          <cell r="A65" t="str">
            <v xml:space="preserve"> 15-19</v>
          </cell>
          <cell r="B65">
            <v>12343</v>
          </cell>
          <cell r="C65">
            <v>-12562</v>
          </cell>
        </row>
        <row r="66">
          <cell r="A66" t="str">
            <v xml:space="preserve"> 20-24</v>
          </cell>
          <cell r="B66">
            <v>9944</v>
          </cell>
          <cell r="C66">
            <v>-11077</v>
          </cell>
        </row>
        <row r="67">
          <cell r="A67" t="str">
            <v xml:space="preserve"> 25-29</v>
          </cell>
          <cell r="B67">
            <v>8802</v>
          </cell>
          <cell r="C67">
            <v>-9389</v>
          </cell>
        </row>
        <row r="68">
          <cell r="A68" t="str">
            <v xml:space="preserve"> 30-34</v>
          </cell>
          <cell r="B68">
            <v>7579</v>
          </cell>
          <cell r="C68">
            <v>-7785</v>
          </cell>
        </row>
        <row r="69">
          <cell r="A69" t="str">
            <v xml:space="preserve"> 35-39</v>
          </cell>
          <cell r="B69">
            <v>6315</v>
          </cell>
          <cell r="C69">
            <v>-6317</v>
          </cell>
        </row>
        <row r="70">
          <cell r="A70" t="str">
            <v xml:space="preserve"> 40-44</v>
          </cell>
          <cell r="B70">
            <v>3625</v>
          </cell>
          <cell r="C70">
            <v>-3297</v>
          </cell>
        </row>
        <row r="71">
          <cell r="A71" t="str">
            <v xml:space="preserve"> 45-49</v>
          </cell>
          <cell r="B71">
            <v>3369</v>
          </cell>
          <cell r="C71">
            <v>-3215</v>
          </cell>
        </row>
        <row r="72">
          <cell r="A72" t="str">
            <v xml:space="preserve"> 50-54</v>
          </cell>
          <cell r="B72">
            <v>3205</v>
          </cell>
          <cell r="C72">
            <v>-3042</v>
          </cell>
        </row>
        <row r="73">
          <cell r="A73" t="str">
            <v xml:space="preserve"> 55-59</v>
          </cell>
          <cell r="B73">
            <v>3240</v>
          </cell>
          <cell r="C73">
            <v>-2722</v>
          </cell>
        </row>
        <row r="74">
          <cell r="A74" t="str">
            <v xml:space="preserve"> 60-64</v>
          </cell>
          <cell r="B74">
            <v>3010</v>
          </cell>
          <cell r="C74">
            <v>-2284</v>
          </cell>
        </row>
        <row r="75">
          <cell r="A75" t="str">
            <v xml:space="preserve"> 65-69</v>
          </cell>
          <cell r="B75">
            <v>1897</v>
          </cell>
          <cell r="C75">
            <v>-1304</v>
          </cell>
        </row>
        <row r="76">
          <cell r="A76" t="str">
            <v xml:space="preserve"> 70-74</v>
          </cell>
          <cell r="B76">
            <v>1279</v>
          </cell>
          <cell r="C76">
            <v>-822</v>
          </cell>
        </row>
        <row r="77">
          <cell r="A77" t="str">
            <v xml:space="preserve">   75+</v>
          </cell>
          <cell r="B77">
            <v>1384</v>
          </cell>
          <cell r="C77">
            <v>-862</v>
          </cell>
        </row>
        <row r="87">
          <cell r="B87" t="str">
            <v>Male</v>
          </cell>
          <cell r="C87" t="str">
            <v>Female</v>
          </cell>
        </row>
        <row r="88">
          <cell r="A88" t="str">
            <v xml:space="preserve">   0-4</v>
          </cell>
          <cell r="B88">
            <v>-15699</v>
          </cell>
          <cell r="C88">
            <v>15213</v>
          </cell>
        </row>
        <row r="89">
          <cell r="A89" t="str">
            <v xml:space="preserve">   5-9</v>
          </cell>
          <cell r="B89">
            <v>-19336</v>
          </cell>
          <cell r="C89">
            <v>18591</v>
          </cell>
        </row>
        <row r="90">
          <cell r="A90" t="str">
            <v xml:space="preserve"> 10-14</v>
          </cell>
          <cell r="B90">
            <v>-20897</v>
          </cell>
          <cell r="C90">
            <v>20192</v>
          </cell>
        </row>
        <row r="91">
          <cell r="A91" t="str">
            <v xml:space="preserve"> 15-19</v>
          </cell>
          <cell r="B91">
            <v>-16590</v>
          </cell>
          <cell r="C91">
            <v>16676</v>
          </cell>
        </row>
        <row r="92">
          <cell r="A92" t="str">
            <v xml:space="preserve"> 20-24</v>
          </cell>
          <cell r="B92">
            <v>-11620</v>
          </cell>
          <cell r="C92">
            <v>11894</v>
          </cell>
        </row>
        <row r="93">
          <cell r="A93" t="str">
            <v xml:space="preserve"> 25-29</v>
          </cell>
          <cell r="B93">
            <v>-9805</v>
          </cell>
          <cell r="C93">
            <v>10285</v>
          </cell>
        </row>
        <row r="94">
          <cell r="A94" t="str">
            <v xml:space="preserve"> 30-34</v>
          </cell>
          <cell r="B94">
            <v>-8890</v>
          </cell>
          <cell r="C94">
            <v>9271</v>
          </cell>
        </row>
        <row r="95">
          <cell r="A95" t="str">
            <v xml:space="preserve"> 35-39</v>
          </cell>
          <cell r="B95">
            <v>-7828</v>
          </cell>
          <cell r="C95">
            <v>7871</v>
          </cell>
        </row>
        <row r="96">
          <cell r="A96" t="str">
            <v xml:space="preserve"> 40-44</v>
          </cell>
          <cell r="B96">
            <v>-6272</v>
          </cell>
          <cell r="C96">
            <v>6130</v>
          </cell>
        </row>
        <row r="97">
          <cell r="A97" t="str">
            <v xml:space="preserve"> 45-49</v>
          </cell>
          <cell r="B97">
            <v>-3977</v>
          </cell>
          <cell r="C97">
            <v>3484</v>
          </cell>
        </row>
        <row r="98">
          <cell r="A98" t="str">
            <v xml:space="preserve"> 50-54</v>
          </cell>
          <cell r="B98">
            <v>-3051</v>
          </cell>
          <cell r="C98">
            <v>2916</v>
          </cell>
        </row>
        <row r="99">
          <cell r="A99" t="str">
            <v xml:space="preserve"> 55-59</v>
          </cell>
          <cell r="B99">
            <v>-3131</v>
          </cell>
          <cell r="C99">
            <v>2865</v>
          </cell>
        </row>
        <row r="100">
          <cell r="A100" t="str">
            <v xml:space="preserve"> 60-64</v>
          </cell>
          <cell r="B100">
            <v>-3370</v>
          </cell>
          <cell r="C100">
            <v>2942</v>
          </cell>
        </row>
        <row r="101">
          <cell r="A101" t="str">
            <v xml:space="preserve"> 65-69</v>
          </cell>
          <cell r="B101">
            <v>-2650</v>
          </cell>
          <cell r="C101">
            <v>1961</v>
          </cell>
        </row>
        <row r="102">
          <cell r="A102" t="str">
            <v xml:space="preserve"> 70-74</v>
          </cell>
          <cell r="B102">
            <v>-1737</v>
          </cell>
          <cell r="C102">
            <v>1136</v>
          </cell>
        </row>
        <row r="103">
          <cell r="A103" t="str">
            <v xml:space="preserve">   75+</v>
          </cell>
          <cell r="B103">
            <v>-1532</v>
          </cell>
          <cell r="C103">
            <v>1013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AY119"/>
  <sheetViews>
    <sheetView tabSelected="1" zoomScaleNormal="100" workbookViewId="0">
      <selection activeCell="AH25" sqref="AH25"/>
    </sheetView>
  </sheetViews>
  <sheetFormatPr defaultRowHeight="12.75" x14ac:dyDescent="0.2"/>
  <cols>
    <col min="1" max="1" width="15.5703125" style="8" customWidth="1"/>
    <col min="2" max="4" width="10.85546875" style="8" customWidth="1"/>
    <col min="5" max="5" width="2.28515625" style="8" customWidth="1"/>
    <col min="6" max="8" width="10.140625" style="8" customWidth="1"/>
    <col min="9" max="9" width="2.42578125" style="8" customWidth="1"/>
    <col min="10" max="12" width="10.28515625" style="8" customWidth="1"/>
    <col min="13" max="13" width="2.85546875" style="8" customWidth="1"/>
    <col min="14" max="16" width="10.42578125" style="8" customWidth="1"/>
    <col min="17" max="17" width="1.42578125" style="8" customWidth="1"/>
    <col min="18" max="18" width="12.140625" style="8" customWidth="1"/>
    <col min="19" max="19" width="11.85546875" style="8" bestFit="1" customWidth="1"/>
    <col min="20" max="21" width="10.5703125" style="8" bestFit="1" customWidth="1"/>
    <col min="22" max="22" width="11.85546875" style="8" bestFit="1" customWidth="1"/>
    <col min="23" max="38" width="11.85546875" style="8" customWidth="1"/>
    <col min="39" max="39" width="10.5703125" style="8" bestFit="1" customWidth="1"/>
    <col min="40" max="41" width="10.5703125" style="8" customWidth="1"/>
    <col min="42" max="48" width="9.140625" style="8"/>
    <col min="49" max="49" width="11.85546875" style="8" bestFit="1" customWidth="1"/>
    <col min="50" max="50" width="10.85546875" style="8" customWidth="1"/>
    <col min="51" max="272" width="9.140625" style="8"/>
    <col min="273" max="273" width="15.5703125" style="8" customWidth="1"/>
    <col min="274" max="276" width="10.85546875" style="8" customWidth="1"/>
    <col min="277" max="277" width="2.28515625" style="8" customWidth="1"/>
    <col min="278" max="280" width="10.140625" style="8" customWidth="1"/>
    <col min="281" max="281" width="2.42578125" style="8" customWidth="1"/>
    <col min="282" max="284" width="10.28515625" style="8" customWidth="1"/>
    <col min="285" max="285" width="2.85546875" style="8" customWidth="1"/>
    <col min="286" max="288" width="10.42578125" style="8" customWidth="1"/>
    <col min="289" max="290" width="12.140625" style="8" customWidth="1"/>
    <col min="291" max="291" width="11.85546875" style="8" bestFit="1" customWidth="1"/>
    <col min="292" max="293" width="10.5703125" style="8" bestFit="1" customWidth="1"/>
    <col min="294" max="294" width="11.85546875" style="8" bestFit="1" customWidth="1"/>
    <col min="295" max="295" width="10.5703125" style="8" bestFit="1" customWidth="1"/>
    <col min="296" max="297" width="10.5703125" style="8" customWidth="1"/>
    <col min="298" max="305" width="9.140625" style="8"/>
    <col min="306" max="306" width="10.85546875" style="8" customWidth="1"/>
    <col min="307" max="528" width="9.140625" style="8"/>
    <col min="529" max="529" width="15.5703125" style="8" customWidth="1"/>
    <col min="530" max="532" width="10.85546875" style="8" customWidth="1"/>
    <col min="533" max="533" width="2.28515625" style="8" customWidth="1"/>
    <col min="534" max="536" width="10.140625" style="8" customWidth="1"/>
    <col min="537" max="537" width="2.42578125" style="8" customWidth="1"/>
    <col min="538" max="540" width="10.28515625" style="8" customWidth="1"/>
    <col min="541" max="541" width="2.85546875" style="8" customWidth="1"/>
    <col min="542" max="544" width="10.42578125" style="8" customWidth="1"/>
    <col min="545" max="546" width="12.140625" style="8" customWidth="1"/>
    <col min="547" max="547" width="11.85546875" style="8" bestFit="1" customWidth="1"/>
    <col min="548" max="549" width="10.5703125" style="8" bestFit="1" customWidth="1"/>
    <col min="550" max="550" width="11.85546875" style="8" bestFit="1" customWidth="1"/>
    <col min="551" max="551" width="10.5703125" style="8" bestFit="1" customWidth="1"/>
    <col min="552" max="553" width="10.5703125" style="8" customWidth="1"/>
    <col min="554" max="561" width="9.140625" style="8"/>
    <col min="562" max="562" width="10.85546875" style="8" customWidth="1"/>
    <col min="563" max="784" width="9.140625" style="8"/>
    <col min="785" max="785" width="15.5703125" style="8" customWidth="1"/>
    <col min="786" max="788" width="10.85546875" style="8" customWidth="1"/>
    <col min="789" max="789" width="2.28515625" style="8" customWidth="1"/>
    <col min="790" max="792" width="10.140625" style="8" customWidth="1"/>
    <col min="793" max="793" width="2.42578125" style="8" customWidth="1"/>
    <col min="794" max="796" width="10.28515625" style="8" customWidth="1"/>
    <col min="797" max="797" width="2.85546875" style="8" customWidth="1"/>
    <col min="798" max="800" width="10.42578125" style="8" customWidth="1"/>
    <col min="801" max="802" width="12.140625" style="8" customWidth="1"/>
    <col min="803" max="803" width="11.85546875" style="8" bestFit="1" customWidth="1"/>
    <col min="804" max="805" width="10.5703125" style="8" bestFit="1" customWidth="1"/>
    <col min="806" max="806" width="11.85546875" style="8" bestFit="1" customWidth="1"/>
    <col min="807" max="807" width="10.5703125" style="8" bestFit="1" customWidth="1"/>
    <col min="808" max="809" width="10.5703125" style="8" customWidth="1"/>
    <col min="810" max="817" width="9.140625" style="8"/>
    <col min="818" max="818" width="10.85546875" style="8" customWidth="1"/>
    <col min="819" max="1040" width="9.140625" style="8"/>
    <col min="1041" max="1041" width="15.5703125" style="8" customWidth="1"/>
    <col min="1042" max="1044" width="10.85546875" style="8" customWidth="1"/>
    <col min="1045" max="1045" width="2.28515625" style="8" customWidth="1"/>
    <col min="1046" max="1048" width="10.140625" style="8" customWidth="1"/>
    <col min="1049" max="1049" width="2.42578125" style="8" customWidth="1"/>
    <col min="1050" max="1052" width="10.28515625" style="8" customWidth="1"/>
    <col min="1053" max="1053" width="2.85546875" style="8" customWidth="1"/>
    <col min="1054" max="1056" width="10.42578125" style="8" customWidth="1"/>
    <col min="1057" max="1058" width="12.140625" style="8" customWidth="1"/>
    <col min="1059" max="1059" width="11.85546875" style="8" bestFit="1" customWidth="1"/>
    <col min="1060" max="1061" width="10.5703125" style="8" bestFit="1" customWidth="1"/>
    <col min="1062" max="1062" width="11.85546875" style="8" bestFit="1" customWidth="1"/>
    <col min="1063" max="1063" width="10.5703125" style="8" bestFit="1" customWidth="1"/>
    <col min="1064" max="1065" width="10.5703125" style="8" customWidth="1"/>
    <col min="1066" max="1073" width="9.140625" style="8"/>
    <col min="1074" max="1074" width="10.85546875" style="8" customWidth="1"/>
    <col min="1075" max="1296" width="9.140625" style="8"/>
    <col min="1297" max="1297" width="15.5703125" style="8" customWidth="1"/>
    <col min="1298" max="1300" width="10.85546875" style="8" customWidth="1"/>
    <col min="1301" max="1301" width="2.28515625" style="8" customWidth="1"/>
    <col min="1302" max="1304" width="10.140625" style="8" customWidth="1"/>
    <col min="1305" max="1305" width="2.42578125" style="8" customWidth="1"/>
    <col min="1306" max="1308" width="10.28515625" style="8" customWidth="1"/>
    <col min="1309" max="1309" width="2.85546875" style="8" customWidth="1"/>
    <col min="1310" max="1312" width="10.42578125" style="8" customWidth="1"/>
    <col min="1313" max="1314" width="12.140625" style="8" customWidth="1"/>
    <col min="1315" max="1315" width="11.85546875" style="8" bestFit="1" customWidth="1"/>
    <col min="1316" max="1317" width="10.5703125" style="8" bestFit="1" customWidth="1"/>
    <col min="1318" max="1318" width="11.85546875" style="8" bestFit="1" customWidth="1"/>
    <col min="1319" max="1319" width="10.5703125" style="8" bestFit="1" customWidth="1"/>
    <col min="1320" max="1321" width="10.5703125" style="8" customWidth="1"/>
    <col min="1322" max="1329" width="9.140625" style="8"/>
    <col min="1330" max="1330" width="10.85546875" style="8" customWidth="1"/>
    <col min="1331" max="1552" width="9.140625" style="8"/>
    <col min="1553" max="1553" width="15.5703125" style="8" customWidth="1"/>
    <col min="1554" max="1556" width="10.85546875" style="8" customWidth="1"/>
    <col min="1557" max="1557" width="2.28515625" style="8" customWidth="1"/>
    <col min="1558" max="1560" width="10.140625" style="8" customWidth="1"/>
    <col min="1561" max="1561" width="2.42578125" style="8" customWidth="1"/>
    <col min="1562" max="1564" width="10.28515625" style="8" customWidth="1"/>
    <col min="1565" max="1565" width="2.85546875" style="8" customWidth="1"/>
    <col min="1566" max="1568" width="10.42578125" style="8" customWidth="1"/>
    <col min="1569" max="1570" width="12.140625" style="8" customWidth="1"/>
    <col min="1571" max="1571" width="11.85546875" style="8" bestFit="1" customWidth="1"/>
    <col min="1572" max="1573" width="10.5703125" style="8" bestFit="1" customWidth="1"/>
    <col min="1574" max="1574" width="11.85546875" style="8" bestFit="1" customWidth="1"/>
    <col min="1575" max="1575" width="10.5703125" style="8" bestFit="1" customWidth="1"/>
    <col min="1576" max="1577" width="10.5703125" style="8" customWidth="1"/>
    <col min="1578" max="1585" width="9.140625" style="8"/>
    <col min="1586" max="1586" width="10.85546875" style="8" customWidth="1"/>
    <col min="1587" max="1808" width="9.140625" style="8"/>
    <col min="1809" max="1809" width="15.5703125" style="8" customWidth="1"/>
    <col min="1810" max="1812" width="10.85546875" style="8" customWidth="1"/>
    <col min="1813" max="1813" width="2.28515625" style="8" customWidth="1"/>
    <col min="1814" max="1816" width="10.140625" style="8" customWidth="1"/>
    <col min="1817" max="1817" width="2.42578125" style="8" customWidth="1"/>
    <col min="1818" max="1820" width="10.28515625" style="8" customWidth="1"/>
    <col min="1821" max="1821" width="2.85546875" style="8" customWidth="1"/>
    <col min="1822" max="1824" width="10.42578125" style="8" customWidth="1"/>
    <col min="1825" max="1826" width="12.140625" style="8" customWidth="1"/>
    <col min="1827" max="1827" width="11.85546875" style="8" bestFit="1" customWidth="1"/>
    <col min="1828" max="1829" width="10.5703125" style="8" bestFit="1" customWidth="1"/>
    <col min="1830" max="1830" width="11.85546875" style="8" bestFit="1" customWidth="1"/>
    <col min="1831" max="1831" width="10.5703125" style="8" bestFit="1" customWidth="1"/>
    <col min="1832" max="1833" width="10.5703125" style="8" customWidth="1"/>
    <col min="1834" max="1841" width="9.140625" style="8"/>
    <col min="1842" max="1842" width="10.85546875" style="8" customWidth="1"/>
    <col min="1843" max="2064" width="9.140625" style="8"/>
    <col min="2065" max="2065" width="15.5703125" style="8" customWidth="1"/>
    <col min="2066" max="2068" width="10.85546875" style="8" customWidth="1"/>
    <col min="2069" max="2069" width="2.28515625" style="8" customWidth="1"/>
    <col min="2070" max="2072" width="10.140625" style="8" customWidth="1"/>
    <col min="2073" max="2073" width="2.42578125" style="8" customWidth="1"/>
    <col min="2074" max="2076" width="10.28515625" style="8" customWidth="1"/>
    <col min="2077" max="2077" width="2.85546875" style="8" customWidth="1"/>
    <col min="2078" max="2080" width="10.42578125" style="8" customWidth="1"/>
    <col min="2081" max="2082" width="12.140625" style="8" customWidth="1"/>
    <col min="2083" max="2083" width="11.85546875" style="8" bestFit="1" customWidth="1"/>
    <col min="2084" max="2085" width="10.5703125" style="8" bestFit="1" customWidth="1"/>
    <col min="2086" max="2086" width="11.85546875" style="8" bestFit="1" customWidth="1"/>
    <col min="2087" max="2087" width="10.5703125" style="8" bestFit="1" customWidth="1"/>
    <col min="2088" max="2089" width="10.5703125" style="8" customWidth="1"/>
    <col min="2090" max="2097" width="9.140625" style="8"/>
    <col min="2098" max="2098" width="10.85546875" style="8" customWidth="1"/>
    <col min="2099" max="2320" width="9.140625" style="8"/>
    <col min="2321" max="2321" width="15.5703125" style="8" customWidth="1"/>
    <col min="2322" max="2324" width="10.85546875" style="8" customWidth="1"/>
    <col min="2325" max="2325" width="2.28515625" style="8" customWidth="1"/>
    <col min="2326" max="2328" width="10.140625" style="8" customWidth="1"/>
    <col min="2329" max="2329" width="2.42578125" style="8" customWidth="1"/>
    <col min="2330" max="2332" width="10.28515625" style="8" customWidth="1"/>
    <col min="2333" max="2333" width="2.85546875" style="8" customWidth="1"/>
    <col min="2334" max="2336" width="10.42578125" style="8" customWidth="1"/>
    <col min="2337" max="2338" width="12.140625" style="8" customWidth="1"/>
    <col min="2339" max="2339" width="11.85546875" style="8" bestFit="1" customWidth="1"/>
    <col min="2340" max="2341" width="10.5703125" style="8" bestFit="1" customWidth="1"/>
    <col min="2342" max="2342" width="11.85546875" style="8" bestFit="1" customWidth="1"/>
    <col min="2343" max="2343" width="10.5703125" style="8" bestFit="1" customWidth="1"/>
    <col min="2344" max="2345" width="10.5703125" style="8" customWidth="1"/>
    <col min="2346" max="2353" width="9.140625" style="8"/>
    <col min="2354" max="2354" width="10.85546875" style="8" customWidth="1"/>
    <col min="2355" max="2576" width="9.140625" style="8"/>
    <col min="2577" max="2577" width="15.5703125" style="8" customWidth="1"/>
    <col min="2578" max="2580" width="10.85546875" style="8" customWidth="1"/>
    <col min="2581" max="2581" width="2.28515625" style="8" customWidth="1"/>
    <col min="2582" max="2584" width="10.140625" style="8" customWidth="1"/>
    <col min="2585" max="2585" width="2.42578125" style="8" customWidth="1"/>
    <col min="2586" max="2588" width="10.28515625" style="8" customWidth="1"/>
    <col min="2589" max="2589" width="2.85546875" style="8" customWidth="1"/>
    <col min="2590" max="2592" width="10.42578125" style="8" customWidth="1"/>
    <col min="2593" max="2594" width="12.140625" style="8" customWidth="1"/>
    <col min="2595" max="2595" width="11.85546875" style="8" bestFit="1" customWidth="1"/>
    <col min="2596" max="2597" width="10.5703125" style="8" bestFit="1" customWidth="1"/>
    <col min="2598" max="2598" width="11.85546875" style="8" bestFit="1" customWidth="1"/>
    <col min="2599" max="2599" width="10.5703125" style="8" bestFit="1" customWidth="1"/>
    <col min="2600" max="2601" width="10.5703125" style="8" customWidth="1"/>
    <col min="2602" max="2609" width="9.140625" style="8"/>
    <col min="2610" max="2610" width="10.85546875" style="8" customWidth="1"/>
    <col min="2611" max="2832" width="9.140625" style="8"/>
    <col min="2833" max="2833" width="15.5703125" style="8" customWidth="1"/>
    <col min="2834" max="2836" width="10.85546875" style="8" customWidth="1"/>
    <col min="2837" max="2837" width="2.28515625" style="8" customWidth="1"/>
    <col min="2838" max="2840" width="10.140625" style="8" customWidth="1"/>
    <col min="2841" max="2841" width="2.42578125" style="8" customWidth="1"/>
    <col min="2842" max="2844" width="10.28515625" style="8" customWidth="1"/>
    <col min="2845" max="2845" width="2.85546875" style="8" customWidth="1"/>
    <col min="2846" max="2848" width="10.42578125" style="8" customWidth="1"/>
    <col min="2849" max="2850" width="12.140625" style="8" customWidth="1"/>
    <col min="2851" max="2851" width="11.85546875" style="8" bestFit="1" customWidth="1"/>
    <col min="2852" max="2853" width="10.5703125" style="8" bestFit="1" customWidth="1"/>
    <col min="2854" max="2854" width="11.85546875" style="8" bestFit="1" customWidth="1"/>
    <col min="2855" max="2855" width="10.5703125" style="8" bestFit="1" customWidth="1"/>
    <col min="2856" max="2857" width="10.5703125" style="8" customWidth="1"/>
    <col min="2858" max="2865" width="9.140625" style="8"/>
    <col min="2866" max="2866" width="10.85546875" style="8" customWidth="1"/>
    <col min="2867" max="3088" width="9.140625" style="8"/>
    <col min="3089" max="3089" width="15.5703125" style="8" customWidth="1"/>
    <col min="3090" max="3092" width="10.85546875" style="8" customWidth="1"/>
    <col min="3093" max="3093" width="2.28515625" style="8" customWidth="1"/>
    <col min="3094" max="3096" width="10.140625" style="8" customWidth="1"/>
    <col min="3097" max="3097" width="2.42578125" style="8" customWidth="1"/>
    <col min="3098" max="3100" width="10.28515625" style="8" customWidth="1"/>
    <col min="3101" max="3101" width="2.85546875" style="8" customWidth="1"/>
    <col min="3102" max="3104" width="10.42578125" style="8" customWidth="1"/>
    <col min="3105" max="3106" width="12.140625" style="8" customWidth="1"/>
    <col min="3107" max="3107" width="11.85546875" style="8" bestFit="1" customWidth="1"/>
    <col min="3108" max="3109" width="10.5703125" style="8" bestFit="1" customWidth="1"/>
    <col min="3110" max="3110" width="11.85546875" style="8" bestFit="1" customWidth="1"/>
    <col min="3111" max="3111" width="10.5703125" style="8" bestFit="1" customWidth="1"/>
    <col min="3112" max="3113" width="10.5703125" style="8" customWidth="1"/>
    <col min="3114" max="3121" width="9.140625" style="8"/>
    <col min="3122" max="3122" width="10.85546875" style="8" customWidth="1"/>
    <col min="3123" max="3344" width="9.140625" style="8"/>
    <col min="3345" max="3345" width="15.5703125" style="8" customWidth="1"/>
    <col min="3346" max="3348" width="10.85546875" style="8" customWidth="1"/>
    <col min="3349" max="3349" width="2.28515625" style="8" customWidth="1"/>
    <col min="3350" max="3352" width="10.140625" style="8" customWidth="1"/>
    <col min="3353" max="3353" width="2.42578125" style="8" customWidth="1"/>
    <col min="3354" max="3356" width="10.28515625" style="8" customWidth="1"/>
    <col min="3357" max="3357" width="2.85546875" style="8" customWidth="1"/>
    <col min="3358" max="3360" width="10.42578125" style="8" customWidth="1"/>
    <col min="3361" max="3362" width="12.140625" style="8" customWidth="1"/>
    <col min="3363" max="3363" width="11.85546875" style="8" bestFit="1" customWidth="1"/>
    <col min="3364" max="3365" width="10.5703125" style="8" bestFit="1" customWidth="1"/>
    <col min="3366" max="3366" width="11.85546875" style="8" bestFit="1" customWidth="1"/>
    <col min="3367" max="3367" width="10.5703125" style="8" bestFit="1" customWidth="1"/>
    <col min="3368" max="3369" width="10.5703125" style="8" customWidth="1"/>
    <col min="3370" max="3377" width="9.140625" style="8"/>
    <col min="3378" max="3378" width="10.85546875" style="8" customWidth="1"/>
    <col min="3379" max="3600" width="9.140625" style="8"/>
    <col min="3601" max="3601" width="15.5703125" style="8" customWidth="1"/>
    <col min="3602" max="3604" width="10.85546875" style="8" customWidth="1"/>
    <col min="3605" max="3605" width="2.28515625" style="8" customWidth="1"/>
    <col min="3606" max="3608" width="10.140625" style="8" customWidth="1"/>
    <col min="3609" max="3609" width="2.42578125" style="8" customWidth="1"/>
    <col min="3610" max="3612" width="10.28515625" style="8" customWidth="1"/>
    <col min="3613" max="3613" width="2.85546875" style="8" customWidth="1"/>
    <col min="3614" max="3616" width="10.42578125" style="8" customWidth="1"/>
    <col min="3617" max="3618" width="12.140625" style="8" customWidth="1"/>
    <col min="3619" max="3619" width="11.85546875" style="8" bestFit="1" customWidth="1"/>
    <col min="3620" max="3621" width="10.5703125" style="8" bestFit="1" customWidth="1"/>
    <col min="3622" max="3622" width="11.85546875" style="8" bestFit="1" customWidth="1"/>
    <col min="3623" max="3623" width="10.5703125" style="8" bestFit="1" customWidth="1"/>
    <col min="3624" max="3625" width="10.5703125" style="8" customWidth="1"/>
    <col min="3626" max="3633" width="9.140625" style="8"/>
    <col min="3634" max="3634" width="10.85546875" style="8" customWidth="1"/>
    <col min="3635" max="3856" width="9.140625" style="8"/>
    <col min="3857" max="3857" width="15.5703125" style="8" customWidth="1"/>
    <col min="3858" max="3860" width="10.85546875" style="8" customWidth="1"/>
    <col min="3861" max="3861" width="2.28515625" style="8" customWidth="1"/>
    <col min="3862" max="3864" width="10.140625" style="8" customWidth="1"/>
    <col min="3865" max="3865" width="2.42578125" style="8" customWidth="1"/>
    <col min="3866" max="3868" width="10.28515625" style="8" customWidth="1"/>
    <col min="3869" max="3869" width="2.85546875" style="8" customWidth="1"/>
    <col min="3870" max="3872" width="10.42578125" style="8" customWidth="1"/>
    <col min="3873" max="3874" width="12.140625" style="8" customWidth="1"/>
    <col min="3875" max="3875" width="11.85546875" style="8" bestFit="1" customWidth="1"/>
    <col min="3876" max="3877" width="10.5703125" style="8" bestFit="1" customWidth="1"/>
    <col min="3878" max="3878" width="11.85546875" style="8" bestFit="1" customWidth="1"/>
    <col min="3879" max="3879" width="10.5703125" style="8" bestFit="1" customWidth="1"/>
    <col min="3880" max="3881" width="10.5703125" style="8" customWidth="1"/>
    <col min="3882" max="3889" width="9.140625" style="8"/>
    <col min="3890" max="3890" width="10.85546875" style="8" customWidth="1"/>
    <col min="3891" max="4112" width="9.140625" style="8"/>
    <col min="4113" max="4113" width="15.5703125" style="8" customWidth="1"/>
    <col min="4114" max="4116" width="10.85546875" style="8" customWidth="1"/>
    <col min="4117" max="4117" width="2.28515625" style="8" customWidth="1"/>
    <col min="4118" max="4120" width="10.140625" style="8" customWidth="1"/>
    <col min="4121" max="4121" width="2.42578125" style="8" customWidth="1"/>
    <col min="4122" max="4124" width="10.28515625" style="8" customWidth="1"/>
    <col min="4125" max="4125" width="2.85546875" style="8" customWidth="1"/>
    <col min="4126" max="4128" width="10.42578125" style="8" customWidth="1"/>
    <col min="4129" max="4130" width="12.140625" style="8" customWidth="1"/>
    <col min="4131" max="4131" width="11.85546875" style="8" bestFit="1" customWidth="1"/>
    <col min="4132" max="4133" width="10.5703125" style="8" bestFit="1" customWidth="1"/>
    <col min="4134" max="4134" width="11.85546875" style="8" bestFit="1" customWidth="1"/>
    <col min="4135" max="4135" width="10.5703125" style="8" bestFit="1" customWidth="1"/>
    <col min="4136" max="4137" width="10.5703125" style="8" customWidth="1"/>
    <col min="4138" max="4145" width="9.140625" style="8"/>
    <col min="4146" max="4146" width="10.85546875" style="8" customWidth="1"/>
    <col min="4147" max="4368" width="9.140625" style="8"/>
    <col min="4369" max="4369" width="15.5703125" style="8" customWidth="1"/>
    <col min="4370" max="4372" width="10.85546875" style="8" customWidth="1"/>
    <col min="4373" max="4373" width="2.28515625" style="8" customWidth="1"/>
    <col min="4374" max="4376" width="10.140625" style="8" customWidth="1"/>
    <col min="4377" max="4377" width="2.42578125" style="8" customWidth="1"/>
    <col min="4378" max="4380" width="10.28515625" style="8" customWidth="1"/>
    <col min="4381" max="4381" width="2.85546875" style="8" customWidth="1"/>
    <col min="4382" max="4384" width="10.42578125" style="8" customWidth="1"/>
    <col min="4385" max="4386" width="12.140625" style="8" customWidth="1"/>
    <col min="4387" max="4387" width="11.85546875" style="8" bestFit="1" customWidth="1"/>
    <col min="4388" max="4389" width="10.5703125" style="8" bestFit="1" customWidth="1"/>
    <col min="4390" max="4390" width="11.85546875" style="8" bestFit="1" customWidth="1"/>
    <col min="4391" max="4391" width="10.5703125" style="8" bestFit="1" customWidth="1"/>
    <col min="4392" max="4393" width="10.5703125" style="8" customWidth="1"/>
    <col min="4394" max="4401" width="9.140625" style="8"/>
    <col min="4402" max="4402" width="10.85546875" style="8" customWidth="1"/>
    <col min="4403" max="4624" width="9.140625" style="8"/>
    <col min="4625" max="4625" width="15.5703125" style="8" customWidth="1"/>
    <col min="4626" max="4628" width="10.85546875" style="8" customWidth="1"/>
    <col min="4629" max="4629" width="2.28515625" style="8" customWidth="1"/>
    <col min="4630" max="4632" width="10.140625" style="8" customWidth="1"/>
    <col min="4633" max="4633" width="2.42578125" style="8" customWidth="1"/>
    <col min="4634" max="4636" width="10.28515625" style="8" customWidth="1"/>
    <col min="4637" max="4637" width="2.85546875" style="8" customWidth="1"/>
    <col min="4638" max="4640" width="10.42578125" style="8" customWidth="1"/>
    <col min="4641" max="4642" width="12.140625" style="8" customWidth="1"/>
    <col min="4643" max="4643" width="11.85546875" style="8" bestFit="1" customWidth="1"/>
    <col min="4644" max="4645" width="10.5703125" style="8" bestFit="1" customWidth="1"/>
    <col min="4646" max="4646" width="11.85546875" style="8" bestFit="1" customWidth="1"/>
    <col min="4647" max="4647" width="10.5703125" style="8" bestFit="1" customWidth="1"/>
    <col min="4648" max="4649" width="10.5703125" style="8" customWidth="1"/>
    <col min="4650" max="4657" width="9.140625" style="8"/>
    <col min="4658" max="4658" width="10.85546875" style="8" customWidth="1"/>
    <col min="4659" max="4880" width="9.140625" style="8"/>
    <col min="4881" max="4881" width="15.5703125" style="8" customWidth="1"/>
    <col min="4882" max="4884" width="10.85546875" style="8" customWidth="1"/>
    <col min="4885" max="4885" width="2.28515625" style="8" customWidth="1"/>
    <col min="4886" max="4888" width="10.140625" style="8" customWidth="1"/>
    <col min="4889" max="4889" width="2.42578125" style="8" customWidth="1"/>
    <col min="4890" max="4892" width="10.28515625" style="8" customWidth="1"/>
    <col min="4893" max="4893" width="2.85546875" style="8" customWidth="1"/>
    <col min="4894" max="4896" width="10.42578125" style="8" customWidth="1"/>
    <col min="4897" max="4898" width="12.140625" style="8" customWidth="1"/>
    <col min="4899" max="4899" width="11.85546875" style="8" bestFit="1" customWidth="1"/>
    <col min="4900" max="4901" width="10.5703125" style="8" bestFit="1" customWidth="1"/>
    <col min="4902" max="4902" width="11.85546875" style="8" bestFit="1" customWidth="1"/>
    <col min="4903" max="4903" width="10.5703125" style="8" bestFit="1" customWidth="1"/>
    <col min="4904" max="4905" width="10.5703125" style="8" customWidth="1"/>
    <col min="4906" max="4913" width="9.140625" style="8"/>
    <col min="4914" max="4914" width="10.85546875" style="8" customWidth="1"/>
    <col min="4915" max="5136" width="9.140625" style="8"/>
    <col min="5137" max="5137" width="15.5703125" style="8" customWidth="1"/>
    <col min="5138" max="5140" width="10.85546875" style="8" customWidth="1"/>
    <col min="5141" max="5141" width="2.28515625" style="8" customWidth="1"/>
    <col min="5142" max="5144" width="10.140625" style="8" customWidth="1"/>
    <col min="5145" max="5145" width="2.42578125" style="8" customWidth="1"/>
    <col min="5146" max="5148" width="10.28515625" style="8" customWidth="1"/>
    <col min="5149" max="5149" width="2.85546875" style="8" customWidth="1"/>
    <col min="5150" max="5152" width="10.42578125" style="8" customWidth="1"/>
    <col min="5153" max="5154" width="12.140625" style="8" customWidth="1"/>
    <col min="5155" max="5155" width="11.85546875" style="8" bestFit="1" customWidth="1"/>
    <col min="5156" max="5157" width="10.5703125" style="8" bestFit="1" customWidth="1"/>
    <col min="5158" max="5158" width="11.85546875" style="8" bestFit="1" customWidth="1"/>
    <col min="5159" max="5159" width="10.5703125" style="8" bestFit="1" customWidth="1"/>
    <col min="5160" max="5161" width="10.5703125" style="8" customWidth="1"/>
    <col min="5162" max="5169" width="9.140625" style="8"/>
    <col min="5170" max="5170" width="10.85546875" style="8" customWidth="1"/>
    <col min="5171" max="5392" width="9.140625" style="8"/>
    <col min="5393" max="5393" width="15.5703125" style="8" customWidth="1"/>
    <col min="5394" max="5396" width="10.85546875" style="8" customWidth="1"/>
    <col min="5397" max="5397" width="2.28515625" style="8" customWidth="1"/>
    <col min="5398" max="5400" width="10.140625" style="8" customWidth="1"/>
    <col min="5401" max="5401" width="2.42578125" style="8" customWidth="1"/>
    <col min="5402" max="5404" width="10.28515625" style="8" customWidth="1"/>
    <col min="5405" max="5405" width="2.85546875" style="8" customWidth="1"/>
    <col min="5406" max="5408" width="10.42578125" style="8" customWidth="1"/>
    <col min="5409" max="5410" width="12.140625" style="8" customWidth="1"/>
    <col min="5411" max="5411" width="11.85546875" style="8" bestFit="1" customWidth="1"/>
    <col min="5412" max="5413" width="10.5703125" style="8" bestFit="1" customWidth="1"/>
    <col min="5414" max="5414" width="11.85546875" style="8" bestFit="1" customWidth="1"/>
    <col min="5415" max="5415" width="10.5703125" style="8" bestFit="1" customWidth="1"/>
    <col min="5416" max="5417" width="10.5703125" style="8" customWidth="1"/>
    <col min="5418" max="5425" width="9.140625" style="8"/>
    <col min="5426" max="5426" width="10.85546875" style="8" customWidth="1"/>
    <col min="5427" max="5648" width="9.140625" style="8"/>
    <col min="5649" max="5649" width="15.5703125" style="8" customWidth="1"/>
    <col min="5650" max="5652" width="10.85546875" style="8" customWidth="1"/>
    <col min="5653" max="5653" width="2.28515625" style="8" customWidth="1"/>
    <col min="5654" max="5656" width="10.140625" style="8" customWidth="1"/>
    <col min="5657" max="5657" width="2.42578125" style="8" customWidth="1"/>
    <col min="5658" max="5660" width="10.28515625" style="8" customWidth="1"/>
    <col min="5661" max="5661" width="2.85546875" style="8" customWidth="1"/>
    <col min="5662" max="5664" width="10.42578125" style="8" customWidth="1"/>
    <col min="5665" max="5666" width="12.140625" style="8" customWidth="1"/>
    <col min="5667" max="5667" width="11.85546875" style="8" bestFit="1" customWidth="1"/>
    <col min="5668" max="5669" width="10.5703125" style="8" bestFit="1" customWidth="1"/>
    <col min="5670" max="5670" width="11.85546875" style="8" bestFit="1" customWidth="1"/>
    <col min="5671" max="5671" width="10.5703125" style="8" bestFit="1" customWidth="1"/>
    <col min="5672" max="5673" width="10.5703125" style="8" customWidth="1"/>
    <col min="5674" max="5681" width="9.140625" style="8"/>
    <col min="5682" max="5682" width="10.85546875" style="8" customWidth="1"/>
    <col min="5683" max="5904" width="9.140625" style="8"/>
    <col min="5905" max="5905" width="15.5703125" style="8" customWidth="1"/>
    <col min="5906" max="5908" width="10.85546875" style="8" customWidth="1"/>
    <col min="5909" max="5909" width="2.28515625" style="8" customWidth="1"/>
    <col min="5910" max="5912" width="10.140625" style="8" customWidth="1"/>
    <col min="5913" max="5913" width="2.42578125" style="8" customWidth="1"/>
    <col min="5914" max="5916" width="10.28515625" style="8" customWidth="1"/>
    <col min="5917" max="5917" width="2.85546875" style="8" customWidth="1"/>
    <col min="5918" max="5920" width="10.42578125" style="8" customWidth="1"/>
    <col min="5921" max="5922" width="12.140625" style="8" customWidth="1"/>
    <col min="5923" max="5923" width="11.85546875" style="8" bestFit="1" customWidth="1"/>
    <col min="5924" max="5925" width="10.5703125" style="8" bestFit="1" customWidth="1"/>
    <col min="5926" max="5926" width="11.85546875" style="8" bestFit="1" customWidth="1"/>
    <col min="5927" max="5927" width="10.5703125" style="8" bestFit="1" customWidth="1"/>
    <col min="5928" max="5929" width="10.5703125" style="8" customWidth="1"/>
    <col min="5930" max="5937" width="9.140625" style="8"/>
    <col min="5938" max="5938" width="10.85546875" style="8" customWidth="1"/>
    <col min="5939" max="6160" width="9.140625" style="8"/>
    <col min="6161" max="6161" width="15.5703125" style="8" customWidth="1"/>
    <col min="6162" max="6164" width="10.85546875" style="8" customWidth="1"/>
    <col min="6165" max="6165" width="2.28515625" style="8" customWidth="1"/>
    <col min="6166" max="6168" width="10.140625" style="8" customWidth="1"/>
    <col min="6169" max="6169" width="2.42578125" style="8" customWidth="1"/>
    <col min="6170" max="6172" width="10.28515625" style="8" customWidth="1"/>
    <col min="6173" max="6173" width="2.85546875" style="8" customWidth="1"/>
    <col min="6174" max="6176" width="10.42578125" style="8" customWidth="1"/>
    <col min="6177" max="6178" width="12.140625" style="8" customWidth="1"/>
    <col min="6179" max="6179" width="11.85546875" style="8" bestFit="1" customWidth="1"/>
    <col min="6180" max="6181" width="10.5703125" style="8" bestFit="1" customWidth="1"/>
    <col min="6182" max="6182" width="11.85546875" style="8" bestFit="1" customWidth="1"/>
    <col min="6183" max="6183" width="10.5703125" style="8" bestFit="1" customWidth="1"/>
    <col min="6184" max="6185" width="10.5703125" style="8" customWidth="1"/>
    <col min="6186" max="6193" width="9.140625" style="8"/>
    <col min="6194" max="6194" width="10.85546875" style="8" customWidth="1"/>
    <col min="6195" max="6416" width="9.140625" style="8"/>
    <col min="6417" max="6417" width="15.5703125" style="8" customWidth="1"/>
    <col min="6418" max="6420" width="10.85546875" style="8" customWidth="1"/>
    <col min="6421" max="6421" width="2.28515625" style="8" customWidth="1"/>
    <col min="6422" max="6424" width="10.140625" style="8" customWidth="1"/>
    <col min="6425" max="6425" width="2.42578125" style="8" customWidth="1"/>
    <col min="6426" max="6428" width="10.28515625" style="8" customWidth="1"/>
    <col min="6429" max="6429" width="2.85546875" style="8" customWidth="1"/>
    <col min="6430" max="6432" width="10.42578125" style="8" customWidth="1"/>
    <col min="6433" max="6434" width="12.140625" style="8" customWidth="1"/>
    <col min="6435" max="6435" width="11.85546875" style="8" bestFit="1" customWidth="1"/>
    <col min="6436" max="6437" width="10.5703125" style="8" bestFit="1" customWidth="1"/>
    <col min="6438" max="6438" width="11.85546875" style="8" bestFit="1" customWidth="1"/>
    <col min="6439" max="6439" width="10.5703125" style="8" bestFit="1" customWidth="1"/>
    <col min="6440" max="6441" width="10.5703125" style="8" customWidth="1"/>
    <col min="6442" max="6449" width="9.140625" style="8"/>
    <col min="6450" max="6450" width="10.85546875" style="8" customWidth="1"/>
    <col min="6451" max="6672" width="9.140625" style="8"/>
    <col min="6673" max="6673" width="15.5703125" style="8" customWidth="1"/>
    <col min="6674" max="6676" width="10.85546875" style="8" customWidth="1"/>
    <col min="6677" max="6677" width="2.28515625" style="8" customWidth="1"/>
    <col min="6678" max="6680" width="10.140625" style="8" customWidth="1"/>
    <col min="6681" max="6681" width="2.42578125" style="8" customWidth="1"/>
    <col min="6682" max="6684" width="10.28515625" style="8" customWidth="1"/>
    <col min="6685" max="6685" width="2.85546875" style="8" customWidth="1"/>
    <col min="6686" max="6688" width="10.42578125" style="8" customWidth="1"/>
    <col min="6689" max="6690" width="12.140625" style="8" customWidth="1"/>
    <col min="6691" max="6691" width="11.85546875" style="8" bestFit="1" customWidth="1"/>
    <col min="6692" max="6693" width="10.5703125" style="8" bestFit="1" customWidth="1"/>
    <col min="6694" max="6694" width="11.85546875" style="8" bestFit="1" customWidth="1"/>
    <col min="6695" max="6695" width="10.5703125" style="8" bestFit="1" customWidth="1"/>
    <col min="6696" max="6697" width="10.5703125" style="8" customWidth="1"/>
    <col min="6698" max="6705" width="9.140625" style="8"/>
    <col min="6706" max="6706" width="10.85546875" style="8" customWidth="1"/>
    <col min="6707" max="6928" width="9.140625" style="8"/>
    <col min="6929" max="6929" width="15.5703125" style="8" customWidth="1"/>
    <col min="6930" max="6932" width="10.85546875" style="8" customWidth="1"/>
    <col min="6933" max="6933" width="2.28515625" style="8" customWidth="1"/>
    <col min="6934" max="6936" width="10.140625" style="8" customWidth="1"/>
    <col min="6937" max="6937" width="2.42578125" style="8" customWidth="1"/>
    <col min="6938" max="6940" width="10.28515625" style="8" customWidth="1"/>
    <col min="6941" max="6941" width="2.85546875" style="8" customWidth="1"/>
    <col min="6942" max="6944" width="10.42578125" style="8" customWidth="1"/>
    <col min="6945" max="6946" width="12.140625" style="8" customWidth="1"/>
    <col min="6947" max="6947" width="11.85546875" style="8" bestFit="1" customWidth="1"/>
    <col min="6948" max="6949" width="10.5703125" style="8" bestFit="1" customWidth="1"/>
    <col min="6950" max="6950" width="11.85546875" style="8" bestFit="1" customWidth="1"/>
    <col min="6951" max="6951" width="10.5703125" style="8" bestFit="1" customWidth="1"/>
    <col min="6952" max="6953" width="10.5703125" style="8" customWidth="1"/>
    <col min="6954" max="6961" width="9.140625" style="8"/>
    <col min="6962" max="6962" width="10.85546875" style="8" customWidth="1"/>
    <col min="6963" max="7184" width="9.140625" style="8"/>
    <col min="7185" max="7185" width="15.5703125" style="8" customWidth="1"/>
    <col min="7186" max="7188" width="10.85546875" style="8" customWidth="1"/>
    <col min="7189" max="7189" width="2.28515625" style="8" customWidth="1"/>
    <col min="7190" max="7192" width="10.140625" style="8" customWidth="1"/>
    <col min="7193" max="7193" width="2.42578125" style="8" customWidth="1"/>
    <col min="7194" max="7196" width="10.28515625" style="8" customWidth="1"/>
    <col min="7197" max="7197" width="2.85546875" style="8" customWidth="1"/>
    <col min="7198" max="7200" width="10.42578125" style="8" customWidth="1"/>
    <col min="7201" max="7202" width="12.140625" style="8" customWidth="1"/>
    <col min="7203" max="7203" width="11.85546875" style="8" bestFit="1" customWidth="1"/>
    <col min="7204" max="7205" width="10.5703125" style="8" bestFit="1" customWidth="1"/>
    <col min="7206" max="7206" width="11.85546875" style="8" bestFit="1" customWidth="1"/>
    <col min="7207" max="7207" width="10.5703125" style="8" bestFit="1" customWidth="1"/>
    <col min="7208" max="7209" width="10.5703125" style="8" customWidth="1"/>
    <col min="7210" max="7217" width="9.140625" style="8"/>
    <col min="7218" max="7218" width="10.85546875" style="8" customWidth="1"/>
    <col min="7219" max="7440" width="9.140625" style="8"/>
    <col min="7441" max="7441" width="15.5703125" style="8" customWidth="1"/>
    <col min="7442" max="7444" width="10.85546875" style="8" customWidth="1"/>
    <col min="7445" max="7445" width="2.28515625" style="8" customWidth="1"/>
    <col min="7446" max="7448" width="10.140625" style="8" customWidth="1"/>
    <col min="7449" max="7449" width="2.42578125" style="8" customWidth="1"/>
    <col min="7450" max="7452" width="10.28515625" style="8" customWidth="1"/>
    <col min="7453" max="7453" width="2.85546875" style="8" customWidth="1"/>
    <col min="7454" max="7456" width="10.42578125" style="8" customWidth="1"/>
    <col min="7457" max="7458" width="12.140625" style="8" customWidth="1"/>
    <col min="7459" max="7459" width="11.85546875" style="8" bestFit="1" customWidth="1"/>
    <col min="7460" max="7461" width="10.5703125" style="8" bestFit="1" customWidth="1"/>
    <col min="7462" max="7462" width="11.85546875" style="8" bestFit="1" customWidth="1"/>
    <col min="7463" max="7463" width="10.5703125" style="8" bestFit="1" customWidth="1"/>
    <col min="7464" max="7465" width="10.5703125" style="8" customWidth="1"/>
    <col min="7466" max="7473" width="9.140625" style="8"/>
    <col min="7474" max="7474" width="10.85546875" style="8" customWidth="1"/>
    <col min="7475" max="7696" width="9.140625" style="8"/>
    <col min="7697" max="7697" width="15.5703125" style="8" customWidth="1"/>
    <col min="7698" max="7700" width="10.85546875" style="8" customWidth="1"/>
    <col min="7701" max="7701" width="2.28515625" style="8" customWidth="1"/>
    <col min="7702" max="7704" width="10.140625" style="8" customWidth="1"/>
    <col min="7705" max="7705" width="2.42578125" style="8" customWidth="1"/>
    <col min="7706" max="7708" width="10.28515625" style="8" customWidth="1"/>
    <col min="7709" max="7709" width="2.85546875" style="8" customWidth="1"/>
    <col min="7710" max="7712" width="10.42578125" style="8" customWidth="1"/>
    <col min="7713" max="7714" width="12.140625" style="8" customWidth="1"/>
    <col min="7715" max="7715" width="11.85546875" style="8" bestFit="1" customWidth="1"/>
    <col min="7716" max="7717" width="10.5703125" style="8" bestFit="1" customWidth="1"/>
    <col min="7718" max="7718" width="11.85546875" style="8" bestFit="1" customWidth="1"/>
    <col min="7719" max="7719" width="10.5703125" style="8" bestFit="1" customWidth="1"/>
    <col min="7720" max="7721" width="10.5703125" style="8" customWidth="1"/>
    <col min="7722" max="7729" width="9.140625" style="8"/>
    <col min="7730" max="7730" width="10.85546875" style="8" customWidth="1"/>
    <col min="7731" max="7952" width="9.140625" style="8"/>
    <col min="7953" max="7953" width="15.5703125" style="8" customWidth="1"/>
    <col min="7954" max="7956" width="10.85546875" style="8" customWidth="1"/>
    <col min="7957" max="7957" width="2.28515625" style="8" customWidth="1"/>
    <col min="7958" max="7960" width="10.140625" style="8" customWidth="1"/>
    <col min="7961" max="7961" width="2.42578125" style="8" customWidth="1"/>
    <col min="7962" max="7964" width="10.28515625" style="8" customWidth="1"/>
    <col min="7965" max="7965" width="2.85546875" style="8" customWidth="1"/>
    <col min="7966" max="7968" width="10.42578125" style="8" customWidth="1"/>
    <col min="7969" max="7970" width="12.140625" style="8" customWidth="1"/>
    <col min="7971" max="7971" width="11.85546875" style="8" bestFit="1" customWidth="1"/>
    <col min="7972" max="7973" width="10.5703125" style="8" bestFit="1" customWidth="1"/>
    <col min="7974" max="7974" width="11.85546875" style="8" bestFit="1" customWidth="1"/>
    <col min="7975" max="7975" width="10.5703125" style="8" bestFit="1" customWidth="1"/>
    <col min="7976" max="7977" width="10.5703125" style="8" customWidth="1"/>
    <col min="7978" max="7985" width="9.140625" style="8"/>
    <col min="7986" max="7986" width="10.85546875" style="8" customWidth="1"/>
    <col min="7987" max="8208" width="9.140625" style="8"/>
    <col min="8209" max="8209" width="15.5703125" style="8" customWidth="1"/>
    <col min="8210" max="8212" width="10.85546875" style="8" customWidth="1"/>
    <col min="8213" max="8213" width="2.28515625" style="8" customWidth="1"/>
    <col min="8214" max="8216" width="10.140625" style="8" customWidth="1"/>
    <col min="8217" max="8217" width="2.42578125" style="8" customWidth="1"/>
    <col min="8218" max="8220" width="10.28515625" style="8" customWidth="1"/>
    <col min="8221" max="8221" width="2.85546875" style="8" customWidth="1"/>
    <col min="8222" max="8224" width="10.42578125" style="8" customWidth="1"/>
    <col min="8225" max="8226" width="12.140625" style="8" customWidth="1"/>
    <col min="8227" max="8227" width="11.85546875" style="8" bestFit="1" customWidth="1"/>
    <col min="8228" max="8229" width="10.5703125" style="8" bestFit="1" customWidth="1"/>
    <col min="8230" max="8230" width="11.85546875" style="8" bestFit="1" customWidth="1"/>
    <col min="8231" max="8231" width="10.5703125" style="8" bestFit="1" customWidth="1"/>
    <col min="8232" max="8233" width="10.5703125" style="8" customWidth="1"/>
    <col min="8234" max="8241" width="9.140625" style="8"/>
    <col min="8242" max="8242" width="10.85546875" style="8" customWidth="1"/>
    <col min="8243" max="8464" width="9.140625" style="8"/>
    <col min="8465" max="8465" width="15.5703125" style="8" customWidth="1"/>
    <col min="8466" max="8468" width="10.85546875" style="8" customWidth="1"/>
    <col min="8469" max="8469" width="2.28515625" style="8" customWidth="1"/>
    <col min="8470" max="8472" width="10.140625" style="8" customWidth="1"/>
    <col min="8473" max="8473" width="2.42578125" style="8" customWidth="1"/>
    <col min="8474" max="8476" width="10.28515625" style="8" customWidth="1"/>
    <col min="8477" max="8477" width="2.85546875" style="8" customWidth="1"/>
    <col min="8478" max="8480" width="10.42578125" style="8" customWidth="1"/>
    <col min="8481" max="8482" width="12.140625" style="8" customWidth="1"/>
    <col min="8483" max="8483" width="11.85546875" style="8" bestFit="1" customWidth="1"/>
    <col min="8484" max="8485" width="10.5703125" style="8" bestFit="1" customWidth="1"/>
    <col min="8486" max="8486" width="11.85546875" style="8" bestFit="1" customWidth="1"/>
    <col min="8487" max="8487" width="10.5703125" style="8" bestFit="1" customWidth="1"/>
    <col min="8488" max="8489" width="10.5703125" style="8" customWidth="1"/>
    <col min="8490" max="8497" width="9.140625" style="8"/>
    <col min="8498" max="8498" width="10.85546875" style="8" customWidth="1"/>
    <col min="8499" max="8720" width="9.140625" style="8"/>
    <col min="8721" max="8721" width="15.5703125" style="8" customWidth="1"/>
    <col min="8722" max="8724" width="10.85546875" style="8" customWidth="1"/>
    <col min="8725" max="8725" width="2.28515625" style="8" customWidth="1"/>
    <col min="8726" max="8728" width="10.140625" style="8" customWidth="1"/>
    <col min="8729" max="8729" width="2.42578125" style="8" customWidth="1"/>
    <col min="8730" max="8732" width="10.28515625" style="8" customWidth="1"/>
    <col min="8733" max="8733" width="2.85546875" style="8" customWidth="1"/>
    <col min="8734" max="8736" width="10.42578125" style="8" customWidth="1"/>
    <col min="8737" max="8738" width="12.140625" style="8" customWidth="1"/>
    <col min="8739" max="8739" width="11.85546875" style="8" bestFit="1" customWidth="1"/>
    <col min="8740" max="8741" width="10.5703125" style="8" bestFit="1" customWidth="1"/>
    <col min="8742" max="8742" width="11.85546875" style="8" bestFit="1" customWidth="1"/>
    <col min="8743" max="8743" width="10.5703125" style="8" bestFit="1" customWidth="1"/>
    <col min="8744" max="8745" width="10.5703125" style="8" customWidth="1"/>
    <col min="8746" max="8753" width="9.140625" style="8"/>
    <col min="8754" max="8754" width="10.85546875" style="8" customWidth="1"/>
    <col min="8755" max="8976" width="9.140625" style="8"/>
    <col min="8977" max="8977" width="15.5703125" style="8" customWidth="1"/>
    <col min="8978" max="8980" width="10.85546875" style="8" customWidth="1"/>
    <col min="8981" max="8981" width="2.28515625" style="8" customWidth="1"/>
    <col min="8982" max="8984" width="10.140625" style="8" customWidth="1"/>
    <col min="8985" max="8985" width="2.42578125" style="8" customWidth="1"/>
    <col min="8986" max="8988" width="10.28515625" style="8" customWidth="1"/>
    <col min="8989" max="8989" width="2.85546875" style="8" customWidth="1"/>
    <col min="8990" max="8992" width="10.42578125" style="8" customWidth="1"/>
    <col min="8993" max="8994" width="12.140625" style="8" customWidth="1"/>
    <col min="8995" max="8995" width="11.85546875" style="8" bestFit="1" customWidth="1"/>
    <col min="8996" max="8997" width="10.5703125" style="8" bestFit="1" customWidth="1"/>
    <col min="8998" max="8998" width="11.85546875" style="8" bestFit="1" customWidth="1"/>
    <col min="8999" max="8999" width="10.5703125" style="8" bestFit="1" customWidth="1"/>
    <col min="9000" max="9001" width="10.5703125" style="8" customWidth="1"/>
    <col min="9002" max="9009" width="9.140625" style="8"/>
    <col min="9010" max="9010" width="10.85546875" style="8" customWidth="1"/>
    <col min="9011" max="9232" width="9.140625" style="8"/>
    <col min="9233" max="9233" width="15.5703125" style="8" customWidth="1"/>
    <col min="9234" max="9236" width="10.85546875" style="8" customWidth="1"/>
    <col min="9237" max="9237" width="2.28515625" style="8" customWidth="1"/>
    <col min="9238" max="9240" width="10.140625" style="8" customWidth="1"/>
    <col min="9241" max="9241" width="2.42578125" style="8" customWidth="1"/>
    <col min="9242" max="9244" width="10.28515625" style="8" customWidth="1"/>
    <col min="9245" max="9245" width="2.85546875" style="8" customWidth="1"/>
    <col min="9246" max="9248" width="10.42578125" style="8" customWidth="1"/>
    <col min="9249" max="9250" width="12.140625" style="8" customWidth="1"/>
    <col min="9251" max="9251" width="11.85546875" style="8" bestFit="1" customWidth="1"/>
    <col min="9252" max="9253" width="10.5703125" style="8" bestFit="1" customWidth="1"/>
    <col min="9254" max="9254" width="11.85546875" style="8" bestFit="1" customWidth="1"/>
    <col min="9255" max="9255" width="10.5703125" style="8" bestFit="1" customWidth="1"/>
    <col min="9256" max="9257" width="10.5703125" style="8" customWidth="1"/>
    <col min="9258" max="9265" width="9.140625" style="8"/>
    <col min="9266" max="9266" width="10.85546875" style="8" customWidth="1"/>
    <col min="9267" max="9488" width="9.140625" style="8"/>
    <col min="9489" max="9489" width="15.5703125" style="8" customWidth="1"/>
    <col min="9490" max="9492" width="10.85546875" style="8" customWidth="1"/>
    <col min="9493" max="9493" width="2.28515625" style="8" customWidth="1"/>
    <col min="9494" max="9496" width="10.140625" style="8" customWidth="1"/>
    <col min="9497" max="9497" width="2.42578125" style="8" customWidth="1"/>
    <col min="9498" max="9500" width="10.28515625" style="8" customWidth="1"/>
    <col min="9501" max="9501" width="2.85546875" style="8" customWidth="1"/>
    <col min="9502" max="9504" width="10.42578125" style="8" customWidth="1"/>
    <col min="9505" max="9506" width="12.140625" style="8" customWidth="1"/>
    <col min="9507" max="9507" width="11.85546875" style="8" bestFit="1" customWidth="1"/>
    <col min="9508" max="9509" width="10.5703125" style="8" bestFit="1" customWidth="1"/>
    <col min="9510" max="9510" width="11.85546875" style="8" bestFit="1" customWidth="1"/>
    <col min="9511" max="9511" width="10.5703125" style="8" bestFit="1" customWidth="1"/>
    <col min="9512" max="9513" width="10.5703125" style="8" customWidth="1"/>
    <col min="9514" max="9521" width="9.140625" style="8"/>
    <col min="9522" max="9522" width="10.85546875" style="8" customWidth="1"/>
    <col min="9523" max="9744" width="9.140625" style="8"/>
    <col min="9745" max="9745" width="15.5703125" style="8" customWidth="1"/>
    <col min="9746" max="9748" width="10.85546875" style="8" customWidth="1"/>
    <col min="9749" max="9749" width="2.28515625" style="8" customWidth="1"/>
    <col min="9750" max="9752" width="10.140625" style="8" customWidth="1"/>
    <col min="9753" max="9753" width="2.42578125" style="8" customWidth="1"/>
    <col min="9754" max="9756" width="10.28515625" style="8" customWidth="1"/>
    <col min="9757" max="9757" width="2.85546875" style="8" customWidth="1"/>
    <col min="9758" max="9760" width="10.42578125" style="8" customWidth="1"/>
    <col min="9761" max="9762" width="12.140625" style="8" customWidth="1"/>
    <col min="9763" max="9763" width="11.85546875" style="8" bestFit="1" customWidth="1"/>
    <col min="9764" max="9765" width="10.5703125" style="8" bestFit="1" customWidth="1"/>
    <col min="9766" max="9766" width="11.85546875" style="8" bestFit="1" customWidth="1"/>
    <col min="9767" max="9767" width="10.5703125" style="8" bestFit="1" customWidth="1"/>
    <col min="9768" max="9769" width="10.5703125" style="8" customWidth="1"/>
    <col min="9770" max="9777" width="9.140625" style="8"/>
    <col min="9778" max="9778" width="10.85546875" style="8" customWidth="1"/>
    <col min="9779" max="10000" width="9.140625" style="8"/>
    <col min="10001" max="10001" width="15.5703125" style="8" customWidth="1"/>
    <col min="10002" max="10004" width="10.85546875" style="8" customWidth="1"/>
    <col min="10005" max="10005" width="2.28515625" style="8" customWidth="1"/>
    <col min="10006" max="10008" width="10.140625" style="8" customWidth="1"/>
    <col min="10009" max="10009" width="2.42578125" style="8" customWidth="1"/>
    <col min="10010" max="10012" width="10.28515625" style="8" customWidth="1"/>
    <col min="10013" max="10013" width="2.85546875" style="8" customWidth="1"/>
    <col min="10014" max="10016" width="10.42578125" style="8" customWidth="1"/>
    <col min="10017" max="10018" width="12.140625" style="8" customWidth="1"/>
    <col min="10019" max="10019" width="11.85546875" style="8" bestFit="1" customWidth="1"/>
    <col min="10020" max="10021" width="10.5703125" style="8" bestFit="1" customWidth="1"/>
    <col min="10022" max="10022" width="11.85546875" style="8" bestFit="1" customWidth="1"/>
    <col min="10023" max="10023" width="10.5703125" style="8" bestFit="1" customWidth="1"/>
    <col min="10024" max="10025" width="10.5703125" style="8" customWidth="1"/>
    <col min="10026" max="10033" width="9.140625" style="8"/>
    <col min="10034" max="10034" width="10.85546875" style="8" customWidth="1"/>
    <col min="10035" max="10256" width="9.140625" style="8"/>
    <col min="10257" max="10257" width="15.5703125" style="8" customWidth="1"/>
    <col min="10258" max="10260" width="10.85546875" style="8" customWidth="1"/>
    <col min="10261" max="10261" width="2.28515625" style="8" customWidth="1"/>
    <col min="10262" max="10264" width="10.140625" style="8" customWidth="1"/>
    <col min="10265" max="10265" width="2.42578125" style="8" customWidth="1"/>
    <col min="10266" max="10268" width="10.28515625" style="8" customWidth="1"/>
    <col min="10269" max="10269" width="2.85546875" style="8" customWidth="1"/>
    <col min="10270" max="10272" width="10.42578125" style="8" customWidth="1"/>
    <col min="10273" max="10274" width="12.140625" style="8" customWidth="1"/>
    <col min="10275" max="10275" width="11.85546875" style="8" bestFit="1" customWidth="1"/>
    <col min="10276" max="10277" width="10.5703125" style="8" bestFit="1" customWidth="1"/>
    <col min="10278" max="10278" width="11.85546875" style="8" bestFit="1" customWidth="1"/>
    <col min="10279" max="10279" width="10.5703125" style="8" bestFit="1" customWidth="1"/>
    <col min="10280" max="10281" width="10.5703125" style="8" customWidth="1"/>
    <col min="10282" max="10289" width="9.140625" style="8"/>
    <col min="10290" max="10290" width="10.85546875" style="8" customWidth="1"/>
    <col min="10291" max="10512" width="9.140625" style="8"/>
    <col min="10513" max="10513" width="15.5703125" style="8" customWidth="1"/>
    <col min="10514" max="10516" width="10.85546875" style="8" customWidth="1"/>
    <col min="10517" max="10517" width="2.28515625" style="8" customWidth="1"/>
    <col min="10518" max="10520" width="10.140625" style="8" customWidth="1"/>
    <col min="10521" max="10521" width="2.42578125" style="8" customWidth="1"/>
    <col min="10522" max="10524" width="10.28515625" style="8" customWidth="1"/>
    <col min="10525" max="10525" width="2.85546875" style="8" customWidth="1"/>
    <col min="10526" max="10528" width="10.42578125" style="8" customWidth="1"/>
    <col min="10529" max="10530" width="12.140625" style="8" customWidth="1"/>
    <col min="10531" max="10531" width="11.85546875" style="8" bestFit="1" customWidth="1"/>
    <col min="10532" max="10533" width="10.5703125" style="8" bestFit="1" customWidth="1"/>
    <col min="10534" max="10534" width="11.85546875" style="8" bestFit="1" customWidth="1"/>
    <col min="10535" max="10535" width="10.5703125" style="8" bestFit="1" customWidth="1"/>
    <col min="10536" max="10537" width="10.5703125" style="8" customWidth="1"/>
    <col min="10538" max="10545" width="9.140625" style="8"/>
    <col min="10546" max="10546" width="10.85546875" style="8" customWidth="1"/>
    <col min="10547" max="10768" width="9.140625" style="8"/>
    <col min="10769" max="10769" width="15.5703125" style="8" customWidth="1"/>
    <col min="10770" max="10772" width="10.85546875" style="8" customWidth="1"/>
    <col min="10773" max="10773" width="2.28515625" style="8" customWidth="1"/>
    <col min="10774" max="10776" width="10.140625" style="8" customWidth="1"/>
    <col min="10777" max="10777" width="2.42578125" style="8" customWidth="1"/>
    <col min="10778" max="10780" width="10.28515625" style="8" customWidth="1"/>
    <col min="10781" max="10781" width="2.85546875" style="8" customWidth="1"/>
    <col min="10782" max="10784" width="10.42578125" style="8" customWidth="1"/>
    <col min="10785" max="10786" width="12.140625" style="8" customWidth="1"/>
    <col min="10787" max="10787" width="11.85546875" style="8" bestFit="1" customWidth="1"/>
    <col min="10788" max="10789" width="10.5703125" style="8" bestFit="1" customWidth="1"/>
    <col min="10790" max="10790" width="11.85546875" style="8" bestFit="1" customWidth="1"/>
    <col min="10791" max="10791" width="10.5703125" style="8" bestFit="1" customWidth="1"/>
    <col min="10792" max="10793" width="10.5703125" style="8" customWidth="1"/>
    <col min="10794" max="10801" width="9.140625" style="8"/>
    <col min="10802" max="10802" width="10.85546875" style="8" customWidth="1"/>
    <col min="10803" max="11024" width="9.140625" style="8"/>
    <col min="11025" max="11025" width="15.5703125" style="8" customWidth="1"/>
    <col min="11026" max="11028" width="10.85546875" style="8" customWidth="1"/>
    <col min="11029" max="11029" width="2.28515625" style="8" customWidth="1"/>
    <col min="11030" max="11032" width="10.140625" style="8" customWidth="1"/>
    <col min="11033" max="11033" width="2.42578125" style="8" customWidth="1"/>
    <col min="11034" max="11036" width="10.28515625" style="8" customWidth="1"/>
    <col min="11037" max="11037" width="2.85546875" style="8" customWidth="1"/>
    <col min="11038" max="11040" width="10.42578125" style="8" customWidth="1"/>
    <col min="11041" max="11042" width="12.140625" style="8" customWidth="1"/>
    <col min="11043" max="11043" width="11.85546875" style="8" bestFit="1" customWidth="1"/>
    <col min="11044" max="11045" width="10.5703125" style="8" bestFit="1" customWidth="1"/>
    <col min="11046" max="11046" width="11.85546875" style="8" bestFit="1" customWidth="1"/>
    <col min="11047" max="11047" width="10.5703125" style="8" bestFit="1" customWidth="1"/>
    <col min="11048" max="11049" width="10.5703125" style="8" customWidth="1"/>
    <col min="11050" max="11057" width="9.140625" style="8"/>
    <col min="11058" max="11058" width="10.85546875" style="8" customWidth="1"/>
    <col min="11059" max="11280" width="9.140625" style="8"/>
    <col min="11281" max="11281" width="15.5703125" style="8" customWidth="1"/>
    <col min="11282" max="11284" width="10.85546875" style="8" customWidth="1"/>
    <col min="11285" max="11285" width="2.28515625" style="8" customWidth="1"/>
    <col min="11286" max="11288" width="10.140625" style="8" customWidth="1"/>
    <col min="11289" max="11289" width="2.42578125" style="8" customWidth="1"/>
    <col min="11290" max="11292" width="10.28515625" style="8" customWidth="1"/>
    <col min="11293" max="11293" width="2.85546875" style="8" customWidth="1"/>
    <col min="11294" max="11296" width="10.42578125" style="8" customWidth="1"/>
    <col min="11297" max="11298" width="12.140625" style="8" customWidth="1"/>
    <col min="11299" max="11299" width="11.85546875" style="8" bestFit="1" customWidth="1"/>
    <col min="11300" max="11301" width="10.5703125" style="8" bestFit="1" customWidth="1"/>
    <col min="11302" max="11302" width="11.85546875" style="8" bestFit="1" customWidth="1"/>
    <col min="11303" max="11303" width="10.5703125" style="8" bestFit="1" customWidth="1"/>
    <col min="11304" max="11305" width="10.5703125" style="8" customWidth="1"/>
    <col min="11306" max="11313" width="9.140625" style="8"/>
    <col min="11314" max="11314" width="10.85546875" style="8" customWidth="1"/>
    <col min="11315" max="11536" width="9.140625" style="8"/>
    <col min="11537" max="11537" width="15.5703125" style="8" customWidth="1"/>
    <col min="11538" max="11540" width="10.85546875" style="8" customWidth="1"/>
    <col min="11541" max="11541" width="2.28515625" style="8" customWidth="1"/>
    <col min="11542" max="11544" width="10.140625" style="8" customWidth="1"/>
    <col min="11545" max="11545" width="2.42578125" style="8" customWidth="1"/>
    <col min="11546" max="11548" width="10.28515625" style="8" customWidth="1"/>
    <col min="11549" max="11549" width="2.85546875" style="8" customWidth="1"/>
    <col min="11550" max="11552" width="10.42578125" style="8" customWidth="1"/>
    <col min="11553" max="11554" width="12.140625" style="8" customWidth="1"/>
    <col min="11555" max="11555" width="11.85546875" style="8" bestFit="1" customWidth="1"/>
    <col min="11556" max="11557" width="10.5703125" style="8" bestFit="1" customWidth="1"/>
    <col min="11558" max="11558" width="11.85546875" style="8" bestFit="1" customWidth="1"/>
    <col min="11559" max="11559" width="10.5703125" style="8" bestFit="1" customWidth="1"/>
    <col min="11560" max="11561" width="10.5703125" style="8" customWidth="1"/>
    <col min="11562" max="11569" width="9.140625" style="8"/>
    <col min="11570" max="11570" width="10.85546875" style="8" customWidth="1"/>
    <col min="11571" max="11792" width="9.140625" style="8"/>
    <col min="11793" max="11793" width="15.5703125" style="8" customWidth="1"/>
    <col min="11794" max="11796" width="10.85546875" style="8" customWidth="1"/>
    <col min="11797" max="11797" width="2.28515625" style="8" customWidth="1"/>
    <col min="11798" max="11800" width="10.140625" style="8" customWidth="1"/>
    <col min="11801" max="11801" width="2.42578125" style="8" customWidth="1"/>
    <col min="11802" max="11804" width="10.28515625" style="8" customWidth="1"/>
    <col min="11805" max="11805" width="2.85546875" style="8" customWidth="1"/>
    <col min="11806" max="11808" width="10.42578125" style="8" customWidth="1"/>
    <col min="11809" max="11810" width="12.140625" style="8" customWidth="1"/>
    <col min="11811" max="11811" width="11.85546875" style="8" bestFit="1" customWidth="1"/>
    <col min="11812" max="11813" width="10.5703125" style="8" bestFit="1" customWidth="1"/>
    <col min="11814" max="11814" width="11.85546875" style="8" bestFit="1" customWidth="1"/>
    <col min="11815" max="11815" width="10.5703125" style="8" bestFit="1" customWidth="1"/>
    <col min="11816" max="11817" width="10.5703125" style="8" customWidth="1"/>
    <col min="11818" max="11825" width="9.140625" style="8"/>
    <col min="11826" max="11826" width="10.85546875" style="8" customWidth="1"/>
    <col min="11827" max="12048" width="9.140625" style="8"/>
    <col min="12049" max="12049" width="15.5703125" style="8" customWidth="1"/>
    <col min="12050" max="12052" width="10.85546875" style="8" customWidth="1"/>
    <col min="12053" max="12053" width="2.28515625" style="8" customWidth="1"/>
    <col min="12054" max="12056" width="10.140625" style="8" customWidth="1"/>
    <col min="12057" max="12057" width="2.42578125" style="8" customWidth="1"/>
    <col min="12058" max="12060" width="10.28515625" style="8" customWidth="1"/>
    <col min="12061" max="12061" width="2.85546875" style="8" customWidth="1"/>
    <col min="12062" max="12064" width="10.42578125" style="8" customWidth="1"/>
    <col min="12065" max="12066" width="12.140625" style="8" customWidth="1"/>
    <col min="12067" max="12067" width="11.85546875" style="8" bestFit="1" customWidth="1"/>
    <col min="12068" max="12069" width="10.5703125" style="8" bestFit="1" customWidth="1"/>
    <col min="12070" max="12070" width="11.85546875" style="8" bestFit="1" customWidth="1"/>
    <col min="12071" max="12071" width="10.5703125" style="8" bestFit="1" customWidth="1"/>
    <col min="12072" max="12073" width="10.5703125" style="8" customWidth="1"/>
    <col min="12074" max="12081" width="9.140625" style="8"/>
    <col min="12082" max="12082" width="10.85546875" style="8" customWidth="1"/>
    <col min="12083" max="12304" width="9.140625" style="8"/>
    <col min="12305" max="12305" width="15.5703125" style="8" customWidth="1"/>
    <col min="12306" max="12308" width="10.85546875" style="8" customWidth="1"/>
    <col min="12309" max="12309" width="2.28515625" style="8" customWidth="1"/>
    <col min="12310" max="12312" width="10.140625" style="8" customWidth="1"/>
    <col min="12313" max="12313" width="2.42578125" style="8" customWidth="1"/>
    <col min="12314" max="12316" width="10.28515625" style="8" customWidth="1"/>
    <col min="12317" max="12317" width="2.85546875" style="8" customWidth="1"/>
    <col min="12318" max="12320" width="10.42578125" style="8" customWidth="1"/>
    <col min="12321" max="12322" width="12.140625" style="8" customWidth="1"/>
    <col min="12323" max="12323" width="11.85546875" style="8" bestFit="1" customWidth="1"/>
    <col min="12324" max="12325" width="10.5703125" style="8" bestFit="1" customWidth="1"/>
    <col min="12326" max="12326" width="11.85546875" style="8" bestFit="1" customWidth="1"/>
    <col min="12327" max="12327" width="10.5703125" style="8" bestFit="1" customWidth="1"/>
    <col min="12328" max="12329" width="10.5703125" style="8" customWidth="1"/>
    <col min="12330" max="12337" width="9.140625" style="8"/>
    <col min="12338" max="12338" width="10.85546875" style="8" customWidth="1"/>
    <col min="12339" max="12560" width="9.140625" style="8"/>
    <col min="12561" max="12561" width="15.5703125" style="8" customWidth="1"/>
    <col min="12562" max="12564" width="10.85546875" style="8" customWidth="1"/>
    <col min="12565" max="12565" width="2.28515625" style="8" customWidth="1"/>
    <col min="12566" max="12568" width="10.140625" style="8" customWidth="1"/>
    <col min="12569" max="12569" width="2.42578125" style="8" customWidth="1"/>
    <col min="12570" max="12572" width="10.28515625" style="8" customWidth="1"/>
    <col min="12573" max="12573" width="2.85546875" style="8" customWidth="1"/>
    <col min="12574" max="12576" width="10.42578125" style="8" customWidth="1"/>
    <col min="12577" max="12578" width="12.140625" style="8" customWidth="1"/>
    <col min="12579" max="12579" width="11.85546875" style="8" bestFit="1" customWidth="1"/>
    <col min="12580" max="12581" width="10.5703125" style="8" bestFit="1" customWidth="1"/>
    <col min="12582" max="12582" width="11.85546875" style="8" bestFit="1" customWidth="1"/>
    <col min="12583" max="12583" width="10.5703125" style="8" bestFit="1" customWidth="1"/>
    <col min="12584" max="12585" width="10.5703125" style="8" customWidth="1"/>
    <col min="12586" max="12593" width="9.140625" style="8"/>
    <col min="12594" max="12594" width="10.85546875" style="8" customWidth="1"/>
    <col min="12595" max="12816" width="9.140625" style="8"/>
    <col min="12817" max="12817" width="15.5703125" style="8" customWidth="1"/>
    <col min="12818" max="12820" width="10.85546875" style="8" customWidth="1"/>
    <col min="12821" max="12821" width="2.28515625" style="8" customWidth="1"/>
    <col min="12822" max="12824" width="10.140625" style="8" customWidth="1"/>
    <col min="12825" max="12825" width="2.42578125" style="8" customWidth="1"/>
    <col min="12826" max="12828" width="10.28515625" style="8" customWidth="1"/>
    <col min="12829" max="12829" width="2.85546875" style="8" customWidth="1"/>
    <col min="12830" max="12832" width="10.42578125" style="8" customWidth="1"/>
    <col min="12833" max="12834" width="12.140625" style="8" customWidth="1"/>
    <col min="12835" max="12835" width="11.85546875" style="8" bestFit="1" customWidth="1"/>
    <col min="12836" max="12837" width="10.5703125" style="8" bestFit="1" customWidth="1"/>
    <col min="12838" max="12838" width="11.85546875" style="8" bestFit="1" customWidth="1"/>
    <col min="12839" max="12839" width="10.5703125" style="8" bestFit="1" customWidth="1"/>
    <col min="12840" max="12841" width="10.5703125" style="8" customWidth="1"/>
    <col min="12842" max="12849" width="9.140625" style="8"/>
    <col min="12850" max="12850" width="10.85546875" style="8" customWidth="1"/>
    <col min="12851" max="13072" width="9.140625" style="8"/>
    <col min="13073" max="13073" width="15.5703125" style="8" customWidth="1"/>
    <col min="13074" max="13076" width="10.85546875" style="8" customWidth="1"/>
    <col min="13077" max="13077" width="2.28515625" style="8" customWidth="1"/>
    <col min="13078" max="13080" width="10.140625" style="8" customWidth="1"/>
    <col min="13081" max="13081" width="2.42578125" style="8" customWidth="1"/>
    <col min="13082" max="13084" width="10.28515625" style="8" customWidth="1"/>
    <col min="13085" max="13085" width="2.85546875" style="8" customWidth="1"/>
    <col min="13086" max="13088" width="10.42578125" style="8" customWidth="1"/>
    <col min="13089" max="13090" width="12.140625" style="8" customWidth="1"/>
    <col min="13091" max="13091" width="11.85546875" style="8" bestFit="1" customWidth="1"/>
    <col min="13092" max="13093" width="10.5703125" style="8" bestFit="1" customWidth="1"/>
    <col min="13094" max="13094" width="11.85546875" style="8" bestFit="1" customWidth="1"/>
    <col min="13095" max="13095" width="10.5703125" style="8" bestFit="1" customWidth="1"/>
    <col min="13096" max="13097" width="10.5703125" style="8" customWidth="1"/>
    <col min="13098" max="13105" width="9.140625" style="8"/>
    <col min="13106" max="13106" width="10.85546875" style="8" customWidth="1"/>
    <col min="13107" max="13328" width="9.140625" style="8"/>
    <col min="13329" max="13329" width="15.5703125" style="8" customWidth="1"/>
    <col min="13330" max="13332" width="10.85546875" style="8" customWidth="1"/>
    <col min="13333" max="13333" width="2.28515625" style="8" customWidth="1"/>
    <col min="13334" max="13336" width="10.140625" style="8" customWidth="1"/>
    <col min="13337" max="13337" width="2.42578125" style="8" customWidth="1"/>
    <col min="13338" max="13340" width="10.28515625" style="8" customWidth="1"/>
    <col min="13341" max="13341" width="2.85546875" style="8" customWidth="1"/>
    <col min="13342" max="13344" width="10.42578125" style="8" customWidth="1"/>
    <col min="13345" max="13346" width="12.140625" style="8" customWidth="1"/>
    <col min="13347" max="13347" width="11.85546875" style="8" bestFit="1" customWidth="1"/>
    <col min="13348" max="13349" width="10.5703125" style="8" bestFit="1" customWidth="1"/>
    <col min="13350" max="13350" width="11.85546875" style="8" bestFit="1" customWidth="1"/>
    <col min="13351" max="13351" width="10.5703125" style="8" bestFit="1" customWidth="1"/>
    <col min="13352" max="13353" width="10.5703125" style="8" customWidth="1"/>
    <col min="13354" max="13361" width="9.140625" style="8"/>
    <col min="13362" max="13362" width="10.85546875" style="8" customWidth="1"/>
    <col min="13363" max="13584" width="9.140625" style="8"/>
    <col min="13585" max="13585" width="15.5703125" style="8" customWidth="1"/>
    <col min="13586" max="13588" width="10.85546875" style="8" customWidth="1"/>
    <col min="13589" max="13589" width="2.28515625" style="8" customWidth="1"/>
    <col min="13590" max="13592" width="10.140625" style="8" customWidth="1"/>
    <col min="13593" max="13593" width="2.42578125" style="8" customWidth="1"/>
    <col min="13594" max="13596" width="10.28515625" style="8" customWidth="1"/>
    <col min="13597" max="13597" width="2.85546875" style="8" customWidth="1"/>
    <col min="13598" max="13600" width="10.42578125" style="8" customWidth="1"/>
    <col min="13601" max="13602" width="12.140625" style="8" customWidth="1"/>
    <col min="13603" max="13603" width="11.85546875" style="8" bestFit="1" customWidth="1"/>
    <col min="13604" max="13605" width="10.5703125" style="8" bestFit="1" customWidth="1"/>
    <col min="13606" max="13606" width="11.85546875" style="8" bestFit="1" customWidth="1"/>
    <col min="13607" max="13607" width="10.5703125" style="8" bestFit="1" customWidth="1"/>
    <col min="13608" max="13609" width="10.5703125" style="8" customWidth="1"/>
    <col min="13610" max="13617" width="9.140625" style="8"/>
    <col min="13618" max="13618" width="10.85546875" style="8" customWidth="1"/>
    <col min="13619" max="13840" width="9.140625" style="8"/>
    <col min="13841" max="13841" width="15.5703125" style="8" customWidth="1"/>
    <col min="13842" max="13844" width="10.85546875" style="8" customWidth="1"/>
    <col min="13845" max="13845" width="2.28515625" style="8" customWidth="1"/>
    <col min="13846" max="13848" width="10.140625" style="8" customWidth="1"/>
    <col min="13849" max="13849" width="2.42578125" style="8" customWidth="1"/>
    <col min="13850" max="13852" width="10.28515625" style="8" customWidth="1"/>
    <col min="13853" max="13853" width="2.85546875" style="8" customWidth="1"/>
    <col min="13854" max="13856" width="10.42578125" style="8" customWidth="1"/>
    <col min="13857" max="13858" width="12.140625" style="8" customWidth="1"/>
    <col min="13859" max="13859" width="11.85546875" style="8" bestFit="1" customWidth="1"/>
    <col min="13860" max="13861" width="10.5703125" style="8" bestFit="1" customWidth="1"/>
    <col min="13862" max="13862" width="11.85546875" style="8" bestFit="1" customWidth="1"/>
    <col min="13863" max="13863" width="10.5703125" style="8" bestFit="1" customWidth="1"/>
    <col min="13864" max="13865" width="10.5703125" style="8" customWidth="1"/>
    <col min="13866" max="13873" width="9.140625" style="8"/>
    <col min="13874" max="13874" width="10.85546875" style="8" customWidth="1"/>
    <col min="13875" max="14096" width="9.140625" style="8"/>
    <col min="14097" max="14097" width="15.5703125" style="8" customWidth="1"/>
    <col min="14098" max="14100" width="10.85546875" style="8" customWidth="1"/>
    <col min="14101" max="14101" width="2.28515625" style="8" customWidth="1"/>
    <col min="14102" max="14104" width="10.140625" style="8" customWidth="1"/>
    <col min="14105" max="14105" width="2.42578125" style="8" customWidth="1"/>
    <col min="14106" max="14108" width="10.28515625" style="8" customWidth="1"/>
    <col min="14109" max="14109" width="2.85546875" style="8" customWidth="1"/>
    <col min="14110" max="14112" width="10.42578125" style="8" customWidth="1"/>
    <col min="14113" max="14114" width="12.140625" style="8" customWidth="1"/>
    <col min="14115" max="14115" width="11.85546875" style="8" bestFit="1" customWidth="1"/>
    <col min="14116" max="14117" width="10.5703125" style="8" bestFit="1" customWidth="1"/>
    <col min="14118" max="14118" width="11.85546875" style="8" bestFit="1" customWidth="1"/>
    <col min="14119" max="14119" width="10.5703125" style="8" bestFit="1" customWidth="1"/>
    <col min="14120" max="14121" width="10.5703125" style="8" customWidth="1"/>
    <col min="14122" max="14129" width="9.140625" style="8"/>
    <col min="14130" max="14130" width="10.85546875" style="8" customWidth="1"/>
    <col min="14131" max="14352" width="9.140625" style="8"/>
    <col min="14353" max="14353" width="15.5703125" style="8" customWidth="1"/>
    <col min="14354" max="14356" width="10.85546875" style="8" customWidth="1"/>
    <col min="14357" max="14357" width="2.28515625" style="8" customWidth="1"/>
    <col min="14358" max="14360" width="10.140625" style="8" customWidth="1"/>
    <col min="14361" max="14361" width="2.42578125" style="8" customWidth="1"/>
    <col min="14362" max="14364" width="10.28515625" style="8" customWidth="1"/>
    <col min="14365" max="14365" width="2.85546875" style="8" customWidth="1"/>
    <col min="14366" max="14368" width="10.42578125" style="8" customWidth="1"/>
    <col min="14369" max="14370" width="12.140625" style="8" customWidth="1"/>
    <col min="14371" max="14371" width="11.85546875" style="8" bestFit="1" customWidth="1"/>
    <col min="14372" max="14373" width="10.5703125" style="8" bestFit="1" customWidth="1"/>
    <col min="14374" max="14374" width="11.85546875" style="8" bestFit="1" customWidth="1"/>
    <col min="14375" max="14375" width="10.5703125" style="8" bestFit="1" customWidth="1"/>
    <col min="14376" max="14377" width="10.5703125" style="8" customWidth="1"/>
    <col min="14378" max="14385" width="9.140625" style="8"/>
    <col min="14386" max="14386" width="10.85546875" style="8" customWidth="1"/>
    <col min="14387" max="14608" width="9.140625" style="8"/>
    <col min="14609" max="14609" width="15.5703125" style="8" customWidth="1"/>
    <col min="14610" max="14612" width="10.85546875" style="8" customWidth="1"/>
    <col min="14613" max="14613" width="2.28515625" style="8" customWidth="1"/>
    <col min="14614" max="14616" width="10.140625" style="8" customWidth="1"/>
    <col min="14617" max="14617" width="2.42578125" style="8" customWidth="1"/>
    <col min="14618" max="14620" width="10.28515625" style="8" customWidth="1"/>
    <col min="14621" max="14621" width="2.85546875" style="8" customWidth="1"/>
    <col min="14622" max="14624" width="10.42578125" style="8" customWidth="1"/>
    <col min="14625" max="14626" width="12.140625" style="8" customWidth="1"/>
    <col min="14627" max="14627" width="11.85546875" style="8" bestFit="1" customWidth="1"/>
    <col min="14628" max="14629" width="10.5703125" style="8" bestFit="1" customWidth="1"/>
    <col min="14630" max="14630" width="11.85546875" style="8" bestFit="1" customWidth="1"/>
    <col min="14631" max="14631" width="10.5703125" style="8" bestFit="1" customWidth="1"/>
    <col min="14632" max="14633" width="10.5703125" style="8" customWidth="1"/>
    <col min="14634" max="14641" width="9.140625" style="8"/>
    <col min="14642" max="14642" width="10.85546875" style="8" customWidth="1"/>
    <col min="14643" max="14864" width="9.140625" style="8"/>
    <col min="14865" max="14865" width="15.5703125" style="8" customWidth="1"/>
    <col min="14866" max="14868" width="10.85546875" style="8" customWidth="1"/>
    <col min="14869" max="14869" width="2.28515625" style="8" customWidth="1"/>
    <col min="14870" max="14872" width="10.140625" style="8" customWidth="1"/>
    <col min="14873" max="14873" width="2.42578125" style="8" customWidth="1"/>
    <col min="14874" max="14876" width="10.28515625" style="8" customWidth="1"/>
    <col min="14877" max="14877" width="2.85546875" style="8" customWidth="1"/>
    <col min="14878" max="14880" width="10.42578125" style="8" customWidth="1"/>
    <col min="14881" max="14882" width="12.140625" style="8" customWidth="1"/>
    <col min="14883" max="14883" width="11.85546875" style="8" bestFit="1" customWidth="1"/>
    <col min="14884" max="14885" width="10.5703125" style="8" bestFit="1" customWidth="1"/>
    <col min="14886" max="14886" width="11.85546875" style="8" bestFit="1" customWidth="1"/>
    <col min="14887" max="14887" width="10.5703125" style="8" bestFit="1" customWidth="1"/>
    <col min="14888" max="14889" width="10.5703125" style="8" customWidth="1"/>
    <col min="14890" max="14897" width="9.140625" style="8"/>
    <col min="14898" max="14898" width="10.85546875" style="8" customWidth="1"/>
    <col min="14899" max="15120" width="9.140625" style="8"/>
    <col min="15121" max="15121" width="15.5703125" style="8" customWidth="1"/>
    <col min="15122" max="15124" width="10.85546875" style="8" customWidth="1"/>
    <col min="15125" max="15125" width="2.28515625" style="8" customWidth="1"/>
    <col min="15126" max="15128" width="10.140625" style="8" customWidth="1"/>
    <col min="15129" max="15129" width="2.42578125" style="8" customWidth="1"/>
    <col min="15130" max="15132" width="10.28515625" style="8" customWidth="1"/>
    <col min="15133" max="15133" width="2.85546875" style="8" customWidth="1"/>
    <col min="15134" max="15136" width="10.42578125" style="8" customWidth="1"/>
    <col min="15137" max="15138" width="12.140625" style="8" customWidth="1"/>
    <col min="15139" max="15139" width="11.85546875" style="8" bestFit="1" customWidth="1"/>
    <col min="15140" max="15141" width="10.5703125" style="8" bestFit="1" customWidth="1"/>
    <col min="15142" max="15142" width="11.85546875" style="8" bestFit="1" customWidth="1"/>
    <col min="15143" max="15143" width="10.5703125" style="8" bestFit="1" customWidth="1"/>
    <col min="15144" max="15145" width="10.5703125" style="8" customWidth="1"/>
    <col min="15146" max="15153" width="9.140625" style="8"/>
    <col min="15154" max="15154" width="10.85546875" style="8" customWidth="1"/>
    <col min="15155" max="15376" width="9.140625" style="8"/>
    <col min="15377" max="15377" width="15.5703125" style="8" customWidth="1"/>
    <col min="15378" max="15380" width="10.85546875" style="8" customWidth="1"/>
    <col min="15381" max="15381" width="2.28515625" style="8" customWidth="1"/>
    <col min="15382" max="15384" width="10.140625" style="8" customWidth="1"/>
    <col min="15385" max="15385" width="2.42578125" style="8" customWidth="1"/>
    <col min="15386" max="15388" width="10.28515625" style="8" customWidth="1"/>
    <col min="15389" max="15389" width="2.85546875" style="8" customWidth="1"/>
    <col min="15390" max="15392" width="10.42578125" style="8" customWidth="1"/>
    <col min="15393" max="15394" width="12.140625" style="8" customWidth="1"/>
    <col min="15395" max="15395" width="11.85546875" style="8" bestFit="1" customWidth="1"/>
    <col min="15396" max="15397" width="10.5703125" style="8" bestFit="1" customWidth="1"/>
    <col min="15398" max="15398" width="11.85546875" style="8" bestFit="1" customWidth="1"/>
    <col min="15399" max="15399" width="10.5703125" style="8" bestFit="1" customWidth="1"/>
    <col min="15400" max="15401" width="10.5703125" style="8" customWidth="1"/>
    <col min="15402" max="15409" width="9.140625" style="8"/>
    <col min="15410" max="15410" width="10.85546875" style="8" customWidth="1"/>
    <col min="15411" max="15632" width="9.140625" style="8"/>
    <col min="15633" max="15633" width="15.5703125" style="8" customWidth="1"/>
    <col min="15634" max="15636" width="10.85546875" style="8" customWidth="1"/>
    <col min="15637" max="15637" width="2.28515625" style="8" customWidth="1"/>
    <col min="15638" max="15640" width="10.140625" style="8" customWidth="1"/>
    <col min="15641" max="15641" width="2.42578125" style="8" customWidth="1"/>
    <col min="15642" max="15644" width="10.28515625" style="8" customWidth="1"/>
    <col min="15645" max="15645" width="2.85546875" style="8" customWidth="1"/>
    <col min="15646" max="15648" width="10.42578125" style="8" customWidth="1"/>
    <col min="15649" max="15650" width="12.140625" style="8" customWidth="1"/>
    <col min="15651" max="15651" width="11.85546875" style="8" bestFit="1" customWidth="1"/>
    <col min="15652" max="15653" width="10.5703125" style="8" bestFit="1" customWidth="1"/>
    <col min="15654" max="15654" width="11.85546875" style="8" bestFit="1" customWidth="1"/>
    <col min="15655" max="15655" width="10.5703125" style="8" bestFit="1" customWidth="1"/>
    <col min="15656" max="15657" width="10.5703125" style="8" customWidth="1"/>
    <col min="15658" max="15665" width="9.140625" style="8"/>
    <col min="15666" max="15666" width="10.85546875" style="8" customWidth="1"/>
    <col min="15667" max="15888" width="9.140625" style="8"/>
    <col min="15889" max="15889" width="15.5703125" style="8" customWidth="1"/>
    <col min="15890" max="15892" width="10.85546875" style="8" customWidth="1"/>
    <col min="15893" max="15893" width="2.28515625" style="8" customWidth="1"/>
    <col min="15894" max="15896" width="10.140625" style="8" customWidth="1"/>
    <col min="15897" max="15897" width="2.42578125" style="8" customWidth="1"/>
    <col min="15898" max="15900" width="10.28515625" style="8" customWidth="1"/>
    <col min="15901" max="15901" width="2.85546875" style="8" customWidth="1"/>
    <col min="15902" max="15904" width="10.42578125" style="8" customWidth="1"/>
    <col min="15905" max="15906" width="12.140625" style="8" customWidth="1"/>
    <col min="15907" max="15907" width="11.85546875" style="8" bestFit="1" customWidth="1"/>
    <col min="15908" max="15909" width="10.5703125" style="8" bestFit="1" customWidth="1"/>
    <col min="15910" max="15910" width="11.85546875" style="8" bestFit="1" customWidth="1"/>
    <col min="15911" max="15911" width="10.5703125" style="8" bestFit="1" customWidth="1"/>
    <col min="15912" max="15913" width="10.5703125" style="8" customWidth="1"/>
    <col min="15914" max="15921" width="9.140625" style="8"/>
    <col min="15922" max="15922" width="10.85546875" style="8" customWidth="1"/>
    <col min="15923" max="16144" width="9.140625" style="8"/>
    <col min="16145" max="16145" width="15.5703125" style="8" customWidth="1"/>
    <col min="16146" max="16148" width="10.85546875" style="8" customWidth="1"/>
    <col min="16149" max="16149" width="2.28515625" style="8" customWidth="1"/>
    <col min="16150" max="16152" width="10.140625" style="8" customWidth="1"/>
    <col min="16153" max="16153" width="2.42578125" style="8" customWidth="1"/>
    <col min="16154" max="16156" width="10.28515625" style="8" customWidth="1"/>
    <col min="16157" max="16157" width="2.85546875" style="8" customWidth="1"/>
    <col min="16158" max="16160" width="10.42578125" style="8" customWidth="1"/>
    <col min="16161" max="16162" width="12.140625" style="8" customWidth="1"/>
    <col min="16163" max="16163" width="11.85546875" style="8" bestFit="1" customWidth="1"/>
    <col min="16164" max="16165" width="10.5703125" style="8" bestFit="1" customWidth="1"/>
    <col min="16166" max="16166" width="11.85546875" style="8" bestFit="1" customWidth="1"/>
    <col min="16167" max="16167" width="10.5703125" style="8" bestFit="1" customWidth="1"/>
    <col min="16168" max="16169" width="10.5703125" style="8" customWidth="1"/>
    <col min="16170" max="16177" width="9.140625" style="8"/>
    <col min="16178" max="16178" width="10.85546875" style="8" customWidth="1"/>
    <col min="16179" max="16384" width="9.140625" style="8"/>
  </cols>
  <sheetData>
    <row r="1" spans="1:51" ht="17.25" customHeight="1" x14ac:dyDescent="0.2">
      <c r="A1" s="63" t="s">
        <v>50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</row>
    <row r="2" spans="1:51" ht="17.25" customHeight="1" x14ac:dyDescent="0.2">
      <c r="A2" s="64" t="s">
        <v>49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</row>
    <row r="3" spans="1:51" ht="5.25" customHeight="1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51" ht="17.25" customHeight="1" x14ac:dyDescent="0.2">
      <c r="A4" s="10"/>
      <c r="B4" s="11" t="s">
        <v>6</v>
      </c>
      <c r="C4" s="12"/>
      <c r="D4" s="57" t="s">
        <v>7</v>
      </c>
      <c r="E4" s="13"/>
      <c r="F4" s="11" t="s">
        <v>8</v>
      </c>
      <c r="G4" s="14"/>
      <c r="H4" s="57" t="s">
        <v>9</v>
      </c>
      <c r="I4" s="13"/>
      <c r="J4" s="11" t="s">
        <v>10</v>
      </c>
      <c r="K4" s="14"/>
      <c r="L4" s="57" t="s">
        <v>11</v>
      </c>
      <c r="N4" s="11" t="s">
        <v>12</v>
      </c>
      <c r="O4" s="14"/>
      <c r="P4" s="57" t="s">
        <v>13</v>
      </c>
      <c r="Q4" s="44"/>
      <c r="R4" s="59" t="s">
        <v>48</v>
      </c>
      <c r="S4" s="60"/>
      <c r="T4" s="61" t="s">
        <v>47</v>
      </c>
      <c r="AV4" s="8">
        <v>1995</v>
      </c>
    </row>
    <row r="5" spans="1:51" ht="17.25" customHeight="1" x14ac:dyDescent="0.4">
      <c r="A5" s="55" t="s">
        <v>14</v>
      </c>
      <c r="B5" s="54" t="s">
        <v>0</v>
      </c>
      <c r="C5" s="54" t="s">
        <v>1</v>
      </c>
      <c r="D5" s="54" t="s">
        <v>2</v>
      </c>
      <c r="E5" s="55"/>
      <c r="F5" s="54" t="s">
        <v>0</v>
      </c>
      <c r="G5" s="54" t="s">
        <v>1</v>
      </c>
      <c r="H5" s="54" t="s">
        <v>2</v>
      </c>
      <c r="I5" s="54"/>
      <c r="J5" s="54" t="s">
        <v>0</v>
      </c>
      <c r="K5" s="54" t="s">
        <v>1</v>
      </c>
      <c r="L5" s="54" t="s">
        <v>2</v>
      </c>
      <c r="M5" s="56"/>
      <c r="N5" s="54" t="s">
        <v>0</v>
      </c>
      <c r="O5" s="54" t="s">
        <v>1</v>
      </c>
      <c r="P5" s="54" t="s">
        <v>2</v>
      </c>
      <c r="Q5" s="56"/>
      <c r="R5" s="54" t="s">
        <v>0</v>
      </c>
      <c r="S5" s="54" t="s">
        <v>1</v>
      </c>
      <c r="T5" s="54" t="s">
        <v>2</v>
      </c>
    </row>
    <row r="6" spans="1:51" ht="16.5" customHeight="1" x14ac:dyDescent="0.25">
      <c r="A6" s="15" t="s">
        <v>15</v>
      </c>
      <c r="B6" s="16" t="s">
        <v>3</v>
      </c>
      <c r="C6" s="16" t="s">
        <v>4</v>
      </c>
      <c r="D6" s="16" t="s">
        <v>5</v>
      </c>
      <c r="E6" s="15"/>
      <c r="F6" s="16" t="s">
        <v>3</v>
      </c>
      <c r="G6" s="16" t="s">
        <v>4</v>
      </c>
      <c r="H6" s="16" t="s">
        <v>5</v>
      </c>
      <c r="I6" s="16"/>
      <c r="J6" s="16" t="s">
        <v>3</v>
      </c>
      <c r="K6" s="16" t="s">
        <v>4</v>
      </c>
      <c r="L6" s="16" t="s">
        <v>5</v>
      </c>
      <c r="M6" s="9"/>
      <c r="N6" s="16" t="s">
        <v>3</v>
      </c>
      <c r="O6" s="16" t="s">
        <v>4</v>
      </c>
      <c r="P6" s="16" t="s">
        <v>5</v>
      </c>
      <c r="Q6" s="9"/>
      <c r="R6" s="16" t="s">
        <v>3</v>
      </c>
      <c r="S6" s="16" t="s">
        <v>4</v>
      </c>
      <c r="T6" s="16" t="s">
        <v>5</v>
      </c>
      <c r="AY6" s="17"/>
    </row>
    <row r="7" spans="1:51" ht="15" customHeight="1" x14ac:dyDescent="0.2">
      <c r="A7" s="18" t="s">
        <v>16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20"/>
      <c r="N7" s="19"/>
      <c r="O7" s="19"/>
      <c r="P7" s="19"/>
      <c r="Q7" s="20"/>
      <c r="R7" s="19"/>
      <c r="S7" s="19"/>
      <c r="T7" s="19"/>
      <c r="AW7" s="21" t="s">
        <v>4</v>
      </c>
      <c r="AX7" s="21" t="s">
        <v>5</v>
      </c>
    </row>
    <row r="8" spans="1:51" ht="15" customHeight="1" x14ac:dyDescent="0.25">
      <c r="A8" s="22" t="s">
        <v>17</v>
      </c>
      <c r="B8" s="23">
        <f>SUM(B10:B32)</f>
        <v>244814</v>
      </c>
      <c r="C8" s="23">
        <f>SUM(C10:C32)</f>
        <v>124622</v>
      </c>
      <c r="D8" s="23">
        <f>SUM(D10:D32)</f>
        <v>120192</v>
      </c>
      <c r="E8" s="23"/>
      <c r="F8" s="23">
        <f>SUM(F10:F32)</f>
        <v>270101</v>
      </c>
      <c r="G8" s="23">
        <f>SUM(G10:G32)</f>
        <v>137200</v>
      </c>
      <c r="H8" s="23">
        <f>SUM(H10:H32)</f>
        <v>132901</v>
      </c>
      <c r="I8" s="23"/>
      <c r="J8" s="24">
        <v>298968</v>
      </c>
      <c r="K8" s="24">
        <v>151459</v>
      </c>
      <c r="L8" s="24">
        <v>147509</v>
      </c>
      <c r="M8" s="25"/>
      <c r="N8" s="24">
        <f>O8+P8</f>
        <v>344023</v>
      </c>
      <c r="O8" s="24">
        <f>SUM(O10:O32)</f>
        <v>174666</v>
      </c>
      <c r="P8" s="24">
        <f>SUM(P10:P32)</f>
        <v>169357</v>
      </c>
      <c r="Q8" s="25"/>
      <c r="R8" s="24">
        <f>S8+T8</f>
        <v>382751</v>
      </c>
      <c r="S8" s="24">
        <f>SUM(S10:S32)</f>
        <v>195053</v>
      </c>
      <c r="T8" s="24">
        <f>SUM(T10:T32)</f>
        <v>187698</v>
      </c>
      <c r="AV8" s="26" t="s">
        <v>18</v>
      </c>
      <c r="AW8" s="27">
        <f>-1*AY8</f>
        <v>-19113</v>
      </c>
      <c r="AX8" s="17">
        <f>D10+D11</f>
        <v>17859</v>
      </c>
      <c r="AY8" s="17">
        <f>C10+C11</f>
        <v>19113</v>
      </c>
    </row>
    <row r="9" spans="1:51" ht="10.5" customHeight="1" x14ac:dyDescent="0.2">
      <c r="A9" s="28" t="s">
        <v>19</v>
      </c>
      <c r="B9" s="29"/>
      <c r="C9" s="29"/>
      <c r="D9" s="29"/>
      <c r="E9" s="29"/>
      <c r="F9" s="29"/>
      <c r="G9" s="29"/>
      <c r="H9" s="29"/>
      <c r="I9" s="29"/>
      <c r="J9" s="30"/>
      <c r="K9" s="30"/>
      <c r="L9" s="30"/>
      <c r="M9" s="25"/>
      <c r="N9" s="30"/>
      <c r="O9" s="30"/>
      <c r="P9" s="30"/>
      <c r="Q9" s="25"/>
      <c r="R9" s="30"/>
      <c r="S9" s="30"/>
      <c r="T9" s="30"/>
      <c r="AV9" s="26" t="s">
        <v>20</v>
      </c>
      <c r="AW9" s="27">
        <f t="shared" ref="AW9:AW23" si="0">-1*AY9</f>
        <v>-20840</v>
      </c>
      <c r="AX9" s="17">
        <f>D12+D13</f>
        <v>19919</v>
      </c>
      <c r="AY9" s="17">
        <f>C12+C13</f>
        <v>20840</v>
      </c>
    </row>
    <row r="10" spans="1:51" s="35" customFormat="1" ht="11.25" customHeight="1" x14ac:dyDescent="0.2">
      <c r="A10" s="31" t="s">
        <v>21</v>
      </c>
      <c r="B10" s="32">
        <v>7044</v>
      </c>
      <c r="C10" s="32">
        <v>3593</v>
      </c>
      <c r="D10" s="32">
        <v>3451</v>
      </c>
      <c r="E10" s="32"/>
      <c r="F10" s="32">
        <v>5515</v>
      </c>
      <c r="G10" s="32">
        <v>2780</v>
      </c>
      <c r="H10" s="32">
        <v>2735</v>
      </c>
      <c r="I10" s="32"/>
      <c r="J10" s="33">
        <v>5462</v>
      </c>
      <c r="K10" s="33">
        <v>2777</v>
      </c>
      <c r="L10" s="33">
        <v>2685</v>
      </c>
      <c r="M10" s="34"/>
      <c r="N10" s="33">
        <f>O10+P10</f>
        <v>7017</v>
      </c>
      <c r="O10" s="33">
        <v>3634</v>
      </c>
      <c r="P10" s="33">
        <v>3383</v>
      </c>
      <c r="Q10" s="34"/>
      <c r="R10" s="33">
        <v>4960</v>
      </c>
      <c r="S10" s="33">
        <v>2514</v>
      </c>
      <c r="T10" s="33">
        <v>2446</v>
      </c>
      <c r="U10" s="8"/>
      <c r="AV10" s="26" t="s">
        <v>22</v>
      </c>
      <c r="AW10" s="27">
        <f t="shared" si="0"/>
        <v>-18286</v>
      </c>
      <c r="AX10" s="32">
        <v>17584</v>
      </c>
      <c r="AY10" s="32">
        <v>18286</v>
      </c>
    </row>
    <row r="11" spans="1:51" ht="18" customHeight="1" x14ac:dyDescent="0.2">
      <c r="A11" s="26" t="s">
        <v>23</v>
      </c>
      <c r="B11" s="32">
        <v>29928</v>
      </c>
      <c r="C11" s="32">
        <v>15520</v>
      </c>
      <c r="D11" s="32">
        <v>14408</v>
      </c>
      <c r="E11" s="32"/>
      <c r="F11" s="32">
        <v>25397</v>
      </c>
      <c r="G11" s="32">
        <v>12919</v>
      </c>
      <c r="H11" s="32">
        <v>12478</v>
      </c>
      <c r="I11" s="32"/>
      <c r="J11" s="33">
        <v>20709</v>
      </c>
      <c r="K11" s="33">
        <v>10585</v>
      </c>
      <c r="L11" s="33">
        <v>10124</v>
      </c>
      <c r="M11" s="34"/>
      <c r="N11" s="33">
        <f t="shared" ref="N11:N32" si="1">O11+P11</f>
        <v>29069</v>
      </c>
      <c r="O11" s="33">
        <v>15229</v>
      </c>
      <c r="P11" s="33">
        <v>13840</v>
      </c>
      <c r="Q11" s="34"/>
      <c r="R11" s="33">
        <v>24091</v>
      </c>
      <c r="S11" s="33">
        <v>12157</v>
      </c>
      <c r="T11" s="33">
        <v>11934</v>
      </c>
      <c r="AV11" s="26" t="s">
        <v>24</v>
      </c>
      <c r="AW11" s="27">
        <f t="shared" si="0"/>
        <v>-12343</v>
      </c>
      <c r="AX11" s="32">
        <v>12562</v>
      </c>
      <c r="AY11" s="32">
        <v>12343</v>
      </c>
    </row>
    <row r="12" spans="1:51" ht="18" customHeight="1" x14ac:dyDescent="0.25">
      <c r="A12" s="26" t="s">
        <v>25</v>
      </c>
      <c r="B12" s="32">
        <v>8625</v>
      </c>
      <c r="C12" s="32">
        <v>4375</v>
      </c>
      <c r="D12" s="32">
        <v>4250</v>
      </c>
      <c r="E12" s="32"/>
      <c r="F12" s="32">
        <v>7114</v>
      </c>
      <c r="G12" s="32">
        <v>3572</v>
      </c>
      <c r="H12" s="32">
        <v>3542</v>
      </c>
      <c r="I12" s="32"/>
      <c r="J12" s="33">
        <v>5514</v>
      </c>
      <c r="K12" s="33">
        <v>2849</v>
      </c>
      <c r="L12" s="33">
        <v>2665</v>
      </c>
      <c r="M12" s="34"/>
      <c r="N12" s="33">
        <f t="shared" si="1"/>
        <v>7302</v>
      </c>
      <c r="O12" s="33">
        <v>3680</v>
      </c>
      <c r="P12" s="33">
        <v>3622</v>
      </c>
      <c r="Q12" s="34"/>
      <c r="R12" s="33">
        <v>6544</v>
      </c>
      <c r="S12" s="33">
        <v>3232</v>
      </c>
      <c r="T12" s="33">
        <v>3312</v>
      </c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V12" s="26" t="s">
        <v>26</v>
      </c>
      <c r="AW12" s="27">
        <f t="shared" si="0"/>
        <v>-9944</v>
      </c>
      <c r="AX12" s="32">
        <v>11077</v>
      </c>
      <c r="AY12" s="32">
        <v>9944</v>
      </c>
    </row>
    <row r="13" spans="1:51" ht="18" customHeight="1" x14ac:dyDescent="0.25">
      <c r="A13" s="26" t="s">
        <v>27</v>
      </c>
      <c r="B13" s="32">
        <v>32134</v>
      </c>
      <c r="C13" s="32">
        <v>16465</v>
      </c>
      <c r="D13" s="32">
        <v>15669</v>
      </c>
      <c r="E13" s="32"/>
      <c r="F13" s="32">
        <v>30813</v>
      </c>
      <c r="G13" s="32">
        <v>15764</v>
      </c>
      <c r="H13" s="32">
        <v>15049</v>
      </c>
      <c r="I13" s="32"/>
      <c r="J13" s="33">
        <v>24353</v>
      </c>
      <c r="K13" s="33">
        <v>12503</v>
      </c>
      <c r="L13" s="33">
        <v>11850</v>
      </c>
      <c r="M13" s="34"/>
      <c r="N13" s="33">
        <f t="shared" si="1"/>
        <v>24678</v>
      </c>
      <c r="O13" s="33">
        <v>12684</v>
      </c>
      <c r="P13" s="33">
        <v>11994</v>
      </c>
      <c r="Q13" s="34"/>
      <c r="R13" s="33">
        <v>27619</v>
      </c>
      <c r="S13" s="33">
        <v>14076</v>
      </c>
      <c r="T13" s="33">
        <v>13543</v>
      </c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V13" s="26" t="s">
        <v>28</v>
      </c>
      <c r="AW13" s="27">
        <f t="shared" si="0"/>
        <v>-8802</v>
      </c>
      <c r="AX13" s="32">
        <v>9389</v>
      </c>
      <c r="AY13" s="32">
        <v>8802</v>
      </c>
    </row>
    <row r="14" spans="1:51" ht="18" customHeight="1" x14ac:dyDescent="0.2">
      <c r="A14" s="26" t="s">
        <v>22</v>
      </c>
      <c r="B14" s="32">
        <v>35870</v>
      </c>
      <c r="C14" s="32">
        <v>18286</v>
      </c>
      <c r="D14" s="32">
        <v>17584</v>
      </c>
      <c r="E14" s="32"/>
      <c r="F14" s="32">
        <v>41089</v>
      </c>
      <c r="G14" s="32">
        <v>20897</v>
      </c>
      <c r="H14" s="32">
        <v>20192</v>
      </c>
      <c r="I14" s="32"/>
      <c r="J14" s="33">
        <v>36999</v>
      </c>
      <c r="K14" s="33">
        <v>19111</v>
      </c>
      <c r="L14" s="33">
        <v>17888</v>
      </c>
      <c r="M14" s="34"/>
      <c r="N14" s="33">
        <f t="shared" si="1"/>
        <v>26358</v>
      </c>
      <c r="O14" s="33">
        <v>13571</v>
      </c>
      <c r="P14" s="33">
        <v>12787</v>
      </c>
      <c r="Q14" s="34"/>
      <c r="R14" s="33">
        <v>36555</v>
      </c>
      <c r="S14" s="33">
        <v>18856</v>
      </c>
      <c r="T14" s="33">
        <v>17699</v>
      </c>
      <c r="AV14" s="26" t="s">
        <v>29</v>
      </c>
      <c r="AW14" s="27">
        <f t="shared" si="0"/>
        <v>-7579</v>
      </c>
      <c r="AX14" s="32">
        <v>7785</v>
      </c>
      <c r="AY14" s="32">
        <v>7579</v>
      </c>
    </row>
    <row r="15" spans="1:51" ht="18" customHeight="1" x14ac:dyDescent="0.2">
      <c r="A15" s="26" t="s">
        <v>24</v>
      </c>
      <c r="B15" s="32">
        <v>24905</v>
      </c>
      <c r="C15" s="32">
        <v>12343</v>
      </c>
      <c r="D15" s="32">
        <v>12562</v>
      </c>
      <c r="E15" s="32"/>
      <c r="F15" s="32">
        <v>33266</v>
      </c>
      <c r="G15" s="32">
        <v>16590</v>
      </c>
      <c r="H15" s="32">
        <v>16676</v>
      </c>
      <c r="I15" s="32"/>
      <c r="J15" s="33">
        <v>39904</v>
      </c>
      <c r="K15" s="33">
        <v>20155</v>
      </c>
      <c r="L15" s="33">
        <v>19749</v>
      </c>
      <c r="M15" s="34"/>
      <c r="N15" s="33">
        <f t="shared" si="1"/>
        <v>31383</v>
      </c>
      <c r="O15" s="33">
        <v>15922</v>
      </c>
      <c r="P15" s="33">
        <v>15461</v>
      </c>
      <c r="Q15" s="34"/>
      <c r="R15" s="33">
        <v>27472</v>
      </c>
      <c r="S15" s="33">
        <v>14096</v>
      </c>
      <c r="T15" s="33">
        <v>13376</v>
      </c>
      <c r="AV15" s="26" t="s">
        <v>30</v>
      </c>
      <c r="AW15" s="27">
        <f t="shared" si="0"/>
        <v>-6315</v>
      </c>
      <c r="AX15" s="32">
        <v>6317</v>
      </c>
      <c r="AY15" s="32">
        <v>6315</v>
      </c>
    </row>
    <row r="16" spans="1:51" ht="18" customHeight="1" x14ac:dyDescent="0.2">
      <c r="A16" s="26" t="s">
        <v>26</v>
      </c>
      <c r="B16" s="32">
        <v>21021</v>
      </c>
      <c r="C16" s="32">
        <v>9944</v>
      </c>
      <c r="D16" s="32">
        <v>11077</v>
      </c>
      <c r="E16" s="32"/>
      <c r="F16" s="32">
        <v>23514</v>
      </c>
      <c r="G16" s="32">
        <v>11620</v>
      </c>
      <c r="H16" s="32">
        <v>11894</v>
      </c>
      <c r="I16" s="32"/>
      <c r="J16" s="33">
        <v>34809</v>
      </c>
      <c r="K16" s="33">
        <v>16933</v>
      </c>
      <c r="L16" s="33">
        <v>17876</v>
      </c>
      <c r="M16" s="34"/>
      <c r="N16" s="33">
        <f t="shared" si="1"/>
        <v>37886</v>
      </c>
      <c r="O16" s="33">
        <v>19349</v>
      </c>
      <c r="P16" s="33">
        <v>18537</v>
      </c>
      <c r="Q16" s="34"/>
      <c r="R16" s="33">
        <v>25921</v>
      </c>
      <c r="S16" s="33">
        <v>13514</v>
      </c>
      <c r="T16" s="33">
        <v>12407</v>
      </c>
      <c r="AV16" s="26" t="s">
        <v>31</v>
      </c>
      <c r="AW16" s="27">
        <f t="shared" si="0"/>
        <v>-3625</v>
      </c>
      <c r="AX16" s="32">
        <v>3297</v>
      </c>
      <c r="AY16" s="32">
        <v>3625</v>
      </c>
    </row>
    <row r="17" spans="1:51" ht="18" customHeight="1" x14ac:dyDescent="0.2">
      <c r="A17" s="26" t="s">
        <v>28</v>
      </c>
      <c r="B17" s="32">
        <v>18191</v>
      </c>
      <c r="C17" s="32">
        <v>8802</v>
      </c>
      <c r="D17" s="32">
        <v>9389</v>
      </c>
      <c r="E17" s="32"/>
      <c r="F17" s="32">
        <v>20090</v>
      </c>
      <c r="G17" s="32">
        <v>9805</v>
      </c>
      <c r="H17" s="32">
        <v>10285</v>
      </c>
      <c r="I17" s="32"/>
      <c r="J17" s="33">
        <v>24581</v>
      </c>
      <c r="K17" s="33">
        <v>11915</v>
      </c>
      <c r="L17" s="33">
        <v>12666</v>
      </c>
      <c r="M17" s="34"/>
      <c r="N17" s="33">
        <f t="shared" si="1"/>
        <v>39189</v>
      </c>
      <c r="O17" s="33">
        <v>19451</v>
      </c>
      <c r="P17" s="33">
        <v>19738</v>
      </c>
      <c r="Q17" s="34"/>
      <c r="R17" s="33">
        <v>35048</v>
      </c>
      <c r="S17" s="33">
        <v>18398</v>
      </c>
      <c r="T17" s="33">
        <v>16650</v>
      </c>
      <c r="AV17" s="26" t="s">
        <v>32</v>
      </c>
      <c r="AW17" s="27">
        <f t="shared" si="0"/>
        <v>-3369</v>
      </c>
      <c r="AX17" s="32">
        <v>3215</v>
      </c>
      <c r="AY17" s="32">
        <v>3369</v>
      </c>
    </row>
    <row r="18" spans="1:51" ht="18" customHeight="1" x14ac:dyDescent="0.2">
      <c r="A18" s="26" t="s">
        <v>29</v>
      </c>
      <c r="B18" s="32">
        <v>15364</v>
      </c>
      <c r="C18" s="32">
        <v>7579</v>
      </c>
      <c r="D18" s="32">
        <v>7785</v>
      </c>
      <c r="E18" s="32"/>
      <c r="F18" s="32">
        <v>18161</v>
      </c>
      <c r="G18" s="32">
        <v>8890</v>
      </c>
      <c r="H18" s="32">
        <v>9271</v>
      </c>
      <c r="I18" s="32"/>
      <c r="J18" s="33">
        <v>20635</v>
      </c>
      <c r="K18" s="33">
        <v>10022</v>
      </c>
      <c r="L18" s="33">
        <v>10613</v>
      </c>
      <c r="M18" s="34"/>
      <c r="N18" s="33">
        <f t="shared" si="1"/>
        <v>31362</v>
      </c>
      <c r="O18" s="33">
        <v>15494</v>
      </c>
      <c r="P18" s="33">
        <v>15868</v>
      </c>
      <c r="Q18" s="34"/>
      <c r="R18" s="33">
        <v>39834</v>
      </c>
      <c r="S18" s="33">
        <v>20671</v>
      </c>
      <c r="T18" s="33">
        <v>19163</v>
      </c>
      <c r="AV18" s="26" t="s">
        <v>33</v>
      </c>
      <c r="AW18" s="27">
        <f t="shared" si="0"/>
        <v>-3205</v>
      </c>
      <c r="AX18" s="32">
        <v>3042</v>
      </c>
      <c r="AY18" s="32">
        <v>3205</v>
      </c>
    </row>
    <row r="19" spans="1:51" ht="18" customHeight="1" x14ac:dyDescent="0.2">
      <c r="A19" s="26" t="s">
        <v>30</v>
      </c>
      <c r="B19" s="32">
        <v>12632</v>
      </c>
      <c r="C19" s="32">
        <v>6315</v>
      </c>
      <c r="D19" s="32">
        <v>6317</v>
      </c>
      <c r="E19" s="32"/>
      <c r="F19" s="32">
        <v>15699</v>
      </c>
      <c r="G19" s="32">
        <v>7828</v>
      </c>
      <c r="H19" s="32">
        <v>7871</v>
      </c>
      <c r="I19" s="32"/>
      <c r="J19" s="33">
        <v>18174</v>
      </c>
      <c r="K19" s="33">
        <v>8780</v>
      </c>
      <c r="L19" s="33">
        <v>9394</v>
      </c>
      <c r="M19" s="34"/>
      <c r="N19" s="33">
        <f t="shared" si="1"/>
        <v>22904</v>
      </c>
      <c r="O19" s="33">
        <v>11386</v>
      </c>
      <c r="P19" s="33">
        <v>11518</v>
      </c>
      <c r="Q19" s="34"/>
      <c r="R19" s="33">
        <v>38029</v>
      </c>
      <c r="S19" s="33">
        <v>19156</v>
      </c>
      <c r="T19" s="33">
        <v>18873</v>
      </c>
      <c r="AV19" s="26" t="s">
        <v>34</v>
      </c>
      <c r="AW19" s="27">
        <f t="shared" si="0"/>
        <v>-3240</v>
      </c>
      <c r="AX19" s="32">
        <v>2722</v>
      </c>
      <c r="AY19" s="32">
        <v>3240</v>
      </c>
    </row>
    <row r="20" spans="1:51" ht="18" customHeight="1" x14ac:dyDescent="0.2">
      <c r="A20" s="26" t="s">
        <v>31</v>
      </c>
      <c r="B20" s="32">
        <v>6922</v>
      </c>
      <c r="C20" s="32">
        <v>3625</v>
      </c>
      <c r="D20" s="32">
        <v>3297</v>
      </c>
      <c r="E20" s="32"/>
      <c r="F20" s="32">
        <v>12402</v>
      </c>
      <c r="G20" s="32">
        <v>6272</v>
      </c>
      <c r="H20" s="32">
        <v>6130</v>
      </c>
      <c r="I20" s="32"/>
      <c r="J20" s="33">
        <v>15871</v>
      </c>
      <c r="K20" s="33">
        <v>7828</v>
      </c>
      <c r="L20" s="33">
        <v>8043</v>
      </c>
      <c r="M20" s="34"/>
      <c r="N20" s="33">
        <f t="shared" si="1"/>
        <v>19875</v>
      </c>
      <c r="O20" s="33">
        <v>9811</v>
      </c>
      <c r="P20" s="33">
        <v>10064</v>
      </c>
      <c r="Q20" s="34"/>
      <c r="R20" s="33">
        <v>27363</v>
      </c>
      <c r="S20" s="33">
        <v>13730</v>
      </c>
      <c r="T20" s="33">
        <v>13633</v>
      </c>
      <c r="AV20" s="26" t="s">
        <v>35</v>
      </c>
      <c r="AW20" s="27">
        <f t="shared" si="0"/>
        <v>-3010</v>
      </c>
      <c r="AX20" s="32">
        <v>2284</v>
      </c>
      <c r="AY20" s="32">
        <v>3010</v>
      </c>
    </row>
    <row r="21" spans="1:51" ht="18" customHeight="1" x14ac:dyDescent="0.2">
      <c r="A21" s="26" t="s">
        <v>32</v>
      </c>
      <c r="B21" s="32">
        <v>6584</v>
      </c>
      <c r="C21" s="32">
        <v>3369</v>
      </c>
      <c r="D21" s="32">
        <v>3215</v>
      </c>
      <c r="E21" s="32"/>
      <c r="F21" s="32">
        <v>7461</v>
      </c>
      <c r="G21" s="32">
        <v>3977</v>
      </c>
      <c r="H21" s="32">
        <v>3484</v>
      </c>
      <c r="I21" s="32"/>
      <c r="J21" s="33">
        <v>13569</v>
      </c>
      <c r="K21" s="33">
        <v>6872</v>
      </c>
      <c r="L21" s="33">
        <v>6697</v>
      </c>
      <c r="M21" s="34"/>
      <c r="N21" s="33">
        <f t="shared" si="1"/>
        <v>17579</v>
      </c>
      <c r="O21" s="33">
        <v>8784</v>
      </c>
      <c r="P21" s="33">
        <v>8795</v>
      </c>
      <c r="Q21" s="34"/>
      <c r="R21" s="33">
        <v>21491</v>
      </c>
      <c r="S21" s="33">
        <v>10651</v>
      </c>
      <c r="T21" s="33">
        <v>10840</v>
      </c>
      <c r="AV21" s="26" t="s">
        <v>36</v>
      </c>
      <c r="AW21" s="27">
        <f t="shared" si="0"/>
        <v>-1897</v>
      </c>
      <c r="AX21" s="32">
        <v>1304</v>
      </c>
      <c r="AY21" s="32">
        <v>1897</v>
      </c>
    </row>
    <row r="22" spans="1:51" ht="18" customHeight="1" x14ac:dyDescent="0.2">
      <c r="A22" s="26" t="s">
        <v>33</v>
      </c>
      <c r="B22" s="32">
        <v>6247</v>
      </c>
      <c r="C22" s="32">
        <v>3205</v>
      </c>
      <c r="D22" s="32">
        <v>3042</v>
      </c>
      <c r="E22" s="32"/>
      <c r="F22" s="32">
        <v>5967</v>
      </c>
      <c r="G22" s="32">
        <v>3051</v>
      </c>
      <c r="H22" s="32">
        <v>2916</v>
      </c>
      <c r="I22" s="32"/>
      <c r="J22" s="33">
        <v>7936</v>
      </c>
      <c r="K22" s="33">
        <v>4147</v>
      </c>
      <c r="L22" s="33">
        <v>3789</v>
      </c>
      <c r="M22" s="34"/>
      <c r="N22" s="33">
        <f t="shared" si="1"/>
        <v>15050</v>
      </c>
      <c r="O22" s="33">
        <v>7645</v>
      </c>
      <c r="P22" s="33">
        <v>7405</v>
      </c>
      <c r="Q22" s="34"/>
      <c r="R22" s="33">
        <v>18933</v>
      </c>
      <c r="S22" s="33">
        <v>9376</v>
      </c>
      <c r="T22" s="33">
        <v>9557</v>
      </c>
      <c r="AV22" s="26" t="s">
        <v>37</v>
      </c>
      <c r="AW22" s="27">
        <f t="shared" si="0"/>
        <v>-1279</v>
      </c>
      <c r="AX22" s="32">
        <v>822</v>
      </c>
      <c r="AY22" s="32">
        <v>1279</v>
      </c>
    </row>
    <row r="23" spans="1:51" ht="18" customHeight="1" x14ac:dyDescent="0.2">
      <c r="A23" s="26" t="s">
        <v>34</v>
      </c>
      <c r="B23" s="32">
        <v>5962</v>
      </c>
      <c r="C23" s="32">
        <v>3240</v>
      </c>
      <c r="D23" s="32">
        <v>2722</v>
      </c>
      <c r="E23" s="32"/>
      <c r="F23" s="32">
        <v>5996</v>
      </c>
      <c r="G23" s="32">
        <v>3131</v>
      </c>
      <c r="H23" s="32">
        <v>2865</v>
      </c>
      <c r="I23" s="32"/>
      <c r="J23" s="33">
        <v>5859</v>
      </c>
      <c r="K23" s="33">
        <v>3046</v>
      </c>
      <c r="L23" s="33">
        <v>2813</v>
      </c>
      <c r="M23" s="34"/>
      <c r="N23" s="33">
        <f t="shared" si="1"/>
        <v>11703</v>
      </c>
      <c r="O23" s="33">
        <v>6031</v>
      </c>
      <c r="P23" s="33">
        <v>5672</v>
      </c>
      <c r="Q23" s="34"/>
      <c r="R23" s="33">
        <v>15330</v>
      </c>
      <c r="S23" s="33">
        <v>7600</v>
      </c>
      <c r="T23" s="33">
        <v>7730</v>
      </c>
      <c r="AV23" s="26" t="s">
        <v>38</v>
      </c>
      <c r="AW23" s="27">
        <f t="shared" si="0"/>
        <v>-1384</v>
      </c>
      <c r="AX23" s="17">
        <f>D27+D28+D29+D30+D31</f>
        <v>862</v>
      </c>
      <c r="AY23" s="17">
        <f>C27+C28+C29+C30+C31</f>
        <v>1384</v>
      </c>
    </row>
    <row r="24" spans="1:51" ht="18" customHeight="1" x14ac:dyDescent="0.2">
      <c r="A24" s="26" t="s">
        <v>35</v>
      </c>
      <c r="B24" s="32">
        <v>5294</v>
      </c>
      <c r="C24" s="32">
        <v>3010</v>
      </c>
      <c r="D24" s="32">
        <v>2284</v>
      </c>
      <c r="E24" s="32"/>
      <c r="F24" s="32">
        <v>6312</v>
      </c>
      <c r="G24" s="32">
        <v>3370</v>
      </c>
      <c r="H24" s="32">
        <v>2942</v>
      </c>
      <c r="I24" s="32"/>
      <c r="J24" s="33">
        <v>5566</v>
      </c>
      <c r="K24" s="33">
        <v>2852</v>
      </c>
      <c r="L24" s="33">
        <v>2714</v>
      </c>
      <c r="M24" s="34"/>
      <c r="N24" s="33">
        <f t="shared" si="1"/>
        <v>6249</v>
      </c>
      <c r="O24" s="33">
        <v>3327</v>
      </c>
      <c r="P24" s="33">
        <v>2922</v>
      </c>
      <c r="Q24" s="34"/>
      <c r="R24" s="33">
        <v>13249</v>
      </c>
      <c r="S24" s="33">
        <v>6718</v>
      </c>
      <c r="T24" s="33">
        <v>6531</v>
      </c>
      <c r="AV24" s="26"/>
      <c r="AW24" s="26"/>
      <c r="AX24" s="26"/>
    </row>
    <row r="25" spans="1:51" ht="18" customHeight="1" x14ac:dyDescent="0.2">
      <c r="A25" s="26" t="s">
        <v>36</v>
      </c>
      <c r="B25" s="32">
        <v>3201</v>
      </c>
      <c r="C25" s="32">
        <v>1897</v>
      </c>
      <c r="D25" s="32">
        <v>1304</v>
      </c>
      <c r="E25" s="32"/>
      <c r="F25" s="32">
        <v>4611</v>
      </c>
      <c r="G25" s="32">
        <v>2650</v>
      </c>
      <c r="H25" s="32">
        <v>1961</v>
      </c>
      <c r="I25" s="32"/>
      <c r="J25" s="33">
        <v>5678</v>
      </c>
      <c r="K25" s="33">
        <v>3014</v>
      </c>
      <c r="L25" s="33">
        <v>2664</v>
      </c>
      <c r="M25" s="34"/>
      <c r="N25" s="33">
        <f t="shared" si="1"/>
        <v>4871</v>
      </c>
      <c r="O25" s="33">
        <v>2445</v>
      </c>
      <c r="P25" s="33">
        <v>2426</v>
      </c>
      <c r="Q25" s="34"/>
      <c r="R25" s="33">
        <v>8127</v>
      </c>
      <c r="S25" s="33">
        <v>4168</v>
      </c>
      <c r="T25" s="33">
        <v>3959</v>
      </c>
    </row>
    <row r="26" spans="1:51" ht="18" customHeight="1" x14ac:dyDescent="0.2">
      <c r="A26" s="26" t="s">
        <v>37</v>
      </c>
      <c r="B26" s="32">
        <v>2101</v>
      </c>
      <c r="C26" s="32">
        <v>1279</v>
      </c>
      <c r="D26" s="32">
        <v>822</v>
      </c>
      <c r="E26" s="32"/>
      <c r="F26" s="32">
        <v>2873</v>
      </c>
      <c r="G26" s="32">
        <v>1737</v>
      </c>
      <c r="H26" s="32">
        <v>1136</v>
      </c>
      <c r="I26" s="32"/>
      <c r="J26" s="33">
        <v>4186</v>
      </c>
      <c r="K26" s="33">
        <v>2333</v>
      </c>
      <c r="L26" s="33">
        <v>1853</v>
      </c>
      <c r="M26" s="34"/>
      <c r="N26" s="33">
        <f t="shared" si="1"/>
        <v>4843</v>
      </c>
      <c r="O26" s="33">
        <v>2471</v>
      </c>
      <c r="P26" s="33">
        <v>2372</v>
      </c>
      <c r="Q26" s="34"/>
      <c r="R26" s="33">
        <v>4721</v>
      </c>
      <c r="S26" s="33">
        <v>2356</v>
      </c>
      <c r="T26" s="33">
        <v>2365</v>
      </c>
    </row>
    <row r="27" spans="1:51" ht="18" customHeight="1" x14ac:dyDescent="0.2">
      <c r="A27" s="26" t="s">
        <v>39</v>
      </c>
      <c r="B27" s="32">
        <v>968</v>
      </c>
      <c r="C27" s="32">
        <v>617</v>
      </c>
      <c r="D27" s="32">
        <v>351</v>
      </c>
      <c r="E27" s="32"/>
      <c r="F27" s="32">
        <v>1410</v>
      </c>
      <c r="G27" s="32">
        <v>859</v>
      </c>
      <c r="H27" s="32">
        <v>551</v>
      </c>
      <c r="I27" s="32"/>
      <c r="J27" s="33">
        <v>2377</v>
      </c>
      <c r="K27" s="33">
        <v>1444</v>
      </c>
      <c r="L27" s="33">
        <v>933</v>
      </c>
      <c r="M27" s="37"/>
      <c r="N27" s="33">
        <f t="shared" si="1"/>
        <v>3723</v>
      </c>
      <c r="O27" s="33">
        <v>1968</v>
      </c>
      <c r="P27" s="33">
        <v>1755</v>
      </c>
      <c r="Q27" s="37"/>
      <c r="R27" s="33">
        <v>3220</v>
      </c>
      <c r="S27" s="33">
        <v>1556</v>
      </c>
      <c r="T27" s="33">
        <v>1664</v>
      </c>
    </row>
    <row r="28" spans="1:51" ht="18" customHeight="1" x14ac:dyDescent="0.2">
      <c r="A28" s="26" t="s">
        <v>40</v>
      </c>
      <c r="B28" s="32">
        <v>695</v>
      </c>
      <c r="C28" s="32">
        <v>394</v>
      </c>
      <c r="D28" s="32">
        <v>301</v>
      </c>
      <c r="E28" s="32"/>
      <c r="F28" s="32">
        <v>679</v>
      </c>
      <c r="G28" s="32">
        <v>407</v>
      </c>
      <c r="H28" s="32">
        <v>272</v>
      </c>
      <c r="I28" s="32"/>
      <c r="J28" s="33">
        <v>1064</v>
      </c>
      <c r="K28" s="33">
        <v>617</v>
      </c>
      <c r="L28" s="33">
        <v>447</v>
      </c>
      <c r="M28" s="37"/>
      <c r="N28" s="33">
        <f t="shared" si="1"/>
        <v>1949</v>
      </c>
      <c r="O28" s="33">
        <v>1155</v>
      </c>
      <c r="P28" s="33">
        <v>794</v>
      </c>
      <c r="Q28" s="37"/>
      <c r="R28" s="33">
        <v>2486</v>
      </c>
      <c r="S28" s="33">
        <v>1222</v>
      </c>
      <c r="T28" s="33">
        <v>1264</v>
      </c>
      <c r="AV28" s="8">
        <v>2000</v>
      </c>
    </row>
    <row r="29" spans="1:51" ht="18" customHeight="1" x14ac:dyDescent="0.2">
      <c r="A29" s="26" t="s">
        <v>41</v>
      </c>
      <c r="B29" s="32">
        <v>326</v>
      </c>
      <c r="C29" s="32">
        <v>220</v>
      </c>
      <c r="D29" s="32">
        <v>106</v>
      </c>
      <c r="E29" s="32"/>
      <c r="F29" s="32">
        <v>284</v>
      </c>
      <c r="G29" s="32">
        <v>162</v>
      </c>
      <c r="H29" s="32">
        <v>122</v>
      </c>
      <c r="I29" s="32"/>
      <c r="J29" s="33">
        <v>396</v>
      </c>
      <c r="K29" s="33">
        <v>241</v>
      </c>
      <c r="L29" s="33">
        <v>155</v>
      </c>
      <c r="M29" s="37"/>
      <c r="N29" s="33">
        <f t="shared" si="1"/>
        <v>725</v>
      </c>
      <c r="O29" s="33">
        <v>442</v>
      </c>
      <c r="P29" s="33">
        <v>283</v>
      </c>
      <c r="Q29" s="37"/>
      <c r="R29" s="33">
        <v>1255</v>
      </c>
      <c r="S29" s="33">
        <v>691</v>
      </c>
      <c r="T29" s="33">
        <v>564</v>
      </c>
    </row>
    <row r="30" spans="1:51" ht="18" customHeight="1" x14ac:dyDescent="0.2">
      <c r="A30" s="26" t="s">
        <v>42</v>
      </c>
      <c r="B30" s="32">
        <v>163</v>
      </c>
      <c r="C30" s="32">
        <v>86</v>
      </c>
      <c r="D30" s="32">
        <v>77</v>
      </c>
      <c r="E30" s="32"/>
      <c r="F30" s="32">
        <v>96</v>
      </c>
      <c r="G30" s="32">
        <v>59</v>
      </c>
      <c r="H30" s="32">
        <v>37</v>
      </c>
      <c r="I30" s="32"/>
      <c r="J30" s="33">
        <v>159</v>
      </c>
      <c r="K30" s="33">
        <v>89</v>
      </c>
      <c r="L30" s="33">
        <v>70</v>
      </c>
      <c r="M30" s="37"/>
      <c r="N30" s="33">
        <f t="shared" si="1"/>
        <v>225</v>
      </c>
      <c r="O30" s="33">
        <v>140</v>
      </c>
      <c r="P30" s="33">
        <v>85</v>
      </c>
      <c r="Q30" s="37"/>
      <c r="R30" s="33">
        <v>392</v>
      </c>
      <c r="S30" s="33">
        <v>246</v>
      </c>
      <c r="T30" s="33">
        <v>146</v>
      </c>
      <c r="AY30" s="17"/>
    </row>
    <row r="31" spans="1:51" ht="18" customHeight="1" x14ac:dyDescent="0.2">
      <c r="A31" s="26" t="s">
        <v>43</v>
      </c>
      <c r="B31" s="38">
        <v>94</v>
      </c>
      <c r="C31" s="38">
        <v>67</v>
      </c>
      <c r="D31" s="38">
        <v>27</v>
      </c>
      <c r="E31" s="38"/>
      <c r="F31" s="32">
        <v>76</v>
      </c>
      <c r="G31" s="32">
        <v>45</v>
      </c>
      <c r="H31" s="32">
        <v>31</v>
      </c>
      <c r="I31" s="32"/>
      <c r="J31" s="33">
        <v>84</v>
      </c>
      <c r="K31" s="33">
        <v>52</v>
      </c>
      <c r="L31" s="33">
        <v>32</v>
      </c>
      <c r="M31" s="37"/>
      <c r="N31" s="33">
        <f t="shared" si="1"/>
        <v>83</v>
      </c>
      <c r="O31" s="33">
        <v>47</v>
      </c>
      <c r="P31" s="33">
        <v>36</v>
      </c>
      <c r="Q31" s="37"/>
      <c r="R31" s="33">
        <v>111</v>
      </c>
      <c r="S31" s="33">
        <v>69</v>
      </c>
      <c r="T31" s="33">
        <v>42</v>
      </c>
      <c r="AW31" s="21" t="s">
        <v>4</v>
      </c>
      <c r="AX31" s="21" t="s">
        <v>5</v>
      </c>
    </row>
    <row r="32" spans="1:51" ht="18" customHeight="1" x14ac:dyDescent="0.2">
      <c r="A32" s="39" t="s">
        <v>44</v>
      </c>
      <c r="B32" s="40">
        <v>543</v>
      </c>
      <c r="C32" s="40">
        <v>391</v>
      </c>
      <c r="D32" s="40">
        <v>152</v>
      </c>
      <c r="E32" s="40"/>
      <c r="F32" s="41">
        <v>1276</v>
      </c>
      <c r="G32" s="41">
        <v>815</v>
      </c>
      <c r="H32" s="41">
        <v>461</v>
      </c>
      <c r="I32" s="41"/>
      <c r="J32" s="42">
        <v>5083</v>
      </c>
      <c r="K32" s="42">
        <v>3294</v>
      </c>
      <c r="L32" s="42">
        <v>1789</v>
      </c>
      <c r="M32" s="43"/>
      <c r="N32" s="33">
        <f t="shared" si="1"/>
        <v>0</v>
      </c>
      <c r="O32" s="42">
        <v>0</v>
      </c>
      <c r="P32" s="42">
        <v>0</v>
      </c>
      <c r="Q32" s="43"/>
      <c r="R32" s="42">
        <f>S32+T32</f>
        <v>0</v>
      </c>
      <c r="S32" s="42">
        <v>0</v>
      </c>
      <c r="T32" s="42">
        <v>0</v>
      </c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V32" s="26" t="s">
        <v>18</v>
      </c>
      <c r="AW32" s="27">
        <f>-1*AY32</f>
        <v>-15699</v>
      </c>
      <c r="AX32" s="17">
        <f>H10+H11</f>
        <v>15213</v>
      </c>
      <c r="AY32" s="17">
        <f>G10+G11</f>
        <v>15699</v>
      </c>
    </row>
    <row r="33" spans="1:51" ht="17.25" x14ac:dyDescent="0.2">
      <c r="A33" s="52" t="s">
        <v>45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2"/>
      <c r="N33" s="44"/>
      <c r="O33" s="44"/>
      <c r="P33" s="2"/>
      <c r="Q33" s="6"/>
      <c r="R33" s="7"/>
      <c r="S33" s="7"/>
      <c r="T33" s="53" t="s">
        <v>46</v>
      </c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26"/>
      <c r="AN33" s="26"/>
      <c r="AO33" s="26"/>
      <c r="AV33" s="26" t="s">
        <v>20</v>
      </c>
      <c r="AW33" s="27">
        <f t="shared" ref="AW33:AW47" si="2">-1*AY33</f>
        <v>-19336</v>
      </c>
      <c r="AX33" s="17">
        <f>H12+H13</f>
        <v>18591</v>
      </c>
      <c r="AY33" s="17">
        <f>G12+G13</f>
        <v>19336</v>
      </c>
    </row>
    <row r="34" spans="1:51" ht="15.75" x14ac:dyDescent="0.2">
      <c r="A34" s="45"/>
      <c r="B34" s="28"/>
      <c r="C34" s="45"/>
      <c r="D34" s="45"/>
      <c r="E34" s="45"/>
      <c r="F34" s="7"/>
      <c r="G34" s="7"/>
      <c r="H34" s="7"/>
      <c r="I34" s="7"/>
      <c r="J34" s="7"/>
      <c r="K34" s="7"/>
      <c r="L34" s="45"/>
      <c r="M34" s="45"/>
      <c r="N34" s="7"/>
      <c r="O34" s="7"/>
      <c r="P34" s="45"/>
      <c r="Q34" s="6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26"/>
      <c r="AN34" s="26"/>
      <c r="AO34" s="26"/>
      <c r="AV34" s="26" t="s">
        <v>22</v>
      </c>
      <c r="AW34" s="27">
        <f t="shared" si="2"/>
        <v>-20897</v>
      </c>
      <c r="AX34" s="32">
        <v>20192</v>
      </c>
      <c r="AY34" s="32">
        <v>20897</v>
      </c>
    </row>
    <row r="35" spans="1:51" ht="15" x14ac:dyDescent="0.2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6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26"/>
      <c r="AN35" s="26"/>
      <c r="AO35" s="26"/>
      <c r="AV35" s="26" t="s">
        <v>24</v>
      </c>
      <c r="AW35" s="27">
        <f t="shared" si="2"/>
        <v>-16590</v>
      </c>
      <c r="AX35" s="32">
        <v>16676</v>
      </c>
      <c r="AY35" s="32">
        <v>16590</v>
      </c>
    </row>
    <row r="36" spans="1:51" ht="15" x14ac:dyDescent="0.2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6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26"/>
      <c r="AN36" s="26"/>
      <c r="AO36" s="26"/>
      <c r="AV36" s="26" t="s">
        <v>26</v>
      </c>
      <c r="AW36" s="27">
        <f t="shared" si="2"/>
        <v>-11620</v>
      </c>
      <c r="AX36" s="32">
        <v>11894</v>
      </c>
      <c r="AY36" s="32">
        <v>11620</v>
      </c>
    </row>
    <row r="37" spans="1:51" ht="15" x14ac:dyDescent="0.2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6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V37" s="26" t="s">
        <v>28</v>
      </c>
      <c r="AW37" s="27">
        <f t="shared" si="2"/>
        <v>-9805</v>
      </c>
      <c r="AX37" s="32">
        <v>10285</v>
      </c>
      <c r="AY37" s="32">
        <v>9805</v>
      </c>
    </row>
    <row r="38" spans="1:51" ht="15" x14ac:dyDescent="0.2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6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V38" s="26" t="s">
        <v>29</v>
      </c>
      <c r="AW38" s="27">
        <f t="shared" si="2"/>
        <v>-8890</v>
      </c>
      <c r="AX38" s="32">
        <v>9271</v>
      </c>
      <c r="AY38" s="32">
        <v>8890</v>
      </c>
    </row>
    <row r="39" spans="1:51" ht="15" x14ac:dyDescent="0.2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6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V39" s="26" t="s">
        <v>30</v>
      </c>
      <c r="AW39" s="27">
        <f t="shared" si="2"/>
        <v>-7828</v>
      </c>
      <c r="AX39" s="32">
        <v>7871</v>
      </c>
      <c r="AY39" s="32">
        <v>7828</v>
      </c>
    </row>
    <row r="40" spans="1:51" ht="15" x14ac:dyDescent="0.2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6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V40" s="26" t="s">
        <v>31</v>
      </c>
      <c r="AW40" s="27">
        <f t="shared" si="2"/>
        <v>-6272</v>
      </c>
      <c r="AX40" s="32">
        <v>6130</v>
      </c>
      <c r="AY40" s="32">
        <v>6272</v>
      </c>
    </row>
    <row r="41" spans="1:51" ht="15" x14ac:dyDescent="0.2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6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V41" s="26" t="s">
        <v>32</v>
      </c>
      <c r="AW41" s="27">
        <f t="shared" si="2"/>
        <v>-3977</v>
      </c>
      <c r="AX41" s="32">
        <v>3484</v>
      </c>
      <c r="AY41" s="32">
        <v>3977</v>
      </c>
    </row>
    <row r="42" spans="1:51" ht="15" x14ac:dyDescent="0.2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6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V42" s="26" t="s">
        <v>33</v>
      </c>
      <c r="AW42" s="27">
        <f t="shared" si="2"/>
        <v>-3051</v>
      </c>
      <c r="AX42" s="32">
        <v>2916</v>
      </c>
      <c r="AY42" s="32">
        <v>3051</v>
      </c>
    </row>
    <row r="43" spans="1:51" ht="15" x14ac:dyDescent="0.2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6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V43" s="26" t="s">
        <v>34</v>
      </c>
      <c r="AW43" s="27">
        <f t="shared" si="2"/>
        <v>-3131</v>
      </c>
      <c r="AX43" s="32">
        <v>2865</v>
      </c>
      <c r="AY43" s="32">
        <v>3131</v>
      </c>
    </row>
    <row r="44" spans="1:51" ht="15" x14ac:dyDescent="0.2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6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V44" s="26" t="s">
        <v>35</v>
      </c>
      <c r="AW44" s="27">
        <f t="shared" si="2"/>
        <v>-3370</v>
      </c>
      <c r="AX44" s="32">
        <v>2942</v>
      </c>
      <c r="AY44" s="32">
        <v>3370</v>
      </c>
    </row>
    <row r="45" spans="1:51" ht="15" x14ac:dyDescent="0.2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6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V45" s="26" t="s">
        <v>36</v>
      </c>
      <c r="AW45" s="27">
        <f t="shared" si="2"/>
        <v>-2650</v>
      </c>
      <c r="AX45" s="32">
        <v>1961</v>
      </c>
      <c r="AY45" s="32">
        <v>2650</v>
      </c>
    </row>
    <row r="46" spans="1:51" ht="15" x14ac:dyDescent="0.2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6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V46" s="26" t="s">
        <v>37</v>
      </c>
      <c r="AW46" s="27">
        <f t="shared" si="2"/>
        <v>-1737</v>
      </c>
      <c r="AX46" s="32">
        <v>1136</v>
      </c>
      <c r="AY46" s="32">
        <v>1737</v>
      </c>
    </row>
    <row r="47" spans="1:51" x14ac:dyDescent="0.2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6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V47" s="26" t="s">
        <v>38</v>
      </c>
      <c r="AW47" s="27">
        <f t="shared" si="2"/>
        <v>-1532</v>
      </c>
      <c r="AX47" s="17">
        <f>H27+H28+H29+H30+H31</f>
        <v>1013</v>
      </c>
      <c r="AY47" s="17">
        <f>G27+G28+G29+G30+G31</f>
        <v>1532</v>
      </c>
    </row>
    <row r="48" spans="1:51" x14ac:dyDescent="0.2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45"/>
      <c r="AL48" s="45"/>
      <c r="AM48" s="45"/>
      <c r="AN48" s="45"/>
      <c r="AO48" s="45"/>
      <c r="AV48" s="26"/>
      <c r="AW48" s="26"/>
      <c r="AX48" s="26"/>
    </row>
    <row r="49" spans="1:51" x14ac:dyDescent="0.2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  <c r="AK49" s="45"/>
      <c r="AL49" s="45"/>
      <c r="AM49" s="45"/>
      <c r="AN49" s="45"/>
      <c r="AO49" s="45"/>
    </row>
    <row r="50" spans="1:51" x14ac:dyDescent="0.2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K50" s="45"/>
      <c r="AL50" s="45"/>
      <c r="AM50" s="45"/>
      <c r="AN50" s="45"/>
      <c r="AO50" s="45"/>
    </row>
    <row r="51" spans="1:51" x14ac:dyDescent="0.2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  <c r="AM51" s="45"/>
      <c r="AN51" s="45"/>
      <c r="AO51" s="45"/>
    </row>
    <row r="52" spans="1:51" s="46" customFormat="1" ht="14.25" customHeight="1" x14ac:dyDescent="0.15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N52" s="45"/>
      <c r="O52" s="45"/>
      <c r="P52" s="45"/>
    </row>
    <row r="53" spans="1:51" x14ac:dyDescent="0.2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N53" s="45"/>
      <c r="O53" s="45"/>
      <c r="P53" s="45"/>
      <c r="AV53" s="8">
        <v>2006</v>
      </c>
    </row>
    <row r="54" spans="1:51" x14ac:dyDescent="0.2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45"/>
      <c r="O54" s="45"/>
      <c r="P54" s="45"/>
    </row>
    <row r="55" spans="1:51" x14ac:dyDescent="0.2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N55" s="45"/>
      <c r="O55" s="45"/>
      <c r="P55" s="45"/>
      <c r="AY55" s="17">
        <f>AM50+AM51</f>
        <v>0</v>
      </c>
    </row>
    <row r="56" spans="1:51" x14ac:dyDescent="0.2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N56" s="45"/>
      <c r="O56" s="45"/>
      <c r="P56" s="45"/>
      <c r="AW56" s="21" t="s">
        <v>4</v>
      </c>
      <c r="AX56" s="21" t="s">
        <v>5</v>
      </c>
    </row>
    <row r="57" spans="1:51" x14ac:dyDescent="0.2">
      <c r="B57" s="45"/>
      <c r="C57" s="45"/>
      <c r="D57" s="45"/>
      <c r="E57" s="45"/>
      <c r="F57" s="45"/>
      <c r="G57" s="45"/>
      <c r="H57" s="45"/>
      <c r="I57" s="45"/>
      <c r="J57" s="45"/>
      <c r="K57" s="45"/>
      <c r="N57" s="45"/>
      <c r="O57" s="45"/>
      <c r="AV57" s="26" t="s">
        <v>18</v>
      </c>
      <c r="AW57" s="27">
        <f>-1*AY57</f>
        <v>-13362</v>
      </c>
      <c r="AX57" s="17">
        <f>L10+L11</f>
        <v>12809</v>
      </c>
      <c r="AY57" s="17">
        <f>K10+K11</f>
        <v>13362</v>
      </c>
    </row>
    <row r="58" spans="1:51" s="1" customFormat="1" x14ac:dyDescent="0.2">
      <c r="B58" s="47"/>
      <c r="C58" s="47"/>
      <c r="D58" s="48"/>
      <c r="E58" s="49"/>
      <c r="F58" s="3"/>
      <c r="G58" s="3"/>
      <c r="H58" s="50"/>
      <c r="I58" s="3"/>
      <c r="J58" s="4"/>
      <c r="K58" s="4"/>
      <c r="L58" s="5"/>
      <c r="N58" s="4"/>
      <c r="O58" s="4"/>
      <c r="P58" s="5"/>
      <c r="AV58" s="26" t="s">
        <v>20</v>
      </c>
      <c r="AW58" s="27">
        <f t="shared" ref="AW58:AW72" si="3">-1*AY58</f>
        <v>-15352</v>
      </c>
      <c r="AX58" s="17">
        <f>L12+L13</f>
        <v>14515</v>
      </c>
      <c r="AY58" s="17">
        <f>K12+K13</f>
        <v>15352</v>
      </c>
    </row>
    <row r="59" spans="1:51" ht="15" x14ac:dyDescent="0.2">
      <c r="A59" s="46"/>
      <c r="AV59" s="26" t="s">
        <v>22</v>
      </c>
      <c r="AW59" s="27">
        <f t="shared" si="3"/>
        <v>-19111</v>
      </c>
      <c r="AX59" s="33">
        <v>17888</v>
      </c>
      <c r="AY59" s="33">
        <v>19111</v>
      </c>
    </row>
    <row r="60" spans="1:51" ht="15" x14ac:dyDescent="0.2">
      <c r="AV60" s="26" t="s">
        <v>24</v>
      </c>
      <c r="AW60" s="27">
        <f t="shared" si="3"/>
        <v>-20155</v>
      </c>
      <c r="AX60" s="33">
        <v>19749</v>
      </c>
      <c r="AY60" s="33">
        <v>20155</v>
      </c>
    </row>
    <row r="61" spans="1:51" ht="15" x14ac:dyDescent="0.2">
      <c r="AV61" s="26" t="s">
        <v>26</v>
      </c>
      <c r="AW61" s="27">
        <f t="shared" si="3"/>
        <v>-16933</v>
      </c>
      <c r="AX61" s="33">
        <v>17876</v>
      </c>
      <c r="AY61" s="33">
        <v>16933</v>
      </c>
    </row>
    <row r="62" spans="1:51" ht="15" x14ac:dyDescent="0.2">
      <c r="AV62" s="26" t="s">
        <v>28</v>
      </c>
      <c r="AW62" s="27">
        <f t="shared" si="3"/>
        <v>-11915</v>
      </c>
      <c r="AX62" s="33">
        <v>12666</v>
      </c>
      <c r="AY62" s="33">
        <v>11915</v>
      </c>
    </row>
    <row r="63" spans="1:51" ht="15" x14ac:dyDescent="0.2">
      <c r="AV63" s="26" t="s">
        <v>29</v>
      </c>
      <c r="AW63" s="27">
        <f t="shared" si="3"/>
        <v>-10022</v>
      </c>
      <c r="AX63" s="33">
        <v>10613</v>
      </c>
      <c r="AY63" s="33">
        <v>10022</v>
      </c>
    </row>
    <row r="64" spans="1:51" ht="15" x14ac:dyDescent="0.2">
      <c r="AV64" s="26" t="s">
        <v>30</v>
      </c>
      <c r="AW64" s="27">
        <f t="shared" si="3"/>
        <v>-8780</v>
      </c>
      <c r="AX64" s="33">
        <v>9394</v>
      </c>
      <c r="AY64" s="33">
        <v>8780</v>
      </c>
    </row>
    <row r="65" spans="7:51" ht="15" x14ac:dyDescent="0.2">
      <c r="AV65" s="26" t="s">
        <v>31</v>
      </c>
      <c r="AW65" s="27">
        <f t="shared" si="3"/>
        <v>-7828</v>
      </c>
      <c r="AX65" s="33">
        <v>8043</v>
      </c>
      <c r="AY65" s="33">
        <v>7828</v>
      </c>
    </row>
    <row r="66" spans="7:51" ht="15" x14ac:dyDescent="0.2">
      <c r="G66" s="51"/>
      <c r="AV66" s="26" t="s">
        <v>32</v>
      </c>
      <c r="AW66" s="27">
        <f t="shared" si="3"/>
        <v>-6872</v>
      </c>
      <c r="AX66" s="33">
        <v>6697</v>
      </c>
      <c r="AY66" s="33">
        <v>6872</v>
      </c>
    </row>
    <row r="67" spans="7:51" ht="15" x14ac:dyDescent="0.2">
      <c r="AV67" s="26" t="s">
        <v>33</v>
      </c>
      <c r="AW67" s="27">
        <f t="shared" si="3"/>
        <v>-4147</v>
      </c>
      <c r="AX67" s="33">
        <v>3789</v>
      </c>
      <c r="AY67" s="33">
        <v>4147</v>
      </c>
    </row>
    <row r="68" spans="7:51" ht="15" x14ac:dyDescent="0.2">
      <c r="AV68" s="26" t="s">
        <v>34</v>
      </c>
      <c r="AW68" s="27">
        <f t="shared" si="3"/>
        <v>-3046</v>
      </c>
      <c r="AX68" s="33">
        <v>2813</v>
      </c>
      <c r="AY68" s="33">
        <v>3046</v>
      </c>
    </row>
    <row r="69" spans="7:51" ht="15" x14ac:dyDescent="0.2">
      <c r="AV69" s="26" t="s">
        <v>35</v>
      </c>
      <c r="AW69" s="27">
        <f t="shared" si="3"/>
        <v>-2852</v>
      </c>
      <c r="AX69" s="33">
        <v>2714</v>
      </c>
      <c r="AY69" s="33">
        <v>2852</v>
      </c>
    </row>
    <row r="70" spans="7:51" ht="15" x14ac:dyDescent="0.2">
      <c r="AV70" s="26" t="s">
        <v>36</v>
      </c>
      <c r="AW70" s="27">
        <f t="shared" si="3"/>
        <v>-3014</v>
      </c>
      <c r="AX70" s="33">
        <v>2664</v>
      </c>
      <c r="AY70" s="33">
        <v>3014</v>
      </c>
    </row>
    <row r="71" spans="7:51" ht="15" x14ac:dyDescent="0.2">
      <c r="AV71" s="26" t="s">
        <v>37</v>
      </c>
      <c r="AW71" s="27">
        <f t="shared" si="3"/>
        <v>-2333</v>
      </c>
      <c r="AX71" s="33">
        <v>1853</v>
      </c>
      <c r="AY71" s="33">
        <v>2333</v>
      </c>
    </row>
    <row r="72" spans="7:51" x14ac:dyDescent="0.2">
      <c r="AV72" s="26" t="s">
        <v>38</v>
      </c>
      <c r="AW72" s="27">
        <f t="shared" si="3"/>
        <v>-2443</v>
      </c>
      <c r="AX72" s="17">
        <f>L27+L28+L29+L30+L31</f>
        <v>1637</v>
      </c>
      <c r="AY72" s="17">
        <f>K27+K28+K29+K30+K31</f>
        <v>2443</v>
      </c>
    </row>
    <row r="73" spans="7:51" x14ac:dyDescent="0.2">
      <c r="AV73" s="26"/>
      <c r="AW73" s="26"/>
      <c r="AX73" s="26"/>
    </row>
    <row r="76" spans="7:51" x14ac:dyDescent="0.2">
      <c r="AV76" s="8">
        <v>2014</v>
      </c>
    </row>
    <row r="77" spans="7:51" x14ac:dyDescent="0.2">
      <c r="AY77" s="17"/>
    </row>
    <row r="78" spans="7:51" x14ac:dyDescent="0.2">
      <c r="AW78" s="21" t="s">
        <v>4</v>
      </c>
      <c r="AX78" s="21" t="s">
        <v>5</v>
      </c>
    </row>
    <row r="79" spans="7:51" x14ac:dyDescent="0.2">
      <c r="AV79" s="26" t="s">
        <v>18</v>
      </c>
      <c r="AW79" s="27">
        <f>-1*AY79</f>
        <v>-18863</v>
      </c>
      <c r="AX79" s="17">
        <f>P10+P11</f>
        <v>17223</v>
      </c>
      <c r="AY79" s="17">
        <f>O10+O11</f>
        <v>18863</v>
      </c>
    </row>
    <row r="80" spans="7:51" x14ac:dyDescent="0.2">
      <c r="AV80" s="26" t="s">
        <v>20</v>
      </c>
      <c r="AW80" s="27">
        <f t="shared" ref="AW80:AW94" si="4">-1*AY80</f>
        <v>-16364</v>
      </c>
      <c r="AX80" s="17">
        <f>P12+P13</f>
        <v>15616</v>
      </c>
      <c r="AY80" s="17">
        <f>O12+O13</f>
        <v>16364</v>
      </c>
    </row>
    <row r="81" spans="48:51" ht="15" x14ac:dyDescent="0.2">
      <c r="AV81" s="26" t="s">
        <v>22</v>
      </c>
      <c r="AW81" s="27">
        <f t="shared" si="4"/>
        <v>-13571</v>
      </c>
      <c r="AX81" s="33">
        <v>12787</v>
      </c>
      <c r="AY81" s="33">
        <v>13571</v>
      </c>
    </row>
    <row r="82" spans="48:51" ht="15" x14ac:dyDescent="0.2">
      <c r="AV82" s="26" t="s">
        <v>24</v>
      </c>
      <c r="AW82" s="27">
        <f t="shared" si="4"/>
        <v>-15922</v>
      </c>
      <c r="AX82" s="33">
        <v>15461</v>
      </c>
      <c r="AY82" s="33">
        <v>15922</v>
      </c>
    </row>
    <row r="83" spans="48:51" ht="15" x14ac:dyDescent="0.2">
      <c r="AV83" s="26" t="s">
        <v>26</v>
      </c>
      <c r="AW83" s="27">
        <f t="shared" si="4"/>
        <v>-19349</v>
      </c>
      <c r="AX83" s="33">
        <v>18537</v>
      </c>
      <c r="AY83" s="33">
        <v>19349</v>
      </c>
    </row>
    <row r="84" spans="48:51" ht="15" x14ac:dyDescent="0.2">
      <c r="AV84" s="26" t="s">
        <v>28</v>
      </c>
      <c r="AW84" s="27">
        <f t="shared" si="4"/>
        <v>-19451</v>
      </c>
      <c r="AX84" s="33">
        <v>19738</v>
      </c>
      <c r="AY84" s="33">
        <v>19451</v>
      </c>
    </row>
    <row r="85" spans="48:51" ht="15" x14ac:dyDescent="0.2">
      <c r="AV85" s="26" t="s">
        <v>29</v>
      </c>
      <c r="AW85" s="27">
        <f t="shared" si="4"/>
        <v>-15494</v>
      </c>
      <c r="AX85" s="33">
        <v>15868</v>
      </c>
      <c r="AY85" s="33">
        <v>15494</v>
      </c>
    </row>
    <row r="86" spans="48:51" ht="15" x14ac:dyDescent="0.2">
      <c r="AV86" s="26" t="s">
        <v>30</v>
      </c>
      <c r="AW86" s="27">
        <f t="shared" si="4"/>
        <v>-11386</v>
      </c>
      <c r="AX86" s="33">
        <v>11518</v>
      </c>
      <c r="AY86" s="33">
        <v>11386</v>
      </c>
    </row>
    <row r="87" spans="48:51" ht="15" x14ac:dyDescent="0.2">
      <c r="AV87" s="26" t="s">
        <v>31</v>
      </c>
      <c r="AW87" s="27">
        <f t="shared" si="4"/>
        <v>-9811</v>
      </c>
      <c r="AX87" s="33">
        <v>10064</v>
      </c>
      <c r="AY87" s="33">
        <v>9811</v>
      </c>
    </row>
    <row r="88" spans="48:51" ht="15" x14ac:dyDescent="0.2">
      <c r="AV88" s="26" t="s">
        <v>32</v>
      </c>
      <c r="AW88" s="27">
        <f t="shared" si="4"/>
        <v>-8784</v>
      </c>
      <c r="AX88" s="33">
        <v>8795</v>
      </c>
      <c r="AY88" s="33">
        <v>8784</v>
      </c>
    </row>
    <row r="89" spans="48:51" ht="15" x14ac:dyDescent="0.2">
      <c r="AV89" s="26" t="s">
        <v>33</v>
      </c>
      <c r="AW89" s="27">
        <f t="shared" si="4"/>
        <v>-7645</v>
      </c>
      <c r="AX89" s="33">
        <v>7405</v>
      </c>
      <c r="AY89" s="33">
        <v>7645</v>
      </c>
    </row>
    <row r="90" spans="48:51" ht="15" x14ac:dyDescent="0.2">
      <c r="AV90" s="26" t="s">
        <v>34</v>
      </c>
      <c r="AW90" s="27">
        <f t="shared" si="4"/>
        <v>-6031</v>
      </c>
      <c r="AX90" s="33">
        <v>5672</v>
      </c>
      <c r="AY90" s="33">
        <v>6031</v>
      </c>
    </row>
    <row r="91" spans="48:51" ht="15" x14ac:dyDescent="0.2">
      <c r="AV91" s="26" t="s">
        <v>35</v>
      </c>
      <c r="AW91" s="27">
        <f t="shared" si="4"/>
        <v>-3327</v>
      </c>
      <c r="AX91" s="33">
        <v>2922</v>
      </c>
      <c r="AY91" s="33">
        <v>3327</v>
      </c>
    </row>
    <row r="92" spans="48:51" ht="15" x14ac:dyDescent="0.2">
      <c r="AV92" s="26" t="s">
        <v>36</v>
      </c>
      <c r="AW92" s="27">
        <f t="shared" si="4"/>
        <v>-2445</v>
      </c>
      <c r="AX92" s="33">
        <v>2426</v>
      </c>
      <c r="AY92" s="33">
        <v>2445</v>
      </c>
    </row>
    <row r="93" spans="48:51" ht="15" x14ac:dyDescent="0.2">
      <c r="AV93" s="26" t="s">
        <v>37</v>
      </c>
      <c r="AW93" s="27">
        <f t="shared" si="4"/>
        <v>-2471</v>
      </c>
      <c r="AX93" s="33">
        <v>2372</v>
      </c>
      <c r="AY93" s="33">
        <v>2471</v>
      </c>
    </row>
    <row r="94" spans="48:51" x14ac:dyDescent="0.2">
      <c r="AV94" s="26" t="s">
        <v>38</v>
      </c>
      <c r="AW94" s="27">
        <f t="shared" si="4"/>
        <v>-3752</v>
      </c>
      <c r="AX94" s="17">
        <f>P27+P28+P29+P30+P31+P32</f>
        <v>2953</v>
      </c>
      <c r="AY94" s="17">
        <f>O27+O28+O29+O30+O31+O32</f>
        <v>3752</v>
      </c>
    </row>
    <row r="96" spans="48:51" x14ac:dyDescent="0.2">
      <c r="AY96" s="17">
        <f>SUM(AY92:AY94)</f>
        <v>8668</v>
      </c>
    </row>
    <row r="101" spans="48:51" x14ac:dyDescent="0.2">
      <c r="AV101" s="8">
        <v>2022</v>
      </c>
    </row>
    <row r="102" spans="48:51" x14ac:dyDescent="0.2">
      <c r="AY102" s="17"/>
    </row>
    <row r="103" spans="48:51" x14ac:dyDescent="0.2">
      <c r="AW103" s="21" t="s">
        <v>4</v>
      </c>
      <c r="AX103" s="21" t="s">
        <v>5</v>
      </c>
    </row>
    <row r="104" spans="48:51" ht="15" x14ac:dyDescent="0.25">
      <c r="AV104" s="26" t="s">
        <v>18</v>
      </c>
      <c r="AW104" s="62">
        <f>AY104*-1</f>
        <v>-14671</v>
      </c>
      <c r="AX104" s="58">
        <v>14380</v>
      </c>
      <c r="AY104" s="58">
        <v>14671</v>
      </c>
    </row>
    <row r="105" spans="48:51" ht="15" x14ac:dyDescent="0.25">
      <c r="AV105" s="26" t="s">
        <v>20</v>
      </c>
      <c r="AW105" s="62">
        <f t="shared" ref="AW105:AW119" si="5">AY105*-1</f>
        <v>-17308</v>
      </c>
      <c r="AX105" s="58">
        <v>16855</v>
      </c>
      <c r="AY105" s="58">
        <v>17308</v>
      </c>
    </row>
    <row r="106" spans="48:51" ht="15" x14ac:dyDescent="0.25">
      <c r="AV106" s="26" t="s">
        <v>22</v>
      </c>
      <c r="AW106" s="62">
        <f t="shared" si="5"/>
        <v>-18856</v>
      </c>
      <c r="AX106" s="58">
        <v>17699</v>
      </c>
      <c r="AY106" s="58">
        <v>18856</v>
      </c>
    </row>
    <row r="107" spans="48:51" ht="15" x14ac:dyDescent="0.25">
      <c r="AV107" s="26" t="s">
        <v>24</v>
      </c>
      <c r="AW107" s="62">
        <f t="shared" si="5"/>
        <v>-14096</v>
      </c>
      <c r="AX107" s="58">
        <v>13376</v>
      </c>
      <c r="AY107" s="58">
        <v>14096</v>
      </c>
    </row>
    <row r="108" spans="48:51" ht="15" x14ac:dyDescent="0.25">
      <c r="AV108" s="26" t="s">
        <v>26</v>
      </c>
      <c r="AW108" s="62">
        <f t="shared" si="5"/>
        <v>-13514</v>
      </c>
      <c r="AX108" s="58">
        <v>12407</v>
      </c>
      <c r="AY108" s="58">
        <v>13514</v>
      </c>
    </row>
    <row r="109" spans="48:51" ht="15" x14ac:dyDescent="0.25">
      <c r="AV109" s="26" t="s">
        <v>28</v>
      </c>
      <c r="AW109" s="62">
        <f t="shared" si="5"/>
        <v>-18398</v>
      </c>
      <c r="AX109" s="58">
        <v>16650</v>
      </c>
      <c r="AY109" s="58">
        <v>18398</v>
      </c>
    </row>
    <row r="110" spans="48:51" ht="15" x14ac:dyDescent="0.25">
      <c r="AV110" s="26" t="s">
        <v>29</v>
      </c>
      <c r="AW110" s="62">
        <f t="shared" si="5"/>
        <v>-20671</v>
      </c>
      <c r="AX110" s="58">
        <v>19163</v>
      </c>
      <c r="AY110" s="58">
        <v>20671</v>
      </c>
    </row>
    <row r="111" spans="48:51" ht="15" x14ac:dyDescent="0.25">
      <c r="AV111" s="26" t="s">
        <v>30</v>
      </c>
      <c r="AW111" s="62">
        <f t="shared" si="5"/>
        <v>-19156</v>
      </c>
      <c r="AX111" s="58">
        <v>18873</v>
      </c>
      <c r="AY111" s="58">
        <v>19156</v>
      </c>
    </row>
    <row r="112" spans="48:51" ht="15" x14ac:dyDescent="0.25">
      <c r="AV112" s="26" t="s">
        <v>31</v>
      </c>
      <c r="AW112" s="62">
        <f t="shared" si="5"/>
        <v>-13730</v>
      </c>
      <c r="AX112" s="58">
        <v>13633</v>
      </c>
      <c r="AY112" s="58">
        <v>13730</v>
      </c>
    </row>
    <row r="113" spans="48:51" ht="15" x14ac:dyDescent="0.25">
      <c r="AV113" s="26" t="s">
        <v>32</v>
      </c>
      <c r="AW113" s="62">
        <f t="shared" si="5"/>
        <v>-10651</v>
      </c>
      <c r="AX113" s="58">
        <v>10840</v>
      </c>
      <c r="AY113" s="58">
        <v>10651</v>
      </c>
    </row>
    <row r="114" spans="48:51" ht="15" x14ac:dyDescent="0.25">
      <c r="AV114" s="26" t="s">
        <v>33</v>
      </c>
      <c r="AW114" s="62">
        <f t="shared" si="5"/>
        <v>-9376</v>
      </c>
      <c r="AX114" s="58">
        <v>9557</v>
      </c>
      <c r="AY114" s="58">
        <v>9376</v>
      </c>
    </row>
    <row r="115" spans="48:51" ht="15" x14ac:dyDescent="0.25">
      <c r="AV115" s="26" t="s">
        <v>34</v>
      </c>
      <c r="AW115" s="62">
        <f t="shared" si="5"/>
        <v>-7600</v>
      </c>
      <c r="AX115" s="58">
        <v>7730</v>
      </c>
      <c r="AY115" s="58">
        <v>7600</v>
      </c>
    </row>
    <row r="116" spans="48:51" ht="15" x14ac:dyDescent="0.25">
      <c r="AV116" s="26" t="s">
        <v>35</v>
      </c>
      <c r="AW116" s="62">
        <f t="shared" si="5"/>
        <v>-6718</v>
      </c>
      <c r="AX116" s="58">
        <v>6531</v>
      </c>
      <c r="AY116" s="58">
        <v>6718</v>
      </c>
    </row>
    <row r="117" spans="48:51" ht="15" x14ac:dyDescent="0.25">
      <c r="AV117" s="26" t="s">
        <v>36</v>
      </c>
      <c r="AW117" s="62">
        <f t="shared" si="5"/>
        <v>-4168</v>
      </c>
      <c r="AX117" s="58">
        <v>3959</v>
      </c>
      <c r="AY117" s="58">
        <v>4168</v>
      </c>
    </row>
    <row r="118" spans="48:51" ht="15" x14ac:dyDescent="0.25">
      <c r="AV118" s="26" t="s">
        <v>37</v>
      </c>
      <c r="AW118" s="62">
        <f t="shared" si="5"/>
        <v>-2356</v>
      </c>
      <c r="AX118" s="58">
        <v>2365</v>
      </c>
      <c r="AY118" s="58">
        <v>2356</v>
      </c>
    </row>
    <row r="119" spans="48:51" ht="15" x14ac:dyDescent="0.25">
      <c r="AV119" s="26" t="s">
        <v>38</v>
      </c>
      <c r="AW119" s="62">
        <f t="shared" si="5"/>
        <v>-3784</v>
      </c>
      <c r="AX119" s="58">
        <v>3680</v>
      </c>
      <c r="AY119" s="58">
        <v>3784</v>
      </c>
    </row>
  </sheetData>
  <mergeCells count="2">
    <mergeCell ref="A1:T1"/>
    <mergeCell ref="A2:T2"/>
  </mergeCells>
  <phoneticPr fontId="24" type="noConversion"/>
  <pageMargins left="0.7" right="0.7" top="0.75" bottom="0.75" header="0.3" footer="0.3"/>
  <pageSetup paperSize="9" scale="4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3.2</vt:lpstr>
      <vt:lpstr>'3.2'!Print_Area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2024-07-29T05:53:44Z</cp:lastPrinted>
  <dcterms:created xsi:type="dcterms:W3CDTF">2019-07-22T06:02:33Z</dcterms:created>
  <dcterms:modified xsi:type="dcterms:W3CDTF">2024-07-29T05:54:21Z</dcterms:modified>
</cp:coreProperties>
</file>