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1C3432DC-9964-4B9E-8457-F9D4BFC8F77F}" xr6:coauthVersionLast="47" xr6:coauthVersionMax="47" xr10:uidLastSave="{00000000-0000-0000-0000-000000000000}"/>
  <bookViews>
    <workbookView xWindow="-120" yWindow="-120" windowWidth="29040" windowHeight="15720" tabRatio="584" xr2:uid="{00000000-000D-0000-FFFF-FFFF00000000}"/>
  </bookViews>
  <sheets>
    <sheet name="3.17" sheetId="17" r:id="rId1"/>
  </sheets>
  <externalReferences>
    <externalReference r:id="rId2"/>
    <externalReference r:id="rId3"/>
  </externalReferences>
  <definedNames>
    <definedName name="_xlnm.Print_Area" localSheetId="0">'3.17'!$A$1:$U$80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42" i="17" l="1"/>
  <c r="BS43" i="17"/>
  <c r="BS42" i="17"/>
  <c r="BT43" i="17"/>
  <c r="S9" i="17"/>
  <c r="T9" i="17"/>
  <c r="S10" i="17"/>
  <c r="T10" i="17"/>
  <c r="S12" i="17"/>
  <c r="S13" i="17"/>
  <c r="S14" i="17"/>
  <c r="T14" i="17"/>
  <c r="S15" i="17"/>
  <c r="T15" i="17"/>
  <c r="S16" i="17"/>
  <c r="T16" i="17"/>
  <c r="S17" i="17"/>
  <c r="S18" i="17"/>
  <c r="T18" i="17"/>
  <c r="S19" i="17"/>
  <c r="S20" i="17"/>
  <c r="S21" i="17"/>
  <c r="S22" i="17"/>
  <c r="T22" i="17"/>
  <c r="S23" i="17"/>
  <c r="T23" i="17"/>
  <c r="S24" i="17"/>
  <c r="T24" i="17"/>
  <c r="S25" i="17"/>
  <c r="T25" i="17"/>
  <c r="S26" i="17"/>
  <c r="T26" i="17"/>
  <c r="S27" i="17"/>
  <c r="T27" i="17"/>
  <c r="S28" i="17"/>
  <c r="T28" i="17"/>
  <c r="S29" i="17"/>
  <c r="T29" i="17"/>
  <c r="S30" i="17"/>
  <c r="S31" i="17"/>
  <c r="P31" i="17"/>
  <c r="T31" i="17" s="1"/>
  <c r="P30" i="17"/>
  <c r="T30" i="17" s="1"/>
  <c r="P21" i="17"/>
  <c r="T21" i="17" s="1"/>
  <c r="P20" i="17"/>
  <c r="T20" i="17" s="1"/>
  <c r="P19" i="17"/>
  <c r="T19" i="17" s="1"/>
  <c r="P17" i="17"/>
  <c r="T17" i="17" s="1"/>
  <c r="P15" i="17"/>
  <c r="P13" i="17"/>
  <c r="T13" i="17" s="1"/>
  <c r="P12" i="17"/>
  <c r="T12" i="17" s="1"/>
  <c r="R11" i="17"/>
  <c r="R8" i="17" s="1"/>
  <c r="Q11" i="17"/>
  <c r="Q8" i="17" s="1"/>
  <c r="O11" i="17"/>
  <c r="O8" i="17" s="1"/>
  <c r="BS44" i="17" l="1"/>
  <c r="P11" i="17"/>
  <c r="P8" i="17" l="1"/>
  <c r="BT44" i="17"/>
  <c r="BR43" i="17"/>
  <c r="BQ43" i="17"/>
  <c r="BR42" i="17"/>
  <c r="BQ42" i="17"/>
  <c r="N11" i="17"/>
  <c r="N8" i="17" s="1"/>
  <c r="M11" i="17"/>
  <c r="M8" i="17" s="1"/>
  <c r="L11" i="17"/>
  <c r="L8" i="17" s="1"/>
  <c r="K11" i="17"/>
  <c r="T11" i="17" l="1"/>
  <c r="T8" i="17"/>
  <c r="K8" i="17"/>
  <c r="S8" i="17" s="1"/>
  <c r="S11" i="17"/>
  <c r="BQ44" i="17"/>
  <c r="BR44" i="17"/>
  <c r="BP43" i="17" l="1"/>
  <c r="BO43" i="17"/>
  <c r="BN43" i="17"/>
  <c r="BM43" i="17"/>
  <c r="BL43" i="17"/>
  <c r="BK43" i="17"/>
  <c r="BJ43" i="17"/>
  <c r="BI43" i="17"/>
  <c r="BP42" i="17"/>
  <c r="BO42" i="17"/>
  <c r="BN42" i="17"/>
  <c r="BM42" i="17"/>
  <c r="BL42" i="17"/>
  <c r="BK42" i="17"/>
  <c r="BJ42" i="17"/>
  <c r="BI42" i="17"/>
  <c r="J11" i="17"/>
  <c r="J8" i="17" s="1"/>
  <c r="I11" i="17"/>
  <c r="I8" i="17" s="1"/>
  <c r="H11" i="17"/>
  <c r="BP44" i="17" s="1"/>
  <c r="G11" i="17"/>
  <c r="BO44" i="17" s="1"/>
  <c r="F11" i="17"/>
  <c r="F8" i="17" s="1"/>
  <c r="E11" i="17"/>
  <c r="E8" i="17" s="1"/>
  <c r="D11" i="17"/>
  <c r="BN44" i="17" s="1"/>
  <c r="C11" i="17"/>
  <c r="BM44" i="17" s="1"/>
  <c r="BL44" i="17"/>
  <c r="BJ44" i="17"/>
  <c r="BI44" i="17"/>
  <c r="G8" i="17" l="1"/>
  <c r="H8" i="17"/>
  <c r="D8" i="17"/>
  <c r="C8" i="17"/>
</calcChain>
</file>

<file path=xl/sharedStrings.xml><?xml version="1.0" encoding="utf-8"?>
<sst xmlns="http://schemas.openxmlformats.org/spreadsheetml/2006/main" count="97" uniqueCount="40">
  <si>
    <t>Locality</t>
  </si>
  <si>
    <t>Republic</t>
  </si>
  <si>
    <t>Hulhumale'</t>
  </si>
  <si>
    <t>Male'</t>
  </si>
  <si>
    <t>Atolls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</si>
  <si>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</si>
  <si>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</si>
  <si>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</si>
  <si>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</si>
  <si>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</si>
  <si>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</si>
  <si>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</si>
  <si>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</si>
  <si>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</si>
  <si>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</si>
  <si>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</si>
  <si>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</si>
  <si>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</si>
  <si>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</si>
  <si>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</si>
  <si>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</si>
  <si>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</si>
  <si>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</si>
  <si>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</si>
  <si>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K</t>
  </si>
  <si>
    <t>% Change over previous year of</t>
  </si>
  <si>
    <t>ކައިވެނި</t>
  </si>
  <si>
    <t>ވަރި</t>
  </si>
  <si>
    <t>ފަސްޚް</t>
  </si>
  <si>
    <t>ތަފްރީޤް</t>
  </si>
  <si>
    <t>Marriages</t>
  </si>
  <si>
    <t>Divorces</t>
  </si>
  <si>
    <t>Faskh</t>
  </si>
  <si>
    <t>Thafreeq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</si>
  <si>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</si>
  <si>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</si>
  <si>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Marriages </t>
  </si>
  <si>
    <t xml:space="preserve">Divorces </t>
  </si>
  <si>
    <t>ތާވަލު 3.17: މާލެ އާއި އަތޮޅުތަކުގައި ކުރެވުނު ކައިވެންޏާއި ވަރި، 2020 - 2023</t>
  </si>
  <si>
    <t>Table 3.17 :  MARRIAGES AND DIVORCES IN MALE' AND ATOLLS, 2020 - 2023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</si>
</sst>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4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5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9">
    <xf numFmtId="0" fontId="0" fillId="0" borderId="0" xfId="0"/>
    <xf numFmtId="167" fontId="12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locked="0"/>
    </xf>
    <xf numFmtId="167" fontId="15" fillId="2" borderId="0" xfId="11" applyNumberFormat="1" applyFont="1" applyFill="1" applyAlignment="1" applyProtection="1">
      <alignment horizontal="center" vertical="center" wrapText="1"/>
      <protection locked="0"/>
    </xf>
    <xf numFmtId="167" fontId="11" fillId="2" borderId="0" xfId="11" applyNumberFormat="1" applyFont="1" applyFill="1" applyAlignment="1" applyProtection="1">
      <alignment horizontal="center" vertical="center" wrapText="1"/>
      <protection locked="0"/>
    </xf>
    <xf numFmtId="1" fontId="11" fillId="2" borderId="0" xfId="11" applyNumberFormat="1" applyFont="1" applyFill="1" applyAlignment="1" applyProtection="1">
      <alignment horizontal="center" vertical="center" wrapText="1"/>
      <protection locked="0"/>
    </xf>
    <xf numFmtId="167" fontId="15" fillId="2" borderId="0" xfId="11" applyNumberFormat="1" applyFont="1" applyFill="1" applyAlignment="1" applyProtection="1">
      <alignment horizontal="center" vertical="center"/>
      <protection locked="0"/>
    </xf>
    <xf numFmtId="167" fontId="6" fillId="2" borderId="0" xfId="11" applyNumberFormat="1" applyFont="1" applyFill="1" applyAlignment="1" applyProtection="1">
      <alignment horizontal="right" vertical="center"/>
      <protection locked="0"/>
    </xf>
    <xf numFmtId="167" fontId="6" fillId="2" borderId="4" xfId="11" applyNumberFormat="1" applyFont="1" applyFill="1" applyBorder="1" applyAlignment="1" applyProtection="1">
      <alignment horizontal="right" vertical="center"/>
      <protection locked="0"/>
    </xf>
    <xf numFmtId="167" fontId="6" fillId="2" borderId="7" xfId="11" applyNumberFormat="1" applyFont="1" applyFill="1" applyBorder="1" applyAlignment="1" applyProtection="1">
      <alignment horizontal="right" vertical="center"/>
      <protection locked="0"/>
    </xf>
    <xf numFmtId="1" fontId="15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5" xfId="11" applyNumberFormat="1" applyFont="1" applyFill="1" applyBorder="1" applyAlignment="1" applyProtection="1">
      <alignment horizontal="right" vertical="center"/>
      <protection locked="0"/>
    </xf>
    <xf numFmtId="1" fontId="15" fillId="2" borderId="0" xfId="11" applyNumberFormat="1" applyFont="1" applyFill="1" applyAlignment="1" applyProtection="1">
      <alignment horizontal="right" vertical="center"/>
      <protection locked="0"/>
    </xf>
    <xf numFmtId="1" fontId="11" fillId="2" borderId="1" xfId="11" applyNumberFormat="1" applyFont="1" applyFill="1" applyBorder="1" applyAlignment="1" applyProtection="1">
      <alignment horizontal="right" vertical="center"/>
      <protection locked="0"/>
    </xf>
    <xf numFmtId="1" fontId="15" fillId="2" borderId="4" xfId="11" applyNumberFormat="1" applyFont="1" applyFill="1" applyBorder="1" applyAlignment="1" applyProtection="1">
      <alignment horizontal="right" vertical="center"/>
      <protection locked="0"/>
    </xf>
    <xf numFmtId="1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right" vertical="center"/>
      <protection locked="0"/>
    </xf>
    <xf numFmtId="167" fontId="9" fillId="2" borderId="0" xfId="11" applyNumberFormat="1" applyFont="1" applyFill="1" applyAlignment="1" applyProtection="1">
      <alignment vertical="center"/>
      <protection locked="0"/>
    </xf>
    <xf numFmtId="3" fontId="9" fillId="2" borderId="0" xfId="11" applyNumberFormat="1" applyFont="1" applyFill="1" applyAlignment="1" applyProtection="1">
      <alignment vertical="center"/>
      <protection locked="0"/>
    </xf>
    <xf numFmtId="3" fontId="9" fillId="2" borderId="0" xfId="11" applyNumberFormat="1" applyFont="1" applyFill="1" applyAlignment="1" applyProtection="1">
      <alignment horizontal="right" vertical="center"/>
      <protection hidden="1"/>
    </xf>
    <xf numFmtId="3" fontId="9" fillId="2" borderId="4" xfId="11" applyNumberFormat="1" applyFont="1" applyFill="1" applyBorder="1" applyAlignment="1" applyProtection="1">
      <alignment horizontal="right" vertical="center"/>
      <protection hidden="1"/>
    </xf>
    <xf numFmtId="1" fontId="11" fillId="2" borderId="0" xfId="11" applyNumberFormat="1" applyFont="1" applyFill="1" applyAlignment="1" applyProtection="1">
      <alignment vertical="center"/>
      <protection locked="0"/>
    </xf>
    <xf numFmtId="167" fontId="11" fillId="2" borderId="0" xfId="11" applyNumberFormat="1" applyFont="1" applyFill="1" applyAlignment="1" applyProtection="1">
      <alignment vertical="center"/>
      <protection hidden="1"/>
    </xf>
    <xf numFmtId="3" fontId="9" fillId="2" borderId="0" xfId="11" applyNumberFormat="1" applyFont="1" applyFill="1" applyAlignment="1" applyProtection="1">
      <alignment horizontal="right" vertical="center"/>
      <protection locked="0"/>
    </xf>
    <xf numFmtId="3" fontId="9" fillId="2" borderId="4" xfId="11" applyNumberFormat="1" applyFont="1" applyFill="1" applyBorder="1" applyAlignment="1" applyProtection="1">
      <alignment horizontal="right" vertical="center"/>
      <protection locked="0"/>
    </xf>
    <xf numFmtId="1" fontId="7" fillId="2" borderId="0" xfId="11" applyNumberFormat="1" applyFont="1" applyFill="1" applyAlignment="1" applyProtection="1">
      <alignment vertical="center"/>
      <protection locked="0"/>
    </xf>
    <xf numFmtId="167" fontId="9" fillId="2" borderId="0" xfId="11" applyNumberFormat="1" applyFont="1" applyFill="1" applyAlignment="1" applyProtection="1">
      <alignment horizontal="left" vertical="center"/>
      <protection locked="0"/>
    </xf>
    <xf numFmtId="1" fontId="12" fillId="2" borderId="0" xfId="11" applyNumberFormat="1" applyFont="1" applyFill="1" applyAlignment="1" applyProtection="1">
      <alignment vertical="center"/>
      <protection locked="0"/>
    </xf>
    <xf numFmtId="167" fontId="10" fillId="2" borderId="0" xfId="11" applyNumberFormat="1" applyFont="1" applyFill="1" applyAlignment="1" applyProtection="1">
      <alignment horizontal="left" vertical="center" indent="1"/>
      <protection locked="0"/>
    </xf>
    <xf numFmtId="3" fontId="10" fillId="2" borderId="0" xfId="11" applyNumberFormat="1" applyFont="1" applyFill="1" applyAlignment="1" applyProtection="1">
      <alignment vertical="center"/>
      <protection locked="0"/>
    </xf>
    <xf numFmtId="3" fontId="10" fillId="2" borderId="0" xfId="11" applyNumberFormat="1" applyFont="1" applyFill="1" applyAlignment="1" applyProtection="1">
      <alignment horizontal="right" vertical="center"/>
      <protection locked="0"/>
    </xf>
    <xf numFmtId="3" fontId="10" fillId="2" borderId="4" xfId="11" applyNumberFormat="1" applyFont="1" applyFill="1" applyBorder="1" applyAlignment="1" applyProtection="1">
      <alignment horizontal="right" vertical="center"/>
      <protection locked="0"/>
    </xf>
    <xf numFmtId="167" fontId="12" fillId="2" borderId="0" xfId="11" applyNumberFormat="1" applyFont="1" applyFill="1" applyAlignment="1" applyProtection="1">
      <alignment vertical="center"/>
      <protection hidden="1"/>
    </xf>
    <xf numFmtId="167" fontId="12" fillId="2" borderId="0" xfId="11" applyNumberFormat="1" applyFont="1" applyFill="1" applyAlignment="1" applyProtection="1">
      <alignment horizontal="center"/>
      <protection locked="0"/>
    </xf>
    <xf numFmtId="3" fontId="10" fillId="2" borderId="1" xfId="11" applyNumberFormat="1" applyFont="1" applyFill="1" applyBorder="1" applyAlignment="1" applyProtection="1">
      <alignment horizontal="left" vertical="center" indent="1"/>
      <protection locked="0"/>
    </xf>
    <xf numFmtId="3" fontId="10" fillId="2" borderId="1" xfId="11" applyNumberFormat="1" applyFont="1" applyFill="1" applyBorder="1" applyAlignment="1" applyProtection="1">
      <alignment horizontal="right" vertical="center"/>
      <protection locked="0"/>
    </xf>
    <xf numFmtId="3" fontId="10" fillId="2" borderId="5" xfId="11" applyNumberFormat="1" applyFont="1" applyFill="1" applyBorder="1" applyAlignment="1" applyProtection="1">
      <alignment horizontal="right" vertical="center"/>
      <protection locked="0"/>
    </xf>
    <xf numFmtId="167" fontId="17" fillId="2" borderId="0" xfId="11" applyNumberFormat="1" applyFont="1" applyFill="1" applyProtection="1">
      <protection locked="0"/>
    </xf>
    <xf numFmtId="167" fontId="17" fillId="2" borderId="0" xfId="11" applyNumberFormat="1" applyFont="1" applyFill="1" applyProtection="1">
      <protection hidden="1"/>
    </xf>
    <xf numFmtId="167" fontId="16" fillId="2" borderId="2" xfId="11" applyNumberFormat="1" applyFont="1" applyFill="1" applyBorder="1" applyProtection="1">
      <protection hidden="1"/>
    </xf>
    <xf numFmtId="1" fontId="13" fillId="2" borderId="0" xfId="11" applyNumberFormat="1" applyFont="1" applyFill="1" applyProtection="1">
      <protection hidden="1"/>
    </xf>
    <xf numFmtId="0" fontId="18" fillId="2" borderId="0" xfId="0" applyFont="1" applyFill="1"/>
    <xf numFmtId="167" fontId="12" fillId="2" borderId="0" xfId="11" applyNumberFormat="1" applyFont="1" applyFill="1" applyAlignment="1" applyProtection="1">
      <alignment horizontal="left" vertical="center"/>
      <protection locked="0"/>
    </xf>
    <xf numFmtId="167" fontId="12" fillId="2" borderId="0" xfId="11" applyNumberFormat="1" applyFont="1" applyFill="1" applyProtection="1">
      <protection locked="0"/>
    </xf>
    <xf numFmtId="1" fontId="12" fillId="2" borderId="0" xfId="11" applyNumberFormat="1" applyFont="1" applyFill="1" applyProtection="1">
      <protection locked="0"/>
    </xf>
    <xf numFmtId="3" fontId="11" fillId="2" borderId="0" xfId="11" applyNumberFormat="1" applyFont="1" applyFill="1" applyAlignment="1" applyProtection="1">
      <alignment horizontal="right" vertical="center"/>
      <protection locked="0"/>
    </xf>
    <xf numFmtId="167" fontId="11" fillId="2" borderId="0" xfId="11" applyNumberFormat="1" applyFont="1" applyFill="1" applyAlignment="1" applyProtection="1">
      <alignment horizontal="left" vertical="center"/>
      <protection locked="0"/>
    </xf>
    <xf numFmtId="3" fontId="11" fillId="2" borderId="0" xfId="11" applyNumberFormat="1" applyFont="1" applyFill="1" applyAlignment="1" applyProtection="1">
      <alignment horizontal="right" vertical="center"/>
      <protection hidden="1"/>
    </xf>
    <xf numFmtId="3" fontId="12" fillId="2" borderId="0" xfId="11" applyNumberFormat="1" applyFont="1" applyFill="1" applyAlignment="1" applyProtection="1">
      <alignment horizontal="right" vertical="center"/>
      <protection locked="0"/>
    </xf>
    <xf numFmtId="3" fontId="12" fillId="2" borderId="0" xfId="11" applyNumberFormat="1" applyFont="1" applyFill="1" applyAlignment="1" applyProtection="1">
      <alignment vertical="center"/>
      <protection locked="0"/>
    </xf>
    <xf numFmtId="167" fontId="12" fillId="2" borderId="0" xfId="11" applyNumberFormat="1" applyFont="1" applyFill="1" applyProtection="1">
      <protection hidden="1"/>
    </xf>
    <xf numFmtId="1" fontId="12" fillId="2" borderId="0" xfId="11" applyNumberFormat="1" applyFont="1" applyFill="1" applyProtection="1">
      <protection hidden="1"/>
    </xf>
    <xf numFmtId="1" fontId="7" fillId="2" borderId="4" xfId="11" applyNumberFormat="1" applyFont="1" applyFill="1" applyBorder="1" applyAlignment="1" applyProtection="1">
      <alignment vertical="center"/>
      <protection locked="0"/>
    </xf>
    <xf numFmtId="1" fontId="7" fillId="2" borderId="5" xfId="11" applyNumberFormat="1" applyFont="1" applyFill="1" applyBorder="1" applyAlignment="1" applyProtection="1">
      <alignment vertical="center"/>
      <protection locked="0"/>
    </xf>
    <xf numFmtId="1" fontId="7" fillId="2" borderId="1" xfId="11" applyNumberFormat="1" applyFont="1" applyFill="1" applyBorder="1" applyAlignment="1" applyProtection="1">
      <alignment vertical="center"/>
      <protection locked="0"/>
    </xf>
    <xf numFmtId="167" fontId="12" fillId="2" borderId="1" xfId="11" applyNumberFormat="1" applyFont="1" applyFill="1" applyBorder="1" applyAlignment="1" applyProtection="1">
      <alignment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4" fillId="2" borderId="0" xfId="11" applyNumberFormat="1" applyFont="1" applyFill="1" applyAlignment="1" applyProtection="1">
      <alignment horizontal="center" vertical="center" wrapText="1"/>
      <protection locked="0"/>
    </xf>
    <xf numFmtId="1" fontId="7" fillId="2" borderId="6" xfId="11" applyNumberFormat="1" applyFont="1" applyFill="1" applyBorder="1" applyAlignment="1" applyProtection="1">
      <alignment vertical="center"/>
      <protection locked="0"/>
    </xf>
    <xf numFmtId="1" fontId="7" fillId="2" borderId="2" xfId="11" applyNumberFormat="1" applyFont="1" applyFill="1" applyBorder="1" applyAlignment="1" applyProtection="1">
      <alignment vertical="center"/>
      <protection locked="0"/>
    </xf>
    <xf numFmtId="1" fontId="15" fillId="2" borderId="8" xfId="11" applyNumberFormat="1" applyFont="1" applyFill="1" applyBorder="1" applyAlignment="1" applyProtection="1">
      <alignment horizontal="right" vertical="center"/>
      <protection locked="0"/>
    </xf>
    <xf numFmtId="167" fontId="12" fillId="2" borderId="0" xfId="11" applyNumberFormat="1" applyFont="1" applyFill="1" applyAlignment="1" applyProtection="1">
      <alignment horizontal="center"/>
      <protection locked="0"/>
    </xf>
    <xf numFmtId="167" fontId="15" fillId="2" borderId="6" xfId="11" applyNumberFormat="1" applyFont="1" applyFill="1" applyBorder="1" applyAlignment="1" applyProtection="1">
      <alignment horizontal="center" vertical="center"/>
      <protection locked="0"/>
    </xf>
    <xf numFmtId="167" fontId="15" fillId="2" borderId="2" xfId="11" applyNumberFormat="1" applyFont="1" applyFill="1" applyBorder="1" applyAlignment="1" applyProtection="1">
      <alignment horizontal="center" vertical="center"/>
      <protection locked="0"/>
    </xf>
    <xf numFmtId="167" fontId="15" fillId="2" borderId="10" xfId="11" applyNumberFormat="1" applyFont="1" applyFill="1" applyBorder="1" applyAlignment="1" applyProtection="1">
      <alignment horizontal="center" vertical="center"/>
      <protection locked="0"/>
    </xf>
    <xf numFmtId="167" fontId="15" fillId="2" borderId="3" xfId="11" applyNumberFormat="1" applyFont="1" applyFill="1" applyBorder="1" applyAlignment="1" applyProtection="1">
      <alignment horizontal="center" vertical="center"/>
      <protection locked="0"/>
    </xf>
    <xf numFmtId="167" fontId="5" fillId="2" borderId="0" xfId="11" applyNumberFormat="1" applyFont="1" applyFill="1" applyAlignment="1" applyProtection="1">
      <alignment horizontal="center" vertical="center"/>
      <protection locked="0"/>
    </xf>
    <xf numFmtId="167" fontId="9" fillId="2" borderId="0" xfId="11" applyNumberFormat="1" applyFont="1" applyFill="1" applyAlignment="1" applyProtection="1">
      <alignment horizontal="center" vertical="center" wrapText="1"/>
      <protection locked="0"/>
    </xf>
    <xf numFmtId="167" fontId="15" fillId="2" borderId="2" xfId="11" applyNumberFormat="1" applyFont="1" applyFill="1" applyBorder="1" applyAlignment="1" applyProtection="1">
      <alignment horizontal="left" vertical="center"/>
      <protection locked="0"/>
    </xf>
    <xf numFmtId="167" fontId="15" fillId="2" borderId="0" xfId="11" applyNumberFormat="1" applyFont="1" applyFill="1" applyAlignment="1" applyProtection="1">
      <alignment horizontal="left" vertical="center"/>
      <protection locked="0"/>
    </xf>
    <xf numFmtId="167" fontId="15" fillId="2" borderId="1" xfId="11" applyNumberFormat="1" applyFont="1" applyFill="1" applyBorder="1" applyAlignment="1" applyProtection="1">
      <alignment horizontal="left" vertical="center"/>
      <protection locked="0"/>
    </xf>
    <xf numFmtId="1" fontId="15" fillId="2" borderId="6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2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10" xfId="11" applyNumberFormat="1" applyFont="1" applyFill="1" applyBorder="1" applyAlignment="1" applyProtection="1">
      <alignment horizontal="center" vertical="center" wrapText="1"/>
      <protection locked="0"/>
    </xf>
    <xf numFmtId="1" fontId="15" fillId="2" borderId="3" xfId="11" applyNumberFormat="1" applyFont="1" applyFill="1" applyBorder="1" applyAlignment="1" applyProtection="1">
      <alignment horizontal="center" vertical="center" wrapText="1"/>
      <protection locked="0"/>
    </xf>
    <xf numFmtId="167" fontId="15" fillId="2" borderId="9" xfId="11" applyNumberFormat="1" applyFont="1" applyFill="1" applyBorder="1" applyAlignment="1" applyProtection="1">
      <alignment horizontal="center" vertical="center"/>
      <protection locked="0"/>
    </xf>
    <xf numFmtId="167" fontId="15" fillId="2" borderId="11" xfId="11" applyNumberFormat="1" applyFont="1" applyFill="1" applyBorder="1" applyAlignment="1" applyProtection="1">
      <alignment horizontal="center" vertical="center"/>
      <protection locked="0"/>
    </xf>
    <xf numFmtId="1" fontId="11" fillId="2" borderId="0" xfId="11" applyNumberFormat="1" applyFont="1" applyFill="1" applyAlignment="1" applyProtection="1">
      <alignment horizontal="center" vertical="center"/>
      <protection locked="0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3 - Population" xfId="11" xr:uid="{00000000-0005-0000-0000-00001C000000}"/>
  </cellStyles>
  <dxfs count="0"/>
  <tableStyles count="0" defaultTableStyle="TableStyleMedium2" defaultPivotStyle="PivotStyleLight16"/>
  <colors>
    <mruColors>
      <color rgb="FF00DFDA"/>
      <color rgb="FF009999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/>
              <a:t>Figure 3.19: Marriages and Divorces in Male', Hulhumale'  and Atolls, 2020 - 2023</a:t>
            </a:r>
          </a:p>
        </c:rich>
      </c:tx>
      <c:layout>
        <c:manualLayout>
          <c:xMode val="edge"/>
          <c:yMode val="edge"/>
          <c:x val="0.18862319043834039"/>
          <c:y val="5.31356112661737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29094401141506E-2"/>
          <c:y val="0.17123845223492679"/>
          <c:w val="0.8782754341900284"/>
          <c:h val="0.6076788688342912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'3.17'!$AR$42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006F6C"/>
            </a:solidFill>
          </c:spPr>
          <c:invertIfNegative val="0"/>
          <c:cat>
            <c:multiLvlStrRef>
              <c:f>'3.17'!$BM$40:$BT$41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2020 </c:v>
                  </c:pt>
                  <c:pt idx="2">
                    <c:v>2021 </c:v>
                  </c:pt>
                  <c:pt idx="4">
                    <c:v>2022 </c:v>
                  </c:pt>
                  <c:pt idx="6">
                    <c:v>2023 </c:v>
                  </c:pt>
                </c:lvl>
              </c:multiLvlStrCache>
            </c:multiLvlStrRef>
          </c:cat>
          <c:val>
            <c:numRef>
              <c:f>'3.17'!$BM$42:$BT$42</c:f>
              <c:numCache>
                <c:formatCode>General_)</c:formatCode>
                <c:ptCount val="8"/>
                <c:pt idx="0">
                  <c:v>1995</c:v>
                </c:pt>
                <c:pt idx="1">
                  <c:v>928</c:v>
                </c:pt>
                <c:pt idx="2">
                  <c:v>2396</c:v>
                </c:pt>
                <c:pt idx="3">
                  <c:v>1191</c:v>
                </c:pt>
                <c:pt idx="4">
                  <c:v>2514</c:v>
                </c:pt>
                <c:pt idx="5">
                  <c:v>1297</c:v>
                </c:pt>
                <c:pt idx="6">
                  <c:v>2425</c:v>
                </c:pt>
                <c:pt idx="7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5-4C59-A154-E1DB424A89EF}"/>
            </c:ext>
          </c:extLst>
        </c:ser>
        <c:ser>
          <c:idx val="7"/>
          <c:order val="1"/>
          <c:tx>
            <c:strRef>
              <c:f>'3.17'!$AR$43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multiLvlStrRef>
              <c:f>'3.17'!$BM$40:$BT$41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2020 </c:v>
                  </c:pt>
                  <c:pt idx="2">
                    <c:v>2021 </c:v>
                  </c:pt>
                  <c:pt idx="4">
                    <c:v>2022 </c:v>
                  </c:pt>
                  <c:pt idx="6">
                    <c:v>2023 </c:v>
                  </c:pt>
                </c:lvl>
              </c:multiLvlStrCache>
            </c:multiLvlStrRef>
          </c:cat>
          <c:val>
            <c:numRef>
              <c:f>'3.17'!$BM$43:$BT$43</c:f>
              <c:numCache>
                <c:formatCode>General_)</c:formatCode>
                <c:ptCount val="8"/>
                <c:pt idx="0">
                  <c:v>237</c:v>
                </c:pt>
                <c:pt idx="1">
                  <c:v>173</c:v>
                </c:pt>
                <c:pt idx="2">
                  <c:v>330</c:v>
                </c:pt>
                <c:pt idx="3">
                  <c:v>247</c:v>
                </c:pt>
                <c:pt idx="4">
                  <c:v>441</c:v>
                </c:pt>
                <c:pt idx="5">
                  <c:v>309</c:v>
                </c:pt>
                <c:pt idx="6">
                  <c:v>508</c:v>
                </c:pt>
                <c:pt idx="7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5-4C59-A154-E1DB424A89EF}"/>
            </c:ext>
          </c:extLst>
        </c:ser>
        <c:ser>
          <c:idx val="0"/>
          <c:order val="2"/>
          <c:tx>
            <c:strRef>
              <c:f>'3.17'!$AR$44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multiLvlStrRef>
              <c:f>'3.17'!$BM$40:$BT$41</c:f>
              <c:multiLvlStrCache>
                <c:ptCount val="8"/>
                <c:lvl>
                  <c:pt idx="0">
                    <c:v>Marriages </c:v>
                  </c:pt>
                  <c:pt idx="1">
                    <c:v>Divorces </c:v>
                  </c:pt>
                  <c:pt idx="2">
                    <c:v>Marriages </c:v>
                  </c:pt>
                  <c:pt idx="3">
                    <c:v>Divorces </c:v>
                  </c:pt>
                  <c:pt idx="4">
                    <c:v>Marriages </c:v>
                  </c:pt>
                  <c:pt idx="5">
                    <c:v>Divorces </c:v>
                  </c:pt>
                  <c:pt idx="6">
                    <c:v>Marriages </c:v>
                  </c:pt>
                  <c:pt idx="7">
                    <c:v>Divorces </c:v>
                  </c:pt>
                </c:lvl>
                <c:lvl>
                  <c:pt idx="0">
                    <c:v>2020 </c:v>
                  </c:pt>
                  <c:pt idx="2">
                    <c:v>2021 </c:v>
                  </c:pt>
                  <c:pt idx="4">
                    <c:v>2022 </c:v>
                  </c:pt>
                  <c:pt idx="6">
                    <c:v>2023 </c:v>
                  </c:pt>
                </c:lvl>
              </c:multiLvlStrCache>
            </c:multiLvlStrRef>
          </c:cat>
          <c:val>
            <c:numRef>
              <c:f>'3.17'!$BM$44:$BT$44</c:f>
              <c:numCache>
                <c:formatCode>General_)</c:formatCode>
                <c:ptCount val="8"/>
                <c:pt idx="0">
                  <c:v>2766</c:v>
                </c:pt>
                <c:pt idx="1">
                  <c:v>1883</c:v>
                </c:pt>
                <c:pt idx="2">
                  <c:v>2688</c:v>
                </c:pt>
                <c:pt idx="3">
                  <c:v>1804</c:v>
                </c:pt>
                <c:pt idx="4">
                  <c:v>2798</c:v>
                </c:pt>
                <c:pt idx="5">
                  <c:v>1705</c:v>
                </c:pt>
                <c:pt idx="6">
                  <c:v>2440</c:v>
                </c:pt>
                <c:pt idx="7">
                  <c:v>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5-4C59-A154-E1DB424A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3480"/>
        <c:axId val="504216224"/>
      </c:barChart>
      <c:catAx>
        <c:axId val="50421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6224"/>
        <c:crosses val="autoZero"/>
        <c:auto val="1"/>
        <c:lblAlgn val="ctr"/>
        <c:lblOffset val="100"/>
        <c:noMultiLvlLbl val="0"/>
      </c:catAx>
      <c:valAx>
        <c:axId val="504216224"/>
        <c:scaling>
          <c:orientation val="minMax"/>
          <c:max val="4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116306707395364E-2"/>
              <c:y val="5.520890969709867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348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026545316647705"/>
          <c:y val="0.20319973516823911"/>
          <c:w val="0.327658906117964"/>
          <c:h val="9.4525391533265529E-2"/>
        </c:manualLayout>
      </c:layout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/>
              <a:t>Figure 3.20: Marriages and Divorces by Atolls, 2023</a:t>
            </a:r>
          </a:p>
        </c:rich>
      </c:tx>
      <c:layout>
        <c:manualLayout>
          <c:xMode val="edge"/>
          <c:yMode val="edge"/>
          <c:x val="0.24892840351615703"/>
          <c:y val="4.80721901898892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130214770483917E-2"/>
          <c:y val="0.17163971611049528"/>
          <c:w val="0.91379665618722206"/>
          <c:h val="0.724822356222581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'3.17'!$K$7</c:f>
              <c:strCache>
                <c:ptCount val="1"/>
                <c:pt idx="0">
                  <c:v>Marriages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'3.17'!$O$12:$O$31</c:f>
              <c:numCache>
                <c:formatCode>#,##0</c:formatCode>
                <c:ptCount val="20"/>
                <c:pt idx="0">
                  <c:v>110</c:v>
                </c:pt>
                <c:pt idx="1">
                  <c:v>234</c:v>
                </c:pt>
                <c:pt idx="2">
                  <c:v>112</c:v>
                </c:pt>
                <c:pt idx="3">
                  <c:v>139</c:v>
                </c:pt>
                <c:pt idx="4">
                  <c:v>174</c:v>
                </c:pt>
                <c:pt idx="5">
                  <c:v>87</c:v>
                </c:pt>
                <c:pt idx="6">
                  <c:v>114</c:v>
                </c:pt>
                <c:pt idx="7">
                  <c:v>183</c:v>
                </c:pt>
                <c:pt idx="8">
                  <c:v>89</c:v>
                </c:pt>
                <c:pt idx="9">
                  <c:v>86</c:v>
                </c:pt>
                <c:pt idx="10">
                  <c:v>8</c:v>
                </c:pt>
                <c:pt idx="11">
                  <c:v>38</c:v>
                </c:pt>
                <c:pt idx="12">
                  <c:v>41</c:v>
                </c:pt>
                <c:pt idx="13">
                  <c:v>58</c:v>
                </c:pt>
                <c:pt idx="14">
                  <c:v>78</c:v>
                </c:pt>
                <c:pt idx="15">
                  <c:v>186</c:v>
                </c:pt>
                <c:pt idx="16">
                  <c:v>114</c:v>
                </c:pt>
                <c:pt idx="17">
                  <c:v>174</c:v>
                </c:pt>
                <c:pt idx="18">
                  <c:v>117</c:v>
                </c:pt>
                <c:pt idx="19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E-4DC1-8E7A-D34232CDBAFB}"/>
            </c:ext>
          </c:extLst>
        </c:ser>
        <c:ser>
          <c:idx val="2"/>
          <c:order val="1"/>
          <c:tx>
            <c:strRef>
              <c:f>'3.17'!$L$7</c:f>
              <c:strCache>
                <c:ptCount val="1"/>
                <c:pt idx="0">
                  <c:v>Divorces</c:v>
                </c:pt>
              </c:strCache>
            </c:strRef>
          </c:tx>
          <c:invertIfNegative val="0"/>
          <c:cat>
            <c:strRef>
              <c:f>'3.17'!$A$12:$A$31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'3.17'!$P$12:$P$31</c:f>
              <c:numCache>
                <c:formatCode>General_)</c:formatCode>
                <c:ptCount val="20"/>
                <c:pt idx="0">
                  <c:v>71</c:v>
                </c:pt>
                <c:pt idx="1">
                  <c:v>171</c:v>
                </c:pt>
                <c:pt idx="2">
                  <c:v>88</c:v>
                </c:pt>
                <c:pt idx="3">
                  <c:v>99</c:v>
                </c:pt>
                <c:pt idx="4">
                  <c:v>115</c:v>
                </c:pt>
                <c:pt idx="5">
                  <c:v>63</c:v>
                </c:pt>
                <c:pt idx="6">
                  <c:v>83</c:v>
                </c:pt>
                <c:pt idx="7">
                  <c:v>96</c:v>
                </c:pt>
                <c:pt idx="8">
                  <c:v>77</c:v>
                </c:pt>
                <c:pt idx="9">
                  <c:v>64</c:v>
                </c:pt>
                <c:pt idx="10">
                  <c:v>13</c:v>
                </c:pt>
                <c:pt idx="11">
                  <c:v>41</c:v>
                </c:pt>
                <c:pt idx="12">
                  <c:v>29</c:v>
                </c:pt>
                <c:pt idx="13">
                  <c:v>40</c:v>
                </c:pt>
                <c:pt idx="14">
                  <c:v>87</c:v>
                </c:pt>
                <c:pt idx="15">
                  <c:v>132</c:v>
                </c:pt>
                <c:pt idx="16">
                  <c:v>97</c:v>
                </c:pt>
                <c:pt idx="17">
                  <c:v>119</c:v>
                </c:pt>
                <c:pt idx="18">
                  <c:v>101</c:v>
                </c:pt>
                <c:pt idx="19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E-4DC1-8E7A-D34232CD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216616"/>
        <c:axId val="504218184"/>
      </c:barChart>
      <c:catAx>
        <c:axId val="50421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8184"/>
        <c:crosses val="autoZero"/>
        <c:auto val="1"/>
        <c:lblAlgn val="ctr"/>
        <c:lblOffset val="100"/>
        <c:noMultiLvlLbl val="0"/>
      </c:catAx>
      <c:valAx>
        <c:axId val="504218184"/>
        <c:scaling>
          <c:orientation val="minMax"/>
          <c:max val="350"/>
        </c:scaling>
        <c:delete val="0"/>
        <c:axPos val="l"/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6616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65760153822871148"/>
          <c:y val="0.23739842446914713"/>
          <c:w val="0.24075626139952849"/>
          <c:h val="0.1379578293891916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4066</xdr:rowOff>
    </xdr:from>
    <xdr:to>
      <xdr:col>19</xdr:col>
      <xdr:colOff>306160</xdr:colOff>
      <xdr:row>54</xdr:row>
      <xdr:rowOff>13803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7326</xdr:colOff>
      <xdr:row>54</xdr:row>
      <xdr:rowOff>145221</xdr:rowOff>
    </xdr:from>
    <xdr:to>
      <xdr:col>19</xdr:col>
      <xdr:colOff>285749</xdr:colOff>
      <xdr:row>77</xdr:row>
      <xdr:rowOff>69020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FK1039"/>
  <sheetViews>
    <sheetView tabSelected="1" zoomScale="53" zoomScaleNormal="53" zoomScaleSheetLayoutView="35" workbookViewId="0">
      <selection activeCell="AG64" sqref="AG64"/>
    </sheetView>
  </sheetViews>
  <sheetFormatPr defaultRowHeight="12.75" x14ac:dyDescent="0.2"/>
  <cols>
    <col min="1" max="1" width="16.7109375" style="50" customWidth="1"/>
    <col min="2" max="2" width="1.7109375" style="51" customWidth="1"/>
    <col min="3" max="18" width="8.85546875" style="51" customWidth="1"/>
    <col min="19" max="19" width="11.140625" style="51" customWidth="1"/>
    <col min="20" max="21" width="11.85546875" style="50" customWidth="1"/>
    <col min="22" max="42" width="18" style="43" customWidth="1"/>
    <col min="43" max="43" width="6.28515625" style="43" customWidth="1"/>
    <col min="44" max="44" width="7" style="43" customWidth="1"/>
    <col min="45" max="50" width="6.28515625" style="43" hidden="1" customWidth="1"/>
    <col min="51" max="54" width="0" style="43" hidden="1" customWidth="1"/>
    <col min="55" max="167" width="9.140625" style="43"/>
    <col min="168" max="255" width="9.140625" style="50"/>
    <col min="256" max="256" width="11.7109375" style="50" customWidth="1"/>
    <col min="257" max="271" width="0" style="50" hidden="1" customWidth="1"/>
    <col min="272" max="275" width="8.85546875" style="50" customWidth="1"/>
    <col min="276" max="276" width="1.85546875" style="50" customWidth="1"/>
    <col min="277" max="280" width="8.85546875" style="50" customWidth="1"/>
    <col min="281" max="281" width="1.85546875" style="50" customWidth="1"/>
    <col min="282" max="285" width="8.85546875" style="50" customWidth="1"/>
    <col min="286" max="286" width="11.140625" style="50" customWidth="1"/>
    <col min="287" max="288" width="11.85546875" style="50" customWidth="1"/>
    <col min="289" max="298" width="18" style="50" customWidth="1"/>
    <col min="299" max="299" width="6.28515625" style="50" customWidth="1"/>
    <col min="300" max="300" width="7" style="50" customWidth="1"/>
    <col min="301" max="306" width="6.28515625" style="50" customWidth="1"/>
    <col min="307" max="511" width="9.140625" style="50"/>
    <col min="512" max="512" width="11.7109375" style="50" customWidth="1"/>
    <col min="513" max="527" width="0" style="50" hidden="1" customWidth="1"/>
    <col min="528" max="531" width="8.85546875" style="50" customWidth="1"/>
    <col min="532" max="532" width="1.85546875" style="50" customWidth="1"/>
    <col min="533" max="536" width="8.85546875" style="50" customWidth="1"/>
    <col min="537" max="537" width="1.85546875" style="50" customWidth="1"/>
    <col min="538" max="541" width="8.85546875" style="50" customWidth="1"/>
    <col min="542" max="542" width="11.140625" style="50" customWidth="1"/>
    <col min="543" max="544" width="11.85546875" style="50" customWidth="1"/>
    <col min="545" max="554" width="18" style="50" customWidth="1"/>
    <col min="555" max="555" width="6.28515625" style="50" customWidth="1"/>
    <col min="556" max="556" width="7" style="50" customWidth="1"/>
    <col min="557" max="562" width="6.28515625" style="50" customWidth="1"/>
    <col min="563" max="767" width="9.140625" style="50"/>
    <col min="768" max="768" width="11.7109375" style="50" customWidth="1"/>
    <col min="769" max="783" width="0" style="50" hidden="1" customWidth="1"/>
    <col min="784" max="787" width="8.85546875" style="50" customWidth="1"/>
    <col min="788" max="788" width="1.85546875" style="50" customWidth="1"/>
    <col min="789" max="792" width="8.85546875" style="50" customWidth="1"/>
    <col min="793" max="793" width="1.85546875" style="50" customWidth="1"/>
    <col min="794" max="797" width="8.85546875" style="50" customWidth="1"/>
    <col min="798" max="798" width="11.140625" style="50" customWidth="1"/>
    <col min="799" max="800" width="11.85546875" style="50" customWidth="1"/>
    <col min="801" max="810" width="18" style="50" customWidth="1"/>
    <col min="811" max="811" width="6.28515625" style="50" customWidth="1"/>
    <col min="812" max="812" width="7" style="50" customWidth="1"/>
    <col min="813" max="818" width="6.28515625" style="50" customWidth="1"/>
    <col min="819" max="1023" width="9.140625" style="50"/>
    <col min="1024" max="1024" width="11.7109375" style="50" customWidth="1"/>
    <col min="1025" max="1039" width="0" style="50" hidden="1" customWidth="1"/>
    <col min="1040" max="1043" width="8.85546875" style="50" customWidth="1"/>
    <col min="1044" max="1044" width="1.85546875" style="50" customWidth="1"/>
    <col min="1045" max="1048" width="8.85546875" style="50" customWidth="1"/>
    <col min="1049" max="1049" width="1.85546875" style="50" customWidth="1"/>
    <col min="1050" max="1053" width="8.85546875" style="50" customWidth="1"/>
    <col min="1054" max="1054" width="11.140625" style="50" customWidth="1"/>
    <col min="1055" max="1056" width="11.85546875" style="50" customWidth="1"/>
    <col min="1057" max="1066" width="18" style="50" customWidth="1"/>
    <col min="1067" max="1067" width="6.28515625" style="50" customWidth="1"/>
    <col min="1068" max="1068" width="7" style="50" customWidth="1"/>
    <col min="1069" max="1074" width="6.28515625" style="50" customWidth="1"/>
    <col min="1075" max="1279" width="9.140625" style="50"/>
    <col min="1280" max="1280" width="11.7109375" style="50" customWidth="1"/>
    <col min="1281" max="1295" width="0" style="50" hidden="1" customWidth="1"/>
    <col min="1296" max="1299" width="8.85546875" style="50" customWidth="1"/>
    <col min="1300" max="1300" width="1.85546875" style="50" customWidth="1"/>
    <col min="1301" max="1304" width="8.85546875" style="50" customWidth="1"/>
    <col min="1305" max="1305" width="1.85546875" style="50" customWidth="1"/>
    <col min="1306" max="1309" width="8.85546875" style="50" customWidth="1"/>
    <col min="1310" max="1310" width="11.140625" style="50" customWidth="1"/>
    <col min="1311" max="1312" width="11.85546875" style="50" customWidth="1"/>
    <col min="1313" max="1322" width="18" style="50" customWidth="1"/>
    <col min="1323" max="1323" width="6.28515625" style="50" customWidth="1"/>
    <col min="1324" max="1324" width="7" style="50" customWidth="1"/>
    <col min="1325" max="1330" width="6.28515625" style="50" customWidth="1"/>
    <col min="1331" max="1535" width="9.140625" style="50"/>
    <col min="1536" max="1536" width="11.7109375" style="50" customWidth="1"/>
    <col min="1537" max="1551" width="0" style="50" hidden="1" customWidth="1"/>
    <col min="1552" max="1555" width="8.85546875" style="50" customWidth="1"/>
    <col min="1556" max="1556" width="1.85546875" style="50" customWidth="1"/>
    <col min="1557" max="1560" width="8.85546875" style="50" customWidth="1"/>
    <col min="1561" max="1561" width="1.85546875" style="50" customWidth="1"/>
    <col min="1562" max="1565" width="8.85546875" style="50" customWidth="1"/>
    <col min="1566" max="1566" width="11.140625" style="50" customWidth="1"/>
    <col min="1567" max="1568" width="11.85546875" style="50" customWidth="1"/>
    <col min="1569" max="1578" width="18" style="50" customWidth="1"/>
    <col min="1579" max="1579" width="6.28515625" style="50" customWidth="1"/>
    <col min="1580" max="1580" width="7" style="50" customWidth="1"/>
    <col min="1581" max="1586" width="6.28515625" style="50" customWidth="1"/>
    <col min="1587" max="1791" width="9.140625" style="50"/>
    <col min="1792" max="1792" width="11.7109375" style="50" customWidth="1"/>
    <col min="1793" max="1807" width="0" style="50" hidden="1" customWidth="1"/>
    <col min="1808" max="1811" width="8.85546875" style="50" customWidth="1"/>
    <col min="1812" max="1812" width="1.85546875" style="50" customWidth="1"/>
    <col min="1813" max="1816" width="8.85546875" style="50" customWidth="1"/>
    <col min="1817" max="1817" width="1.85546875" style="50" customWidth="1"/>
    <col min="1818" max="1821" width="8.85546875" style="50" customWidth="1"/>
    <col min="1822" max="1822" width="11.140625" style="50" customWidth="1"/>
    <col min="1823" max="1824" width="11.85546875" style="50" customWidth="1"/>
    <col min="1825" max="1834" width="18" style="50" customWidth="1"/>
    <col min="1835" max="1835" width="6.28515625" style="50" customWidth="1"/>
    <col min="1836" max="1836" width="7" style="50" customWidth="1"/>
    <col min="1837" max="1842" width="6.28515625" style="50" customWidth="1"/>
    <col min="1843" max="2047" width="9.140625" style="50"/>
    <col min="2048" max="2048" width="11.7109375" style="50" customWidth="1"/>
    <col min="2049" max="2063" width="0" style="50" hidden="1" customWidth="1"/>
    <col min="2064" max="2067" width="8.85546875" style="50" customWidth="1"/>
    <col min="2068" max="2068" width="1.85546875" style="50" customWidth="1"/>
    <col min="2069" max="2072" width="8.85546875" style="50" customWidth="1"/>
    <col min="2073" max="2073" width="1.85546875" style="50" customWidth="1"/>
    <col min="2074" max="2077" width="8.85546875" style="50" customWidth="1"/>
    <col min="2078" max="2078" width="11.140625" style="50" customWidth="1"/>
    <col min="2079" max="2080" width="11.85546875" style="50" customWidth="1"/>
    <col min="2081" max="2090" width="18" style="50" customWidth="1"/>
    <col min="2091" max="2091" width="6.28515625" style="50" customWidth="1"/>
    <col min="2092" max="2092" width="7" style="50" customWidth="1"/>
    <col min="2093" max="2098" width="6.28515625" style="50" customWidth="1"/>
    <col min="2099" max="2303" width="9.140625" style="50"/>
    <col min="2304" max="2304" width="11.7109375" style="50" customWidth="1"/>
    <col min="2305" max="2319" width="0" style="50" hidden="1" customWidth="1"/>
    <col min="2320" max="2323" width="8.85546875" style="50" customWidth="1"/>
    <col min="2324" max="2324" width="1.85546875" style="50" customWidth="1"/>
    <col min="2325" max="2328" width="8.85546875" style="50" customWidth="1"/>
    <col min="2329" max="2329" width="1.85546875" style="50" customWidth="1"/>
    <col min="2330" max="2333" width="8.85546875" style="50" customWidth="1"/>
    <col min="2334" max="2334" width="11.140625" style="50" customWidth="1"/>
    <col min="2335" max="2336" width="11.85546875" style="50" customWidth="1"/>
    <col min="2337" max="2346" width="18" style="50" customWidth="1"/>
    <col min="2347" max="2347" width="6.28515625" style="50" customWidth="1"/>
    <col min="2348" max="2348" width="7" style="50" customWidth="1"/>
    <col min="2349" max="2354" width="6.28515625" style="50" customWidth="1"/>
    <col min="2355" max="2559" width="9.140625" style="50"/>
    <col min="2560" max="2560" width="11.7109375" style="50" customWidth="1"/>
    <col min="2561" max="2575" width="0" style="50" hidden="1" customWidth="1"/>
    <col min="2576" max="2579" width="8.85546875" style="50" customWidth="1"/>
    <col min="2580" max="2580" width="1.85546875" style="50" customWidth="1"/>
    <col min="2581" max="2584" width="8.85546875" style="50" customWidth="1"/>
    <col min="2585" max="2585" width="1.85546875" style="50" customWidth="1"/>
    <col min="2586" max="2589" width="8.85546875" style="50" customWidth="1"/>
    <col min="2590" max="2590" width="11.140625" style="50" customWidth="1"/>
    <col min="2591" max="2592" width="11.85546875" style="50" customWidth="1"/>
    <col min="2593" max="2602" width="18" style="50" customWidth="1"/>
    <col min="2603" max="2603" width="6.28515625" style="50" customWidth="1"/>
    <col min="2604" max="2604" width="7" style="50" customWidth="1"/>
    <col min="2605" max="2610" width="6.28515625" style="50" customWidth="1"/>
    <col min="2611" max="2815" width="9.140625" style="50"/>
    <col min="2816" max="2816" width="11.7109375" style="50" customWidth="1"/>
    <col min="2817" max="2831" width="0" style="50" hidden="1" customWidth="1"/>
    <col min="2832" max="2835" width="8.85546875" style="50" customWidth="1"/>
    <col min="2836" max="2836" width="1.85546875" style="50" customWidth="1"/>
    <col min="2837" max="2840" width="8.85546875" style="50" customWidth="1"/>
    <col min="2841" max="2841" width="1.85546875" style="50" customWidth="1"/>
    <col min="2842" max="2845" width="8.85546875" style="50" customWidth="1"/>
    <col min="2846" max="2846" width="11.140625" style="50" customWidth="1"/>
    <col min="2847" max="2848" width="11.85546875" style="50" customWidth="1"/>
    <col min="2849" max="2858" width="18" style="50" customWidth="1"/>
    <col min="2859" max="2859" width="6.28515625" style="50" customWidth="1"/>
    <col min="2860" max="2860" width="7" style="50" customWidth="1"/>
    <col min="2861" max="2866" width="6.28515625" style="50" customWidth="1"/>
    <col min="2867" max="3071" width="9.140625" style="50"/>
    <col min="3072" max="3072" width="11.7109375" style="50" customWidth="1"/>
    <col min="3073" max="3087" width="0" style="50" hidden="1" customWidth="1"/>
    <col min="3088" max="3091" width="8.85546875" style="50" customWidth="1"/>
    <col min="3092" max="3092" width="1.85546875" style="50" customWidth="1"/>
    <col min="3093" max="3096" width="8.85546875" style="50" customWidth="1"/>
    <col min="3097" max="3097" width="1.85546875" style="50" customWidth="1"/>
    <col min="3098" max="3101" width="8.85546875" style="50" customWidth="1"/>
    <col min="3102" max="3102" width="11.140625" style="50" customWidth="1"/>
    <col min="3103" max="3104" width="11.85546875" style="50" customWidth="1"/>
    <col min="3105" max="3114" width="18" style="50" customWidth="1"/>
    <col min="3115" max="3115" width="6.28515625" style="50" customWidth="1"/>
    <col min="3116" max="3116" width="7" style="50" customWidth="1"/>
    <col min="3117" max="3122" width="6.28515625" style="50" customWidth="1"/>
    <col min="3123" max="3327" width="9.140625" style="50"/>
    <col min="3328" max="3328" width="11.7109375" style="50" customWidth="1"/>
    <col min="3329" max="3343" width="0" style="50" hidden="1" customWidth="1"/>
    <col min="3344" max="3347" width="8.85546875" style="50" customWidth="1"/>
    <col min="3348" max="3348" width="1.85546875" style="50" customWidth="1"/>
    <col min="3349" max="3352" width="8.85546875" style="50" customWidth="1"/>
    <col min="3353" max="3353" width="1.85546875" style="50" customWidth="1"/>
    <col min="3354" max="3357" width="8.85546875" style="50" customWidth="1"/>
    <col min="3358" max="3358" width="11.140625" style="50" customWidth="1"/>
    <col min="3359" max="3360" width="11.85546875" style="50" customWidth="1"/>
    <col min="3361" max="3370" width="18" style="50" customWidth="1"/>
    <col min="3371" max="3371" width="6.28515625" style="50" customWidth="1"/>
    <col min="3372" max="3372" width="7" style="50" customWidth="1"/>
    <col min="3373" max="3378" width="6.28515625" style="50" customWidth="1"/>
    <col min="3379" max="3583" width="9.140625" style="50"/>
    <col min="3584" max="3584" width="11.7109375" style="50" customWidth="1"/>
    <col min="3585" max="3599" width="0" style="50" hidden="1" customWidth="1"/>
    <col min="3600" max="3603" width="8.85546875" style="50" customWidth="1"/>
    <col min="3604" max="3604" width="1.85546875" style="50" customWidth="1"/>
    <col min="3605" max="3608" width="8.85546875" style="50" customWidth="1"/>
    <col min="3609" max="3609" width="1.85546875" style="50" customWidth="1"/>
    <col min="3610" max="3613" width="8.85546875" style="50" customWidth="1"/>
    <col min="3614" max="3614" width="11.140625" style="50" customWidth="1"/>
    <col min="3615" max="3616" width="11.85546875" style="50" customWidth="1"/>
    <col min="3617" max="3626" width="18" style="50" customWidth="1"/>
    <col min="3627" max="3627" width="6.28515625" style="50" customWidth="1"/>
    <col min="3628" max="3628" width="7" style="50" customWidth="1"/>
    <col min="3629" max="3634" width="6.28515625" style="50" customWidth="1"/>
    <col min="3635" max="3839" width="9.140625" style="50"/>
    <col min="3840" max="3840" width="11.7109375" style="50" customWidth="1"/>
    <col min="3841" max="3855" width="0" style="50" hidden="1" customWidth="1"/>
    <col min="3856" max="3859" width="8.85546875" style="50" customWidth="1"/>
    <col min="3860" max="3860" width="1.85546875" style="50" customWidth="1"/>
    <col min="3861" max="3864" width="8.85546875" style="50" customWidth="1"/>
    <col min="3865" max="3865" width="1.85546875" style="50" customWidth="1"/>
    <col min="3866" max="3869" width="8.85546875" style="50" customWidth="1"/>
    <col min="3870" max="3870" width="11.140625" style="50" customWidth="1"/>
    <col min="3871" max="3872" width="11.85546875" style="50" customWidth="1"/>
    <col min="3873" max="3882" width="18" style="50" customWidth="1"/>
    <col min="3883" max="3883" width="6.28515625" style="50" customWidth="1"/>
    <col min="3884" max="3884" width="7" style="50" customWidth="1"/>
    <col min="3885" max="3890" width="6.28515625" style="50" customWidth="1"/>
    <col min="3891" max="4095" width="9.140625" style="50"/>
    <col min="4096" max="4096" width="11.7109375" style="50" customWidth="1"/>
    <col min="4097" max="4111" width="0" style="50" hidden="1" customWidth="1"/>
    <col min="4112" max="4115" width="8.85546875" style="50" customWidth="1"/>
    <col min="4116" max="4116" width="1.85546875" style="50" customWidth="1"/>
    <col min="4117" max="4120" width="8.85546875" style="50" customWidth="1"/>
    <col min="4121" max="4121" width="1.85546875" style="50" customWidth="1"/>
    <col min="4122" max="4125" width="8.85546875" style="50" customWidth="1"/>
    <col min="4126" max="4126" width="11.140625" style="50" customWidth="1"/>
    <col min="4127" max="4128" width="11.85546875" style="50" customWidth="1"/>
    <col min="4129" max="4138" width="18" style="50" customWidth="1"/>
    <col min="4139" max="4139" width="6.28515625" style="50" customWidth="1"/>
    <col min="4140" max="4140" width="7" style="50" customWidth="1"/>
    <col min="4141" max="4146" width="6.28515625" style="50" customWidth="1"/>
    <col min="4147" max="4351" width="9.140625" style="50"/>
    <col min="4352" max="4352" width="11.7109375" style="50" customWidth="1"/>
    <col min="4353" max="4367" width="0" style="50" hidden="1" customWidth="1"/>
    <col min="4368" max="4371" width="8.85546875" style="50" customWidth="1"/>
    <col min="4372" max="4372" width="1.85546875" style="50" customWidth="1"/>
    <col min="4373" max="4376" width="8.85546875" style="50" customWidth="1"/>
    <col min="4377" max="4377" width="1.85546875" style="50" customWidth="1"/>
    <col min="4378" max="4381" width="8.85546875" style="50" customWidth="1"/>
    <col min="4382" max="4382" width="11.140625" style="50" customWidth="1"/>
    <col min="4383" max="4384" width="11.85546875" style="50" customWidth="1"/>
    <col min="4385" max="4394" width="18" style="50" customWidth="1"/>
    <col min="4395" max="4395" width="6.28515625" style="50" customWidth="1"/>
    <col min="4396" max="4396" width="7" style="50" customWidth="1"/>
    <col min="4397" max="4402" width="6.28515625" style="50" customWidth="1"/>
    <col min="4403" max="4607" width="9.140625" style="50"/>
    <col min="4608" max="4608" width="11.7109375" style="50" customWidth="1"/>
    <col min="4609" max="4623" width="0" style="50" hidden="1" customWidth="1"/>
    <col min="4624" max="4627" width="8.85546875" style="50" customWidth="1"/>
    <col min="4628" max="4628" width="1.85546875" style="50" customWidth="1"/>
    <col min="4629" max="4632" width="8.85546875" style="50" customWidth="1"/>
    <col min="4633" max="4633" width="1.85546875" style="50" customWidth="1"/>
    <col min="4634" max="4637" width="8.85546875" style="50" customWidth="1"/>
    <col min="4638" max="4638" width="11.140625" style="50" customWidth="1"/>
    <col min="4639" max="4640" width="11.85546875" style="50" customWidth="1"/>
    <col min="4641" max="4650" width="18" style="50" customWidth="1"/>
    <col min="4651" max="4651" width="6.28515625" style="50" customWidth="1"/>
    <col min="4652" max="4652" width="7" style="50" customWidth="1"/>
    <col min="4653" max="4658" width="6.28515625" style="50" customWidth="1"/>
    <col min="4659" max="4863" width="9.140625" style="50"/>
    <col min="4864" max="4864" width="11.7109375" style="50" customWidth="1"/>
    <col min="4865" max="4879" width="0" style="50" hidden="1" customWidth="1"/>
    <col min="4880" max="4883" width="8.85546875" style="50" customWidth="1"/>
    <col min="4884" max="4884" width="1.85546875" style="50" customWidth="1"/>
    <col min="4885" max="4888" width="8.85546875" style="50" customWidth="1"/>
    <col min="4889" max="4889" width="1.85546875" style="50" customWidth="1"/>
    <col min="4890" max="4893" width="8.85546875" style="50" customWidth="1"/>
    <col min="4894" max="4894" width="11.140625" style="50" customWidth="1"/>
    <col min="4895" max="4896" width="11.85546875" style="50" customWidth="1"/>
    <col min="4897" max="4906" width="18" style="50" customWidth="1"/>
    <col min="4907" max="4907" width="6.28515625" style="50" customWidth="1"/>
    <col min="4908" max="4908" width="7" style="50" customWidth="1"/>
    <col min="4909" max="4914" width="6.28515625" style="50" customWidth="1"/>
    <col min="4915" max="5119" width="9.140625" style="50"/>
    <col min="5120" max="5120" width="11.7109375" style="50" customWidth="1"/>
    <col min="5121" max="5135" width="0" style="50" hidden="1" customWidth="1"/>
    <col min="5136" max="5139" width="8.85546875" style="50" customWidth="1"/>
    <col min="5140" max="5140" width="1.85546875" style="50" customWidth="1"/>
    <col min="5141" max="5144" width="8.85546875" style="50" customWidth="1"/>
    <col min="5145" max="5145" width="1.85546875" style="50" customWidth="1"/>
    <col min="5146" max="5149" width="8.85546875" style="50" customWidth="1"/>
    <col min="5150" max="5150" width="11.140625" style="50" customWidth="1"/>
    <col min="5151" max="5152" width="11.85546875" style="50" customWidth="1"/>
    <col min="5153" max="5162" width="18" style="50" customWidth="1"/>
    <col min="5163" max="5163" width="6.28515625" style="50" customWidth="1"/>
    <col min="5164" max="5164" width="7" style="50" customWidth="1"/>
    <col min="5165" max="5170" width="6.28515625" style="50" customWidth="1"/>
    <col min="5171" max="5375" width="9.140625" style="50"/>
    <col min="5376" max="5376" width="11.7109375" style="50" customWidth="1"/>
    <col min="5377" max="5391" width="0" style="50" hidden="1" customWidth="1"/>
    <col min="5392" max="5395" width="8.85546875" style="50" customWidth="1"/>
    <col min="5396" max="5396" width="1.85546875" style="50" customWidth="1"/>
    <col min="5397" max="5400" width="8.85546875" style="50" customWidth="1"/>
    <col min="5401" max="5401" width="1.85546875" style="50" customWidth="1"/>
    <col min="5402" max="5405" width="8.85546875" style="50" customWidth="1"/>
    <col min="5406" max="5406" width="11.140625" style="50" customWidth="1"/>
    <col min="5407" max="5408" width="11.85546875" style="50" customWidth="1"/>
    <col min="5409" max="5418" width="18" style="50" customWidth="1"/>
    <col min="5419" max="5419" width="6.28515625" style="50" customWidth="1"/>
    <col min="5420" max="5420" width="7" style="50" customWidth="1"/>
    <col min="5421" max="5426" width="6.28515625" style="50" customWidth="1"/>
    <col min="5427" max="5631" width="9.140625" style="50"/>
    <col min="5632" max="5632" width="11.7109375" style="50" customWidth="1"/>
    <col min="5633" max="5647" width="0" style="50" hidden="1" customWidth="1"/>
    <col min="5648" max="5651" width="8.85546875" style="50" customWidth="1"/>
    <col min="5652" max="5652" width="1.85546875" style="50" customWidth="1"/>
    <col min="5653" max="5656" width="8.85546875" style="50" customWidth="1"/>
    <col min="5657" max="5657" width="1.85546875" style="50" customWidth="1"/>
    <col min="5658" max="5661" width="8.85546875" style="50" customWidth="1"/>
    <col min="5662" max="5662" width="11.140625" style="50" customWidth="1"/>
    <col min="5663" max="5664" width="11.85546875" style="50" customWidth="1"/>
    <col min="5665" max="5674" width="18" style="50" customWidth="1"/>
    <col min="5675" max="5675" width="6.28515625" style="50" customWidth="1"/>
    <col min="5676" max="5676" width="7" style="50" customWidth="1"/>
    <col min="5677" max="5682" width="6.28515625" style="50" customWidth="1"/>
    <col min="5683" max="5887" width="9.140625" style="50"/>
    <col min="5888" max="5888" width="11.7109375" style="50" customWidth="1"/>
    <col min="5889" max="5903" width="0" style="50" hidden="1" customWidth="1"/>
    <col min="5904" max="5907" width="8.85546875" style="50" customWidth="1"/>
    <col min="5908" max="5908" width="1.85546875" style="50" customWidth="1"/>
    <col min="5909" max="5912" width="8.85546875" style="50" customWidth="1"/>
    <col min="5913" max="5913" width="1.85546875" style="50" customWidth="1"/>
    <col min="5914" max="5917" width="8.85546875" style="50" customWidth="1"/>
    <col min="5918" max="5918" width="11.140625" style="50" customWidth="1"/>
    <col min="5919" max="5920" width="11.85546875" style="50" customWidth="1"/>
    <col min="5921" max="5930" width="18" style="50" customWidth="1"/>
    <col min="5931" max="5931" width="6.28515625" style="50" customWidth="1"/>
    <col min="5932" max="5932" width="7" style="50" customWidth="1"/>
    <col min="5933" max="5938" width="6.28515625" style="50" customWidth="1"/>
    <col min="5939" max="6143" width="9.140625" style="50"/>
    <col min="6144" max="6144" width="11.7109375" style="50" customWidth="1"/>
    <col min="6145" max="6159" width="0" style="50" hidden="1" customWidth="1"/>
    <col min="6160" max="6163" width="8.85546875" style="50" customWidth="1"/>
    <col min="6164" max="6164" width="1.85546875" style="50" customWidth="1"/>
    <col min="6165" max="6168" width="8.85546875" style="50" customWidth="1"/>
    <col min="6169" max="6169" width="1.85546875" style="50" customWidth="1"/>
    <col min="6170" max="6173" width="8.85546875" style="50" customWidth="1"/>
    <col min="6174" max="6174" width="11.140625" style="50" customWidth="1"/>
    <col min="6175" max="6176" width="11.85546875" style="50" customWidth="1"/>
    <col min="6177" max="6186" width="18" style="50" customWidth="1"/>
    <col min="6187" max="6187" width="6.28515625" style="50" customWidth="1"/>
    <col min="6188" max="6188" width="7" style="50" customWidth="1"/>
    <col min="6189" max="6194" width="6.28515625" style="50" customWidth="1"/>
    <col min="6195" max="6399" width="9.140625" style="50"/>
    <col min="6400" max="6400" width="11.7109375" style="50" customWidth="1"/>
    <col min="6401" max="6415" width="0" style="50" hidden="1" customWidth="1"/>
    <col min="6416" max="6419" width="8.85546875" style="50" customWidth="1"/>
    <col min="6420" max="6420" width="1.85546875" style="50" customWidth="1"/>
    <col min="6421" max="6424" width="8.85546875" style="50" customWidth="1"/>
    <col min="6425" max="6425" width="1.85546875" style="50" customWidth="1"/>
    <col min="6426" max="6429" width="8.85546875" style="50" customWidth="1"/>
    <col min="6430" max="6430" width="11.140625" style="50" customWidth="1"/>
    <col min="6431" max="6432" width="11.85546875" style="50" customWidth="1"/>
    <col min="6433" max="6442" width="18" style="50" customWidth="1"/>
    <col min="6443" max="6443" width="6.28515625" style="50" customWidth="1"/>
    <col min="6444" max="6444" width="7" style="50" customWidth="1"/>
    <col min="6445" max="6450" width="6.28515625" style="50" customWidth="1"/>
    <col min="6451" max="6655" width="9.140625" style="50"/>
    <col min="6656" max="6656" width="11.7109375" style="50" customWidth="1"/>
    <col min="6657" max="6671" width="0" style="50" hidden="1" customWidth="1"/>
    <col min="6672" max="6675" width="8.85546875" style="50" customWidth="1"/>
    <col min="6676" max="6676" width="1.85546875" style="50" customWidth="1"/>
    <col min="6677" max="6680" width="8.85546875" style="50" customWidth="1"/>
    <col min="6681" max="6681" width="1.85546875" style="50" customWidth="1"/>
    <col min="6682" max="6685" width="8.85546875" style="50" customWidth="1"/>
    <col min="6686" max="6686" width="11.140625" style="50" customWidth="1"/>
    <col min="6687" max="6688" width="11.85546875" style="50" customWidth="1"/>
    <col min="6689" max="6698" width="18" style="50" customWidth="1"/>
    <col min="6699" max="6699" width="6.28515625" style="50" customWidth="1"/>
    <col min="6700" max="6700" width="7" style="50" customWidth="1"/>
    <col min="6701" max="6706" width="6.28515625" style="50" customWidth="1"/>
    <col min="6707" max="6911" width="9.140625" style="50"/>
    <col min="6912" max="6912" width="11.7109375" style="50" customWidth="1"/>
    <col min="6913" max="6927" width="0" style="50" hidden="1" customWidth="1"/>
    <col min="6928" max="6931" width="8.85546875" style="50" customWidth="1"/>
    <col min="6932" max="6932" width="1.85546875" style="50" customWidth="1"/>
    <col min="6933" max="6936" width="8.85546875" style="50" customWidth="1"/>
    <col min="6937" max="6937" width="1.85546875" style="50" customWidth="1"/>
    <col min="6938" max="6941" width="8.85546875" style="50" customWidth="1"/>
    <col min="6942" max="6942" width="11.140625" style="50" customWidth="1"/>
    <col min="6943" max="6944" width="11.85546875" style="50" customWidth="1"/>
    <col min="6945" max="6954" width="18" style="50" customWidth="1"/>
    <col min="6955" max="6955" width="6.28515625" style="50" customWidth="1"/>
    <col min="6956" max="6956" width="7" style="50" customWidth="1"/>
    <col min="6957" max="6962" width="6.28515625" style="50" customWidth="1"/>
    <col min="6963" max="7167" width="9.140625" style="50"/>
    <col min="7168" max="7168" width="11.7109375" style="50" customWidth="1"/>
    <col min="7169" max="7183" width="0" style="50" hidden="1" customWidth="1"/>
    <col min="7184" max="7187" width="8.85546875" style="50" customWidth="1"/>
    <col min="7188" max="7188" width="1.85546875" style="50" customWidth="1"/>
    <col min="7189" max="7192" width="8.85546875" style="50" customWidth="1"/>
    <col min="7193" max="7193" width="1.85546875" style="50" customWidth="1"/>
    <col min="7194" max="7197" width="8.85546875" style="50" customWidth="1"/>
    <col min="7198" max="7198" width="11.140625" style="50" customWidth="1"/>
    <col min="7199" max="7200" width="11.85546875" style="50" customWidth="1"/>
    <col min="7201" max="7210" width="18" style="50" customWidth="1"/>
    <col min="7211" max="7211" width="6.28515625" style="50" customWidth="1"/>
    <col min="7212" max="7212" width="7" style="50" customWidth="1"/>
    <col min="7213" max="7218" width="6.28515625" style="50" customWidth="1"/>
    <col min="7219" max="7423" width="9.140625" style="50"/>
    <col min="7424" max="7424" width="11.7109375" style="50" customWidth="1"/>
    <col min="7425" max="7439" width="0" style="50" hidden="1" customWidth="1"/>
    <col min="7440" max="7443" width="8.85546875" style="50" customWidth="1"/>
    <col min="7444" max="7444" width="1.85546875" style="50" customWidth="1"/>
    <col min="7445" max="7448" width="8.85546875" style="50" customWidth="1"/>
    <col min="7449" max="7449" width="1.85546875" style="50" customWidth="1"/>
    <col min="7450" max="7453" width="8.85546875" style="50" customWidth="1"/>
    <col min="7454" max="7454" width="11.140625" style="50" customWidth="1"/>
    <col min="7455" max="7456" width="11.85546875" style="50" customWidth="1"/>
    <col min="7457" max="7466" width="18" style="50" customWidth="1"/>
    <col min="7467" max="7467" width="6.28515625" style="50" customWidth="1"/>
    <col min="7468" max="7468" width="7" style="50" customWidth="1"/>
    <col min="7469" max="7474" width="6.28515625" style="50" customWidth="1"/>
    <col min="7475" max="7679" width="9.140625" style="50"/>
    <col min="7680" max="7680" width="11.7109375" style="50" customWidth="1"/>
    <col min="7681" max="7695" width="0" style="50" hidden="1" customWidth="1"/>
    <col min="7696" max="7699" width="8.85546875" style="50" customWidth="1"/>
    <col min="7700" max="7700" width="1.85546875" style="50" customWidth="1"/>
    <col min="7701" max="7704" width="8.85546875" style="50" customWidth="1"/>
    <col min="7705" max="7705" width="1.85546875" style="50" customWidth="1"/>
    <col min="7706" max="7709" width="8.85546875" style="50" customWidth="1"/>
    <col min="7710" max="7710" width="11.140625" style="50" customWidth="1"/>
    <col min="7711" max="7712" width="11.85546875" style="50" customWidth="1"/>
    <col min="7713" max="7722" width="18" style="50" customWidth="1"/>
    <col min="7723" max="7723" width="6.28515625" style="50" customWidth="1"/>
    <col min="7724" max="7724" width="7" style="50" customWidth="1"/>
    <col min="7725" max="7730" width="6.28515625" style="50" customWidth="1"/>
    <col min="7731" max="7935" width="9.140625" style="50"/>
    <col min="7936" max="7936" width="11.7109375" style="50" customWidth="1"/>
    <col min="7937" max="7951" width="0" style="50" hidden="1" customWidth="1"/>
    <col min="7952" max="7955" width="8.85546875" style="50" customWidth="1"/>
    <col min="7956" max="7956" width="1.85546875" style="50" customWidth="1"/>
    <col min="7957" max="7960" width="8.85546875" style="50" customWidth="1"/>
    <col min="7961" max="7961" width="1.85546875" style="50" customWidth="1"/>
    <col min="7962" max="7965" width="8.85546875" style="50" customWidth="1"/>
    <col min="7966" max="7966" width="11.140625" style="50" customWidth="1"/>
    <col min="7967" max="7968" width="11.85546875" style="50" customWidth="1"/>
    <col min="7969" max="7978" width="18" style="50" customWidth="1"/>
    <col min="7979" max="7979" width="6.28515625" style="50" customWidth="1"/>
    <col min="7980" max="7980" width="7" style="50" customWidth="1"/>
    <col min="7981" max="7986" width="6.28515625" style="50" customWidth="1"/>
    <col min="7987" max="8191" width="9.140625" style="50"/>
    <col min="8192" max="8192" width="11.7109375" style="50" customWidth="1"/>
    <col min="8193" max="8207" width="0" style="50" hidden="1" customWidth="1"/>
    <col min="8208" max="8211" width="8.85546875" style="50" customWidth="1"/>
    <col min="8212" max="8212" width="1.85546875" style="50" customWidth="1"/>
    <col min="8213" max="8216" width="8.85546875" style="50" customWidth="1"/>
    <col min="8217" max="8217" width="1.85546875" style="50" customWidth="1"/>
    <col min="8218" max="8221" width="8.85546875" style="50" customWidth="1"/>
    <col min="8222" max="8222" width="11.140625" style="50" customWidth="1"/>
    <col min="8223" max="8224" width="11.85546875" style="50" customWidth="1"/>
    <col min="8225" max="8234" width="18" style="50" customWidth="1"/>
    <col min="8235" max="8235" width="6.28515625" style="50" customWidth="1"/>
    <col min="8236" max="8236" width="7" style="50" customWidth="1"/>
    <col min="8237" max="8242" width="6.28515625" style="50" customWidth="1"/>
    <col min="8243" max="8447" width="9.140625" style="50"/>
    <col min="8448" max="8448" width="11.7109375" style="50" customWidth="1"/>
    <col min="8449" max="8463" width="0" style="50" hidden="1" customWidth="1"/>
    <col min="8464" max="8467" width="8.85546875" style="50" customWidth="1"/>
    <col min="8468" max="8468" width="1.85546875" style="50" customWidth="1"/>
    <col min="8469" max="8472" width="8.85546875" style="50" customWidth="1"/>
    <col min="8473" max="8473" width="1.85546875" style="50" customWidth="1"/>
    <col min="8474" max="8477" width="8.85546875" style="50" customWidth="1"/>
    <col min="8478" max="8478" width="11.140625" style="50" customWidth="1"/>
    <col min="8479" max="8480" width="11.85546875" style="50" customWidth="1"/>
    <col min="8481" max="8490" width="18" style="50" customWidth="1"/>
    <col min="8491" max="8491" width="6.28515625" style="50" customWidth="1"/>
    <col min="8492" max="8492" width="7" style="50" customWidth="1"/>
    <col min="8493" max="8498" width="6.28515625" style="50" customWidth="1"/>
    <col min="8499" max="8703" width="9.140625" style="50"/>
    <col min="8704" max="8704" width="11.7109375" style="50" customWidth="1"/>
    <col min="8705" max="8719" width="0" style="50" hidden="1" customWidth="1"/>
    <col min="8720" max="8723" width="8.85546875" style="50" customWidth="1"/>
    <col min="8724" max="8724" width="1.85546875" style="50" customWidth="1"/>
    <col min="8725" max="8728" width="8.85546875" style="50" customWidth="1"/>
    <col min="8729" max="8729" width="1.85546875" style="50" customWidth="1"/>
    <col min="8730" max="8733" width="8.85546875" style="50" customWidth="1"/>
    <col min="8734" max="8734" width="11.140625" style="50" customWidth="1"/>
    <col min="8735" max="8736" width="11.85546875" style="50" customWidth="1"/>
    <col min="8737" max="8746" width="18" style="50" customWidth="1"/>
    <col min="8747" max="8747" width="6.28515625" style="50" customWidth="1"/>
    <col min="8748" max="8748" width="7" style="50" customWidth="1"/>
    <col min="8749" max="8754" width="6.28515625" style="50" customWidth="1"/>
    <col min="8755" max="8959" width="9.140625" style="50"/>
    <col min="8960" max="8960" width="11.7109375" style="50" customWidth="1"/>
    <col min="8961" max="8975" width="0" style="50" hidden="1" customWidth="1"/>
    <col min="8976" max="8979" width="8.85546875" style="50" customWidth="1"/>
    <col min="8980" max="8980" width="1.85546875" style="50" customWidth="1"/>
    <col min="8981" max="8984" width="8.85546875" style="50" customWidth="1"/>
    <col min="8985" max="8985" width="1.85546875" style="50" customWidth="1"/>
    <col min="8986" max="8989" width="8.85546875" style="50" customWidth="1"/>
    <col min="8990" max="8990" width="11.140625" style="50" customWidth="1"/>
    <col min="8991" max="8992" width="11.85546875" style="50" customWidth="1"/>
    <col min="8993" max="9002" width="18" style="50" customWidth="1"/>
    <col min="9003" max="9003" width="6.28515625" style="50" customWidth="1"/>
    <col min="9004" max="9004" width="7" style="50" customWidth="1"/>
    <col min="9005" max="9010" width="6.28515625" style="50" customWidth="1"/>
    <col min="9011" max="9215" width="9.140625" style="50"/>
    <col min="9216" max="9216" width="11.7109375" style="50" customWidth="1"/>
    <col min="9217" max="9231" width="0" style="50" hidden="1" customWidth="1"/>
    <col min="9232" max="9235" width="8.85546875" style="50" customWidth="1"/>
    <col min="9236" max="9236" width="1.85546875" style="50" customWidth="1"/>
    <col min="9237" max="9240" width="8.85546875" style="50" customWidth="1"/>
    <col min="9241" max="9241" width="1.85546875" style="50" customWidth="1"/>
    <col min="9242" max="9245" width="8.85546875" style="50" customWidth="1"/>
    <col min="9246" max="9246" width="11.140625" style="50" customWidth="1"/>
    <col min="9247" max="9248" width="11.85546875" style="50" customWidth="1"/>
    <col min="9249" max="9258" width="18" style="50" customWidth="1"/>
    <col min="9259" max="9259" width="6.28515625" style="50" customWidth="1"/>
    <col min="9260" max="9260" width="7" style="50" customWidth="1"/>
    <col min="9261" max="9266" width="6.28515625" style="50" customWidth="1"/>
    <col min="9267" max="9471" width="9.140625" style="50"/>
    <col min="9472" max="9472" width="11.7109375" style="50" customWidth="1"/>
    <col min="9473" max="9487" width="0" style="50" hidden="1" customWidth="1"/>
    <col min="9488" max="9491" width="8.85546875" style="50" customWidth="1"/>
    <col min="9492" max="9492" width="1.85546875" style="50" customWidth="1"/>
    <col min="9493" max="9496" width="8.85546875" style="50" customWidth="1"/>
    <col min="9497" max="9497" width="1.85546875" style="50" customWidth="1"/>
    <col min="9498" max="9501" width="8.85546875" style="50" customWidth="1"/>
    <col min="9502" max="9502" width="11.140625" style="50" customWidth="1"/>
    <col min="9503" max="9504" width="11.85546875" style="50" customWidth="1"/>
    <col min="9505" max="9514" width="18" style="50" customWidth="1"/>
    <col min="9515" max="9515" width="6.28515625" style="50" customWidth="1"/>
    <col min="9516" max="9516" width="7" style="50" customWidth="1"/>
    <col min="9517" max="9522" width="6.28515625" style="50" customWidth="1"/>
    <col min="9523" max="9727" width="9.140625" style="50"/>
    <col min="9728" max="9728" width="11.7109375" style="50" customWidth="1"/>
    <col min="9729" max="9743" width="0" style="50" hidden="1" customWidth="1"/>
    <col min="9744" max="9747" width="8.85546875" style="50" customWidth="1"/>
    <col min="9748" max="9748" width="1.85546875" style="50" customWidth="1"/>
    <col min="9749" max="9752" width="8.85546875" style="50" customWidth="1"/>
    <col min="9753" max="9753" width="1.85546875" style="50" customWidth="1"/>
    <col min="9754" max="9757" width="8.85546875" style="50" customWidth="1"/>
    <col min="9758" max="9758" width="11.140625" style="50" customWidth="1"/>
    <col min="9759" max="9760" width="11.85546875" style="50" customWidth="1"/>
    <col min="9761" max="9770" width="18" style="50" customWidth="1"/>
    <col min="9771" max="9771" width="6.28515625" style="50" customWidth="1"/>
    <col min="9772" max="9772" width="7" style="50" customWidth="1"/>
    <col min="9773" max="9778" width="6.28515625" style="50" customWidth="1"/>
    <col min="9779" max="9983" width="9.140625" style="50"/>
    <col min="9984" max="9984" width="11.7109375" style="50" customWidth="1"/>
    <col min="9985" max="9999" width="0" style="50" hidden="1" customWidth="1"/>
    <col min="10000" max="10003" width="8.85546875" style="50" customWidth="1"/>
    <col min="10004" max="10004" width="1.85546875" style="50" customWidth="1"/>
    <col min="10005" max="10008" width="8.85546875" style="50" customWidth="1"/>
    <col min="10009" max="10009" width="1.85546875" style="50" customWidth="1"/>
    <col min="10010" max="10013" width="8.85546875" style="50" customWidth="1"/>
    <col min="10014" max="10014" width="11.140625" style="50" customWidth="1"/>
    <col min="10015" max="10016" width="11.85546875" style="50" customWidth="1"/>
    <col min="10017" max="10026" width="18" style="50" customWidth="1"/>
    <col min="10027" max="10027" width="6.28515625" style="50" customWidth="1"/>
    <col min="10028" max="10028" width="7" style="50" customWidth="1"/>
    <col min="10029" max="10034" width="6.28515625" style="50" customWidth="1"/>
    <col min="10035" max="10239" width="9.140625" style="50"/>
    <col min="10240" max="10240" width="11.7109375" style="50" customWidth="1"/>
    <col min="10241" max="10255" width="0" style="50" hidden="1" customWidth="1"/>
    <col min="10256" max="10259" width="8.85546875" style="50" customWidth="1"/>
    <col min="10260" max="10260" width="1.85546875" style="50" customWidth="1"/>
    <col min="10261" max="10264" width="8.85546875" style="50" customWidth="1"/>
    <col min="10265" max="10265" width="1.85546875" style="50" customWidth="1"/>
    <col min="10266" max="10269" width="8.85546875" style="50" customWidth="1"/>
    <col min="10270" max="10270" width="11.140625" style="50" customWidth="1"/>
    <col min="10271" max="10272" width="11.85546875" style="50" customWidth="1"/>
    <col min="10273" max="10282" width="18" style="50" customWidth="1"/>
    <col min="10283" max="10283" width="6.28515625" style="50" customWidth="1"/>
    <col min="10284" max="10284" width="7" style="50" customWidth="1"/>
    <col min="10285" max="10290" width="6.28515625" style="50" customWidth="1"/>
    <col min="10291" max="10495" width="9.140625" style="50"/>
    <col min="10496" max="10496" width="11.7109375" style="50" customWidth="1"/>
    <col min="10497" max="10511" width="0" style="50" hidden="1" customWidth="1"/>
    <col min="10512" max="10515" width="8.85546875" style="50" customWidth="1"/>
    <col min="10516" max="10516" width="1.85546875" style="50" customWidth="1"/>
    <col min="10517" max="10520" width="8.85546875" style="50" customWidth="1"/>
    <col min="10521" max="10521" width="1.85546875" style="50" customWidth="1"/>
    <col min="10522" max="10525" width="8.85546875" style="50" customWidth="1"/>
    <col min="10526" max="10526" width="11.140625" style="50" customWidth="1"/>
    <col min="10527" max="10528" width="11.85546875" style="50" customWidth="1"/>
    <col min="10529" max="10538" width="18" style="50" customWidth="1"/>
    <col min="10539" max="10539" width="6.28515625" style="50" customWidth="1"/>
    <col min="10540" max="10540" width="7" style="50" customWidth="1"/>
    <col min="10541" max="10546" width="6.28515625" style="50" customWidth="1"/>
    <col min="10547" max="10751" width="9.140625" style="50"/>
    <col min="10752" max="10752" width="11.7109375" style="50" customWidth="1"/>
    <col min="10753" max="10767" width="0" style="50" hidden="1" customWidth="1"/>
    <col min="10768" max="10771" width="8.85546875" style="50" customWidth="1"/>
    <col min="10772" max="10772" width="1.85546875" style="50" customWidth="1"/>
    <col min="10773" max="10776" width="8.85546875" style="50" customWidth="1"/>
    <col min="10777" max="10777" width="1.85546875" style="50" customWidth="1"/>
    <col min="10778" max="10781" width="8.85546875" style="50" customWidth="1"/>
    <col min="10782" max="10782" width="11.140625" style="50" customWidth="1"/>
    <col min="10783" max="10784" width="11.85546875" style="50" customWidth="1"/>
    <col min="10785" max="10794" width="18" style="50" customWidth="1"/>
    <col min="10795" max="10795" width="6.28515625" style="50" customWidth="1"/>
    <col min="10796" max="10796" width="7" style="50" customWidth="1"/>
    <col min="10797" max="10802" width="6.28515625" style="50" customWidth="1"/>
    <col min="10803" max="11007" width="9.140625" style="50"/>
    <col min="11008" max="11008" width="11.7109375" style="50" customWidth="1"/>
    <col min="11009" max="11023" width="0" style="50" hidden="1" customWidth="1"/>
    <col min="11024" max="11027" width="8.85546875" style="50" customWidth="1"/>
    <col min="11028" max="11028" width="1.85546875" style="50" customWidth="1"/>
    <col min="11029" max="11032" width="8.85546875" style="50" customWidth="1"/>
    <col min="11033" max="11033" width="1.85546875" style="50" customWidth="1"/>
    <col min="11034" max="11037" width="8.85546875" style="50" customWidth="1"/>
    <col min="11038" max="11038" width="11.140625" style="50" customWidth="1"/>
    <col min="11039" max="11040" width="11.85546875" style="50" customWidth="1"/>
    <col min="11041" max="11050" width="18" style="50" customWidth="1"/>
    <col min="11051" max="11051" width="6.28515625" style="50" customWidth="1"/>
    <col min="11052" max="11052" width="7" style="50" customWidth="1"/>
    <col min="11053" max="11058" width="6.28515625" style="50" customWidth="1"/>
    <col min="11059" max="11263" width="9.140625" style="50"/>
    <col min="11264" max="11264" width="11.7109375" style="50" customWidth="1"/>
    <col min="11265" max="11279" width="0" style="50" hidden="1" customWidth="1"/>
    <col min="11280" max="11283" width="8.85546875" style="50" customWidth="1"/>
    <col min="11284" max="11284" width="1.85546875" style="50" customWidth="1"/>
    <col min="11285" max="11288" width="8.85546875" style="50" customWidth="1"/>
    <col min="11289" max="11289" width="1.85546875" style="50" customWidth="1"/>
    <col min="11290" max="11293" width="8.85546875" style="50" customWidth="1"/>
    <col min="11294" max="11294" width="11.140625" style="50" customWidth="1"/>
    <col min="11295" max="11296" width="11.85546875" style="50" customWidth="1"/>
    <col min="11297" max="11306" width="18" style="50" customWidth="1"/>
    <col min="11307" max="11307" width="6.28515625" style="50" customWidth="1"/>
    <col min="11308" max="11308" width="7" style="50" customWidth="1"/>
    <col min="11309" max="11314" width="6.28515625" style="50" customWidth="1"/>
    <col min="11315" max="11519" width="9.140625" style="50"/>
    <col min="11520" max="11520" width="11.7109375" style="50" customWidth="1"/>
    <col min="11521" max="11535" width="0" style="50" hidden="1" customWidth="1"/>
    <col min="11536" max="11539" width="8.85546875" style="50" customWidth="1"/>
    <col min="11540" max="11540" width="1.85546875" style="50" customWidth="1"/>
    <col min="11541" max="11544" width="8.85546875" style="50" customWidth="1"/>
    <col min="11545" max="11545" width="1.85546875" style="50" customWidth="1"/>
    <col min="11546" max="11549" width="8.85546875" style="50" customWidth="1"/>
    <col min="11550" max="11550" width="11.140625" style="50" customWidth="1"/>
    <col min="11551" max="11552" width="11.85546875" style="50" customWidth="1"/>
    <col min="11553" max="11562" width="18" style="50" customWidth="1"/>
    <col min="11563" max="11563" width="6.28515625" style="50" customWidth="1"/>
    <col min="11564" max="11564" width="7" style="50" customWidth="1"/>
    <col min="11565" max="11570" width="6.28515625" style="50" customWidth="1"/>
    <col min="11571" max="11775" width="9.140625" style="50"/>
    <col min="11776" max="11776" width="11.7109375" style="50" customWidth="1"/>
    <col min="11777" max="11791" width="0" style="50" hidden="1" customWidth="1"/>
    <col min="11792" max="11795" width="8.85546875" style="50" customWidth="1"/>
    <col min="11796" max="11796" width="1.85546875" style="50" customWidth="1"/>
    <col min="11797" max="11800" width="8.85546875" style="50" customWidth="1"/>
    <col min="11801" max="11801" width="1.85546875" style="50" customWidth="1"/>
    <col min="11802" max="11805" width="8.85546875" style="50" customWidth="1"/>
    <col min="11806" max="11806" width="11.140625" style="50" customWidth="1"/>
    <col min="11807" max="11808" width="11.85546875" style="50" customWidth="1"/>
    <col min="11809" max="11818" width="18" style="50" customWidth="1"/>
    <col min="11819" max="11819" width="6.28515625" style="50" customWidth="1"/>
    <col min="11820" max="11820" width="7" style="50" customWidth="1"/>
    <col min="11821" max="11826" width="6.28515625" style="50" customWidth="1"/>
    <col min="11827" max="12031" width="9.140625" style="50"/>
    <col min="12032" max="12032" width="11.7109375" style="50" customWidth="1"/>
    <col min="12033" max="12047" width="0" style="50" hidden="1" customWidth="1"/>
    <col min="12048" max="12051" width="8.85546875" style="50" customWidth="1"/>
    <col min="12052" max="12052" width="1.85546875" style="50" customWidth="1"/>
    <col min="12053" max="12056" width="8.85546875" style="50" customWidth="1"/>
    <col min="12057" max="12057" width="1.85546875" style="50" customWidth="1"/>
    <col min="12058" max="12061" width="8.85546875" style="50" customWidth="1"/>
    <col min="12062" max="12062" width="11.140625" style="50" customWidth="1"/>
    <col min="12063" max="12064" width="11.85546875" style="50" customWidth="1"/>
    <col min="12065" max="12074" width="18" style="50" customWidth="1"/>
    <col min="12075" max="12075" width="6.28515625" style="50" customWidth="1"/>
    <col min="12076" max="12076" width="7" style="50" customWidth="1"/>
    <col min="12077" max="12082" width="6.28515625" style="50" customWidth="1"/>
    <col min="12083" max="12287" width="9.140625" style="50"/>
    <col min="12288" max="12288" width="11.7109375" style="50" customWidth="1"/>
    <col min="12289" max="12303" width="0" style="50" hidden="1" customWidth="1"/>
    <col min="12304" max="12307" width="8.85546875" style="50" customWidth="1"/>
    <col min="12308" max="12308" width="1.85546875" style="50" customWidth="1"/>
    <col min="12309" max="12312" width="8.85546875" style="50" customWidth="1"/>
    <col min="12313" max="12313" width="1.85546875" style="50" customWidth="1"/>
    <col min="12314" max="12317" width="8.85546875" style="50" customWidth="1"/>
    <col min="12318" max="12318" width="11.140625" style="50" customWidth="1"/>
    <col min="12319" max="12320" width="11.85546875" style="50" customWidth="1"/>
    <col min="12321" max="12330" width="18" style="50" customWidth="1"/>
    <col min="12331" max="12331" width="6.28515625" style="50" customWidth="1"/>
    <col min="12332" max="12332" width="7" style="50" customWidth="1"/>
    <col min="12333" max="12338" width="6.28515625" style="50" customWidth="1"/>
    <col min="12339" max="12543" width="9.140625" style="50"/>
    <col min="12544" max="12544" width="11.7109375" style="50" customWidth="1"/>
    <col min="12545" max="12559" width="0" style="50" hidden="1" customWidth="1"/>
    <col min="12560" max="12563" width="8.85546875" style="50" customWidth="1"/>
    <col min="12564" max="12564" width="1.85546875" style="50" customWidth="1"/>
    <col min="12565" max="12568" width="8.85546875" style="50" customWidth="1"/>
    <col min="12569" max="12569" width="1.85546875" style="50" customWidth="1"/>
    <col min="12570" max="12573" width="8.85546875" style="50" customWidth="1"/>
    <col min="12574" max="12574" width="11.140625" style="50" customWidth="1"/>
    <col min="12575" max="12576" width="11.85546875" style="50" customWidth="1"/>
    <col min="12577" max="12586" width="18" style="50" customWidth="1"/>
    <col min="12587" max="12587" width="6.28515625" style="50" customWidth="1"/>
    <col min="12588" max="12588" width="7" style="50" customWidth="1"/>
    <col min="12589" max="12594" width="6.28515625" style="50" customWidth="1"/>
    <col min="12595" max="12799" width="9.140625" style="50"/>
    <col min="12800" max="12800" width="11.7109375" style="50" customWidth="1"/>
    <col min="12801" max="12815" width="0" style="50" hidden="1" customWidth="1"/>
    <col min="12816" max="12819" width="8.85546875" style="50" customWidth="1"/>
    <col min="12820" max="12820" width="1.85546875" style="50" customWidth="1"/>
    <col min="12821" max="12824" width="8.85546875" style="50" customWidth="1"/>
    <col min="12825" max="12825" width="1.85546875" style="50" customWidth="1"/>
    <col min="12826" max="12829" width="8.85546875" style="50" customWidth="1"/>
    <col min="12830" max="12830" width="11.140625" style="50" customWidth="1"/>
    <col min="12831" max="12832" width="11.85546875" style="50" customWidth="1"/>
    <col min="12833" max="12842" width="18" style="50" customWidth="1"/>
    <col min="12843" max="12843" width="6.28515625" style="50" customWidth="1"/>
    <col min="12844" max="12844" width="7" style="50" customWidth="1"/>
    <col min="12845" max="12850" width="6.28515625" style="50" customWidth="1"/>
    <col min="12851" max="13055" width="9.140625" style="50"/>
    <col min="13056" max="13056" width="11.7109375" style="50" customWidth="1"/>
    <col min="13057" max="13071" width="0" style="50" hidden="1" customWidth="1"/>
    <col min="13072" max="13075" width="8.85546875" style="50" customWidth="1"/>
    <col min="13076" max="13076" width="1.85546875" style="50" customWidth="1"/>
    <col min="13077" max="13080" width="8.85546875" style="50" customWidth="1"/>
    <col min="13081" max="13081" width="1.85546875" style="50" customWidth="1"/>
    <col min="13082" max="13085" width="8.85546875" style="50" customWidth="1"/>
    <col min="13086" max="13086" width="11.140625" style="50" customWidth="1"/>
    <col min="13087" max="13088" width="11.85546875" style="50" customWidth="1"/>
    <col min="13089" max="13098" width="18" style="50" customWidth="1"/>
    <col min="13099" max="13099" width="6.28515625" style="50" customWidth="1"/>
    <col min="13100" max="13100" width="7" style="50" customWidth="1"/>
    <col min="13101" max="13106" width="6.28515625" style="50" customWidth="1"/>
    <col min="13107" max="13311" width="9.140625" style="50"/>
    <col min="13312" max="13312" width="11.7109375" style="50" customWidth="1"/>
    <col min="13313" max="13327" width="0" style="50" hidden="1" customWidth="1"/>
    <col min="13328" max="13331" width="8.85546875" style="50" customWidth="1"/>
    <col min="13332" max="13332" width="1.85546875" style="50" customWidth="1"/>
    <col min="13333" max="13336" width="8.85546875" style="50" customWidth="1"/>
    <col min="13337" max="13337" width="1.85546875" style="50" customWidth="1"/>
    <col min="13338" max="13341" width="8.85546875" style="50" customWidth="1"/>
    <col min="13342" max="13342" width="11.140625" style="50" customWidth="1"/>
    <col min="13343" max="13344" width="11.85546875" style="50" customWidth="1"/>
    <col min="13345" max="13354" width="18" style="50" customWidth="1"/>
    <col min="13355" max="13355" width="6.28515625" style="50" customWidth="1"/>
    <col min="13356" max="13356" width="7" style="50" customWidth="1"/>
    <col min="13357" max="13362" width="6.28515625" style="50" customWidth="1"/>
    <col min="13363" max="13567" width="9.140625" style="50"/>
    <col min="13568" max="13568" width="11.7109375" style="50" customWidth="1"/>
    <col min="13569" max="13583" width="0" style="50" hidden="1" customWidth="1"/>
    <col min="13584" max="13587" width="8.85546875" style="50" customWidth="1"/>
    <col min="13588" max="13588" width="1.85546875" style="50" customWidth="1"/>
    <col min="13589" max="13592" width="8.85546875" style="50" customWidth="1"/>
    <col min="13593" max="13593" width="1.85546875" style="50" customWidth="1"/>
    <col min="13594" max="13597" width="8.85546875" style="50" customWidth="1"/>
    <col min="13598" max="13598" width="11.140625" style="50" customWidth="1"/>
    <col min="13599" max="13600" width="11.85546875" style="50" customWidth="1"/>
    <col min="13601" max="13610" width="18" style="50" customWidth="1"/>
    <col min="13611" max="13611" width="6.28515625" style="50" customWidth="1"/>
    <col min="13612" max="13612" width="7" style="50" customWidth="1"/>
    <col min="13613" max="13618" width="6.28515625" style="50" customWidth="1"/>
    <col min="13619" max="13823" width="9.140625" style="50"/>
    <col min="13824" max="13824" width="11.7109375" style="50" customWidth="1"/>
    <col min="13825" max="13839" width="0" style="50" hidden="1" customWidth="1"/>
    <col min="13840" max="13843" width="8.85546875" style="50" customWidth="1"/>
    <col min="13844" max="13844" width="1.85546875" style="50" customWidth="1"/>
    <col min="13845" max="13848" width="8.85546875" style="50" customWidth="1"/>
    <col min="13849" max="13849" width="1.85546875" style="50" customWidth="1"/>
    <col min="13850" max="13853" width="8.85546875" style="50" customWidth="1"/>
    <col min="13854" max="13854" width="11.140625" style="50" customWidth="1"/>
    <col min="13855" max="13856" width="11.85546875" style="50" customWidth="1"/>
    <col min="13857" max="13866" width="18" style="50" customWidth="1"/>
    <col min="13867" max="13867" width="6.28515625" style="50" customWidth="1"/>
    <col min="13868" max="13868" width="7" style="50" customWidth="1"/>
    <col min="13869" max="13874" width="6.28515625" style="50" customWidth="1"/>
    <col min="13875" max="14079" width="9.140625" style="50"/>
    <col min="14080" max="14080" width="11.7109375" style="50" customWidth="1"/>
    <col min="14081" max="14095" width="0" style="50" hidden="1" customWidth="1"/>
    <col min="14096" max="14099" width="8.85546875" style="50" customWidth="1"/>
    <col min="14100" max="14100" width="1.85546875" style="50" customWidth="1"/>
    <col min="14101" max="14104" width="8.85546875" style="50" customWidth="1"/>
    <col min="14105" max="14105" width="1.85546875" style="50" customWidth="1"/>
    <col min="14106" max="14109" width="8.85546875" style="50" customWidth="1"/>
    <col min="14110" max="14110" width="11.140625" style="50" customWidth="1"/>
    <col min="14111" max="14112" width="11.85546875" style="50" customWidth="1"/>
    <col min="14113" max="14122" width="18" style="50" customWidth="1"/>
    <col min="14123" max="14123" width="6.28515625" style="50" customWidth="1"/>
    <col min="14124" max="14124" width="7" style="50" customWidth="1"/>
    <col min="14125" max="14130" width="6.28515625" style="50" customWidth="1"/>
    <col min="14131" max="14335" width="9.140625" style="50"/>
    <col min="14336" max="14336" width="11.7109375" style="50" customWidth="1"/>
    <col min="14337" max="14351" width="0" style="50" hidden="1" customWidth="1"/>
    <col min="14352" max="14355" width="8.85546875" style="50" customWidth="1"/>
    <col min="14356" max="14356" width="1.85546875" style="50" customWidth="1"/>
    <col min="14357" max="14360" width="8.85546875" style="50" customWidth="1"/>
    <col min="14361" max="14361" width="1.85546875" style="50" customWidth="1"/>
    <col min="14362" max="14365" width="8.85546875" style="50" customWidth="1"/>
    <col min="14366" max="14366" width="11.140625" style="50" customWidth="1"/>
    <col min="14367" max="14368" width="11.85546875" style="50" customWidth="1"/>
    <col min="14369" max="14378" width="18" style="50" customWidth="1"/>
    <col min="14379" max="14379" width="6.28515625" style="50" customWidth="1"/>
    <col min="14380" max="14380" width="7" style="50" customWidth="1"/>
    <col min="14381" max="14386" width="6.28515625" style="50" customWidth="1"/>
    <col min="14387" max="14591" width="9.140625" style="50"/>
    <col min="14592" max="14592" width="11.7109375" style="50" customWidth="1"/>
    <col min="14593" max="14607" width="0" style="50" hidden="1" customWidth="1"/>
    <col min="14608" max="14611" width="8.85546875" style="50" customWidth="1"/>
    <col min="14612" max="14612" width="1.85546875" style="50" customWidth="1"/>
    <col min="14613" max="14616" width="8.85546875" style="50" customWidth="1"/>
    <col min="14617" max="14617" width="1.85546875" style="50" customWidth="1"/>
    <col min="14618" max="14621" width="8.85546875" style="50" customWidth="1"/>
    <col min="14622" max="14622" width="11.140625" style="50" customWidth="1"/>
    <col min="14623" max="14624" width="11.85546875" style="50" customWidth="1"/>
    <col min="14625" max="14634" width="18" style="50" customWidth="1"/>
    <col min="14635" max="14635" width="6.28515625" style="50" customWidth="1"/>
    <col min="14636" max="14636" width="7" style="50" customWidth="1"/>
    <col min="14637" max="14642" width="6.28515625" style="50" customWidth="1"/>
    <col min="14643" max="14847" width="9.140625" style="50"/>
    <col min="14848" max="14848" width="11.7109375" style="50" customWidth="1"/>
    <col min="14849" max="14863" width="0" style="50" hidden="1" customWidth="1"/>
    <col min="14864" max="14867" width="8.85546875" style="50" customWidth="1"/>
    <col min="14868" max="14868" width="1.85546875" style="50" customWidth="1"/>
    <col min="14869" max="14872" width="8.85546875" style="50" customWidth="1"/>
    <col min="14873" max="14873" width="1.85546875" style="50" customWidth="1"/>
    <col min="14874" max="14877" width="8.85546875" style="50" customWidth="1"/>
    <col min="14878" max="14878" width="11.140625" style="50" customWidth="1"/>
    <col min="14879" max="14880" width="11.85546875" style="50" customWidth="1"/>
    <col min="14881" max="14890" width="18" style="50" customWidth="1"/>
    <col min="14891" max="14891" width="6.28515625" style="50" customWidth="1"/>
    <col min="14892" max="14892" width="7" style="50" customWidth="1"/>
    <col min="14893" max="14898" width="6.28515625" style="50" customWidth="1"/>
    <col min="14899" max="15103" width="9.140625" style="50"/>
    <col min="15104" max="15104" width="11.7109375" style="50" customWidth="1"/>
    <col min="15105" max="15119" width="0" style="50" hidden="1" customWidth="1"/>
    <col min="15120" max="15123" width="8.85546875" style="50" customWidth="1"/>
    <col min="15124" max="15124" width="1.85546875" style="50" customWidth="1"/>
    <col min="15125" max="15128" width="8.85546875" style="50" customWidth="1"/>
    <col min="15129" max="15129" width="1.85546875" style="50" customWidth="1"/>
    <col min="15130" max="15133" width="8.85546875" style="50" customWidth="1"/>
    <col min="15134" max="15134" width="11.140625" style="50" customWidth="1"/>
    <col min="15135" max="15136" width="11.85546875" style="50" customWidth="1"/>
    <col min="15137" max="15146" width="18" style="50" customWidth="1"/>
    <col min="15147" max="15147" width="6.28515625" style="50" customWidth="1"/>
    <col min="15148" max="15148" width="7" style="50" customWidth="1"/>
    <col min="15149" max="15154" width="6.28515625" style="50" customWidth="1"/>
    <col min="15155" max="15359" width="9.140625" style="50"/>
    <col min="15360" max="15360" width="11.7109375" style="50" customWidth="1"/>
    <col min="15361" max="15375" width="0" style="50" hidden="1" customWidth="1"/>
    <col min="15376" max="15379" width="8.85546875" style="50" customWidth="1"/>
    <col min="15380" max="15380" width="1.85546875" style="50" customWidth="1"/>
    <col min="15381" max="15384" width="8.85546875" style="50" customWidth="1"/>
    <col min="15385" max="15385" width="1.85546875" style="50" customWidth="1"/>
    <col min="15386" max="15389" width="8.85546875" style="50" customWidth="1"/>
    <col min="15390" max="15390" width="11.140625" style="50" customWidth="1"/>
    <col min="15391" max="15392" width="11.85546875" style="50" customWidth="1"/>
    <col min="15393" max="15402" width="18" style="50" customWidth="1"/>
    <col min="15403" max="15403" width="6.28515625" style="50" customWidth="1"/>
    <col min="15404" max="15404" width="7" style="50" customWidth="1"/>
    <col min="15405" max="15410" width="6.28515625" style="50" customWidth="1"/>
    <col min="15411" max="15615" width="9.140625" style="50"/>
    <col min="15616" max="15616" width="11.7109375" style="50" customWidth="1"/>
    <col min="15617" max="15631" width="0" style="50" hidden="1" customWidth="1"/>
    <col min="15632" max="15635" width="8.85546875" style="50" customWidth="1"/>
    <col min="15636" max="15636" width="1.85546875" style="50" customWidth="1"/>
    <col min="15637" max="15640" width="8.85546875" style="50" customWidth="1"/>
    <col min="15641" max="15641" width="1.85546875" style="50" customWidth="1"/>
    <col min="15642" max="15645" width="8.85546875" style="50" customWidth="1"/>
    <col min="15646" max="15646" width="11.140625" style="50" customWidth="1"/>
    <col min="15647" max="15648" width="11.85546875" style="50" customWidth="1"/>
    <col min="15649" max="15658" width="18" style="50" customWidth="1"/>
    <col min="15659" max="15659" width="6.28515625" style="50" customWidth="1"/>
    <col min="15660" max="15660" width="7" style="50" customWidth="1"/>
    <col min="15661" max="15666" width="6.28515625" style="50" customWidth="1"/>
    <col min="15667" max="15871" width="9.140625" style="50"/>
    <col min="15872" max="15872" width="11.7109375" style="50" customWidth="1"/>
    <col min="15873" max="15887" width="0" style="50" hidden="1" customWidth="1"/>
    <col min="15888" max="15891" width="8.85546875" style="50" customWidth="1"/>
    <col min="15892" max="15892" width="1.85546875" style="50" customWidth="1"/>
    <col min="15893" max="15896" width="8.85546875" style="50" customWidth="1"/>
    <col min="15897" max="15897" width="1.85546875" style="50" customWidth="1"/>
    <col min="15898" max="15901" width="8.85546875" style="50" customWidth="1"/>
    <col min="15902" max="15902" width="11.140625" style="50" customWidth="1"/>
    <col min="15903" max="15904" width="11.85546875" style="50" customWidth="1"/>
    <col min="15905" max="15914" width="18" style="50" customWidth="1"/>
    <col min="15915" max="15915" width="6.28515625" style="50" customWidth="1"/>
    <col min="15916" max="15916" width="7" style="50" customWidth="1"/>
    <col min="15917" max="15922" width="6.28515625" style="50" customWidth="1"/>
    <col min="15923" max="16127" width="9.140625" style="50"/>
    <col min="16128" max="16128" width="11.7109375" style="50" customWidth="1"/>
    <col min="16129" max="16143" width="0" style="50" hidden="1" customWidth="1"/>
    <col min="16144" max="16147" width="8.85546875" style="50" customWidth="1"/>
    <col min="16148" max="16148" width="1.85546875" style="50" customWidth="1"/>
    <col min="16149" max="16152" width="8.85546875" style="50" customWidth="1"/>
    <col min="16153" max="16153" width="1.85546875" style="50" customWidth="1"/>
    <col min="16154" max="16157" width="8.85546875" style="50" customWidth="1"/>
    <col min="16158" max="16158" width="11.140625" style="50" customWidth="1"/>
    <col min="16159" max="16160" width="11.85546875" style="50" customWidth="1"/>
    <col min="16161" max="16170" width="18" style="50" customWidth="1"/>
    <col min="16171" max="16171" width="6.28515625" style="50" customWidth="1"/>
    <col min="16172" max="16172" width="7" style="50" customWidth="1"/>
    <col min="16173" max="16178" width="6.28515625" style="50" customWidth="1"/>
    <col min="16179" max="16384" width="9.140625" style="50"/>
  </cols>
  <sheetData>
    <row r="1" spans="1:167" s="1" customFormat="1" ht="16.5" customHeight="1" x14ac:dyDescent="0.25">
      <c r="A1" s="67" t="s">
        <v>38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57"/>
    </row>
    <row r="2" spans="1:167" s="2" customFormat="1" ht="14.25" customHeight="1" x14ac:dyDescent="0.25">
      <c r="A2" s="68" t="s">
        <v>39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58"/>
    </row>
    <row r="3" spans="1:167" s="2" customFormat="1" ht="9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1:167" s="2" customFormat="1" ht="9.75" customHeight="1" x14ac:dyDescent="0.25">
      <c r="A4" s="69" t="s">
        <v>0</v>
      </c>
      <c r="B4" s="56"/>
      <c r="C4" s="63">
        <v>2020</v>
      </c>
      <c r="D4" s="64"/>
      <c r="E4" s="64"/>
      <c r="F4" s="64"/>
      <c r="G4" s="63">
        <v>2021</v>
      </c>
      <c r="H4" s="64"/>
      <c r="I4" s="64"/>
      <c r="J4" s="64"/>
      <c r="K4" s="63">
        <v>2022</v>
      </c>
      <c r="L4" s="64"/>
      <c r="M4" s="64"/>
      <c r="N4" s="76"/>
      <c r="O4" s="63">
        <v>2023</v>
      </c>
      <c r="P4" s="64"/>
      <c r="Q4" s="64"/>
      <c r="R4" s="76"/>
      <c r="S4" s="72" t="s">
        <v>25</v>
      </c>
      <c r="T4" s="73"/>
      <c r="U4" s="5"/>
    </row>
    <row r="5" spans="1:167" s="2" customFormat="1" ht="19.899999999999999" customHeight="1" x14ac:dyDescent="0.25">
      <c r="A5" s="70"/>
      <c r="B5" s="6"/>
      <c r="C5" s="65"/>
      <c r="D5" s="66"/>
      <c r="E5" s="66"/>
      <c r="F5" s="66"/>
      <c r="G5" s="65"/>
      <c r="H5" s="66"/>
      <c r="I5" s="66"/>
      <c r="J5" s="66"/>
      <c r="K5" s="65"/>
      <c r="L5" s="66"/>
      <c r="M5" s="66"/>
      <c r="N5" s="77"/>
      <c r="O5" s="65"/>
      <c r="P5" s="66"/>
      <c r="Q5" s="66"/>
      <c r="R5" s="77"/>
      <c r="S5" s="74"/>
      <c r="T5" s="75"/>
      <c r="U5" s="5"/>
    </row>
    <row r="6" spans="1:167" s="2" customFormat="1" ht="15.75" customHeight="1" x14ac:dyDescent="0.25">
      <c r="A6" s="70"/>
      <c r="B6" s="6"/>
      <c r="C6" s="8" t="s">
        <v>26</v>
      </c>
      <c r="D6" s="7" t="s">
        <v>27</v>
      </c>
      <c r="E6" s="7" t="s">
        <v>28</v>
      </c>
      <c r="F6" s="7" t="s">
        <v>29</v>
      </c>
      <c r="G6" s="8" t="s">
        <v>26</v>
      </c>
      <c r="H6" s="7" t="s">
        <v>27</v>
      </c>
      <c r="I6" s="7" t="s">
        <v>28</v>
      </c>
      <c r="J6" s="7" t="s">
        <v>29</v>
      </c>
      <c r="K6" s="8" t="s">
        <v>26</v>
      </c>
      <c r="L6" s="7" t="s">
        <v>27</v>
      </c>
      <c r="M6" s="7" t="s">
        <v>28</v>
      </c>
      <c r="N6" s="9" t="s">
        <v>29</v>
      </c>
      <c r="O6" s="8" t="s">
        <v>26</v>
      </c>
      <c r="P6" s="7" t="s">
        <v>27</v>
      </c>
      <c r="Q6" s="7" t="s">
        <v>28</v>
      </c>
      <c r="R6" s="9" t="s">
        <v>29</v>
      </c>
      <c r="S6" s="8" t="s">
        <v>26</v>
      </c>
      <c r="T6" s="7" t="s">
        <v>27</v>
      </c>
      <c r="U6" s="7"/>
    </row>
    <row r="7" spans="1:167" s="16" customFormat="1" ht="15" customHeight="1" x14ac:dyDescent="0.25">
      <c r="A7" s="71"/>
      <c r="B7" s="10"/>
      <c r="C7" s="11" t="s">
        <v>30</v>
      </c>
      <c r="D7" s="10" t="s">
        <v>31</v>
      </c>
      <c r="E7" s="10" t="s">
        <v>32</v>
      </c>
      <c r="F7" s="10" t="s">
        <v>33</v>
      </c>
      <c r="G7" s="11" t="s">
        <v>30</v>
      </c>
      <c r="H7" s="10" t="s">
        <v>31</v>
      </c>
      <c r="I7" s="10" t="s">
        <v>32</v>
      </c>
      <c r="J7" s="10" t="s">
        <v>33</v>
      </c>
      <c r="K7" s="11" t="s">
        <v>30</v>
      </c>
      <c r="L7" s="10" t="s">
        <v>31</v>
      </c>
      <c r="M7" s="10" t="s">
        <v>32</v>
      </c>
      <c r="N7" s="61" t="s">
        <v>33</v>
      </c>
      <c r="O7" s="11" t="s">
        <v>30</v>
      </c>
      <c r="P7" s="10" t="s">
        <v>31</v>
      </c>
      <c r="Q7" s="10" t="s">
        <v>32</v>
      </c>
      <c r="R7" s="61" t="s">
        <v>33</v>
      </c>
      <c r="S7" s="14" t="s">
        <v>30</v>
      </c>
      <c r="T7" s="12" t="s">
        <v>31</v>
      </c>
      <c r="U7" s="15"/>
      <c r="V7" s="2"/>
      <c r="W7" s="2"/>
      <c r="X7" s="2"/>
      <c r="Y7" s="2"/>
    </row>
    <row r="8" spans="1:167" s="22" customFormat="1" ht="15" x14ac:dyDescent="0.25">
      <c r="A8" s="17" t="s">
        <v>1</v>
      </c>
      <c r="B8" s="18"/>
      <c r="C8" s="20">
        <f t="shared" ref="C8:J8" si="0">SUM(C9:C11)</f>
        <v>4998</v>
      </c>
      <c r="D8" s="19">
        <f t="shared" si="0"/>
        <v>2984</v>
      </c>
      <c r="E8" s="19">
        <f t="shared" si="0"/>
        <v>3</v>
      </c>
      <c r="F8" s="19">
        <f t="shared" si="0"/>
        <v>83</v>
      </c>
      <c r="G8" s="20">
        <f t="shared" si="0"/>
        <v>5414</v>
      </c>
      <c r="H8" s="19">
        <f t="shared" si="0"/>
        <v>3242</v>
      </c>
      <c r="I8" s="19">
        <f t="shared" si="0"/>
        <v>1</v>
      </c>
      <c r="J8" s="19">
        <f t="shared" si="0"/>
        <v>97</v>
      </c>
      <c r="K8" s="20">
        <f>SUM(K9:K11)</f>
        <v>5753</v>
      </c>
      <c r="L8" s="19">
        <f>SUM(L9:L11)</f>
        <v>3311</v>
      </c>
      <c r="M8" s="19">
        <f>SUM(M9:M11)</f>
        <v>7</v>
      </c>
      <c r="N8" s="19">
        <f>SUM(N9:N11)</f>
        <v>113</v>
      </c>
      <c r="O8" s="20">
        <f t="shared" ref="O8:R8" si="1">SUM(O9:O11)</f>
        <v>5373</v>
      </c>
      <c r="P8" s="19">
        <f t="shared" si="1"/>
        <v>3401</v>
      </c>
      <c r="Q8" s="19">
        <f t="shared" si="1"/>
        <v>14</v>
      </c>
      <c r="R8" s="19">
        <f t="shared" si="1"/>
        <v>95</v>
      </c>
      <c r="S8" s="59">
        <f>(O8-K8)/K8*100</f>
        <v>-6.6052494350773507</v>
      </c>
      <c r="T8" s="60">
        <f>(P8-L8)/L8*100</f>
        <v>2.7182120205376017</v>
      </c>
      <c r="U8" s="21"/>
      <c r="V8" s="2"/>
      <c r="W8" s="2"/>
      <c r="X8" s="2"/>
      <c r="Y8" s="2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</row>
    <row r="9" spans="1:167" s="22" customFormat="1" ht="15" x14ac:dyDescent="0.25">
      <c r="A9" s="17" t="s">
        <v>3</v>
      </c>
      <c r="B9" s="23"/>
      <c r="C9" s="24">
        <v>1995</v>
      </c>
      <c r="D9" s="23">
        <v>928</v>
      </c>
      <c r="E9" s="23">
        <v>0</v>
      </c>
      <c r="F9" s="23">
        <v>32</v>
      </c>
      <c r="G9" s="24">
        <v>2396</v>
      </c>
      <c r="H9" s="23">
        <v>1191</v>
      </c>
      <c r="I9" s="23">
        <v>0</v>
      </c>
      <c r="J9" s="23">
        <v>45</v>
      </c>
      <c r="K9" s="24">
        <v>2514</v>
      </c>
      <c r="L9" s="23">
        <v>1297</v>
      </c>
      <c r="M9" s="23">
        <v>0</v>
      </c>
      <c r="N9" s="23">
        <v>49</v>
      </c>
      <c r="O9" s="24">
        <v>2425</v>
      </c>
      <c r="P9" s="23">
        <v>1245</v>
      </c>
      <c r="Q9" s="23">
        <v>1</v>
      </c>
      <c r="R9" s="23">
        <v>35</v>
      </c>
      <c r="S9" s="52">
        <f t="shared" ref="S9:S31" si="2">(O9-K9)/K9*100</f>
        <v>-3.5401750198886237</v>
      </c>
      <c r="T9" s="25">
        <f t="shared" ref="T9:T31" si="3">(P9-L9)/L9*100</f>
        <v>-4.0092521202775639</v>
      </c>
      <c r="U9" s="21"/>
      <c r="V9" s="2"/>
      <c r="W9" s="2"/>
      <c r="X9" s="2"/>
      <c r="Y9" s="2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</row>
    <row r="10" spans="1:167" s="22" customFormat="1" ht="15" x14ac:dyDescent="0.25">
      <c r="A10" s="26" t="s">
        <v>2</v>
      </c>
      <c r="B10" s="23"/>
      <c r="C10" s="20">
        <v>237</v>
      </c>
      <c r="D10" s="19">
        <v>173</v>
      </c>
      <c r="E10" s="19">
        <v>0</v>
      </c>
      <c r="F10" s="19">
        <v>0</v>
      </c>
      <c r="G10" s="20">
        <v>330</v>
      </c>
      <c r="H10" s="19">
        <v>247</v>
      </c>
      <c r="I10" s="19">
        <v>0</v>
      </c>
      <c r="J10" s="19">
        <v>1</v>
      </c>
      <c r="K10" s="20">
        <v>441</v>
      </c>
      <c r="L10" s="19">
        <v>309</v>
      </c>
      <c r="M10" s="19">
        <v>0</v>
      </c>
      <c r="N10" s="19">
        <v>2</v>
      </c>
      <c r="O10" s="20">
        <v>508</v>
      </c>
      <c r="P10" s="19">
        <v>351</v>
      </c>
      <c r="Q10" s="19">
        <v>0</v>
      </c>
      <c r="R10" s="19">
        <v>4</v>
      </c>
      <c r="S10" s="52">
        <f t="shared" si="2"/>
        <v>15.192743764172336</v>
      </c>
      <c r="T10" s="25">
        <f t="shared" si="3"/>
        <v>13.592233009708737</v>
      </c>
      <c r="U10" s="27"/>
      <c r="V10" s="2"/>
      <c r="W10" s="2"/>
      <c r="X10" s="2"/>
      <c r="Y10" s="2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</row>
    <row r="11" spans="1:167" s="22" customFormat="1" ht="15" x14ac:dyDescent="0.25">
      <c r="A11" s="17" t="s">
        <v>4</v>
      </c>
      <c r="B11" s="23"/>
      <c r="C11" s="20">
        <f t="shared" ref="C11:R11" si="4">SUM(C12:C31)</f>
        <v>2766</v>
      </c>
      <c r="D11" s="23">
        <f t="shared" si="4"/>
        <v>1883</v>
      </c>
      <c r="E11" s="19">
        <f t="shared" si="4"/>
        <v>3</v>
      </c>
      <c r="F11" s="19">
        <f t="shared" si="4"/>
        <v>51</v>
      </c>
      <c r="G11" s="20">
        <f t="shared" si="4"/>
        <v>2688</v>
      </c>
      <c r="H11" s="23">
        <f t="shared" si="4"/>
        <v>1804</v>
      </c>
      <c r="I11" s="19">
        <f t="shared" si="4"/>
        <v>1</v>
      </c>
      <c r="J11" s="19">
        <f t="shared" si="4"/>
        <v>51</v>
      </c>
      <c r="K11" s="20">
        <f t="shared" si="4"/>
        <v>2798</v>
      </c>
      <c r="L11" s="23">
        <f t="shared" si="4"/>
        <v>1705</v>
      </c>
      <c r="M11" s="19">
        <f t="shared" si="4"/>
        <v>7</v>
      </c>
      <c r="N11" s="19">
        <f t="shared" si="4"/>
        <v>62</v>
      </c>
      <c r="O11" s="20">
        <f t="shared" si="4"/>
        <v>2440</v>
      </c>
      <c r="P11" s="23">
        <f t="shared" si="4"/>
        <v>1805</v>
      </c>
      <c r="Q11" s="19">
        <f t="shared" si="4"/>
        <v>13</v>
      </c>
      <c r="R11" s="19">
        <f t="shared" si="4"/>
        <v>56</v>
      </c>
      <c r="S11" s="52">
        <f t="shared" si="2"/>
        <v>-12.794853466761975</v>
      </c>
      <c r="T11" s="25">
        <f t="shared" si="3"/>
        <v>5.8651026392961878</v>
      </c>
      <c r="U11" s="21"/>
      <c r="V11" s="2"/>
      <c r="W11" s="2"/>
      <c r="X11" s="2"/>
      <c r="Y11" s="2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</row>
    <row r="12" spans="1:167" s="22" customFormat="1" ht="15" x14ac:dyDescent="0.25">
      <c r="A12" s="28" t="s">
        <v>5</v>
      </c>
      <c r="B12" s="29"/>
      <c r="C12" s="31">
        <v>134</v>
      </c>
      <c r="D12" s="1">
        <v>85</v>
      </c>
      <c r="E12" s="30">
        <v>0</v>
      </c>
      <c r="F12" s="30">
        <v>1</v>
      </c>
      <c r="G12" s="31">
        <v>121</v>
      </c>
      <c r="H12" s="1">
        <v>82</v>
      </c>
      <c r="I12" s="30">
        <v>0</v>
      </c>
      <c r="J12" s="30">
        <v>2</v>
      </c>
      <c r="K12" s="31">
        <v>154</v>
      </c>
      <c r="L12" s="1">
        <v>85</v>
      </c>
      <c r="M12" s="30">
        <v>0</v>
      </c>
      <c r="N12" s="30">
        <v>7</v>
      </c>
      <c r="O12" s="31">
        <v>110</v>
      </c>
      <c r="P12" s="1">
        <f>77-6</f>
        <v>71</v>
      </c>
      <c r="Q12" s="30">
        <v>0</v>
      </c>
      <c r="R12" s="30">
        <v>6</v>
      </c>
      <c r="S12" s="52">
        <f t="shared" si="2"/>
        <v>-28.571428571428569</v>
      </c>
      <c r="T12" s="25">
        <f t="shared" si="3"/>
        <v>-16.470588235294116</v>
      </c>
      <c r="U12" s="27"/>
      <c r="V12" s="2"/>
      <c r="W12" s="2"/>
      <c r="X12" s="2"/>
      <c r="Y12" s="2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</row>
    <row r="13" spans="1:167" s="22" customFormat="1" ht="15" x14ac:dyDescent="0.25">
      <c r="A13" s="28" t="s">
        <v>6</v>
      </c>
      <c r="B13" s="30"/>
      <c r="C13" s="31">
        <v>271</v>
      </c>
      <c r="D13" s="1">
        <v>170</v>
      </c>
      <c r="E13" s="30">
        <v>0</v>
      </c>
      <c r="F13" s="30">
        <v>8</v>
      </c>
      <c r="G13" s="31">
        <v>242</v>
      </c>
      <c r="H13" s="1">
        <v>158</v>
      </c>
      <c r="I13" s="30">
        <v>1</v>
      </c>
      <c r="J13" s="30">
        <v>8</v>
      </c>
      <c r="K13" s="31">
        <v>312</v>
      </c>
      <c r="L13" s="1">
        <v>111</v>
      </c>
      <c r="M13" s="30">
        <v>0</v>
      </c>
      <c r="N13" s="30">
        <v>6</v>
      </c>
      <c r="O13" s="31">
        <v>234</v>
      </c>
      <c r="P13" s="1">
        <f>176-5</f>
        <v>171</v>
      </c>
      <c r="Q13" s="30">
        <v>0</v>
      </c>
      <c r="R13" s="30">
        <v>5</v>
      </c>
      <c r="S13" s="52">
        <f t="shared" si="2"/>
        <v>-25</v>
      </c>
      <c r="T13" s="25">
        <f t="shared" si="3"/>
        <v>54.054054054054056</v>
      </c>
      <c r="U13" s="27"/>
      <c r="V13" s="2"/>
      <c r="W13" s="2"/>
      <c r="X13" s="2"/>
      <c r="Y13" s="2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</row>
    <row r="14" spans="1:167" s="22" customFormat="1" ht="15" x14ac:dyDescent="0.25">
      <c r="A14" s="28" t="s">
        <v>7</v>
      </c>
      <c r="B14" s="30"/>
      <c r="C14" s="31">
        <v>158</v>
      </c>
      <c r="D14" s="1">
        <v>92</v>
      </c>
      <c r="E14" s="30">
        <v>0</v>
      </c>
      <c r="F14" s="30">
        <v>6</v>
      </c>
      <c r="G14" s="31">
        <v>141</v>
      </c>
      <c r="H14" s="1">
        <v>99</v>
      </c>
      <c r="I14" s="30">
        <v>0</v>
      </c>
      <c r="J14" s="30">
        <v>3</v>
      </c>
      <c r="K14" s="31">
        <v>164</v>
      </c>
      <c r="L14" s="1">
        <v>106</v>
      </c>
      <c r="M14" s="30">
        <v>1</v>
      </c>
      <c r="N14" s="30">
        <v>5</v>
      </c>
      <c r="O14" s="31">
        <v>112</v>
      </c>
      <c r="P14" s="1">
        <v>88</v>
      </c>
      <c r="Q14" s="30">
        <v>0</v>
      </c>
      <c r="R14" s="30">
        <v>1</v>
      </c>
      <c r="S14" s="52">
        <f t="shared" si="2"/>
        <v>-31.707317073170731</v>
      </c>
      <c r="T14" s="25">
        <f t="shared" si="3"/>
        <v>-16.981132075471699</v>
      </c>
      <c r="U14" s="27"/>
      <c r="V14" s="2"/>
      <c r="W14" s="2"/>
      <c r="X14" s="2"/>
      <c r="Y14" s="2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</row>
    <row r="15" spans="1:167" s="22" customFormat="1" ht="15" x14ac:dyDescent="0.25">
      <c r="A15" s="28" t="s">
        <v>9</v>
      </c>
      <c r="B15" s="30"/>
      <c r="C15" s="31">
        <v>127</v>
      </c>
      <c r="D15" s="1">
        <v>101</v>
      </c>
      <c r="E15" s="30">
        <v>0</v>
      </c>
      <c r="F15" s="30">
        <v>2</v>
      </c>
      <c r="G15" s="31">
        <v>146</v>
      </c>
      <c r="H15" s="1">
        <v>133</v>
      </c>
      <c r="I15" s="30">
        <v>0</v>
      </c>
      <c r="J15" s="30">
        <v>6</v>
      </c>
      <c r="K15" s="31">
        <v>145</v>
      </c>
      <c r="L15" s="1">
        <v>107</v>
      </c>
      <c r="M15" s="30">
        <v>0</v>
      </c>
      <c r="N15" s="30">
        <v>6</v>
      </c>
      <c r="O15" s="31">
        <v>139</v>
      </c>
      <c r="P15" s="1">
        <f>119-10-10</f>
        <v>99</v>
      </c>
      <c r="Q15" s="30">
        <v>10</v>
      </c>
      <c r="R15" s="30">
        <v>10</v>
      </c>
      <c r="S15" s="52">
        <f t="shared" si="2"/>
        <v>-4.1379310344827589</v>
      </c>
      <c r="T15" s="25">
        <f t="shared" si="3"/>
        <v>-7.4766355140186906</v>
      </c>
      <c r="U15" s="27"/>
      <c r="V15" s="2"/>
      <c r="W15" s="2"/>
      <c r="X15" s="2"/>
      <c r="Y15" s="2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</row>
    <row r="16" spans="1:167" s="22" customFormat="1" ht="15" x14ac:dyDescent="0.25">
      <c r="A16" s="28" t="s">
        <v>10</v>
      </c>
      <c r="B16" s="30"/>
      <c r="C16" s="31">
        <v>198</v>
      </c>
      <c r="D16" s="1">
        <v>133</v>
      </c>
      <c r="E16" s="30">
        <v>0</v>
      </c>
      <c r="F16" s="30">
        <v>11</v>
      </c>
      <c r="G16" s="31">
        <v>212</v>
      </c>
      <c r="H16" s="1">
        <v>128</v>
      </c>
      <c r="I16" s="30">
        <v>0</v>
      </c>
      <c r="J16" s="30">
        <v>4</v>
      </c>
      <c r="K16" s="31">
        <v>199</v>
      </c>
      <c r="L16" s="1">
        <v>142</v>
      </c>
      <c r="M16" s="30">
        <v>2</v>
      </c>
      <c r="N16" s="30">
        <v>5</v>
      </c>
      <c r="O16" s="31">
        <v>174</v>
      </c>
      <c r="P16" s="1">
        <v>115</v>
      </c>
      <c r="Q16" s="30">
        <v>0</v>
      </c>
      <c r="R16" s="30">
        <v>1</v>
      </c>
      <c r="S16" s="52">
        <f t="shared" si="2"/>
        <v>-12.562814070351758</v>
      </c>
      <c r="T16" s="25">
        <f t="shared" si="3"/>
        <v>-19.014084507042252</v>
      </c>
      <c r="U16" s="27"/>
      <c r="V16" s="2"/>
      <c r="W16" s="2"/>
      <c r="X16" s="2"/>
      <c r="Y16" s="2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</row>
    <row r="17" spans="1:167" s="22" customFormat="1" ht="15" x14ac:dyDescent="0.25">
      <c r="A17" s="28" t="s">
        <v>11</v>
      </c>
      <c r="B17" s="30"/>
      <c r="C17" s="31">
        <v>100</v>
      </c>
      <c r="D17" s="1">
        <v>74</v>
      </c>
      <c r="E17" s="30">
        <v>0</v>
      </c>
      <c r="F17" s="30">
        <v>4</v>
      </c>
      <c r="G17" s="31">
        <v>107</v>
      </c>
      <c r="H17" s="1">
        <v>59</v>
      </c>
      <c r="I17" s="30">
        <v>0</v>
      </c>
      <c r="J17" s="30">
        <v>2</v>
      </c>
      <c r="K17" s="31">
        <v>132</v>
      </c>
      <c r="L17" s="1">
        <v>86</v>
      </c>
      <c r="M17" s="30">
        <v>0</v>
      </c>
      <c r="N17" s="30">
        <v>2</v>
      </c>
      <c r="O17" s="31">
        <v>87</v>
      </c>
      <c r="P17" s="1">
        <f>67-4</f>
        <v>63</v>
      </c>
      <c r="Q17" s="30">
        <v>0</v>
      </c>
      <c r="R17" s="30">
        <v>4</v>
      </c>
      <c r="S17" s="52">
        <f t="shared" si="2"/>
        <v>-34.090909090909086</v>
      </c>
      <c r="T17" s="25">
        <f t="shared" si="3"/>
        <v>-26.744186046511626</v>
      </c>
      <c r="U17" s="27"/>
      <c r="V17" s="2"/>
      <c r="W17" s="2"/>
      <c r="X17" s="2"/>
      <c r="Y17" s="2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</row>
    <row r="18" spans="1:167" s="22" customFormat="1" ht="15" x14ac:dyDescent="0.25">
      <c r="A18" s="28" t="s">
        <v>12</v>
      </c>
      <c r="B18" s="30"/>
      <c r="C18" s="31">
        <v>106</v>
      </c>
      <c r="D18" s="1">
        <v>84</v>
      </c>
      <c r="E18" s="30">
        <v>0</v>
      </c>
      <c r="F18" s="30">
        <v>1</v>
      </c>
      <c r="G18" s="31">
        <v>131</v>
      </c>
      <c r="H18" s="1">
        <v>75</v>
      </c>
      <c r="I18" s="30">
        <v>0</v>
      </c>
      <c r="J18" s="30">
        <v>2</v>
      </c>
      <c r="K18" s="31">
        <v>124</v>
      </c>
      <c r="L18" s="1">
        <v>69</v>
      </c>
      <c r="M18" s="30">
        <v>0</v>
      </c>
      <c r="N18" s="30">
        <v>2</v>
      </c>
      <c r="O18" s="31">
        <v>114</v>
      </c>
      <c r="P18" s="1">
        <v>83</v>
      </c>
      <c r="Q18" s="30">
        <v>0</v>
      </c>
      <c r="R18" s="30">
        <v>0</v>
      </c>
      <c r="S18" s="52">
        <f t="shared" si="2"/>
        <v>-8.064516129032258</v>
      </c>
      <c r="T18" s="25">
        <f t="shared" si="3"/>
        <v>20.289855072463769</v>
      </c>
      <c r="U18" s="27"/>
      <c r="V18" s="2"/>
      <c r="W18" s="2"/>
      <c r="X18" s="2"/>
      <c r="Y18" s="2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</row>
    <row r="19" spans="1:167" s="22" customFormat="1" ht="15" x14ac:dyDescent="0.25">
      <c r="A19" s="28" t="s">
        <v>24</v>
      </c>
      <c r="B19" s="30"/>
      <c r="C19" s="31">
        <v>178</v>
      </c>
      <c r="D19" s="1">
        <v>114</v>
      </c>
      <c r="E19" s="30">
        <v>1</v>
      </c>
      <c r="F19" s="30">
        <v>3</v>
      </c>
      <c r="G19" s="31">
        <v>186</v>
      </c>
      <c r="H19" s="1">
        <v>120</v>
      </c>
      <c r="I19" s="30">
        <v>0</v>
      </c>
      <c r="J19" s="30">
        <v>4</v>
      </c>
      <c r="K19" s="31">
        <v>167</v>
      </c>
      <c r="L19" s="1">
        <v>114</v>
      </c>
      <c r="M19" s="30">
        <v>0</v>
      </c>
      <c r="N19" s="30">
        <v>7</v>
      </c>
      <c r="O19" s="31">
        <v>183</v>
      </c>
      <c r="P19" s="1">
        <f>98-2</f>
        <v>96</v>
      </c>
      <c r="Q19" s="30">
        <v>0</v>
      </c>
      <c r="R19" s="30">
        <v>2</v>
      </c>
      <c r="S19" s="52">
        <f t="shared" si="2"/>
        <v>9.5808383233532943</v>
      </c>
      <c r="T19" s="25">
        <f t="shared" si="3"/>
        <v>-15.789473684210526</v>
      </c>
      <c r="U19" s="27"/>
      <c r="V19" s="2"/>
      <c r="W19" s="2"/>
      <c r="X19" s="2"/>
      <c r="Y19" s="2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</row>
    <row r="20" spans="1:167" s="22" customFormat="1" ht="15" x14ac:dyDescent="0.25">
      <c r="A20" s="28" t="s">
        <v>13</v>
      </c>
      <c r="B20" s="30"/>
      <c r="C20" s="31">
        <v>94</v>
      </c>
      <c r="D20" s="1">
        <v>68</v>
      </c>
      <c r="E20" s="30">
        <v>0</v>
      </c>
      <c r="F20" s="30">
        <v>2</v>
      </c>
      <c r="G20" s="31">
        <v>98</v>
      </c>
      <c r="H20" s="1">
        <v>55</v>
      </c>
      <c r="I20" s="30">
        <v>0</v>
      </c>
      <c r="J20" s="30">
        <v>0</v>
      </c>
      <c r="K20" s="31">
        <v>99</v>
      </c>
      <c r="L20" s="1">
        <v>50</v>
      </c>
      <c r="M20" s="30">
        <v>0</v>
      </c>
      <c r="N20" s="30">
        <v>0</v>
      </c>
      <c r="O20" s="31">
        <v>89</v>
      </c>
      <c r="P20" s="1">
        <f>81-4</f>
        <v>77</v>
      </c>
      <c r="Q20" s="30">
        <v>0</v>
      </c>
      <c r="R20" s="30">
        <v>4</v>
      </c>
      <c r="S20" s="52">
        <f t="shared" si="2"/>
        <v>-10.1010101010101</v>
      </c>
      <c r="T20" s="25">
        <f t="shared" si="3"/>
        <v>54</v>
      </c>
      <c r="U20" s="27"/>
      <c r="V20" s="2"/>
      <c r="W20" s="2"/>
      <c r="X20" s="2"/>
      <c r="Y20" s="2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</row>
    <row r="21" spans="1:167" s="32" customFormat="1" ht="15" x14ac:dyDescent="0.25">
      <c r="A21" s="28" t="s">
        <v>14</v>
      </c>
      <c r="B21" s="30"/>
      <c r="C21" s="31">
        <v>111</v>
      </c>
      <c r="D21" s="1">
        <v>80</v>
      </c>
      <c r="E21" s="30">
        <v>0</v>
      </c>
      <c r="F21" s="30">
        <v>2</v>
      </c>
      <c r="G21" s="31">
        <v>110</v>
      </c>
      <c r="H21" s="1">
        <v>83</v>
      </c>
      <c r="I21" s="30">
        <v>0</v>
      </c>
      <c r="J21" s="30">
        <v>2</v>
      </c>
      <c r="K21" s="31">
        <v>102</v>
      </c>
      <c r="L21" s="1">
        <v>62</v>
      </c>
      <c r="M21" s="30">
        <v>0</v>
      </c>
      <c r="N21" s="30">
        <v>0</v>
      </c>
      <c r="O21" s="31">
        <v>86</v>
      </c>
      <c r="P21" s="1">
        <f>66-2</f>
        <v>64</v>
      </c>
      <c r="Q21" s="30">
        <v>0</v>
      </c>
      <c r="R21" s="30">
        <v>2</v>
      </c>
      <c r="S21" s="52">
        <f t="shared" si="2"/>
        <v>-15.686274509803921</v>
      </c>
      <c r="T21" s="25">
        <f t="shared" si="3"/>
        <v>3.225806451612903</v>
      </c>
      <c r="U21" s="27"/>
      <c r="V21" s="2"/>
      <c r="W21" s="2"/>
      <c r="X21" s="2"/>
      <c r="Y21" s="2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</row>
    <row r="22" spans="1:167" s="32" customFormat="1" ht="15" x14ac:dyDescent="0.25">
      <c r="A22" s="28" t="s">
        <v>15</v>
      </c>
      <c r="B22" s="30"/>
      <c r="C22" s="31">
        <v>13</v>
      </c>
      <c r="D22" s="1">
        <v>12</v>
      </c>
      <c r="E22" s="30">
        <v>0</v>
      </c>
      <c r="F22" s="30">
        <v>0</v>
      </c>
      <c r="G22" s="31">
        <v>14</v>
      </c>
      <c r="H22" s="1">
        <v>10</v>
      </c>
      <c r="I22" s="30">
        <v>0</v>
      </c>
      <c r="J22" s="30">
        <v>1</v>
      </c>
      <c r="K22" s="31">
        <v>16</v>
      </c>
      <c r="L22" s="1">
        <v>13</v>
      </c>
      <c r="M22" s="30">
        <v>0</v>
      </c>
      <c r="N22" s="30">
        <v>0</v>
      </c>
      <c r="O22" s="31">
        <v>8</v>
      </c>
      <c r="P22" s="1">
        <v>13</v>
      </c>
      <c r="Q22" s="30">
        <v>0</v>
      </c>
      <c r="R22" s="30">
        <v>0</v>
      </c>
      <c r="S22" s="52">
        <f t="shared" si="2"/>
        <v>-50</v>
      </c>
      <c r="T22" s="25">
        <f t="shared" si="3"/>
        <v>0</v>
      </c>
      <c r="U22" s="27"/>
      <c r="V22" s="2"/>
      <c r="W22" s="2"/>
      <c r="X22" s="2"/>
      <c r="Y22" s="2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</row>
    <row r="23" spans="1:167" s="32" customFormat="1" ht="15" x14ac:dyDescent="0.25">
      <c r="A23" s="28" t="s">
        <v>16</v>
      </c>
      <c r="B23" s="30"/>
      <c r="C23" s="31">
        <v>55</v>
      </c>
      <c r="D23" s="1">
        <v>46</v>
      </c>
      <c r="E23" s="30">
        <v>0</v>
      </c>
      <c r="F23" s="30">
        <v>3</v>
      </c>
      <c r="G23" s="31">
        <v>45</v>
      </c>
      <c r="H23" s="1">
        <v>29</v>
      </c>
      <c r="I23" s="30">
        <v>0</v>
      </c>
      <c r="J23" s="30">
        <v>1</v>
      </c>
      <c r="K23" s="31">
        <v>44</v>
      </c>
      <c r="L23" s="1">
        <v>41</v>
      </c>
      <c r="M23" s="30">
        <v>0</v>
      </c>
      <c r="N23" s="30">
        <v>0</v>
      </c>
      <c r="O23" s="31">
        <v>38</v>
      </c>
      <c r="P23" s="1">
        <v>41</v>
      </c>
      <c r="Q23" s="30">
        <v>0</v>
      </c>
      <c r="R23" s="30">
        <v>0</v>
      </c>
      <c r="S23" s="52">
        <f t="shared" si="2"/>
        <v>-13.636363636363635</v>
      </c>
      <c r="T23" s="25">
        <f t="shared" si="3"/>
        <v>0</v>
      </c>
      <c r="U23" s="27"/>
      <c r="V23" s="2"/>
      <c r="W23" s="2"/>
      <c r="X23" s="2"/>
      <c r="Y23" s="2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</row>
    <row r="24" spans="1:167" s="32" customFormat="1" ht="15" x14ac:dyDescent="0.25">
      <c r="A24" s="28" t="s">
        <v>17</v>
      </c>
      <c r="B24" s="30"/>
      <c r="C24" s="31">
        <v>52</v>
      </c>
      <c r="D24" s="1">
        <v>34</v>
      </c>
      <c r="E24" s="30">
        <v>0</v>
      </c>
      <c r="F24" s="30">
        <v>0</v>
      </c>
      <c r="G24" s="31">
        <v>55</v>
      </c>
      <c r="H24" s="1">
        <v>23</v>
      </c>
      <c r="I24" s="30">
        <v>0</v>
      </c>
      <c r="J24" s="30">
        <v>0</v>
      </c>
      <c r="K24" s="31">
        <v>43</v>
      </c>
      <c r="L24" s="1">
        <v>26</v>
      </c>
      <c r="M24" s="30">
        <v>0</v>
      </c>
      <c r="N24" s="30">
        <v>2</v>
      </c>
      <c r="O24" s="31">
        <v>41</v>
      </c>
      <c r="P24" s="1">
        <v>29</v>
      </c>
      <c r="Q24" s="30">
        <v>0</v>
      </c>
      <c r="R24" s="30">
        <v>3</v>
      </c>
      <c r="S24" s="52">
        <f t="shared" si="2"/>
        <v>-4.6511627906976747</v>
      </c>
      <c r="T24" s="25">
        <f t="shared" si="3"/>
        <v>11.538461538461538</v>
      </c>
      <c r="U24" s="27"/>
      <c r="V24" s="2"/>
      <c r="W24" s="2"/>
      <c r="X24" s="2"/>
      <c r="Y24" s="2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</row>
    <row r="25" spans="1:167" s="32" customFormat="1" ht="15" x14ac:dyDescent="0.25">
      <c r="A25" s="28" t="s">
        <v>18</v>
      </c>
      <c r="B25" s="30"/>
      <c r="C25" s="31">
        <v>67</v>
      </c>
      <c r="D25" s="1">
        <v>27</v>
      </c>
      <c r="E25" s="30">
        <v>0</v>
      </c>
      <c r="F25" s="30">
        <v>0</v>
      </c>
      <c r="G25" s="31">
        <v>60</v>
      </c>
      <c r="H25" s="1">
        <v>41</v>
      </c>
      <c r="I25" s="30">
        <v>0</v>
      </c>
      <c r="J25" s="30">
        <v>2</v>
      </c>
      <c r="K25" s="31">
        <v>58</v>
      </c>
      <c r="L25" s="1">
        <v>36</v>
      </c>
      <c r="M25" s="30">
        <v>0</v>
      </c>
      <c r="N25" s="30">
        <v>3</v>
      </c>
      <c r="O25" s="31">
        <v>58</v>
      </c>
      <c r="P25" s="1">
        <v>40</v>
      </c>
      <c r="Q25" s="30">
        <v>0</v>
      </c>
      <c r="R25" s="30">
        <v>0</v>
      </c>
      <c r="S25" s="52">
        <f t="shared" si="2"/>
        <v>0</v>
      </c>
      <c r="T25" s="25">
        <f t="shared" si="3"/>
        <v>11.111111111111111</v>
      </c>
      <c r="U25" s="27"/>
      <c r="V25" s="2"/>
      <c r="W25" s="2"/>
      <c r="X25" s="2"/>
      <c r="Y25" s="2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2"/>
      <c r="BF25" s="2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</row>
    <row r="26" spans="1:167" s="32" customFormat="1" ht="15" x14ac:dyDescent="0.25">
      <c r="A26" s="28" t="s">
        <v>19</v>
      </c>
      <c r="B26" s="30"/>
      <c r="C26" s="31">
        <v>137</v>
      </c>
      <c r="D26" s="1">
        <v>74</v>
      </c>
      <c r="E26" s="30">
        <v>0</v>
      </c>
      <c r="F26" s="30">
        <v>0</v>
      </c>
      <c r="G26" s="31">
        <v>122</v>
      </c>
      <c r="H26" s="1">
        <v>76</v>
      </c>
      <c r="I26" s="30">
        <v>0</v>
      </c>
      <c r="J26" s="30">
        <v>2</v>
      </c>
      <c r="K26" s="31">
        <v>126</v>
      </c>
      <c r="L26" s="1">
        <v>79</v>
      </c>
      <c r="M26" s="30">
        <v>0</v>
      </c>
      <c r="N26" s="30">
        <v>0</v>
      </c>
      <c r="O26" s="31">
        <v>78</v>
      </c>
      <c r="P26" s="1">
        <v>87</v>
      </c>
      <c r="Q26" s="30">
        <v>0</v>
      </c>
      <c r="R26" s="30">
        <v>5</v>
      </c>
      <c r="S26" s="52">
        <f t="shared" si="2"/>
        <v>-38.095238095238095</v>
      </c>
      <c r="T26" s="25">
        <f t="shared" si="3"/>
        <v>10.126582278481013</v>
      </c>
      <c r="U26" s="27"/>
      <c r="V26" s="2"/>
      <c r="W26" s="2"/>
      <c r="X26" s="2"/>
      <c r="Y26" s="2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</row>
    <row r="27" spans="1:167" s="32" customFormat="1" ht="15" x14ac:dyDescent="0.25">
      <c r="A27" s="28" t="s">
        <v>20</v>
      </c>
      <c r="B27" s="30"/>
      <c r="C27" s="31">
        <v>214</v>
      </c>
      <c r="D27" s="1">
        <v>158</v>
      </c>
      <c r="E27" s="30">
        <v>0</v>
      </c>
      <c r="F27" s="30">
        <v>1</v>
      </c>
      <c r="G27" s="31">
        <v>224</v>
      </c>
      <c r="H27" s="1">
        <v>162</v>
      </c>
      <c r="I27" s="30">
        <v>0</v>
      </c>
      <c r="J27" s="30">
        <v>1</v>
      </c>
      <c r="K27" s="31">
        <v>211</v>
      </c>
      <c r="L27" s="1">
        <v>152</v>
      </c>
      <c r="M27" s="30">
        <v>0</v>
      </c>
      <c r="N27" s="30">
        <v>3</v>
      </c>
      <c r="O27" s="31">
        <v>186</v>
      </c>
      <c r="P27" s="1">
        <v>132</v>
      </c>
      <c r="Q27" s="30">
        <v>2</v>
      </c>
      <c r="R27" s="30">
        <v>1</v>
      </c>
      <c r="S27" s="52">
        <f t="shared" si="2"/>
        <v>-11.848341232227488</v>
      </c>
      <c r="T27" s="25">
        <f t="shared" si="3"/>
        <v>-13.157894736842104</v>
      </c>
      <c r="U27" s="27"/>
      <c r="V27" s="2"/>
      <c r="W27" s="2"/>
      <c r="X27" s="2"/>
      <c r="Y27" s="2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</row>
    <row r="28" spans="1:167" s="32" customFormat="1" ht="15" x14ac:dyDescent="0.25">
      <c r="A28" s="28" t="s">
        <v>21</v>
      </c>
      <c r="B28" s="30"/>
      <c r="C28" s="31">
        <v>135</v>
      </c>
      <c r="D28" s="1">
        <v>83</v>
      </c>
      <c r="E28" s="30">
        <v>0</v>
      </c>
      <c r="F28" s="30">
        <v>2</v>
      </c>
      <c r="G28" s="31">
        <v>108</v>
      </c>
      <c r="H28" s="1">
        <v>73</v>
      </c>
      <c r="I28" s="30">
        <v>0</v>
      </c>
      <c r="J28" s="30">
        <v>5</v>
      </c>
      <c r="K28" s="31">
        <v>103</v>
      </c>
      <c r="L28" s="1">
        <v>95</v>
      </c>
      <c r="M28" s="30">
        <v>2</v>
      </c>
      <c r="N28" s="30">
        <v>3</v>
      </c>
      <c r="O28" s="31">
        <v>114</v>
      </c>
      <c r="P28" s="1">
        <v>97</v>
      </c>
      <c r="Q28" s="30">
        <v>0</v>
      </c>
      <c r="R28" s="30">
        <v>3</v>
      </c>
      <c r="S28" s="52">
        <f t="shared" si="2"/>
        <v>10.679611650485436</v>
      </c>
      <c r="T28" s="25">
        <f t="shared" si="3"/>
        <v>2.1052631578947367</v>
      </c>
      <c r="U28" s="27"/>
      <c r="V28" s="2"/>
      <c r="W28" s="2"/>
      <c r="X28" s="2"/>
      <c r="Y28" s="2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</row>
    <row r="29" spans="1:167" s="32" customFormat="1" ht="15" x14ac:dyDescent="0.25">
      <c r="A29" s="28" t="s">
        <v>22</v>
      </c>
      <c r="B29" s="30"/>
      <c r="C29" s="31">
        <v>177</v>
      </c>
      <c r="D29" s="1">
        <v>120</v>
      </c>
      <c r="E29" s="30">
        <v>2</v>
      </c>
      <c r="F29" s="30">
        <v>3</v>
      </c>
      <c r="G29" s="31">
        <v>137</v>
      </c>
      <c r="H29" s="1">
        <v>117</v>
      </c>
      <c r="I29" s="30">
        <v>0</v>
      </c>
      <c r="J29" s="30">
        <v>1</v>
      </c>
      <c r="K29" s="31">
        <v>158</v>
      </c>
      <c r="L29" s="1">
        <v>116</v>
      </c>
      <c r="M29" s="30">
        <v>1</v>
      </c>
      <c r="N29" s="30">
        <v>3</v>
      </c>
      <c r="O29" s="31">
        <v>174</v>
      </c>
      <c r="P29" s="1">
        <v>119</v>
      </c>
      <c r="Q29" s="30">
        <v>0</v>
      </c>
      <c r="R29" s="30">
        <v>3</v>
      </c>
      <c r="S29" s="52">
        <f t="shared" si="2"/>
        <v>10.126582278481013</v>
      </c>
      <c r="T29" s="25">
        <f t="shared" si="3"/>
        <v>2.5862068965517242</v>
      </c>
      <c r="U29" s="27"/>
      <c r="V29" s="2"/>
      <c r="W29" s="2"/>
      <c r="X29" s="2"/>
      <c r="Y29" s="2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S29" s="2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</row>
    <row r="30" spans="1:167" s="32" customFormat="1" ht="15" x14ac:dyDescent="0.2">
      <c r="A30" s="28" t="s">
        <v>23</v>
      </c>
      <c r="B30" s="30"/>
      <c r="C30" s="31">
        <v>138</v>
      </c>
      <c r="D30" s="1">
        <v>101</v>
      </c>
      <c r="E30" s="30">
        <v>0</v>
      </c>
      <c r="F30" s="30">
        <v>0</v>
      </c>
      <c r="G30" s="31">
        <v>143</v>
      </c>
      <c r="H30" s="1">
        <v>101</v>
      </c>
      <c r="I30" s="30">
        <v>0</v>
      </c>
      <c r="J30" s="30">
        <v>0</v>
      </c>
      <c r="K30" s="31">
        <v>145</v>
      </c>
      <c r="L30" s="1">
        <v>46</v>
      </c>
      <c r="M30" s="30">
        <v>1</v>
      </c>
      <c r="N30" s="30">
        <v>2</v>
      </c>
      <c r="O30" s="31">
        <v>117</v>
      </c>
      <c r="P30" s="1">
        <f>104-2-1</f>
        <v>101</v>
      </c>
      <c r="Q30" s="30">
        <v>1</v>
      </c>
      <c r="R30" s="30">
        <v>2</v>
      </c>
      <c r="S30" s="52">
        <f t="shared" si="2"/>
        <v>-19.310344827586206</v>
      </c>
      <c r="T30" s="25">
        <f t="shared" si="3"/>
        <v>119.56521739130434</v>
      </c>
      <c r="U30" s="27"/>
      <c r="V30" s="2"/>
      <c r="W30" s="2"/>
      <c r="X30" s="2"/>
      <c r="Y30" s="2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S30" s="33"/>
      <c r="AT30" s="78"/>
      <c r="AU30" s="7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</row>
    <row r="31" spans="1:167" s="38" customFormat="1" ht="15" x14ac:dyDescent="0.2">
      <c r="A31" s="34" t="s">
        <v>8</v>
      </c>
      <c r="B31" s="35"/>
      <c r="C31" s="36">
        <v>301</v>
      </c>
      <c r="D31" s="55">
        <v>227</v>
      </c>
      <c r="E31" s="35">
        <v>0</v>
      </c>
      <c r="F31" s="35">
        <v>2</v>
      </c>
      <c r="G31" s="36">
        <v>286</v>
      </c>
      <c r="H31" s="55">
        <v>180</v>
      </c>
      <c r="I31" s="35">
        <v>0</v>
      </c>
      <c r="J31" s="35">
        <v>5</v>
      </c>
      <c r="K31" s="36">
        <v>296</v>
      </c>
      <c r="L31" s="55">
        <v>169</v>
      </c>
      <c r="M31" s="35">
        <v>0</v>
      </c>
      <c r="N31" s="35">
        <v>6</v>
      </c>
      <c r="O31" s="36">
        <v>298</v>
      </c>
      <c r="P31" s="55">
        <f>223-4</f>
        <v>219</v>
      </c>
      <c r="Q31" s="35">
        <v>0</v>
      </c>
      <c r="R31" s="35">
        <v>4</v>
      </c>
      <c r="S31" s="53">
        <f t="shared" si="2"/>
        <v>0.67567567567567566</v>
      </c>
      <c r="T31" s="54">
        <f t="shared" si="3"/>
        <v>29.585798816568047</v>
      </c>
      <c r="U31" s="21"/>
      <c r="V31" s="2"/>
      <c r="W31" s="2"/>
      <c r="X31" s="2"/>
      <c r="Y31" s="2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</row>
    <row r="32" spans="1:167" s="1" customFormat="1" ht="17.25" x14ac:dyDescent="0.45">
      <c r="A32" s="39" t="s">
        <v>34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1" t="s">
        <v>35</v>
      </c>
      <c r="V32" s="2"/>
      <c r="W32" s="2"/>
      <c r="X32" s="2"/>
      <c r="Y32" s="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3"/>
      <c r="AR32" s="43"/>
      <c r="AS32" s="43"/>
      <c r="AT32" s="43"/>
      <c r="AU32" s="43"/>
      <c r="AV32" s="43"/>
    </row>
    <row r="33" spans="2:74" s="43" customFormat="1" x14ac:dyDescent="0.2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V33" s="2"/>
      <c r="W33" s="2"/>
      <c r="X33" s="2"/>
      <c r="Y33" s="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2:74" s="43" customFormat="1" x14ac:dyDescent="0.2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V34" s="2"/>
      <c r="W34" s="2"/>
      <c r="X34" s="2"/>
      <c r="Y34" s="2"/>
    </row>
    <row r="35" spans="2:74" s="43" customFormat="1" x14ac:dyDescent="0.2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V35" s="2"/>
      <c r="W35" s="2"/>
      <c r="X35" s="2"/>
      <c r="Y35" s="2"/>
      <c r="AR35" s="78"/>
      <c r="AS35" s="78"/>
      <c r="AT35" s="78"/>
      <c r="AU35" s="78"/>
      <c r="AV35" s="78"/>
      <c r="AW35" s="78"/>
      <c r="AX35" s="78"/>
      <c r="AY35" s="78"/>
    </row>
    <row r="36" spans="2:74" s="43" customFormat="1" x14ac:dyDescent="0.2"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V36" s="2"/>
      <c r="W36" s="2"/>
      <c r="X36" s="2"/>
      <c r="Y36" s="2"/>
      <c r="AR36" s="15"/>
      <c r="AS36" s="15"/>
      <c r="AT36" s="15"/>
      <c r="AU36" s="15"/>
      <c r="AV36" s="15"/>
      <c r="AW36" s="15"/>
      <c r="AX36" s="15"/>
      <c r="AY36" s="15"/>
    </row>
    <row r="37" spans="2:74" s="43" customFormat="1" x14ac:dyDescent="0.2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AQ37" s="2"/>
      <c r="AR37" s="45"/>
      <c r="AS37" s="45"/>
      <c r="AT37" s="45"/>
      <c r="AU37" s="45"/>
      <c r="AV37" s="45"/>
      <c r="AW37" s="45"/>
      <c r="AX37" s="45"/>
      <c r="AY37" s="45"/>
    </row>
    <row r="38" spans="2:74" s="43" customFormat="1" x14ac:dyDescent="0.2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AQ38" s="46"/>
      <c r="AR38" s="45"/>
      <c r="AS38" s="45"/>
      <c r="AT38" s="45"/>
      <c r="AU38" s="45"/>
      <c r="AV38" s="45"/>
      <c r="AW38" s="45"/>
      <c r="AX38" s="45"/>
      <c r="AY38" s="45"/>
    </row>
    <row r="39" spans="2:74" s="43" customFormat="1" x14ac:dyDescent="0.2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2:74" s="43" customFormat="1" x14ac:dyDescent="0.2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AS40" s="62">
        <v>2010</v>
      </c>
      <c r="AT40" s="62"/>
      <c r="AU40" s="62">
        <v>2011</v>
      </c>
      <c r="AV40" s="62"/>
      <c r="AW40" s="62">
        <v>2012</v>
      </c>
      <c r="AX40" s="62"/>
      <c r="AY40" s="62">
        <v>2013</v>
      </c>
      <c r="AZ40" s="62"/>
      <c r="BA40" s="62">
        <v>2014</v>
      </c>
      <c r="BB40" s="62"/>
      <c r="BC40" s="62">
        <v>2015</v>
      </c>
      <c r="BD40" s="62"/>
      <c r="BE40" s="62">
        <v>2016</v>
      </c>
      <c r="BF40" s="62"/>
      <c r="BG40" s="62">
        <v>2017</v>
      </c>
      <c r="BH40" s="62"/>
      <c r="BI40" s="62">
        <v>2018</v>
      </c>
      <c r="BJ40" s="62"/>
      <c r="BK40" s="62">
        <v>2019</v>
      </c>
      <c r="BL40" s="62"/>
      <c r="BM40" s="62">
        <v>2020</v>
      </c>
      <c r="BN40" s="62"/>
      <c r="BO40" s="62">
        <v>2021</v>
      </c>
      <c r="BP40" s="62"/>
      <c r="BQ40" s="62">
        <v>2022</v>
      </c>
      <c r="BR40" s="62"/>
      <c r="BS40" s="62">
        <v>2023</v>
      </c>
      <c r="BT40" s="62"/>
      <c r="BU40" s="62"/>
      <c r="BV40" s="62"/>
    </row>
    <row r="41" spans="2:74" s="43" customFormat="1" x14ac:dyDescent="0.2"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AS41" s="13" t="s">
        <v>36</v>
      </c>
      <c r="AT41" s="13" t="s">
        <v>37</v>
      </c>
      <c r="AU41" s="13" t="s">
        <v>36</v>
      </c>
      <c r="AV41" s="13" t="s">
        <v>37</v>
      </c>
      <c r="AW41" s="13" t="s">
        <v>36</v>
      </c>
      <c r="AX41" s="13" t="s">
        <v>37</v>
      </c>
      <c r="AY41" s="13" t="s">
        <v>36</v>
      </c>
      <c r="AZ41" s="13" t="s">
        <v>37</v>
      </c>
      <c r="BA41" s="13" t="s">
        <v>36</v>
      </c>
      <c r="BB41" s="13" t="s">
        <v>37</v>
      </c>
      <c r="BC41" s="13" t="s">
        <v>36</v>
      </c>
      <c r="BD41" s="13" t="s">
        <v>37</v>
      </c>
      <c r="BE41" s="13" t="s">
        <v>36</v>
      </c>
      <c r="BF41" s="13" t="s">
        <v>37</v>
      </c>
      <c r="BG41" s="13" t="s">
        <v>36</v>
      </c>
      <c r="BH41" s="13" t="s">
        <v>37</v>
      </c>
      <c r="BI41" s="13" t="s">
        <v>36</v>
      </c>
      <c r="BJ41" s="13" t="s">
        <v>37</v>
      </c>
      <c r="BK41" s="13" t="s">
        <v>36</v>
      </c>
      <c r="BL41" s="13" t="s">
        <v>37</v>
      </c>
      <c r="BM41" s="13" t="s">
        <v>36</v>
      </c>
      <c r="BN41" s="13" t="s">
        <v>37</v>
      </c>
      <c r="BO41" s="13" t="s">
        <v>36</v>
      </c>
      <c r="BP41" s="13" t="s">
        <v>37</v>
      </c>
      <c r="BQ41" s="13" t="s">
        <v>36</v>
      </c>
      <c r="BR41" s="13" t="s">
        <v>37</v>
      </c>
      <c r="BS41" s="13" t="s">
        <v>36</v>
      </c>
      <c r="BT41" s="13" t="s">
        <v>37</v>
      </c>
      <c r="BU41" s="13"/>
      <c r="BV41" s="13"/>
    </row>
    <row r="42" spans="2:74" s="43" customFormat="1" x14ac:dyDescent="0.2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AR42" s="2" t="s">
        <v>3</v>
      </c>
      <c r="AS42" s="45">
        <v>2491</v>
      </c>
      <c r="AT42" s="45">
        <v>1248</v>
      </c>
      <c r="AU42" s="45">
        <v>2366</v>
      </c>
      <c r="AV42" s="45">
        <v>1209</v>
      </c>
      <c r="AW42" s="45">
        <v>2404</v>
      </c>
      <c r="AX42" s="45">
        <v>1320</v>
      </c>
      <c r="AY42" s="43">
        <v>2463</v>
      </c>
      <c r="AZ42" s="43">
        <v>1508</v>
      </c>
      <c r="BA42" s="43">
        <v>2357</v>
      </c>
      <c r="BB42" s="43">
        <v>1368</v>
      </c>
      <c r="BC42" s="43">
        <v>2417</v>
      </c>
      <c r="BD42" s="43">
        <v>1288</v>
      </c>
      <c r="BE42" s="43">
        <v>2304</v>
      </c>
      <c r="BF42" s="43">
        <v>1341</v>
      </c>
      <c r="BG42" s="43">
        <v>2168</v>
      </c>
      <c r="BH42" s="43">
        <v>1248</v>
      </c>
      <c r="BI42" s="43" t="e">
        <f>#REF!</f>
        <v>#REF!</v>
      </c>
      <c r="BJ42" s="43" t="e">
        <f>#REF!</f>
        <v>#REF!</v>
      </c>
      <c r="BK42" s="43" t="e">
        <f>#REF!</f>
        <v>#REF!</v>
      </c>
      <c r="BL42" s="43" t="e">
        <f>#REF!</f>
        <v>#REF!</v>
      </c>
      <c r="BM42" s="43">
        <f t="shared" ref="BM42:BN44" si="5">C9</f>
        <v>1995</v>
      </c>
      <c r="BN42" s="43">
        <f t="shared" si="5"/>
        <v>928</v>
      </c>
      <c r="BO42" s="43">
        <f t="shared" ref="BO42:BP44" si="6">G9</f>
        <v>2396</v>
      </c>
      <c r="BP42" s="43">
        <f t="shared" si="6"/>
        <v>1191</v>
      </c>
      <c r="BQ42" s="43">
        <f t="shared" ref="BQ42:BR44" si="7">K9</f>
        <v>2514</v>
      </c>
      <c r="BR42" s="43">
        <f t="shared" si="7"/>
        <v>1297</v>
      </c>
      <c r="BS42" s="43">
        <f>O9</f>
        <v>2425</v>
      </c>
      <c r="BT42" s="43">
        <f>P9</f>
        <v>1245</v>
      </c>
    </row>
    <row r="43" spans="2:74" s="43" customFormat="1" ht="15" x14ac:dyDescent="0.2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AR43" s="26" t="s">
        <v>2</v>
      </c>
      <c r="BA43" s="43">
        <v>125</v>
      </c>
      <c r="BB43" s="43">
        <v>98</v>
      </c>
      <c r="BC43" s="43">
        <v>193</v>
      </c>
      <c r="BD43" s="43">
        <v>167</v>
      </c>
      <c r="BE43" s="43">
        <v>223</v>
      </c>
      <c r="BF43" s="43">
        <v>155</v>
      </c>
      <c r="BG43" s="43">
        <v>207</v>
      </c>
      <c r="BH43" s="43">
        <v>149</v>
      </c>
      <c r="BI43" s="43" t="e">
        <f>#REF!</f>
        <v>#REF!</v>
      </c>
      <c r="BJ43" s="43" t="e">
        <f>#REF!</f>
        <v>#REF!</v>
      </c>
      <c r="BK43" s="43" t="e">
        <f>#REF!</f>
        <v>#REF!</v>
      </c>
      <c r="BL43" s="43" t="e">
        <f>#REF!</f>
        <v>#REF!</v>
      </c>
      <c r="BM43" s="43">
        <f t="shared" si="5"/>
        <v>237</v>
      </c>
      <c r="BN43" s="43">
        <f t="shared" si="5"/>
        <v>173</v>
      </c>
      <c r="BO43" s="43">
        <f t="shared" si="6"/>
        <v>330</v>
      </c>
      <c r="BP43" s="43">
        <f t="shared" si="6"/>
        <v>247</v>
      </c>
      <c r="BQ43" s="43">
        <f t="shared" si="7"/>
        <v>441</v>
      </c>
      <c r="BR43" s="43">
        <f t="shared" si="7"/>
        <v>309</v>
      </c>
      <c r="BS43" s="43">
        <f>O10</f>
        <v>508</v>
      </c>
      <c r="BT43" s="43">
        <f>P10</f>
        <v>351</v>
      </c>
    </row>
    <row r="44" spans="2:74" s="43" customFormat="1" x14ac:dyDescent="0.2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AR44" s="46" t="s">
        <v>4</v>
      </c>
      <c r="AS44" s="45">
        <v>3645</v>
      </c>
      <c r="AT44" s="45">
        <v>1547</v>
      </c>
      <c r="AU44" s="45">
        <v>3649</v>
      </c>
      <c r="AV44" s="45">
        <v>1807</v>
      </c>
      <c r="AW44" s="47">
        <v>3295</v>
      </c>
      <c r="AX44" s="47">
        <v>1691</v>
      </c>
      <c r="AY44" s="43">
        <v>3157</v>
      </c>
      <c r="AZ44" s="43">
        <v>1823</v>
      </c>
      <c r="BA44" s="43">
        <v>3230</v>
      </c>
      <c r="BB44" s="43">
        <v>1936</v>
      </c>
      <c r="BC44" s="43">
        <v>3153</v>
      </c>
      <c r="BD44" s="43">
        <v>1903</v>
      </c>
      <c r="BE44" s="43">
        <v>2961</v>
      </c>
      <c r="BF44" s="43">
        <v>1921</v>
      </c>
      <c r="BG44" s="43">
        <v>2862</v>
      </c>
      <c r="BH44" s="43">
        <v>1814</v>
      </c>
      <c r="BI44" s="43" t="e">
        <f>#REF!</f>
        <v>#REF!</v>
      </c>
      <c r="BJ44" s="43" t="e">
        <f>#REF!</f>
        <v>#REF!</v>
      </c>
      <c r="BK44" s="43">
        <v>2702</v>
      </c>
      <c r="BL44" s="43" t="e">
        <f>#REF!</f>
        <v>#REF!</v>
      </c>
      <c r="BM44" s="43">
        <f t="shared" si="5"/>
        <v>2766</v>
      </c>
      <c r="BN44" s="43">
        <f t="shared" si="5"/>
        <v>1883</v>
      </c>
      <c r="BO44" s="43">
        <f t="shared" si="6"/>
        <v>2688</v>
      </c>
      <c r="BP44" s="43">
        <f t="shared" si="6"/>
        <v>1804</v>
      </c>
      <c r="BQ44" s="43">
        <f t="shared" si="7"/>
        <v>2798</v>
      </c>
      <c r="BR44" s="43">
        <f t="shared" si="7"/>
        <v>1705</v>
      </c>
      <c r="BS44" s="43">
        <f>O11</f>
        <v>2440</v>
      </c>
      <c r="BT44" s="43">
        <f>P11</f>
        <v>1805</v>
      </c>
    </row>
    <row r="45" spans="2:74" s="43" customFormat="1" x14ac:dyDescent="0.2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2:74" s="43" customFormat="1" x14ac:dyDescent="0.2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2:74" s="43" customFormat="1" x14ac:dyDescent="0.2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2:74" s="43" customFormat="1" x14ac:dyDescent="0.2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2:52" s="43" customFormat="1" x14ac:dyDescent="0.2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2:52" s="43" customFormat="1" x14ac:dyDescent="0.2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2:52" s="43" customFormat="1" x14ac:dyDescent="0.2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2:52" s="43" customFormat="1" x14ac:dyDescent="0.2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2:52" s="43" customFormat="1" x14ac:dyDescent="0.2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2:52" s="43" customFormat="1" x14ac:dyDescent="0.2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2:52" s="43" customFormat="1" x14ac:dyDescent="0.2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2:52" s="43" customFormat="1" x14ac:dyDescent="0.2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2:52" s="43" customFormat="1" x14ac:dyDescent="0.2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AT57" s="15"/>
      <c r="AU57" s="15"/>
      <c r="AY57" s="15"/>
      <c r="AZ57" s="15"/>
    </row>
    <row r="58" spans="2:52" s="43" customFormat="1" x14ac:dyDescent="0.2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AS58" s="42"/>
      <c r="AT58" s="48"/>
      <c r="AU58" s="48"/>
      <c r="AX58" s="42"/>
      <c r="AY58" s="48"/>
      <c r="AZ58" s="48"/>
    </row>
    <row r="59" spans="2:52" s="43" customFormat="1" x14ac:dyDescent="0.2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AS59" s="42"/>
      <c r="AT59" s="48"/>
      <c r="AU59" s="48"/>
      <c r="AX59" s="42"/>
      <c r="AY59" s="48"/>
      <c r="AZ59" s="48"/>
    </row>
    <row r="60" spans="2:52" s="43" customFormat="1" x14ac:dyDescent="0.2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AS60" s="42"/>
      <c r="AT60" s="48"/>
      <c r="AU60" s="48"/>
      <c r="AX60" s="42"/>
      <c r="AY60" s="48"/>
      <c r="AZ60" s="48"/>
    </row>
    <row r="61" spans="2:52" s="43" customFormat="1" x14ac:dyDescent="0.2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AS61" s="42"/>
      <c r="AT61" s="48"/>
      <c r="AU61" s="48"/>
      <c r="AX61" s="42"/>
      <c r="AY61" s="48"/>
      <c r="AZ61" s="48"/>
    </row>
    <row r="62" spans="2:52" s="43" customFormat="1" x14ac:dyDescent="0.2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AS62" s="42"/>
      <c r="AT62" s="48"/>
      <c r="AU62" s="48"/>
      <c r="AX62" s="42"/>
      <c r="AY62" s="48"/>
      <c r="AZ62" s="48"/>
    </row>
    <row r="63" spans="2:52" s="43" customFormat="1" x14ac:dyDescent="0.2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AS63" s="42"/>
      <c r="AT63" s="48"/>
      <c r="AU63" s="48"/>
      <c r="AX63" s="42"/>
      <c r="AY63" s="48"/>
      <c r="AZ63" s="48"/>
    </row>
    <row r="64" spans="2:52" s="43" customFormat="1" x14ac:dyDescent="0.2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AS64" s="42"/>
      <c r="AT64" s="48"/>
      <c r="AU64" s="48"/>
      <c r="AX64" s="42"/>
      <c r="AY64" s="48"/>
      <c r="AZ64" s="48"/>
    </row>
    <row r="65" spans="2:52" s="43" customFormat="1" x14ac:dyDescent="0.2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AS65" s="42"/>
      <c r="AT65" s="48"/>
      <c r="AU65" s="48"/>
      <c r="AX65" s="42"/>
      <c r="AY65" s="48"/>
      <c r="AZ65" s="48"/>
    </row>
    <row r="66" spans="2:52" s="43" customFormat="1" x14ac:dyDescent="0.2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AS66" s="42"/>
      <c r="AT66" s="48"/>
      <c r="AU66" s="48"/>
      <c r="AX66" s="42"/>
      <c r="AY66" s="48"/>
      <c r="AZ66" s="48"/>
    </row>
    <row r="67" spans="2:52" s="43" customFormat="1" x14ac:dyDescent="0.2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AS67" s="42"/>
      <c r="AT67" s="48"/>
      <c r="AU67" s="48"/>
      <c r="AX67" s="42"/>
      <c r="AY67" s="48"/>
      <c r="AZ67" s="48"/>
    </row>
    <row r="68" spans="2:52" s="43" customFormat="1" x14ac:dyDescent="0.2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AS68" s="42"/>
      <c r="AT68" s="48"/>
      <c r="AU68" s="48"/>
      <c r="AX68" s="42"/>
      <c r="AY68" s="48"/>
      <c r="AZ68" s="48"/>
    </row>
    <row r="69" spans="2:52" s="43" customFormat="1" x14ac:dyDescent="0.2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AS69" s="42"/>
      <c r="AT69" s="48"/>
      <c r="AU69" s="48"/>
      <c r="AX69" s="42"/>
      <c r="AY69" s="48"/>
      <c r="AZ69" s="48"/>
    </row>
    <row r="70" spans="2:52" s="43" customFormat="1" x14ac:dyDescent="0.2"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AS70" s="42"/>
      <c r="AT70" s="48"/>
      <c r="AU70" s="48"/>
      <c r="AX70" s="42"/>
      <c r="AY70" s="48"/>
      <c r="AZ70" s="48"/>
    </row>
    <row r="71" spans="2:52" s="43" customFormat="1" x14ac:dyDescent="0.2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AS71" s="42"/>
      <c r="AT71" s="48"/>
      <c r="AU71" s="48"/>
      <c r="AX71" s="42"/>
      <c r="AY71" s="48"/>
      <c r="AZ71" s="48"/>
    </row>
    <row r="72" spans="2:52" s="43" customFormat="1" x14ac:dyDescent="0.2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AS72" s="42"/>
      <c r="AT72" s="48"/>
      <c r="AU72" s="48"/>
      <c r="AX72" s="42"/>
      <c r="AY72" s="48"/>
      <c r="AZ72" s="48"/>
    </row>
    <row r="73" spans="2:52" s="43" customFormat="1" x14ac:dyDescent="0.2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AS73" s="42"/>
      <c r="AT73" s="48"/>
      <c r="AU73" s="48"/>
      <c r="AX73" s="42"/>
      <c r="AY73" s="48"/>
      <c r="AZ73" s="48"/>
    </row>
    <row r="74" spans="2:52" s="43" customFormat="1" x14ac:dyDescent="0.2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AS74" s="42"/>
      <c r="AT74" s="48"/>
      <c r="AU74" s="48"/>
      <c r="AX74" s="42"/>
      <c r="AY74" s="48"/>
      <c r="AZ74" s="48"/>
    </row>
    <row r="75" spans="2:52" s="43" customFormat="1" x14ac:dyDescent="0.2"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AS75" s="42"/>
      <c r="AT75" s="48"/>
      <c r="AU75" s="48"/>
      <c r="AX75" s="42"/>
      <c r="AY75" s="48"/>
      <c r="AZ75" s="48"/>
    </row>
    <row r="76" spans="2:52" s="43" customFormat="1" x14ac:dyDescent="0.2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AS76" s="42"/>
      <c r="AT76" s="48"/>
      <c r="AU76" s="48"/>
      <c r="AX76" s="42"/>
      <c r="AY76" s="48"/>
      <c r="AZ76" s="48"/>
    </row>
    <row r="77" spans="2:52" s="43" customFormat="1" x14ac:dyDescent="0.2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AS77" s="49"/>
      <c r="AT77" s="48"/>
      <c r="AU77" s="48"/>
      <c r="AX77" s="49"/>
      <c r="AY77" s="48"/>
      <c r="AZ77" s="48"/>
    </row>
    <row r="78" spans="2:52" s="43" customFormat="1" x14ac:dyDescent="0.2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2:52" s="43" customFormat="1" x14ac:dyDescent="0.2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2:52" s="43" customFormat="1" x14ac:dyDescent="0.2"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2:19" s="43" customFormat="1" x14ac:dyDescent="0.2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2:19" s="43" customFormat="1" x14ac:dyDescent="0.2"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2:19" s="43" customFormat="1" x14ac:dyDescent="0.2"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2:19" s="43" customFormat="1" x14ac:dyDescent="0.2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2:19" s="43" customFormat="1" x14ac:dyDescent="0.2"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2:19" s="43" customFormat="1" x14ac:dyDescent="0.2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2:19" s="43" customFormat="1" x14ac:dyDescent="0.2"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2:19" s="43" customFormat="1" x14ac:dyDescent="0.2"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2:19" s="43" customFormat="1" x14ac:dyDescent="0.2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2:19" s="43" customFormat="1" x14ac:dyDescent="0.2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2:19" s="43" customFormat="1" x14ac:dyDescent="0.2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2:19" s="43" customFormat="1" x14ac:dyDescent="0.2"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2:19" s="43" customFormat="1" x14ac:dyDescent="0.2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2:19" s="43" customFormat="1" x14ac:dyDescent="0.2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2:19" s="43" customFormat="1" x14ac:dyDescent="0.2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2:19" s="43" customFormat="1" x14ac:dyDescent="0.2"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2:19" s="43" customFormat="1" x14ac:dyDescent="0.2"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2:19" s="43" customFormat="1" x14ac:dyDescent="0.2"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2:19" s="43" customFormat="1" x14ac:dyDescent="0.2"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2:19" s="43" customFormat="1" x14ac:dyDescent="0.2"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2:19" s="43" customFormat="1" x14ac:dyDescent="0.2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2:19" s="43" customFormat="1" x14ac:dyDescent="0.2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2:19" s="43" customFormat="1" x14ac:dyDescent="0.2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2:19" s="43" customFormat="1" x14ac:dyDescent="0.2"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2:19" s="43" customFormat="1" x14ac:dyDescent="0.2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2:19" s="43" customFormat="1" x14ac:dyDescent="0.2"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2:19" s="43" customFormat="1" x14ac:dyDescent="0.2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2:19" s="43" customFormat="1" x14ac:dyDescent="0.2"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2:19" s="43" customFormat="1" x14ac:dyDescent="0.2"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2:19" s="43" customFormat="1" x14ac:dyDescent="0.2"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2:19" s="43" customFormat="1" x14ac:dyDescent="0.2"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2:19" s="43" customFormat="1" x14ac:dyDescent="0.2"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2:19" s="43" customFormat="1" x14ac:dyDescent="0.2"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2:19" s="43" customFormat="1" x14ac:dyDescent="0.2"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2:19" s="43" customFormat="1" x14ac:dyDescent="0.2"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2:19" s="43" customFormat="1" x14ac:dyDescent="0.2"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2:19" s="43" customFormat="1" x14ac:dyDescent="0.2"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2:19" s="43" customFormat="1" x14ac:dyDescent="0.2"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2:19" s="43" customFormat="1" x14ac:dyDescent="0.2"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2:19" s="43" customFormat="1" x14ac:dyDescent="0.2"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2:19" s="43" customFormat="1" x14ac:dyDescent="0.2"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2:19" s="43" customFormat="1" x14ac:dyDescent="0.2"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2:19" s="43" customFormat="1" x14ac:dyDescent="0.2"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2:19" s="43" customFormat="1" x14ac:dyDescent="0.2"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2:19" s="43" customFormat="1" x14ac:dyDescent="0.2"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2:19" s="43" customFormat="1" x14ac:dyDescent="0.2"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2:19" s="43" customFormat="1" x14ac:dyDescent="0.2"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2:19" s="43" customFormat="1" x14ac:dyDescent="0.2"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2:19" s="43" customFormat="1" x14ac:dyDescent="0.2"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2:19" s="43" customFormat="1" x14ac:dyDescent="0.2"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2:19" s="43" customFormat="1" x14ac:dyDescent="0.2"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2:19" s="43" customFormat="1" x14ac:dyDescent="0.2"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2:19" s="43" customFormat="1" x14ac:dyDescent="0.2"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2:19" s="43" customFormat="1" x14ac:dyDescent="0.2"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2:19" s="43" customFormat="1" x14ac:dyDescent="0.2"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2:19" s="43" customFormat="1" x14ac:dyDescent="0.2"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2:19" s="43" customFormat="1" x14ac:dyDescent="0.2"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2:19" s="43" customFormat="1" x14ac:dyDescent="0.2"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2:19" s="43" customFormat="1" x14ac:dyDescent="0.2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2:19" s="43" customFormat="1" x14ac:dyDescent="0.2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2:19" s="43" customFormat="1" x14ac:dyDescent="0.2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2:19" s="43" customFormat="1" x14ac:dyDescent="0.2"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2:19" s="43" customFormat="1" x14ac:dyDescent="0.2"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2:19" s="43" customFormat="1" x14ac:dyDescent="0.2"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2:19" s="43" customFormat="1" x14ac:dyDescent="0.2"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2:19" s="43" customFormat="1" x14ac:dyDescent="0.2"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2:19" s="43" customFormat="1" x14ac:dyDescent="0.2"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2:19" s="43" customFormat="1" x14ac:dyDescent="0.2"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2:19" s="43" customFormat="1" x14ac:dyDescent="0.2"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2:19" s="43" customFormat="1" x14ac:dyDescent="0.2"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2:19" s="43" customFormat="1" x14ac:dyDescent="0.2"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2:19" s="43" customFormat="1" x14ac:dyDescent="0.2"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2:19" s="43" customFormat="1" x14ac:dyDescent="0.2"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2:19" s="43" customFormat="1" x14ac:dyDescent="0.2"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2:19" s="43" customFormat="1" x14ac:dyDescent="0.2"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2:19" s="43" customFormat="1" x14ac:dyDescent="0.2"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2:19" s="43" customFormat="1" x14ac:dyDescent="0.2"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2:19" s="43" customFormat="1" x14ac:dyDescent="0.2"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2:19" s="43" customFormat="1" x14ac:dyDescent="0.2"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2:19" s="43" customFormat="1" x14ac:dyDescent="0.2"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2:19" s="43" customFormat="1" x14ac:dyDescent="0.2"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2:19" s="43" customFormat="1" x14ac:dyDescent="0.2"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2:19" s="43" customFormat="1" x14ac:dyDescent="0.2"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2:19" s="43" customFormat="1" x14ac:dyDescent="0.2"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2:19" s="43" customFormat="1" x14ac:dyDescent="0.2"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2:19" s="43" customFormat="1" x14ac:dyDescent="0.2"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2:19" s="43" customFormat="1" x14ac:dyDescent="0.2"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2:19" s="43" customFormat="1" x14ac:dyDescent="0.2"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2:19" s="43" customFormat="1" x14ac:dyDescent="0.2"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2:19" s="43" customFormat="1" x14ac:dyDescent="0.2"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2:19" s="43" customFormat="1" x14ac:dyDescent="0.2"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2:19" s="43" customFormat="1" x14ac:dyDescent="0.2"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2:19" s="43" customFormat="1" x14ac:dyDescent="0.2"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2:19" s="43" customFormat="1" x14ac:dyDescent="0.2"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2:19" s="43" customFormat="1" x14ac:dyDescent="0.2"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2:19" s="43" customFormat="1" x14ac:dyDescent="0.2"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2:19" s="43" customFormat="1" x14ac:dyDescent="0.2"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2:19" s="43" customFormat="1" x14ac:dyDescent="0.2"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2:19" s="43" customFormat="1" x14ac:dyDescent="0.2"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2:19" s="43" customFormat="1" x14ac:dyDescent="0.2"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2:19" s="43" customFormat="1" x14ac:dyDescent="0.2"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2:19" s="43" customFormat="1" x14ac:dyDescent="0.2"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2:19" s="43" customFormat="1" x14ac:dyDescent="0.2"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2:19" s="43" customFormat="1" x14ac:dyDescent="0.2"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2:19" s="43" customFormat="1" x14ac:dyDescent="0.2"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2:19" s="43" customFormat="1" x14ac:dyDescent="0.2"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2:19" s="43" customFormat="1" x14ac:dyDescent="0.2"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2:19" s="43" customFormat="1" x14ac:dyDescent="0.2"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2:19" s="43" customFormat="1" x14ac:dyDescent="0.2"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2:19" s="43" customFormat="1" x14ac:dyDescent="0.2"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2:19" s="43" customFormat="1" x14ac:dyDescent="0.2"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2:19" s="43" customFormat="1" x14ac:dyDescent="0.2"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2:19" s="43" customFormat="1" x14ac:dyDescent="0.2"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2:19" s="43" customFormat="1" x14ac:dyDescent="0.2"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2:19" s="43" customFormat="1" x14ac:dyDescent="0.2"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2:19" s="43" customFormat="1" x14ac:dyDescent="0.2"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2:19" s="43" customFormat="1" x14ac:dyDescent="0.2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2:19" s="43" customFormat="1" x14ac:dyDescent="0.2"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2:19" s="43" customFormat="1" x14ac:dyDescent="0.2"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2:19" s="43" customFormat="1" x14ac:dyDescent="0.2"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2:19" s="43" customFormat="1" x14ac:dyDescent="0.2"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2:19" s="43" customFormat="1" x14ac:dyDescent="0.2"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2:19" s="43" customFormat="1" x14ac:dyDescent="0.2"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2:19" s="43" customFormat="1" x14ac:dyDescent="0.2"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2:19" s="43" customFormat="1" x14ac:dyDescent="0.2"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2:19" s="43" customFormat="1" x14ac:dyDescent="0.2"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2:19" s="43" customFormat="1" x14ac:dyDescent="0.2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2:19" s="43" customFormat="1" x14ac:dyDescent="0.2"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2:19" s="43" customFormat="1" x14ac:dyDescent="0.2"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2:19" s="43" customFormat="1" x14ac:dyDescent="0.2"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2:19" s="43" customFormat="1" x14ac:dyDescent="0.2"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2:19" s="43" customFormat="1" x14ac:dyDescent="0.2"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2:19" s="43" customFormat="1" x14ac:dyDescent="0.2"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2:19" s="43" customFormat="1" x14ac:dyDescent="0.2"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2:19" s="43" customFormat="1" x14ac:dyDescent="0.2"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2:19" s="43" customFormat="1" x14ac:dyDescent="0.2"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2:19" s="43" customFormat="1" x14ac:dyDescent="0.2"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2:19" s="43" customFormat="1" x14ac:dyDescent="0.2"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2:19" s="43" customFormat="1" x14ac:dyDescent="0.2"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2:19" s="43" customFormat="1" x14ac:dyDescent="0.2"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2:19" s="43" customFormat="1" x14ac:dyDescent="0.2"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2:19" s="43" customFormat="1" x14ac:dyDescent="0.2"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2:19" s="43" customFormat="1" x14ac:dyDescent="0.2"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2:19" s="43" customFormat="1" x14ac:dyDescent="0.2"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2:19" s="43" customFormat="1" x14ac:dyDescent="0.2"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2:19" s="43" customFormat="1" x14ac:dyDescent="0.2"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2:19" s="43" customFormat="1" x14ac:dyDescent="0.2"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2:19" s="43" customFormat="1" x14ac:dyDescent="0.2"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2:19" s="43" customFormat="1" x14ac:dyDescent="0.2"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2:19" s="43" customFormat="1" x14ac:dyDescent="0.2"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2:19" s="43" customFormat="1" x14ac:dyDescent="0.2"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2:19" s="43" customFormat="1" x14ac:dyDescent="0.2"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2:19" s="43" customFormat="1" x14ac:dyDescent="0.2"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2:19" s="43" customFormat="1" x14ac:dyDescent="0.2"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2:19" s="43" customFormat="1" x14ac:dyDescent="0.2"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2:19" s="43" customFormat="1" x14ac:dyDescent="0.2"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2:19" s="43" customFormat="1" x14ac:dyDescent="0.2"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2:19" s="43" customFormat="1" x14ac:dyDescent="0.2"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2:19" s="43" customFormat="1" x14ac:dyDescent="0.2"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2:19" s="43" customFormat="1" x14ac:dyDescent="0.2"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2:19" s="43" customFormat="1" x14ac:dyDescent="0.2"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2:19" s="43" customFormat="1" x14ac:dyDescent="0.2"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2:19" s="43" customFormat="1" x14ac:dyDescent="0.2"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2:19" s="43" customFormat="1" x14ac:dyDescent="0.2"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2:19" s="43" customFormat="1" x14ac:dyDescent="0.2"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</row>
    <row r="246" spans="2:19" s="43" customFormat="1" x14ac:dyDescent="0.2"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</row>
    <row r="247" spans="2:19" s="43" customFormat="1" x14ac:dyDescent="0.2"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</row>
    <row r="248" spans="2:19" s="43" customFormat="1" x14ac:dyDescent="0.2"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</row>
    <row r="249" spans="2:19" s="43" customFormat="1" x14ac:dyDescent="0.2"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</row>
    <row r="250" spans="2:19" s="43" customFormat="1" x14ac:dyDescent="0.2"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</row>
    <row r="251" spans="2:19" s="43" customFormat="1" x14ac:dyDescent="0.2"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</row>
    <row r="252" spans="2:19" s="43" customFormat="1" x14ac:dyDescent="0.2"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</row>
    <row r="253" spans="2:19" s="43" customFormat="1" x14ac:dyDescent="0.2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</row>
    <row r="254" spans="2:19" s="43" customFormat="1" x14ac:dyDescent="0.2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</row>
    <row r="255" spans="2:19" s="43" customFormat="1" x14ac:dyDescent="0.2"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</row>
    <row r="256" spans="2:19" s="43" customFormat="1" x14ac:dyDescent="0.2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</row>
    <row r="257" spans="2:19" s="43" customFormat="1" x14ac:dyDescent="0.2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</row>
    <row r="258" spans="2:19" s="43" customFormat="1" x14ac:dyDescent="0.2"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</row>
    <row r="259" spans="2:19" s="43" customFormat="1" x14ac:dyDescent="0.2"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</row>
    <row r="260" spans="2:19" s="43" customFormat="1" x14ac:dyDescent="0.2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</row>
    <row r="261" spans="2:19" s="43" customFormat="1" x14ac:dyDescent="0.2"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</row>
    <row r="262" spans="2:19" s="43" customFormat="1" x14ac:dyDescent="0.2"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</row>
    <row r="263" spans="2:19" s="43" customFormat="1" x14ac:dyDescent="0.2"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</row>
    <row r="264" spans="2:19" s="43" customFormat="1" x14ac:dyDescent="0.2"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</row>
    <row r="265" spans="2:19" s="43" customFormat="1" x14ac:dyDescent="0.2"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</row>
    <row r="266" spans="2:19" s="43" customFormat="1" x14ac:dyDescent="0.2"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</row>
    <row r="267" spans="2:19" s="43" customFormat="1" x14ac:dyDescent="0.2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</row>
    <row r="268" spans="2:19" s="43" customFormat="1" x14ac:dyDescent="0.2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</row>
    <row r="269" spans="2:19" s="43" customFormat="1" x14ac:dyDescent="0.2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</row>
    <row r="270" spans="2:19" s="43" customFormat="1" x14ac:dyDescent="0.2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</row>
    <row r="271" spans="2:19" s="43" customFormat="1" x14ac:dyDescent="0.2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</row>
    <row r="272" spans="2:19" s="43" customFormat="1" x14ac:dyDescent="0.2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</row>
    <row r="273" spans="2:19" s="43" customFormat="1" x14ac:dyDescent="0.2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</row>
    <row r="274" spans="2:19" s="43" customFormat="1" x14ac:dyDescent="0.2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</row>
    <row r="275" spans="2:19" s="43" customFormat="1" x14ac:dyDescent="0.2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</row>
    <row r="276" spans="2:19" s="43" customFormat="1" x14ac:dyDescent="0.2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</row>
    <row r="277" spans="2:19" s="43" customFormat="1" x14ac:dyDescent="0.2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</row>
    <row r="278" spans="2:19" s="43" customFormat="1" x14ac:dyDescent="0.2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</row>
    <row r="279" spans="2:19" s="43" customFormat="1" x14ac:dyDescent="0.2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</row>
    <row r="280" spans="2:19" s="43" customFormat="1" x14ac:dyDescent="0.2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</row>
    <row r="281" spans="2:19" s="43" customFormat="1" x14ac:dyDescent="0.2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</row>
    <row r="282" spans="2:19" s="43" customFormat="1" x14ac:dyDescent="0.2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</row>
    <row r="283" spans="2:19" s="43" customFormat="1" x14ac:dyDescent="0.2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</row>
    <row r="284" spans="2:19" s="43" customFormat="1" x14ac:dyDescent="0.2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</row>
    <row r="285" spans="2:19" s="43" customFormat="1" x14ac:dyDescent="0.2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</row>
    <row r="286" spans="2:19" s="43" customFormat="1" x14ac:dyDescent="0.2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</row>
    <row r="287" spans="2:19" s="43" customFormat="1" x14ac:dyDescent="0.2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</row>
    <row r="288" spans="2:19" s="43" customFormat="1" x14ac:dyDescent="0.2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</row>
    <row r="289" spans="2:19" s="43" customFormat="1" x14ac:dyDescent="0.2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</row>
    <row r="290" spans="2:19" s="43" customFormat="1" x14ac:dyDescent="0.2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</row>
    <row r="291" spans="2:19" s="43" customFormat="1" x14ac:dyDescent="0.2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</row>
    <row r="292" spans="2:19" s="43" customFormat="1" x14ac:dyDescent="0.2"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</row>
    <row r="293" spans="2:19" s="43" customFormat="1" x14ac:dyDescent="0.2"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</row>
    <row r="294" spans="2:19" s="43" customFormat="1" x14ac:dyDescent="0.2"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</row>
    <row r="295" spans="2:19" s="43" customFormat="1" x14ac:dyDescent="0.2"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</row>
    <row r="296" spans="2:19" s="43" customFormat="1" x14ac:dyDescent="0.2"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</row>
    <row r="297" spans="2:19" s="43" customFormat="1" x14ac:dyDescent="0.2"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</row>
    <row r="298" spans="2:19" s="43" customFormat="1" x14ac:dyDescent="0.2"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</row>
    <row r="299" spans="2:19" s="43" customFormat="1" x14ac:dyDescent="0.2"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</row>
    <row r="300" spans="2:19" s="43" customFormat="1" x14ac:dyDescent="0.2"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</row>
    <row r="301" spans="2:19" s="43" customFormat="1" x14ac:dyDescent="0.2"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</row>
    <row r="302" spans="2:19" s="43" customFormat="1" x14ac:dyDescent="0.2"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</row>
    <row r="303" spans="2:19" s="43" customFormat="1" x14ac:dyDescent="0.2"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</row>
    <row r="304" spans="2:19" s="43" customFormat="1" x14ac:dyDescent="0.2"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</row>
    <row r="305" spans="2:19" s="43" customFormat="1" x14ac:dyDescent="0.2"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</row>
    <row r="306" spans="2:19" s="43" customFormat="1" x14ac:dyDescent="0.2"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</row>
    <row r="307" spans="2:19" s="43" customFormat="1" x14ac:dyDescent="0.2"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</row>
    <row r="308" spans="2:19" s="43" customFormat="1" x14ac:dyDescent="0.2"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</row>
    <row r="309" spans="2:19" s="43" customFormat="1" x14ac:dyDescent="0.2"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</row>
    <row r="310" spans="2:19" s="43" customFormat="1" x14ac:dyDescent="0.2"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</row>
    <row r="311" spans="2:19" s="43" customFormat="1" x14ac:dyDescent="0.2"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</row>
    <row r="312" spans="2:19" s="43" customFormat="1" x14ac:dyDescent="0.2"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</row>
    <row r="313" spans="2:19" s="43" customFormat="1" x14ac:dyDescent="0.2"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</row>
    <row r="314" spans="2:19" s="43" customFormat="1" x14ac:dyDescent="0.2"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</row>
    <row r="315" spans="2:19" s="43" customFormat="1" x14ac:dyDescent="0.2"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</row>
    <row r="316" spans="2:19" s="43" customFormat="1" x14ac:dyDescent="0.2"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</row>
    <row r="317" spans="2:19" s="43" customFormat="1" x14ac:dyDescent="0.2"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</row>
    <row r="318" spans="2:19" s="43" customFormat="1" x14ac:dyDescent="0.2"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</row>
    <row r="319" spans="2:19" s="43" customFormat="1" x14ac:dyDescent="0.2"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</row>
    <row r="320" spans="2:19" s="43" customFormat="1" x14ac:dyDescent="0.2"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</row>
    <row r="321" spans="2:19" s="43" customFormat="1" x14ac:dyDescent="0.2"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</row>
    <row r="322" spans="2:19" s="43" customFormat="1" x14ac:dyDescent="0.2"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</row>
    <row r="323" spans="2:19" s="43" customFormat="1" x14ac:dyDescent="0.2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</row>
    <row r="324" spans="2:19" s="43" customFormat="1" x14ac:dyDescent="0.2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</row>
    <row r="325" spans="2:19" s="43" customFormat="1" x14ac:dyDescent="0.2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</row>
    <row r="326" spans="2:19" s="43" customFormat="1" x14ac:dyDescent="0.2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</row>
    <row r="327" spans="2:19" s="43" customFormat="1" x14ac:dyDescent="0.2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</row>
    <row r="328" spans="2:19" s="43" customFormat="1" x14ac:dyDescent="0.2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</row>
    <row r="329" spans="2:19" s="43" customFormat="1" x14ac:dyDescent="0.2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</row>
    <row r="330" spans="2:19" s="43" customFormat="1" x14ac:dyDescent="0.2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</row>
    <row r="331" spans="2:19" s="43" customFormat="1" x14ac:dyDescent="0.2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</row>
    <row r="332" spans="2:19" s="43" customFormat="1" x14ac:dyDescent="0.2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</row>
    <row r="333" spans="2:19" s="43" customFormat="1" x14ac:dyDescent="0.2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</row>
    <row r="334" spans="2:19" s="43" customFormat="1" x14ac:dyDescent="0.2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</row>
    <row r="335" spans="2:19" s="43" customFormat="1" x14ac:dyDescent="0.2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</row>
    <row r="336" spans="2:19" s="43" customFormat="1" x14ac:dyDescent="0.2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</row>
    <row r="337" spans="2:19" s="43" customFormat="1" x14ac:dyDescent="0.2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</row>
    <row r="338" spans="2:19" s="43" customFormat="1" x14ac:dyDescent="0.2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</row>
    <row r="339" spans="2:19" s="43" customFormat="1" x14ac:dyDescent="0.2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</row>
    <row r="340" spans="2:19" s="43" customFormat="1" x14ac:dyDescent="0.2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</row>
    <row r="341" spans="2:19" s="43" customFormat="1" x14ac:dyDescent="0.2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</row>
    <row r="342" spans="2:19" s="43" customFormat="1" x14ac:dyDescent="0.2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</row>
    <row r="343" spans="2:19" s="43" customFormat="1" x14ac:dyDescent="0.2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</row>
    <row r="344" spans="2:19" s="43" customFormat="1" x14ac:dyDescent="0.2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</row>
    <row r="345" spans="2:19" s="43" customFormat="1" x14ac:dyDescent="0.2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</row>
    <row r="346" spans="2:19" s="43" customFormat="1" x14ac:dyDescent="0.2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</row>
    <row r="347" spans="2:19" s="43" customFormat="1" x14ac:dyDescent="0.2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</row>
    <row r="348" spans="2:19" s="43" customFormat="1" x14ac:dyDescent="0.2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</row>
    <row r="349" spans="2:19" s="43" customFormat="1" x14ac:dyDescent="0.2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</row>
    <row r="350" spans="2:19" s="43" customFormat="1" x14ac:dyDescent="0.2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</row>
    <row r="351" spans="2:19" s="43" customFormat="1" x14ac:dyDescent="0.2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</row>
    <row r="352" spans="2:19" s="43" customFormat="1" x14ac:dyDescent="0.2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</row>
    <row r="353" spans="2:19" s="43" customFormat="1" x14ac:dyDescent="0.2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</row>
    <row r="354" spans="2:19" s="43" customFormat="1" x14ac:dyDescent="0.2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</row>
    <row r="355" spans="2:19" s="43" customFormat="1" x14ac:dyDescent="0.2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</row>
    <row r="356" spans="2:19" s="43" customFormat="1" x14ac:dyDescent="0.2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</row>
    <row r="357" spans="2:19" s="43" customFormat="1" x14ac:dyDescent="0.2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</row>
    <row r="358" spans="2:19" s="43" customFormat="1" x14ac:dyDescent="0.2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</row>
    <row r="359" spans="2:19" s="43" customFormat="1" x14ac:dyDescent="0.2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</row>
    <row r="360" spans="2:19" s="43" customFormat="1" x14ac:dyDescent="0.2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</row>
    <row r="361" spans="2:19" s="43" customFormat="1" x14ac:dyDescent="0.2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</row>
    <row r="362" spans="2:19" s="43" customFormat="1" x14ac:dyDescent="0.2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</row>
    <row r="363" spans="2:19" s="43" customFormat="1" x14ac:dyDescent="0.2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</row>
    <row r="364" spans="2:19" s="43" customFormat="1" x14ac:dyDescent="0.2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</row>
    <row r="365" spans="2:19" s="43" customFormat="1" x14ac:dyDescent="0.2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</row>
    <row r="366" spans="2:19" s="43" customFormat="1" x14ac:dyDescent="0.2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</row>
    <row r="367" spans="2:19" s="43" customFormat="1" x14ac:dyDescent="0.2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</row>
    <row r="368" spans="2:19" s="43" customFormat="1" x14ac:dyDescent="0.2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</row>
    <row r="369" spans="2:19" s="43" customFormat="1" x14ac:dyDescent="0.2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</row>
    <row r="370" spans="2:19" s="43" customFormat="1" x14ac:dyDescent="0.2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</row>
    <row r="371" spans="2:19" s="43" customFormat="1" x14ac:dyDescent="0.2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</row>
    <row r="372" spans="2:19" s="43" customFormat="1" x14ac:dyDescent="0.2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</row>
    <row r="373" spans="2:19" s="43" customFormat="1" x14ac:dyDescent="0.2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</row>
    <row r="374" spans="2:19" s="43" customFormat="1" x14ac:dyDescent="0.2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</row>
    <row r="375" spans="2:19" s="43" customFormat="1" x14ac:dyDescent="0.2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</row>
    <row r="376" spans="2:19" s="43" customFormat="1" x14ac:dyDescent="0.2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</row>
    <row r="377" spans="2:19" s="43" customFormat="1" x14ac:dyDescent="0.2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</row>
    <row r="378" spans="2:19" s="43" customFormat="1" x14ac:dyDescent="0.2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</row>
    <row r="379" spans="2:19" s="43" customFormat="1" x14ac:dyDescent="0.2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</row>
    <row r="380" spans="2:19" s="43" customFormat="1" x14ac:dyDescent="0.2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</row>
    <row r="381" spans="2:19" s="43" customFormat="1" x14ac:dyDescent="0.2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</row>
    <row r="382" spans="2:19" s="43" customFormat="1" x14ac:dyDescent="0.2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</row>
    <row r="383" spans="2:19" s="43" customFormat="1" x14ac:dyDescent="0.2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</row>
    <row r="384" spans="2:19" s="43" customFormat="1" x14ac:dyDescent="0.2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</row>
    <row r="385" spans="2:19" s="43" customFormat="1" x14ac:dyDescent="0.2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</row>
    <row r="386" spans="2:19" s="43" customFormat="1" x14ac:dyDescent="0.2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</row>
    <row r="387" spans="2:19" s="43" customFormat="1" x14ac:dyDescent="0.2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</row>
    <row r="388" spans="2:19" s="43" customFormat="1" x14ac:dyDescent="0.2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</row>
    <row r="389" spans="2:19" s="43" customFormat="1" x14ac:dyDescent="0.2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</row>
    <row r="390" spans="2:19" s="43" customFormat="1" x14ac:dyDescent="0.2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</row>
    <row r="391" spans="2:19" s="43" customFormat="1" x14ac:dyDescent="0.2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</row>
    <row r="392" spans="2:19" s="43" customFormat="1" x14ac:dyDescent="0.2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</row>
    <row r="393" spans="2:19" s="43" customFormat="1" x14ac:dyDescent="0.2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</row>
    <row r="394" spans="2:19" s="43" customFormat="1" x14ac:dyDescent="0.2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</row>
    <row r="395" spans="2:19" s="43" customFormat="1" x14ac:dyDescent="0.2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</row>
    <row r="396" spans="2:19" s="43" customFormat="1" x14ac:dyDescent="0.2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</row>
    <row r="397" spans="2:19" s="43" customFormat="1" x14ac:dyDescent="0.2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</row>
    <row r="398" spans="2:19" s="43" customFormat="1" x14ac:dyDescent="0.2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</row>
    <row r="399" spans="2:19" s="43" customFormat="1" x14ac:dyDescent="0.2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</row>
    <row r="400" spans="2:19" s="43" customFormat="1" x14ac:dyDescent="0.2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</row>
    <row r="401" spans="2:19" s="43" customFormat="1" x14ac:dyDescent="0.2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</row>
    <row r="402" spans="2:19" s="43" customFormat="1" x14ac:dyDescent="0.2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</row>
    <row r="403" spans="2:19" s="43" customFormat="1" x14ac:dyDescent="0.2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</row>
    <row r="404" spans="2:19" s="43" customFormat="1" x14ac:dyDescent="0.2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</row>
    <row r="405" spans="2:19" s="43" customFormat="1" x14ac:dyDescent="0.2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</row>
    <row r="406" spans="2:19" s="43" customFormat="1" x14ac:dyDescent="0.2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</row>
    <row r="407" spans="2:19" s="43" customFormat="1" x14ac:dyDescent="0.2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</row>
    <row r="408" spans="2:19" s="43" customFormat="1" x14ac:dyDescent="0.2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</row>
    <row r="409" spans="2:19" s="43" customFormat="1" x14ac:dyDescent="0.2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</row>
    <row r="410" spans="2:19" s="43" customFormat="1" x14ac:dyDescent="0.2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</row>
    <row r="411" spans="2:19" s="43" customFormat="1" x14ac:dyDescent="0.2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</row>
    <row r="412" spans="2:19" s="43" customFormat="1" x14ac:dyDescent="0.2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</row>
    <row r="413" spans="2:19" s="43" customFormat="1" x14ac:dyDescent="0.2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</row>
    <row r="414" spans="2:19" s="43" customFormat="1" x14ac:dyDescent="0.2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</row>
    <row r="415" spans="2:19" s="43" customFormat="1" x14ac:dyDescent="0.2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</row>
    <row r="416" spans="2:19" s="43" customFormat="1" x14ac:dyDescent="0.2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</row>
    <row r="417" spans="2:19" s="43" customFormat="1" x14ac:dyDescent="0.2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</row>
    <row r="418" spans="2:19" s="43" customFormat="1" x14ac:dyDescent="0.2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</row>
    <row r="419" spans="2:19" s="43" customFormat="1" x14ac:dyDescent="0.2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</row>
    <row r="420" spans="2:19" s="43" customFormat="1" x14ac:dyDescent="0.2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</row>
    <row r="421" spans="2:19" s="43" customFormat="1" x14ac:dyDescent="0.2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</row>
    <row r="422" spans="2:19" s="43" customFormat="1" x14ac:dyDescent="0.2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</row>
    <row r="423" spans="2:19" s="43" customFormat="1" x14ac:dyDescent="0.2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</row>
    <row r="424" spans="2:19" s="43" customFormat="1" x14ac:dyDescent="0.2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</row>
    <row r="425" spans="2:19" s="43" customFormat="1" x14ac:dyDescent="0.2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</row>
    <row r="426" spans="2:19" s="43" customFormat="1" x14ac:dyDescent="0.2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</row>
    <row r="427" spans="2:19" s="43" customFormat="1" x14ac:dyDescent="0.2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</row>
    <row r="428" spans="2:19" s="43" customFormat="1" x14ac:dyDescent="0.2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</row>
    <row r="429" spans="2:19" s="43" customFormat="1" x14ac:dyDescent="0.2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</row>
    <row r="430" spans="2:19" s="43" customFormat="1" x14ac:dyDescent="0.2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</row>
    <row r="431" spans="2:19" s="43" customFormat="1" x14ac:dyDescent="0.2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</row>
    <row r="432" spans="2:19" s="43" customFormat="1" x14ac:dyDescent="0.2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</row>
    <row r="433" spans="2:19" s="43" customFormat="1" x14ac:dyDescent="0.2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</row>
    <row r="434" spans="2:19" s="43" customFormat="1" x14ac:dyDescent="0.2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</row>
    <row r="435" spans="2:19" s="43" customFormat="1" x14ac:dyDescent="0.2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</row>
    <row r="436" spans="2:19" s="43" customFormat="1" x14ac:dyDescent="0.2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</row>
    <row r="437" spans="2:19" s="43" customFormat="1" x14ac:dyDescent="0.2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</row>
    <row r="438" spans="2:19" s="43" customFormat="1" x14ac:dyDescent="0.2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</row>
    <row r="439" spans="2:19" s="43" customFormat="1" x14ac:dyDescent="0.2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</row>
    <row r="440" spans="2:19" s="43" customFormat="1" x14ac:dyDescent="0.2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</row>
    <row r="441" spans="2:19" s="43" customFormat="1" x14ac:dyDescent="0.2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</row>
    <row r="442" spans="2:19" s="43" customFormat="1" x14ac:dyDescent="0.2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</row>
    <row r="443" spans="2:19" s="43" customFormat="1" x14ac:dyDescent="0.2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</row>
    <row r="444" spans="2:19" s="43" customFormat="1" x14ac:dyDescent="0.2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</row>
    <row r="445" spans="2:19" s="43" customFormat="1" x14ac:dyDescent="0.2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</row>
    <row r="446" spans="2:19" s="43" customFormat="1" x14ac:dyDescent="0.2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</row>
    <row r="447" spans="2:19" s="43" customFormat="1" x14ac:dyDescent="0.2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</row>
    <row r="448" spans="2:19" s="43" customFormat="1" x14ac:dyDescent="0.2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</row>
    <row r="449" spans="2:19" s="43" customFormat="1" x14ac:dyDescent="0.2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</row>
    <row r="450" spans="2:19" s="43" customFormat="1" x14ac:dyDescent="0.2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</row>
    <row r="451" spans="2:19" s="43" customFormat="1" x14ac:dyDescent="0.2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</row>
    <row r="452" spans="2:19" s="43" customFormat="1" x14ac:dyDescent="0.2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</row>
    <row r="453" spans="2:19" s="43" customFormat="1" x14ac:dyDescent="0.2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</row>
    <row r="454" spans="2:19" s="43" customFormat="1" x14ac:dyDescent="0.2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</row>
    <row r="455" spans="2:19" s="43" customFormat="1" x14ac:dyDescent="0.2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</row>
    <row r="456" spans="2:19" s="43" customFormat="1" x14ac:dyDescent="0.2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</row>
    <row r="457" spans="2:19" s="43" customFormat="1" x14ac:dyDescent="0.2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</row>
    <row r="458" spans="2:19" s="43" customFormat="1" x14ac:dyDescent="0.2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</row>
    <row r="459" spans="2:19" s="43" customFormat="1" x14ac:dyDescent="0.2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</row>
    <row r="460" spans="2:19" s="43" customFormat="1" x14ac:dyDescent="0.2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</row>
    <row r="461" spans="2:19" s="43" customFormat="1" x14ac:dyDescent="0.2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</row>
    <row r="462" spans="2:19" s="43" customFormat="1" x14ac:dyDescent="0.2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</row>
    <row r="463" spans="2:19" s="43" customFormat="1" x14ac:dyDescent="0.2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</row>
    <row r="464" spans="2:19" s="43" customFormat="1" x14ac:dyDescent="0.2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</row>
    <row r="465" spans="2:19" s="43" customFormat="1" x14ac:dyDescent="0.2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</row>
    <row r="466" spans="2:19" s="43" customFormat="1" x14ac:dyDescent="0.2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</row>
    <row r="467" spans="2:19" s="43" customFormat="1" x14ac:dyDescent="0.2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</row>
    <row r="468" spans="2:19" s="43" customFormat="1" x14ac:dyDescent="0.2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</row>
    <row r="469" spans="2:19" s="43" customFormat="1" x14ac:dyDescent="0.2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</row>
    <row r="470" spans="2:19" s="43" customFormat="1" x14ac:dyDescent="0.2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</row>
    <row r="471" spans="2:19" s="43" customFormat="1" x14ac:dyDescent="0.2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</row>
    <row r="472" spans="2:19" s="43" customFormat="1" x14ac:dyDescent="0.2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</row>
    <row r="473" spans="2:19" s="43" customFormat="1" x14ac:dyDescent="0.2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</row>
    <row r="474" spans="2:19" s="43" customFormat="1" x14ac:dyDescent="0.2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</row>
    <row r="475" spans="2:19" s="43" customFormat="1" x14ac:dyDescent="0.2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</row>
    <row r="476" spans="2:19" s="43" customFormat="1" x14ac:dyDescent="0.2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</row>
    <row r="477" spans="2:19" s="43" customFormat="1" x14ac:dyDescent="0.2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</row>
    <row r="478" spans="2:19" s="43" customFormat="1" x14ac:dyDescent="0.2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</row>
    <row r="479" spans="2:19" s="43" customFormat="1" x14ac:dyDescent="0.2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</row>
    <row r="480" spans="2:19" s="43" customFormat="1" x14ac:dyDescent="0.2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</row>
    <row r="481" spans="2:19" s="43" customFormat="1" x14ac:dyDescent="0.2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</row>
    <row r="482" spans="2:19" s="43" customFormat="1" x14ac:dyDescent="0.2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</row>
    <row r="483" spans="2:19" s="43" customFormat="1" x14ac:dyDescent="0.2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</row>
    <row r="484" spans="2:19" s="43" customFormat="1" x14ac:dyDescent="0.2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</row>
    <row r="485" spans="2:19" s="43" customFormat="1" x14ac:dyDescent="0.2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</row>
    <row r="486" spans="2:19" s="43" customFormat="1" x14ac:dyDescent="0.2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</row>
    <row r="487" spans="2:19" s="43" customFormat="1" x14ac:dyDescent="0.2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</row>
    <row r="488" spans="2:19" s="43" customFormat="1" x14ac:dyDescent="0.2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</row>
    <row r="489" spans="2:19" s="43" customFormat="1" x14ac:dyDescent="0.2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</row>
    <row r="490" spans="2:19" s="43" customFormat="1" x14ac:dyDescent="0.2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</row>
    <row r="491" spans="2:19" s="43" customFormat="1" x14ac:dyDescent="0.2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</row>
    <row r="492" spans="2:19" s="43" customFormat="1" x14ac:dyDescent="0.2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</row>
    <row r="493" spans="2:19" s="43" customFormat="1" x14ac:dyDescent="0.2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</row>
    <row r="494" spans="2:19" s="43" customFormat="1" x14ac:dyDescent="0.2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</row>
    <row r="495" spans="2:19" s="43" customFormat="1" x14ac:dyDescent="0.2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</row>
    <row r="496" spans="2:19" s="43" customFormat="1" x14ac:dyDescent="0.2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</row>
    <row r="497" spans="2:19" s="43" customFormat="1" x14ac:dyDescent="0.2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</row>
    <row r="498" spans="2:19" s="43" customFormat="1" x14ac:dyDescent="0.2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</row>
    <row r="499" spans="2:19" s="43" customFormat="1" x14ac:dyDescent="0.2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</row>
    <row r="500" spans="2:19" s="43" customFormat="1" x14ac:dyDescent="0.2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</row>
    <row r="501" spans="2:19" s="43" customFormat="1" x14ac:dyDescent="0.2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</row>
    <row r="502" spans="2:19" s="43" customFormat="1" x14ac:dyDescent="0.2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</row>
    <row r="503" spans="2:19" s="43" customFormat="1" x14ac:dyDescent="0.2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</row>
    <row r="504" spans="2:19" s="43" customFormat="1" x14ac:dyDescent="0.2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</row>
    <row r="505" spans="2:19" s="43" customFormat="1" x14ac:dyDescent="0.2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</row>
    <row r="506" spans="2:19" s="43" customFormat="1" x14ac:dyDescent="0.2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</row>
    <row r="507" spans="2:19" s="43" customFormat="1" x14ac:dyDescent="0.2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</row>
    <row r="508" spans="2:19" s="43" customFormat="1" x14ac:dyDescent="0.2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</row>
    <row r="509" spans="2:19" s="43" customFormat="1" x14ac:dyDescent="0.2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</row>
    <row r="510" spans="2:19" s="43" customFormat="1" x14ac:dyDescent="0.2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</row>
    <row r="511" spans="2:19" s="43" customFormat="1" x14ac:dyDescent="0.2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</row>
    <row r="512" spans="2:19" s="43" customFormat="1" x14ac:dyDescent="0.2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</row>
    <row r="513" spans="2:19" s="43" customFormat="1" x14ac:dyDescent="0.2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</row>
    <row r="514" spans="2:19" s="43" customFormat="1" x14ac:dyDescent="0.2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</row>
    <row r="515" spans="2:19" s="43" customFormat="1" x14ac:dyDescent="0.2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</row>
    <row r="516" spans="2:19" s="43" customFormat="1" x14ac:dyDescent="0.2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</row>
    <row r="517" spans="2:19" s="43" customFormat="1" x14ac:dyDescent="0.2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</row>
    <row r="518" spans="2:19" s="43" customFormat="1" x14ac:dyDescent="0.2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</row>
    <row r="519" spans="2:19" s="43" customFormat="1" x14ac:dyDescent="0.2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</row>
    <row r="520" spans="2:19" s="43" customFormat="1" x14ac:dyDescent="0.2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</row>
    <row r="521" spans="2:19" s="43" customFormat="1" x14ac:dyDescent="0.2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</row>
    <row r="522" spans="2:19" s="43" customFormat="1" x14ac:dyDescent="0.2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</row>
    <row r="523" spans="2:19" s="43" customFormat="1" x14ac:dyDescent="0.2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</row>
    <row r="524" spans="2:19" s="43" customFormat="1" x14ac:dyDescent="0.2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</row>
    <row r="525" spans="2:19" s="43" customFormat="1" x14ac:dyDescent="0.2"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</row>
    <row r="526" spans="2:19" s="43" customFormat="1" x14ac:dyDescent="0.2"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</row>
    <row r="527" spans="2:19" s="43" customFormat="1" x14ac:dyDescent="0.2"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</row>
    <row r="528" spans="2:19" s="43" customFormat="1" x14ac:dyDescent="0.2"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</row>
    <row r="529" spans="2:19" s="43" customFormat="1" x14ac:dyDescent="0.2"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</row>
    <row r="530" spans="2:19" s="43" customFormat="1" x14ac:dyDescent="0.2"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</row>
    <row r="531" spans="2:19" s="43" customFormat="1" x14ac:dyDescent="0.2"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</row>
    <row r="532" spans="2:19" s="43" customFormat="1" x14ac:dyDescent="0.2"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</row>
    <row r="533" spans="2:19" s="43" customFormat="1" x14ac:dyDescent="0.2"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</row>
    <row r="534" spans="2:19" s="43" customFormat="1" x14ac:dyDescent="0.2"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</row>
    <row r="535" spans="2:19" s="43" customFormat="1" x14ac:dyDescent="0.2"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</row>
    <row r="536" spans="2:19" s="43" customFormat="1" x14ac:dyDescent="0.2"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</row>
    <row r="537" spans="2:19" s="43" customFormat="1" x14ac:dyDescent="0.2"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</row>
    <row r="538" spans="2:19" s="43" customFormat="1" x14ac:dyDescent="0.2"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</row>
    <row r="539" spans="2:19" s="43" customFormat="1" x14ac:dyDescent="0.2"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</row>
    <row r="540" spans="2:19" s="43" customFormat="1" x14ac:dyDescent="0.2"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</row>
    <row r="541" spans="2:19" s="43" customFormat="1" x14ac:dyDescent="0.2"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</row>
    <row r="542" spans="2:19" s="43" customFormat="1" x14ac:dyDescent="0.2"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</row>
    <row r="543" spans="2:19" s="43" customFormat="1" x14ac:dyDescent="0.2"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</row>
    <row r="544" spans="2:19" s="43" customFormat="1" x14ac:dyDescent="0.2"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</row>
    <row r="545" spans="2:19" s="43" customFormat="1" x14ac:dyDescent="0.2"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</row>
    <row r="546" spans="2:19" s="43" customFormat="1" x14ac:dyDescent="0.2"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</row>
    <row r="547" spans="2:19" s="43" customFormat="1" x14ac:dyDescent="0.2"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</row>
    <row r="548" spans="2:19" s="43" customFormat="1" x14ac:dyDescent="0.2"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</row>
    <row r="549" spans="2:19" s="43" customFormat="1" x14ac:dyDescent="0.2"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</row>
    <row r="550" spans="2:19" s="43" customFormat="1" x14ac:dyDescent="0.2"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</row>
    <row r="551" spans="2:19" s="43" customFormat="1" x14ac:dyDescent="0.2"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</row>
    <row r="552" spans="2:19" s="43" customFormat="1" x14ac:dyDescent="0.2"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</row>
    <row r="553" spans="2:19" s="43" customFormat="1" x14ac:dyDescent="0.2"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</row>
    <row r="554" spans="2:19" s="43" customFormat="1" x14ac:dyDescent="0.2"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</row>
    <row r="555" spans="2:19" s="43" customFormat="1" x14ac:dyDescent="0.2"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</row>
    <row r="556" spans="2:19" s="43" customFormat="1" x14ac:dyDescent="0.2"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</row>
    <row r="557" spans="2:19" s="43" customFormat="1" x14ac:dyDescent="0.2"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</row>
    <row r="558" spans="2:19" s="43" customFormat="1" x14ac:dyDescent="0.2"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</row>
    <row r="559" spans="2:19" s="43" customFormat="1" x14ac:dyDescent="0.2"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</row>
    <row r="560" spans="2:19" s="43" customFormat="1" x14ac:dyDescent="0.2"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</row>
    <row r="561" spans="2:19" s="43" customFormat="1" x14ac:dyDescent="0.2"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</row>
    <row r="562" spans="2:19" s="43" customFormat="1" x14ac:dyDescent="0.2"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</row>
    <row r="563" spans="2:19" s="43" customFormat="1" x14ac:dyDescent="0.2"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</row>
    <row r="564" spans="2:19" s="43" customFormat="1" x14ac:dyDescent="0.2"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</row>
    <row r="565" spans="2:19" s="43" customFormat="1" x14ac:dyDescent="0.2"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</row>
    <row r="566" spans="2:19" s="43" customFormat="1" x14ac:dyDescent="0.2"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</row>
    <row r="567" spans="2:19" s="43" customFormat="1" x14ac:dyDescent="0.2"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</row>
    <row r="568" spans="2:19" s="43" customFormat="1" x14ac:dyDescent="0.2"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</row>
    <row r="569" spans="2:19" s="43" customFormat="1" x14ac:dyDescent="0.2"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</row>
    <row r="570" spans="2:19" s="43" customFormat="1" x14ac:dyDescent="0.2"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</row>
    <row r="571" spans="2:19" s="43" customFormat="1" x14ac:dyDescent="0.2"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</row>
    <row r="572" spans="2:19" s="43" customFormat="1" x14ac:dyDescent="0.2"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</row>
    <row r="573" spans="2:19" s="43" customFormat="1" x14ac:dyDescent="0.2"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</row>
    <row r="574" spans="2:19" s="43" customFormat="1" x14ac:dyDescent="0.2"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</row>
    <row r="575" spans="2:19" s="43" customFormat="1" x14ac:dyDescent="0.2"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</row>
    <row r="576" spans="2:19" s="43" customFormat="1" x14ac:dyDescent="0.2"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</row>
    <row r="577" spans="2:19" s="43" customFormat="1" x14ac:dyDescent="0.2"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</row>
    <row r="578" spans="2:19" s="43" customFormat="1" x14ac:dyDescent="0.2"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</row>
    <row r="579" spans="2:19" s="43" customFormat="1" x14ac:dyDescent="0.2"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</row>
    <row r="580" spans="2:19" s="43" customFormat="1" x14ac:dyDescent="0.2"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</row>
    <row r="581" spans="2:19" s="43" customFormat="1" x14ac:dyDescent="0.2"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</row>
    <row r="582" spans="2:19" s="43" customFormat="1" x14ac:dyDescent="0.2"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</row>
    <row r="583" spans="2:19" s="43" customFormat="1" x14ac:dyDescent="0.2"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</row>
    <row r="584" spans="2:19" s="43" customFormat="1" x14ac:dyDescent="0.2"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</row>
    <row r="585" spans="2:19" s="43" customFormat="1" x14ac:dyDescent="0.2"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</row>
    <row r="586" spans="2:19" s="43" customFormat="1" x14ac:dyDescent="0.2"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</row>
    <row r="587" spans="2:19" s="43" customFormat="1" x14ac:dyDescent="0.2"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</row>
    <row r="588" spans="2:19" s="43" customFormat="1" x14ac:dyDescent="0.2"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</row>
    <row r="589" spans="2:19" s="43" customFormat="1" x14ac:dyDescent="0.2"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</row>
    <row r="590" spans="2:19" s="43" customFormat="1" x14ac:dyDescent="0.2"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</row>
    <row r="591" spans="2:19" s="43" customFormat="1" x14ac:dyDescent="0.2"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</row>
    <row r="592" spans="2:19" s="43" customFormat="1" x14ac:dyDescent="0.2"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</row>
    <row r="593" spans="2:19" s="43" customFormat="1" x14ac:dyDescent="0.2"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</row>
    <row r="594" spans="2:19" s="43" customFormat="1" x14ac:dyDescent="0.2"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</row>
    <row r="595" spans="2:19" s="43" customFormat="1" x14ac:dyDescent="0.2"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</row>
    <row r="596" spans="2:19" s="43" customFormat="1" x14ac:dyDescent="0.2"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</row>
    <row r="597" spans="2:19" s="43" customFormat="1" x14ac:dyDescent="0.2"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</row>
    <row r="598" spans="2:19" s="43" customFormat="1" x14ac:dyDescent="0.2"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</row>
    <row r="599" spans="2:19" s="43" customFormat="1" x14ac:dyDescent="0.2"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</row>
    <row r="600" spans="2:19" s="43" customFormat="1" x14ac:dyDescent="0.2"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</row>
    <row r="601" spans="2:19" s="43" customFormat="1" x14ac:dyDescent="0.2"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</row>
    <row r="602" spans="2:19" s="43" customFormat="1" x14ac:dyDescent="0.2"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</row>
    <row r="603" spans="2:19" s="43" customFormat="1" x14ac:dyDescent="0.2"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</row>
    <row r="604" spans="2:19" s="43" customFormat="1" x14ac:dyDescent="0.2"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</row>
    <row r="605" spans="2:19" s="43" customFormat="1" x14ac:dyDescent="0.2"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</row>
    <row r="606" spans="2:19" s="43" customFormat="1" x14ac:dyDescent="0.2"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</row>
    <row r="607" spans="2:19" s="43" customFormat="1" x14ac:dyDescent="0.2"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</row>
    <row r="608" spans="2:19" s="43" customFormat="1" x14ac:dyDescent="0.2"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</row>
    <row r="609" spans="2:19" s="43" customFormat="1" x14ac:dyDescent="0.2"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</row>
    <row r="610" spans="2:19" s="43" customFormat="1" x14ac:dyDescent="0.2"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</row>
    <row r="611" spans="2:19" s="43" customFormat="1" x14ac:dyDescent="0.2"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</row>
    <row r="612" spans="2:19" s="43" customFormat="1" x14ac:dyDescent="0.2"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</row>
    <row r="613" spans="2:19" s="43" customFormat="1" x14ac:dyDescent="0.2"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</row>
    <row r="614" spans="2:19" s="43" customFormat="1" x14ac:dyDescent="0.2"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</row>
    <row r="615" spans="2:19" s="43" customFormat="1" x14ac:dyDescent="0.2"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</row>
    <row r="616" spans="2:19" s="43" customFormat="1" x14ac:dyDescent="0.2"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</row>
    <row r="617" spans="2:19" s="43" customFormat="1" x14ac:dyDescent="0.2"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</row>
    <row r="618" spans="2:19" s="43" customFormat="1" x14ac:dyDescent="0.2"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</row>
    <row r="619" spans="2:19" s="43" customFormat="1" x14ac:dyDescent="0.2"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</row>
    <row r="620" spans="2:19" s="43" customFormat="1" x14ac:dyDescent="0.2"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</row>
    <row r="621" spans="2:19" s="43" customFormat="1" x14ac:dyDescent="0.2"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</row>
    <row r="622" spans="2:19" s="43" customFormat="1" x14ac:dyDescent="0.2"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</row>
    <row r="623" spans="2:19" s="43" customFormat="1" x14ac:dyDescent="0.2"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</row>
    <row r="624" spans="2:19" s="43" customFormat="1" x14ac:dyDescent="0.2"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</row>
    <row r="625" spans="2:19" s="43" customFormat="1" x14ac:dyDescent="0.2"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</row>
    <row r="626" spans="2:19" s="43" customFormat="1" x14ac:dyDescent="0.2"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</row>
    <row r="627" spans="2:19" s="43" customFormat="1" x14ac:dyDescent="0.2"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</row>
    <row r="628" spans="2:19" s="43" customFormat="1" x14ac:dyDescent="0.2"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</row>
    <row r="629" spans="2:19" s="43" customFormat="1" x14ac:dyDescent="0.2"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</row>
    <row r="630" spans="2:19" s="43" customFormat="1" x14ac:dyDescent="0.2"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</row>
    <row r="631" spans="2:19" s="43" customFormat="1" x14ac:dyDescent="0.2"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</row>
    <row r="632" spans="2:19" s="43" customFormat="1" x14ac:dyDescent="0.2"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</row>
    <row r="633" spans="2:19" s="43" customFormat="1" x14ac:dyDescent="0.2"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</row>
    <row r="634" spans="2:19" s="43" customFormat="1" x14ac:dyDescent="0.2"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</row>
    <row r="635" spans="2:19" s="43" customFormat="1" x14ac:dyDescent="0.2"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</row>
    <row r="636" spans="2:19" s="43" customFormat="1" x14ac:dyDescent="0.2"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</row>
    <row r="637" spans="2:19" s="43" customFormat="1" x14ac:dyDescent="0.2"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</row>
    <row r="638" spans="2:19" s="43" customFormat="1" x14ac:dyDescent="0.2"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</row>
    <row r="639" spans="2:19" s="43" customFormat="1" x14ac:dyDescent="0.2"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</row>
    <row r="640" spans="2:19" s="43" customFormat="1" x14ac:dyDescent="0.2"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</row>
    <row r="641" spans="2:19" s="43" customFormat="1" x14ac:dyDescent="0.2"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</row>
    <row r="642" spans="2:19" s="43" customFormat="1" x14ac:dyDescent="0.2"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</row>
    <row r="643" spans="2:19" s="43" customFormat="1" x14ac:dyDescent="0.2"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</row>
    <row r="644" spans="2:19" s="43" customFormat="1" x14ac:dyDescent="0.2"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</row>
    <row r="645" spans="2:19" s="43" customFormat="1" x14ac:dyDescent="0.2"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</row>
    <row r="646" spans="2:19" s="43" customFormat="1" x14ac:dyDescent="0.2"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</row>
    <row r="647" spans="2:19" s="43" customFormat="1" x14ac:dyDescent="0.2"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</row>
    <row r="648" spans="2:19" s="43" customFormat="1" x14ac:dyDescent="0.2"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</row>
    <row r="649" spans="2:19" s="43" customFormat="1" x14ac:dyDescent="0.2"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</row>
    <row r="650" spans="2:19" s="43" customFormat="1" x14ac:dyDescent="0.2"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</row>
    <row r="651" spans="2:19" s="43" customFormat="1" x14ac:dyDescent="0.2"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</row>
    <row r="652" spans="2:19" s="43" customFormat="1" x14ac:dyDescent="0.2"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</row>
    <row r="653" spans="2:19" s="43" customFormat="1" x14ac:dyDescent="0.2"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</row>
    <row r="654" spans="2:19" s="43" customFormat="1" x14ac:dyDescent="0.2"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</row>
    <row r="655" spans="2:19" s="43" customFormat="1" x14ac:dyDescent="0.2"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</row>
    <row r="656" spans="2:19" s="43" customFormat="1" x14ac:dyDescent="0.2"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</row>
    <row r="657" spans="2:19" s="43" customFormat="1" x14ac:dyDescent="0.2"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</row>
    <row r="658" spans="2:19" s="43" customFormat="1" x14ac:dyDescent="0.2"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</row>
    <row r="659" spans="2:19" s="43" customFormat="1" x14ac:dyDescent="0.2"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</row>
    <row r="660" spans="2:19" s="43" customFormat="1" x14ac:dyDescent="0.2"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</row>
    <row r="661" spans="2:19" s="43" customFormat="1" x14ac:dyDescent="0.2"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</row>
    <row r="662" spans="2:19" s="43" customFormat="1" x14ac:dyDescent="0.2"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</row>
    <row r="663" spans="2:19" s="43" customFormat="1" x14ac:dyDescent="0.2"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</row>
    <row r="664" spans="2:19" s="43" customFormat="1" x14ac:dyDescent="0.2"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</row>
    <row r="665" spans="2:19" s="43" customFormat="1" x14ac:dyDescent="0.2"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</row>
    <row r="666" spans="2:19" s="43" customFormat="1" x14ac:dyDescent="0.2"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</row>
    <row r="667" spans="2:19" s="43" customFormat="1" x14ac:dyDescent="0.2"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</row>
    <row r="668" spans="2:19" s="43" customFormat="1" x14ac:dyDescent="0.2"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</row>
    <row r="669" spans="2:19" s="43" customFormat="1" x14ac:dyDescent="0.2"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</row>
    <row r="670" spans="2:19" s="43" customFormat="1" x14ac:dyDescent="0.2"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</row>
    <row r="671" spans="2:19" s="43" customFormat="1" x14ac:dyDescent="0.2"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</row>
    <row r="672" spans="2:19" s="43" customFormat="1" x14ac:dyDescent="0.2"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</row>
    <row r="673" spans="2:19" s="43" customFormat="1" x14ac:dyDescent="0.2"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</row>
    <row r="674" spans="2:19" s="43" customFormat="1" x14ac:dyDescent="0.2"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</row>
    <row r="675" spans="2:19" s="43" customFormat="1" x14ac:dyDescent="0.2"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</row>
    <row r="676" spans="2:19" s="43" customFormat="1" x14ac:dyDescent="0.2"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</row>
    <row r="677" spans="2:19" s="43" customFormat="1" x14ac:dyDescent="0.2"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</row>
    <row r="678" spans="2:19" s="43" customFormat="1" x14ac:dyDescent="0.2"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</row>
    <row r="679" spans="2:19" s="43" customFormat="1" x14ac:dyDescent="0.2"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</row>
    <row r="680" spans="2:19" s="43" customFormat="1" x14ac:dyDescent="0.2"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</row>
    <row r="681" spans="2:19" s="43" customFormat="1" x14ac:dyDescent="0.2"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</row>
    <row r="682" spans="2:19" s="43" customFormat="1" x14ac:dyDescent="0.2"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</row>
    <row r="683" spans="2:19" s="43" customFormat="1" x14ac:dyDescent="0.2"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</row>
    <row r="684" spans="2:19" s="43" customFormat="1" x14ac:dyDescent="0.2"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</row>
    <row r="685" spans="2:19" s="43" customFormat="1" x14ac:dyDescent="0.2"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</row>
    <row r="686" spans="2:19" s="43" customFormat="1" x14ac:dyDescent="0.2"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</row>
    <row r="687" spans="2:19" s="43" customFormat="1" x14ac:dyDescent="0.2"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</row>
    <row r="688" spans="2:19" s="43" customFormat="1" x14ac:dyDescent="0.2"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</row>
    <row r="689" spans="2:19" s="43" customFormat="1" x14ac:dyDescent="0.2"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</row>
    <row r="690" spans="2:19" s="43" customFormat="1" x14ac:dyDescent="0.2"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</row>
    <row r="691" spans="2:19" s="43" customFormat="1" x14ac:dyDescent="0.2"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</row>
    <row r="692" spans="2:19" s="43" customFormat="1" x14ac:dyDescent="0.2"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</row>
    <row r="693" spans="2:19" s="43" customFormat="1" x14ac:dyDescent="0.2"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</row>
    <row r="694" spans="2:19" s="43" customFormat="1" x14ac:dyDescent="0.2"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</row>
    <row r="695" spans="2:19" s="43" customFormat="1" x14ac:dyDescent="0.2"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</row>
    <row r="696" spans="2:19" s="43" customFormat="1" x14ac:dyDescent="0.2"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</row>
    <row r="697" spans="2:19" s="43" customFormat="1" x14ac:dyDescent="0.2"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</row>
    <row r="698" spans="2:19" s="43" customFormat="1" x14ac:dyDescent="0.2"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</row>
    <row r="699" spans="2:19" s="43" customFormat="1" x14ac:dyDescent="0.2"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</row>
    <row r="700" spans="2:19" s="43" customFormat="1" x14ac:dyDescent="0.2"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</row>
    <row r="701" spans="2:19" s="43" customFormat="1" x14ac:dyDescent="0.2"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</row>
    <row r="702" spans="2:19" s="43" customFormat="1" x14ac:dyDescent="0.2"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</row>
    <row r="703" spans="2:19" s="43" customFormat="1" x14ac:dyDescent="0.2"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</row>
    <row r="704" spans="2:19" s="43" customFormat="1" x14ac:dyDescent="0.2"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</row>
    <row r="705" spans="2:19" s="43" customFormat="1" x14ac:dyDescent="0.2"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</row>
    <row r="706" spans="2:19" s="43" customFormat="1" x14ac:dyDescent="0.2"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</row>
    <row r="707" spans="2:19" s="43" customFormat="1" x14ac:dyDescent="0.2"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</row>
    <row r="708" spans="2:19" s="43" customFormat="1" x14ac:dyDescent="0.2"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</row>
    <row r="709" spans="2:19" s="43" customFormat="1" x14ac:dyDescent="0.2"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</row>
    <row r="710" spans="2:19" s="43" customFormat="1" x14ac:dyDescent="0.2"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</row>
    <row r="711" spans="2:19" s="43" customFormat="1" x14ac:dyDescent="0.2"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</row>
    <row r="712" spans="2:19" s="43" customFormat="1" x14ac:dyDescent="0.2"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</row>
    <row r="713" spans="2:19" s="43" customFormat="1" x14ac:dyDescent="0.2"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</row>
    <row r="714" spans="2:19" s="43" customFormat="1" x14ac:dyDescent="0.2"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</row>
    <row r="715" spans="2:19" s="43" customFormat="1" x14ac:dyDescent="0.2"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</row>
    <row r="716" spans="2:19" s="43" customFormat="1" x14ac:dyDescent="0.2"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</row>
    <row r="717" spans="2:19" s="43" customFormat="1" x14ac:dyDescent="0.2"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</row>
    <row r="718" spans="2:19" s="43" customFormat="1" x14ac:dyDescent="0.2"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</row>
    <row r="719" spans="2:19" s="43" customFormat="1" x14ac:dyDescent="0.2"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</row>
    <row r="720" spans="2:19" s="43" customFormat="1" x14ac:dyDescent="0.2"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</row>
    <row r="721" spans="2:19" s="43" customFormat="1" x14ac:dyDescent="0.2"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</row>
    <row r="722" spans="2:19" s="43" customFormat="1" x14ac:dyDescent="0.2"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</row>
    <row r="723" spans="2:19" s="43" customFormat="1" x14ac:dyDescent="0.2"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</row>
    <row r="724" spans="2:19" s="43" customFormat="1" x14ac:dyDescent="0.2"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</row>
    <row r="725" spans="2:19" s="43" customFormat="1" x14ac:dyDescent="0.2"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</row>
    <row r="726" spans="2:19" s="43" customFormat="1" x14ac:dyDescent="0.2"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</row>
    <row r="727" spans="2:19" s="43" customFormat="1" x14ac:dyDescent="0.2"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</row>
    <row r="728" spans="2:19" s="43" customFormat="1" x14ac:dyDescent="0.2"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</row>
    <row r="729" spans="2:19" s="43" customFormat="1" x14ac:dyDescent="0.2"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</row>
    <row r="730" spans="2:19" s="43" customFormat="1" x14ac:dyDescent="0.2"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</row>
    <row r="731" spans="2:19" s="43" customFormat="1" x14ac:dyDescent="0.2"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</row>
    <row r="732" spans="2:19" s="43" customFormat="1" x14ac:dyDescent="0.2"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</row>
    <row r="733" spans="2:19" s="43" customFormat="1" x14ac:dyDescent="0.2"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</row>
    <row r="734" spans="2:19" s="43" customFormat="1" x14ac:dyDescent="0.2"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</row>
    <row r="735" spans="2:19" s="43" customFormat="1" x14ac:dyDescent="0.2"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</row>
    <row r="736" spans="2:19" s="43" customFormat="1" x14ac:dyDescent="0.2"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</row>
    <row r="737" spans="2:19" s="43" customFormat="1" x14ac:dyDescent="0.2"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</row>
    <row r="738" spans="2:19" s="43" customFormat="1" x14ac:dyDescent="0.2"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</row>
    <row r="739" spans="2:19" s="43" customFormat="1" x14ac:dyDescent="0.2"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</row>
    <row r="740" spans="2:19" s="43" customFormat="1" x14ac:dyDescent="0.2"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</row>
    <row r="741" spans="2:19" s="43" customFormat="1" x14ac:dyDescent="0.2"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</row>
    <row r="742" spans="2:19" s="43" customFormat="1" x14ac:dyDescent="0.2"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</row>
    <row r="743" spans="2:19" s="43" customFormat="1" x14ac:dyDescent="0.2"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</row>
    <row r="744" spans="2:19" s="43" customFormat="1" x14ac:dyDescent="0.2"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</row>
    <row r="745" spans="2:19" s="43" customFormat="1" x14ac:dyDescent="0.2"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</row>
    <row r="746" spans="2:19" s="43" customFormat="1" x14ac:dyDescent="0.2"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</row>
    <row r="747" spans="2:19" s="43" customFormat="1" x14ac:dyDescent="0.2"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</row>
    <row r="748" spans="2:19" s="43" customFormat="1" x14ac:dyDescent="0.2"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</row>
    <row r="749" spans="2:19" s="43" customFormat="1" x14ac:dyDescent="0.2"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</row>
    <row r="750" spans="2:19" s="43" customFormat="1" x14ac:dyDescent="0.2"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</row>
    <row r="751" spans="2:19" s="43" customFormat="1" x14ac:dyDescent="0.2"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</row>
    <row r="752" spans="2:19" s="43" customFormat="1" x14ac:dyDescent="0.2"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</row>
    <row r="753" spans="2:19" s="43" customFormat="1" x14ac:dyDescent="0.2"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</row>
    <row r="754" spans="2:19" s="43" customFormat="1" x14ac:dyDescent="0.2"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</row>
    <row r="755" spans="2:19" s="43" customFormat="1" x14ac:dyDescent="0.2"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</row>
    <row r="756" spans="2:19" s="43" customFormat="1" x14ac:dyDescent="0.2"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</row>
    <row r="757" spans="2:19" s="43" customFormat="1" x14ac:dyDescent="0.2"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</row>
    <row r="758" spans="2:19" s="43" customFormat="1" x14ac:dyDescent="0.2"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</row>
    <row r="759" spans="2:19" s="43" customFormat="1" x14ac:dyDescent="0.2"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</row>
    <row r="760" spans="2:19" s="43" customFormat="1" x14ac:dyDescent="0.2"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</row>
    <row r="761" spans="2:19" s="43" customFormat="1" x14ac:dyDescent="0.2"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</row>
    <row r="762" spans="2:19" s="43" customFormat="1" x14ac:dyDescent="0.2"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</row>
    <row r="763" spans="2:19" s="43" customFormat="1" x14ac:dyDescent="0.2"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</row>
    <row r="764" spans="2:19" s="43" customFormat="1" x14ac:dyDescent="0.2"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</row>
    <row r="765" spans="2:19" s="43" customFormat="1" x14ac:dyDescent="0.2"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</row>
    <row r="766" spans="2:19" s="43" customFormat="1" x14ac:dyDescent="0.2"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</row>
    <row r="767" spans="2:19" s="43" customFormat="1" x14ac:dyDescent="0.2"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</row>
    <row r="768" spans="2:19" s="43" customFormat="1" x14ac:dyDescent="0.2"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</row>
    <row r="769" spans="2:19" s="43" customFormat="1" x14ac:dyDescent="0.2"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</row>
    <row r="770" spans="2:19" s="43" customFormat="1" x14ac:dyDescent="0.2"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</row>
    <row r="771" spans="2:19" s="43" customFormat="1" x14ac:dyDescent="0.2"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</row>
    <row r="772" spans="2:19" s="43" customFormat="1" x14ac:dyDescent="0.2"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</row>
    <row r="773" spans="2:19" s="43" customFormat="1" x14ac:dyDescent="0.2"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</row>
    <row r="774" spans="2:19" s="43" customFormat="1" x14ac:dyDescent="0.2"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</row>
    <row r="775" spans="2:19" s="43" customFormat="1" x14ac:dyDescent="0.2"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</row>
    <row r="776" spans="2:19" s="43" customFormat="1" x14ac:dyDescent="0.2"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</row>
    <row r="777" spans="2:19" s="43" customFormat="1" x14ac:dyDescent="0.2"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</row>
    <row r="778" spans="2:19" s="43" customFormat="1" x14ac:dyDescent="0.2"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</row>
    <row r="779" spans="2:19" s="43" customFormat="1" x14ac:dyDescent="0.2"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</row>
    <row r="780" spans="2:19" s="43" customFormat="1" x14ac:dyDescent="0.2"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</row>
    <row r="781" spans="2:19" s="43" customFormat="1" x14ac:dyDescent="0.2"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</row>
    <row r="782" spans="2:19" s="43" customFormat="1" x14ac:dyDescent="0.2"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</row>
    <row r="783" spans="2:19" s="43" customFormat="1" x14ac:dyDescent="0.2"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</row>
    <row r="784" spans="2:19" s="43" customFormat="1" x14ac:dyDescent="0.2"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</row>
    <row r="785" spans="2:19" s="43" customFormat="1" x14ac:dyDescent="0.2"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</row>
    <row r="786" spans="2:19" s="43" customFormat="1" x14ac:dyDescent="0.2"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</row>
    <row r="787" spans="2:19" s="43" customFormat="1" x14ac:dyDescent="0.2"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</row>
    <row r="788" spans="2:19" s="43" customFormat="1" x14ac:dyDescent="0.2"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</row>
    <row r="789" spans="2:19" s="43" customFormat="1" x14ac:dyDescent="0.2"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</row>
    <row r="790" spans="2:19" s="43" customFormat="1" x14ac:dyDescent="0.2"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</row>
    <row r="791" spans="2:19" s="43" customFormat="1" x14ac:dyDescent="0.2"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</row>
    <row r="792" spans="2:19" s="43" customFormat="1" x14ac:dyDescent="0.2"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</row>
    <row r="793" spans="2:19" s="43" customFormat="1" x14ac:dyDescent="0.2"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</row>
    <row r="794" spans="2:19" s="43" customFormat="1" x14ac:dyDescent="0.2"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</row>
    <row r="795" spans="2:19" s="43" customFormat="1" x14ac:dyDescent="0.2"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</row>
    <row r="796" spans="2:19" s="43" customFormat="1" x14ac:dyDescent="0.2"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</row>
    <row r="797" spans="2:19" s="43" customFormat="1" x14ac:dyDescent="0.2"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</row>
    <row r="798" spans="2:19" s="43" customFormat="1" x14ac:dyDescent="0.2"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</row>
    <row r="799" spans="2:19" s="43" customFormat="1" x14ac:dyDescent="0.2"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</row>
    <row r="800" spans="2:19" s="43" customFormat="1" x14ac:dyDescent="0.2"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</row>
    <row r="801" spans="2:19" s="43" customFormat="1" x14ac:dyDescent="0.2"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</row>
    <row r="802" spans="2:19" s="43" customFormat="1" x14ac:dyDescent="0.2"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</row>
    <row r="803" spans="2:19" s="43" customFormat="1" x14ac:dyDescent="0.2"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</row>
    <row r="804" spans="2:19" s="43" customFormat="1" x14ac:dyDescent="0.2"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</row>
    <row r="805" spans="2:19" s="43" customFormat="1" x14ac:dyDescent="0.2"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</row>
    <row r="806" spans="2:19" s="43" customFormat="1" x14ac:dyDescent="0.2"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</row>
    <row r="807" spans="2:19" s="43" customFormat="1" x14ac:dyDescent="0.2"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</row>
    <row r="808" spans="2:19" s="43" customFormat="1" x14ac:dyDescent="0.2"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</row>
    <row r="809" spans="2:19" s="43" customFormat="1" x14ac:dyDescent="0.2"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</row>
    <row r="810" spans="2:19" s="43" customFormat="1" x14ac:dyDescent="0.2"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</row>
    <row r="811" spans="2:19" s="43" customFormat="1" x14ac:dyDescent="0.2"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</row>
    <row r="812" spans="2:19" s="43" customFormat="1" x14ac:dyDescent="0.2"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</row>
    <row r="813" spans="2:19" s="43" customFormat="1" x14ac:dyDescent="0.2"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</row>
    <row r="814" spans="2:19" s="43" customFormat="1" x14ac:dyDescent="0.2"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</row>
    <row r="815" spans="2:19" s="43" customFormat="1" x14ac:dyDescent="0.2"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</row>
    <row r="816" spans="2:19" s="43" customFormat="1" x14ac:dyDescent="0.2"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</row>
    <row r="817" spans="2:19" s="43" customFormat="1" x14ac:dyDescent="0.2"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</row>
    <row r="818" spans="2:19" s="43" customFormat="1" x14ac:dyDescent="0.2"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</row>
    <row r="819" spans="2:19" s="43" customFormat="1" x14ac:dyDescent="0.2"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</row>
    <row r="820" spans="2:19" s="43" customFormat="1" x14ac:dyDescent="0.2"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</row>
    <row r="821" spans="2:19" s="43" customFormat="1" x14ac:dyDescent="0.2"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</row>
    <row r="822" spans="2:19" s="43" customFormat="1" x14ac:dyDescent="0.2"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</row>
    <row r="823" spans="2:19" s="43" customFormat="1" x14ac:dyDescent="0.2"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</row>
    <row r="824" spans="2:19" s="43" customFormat="1" x14ac:dyDescent="0.2"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</row>
    <row r="825" spans="2:19" s="43" customFormat="1" x14ac:dyDescent="0.2"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</row>
    <row r="826" spans="2:19" s="43" customFormat="1" x14ac:dyDescent="0.2"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</row>
    <row r="827" spans="2:19" s="43" customFormat="1" x14ac:dyDescent="0.2"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</row>
    <row r="828" spans="2:19" s="43" customFormat="1" x14ac:dyDescent="0.2"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</row>
    <row r="829" spans="2:19" s="43" customFormat="1" x14ac:dyDescent="0.2"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</row>
    <row r="830" spans="2:19" s="43" customFormat="1" x14ac:dyDescent="0.2"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</row>
    <row r="831" spans="2:19" s="43" customFormat="1" x14ac:dyDescent="0.2"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</row>
    <row r="832" spans="2:19" s="43" customFormat="1" x14ac:dyDescent="0.2"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</row>
    <row r="833" spans="2:19" s="43" customFormat="1" x14ac:dyDescent="0.2"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</row>
    <row r="834" spans="2:19" s="43" customFormat="1" x14ac:dyDescent="0.2"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</row>
    <row r="835" spans="2:19" s="43" customFormat="1" x14ac:dyDescent="0.2"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</row>
    <row r="836" spans="2:19" s="43" customFormat="1" x14ac:dyDescent="0.2"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</row>
    <row r="837" spans="2:19" s="43" customFormat="1" x14ac:dyDescent="0.2"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</row>
    <row r="838" spans="2:19" s="43" customFormat="1" x14ac:dyDescent="0.2"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</row>
    <row r="839" spans="2:19" s="43" customFormat="1" x14ac:dyDescent="0.2"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</row>
    <row r="840" spans="2:19" s="43" customFormat="1" x14ac:dyDescent="0.2"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</row>
    <row r="841" spans="2:19" s="43" customFormat="1" x14ac:dyDescent="0.2"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</row>
    <row r="842" spans="2:19" s="43" customFormat="1" x14ac:dyDescent="0.2"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</row>
    <row r="843" spans="2:19" s="43" customFormat="1" x14ac:dyDescent="0.2"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</row>
    <row r="844" spans="2:19" s="43" customFormat="1" x14ac:dyDescent="0.2"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</row>
    <row r="845" spans="2:19" s="43" customFormat="1" x14ac:dyDescent="0.2"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</row>
    <row r="846" spans="2:19" s="43" customFormat="1" x14ac:dyDescent="0.2"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</row>
    <row r="847" spans="2:19" s="43" customFormat="1" x14ac:dyDescent="0.2"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</row>
    <row r="848" spans="2:19" s="43" customFormat="1" x14ac:dyDescent="0.2"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</row>
    <row r="849" spans="2:19" s="43" customFormat="1" x14ac:dyDescent="0.2"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</row>
    <row r="850" spans="2:19" s="43" customFormat="1" x14ac:dyDescent="0.2"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</row>
    <row r="851" spans="2:19" s="43" customFormat="1" x14ac:dyDescent="0.2"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</row>
    <row r="852" spans="2:19" s="43" customFormat="1" x14ac:dyDescent="0.2"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</row>
    <row r="853" spans="2:19" s="43" customFormat="1" x14ac:dyDescent="0.2"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</row>
    <row r="854" spans="2:19" s="43" customFormat="1" x14ac:dyDescent="0.2"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</row>
    <row r="855" spans="2:19" s="43" customFormat="1" x14ac:dyDescent="0.2"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</row>
    <row r="856" spans="2:19" s="43" customFormat="1" x14ac:dyDescent="0.2"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</row>
    <row r="857" spans="2:19" s="43" customFormat="1" x14ac:dyDescent="0.2"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</row>
    <row r="858" spans="2:19" s="43" customFormat="1" x14ac:dyDescent="0.2"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</row>
    <row r="859" spans="2:19" s="43" customFormat="1" x14ac:dyDescent="0.2"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</row>
    <row r="860" spans="2:19" s="43" customFormat="1" x14ac:dyDescent="0.2"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</row>
    <row r="861" spans="2:19" s="43" customFormat="1" x14ac:dyDescent="0.2"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</row>
    <row r="862" spans="2:19" s="43" customFormat="1" x14ac:dyDescent="0.2"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</row>
    <row r="863" spans="2:19" s="43" customFormat="1" x14ac:dyDescent="0.2"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</row>
    <row r="864" spans="2:19" s="43" customFormat="1" x14ac:dyDescent="0.2"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</row>
    <row r="865" spans="2:19" s="43" customFormat="1" x14ac:dyDescent="0.2"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</row>
    <row r="866" spans="2:19" s="43" customFormat="1" x14ac:dyDescent="0.2"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</row>
    <row r="867" spans="2:19" s="43" customFormat="1" x14ac:dyDescent="0.2"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</row>
    <row r="868" spans="2:19" s="43" customFormat="1" x14ac:dyDescent="0.2"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</row>
    <row r="869" spans="2:19" s="43" customFormat="1" x14ac:dyDescent="0.2"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</row>
    <row r="870" spans="2:19" s="43" customFormat="1" x14ac:dyDescent="0.2"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</row>
    <row r="871" spans="2:19" s="43" customFormat="1" x14ac:dyDescent="0.2"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</row>
    <row r="872" spans="2:19" s="43" customFormat="1" x14ac:dyDescent="0.2"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</row>
    <row r="873" spans="2:19" s="43" customFormat="1" x14ac:dyDescent="0.2"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</row>
    <row r="874" spans="2:19" s="43" customFormat="1" x14ac:dyDescent="0.2"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</row>
    <row r="875" spans="2:19" s="43" customFormat="1" x14ac:dyDescent="0.2"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</row>
    <row r="876" spans="2:19" s="43" customFormat="1" x14ac:dyDescent="0.2"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</row>
    <row r="877" spans="2:19" s="43" customFormat="1" x14ac:dyDescent="0.2"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</row>
    <row r="878" spans="2:19" s="43" customFormat="1" x14ac:dyDescent="0.2"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</row>
    <row r="879" spans="2:19" s="43" customFormat="1" x14ac:dyDescent="0.2"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</row>
    <row r="880" spans="2:19" s="43" customFormat="1" x14ac:dyDescent="0.2"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</row>
    <row r="881" spans="2:19" s="43" customFormat="1" x14ac:dyDescent="0.2"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</row>
    <row r="882" spans="2:19" s="43" customFormat="1" x14ac:dyDescent="0.2"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</row>
    <row r="883" spans="2:19" s="43" customFormat="1" x14ac:dyDescent="0.2"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</row>
    <row r="884" spans="2:19" s="43" customFormat="1" x14ac:dyDescent="0.2"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</row>
    <row r="885" spans="2:19" s="43" customFormat="1" x14ac:dyDescent="0.2"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</row>
    <row r="886" spans="2:19" s="43" customFormat="1" x14ac:dyDescent="0.2"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</row>
    <row r="887" spans="2:19" s="43" customFormat="1" x14ac:dyDescent="0.2"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</row>
    <row r="888" spans="2:19" s="43" customFormat="1" x14ac:dyDescent="0.2"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</row>
    <row r="889" spans="2:19" s="43" customFormat="1" x14ac:dyDescent="0.2"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</row>
    <row r="890" spans="2:19" s="43" customFormat="1" x14ac:dyDescent="0.2"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</row>
    <row r="891" spans="2:19" s="43" customFormat="1" x14ac:dyDescent="0.2"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</row>
    <row r="892" spans="2:19" s="43" customFormat="1" x14ac:dyDescent="0.2"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</row>
    <row r="893" spans="2:19" s="43" customFormat="1" x14ac:dyDescent="0.2"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</row>
    <row r="894" spans="2:19" s="43" customFormat="1" x14ac:dyDescent="0.2"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</row>
    <row r="895" spans="2:19" s="43" customFormat="1" x14ac:dyDescent="0.2"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</row>
    <row r="896" spans="2:19" s="43" customFormat="1" x14ac:dyDescent="0.2"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</row>
    <row r="897" spans="2:19" s="43" customFormat="1" x14ac:dyDescent="0.2"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</row>
    <row r="898" spans="2:19" s="43" customFormat="1" x14ac:dyDescent="0.2"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</row>
    <row r="899" spans="2:19" s="43" customFormat="1" x14ac:dyDescent="0.2"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</row>
    <row r="900" spans="2:19" s="43" customFormat="1" x14ac:dyDescent="0.2"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</row>
    <row r="901" spans="2:19" s="43" customFormat="1" x14ac:dyDescent="0.2"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</row>
    <row r="902" spans="2:19" s="43" customFormat="1" x14ac:dyDescent="0.2"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</row>
    <row r="903" spans="2:19" s="43" customFormat="1" x14ac:dyDescent="0.2"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</row>
    <row r="904" spans="2:19" s="43" customFormat="1" x14ac:dyDescent="0.2"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</row>
    <row r="905" spans="2:19" s="43" customFormat="1" x14ac:dyDescent="0.2"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</row>
    <row r="906" spans="2:19" s="43" customFormat="1" x14ac:dyDescent="0.2"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</row>
    <row r="907" spans="2:19" s="43" customFormat="1" x14ac:dyDescent="0.2"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</row>
    <row r="908" spans="2:19" s="43" customFormat="1" x14ac:dyDescent="0.2"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</row>
    <row r="909" spans="2:19" s="43" customFormat="1" x14ac:dyDescent="0.2"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</row>
    <row r="910" spans="2:19" s="43" customFormat="1" x14ac:dyDescent="0.2"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</row>
    <row r="911" spans="2:19" s="43" customFormat="1" x14ac:dyDescent="0.2"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</row>
    <row r="912" spans="2:19" s="43" customFormat="1" x14ac:dyDescent="0.2"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</row>
    <row r="913" spans="2:19" s="43" customFormat="1" x14ac:dyDescent="0.2"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</row>
    <row r="914" spans="2:19" s="43" customFormat="1" x14ac:dyDescent="0.2"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</row>
    <row r="915" spans="2:19" s="43" customFormat="1" x14ac:dyDescent="0.2"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</row>
    <row r="916" spans="2:19" s="43" customFormat="1" x14ac:dyDescent="0.2"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</row>
    <row r="917" spans="2:19" s="43" customFormat="1" x14ac:dyDescent="0.2"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</row>
    <row r="918" spans="2:19" s="43" customFormat="1" x14ac:dyDescent="0.2"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</row>
    <row r="919" spans="2:19" s="43" customFormat="1" x14ac:dyDescent="0.2"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</row>
    <row r="920" spans="2:19" s="43" customFormat="1" x14ac:dyDescent="0.2"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</row>
    <row r="921" spans="2:19" s="43" customFormat="1" x14ac:dyDescent="0.2"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</row>
    <row r="922" spans="2:19" s="43" customFormat="1" x14ac:dyDescent="0.2"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</row>
    <row r="923" spans="2:19" s="43" customFormat="1" x14ac:dyDescent="0.2"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</row>
    <row r="924" spans="2:19" s="43" customFormat="1" x14ac:dyDescent="0.2"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</row>
    <row r="925" spans="2:19" s="43" customFormat="1" x14ac:dyDescent="0.2"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</row>
    <row r="926" spans="2:19" s="43" customFormat="1" x14ac:dyDescent="0.2"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</row>
    <row r="927" spans="2:19" s="43" customFormat="1" x14ac:dyDescent="0.2"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</row>
    <row r="928" spans="2:19" s="43" customFormat="1" x14ac:dyDescent="0.2"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</row>
    <row r="929" spans="2:19" s="43" customFormat="1" x14ac:dyDescent="0.2"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</row>
    <row r="930" spans="2:19" s="43" customFormat="1" x14ac:dyDescent="0.2"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</row>
    <row r="931" spans="2:19" s="43" customFormat="1" x14ac:dyDescent="0.2"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</row>
    <row r="932" spans="2:19" s="43" customFormat="1" x14ac:dyDescent="0.2"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</row>
    <row r="933" spans="2:19" s="43" customFormat="1" x14ac:dyDescent="0.2"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</row>
    <row r="934" spans="2:19" s="43" customFormat="1" x14ac:dyDescent="0.2"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</row>
    <row r="935" spans="2:19" s="43" customFormat="1" x14ac:dyDescent="0.2"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</row>
    <row r="936" spans="2:19" s="43" customFormat="1" x14ac:dyDescent="0.2"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</row>
    <row r="937" spans="2:19" s="43" customFormat="1" x14ac:dyDescent="0.2"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</row>
    <row r="938" spans="2:19" s="43" customFormat="1" x14ac:dyDescent="0.2"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</row>
    <row r="939" spans="2:19" s="43" customFormat="1" x14ac:dyDescent="0.2"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</row>
    <row r="940" spans="2:19" s="43" customFormat="1" x14ac:dyDescent="0.2"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</row>
    <row r="941" spans="2:19" s="43" customFormat="1" x14ac:dyDescent="0.2"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</row>
    <row r="942" spans="2:19" s="43" customFormat="1" x14ac:dyDescent="0.2"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</row>
    <row r="943" spans="2:19" s="43" customFormat="1" x14ac:dyDescent="0.2"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</row>
    <row r="944" spans="2:19" s="43" customFormat="1" x14ac:dyDescent="0.2"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</row>
    <row r="945" spans="2:19" s="43" customFormat="1" x14ac:dyDescent="0.2"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</row>
    <row r="946" spans="2:19" s="43" customFormat="1" x14ac:dyDescent="0.2"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</row>
    <row r="947" spans="2:19" s="43" customFormat="1" x14ac:dyDescent="0.2"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</row>
    <row r="948" spans="2:19" s="43" customFormat="1" x14ac:dyDescent="0.2"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</row>
    <row r="949" spans="2:19" s="43" customFormat="1" x14ac:dyDescent="0.2"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</row>
    <row r="950" spans="2:19" s="43" customFormat="1" x14ac:dyDescent="0.2"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</row>
    <row r="951" spans="2:19" s="43" customFormat="1" x14ac:dyDescent="0.2"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</row>
    <row r="952" spans="2:19" s="43" customFormat="1" x14ac:dyDescent="0.2"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</row>
    <row r="953" spans="2:19" s="43" customFormat="1" x14ac:dyDescent="0.2"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</row>
    <row r="954" spans="2:19" s="43" customFormat="1" x14ac:dyDescent="0.2"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</row>
    <row r="955" spans="2:19" s="43" customFormat="1" x14ac:dyDescent="0.2"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</row>
    <row r="956" spans="2:19" s="43" customFormat="1" x14ac:dyDescent="0.2"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</row>
    <row r="957" spans="2:19" s="43" customFormat="1" x14ac:dyDescent="0.2"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</row>
    <row r="958" spans="2:19" s="43" customFormat="1" x14ac:dyDescent="0.2"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</row>
    <row r="959" spans="2:19" s="43" customFormat="1" x14ac:dyDescent="0.2"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</row>
    <row r="960" spans="2:19" s="43" customFormat="1" x14ac:dyDescent="0.2"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</row>
    <row r="961" spans="2:19" s="43" customFormat="1" x14ac:dyDescent="0.2"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</row>
    <row r="962" spans="2:19" s="43" customFormat="1" x14ac:dyDescent="0.2"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</row>
    <row r="963" spans="2:19" s="43" customFormat="1" x14ac:dyDescent="0.2"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</row>
    <row r="964" spans="2:19" s="43" customFormat="1" x14ac:dyDescent="0.2"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</row>
    <row r="965" spans="2:19" s="43" customFormat="1" x14ac:dyDescent="0.2"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</row>
    <row r="966" spans="2:19" s="43" customFormat="1" x14ac:dyDescent="0.2"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</row>
    <row r="967" spans="2:19" s="43" customFormat="1" x14ac:dyDescent="0.2"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</row>
    <row r="968" spans="2:19" s="43" customFormat="1" x14ac:dyDescent="0.2"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</row>
    <row r="969" spans="2:19" s="43" customFormat="1" x14ac:dyDescent="0.2"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</row>
    <row r="970" spans="2:19" s="43" customFormat="1" x14ac:dyDescent="0.2"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</row>
    <row r="971" spans="2:19" s="43" customFormat="1" x14ac:dyDescent="0.2"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</row>
    <row r="972" spans="2:19" s="43" customFormat="1" x14ac:dyDescent="0.2"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</row>
    <row r="973" spans="2:19" s="43" customFormat="1" x14ac:dyDescent="0.2"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</row>
    <row r="974" spans="2:19" s="43" customFormat="1" x14ac:dyDescent="0.2"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</row>
    <row r="975" spans="2:19" s="43" customFormat="1" x14ac:dyDescent="0.2"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</row>
    <row r="976" spans="2:19" s="43" customFormat="1" x14ac:dyDescent="0.2"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</row>
    <row r="977" spans="2:19" s="43" customFormat="1" x14ac:dyDescent="0.2"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</row>
    <row r="978" spans="2:19" s="43" customFormat="1" x14ac:dyDescent="0.2"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</row>
    <row r="979" spans="2:19" s="43" customFormat="1" x14ac:dyDescent="0.2"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</row>
    <row r="980" spans="2:19" s="43" customFormat="1" x14ac:dyDescent="0.2"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</row>
    <row r="981" spans="2:19" s="43" customFormat="1" x14ac:dyDescent="0.2"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</row>
    <row r="982" spans="2:19" s="43" customFormat="1" x14ac:dyDescent="0.2"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</row>
    <row r="983" spans="2:19" s="43" customFormat="1" x14ac:dyDescent="0.2"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</row>
    <row r="984" spans="2:19" s="43" customFormat="1" x14ac:dyDescent="0.2"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</row>
    <row r="985" spans="2:19" s="43" customFormat="1" x14ac:dyDescent="0.2"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</row>
    <row r="986" spans="2:19" s="43" customFormat="1" x14ac:dyDescent="0.2"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</row>
    <row r="987" spans="2:19" s="43" customFormat="1" x14ac:dyDescent="0.2"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</row>
    <row r="988" spans="2:19" s="43" customFormat="1" x14ac:dyDescent="0.2"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</row>
    <row r="989" spans="2:19" s="43" customFormat="1" x14ac:dyDescent="0.2"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</row>
    <row r="990" spans="2:19" s="43" customFormat="1" x14ac:dyDescent="0.2"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</row>
    <row r="991" spans="2:19" s="43" customFormat="1" x14ac:dyDescent="0.2"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</row>
    <row r="992" spans="2:19" s="43" customFormat="1" x14ac:dyDescent="0.2"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</row>
    <row r="993" spans="2:19" s="43" customFormat="1" x14ac:dyDescent="0.2"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</row>
    <row r="994" spans="2:19" s="43" customFormat="1" x14ac:dyDescent="0.2"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</row>
    <row r="995" spans="2:19" s="43" customFormat="1" x14ac:dyDescent="0.2"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</row>
    <row r="996" spans="2:19" s="43" customFormat="1" x14ac:dyDescent="0.2"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</row>
    <row r="997" spans="2:19" s="43" customFormat="1" x14ac:dyDescent="0.2"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</row>
    <row r="998" spans="2:19" s="43" customFormat="1" x14ac:dyDescent="0.2"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</row>
    <row r="999" spans="2:19" s="43" customFormat="1" x14ac:dyDescent="0.2"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</row>
    <row r="1000" spans="2:19" s="43" customFormat="1" x14ac:dyDescent="0.2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</row>
    <row r="1001" spans="2:19" s="43" customFormat="1" x14ac:dyDescent="0.2"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</row>
    <row r="1002" spans="2:19" s="43" customFormat="1" x14ac:dyDescent="0.2"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</row>
    <row r="1003" spans="2:19" s="43" customFormat="1" x14ac:dyDescent="0.2"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</row>
    <row r="1004" spans="2:19" s="43" customFormat="1" x14ac:dyDescent="0.2"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</row>
    <row r="1005" spans="2:19" s="43" customFormat="1" x14ac:dyDescent="0.2"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</row>
    <row r="1006" spans="2:19" s="43" customFormat="1" x14ac:dyDescent="0.2"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</row>
    <row r="1007" spans="2:19" s="43" customFormat="1" x14ac:dyDescent="0.2"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</row>
    <row r="1008" spans="2:19" s="43" customFormat="1" x14ac:dyDescent="0.2"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</row>
    <row r="1009" spans="2:19" s="43" customFormat="1" x14ac:dyDescent="0.2"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</row>
    <row r="1010" spans="2:19" s="43" customFormat="1" x14ac:dyDescent="0.2"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</row>
    <row r="1011" spans="2:19" s="43" customFormat="1" x14ac:dyDescent="0.2"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</row>
    <row r="1012" spans="2:19" s="43" customFormat="1" x14ac:dyDescent="0.2"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</row>
    <row r="1013" spans="2:19" s="43" customFormat="1" x14ac:dyDescent="0.2"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</row>
    <row r="1014" spans="2:19" s="43" customFormat="1" x14ac:dyDescent="0.2"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</row>
    <row r="1015" spans="2:19" s="43" customFormat="1" x14ac:dyDescent="0.2"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</row>
    <row r="1016" spans="2:19" s="43" customFormat="1" x14ac:dyDescent="0.2"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</row>
    <row r="1017" spans="2:19" s="43" customFormat="1" x14ac:dyDescent="0.2"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</row>
    <row r="1018" spans="2:19" s="43" customFormat="1" x14ac:dyDescent="0.2"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</row>
    <row r="1019" spans="2:19" s="43" customFormat="1" x14ac:dyDescent="0.2"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</row>
    <row r="1020" spans="2:19" s="43" customFormat="1" x14ac:dyDescent="0.2"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</row>
    <row r="1021" spans="2:19" s="43" customFormat="1" x14ac:dyDescent="0.2"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</row>
    <row r="1022" spans="2:19" s="43" customFormat="1" x14ac:dyDescent="0.2"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</row>
    <row r="1023" spans="2:19" s="43" customFormat="1" x14ac:dyDescent="0.2"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</row>
    <row r="1024" spans="2:19" s="43" customFormat="1" x14ac:dyDescent="0.2"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</row>
    <row r="1025" spans="2:19" s="43" customFormat="1" x14ac:dyDescent="0.2"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</row>
    <row r="1026" spans="2:19" s="43" customFormat="1" x14ac:dyDescent="0.2"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</row>
    <row r="1027" spans="2:19" s="43" customFormat="1" x14ac:dyDescent="0.2"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</row>
    <row r="1028" spans="2:19" s="43" customFormat="1" x14ac:dyDescent="0.2"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</row>
    <row r="1029" spans="2:19" s="43" customFormat="1" x14ac:dyDescent="0.2"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</row>
    <row r="1030" spans="2:19" s="43" customFormat="1" x14ac:dyDescent="0.2"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</row>
    <row r="1031" spans="2:19" s="43" customFormat="1" x14ac:dyDescent="0.2"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</row>
    <row r="1032" spans="2:19" s="43" customFormat="1" x14ac:dyDescent="0.2"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</row>
    <row r="1033" spans="2:19" s="43" customFormat="1" x14ac:dyDescent="0.2"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</row>
    <row r="1034" spans="2:19" s="43" customFormat="1" x14ac:dyDescent="0.2"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</row>
    <row r="1035" spans="2:19" s="43" customFormat="1" x14ac:dyDescent="0.2"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</row>
    <row r="1036" spans="2:19" s="43" customFormat="1" x14ac:dyDescent="0.2"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</row>
    <row r="1037" spans="2:19" s="43" customFormat="1" x14ac:dyDescent="0.2"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</row>
    <row r="1038" spans="2:19" s="43" customFormat="1" x14ac:dyDescent="0.2"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</row>
    <row r="1039" spans="2:19" s="43" customFormat="1" x14ac:dyDescent="0.2"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</row>
  </sheetData>
  <mergeCells count="28">
    <mergeCell ref="BS40:BT40"/>
    <mergeCell ref="BU40:BV40"/>
    <mergeCell ref="AT30:AU30"/>
    <mergeCell ref="AR35:AS35"/>
    <mergeCell ref="AT35:AU35"/>
    <mergeCell ref="BQ40:BR40"/>
    <mergeCell ref="BO40:BP40"/>
    <mergeCell ref="BM40:BN40"/>
    <mergeCell ref="BK40:BL40"/>
    <mergeCell ref="BE40:BF40"/>
    <mergeCell ref="BG40:BH40"/>
    <mergeCell ref="BI40:BJ40"/>
    <mergeCell ref="AV35:AW35"/>
    <mergeCell ref="AX35:AY35"/>
    <mergeCell ref="BA40:BB40"/>
    <mergeCell ref="BC40:BD40"/>
    <mergeCell ref="A1:T1"/>
    <mergeCell ref="A2:T2"/>
    <mergeCell ref="A4:A7"/>
    <mergeCell ref="S4:T5"/>
    <mergeCell ref="C4:F5"/>
    <mergeCell ref="G4:J5"/>
    <mergeCell ref="K4:N5"/>
    <mergeCell ref="O4:R5"/>
    <mergeCell ref="AS40:AT40"/>
    <mergeCell ref="AU40:AV40"/>
    <mergeCell ref="AW40:AX40"/>
    <mergeCell ref="AY40:AZ40"/>
  </mergeCells>
  <pageMargins left="0.7" right="0.7" top="0.75" bottom="0.75" header="0.3" footer="0.3"/>
  <pageSetup scale="46" orientation="portrait" horizontalDpi="4294967295" verticalDpi="4294967295" r:id="rId1"/>
  <ignoredErrors>
    <ignoredError sqref="BI42:BI44 BJ42:BR45 P11:P30 S9:T31 T8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3.17</vt:lpstr>
      <vt:lpstr>'3.17'!Print_Area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2024-07-31T03:13:49Z</cp:lastPrinted>
  <dcterms:created xsi:type="dcterms:W3CDTF">2019-07-22T06:02:33Z</dcterms:created>
  <dcterms:modified xsi:type="dcterms:W3CDTF">2024-07-31T03:13:53Z</dcterms:modified>
</cp:coreProperties>
</file>