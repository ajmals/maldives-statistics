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C98A5AB6-B52E-4AC8-B52E-336505991FFF}" xr6:coauthVersionLast="47" xr6:coauthVersionMax="47" xr10:uidLastSave="{00000000-0000-0000-0000-000000000000}"/>
  <bookViews>
    <workbookView xWindow="-120" yWindow="-120" windowWidth="29040" windowHeight="15720" tabRatio="836" xr2:uid="{00000000-000D-0000-FFFF-FFFF00000000}"/>
  </bookViews>
  <sheets>
    <sheet name="3.7" sheetId="7" r:id="rId1"/>
  </sheets>
  <externalReferences>
    <externalReference r:id="rId2"/>
    <externalReference r:id="rId3"/>
    <externalReference r:id="rId4"/>
  </externalReferences>
  <definedNames>
    <definedName name="_xlnm.Print_Area" localSheetId="0">'3.7'!$A$1:$AK$44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N45" i="7" l="1"/>
  <c r="CM45" i="7"/>
  <c r="CL45" i="7"/>
  <c r="CK45" i="7"/>
  <c r="CJ45" i="7"/>
  <c r="CI45" i="7"/>
  <c r="CD45" i="7"/>
  <c r="CC45" i="7"/>
  <c r="CB45" i="7"/>
  <c r="CA45" i="7"/>
  <c r="BZ45" i="7"/>
  <c r="BY45" i="7"/>
  <c r="CN44" i="7"/>
  <c r="CM44" i="7"/>
  <c r="CL44" i="7"/>
  <c r="CK44" i="7"/>
  <c r="CJ44" i="7"/>
  <c r="CI44" i="7"/>
  <c r="CD44" i="7"/>
  <c r="CC44" i="7"/>
  <c r="CB44" i="7"/>
  <c r="CA44" i="7"/>
  <c r="BZ44" i="7"/>
  <c r="BY44" i="7"/>
  <c r="CN43" i="7"/>
  <c r="CM43" i="7"/>
  <c r="CL43" i="7"/>
  <c r="CK43" i="7"/>
  <c r="CJ43" i="7"/>
  <c r="CI43" i="7"/>
  <c r="CH43" i="7"/>
  <c r="CD43" i="7"/>
  <c r="CC43" i="7"/>
  <c r="CB43" i="7"/>
  <c r="CA43" i="7"/>
  <c r="BZ43" i="7"/>
  <c r="BY43" i="7"/>
  <c r="CN42" i="7"/>
  <c r="CM42" i="7"/>
  <c r="CL42" i="7"/>
  <c r="CK42" i="7"/>
  <c r="CJ42" i="7"/>
  <c r="CI42" i="7"/>
  <c r="CD42" i="7"/>
  <c r="CC42" i="7"/>
  <c r="CB42" i="7"/>
  <c r="CA42" i="7"/>
  <c r="BZ42" i="7"/>
  <c r="BY42" i="7"/>
  <c r="CN41" i="7"/>
  <c r="CM41" i="7"/>
  <c r="CL41" i="7"/>
  <c r="CK41" i="7"/>
  <c r="CJ41" i="7"/>
  <c r="CI41" i="7"/>
  <c r="CD41" i="7"/>
  <c r="CC41" i="7"/>
  <c r="CB41" i="7"/>
  <c r="CA41" i="7"/>
  <c r="BZ41" i="7"/>
  <c r="BY41" i="7"/>
  <c r="CN40" i="7"/>
  <c r="CM40" i="7"/>
  <c r="CL40" i="7"/>
  <c r="CK40" i="7"/>
  <c r="CJ40" i="7"/>
  <c r="CI40" i="7"/>
  <c r="CD40" i="7"/>
  <c r="CC40" i="7"/>
  <c r="CB40" i="7"/>
  <c r="CA40" i="7"/>
  <c r="BZ40" i="7"/>
  <c r="BY40" i="7"/>
  <c r="CN39" i="7"/>
  <c r="CM39" i="7"/>
  <c r="CL39" i="7"/>
  <c r="CK39" i="7"/>
  <c r="CJ39" i="7"/>
  <c r="CI39" i="7"/>
  <c r="CD39" i="7"/>
  <c r="CC39" i="7"/>
  <c r="CB39" i="7"/>
  <c r="CA39" i="7"/>
  <c r="BZ39" i="7"/>
  <c r="BY39" i="7"/>
  <c r="CN38" i="7"/>
  <c r="CM38" i="7"/>
  <c r="CL38" i="7"/>
  <c r="CK38" i="7"/>
  <c r="CJ38" i="7"/>
  <c r="CI38" i="7"/>
  <c r="CD38" i="7"/>
  <c r="CC38" i="7"/>
  <c r="CB38" i="7"/>
  <c r="CA38" i="7"/>
  <c r="BZ38" i="7"/>
  <c r="BY38" i="7"/>
  <c r="CN37" i="7"/>
  <c r="CM37" i="7"/>
  <c r="CL37" i="7"/>
  <c r="CK37" i="7"/>
  <c r="CJ37" i="7"/>
  <c r="CI37" i="7"/>
  <c r="CD37" i="7"/>
  <c r="CC37" i="7"/>
  <c r="CB37" i="7"/>
  <c r="CA37" i="7"/>
  <c r="BZ37" i="7"/>
  <c r="BY37" i="7"/>
  <c r="CN36" i="7"/>
  <c r="CM36" i="7"/>
  <c r="CL36" i="7"/>
  <c r="CK36" i="7"/>
  <c r="CJ36" i="7"/>
  <c r="CI36" i="7"/>
  <c r="CD36" i="7"/>
  <c r="CC36" i="7"/>
  <c r="CB36" i="7"/>
  <c r="CA36" i="7"/>
  <c r="BZ36" i="7"/>
  <c r="BY36" i="7"/>
  <c r="CN35" i="7"/>
  <c r="CM35" i="7"/>
  <c r="CL35" i="7"/>
  <c r="CK35" i="7"/>
  <c r="CJ35" i="7"/>
  <c r="CI35" i="7"/>
  <c r="CD35" i="7"/>
  <c r="CC35" i="7"/>
  <c r="CB35" i="7"/>
  <c r="CA35" i="7"/>
  <c r="BZ35" i="7"/>
  <c r="BY35" i="7"/>
  <c r="CN34" i="7"/>
  <c r="CM34" i="7"/>
  <c r="CL34" i="7"/>
  <c r="CK34" i="7"/>
  <c r="CJ34" i="7"/>
  <c r="CI34" i="7"/>
  <c r="CD34" i="7"/>
  <c r="CC34" i="7"/>
  <c r="CB34" i="7"/>
  <c r="CA34" i="7"/>
  <c r="BZ34" i="7"/>
  <c r="BY34" i="7"/>
  <c r="AH18" i="7"/>
  <c r="AE18" i="7"/>
  <c r="AB18" i="7"/>
  <c r="Y18" i="7"/>
  <c r="V18" i="7"/>
  <c r="S18" i="7"/>
  <c r="P18" i="7"/>
  <c r="M18" i="7"/>
  <c r="J18" i="7"/>
  <c r="G18" i="7"/>
  <c r="D18" i="7"/>
  <c r="AH17" i="7"/>
  <c r="AE17" i="7"/>
  <c r="AB17" i="7"/>
  <c r="Y17" i="7"/>
  <c r="V17" i="7"/>
  <c r="S17" i="7"/>
  <c r="P17" i="7"/>
  <c r="M17" i="7"/>
  <c r="J17" i="7"/>
  <c r="G17" i="7"/>
  <c r="D17" i="7"/>
  <c r="AH16" i="7"/>
  <c r="AE16" i="7"/>
  <c r="AB16" i="7"/>
  <c r="Y16" i="7"/>
  <c r="V16" i="7"/>
  <c r="S16" i="7"/>
  <c r="P16" i="7"/>
  <c r="M16" i="7"/>
  <c r="J16" i="7"/>
  <c r="G16" i="7"/>
  <c r="D16" i="7"/>
  <c r="AH15" i="7"/>
  <c r="AE15" i="7"/>
  <c r="AB15" i="7"/>
  <c r="Y15" i="7"/>
  <c r="V15" i="7"/>
  <c r="S15" i="7"/>
  <c r="P15" i="7"/>
  <c r="M15" i="7"/>
  <c r="J15" i="7"/>
  <c r="G15" i="7"/>
  <c r="D15" i="7"/>
  <c r="AH14" i="7"/>
  <c r="AE14" i="7"/>
  <c r="AB14" i="7"/>
  <c r="Y14" i="7"/>
  <c r="V14" i="7"/>
  <c r="S14" i="7"/>
  <c r="P14" i="7"/>
  <c r="M14" i="7"/>
  <c r="J14" i="7"/>
  <c r="G14" i="7"/>
  <c r="D14" i="7"/>
  <c r="AH13" i="7"/>
  <c r="AE13" i="7"/>
  <c r="AB13" i="7"/>
  <c r="Y13" i="7"/>
  <c r="V13" i="7"/>
  <c r="S13" i="7"/>
  <c r="P13" i="7"/>
  <c r="M13" i="7"/>
  <c r="J13" i="7"/>
  <c r="G13" i="7"/>
  <c r="D13" i="7"/>
  <c r="AH12" i="7"/>
  <c r="AE12" i="7"/>
  <c r="AB12" i="7"/>
  <c r="Y12" i="7"/>
  <c r="V12" i="7"/>
  <c r="S12" i="7"/>
  <c r="P12" i="7"/>
  <c r="M12" i="7"/>
  <c r="J12" i="7"/>
  <c r="G12" i="7"/>
  <c r="D12" i="7"/>
  <c r="AH11" i="7"/>
  <c r="AE11" i="7"/>
  <c r="AB11" i="7"/>
  <c r="Y11" i="7"/>
  <c r="V11" i="7"/>
  <c r="S11" i="7"/>
  <c r="P11" i="7"/>
  <c r="M11" i="7"/>
  <c r="J11" i="7"/>
  <c r="G11" i="7"/>
  <c r="D11" i="7"/>
  <c r="AH10" i="7"/>
  <c r="AE10" i="7"/>
  <c r="AB10" i="7"/>
  <c r="Y10" i="7"/>
  <c r="V10" i="7"/>
  <c r="S10" i="7"/>
  <c r="P10" i="7"/>
  <c r="M10" i="7"/>
  <c r="J10" i="7"/>
  <c r="G10" i="7"/>
  <c r="D10" i="7"/>
  <c r="AH9" i="7"/>
  <c r="AE9" i="7"/>
  <c r="AB9" i="7"/>
  <c r="Y9" i="7"/>
  <c r="V9" i="7"/>
  <c r="S9" i="7"/>
  <c r="P9" i="7"/>
  <c r="M9" i="7"/>
  <c r="J9" i="7"/>
  <c r="G9" i="7"/>
  <c r="D9" i="7"/>
  <c r="AH8" i="7"/>
  <c r="AE8" i="7"/>
  <c r="AB8" i="7"/>
  <c r="Y8" i="7"/>
  <c r="V8" i="7"/>
  <c r="S8" i="7"/>
  <c r="P8" i="7"/>
  <c r="M8" i="7"/>
  <c r="J8" i="7"/>
  <c r="G8" i="7"/>
  <c r="D8" i="7"/>
  <c r="AH7" i="7"/>
  <c r="AE7" i="7"/>
  <c r="AB7" i="7"/>
  <c r="Y7" i="7"/>
  <c r="V7" i="7"/>
  <c r="S7" i="7"/>
  <c r="P7" i="7"/>
  <c r="M7" i="7"/>
  <c r="J7" i="7"/>
  <c r="G7" i="7"/>
  <c r="D7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H6" i="7" l="1"/>
</calcChain>
</file>

<file path=xl/sharedStrings.xml><?xml version="1.0" encoding="utf-8"?>
<sst xmlns="http://schemas.openxmlformats.org/spreadsheetml/2006/main" count="131" uniqueCount="56">
  <si>
    <t>October</t>
  </si>
  <si>
    <t>Total</t>
  </si>
  <si>
    <t>މަސް</t>
  </si>
  <si>
    <t>ivcnwfua</t>
  </si>
  <si>
    <t>ivurwm</t>
  </si>
  <si>
    <t>ivurutia</t>
  </si>
  <si>
    <t>Month</t>
  </si>
  <si>
    <t>Births</t>
  </si>
  <si>
    <t>Deaths</t>
  </si>
  <si>
    <t>Natural Increase</t>
  </si>
  <si>
    <t>ޖުމްލަ</t>
  </si>
  <si>
    <t>January</t>
  </si>
  <si>
    <t>ޖެނުއަރީ</t>
  </si>
  <si>
    <t>February</t>
  </si>
  <si>
    <t>ފެބްރުއަރީ</t>
  </si>
  <si>
    <t>March</t>
  </si>
  <si>
    <t>މާޗް</t>
  </si>
  <si>
    <t>April</t>
  </si>
  <si>
    <t>އޭޕްރީލް</t>
  </si>
  <si>
    <t>Jan</t>
  </si>
  <si>
    <t>May</t>
  </si>
  <si>
    <t>މެއި</t>
  </si>
  <si>
    <t>Feb</t>
  </si>
  <si>
    <t>June</t>
  </si>
  <si>
    <t>ޖޫން</t>
  </si>
  <si>
    <t>Mar</t>
  </si>
  <si>
    <t>July</t>
  </si>
  <si>
    <t>ޖުލައި</t>
  </si>
  <si>
    <t>Apr</t>
  </si>
  <si>
    <t>August</t>
  </si>
  <si>
    <t>އޮގަސްޓް</t>
  </si>
  <si>
    <t>September</t>
  </si>
  <si>
    <t>ސެޕްޓެމްބަރ</t>
  </si>
  <si>
    <t>Jun</t>
  </si>
  <si>
    <t>އޮކްޓޯބަރ</t>
  </si>
  <si>
    <t>Jul</t>
  </si>
  <si>
    <t>November</t>
  </si>
  <si>
    <t>ނޮވެމްބަރ</t>
  </si>
  <si>
    <t>Aug</t>
  </si>
  <si>
    <t>December</t>
  </si>
  <si>
    <t>ޑިސެމްބަރ</t>
  </si>
  <si>
    <t>Sep</t>
  </si>
  <si>
    <t>Oct</t>
  </si>
  <si>
    <r>
      <rPr>
        <b/>
        <i/>
        <sz val="10"/>
        <rFont val="Calibri"/>
        <family val="2"/>
      </rPr>
      <t>Source:</t>
    </r>
    <r>
      <rPr>
        <i/>
        <sz val="10"/>
        <rFont val="Calibri"/>
        <family val="2"/>
      </rPr>
      <t xml:space="preserve"> Ministry of Health </t>
    </r>
  </si>
  <si>
    <t>Nov</t>
  </si>
  <si>
    <t>Dec</t>
  </si>
  <si>
    <t xml:space="preserve">Note: </t>
  </si>
  <si>
    <t xml:space="preserve">މަޢުލޫމާތު ދެއްވީ: މިނިސްޓްރީ އޮފް ހެލްތު </t>
  </si>
  <si>
    <t>ނޯޓް:</t>
  </si>
  <si>
    <r>
      <t>2021</t>
    </r>
    <r>
      <rPr>
        <b/>
        <vertAlign val="superscript"/>
        <sz val="11"/>
        <rFont val="Calibri"/>
        <family val="2"/>
      </rPr>
      <t>1_/</t>
    </r>
  </si>
  <si>
    <t>Table 3.7 :  MONTHLY RECORDS OF BIRTHS AND DEATHS, 2020 - 2021</t>
  </si>
  <si>
    <t>2021 - 2020 ,cniduk iaWncnuhImivurwm ,iaWncniduk ivcnwfua uhwmcswmikea : 3.7 ulwvWt</t>
  </si>
  <si>
    <r>
      <rPr>
        <sz val="1"/>
        <rFont val="Faruma"/>
      </rPr>
      <t>ނ</t>
    </r>
    <r>
      <rPr>
        <sz val="8"/>
        <rFont val="Faruma"/>
      </rPr>
      <t xml:space="preserve">2021 ވަނަ އަހަރުގެ މައުލޫމާތު ރިވައިޒުކުރަމުންދާތީވެ މިއަދަދުތަކަށް ބަދަލުއައުން އެކަށީގެންވެއެވެ. </t>
    </r>
  </si>
  <si>
    <t xml:space="preserve">އުފަންވި ކުދިންނާއި މަރުވި މީހުން / ކުދިންގެ ތެރޭގައި ރާއްޖޭގައި އުފަންވި އަދި މަރުވި ބިދޭސީން ހިމެނޭނެއެވެ. ނަމަވެސް ރާއްޖޭން ބޭރުގައި އުފަންވި / މަރުވި ދިވެހީން ނުހިމެނޭނެއެވެ. </t>
  </si>
  <si>
    <t xml:space="preserve">Data includes Maldivians and foreigners, but excluded birth &amp; deaths occurred abroad </t>
  </si>
  <si>
    <t xml:space="preserve">        1_/: 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</si>
</sst>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name val="Faruma"/>
    </font>
    <font>
      <b/>
      <sz val="9"/>
      <name val="A_Randhoo"/>
    </font>
    <font>
      <sz val="9"/>
      <name val="Arial"/>
      <family val="2"/>
    </font>
    <font>
      <sz val="1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charset val="1"/>
      <scheme val="minor"/>
    </font>
    <font>
      <b/>
      <sz val="9"/>
      <name val="Calibri"/>
      <family val="2"/>
    </font>
    <font>
      <sz val="9"/>
      <name val="Calibri"/>
      <family val="2"/>
    </font>
    <font>
      <sz val="11"/>
      <name val="Faruma"/>
    </font>
    <font>
      <sz val="10"/>
      <color indexed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sz val="10"/>
      <name val="Faruma"/>
    </font>
    <font>
      <sz val="10"/>
      <name val="Calibri"/>
      <family val="2"/>
      <scheme val="minor"/>
    </font>
    <font>
      <sz val="8"/>
      <name val="Faruma"/>
    </font>
    <font>
      <i/>
      <sz val="10"/>
      <color indexed="8"/>
      <name val="Calibri"/>
      <family val="2"/>
    </font>
    <font>
      <sz val="10"/>
      <name val="A_Faseyha"/>
    </font>
    <font>
      <b/>
      <sz val="11"/>
      <name val="A_Faseyha"/>
    </font>
    <font>
      <b/>
      <sz val="12"/>
      <name val="A_Faseyha"/>
    </font>
    <font>
      <b/>
      <vertAlign val="superscript"/>
      <sz val="11"/>
      <name val="Calibri"/>
      <family val="2"/>
    </font>
    <font>
      <i/>
      <sz val="11"/>
      <name val="Calibri"/>
      <family val="2"/>
    </font>
    <font>
      <sz val="1"/>
      <name val="Faru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11" fillId="0" borderId="0"/>
    <xf numFmtId="0" fontId="11" fillId="0" borderId="0"/>
    <xf numFmtId="166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79">
    <xf numFmtId="0" fontId="0" fillId="0" borderId="0" xfId="0"/>
    <xf numFmtId="167" fontId="2" fillId="2" borderId="0" xfId="11" applyFill="1"/>
    <xf numFmtId="167" fontId="2" fillId="3" borderId="0" xfId="11" applyFill="1"/>
    <xf numFmtId="167" fontId="2" fillId="3" borderId="0" xfId="11" applyFill="1" applyAlignment="1">
      <alignment horizontal="right"/>
    </xf>
    <xf numFmtId="167" fontId="5" fillId="2" borderId="0" xfId="11" applyFont="1" applyFill="1" applyAlignment="1" applyProtection="1">
      <alignment horizontal="left" vertical="center"/>
      <protection hidden="1"/>
    </xf>
    <xf numFmtId="167" fontId="5" fillId="2" borderId="2" xfId="11" applyFont="1" applyFill="1" applyBorder="1" applyAlignment="1" applyProtection="1">
      <alignment horizontal="center" vertical="center"/>
      <protection hidden="1"/>
    </xf>
    <xf numFmtId="167" fontId="14" fillId="2" borderId="0" xfId="11" applyFont="1" applyFill="1"/>
    <xf numFmtId="167" fontId="14" fillId="3" borderId="0" xfId="11" applyFont="1" applyFill="1"/>
    <xf numFmtId="167" fontId="14" fillId="3" borderId="0" xfId="11" applyFont="1" applyFill="1" applyAlignment="1">
      <alignment horizontal="right"/>
    </xf>
    <xf numFmtId="167" fontId="5" fillId="2" borderId="1" xfId="11" applyFont="1" applyFill="1" applyBorder="1" applyAlignment="1" applyProtection="1">
      <alignment horizontal="left" vertical="center"/>
      <protection hidden="1"/>
    </xf>
    <xf numFmtId="167" fontId="5" fillId="2" borderId="4" xfId="11" applyFont="1" applyFill="1" applyBorder="1" applyAlignment="1" applyProtection="1">
      <alignment horizontal="right"/>
      <protection hidden="1"/>
    </xf>
    <xf numFmtId="167" fontId="5" fillId="2" borderId="1" xfId="11" applyFont="1" applyFill="1" applyBorder="1" applyAlignment="1" applyProtection="1">
      <alignment horizontal="right"/>
      <protection hidden="1"/>
    </xf>
    <xf numFmtId="167" fontId="5" fillId="2" borderId="9" xfId="11" applyFont="1" applyFill="1" applyBorder="1" applyAlignment="1" applyProtection="1">
      <alignment horizontal="right" wrapText="1"/>
      <protection hidden="1"/>
    </xf>
    <xf numFmtId="167" fontId="5" fillId="2" borderId="1" xfId="11" applyFont="1" applyFill="1" applyBorder="1" applyAlignment="1" applyProtection="1">
      <alignment horizontal="right" wrapText="1"/>
      <protection hidden="1"/>
    </xf>
    <xf numFmtId="3" fontId="5" fillId="2" borderId="3" xfId="0" applyNumberFormat="1" applyFont="1" applyFill="1" applyBorder="1" applyAlignment="1" applyProtection="1">
      <alignment vertical="center"/>
      <protection hidden="1"/>
    </xf>
    <xf numFmtId="3" fontId="5" fillId="2" borderId="0" xfId="0" applyNumberFormat="1" applyFont="1" applyFill="1" applyAlignment="1" applyProtection="1">
      <alignment vertical="center"/>
      <protection hidden="1"/>
    </xf>
    <xf numFmtId="3" fontId="5" fillId="2" borderId="6" xfId="0" applyNumberFormat="1" applyFont="1" applyFill="1" applyBorder="1" applyAlignment="1" applyProtection="1">
      <alignment vertical="center"/>
      <protection hidden="1"/>
    </xf>
    <xf numFmtId="3" fontId="5" fillId="2" borderId="10" xfId="0" applyNumberFormat="1" applyFont="1" applyFill="1" applyBorder="1" applyAlignment="1" applyProtection="1">
      <alignment vertical="center"/>
      <protection hidden="1"/>
    </xf>
    <xf numFmtId="167" fontId="6" fillId="2" borderId="0" xfId="11" applyFont="1" applyFill="1"/>
    <xf numFmtId="167" fontId="9" fillId="2" borderId="0" xfId="11" applyFont="1" applyFill="1" applyAlignment="1" applyProtection="1">
      <alignment horizontal="left" vertical="center" indent="1"/>
      <protection hidden="1"/>
    </xf>
    <xf numFmtId="3" fontId="9" fillId="2" borderId="3" xfId="0" applyNumberFormat="1" applyFont="1" applyFill="1" applyBorder="1" applyAlignment="1" applyProtection="1">
      <alignment vertical="center"/>
      <protection hidden="1"/>
    </xf>
    <xf numFmtId="3" fontId="9" fillId="2" borderId="0" xfId="0" applyNumberFormat="1" applyFont="1" applyFill="1" applyAlignment="1" applyProtection="1">
      <alignment vertical="center"/>
      <protection hidden="1"/>
    </xf>
    <xf numFmtId="3" fontId="9" fillId="2" borderId="6" xfId="0" applyNumberFormat="1" applyFont="1" applyFill="1" applyBorder="1" applyAlignment="1" applyProtection="1">
      <alignment vertical="center"/>
      <protection hidden="1"/>
    </xf>
    <xf numFmtId="167" fontId="18" fillId="2" borderId="0" xfId="10" applyFont="1" applyFill="1" applyAlignment="1" applyProtection="1">
      <alignment horizontal="right" vertical="center" indent="1"/>
      <protection hidden="1"/>
    </xf>
    <xf numFmtId="167" fontId="19" fillId="3" borderId="0" xfId="11" applyFont="1" applyFill="1" applyAlignment="1">
      <alignment horizontal="right"/>
    </xf>
    <xf numFmtId="167" fontId="2" fillId="3" borderId="11" xfId="11" applyFill="1" applyBorder="1" applyAlignment="1">
      <alignment horizontal="center" vertical="center"/>
    </xf>
    <xf numFmtId="167" fontId="14" fillId="3" borderId="11" xfId="11" applyFont="1" applyFill="1" applyBorder="1" applyAlignment="1" applyProtection="1">
      <alignment horizontal="center" vertical="center"/>
      <protection hidden="1"/>
    </xf>
    <xf numFmtId="3" fontId="14" fillId="3" borderId="11" xfId="0" applyNumberFormat="1" applyFont="1" applyFill="1" applyBorder="1" applyAlignment="1" applyProtection="1">
      <alignment horizontal="center" vertical="center"/>
      <protection hidden="1"/>
    </xf>
    <xf numFmtId="167" fontId="9" fillId="2" borderId="1" xfId="11" applyFont="1" applyFill="1" applyBorder="1" applyAlignment="1" applyProtection="1">
      <alignment horizontal="left" vertical="center" indent="1"/>
      <protection hidden="1"/>
    </xf>
    <xf numFmtId="3" fontId="9" fillId="2" borderId="4" xfId="0" applyNumberFormat="1" applyFont="1" applyFill="1" applyBorder="1" applyAlignment="1" applyProtection="1">
      <alignment vertical="center"/>
      <protection hidden="1"/>
    </xf>
    <xf numFmtId="3" fontId="9" fillId="2" borderId="1" xfId="0" applyNumberFormat="1" applyFont="1" applyFill="1" applyBorder="1" applyAlignment="1" applyProtection="1">
      <alignment vertical="center"/>
      <protection hidden="1"/>
    </xf>
    <xf numFmtId="3" fontId="9" fillId="2" borderId="9" xfId="0" applyNumberFormat="1" applyFont="1" applyFill="1" applyBorder="1" applyAlignment="1" applyProtection="1">
      <alignment vertical="center"/>
      <protection hidden="1"/>
    </xf>
    <xf numFmtId="167" fontId="18" fillId="2" borderId="1" xfId="10" applyFont="1" applyFill="1" applyBorder="1" applyAlignment="1" applyProtection="1">
      <alignment horizontal="right" vertical="center" indent="1"/>
      <protection hidden="1"/>
    </xf>
    <xf numFmtId="167" fontId="12" fillId="2" borderId="0" xfId="0" applyNumberFormat="1" applyFont="1" applyFill="1" applyAlignment="1">
      <alignment horizontal="left" vertical="center"/>
    </xf>
    <xf numFmtId="167" fontId="2" fillId="2" borderId="0" xfId="11" applyFill="1" applyAlignment="1">
      <alignment horizontal="center" vertical="center"/>
    </xf>
    <xf numFmtId="167" fontId="22" fillId="2" borderId="0" xfId="11" applyFont="1" applyFill="1"/>
    <xf numFmtId="3" fontId="8" fillId="2" borderId="0" xfId="10" applyNumberFormat="1" applyFont="1" applyFill="1" applyAlignment="1" applyProtection="1">
      <alignment vertical="center"/>
      <protection hidden="1"/>
    </xf>
    <xf numFmtId="3" fontId="8" fillId="2" borderId="0" xfId="0" applyNumberFormat="1" applyFont="1" applyFill="1" applyAlignment="1" applyProtection="1">
      <alignment vertical="center"/>
      <protection hidden="1"/>
    </xf>
    <xf numFmtId="167" fontId="16" fillId="2" borderId="0" xfId="11" applyFont="1" applyFill="1" applyAlignment="1" applyProtection="1">
      <alignment horizontal="left" vertical="center"/>
      <protection hidden="1"/>
    </xf>
    <xf numFmtId="3" fontId="16" fillId="2" borderId="0" xfId="0" applyNumberFormat="1" applyFont="1" applyFill="1" applyAlignment="1" applyProtection="1">
      <alignment vertical="center"/>
      <protection hidden="1"/>
    </xf>
    <xf numFmtId="3" fontId="16" fillId="3" borderId="0" xfId="0" applyNumberFormat="1" applyFont="1" applyFill="1" applyAlignment="1" applyProtection="1">
      <alignment vertical="center"/>
      <protection hidden="1"/>
    </xf>
    <xf numFmtId="167" fontId="20" fillId="2" borderId="0" xfId="11" applyFont="1" applyFill="1" applyAlignment="1">
      <alignment horizontal="center" vertical="center"/>
    </xf>
    <xf numFmtId="167" fontId="17" fillId="2" borderId="0" xfId="11" applyFont="1" applyFill="1" applyAlignment="1" applyProtection="1">
      <alignment horizontal="left" vertical="center"/>
      <protection hidden="1"/>
    </xf>
    <xf numFmtId="167" fontId="20" fillId="3" borderId="0" xfId="11" applyFont="1" applyFill="1" applyAlignment="1">
      <alignment horizontal="center" vertical="center"/>
    </xf>
    <xf numFmtId="167" fontId="13" fillId="2" borderId="0" xfId="11" applyFont="1" applyFill="1" applyAlignment="1" applyProtection="1">
      <alignment horizontal="center" vertical="center"/>
      <protection hidden="1"/>
    </xf>
    <xf numFmtId="167" fontId="7" fillId="2" borderId="0" xfId="10" applyFont="1" applyFill="1" applyAlignment="1" applyProtection="1">
      <alignment horizontal="right" vertical="center"/>
      <protection hidden="1"/>
    </xf>
    <xf numFmtId="167" fontId="16" fillId="2" borderId="0" xfId="11" applyFont="1" applyFill="1" applyAlignment="1" applyProtection="1">
      <alignment horizontal="right"/>
      <protection hidden="1"/>
    </xf>
    <xf numFmtId="167" fontId="16" fillId="2" borderId="0" xfId="11" applyFont="1" applyFill="1" applyAlignment="1" applyProtection="1">
      <alignment horizontal="right" wrapText="1"/>
      <protection hidden="1"/>
    </xf>
    <xf numFmtId="3" fontId="17" fillId="2" borderId="0" xfId="0" applyNumberFormat="1" applyFont="1" applyFill="1" applyAlignment="1" applyProtection="1">
      <alignment vertical="center"/>
      <protection hidden="1"/>
    </xf>
    <xf numFmtId="167" fontId="16" fillId="3" borderId="0" xfId="11" applyFont="1" applyFill="1" applyAlignment="1" applyProtection="1">
      <alignment horizontal="right" vertical="center"/>
      <protection hidden="1"/>
    </xf>
    <xf numFmtId="167" fontId="17" fillId="3" borderId="0" xfId="11" applyFont="1" applyFill="1" applyAlignment="1" applyProtection="1">
      <alignment horizontal="right" vertical="center"/>
      <protection hidden="1"/>
    </xf>
    <xf numFmtId="167" fontId="27" fillId="2" borderId="0" xfId="11" applyFont="1" applyFill="1" applyAlignment="1" applyProtection="1">
      <alignment horizontal="left" vertical="center"/>
      <protection hidden="1"/>
    </xf>
    <xf numFmtId="167" fontId="27" fillId="2" borderId="3" xfId="10" applyFont="1" applyFill="1" applyBorder="1" applyAlignment="1" applyProtection="1">
      <alignment horizontal="right" vertical="center"/>
      <protection hidden="1"/>
    </xf>
    <xf numFmtId="167" fontId="27" fillId="2" borderId="0" xfId="10" applyFont="1" applyFill="1" applyAlignment="1" applyProtection="1">
      <alignment horizontal="right" vertical="center"/>
      <protection hidden="1"/>
    </xf>
    <xf numFmtId="167" fontId="27" fillId="2" borderId="6" xfId="10" applyFont="1" applyFill="1" applyBorder="1" applyAlignment="1" applyProtection="1">
      <alignment horizontal="right" vertical="center"/>
      <protection hidden="1"/>
    </xf>
    <xf numFmtId="167" fontId="26" fillId="2" borderId="0" xfId="11" applyFont="1" applyFill="1"/>
    <xf numFmtId="167" fontId="26" fillId="3" borderId="0" xfId="11" applyFont="1" applyFill="1"/>
    <xf numFmtId="167" fontId="26" fillId="3" borderId="0" xfId="11" applyFont="1" applyFill="1" applyAlignment="1">
      <alignment horizontal="right"/>
    </xf>
    <xf numFmtId="167" fontId="30" fillId="2" borderId="0" xfId="11" applyFont="1" applyFill="1" applyAlignment="1" applyProtection="1">
      <alignment vertical="center"/>
      <protection hidden="1"/>
    </xf>
    <xf numFmtId="3" fontId="9" fillId="3" borderId="0" xfId="0" applyNumberFormat="1" applyFont="1" applyFill="1" applyAlignment="1" applyProtection="1">
      <alignment vertical="center"/>
      <protection hidden="1"/>
    </xf>
    <xf numFmtId="167" fontId="2" fillId="2" borderId="1" xfId="11" applyFill="1" applyBorder="1"/>
    <xf numFmtId="167" fontId="23" fillId="2" borderId="0" xfId="11" applyFont="1" applyFill="1" applyAlignment="1">
      <alignment vertical="center"/>
    </xf>
    <xf numFmtId="0" fontId="0" fillId="3" borderId="4" xfId="0" applyFill="1" applyBorder="1"/>
    <xf numFmtId="0" fontId="0" fillId="3" borderId="3" xfId="0" applyFill="1" applyBorder="1"/>
    <xf numFmtId="167" fontId="10" fillId="2" borderId="0" xfId="11" applyFont="1" applyFill="1" applyAlignment="1" applyProtection="1">
      <alignment vertical="center"/>
      <protection hidden="1"/>
    </xf>
    <xf numFmtId="167" fontId="24" fillId="2" borderId="0" xfId="10" applyFont="1" applyFill="1" applyAlignment="1" applyProtection="1">
      <alignment horizontal="right" vertical="center" indent="1"/>
      <protection hidden="1"/>
    </xf>
    <xf numFmtId="167" fontId="2" fillId="2" borderId="0" xfId="11" applyFill="1" applyAlignment="1">
      <alignment vertical="center"/>
    </xf>
    <xf numFmtId="167" fontId="24" fillId="2" borderId="0" xfId="10" applyFont="1" applyFill="1" applyAlignment="1" applyProtection="1">
      <alignment horizontal="right" vertical="center"/>
      <protection hidden="1"/>
    </xf>
    <xf numFmtId="167" fontId="24" fillId="2" borderId="0" xfId="10" applyFont="1" applyFill="1" applyAlignment="1" applyProtection="1">
      <alignment horizontal="right" vertical="center" wrapText="1"/>
      <protection hidden="1"/>
    </xf>
    <xf numFmtId="167" fontId="25" fillId="3" borderId="0" xfId="0" applyNumberFormat="1" applyFont="1" applyFill="1" applyAlignment="1">
      <alignment horizontal="left" vertical="center" wrapText="1" indent="2"/>
    </xf>
    <xf numFmtId="167" fontId="5" fillId="2" borderId="7" xfId="11" applyFont="1" applyFill="1" applyBorder="1" applyAlignment="1" applyProtection="1">
      <alignment horizontal="center" vertical="center"/>
      <protection hidden="1"/>
    </xf>
    <xf numFmtId="167" fontId="5" fillId="2" borderId="5" xfId="11" applyFont="1" applyFill="1" applyBorder="1" applyAlignment="1" applyProtection="1">
      <alignment horizontal="center" vertical="center"/>
      <protection hidden="1"/>
    </xf>
    <xf numFmtId="167" fontId="6" fillId="2" borderId="2" xfId="11" applyFont="1" applyFill="1" applyBorder="1" applyAlignment="1">
      <alignment horizontal="center" vertical="center"/>
    </xf>
    <xf numFmtId="167" fontId="6" fillId="2" borderId="0" xfId="11" applyFont="1" applyFill="1" applyAlignment="1">
      <alignment horizontal="center" vertical="center"/>
    </xf>
    <xf numFmtId="167" fontId="6" fillId="2" borderId="1" xfId="11" applyFont="1" applyFill="1" applyBorder="1" applyAlignment="1">
      <alignment horizontal="center" vertical="center"/>
    </xf>
    <xf numFmtId="167" fontId="13" fillId="2" borderId="0" xfId="11" applyFont="1" applyFill="1" applyAlignment="1" applyProtection="1">
      <alignment horizontal="center" vertical="center"/>
      <protection hidden="1"/>
    </xf>
    <xf numFmtId="167" fontId="28" fillId="2" borderId="0" xfId="10" applyFont="1" applyFill="1" applyAlignment="1" applyProtection="1">
      <alignment horizontal="center"/>
      <protection hidden="1"/>
    </xf>
    <xf numFmtId="167" fontId="4" fillId="2" borderId="1" xfId="11" applyFont="1" applyFill="1" applyBorder="1" applyAlignment="1" applyProtection="1">
      <alignment horizontal="center" vertical="center"/>
      <protection hidden="1"/>
    </xf>
    <xf numFmtId="167" fontId="5" fillId="2" borderId="8" xfId="11" applyFont="1" applyFill="1" applyBorder="1" applyAlignment="1" applyProtection="1">
      <alignment horizontal="center" vertical="center"/>
      <protection hidden="1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5" xr:uid="{00000000-0005-0000-0000-000004000000}"/>
    <cellStyle name="Comma 3 2" xfId="16" xr:uid="{00000000-0005-0000-0000-000005000000}"/>
    <cellStyle name="Comma 3 3" xfId="24" xr:uid="{00000000-0005-0000-0000-000006000000}"/>
    <cellStyle name="Comma 4" xfId="3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0" xr:uid="{00000000-0005-0000-0000-000010000000}"/>
    <cellStyle name="Normal 20" xfId="2" xr:uid="{00000000-0005-0000-0000-000011000000}"/>
    <cellStyle name="Normal 20 2" xfId="18" xr:uid="{00000000-0005-0000-0000-000012000000}"/>
    <cellStyle name="Normal 3" xfId="12" xr:uid="{00000000-0005-0000-0000-000013000000}"/>
    <cellStyle name="Normal 32" xfId="7" xr:uid="{00000000-0005-0000-0000-000014000000}"/>
    <cellStyle name="Normal 32 2" xfId="21" xr:uid="{00000000-0005-0000-0000-000015000000}"/>
    <cellStyle name="Normal 4" xfId="10" xr:uid="{00000000-0005-0000-0000-000016000000}"/>
    <cellStyle name="Normal 44" xfId="8" xr:uid="{00000000-0005-0000-0000-000017000000}"/>
    <cellStyle name="Normal 44 2" xfId="22" xr:uid="{00000000-0005-0000-0000-000018000000}"/>
    <cellStyle name="Normal 48" xfId="9" xr:uid="{00000000-0005-0000-0000-000019000000}"/>
    <cellStyle name="Normal 5" xfId="1" xr:uid="{00000000-0005-0000-0000-00001A000000}"/>
    <cellStyle name="Normal 5 2" xfId="17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3.10: Monthly records of Births, 201</a:t>
            </a:r>
            <a:r>
              <a:rPr lang="dv-MV" sz="900"/>
              <a:t>9</a:t>
            </a:r>
            <a:r>
              <a:rPr lang="en-US" sz="900" baseline="0"/>
              <a:t> - 202</a:t>
            </a:r>
            <a:r>
              <a:rPr lang="dv-MV" sz="900" baseline="0"/>
              <a:t>1</a:t>
            </a:r>
            <a:endParaRPr lang="en-US" sz="900"/>
          </a:p>
        </c:rich>
      </c:tx>
      <c:layout>
        <c:manualLayout>
          <c:xMode val="edge"/>
          <c:yMode val="edge"/>
          <c:x val="0.16206539724795158"/>
          <c:y val="6.17602533967077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522054928033847E-2"/>
          <c:y val="0.16301834440955423"/>
          <c:w val="0.89385276763362975"/>
          <c:h val="0.7286380701469762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'3.7'!$CL$33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B9FFFF"/>
            </a:solidFill>
          </c:spPr>
          <c:invertIfNegative val="0"/>
          <c:cat>
            <c:strRef>
              <c:f>'3.7'!$CG$34:$CG$45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'3.7'!$CL$34:$CL$45</c:f>
              <c:numCache>
                <c:formatCode>#,##0</c:formatCode>
                <c:ptCount val="12"/>
                <c:pt idx="0">
                  <c:v>526</c:v>
                </c:pt>
                <c:pt idx="1">
                  <c:v>449</c:v>
                </c:pt>
                <c:pt idx="2">
                  <c:v>539</c:v>
                </c:pt>
                <c:pt idx="3">
                  <c:v>477</c:v>
                </c:pt>
                <c:pt idx="4">
                  <c:v>604</c:v>
                </c:pt>
                <c:pt idx="5">
                  <c:v>499</c:v>
                </c:pt>
                <c:pt idx="6">
                  <c:v>491</c:v>
                </c:pt>
                <c:pt idx="7">
                  <c:v>511</c:v>
                </c:pt>
                <c:pt idx="8">
                  <c:v>513</c:v>
                </c:pt>
                <c:pt idx="9">
                  <c:v>525</c:v>
                </c:pt>
                <c:pt idx="10">
                  <c:v>474</c:v>
                </c:pt>
                <c:pt idx="11">
                  <c:v>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9-4AD9-A03A-8EB1BCB781E9}"/>
            </c:ext>
          </c:extLst>
        </c:ser>
        <c:ser>
          <c:idx val="2"/>
          <c:order val="1"/>
          <c:tx>
            <c:strRef>
              <c:f>'3.7'!$CM$33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'3.7'!$CG$34:$CG$45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'3.7'!$CM$34:$CM$45</c:f>
              <c:numCache>
                <c:formatCode>#,##0</c:formatCode>
                <c:ptCount val="12"/>
                <c:pt idx="0">
                  <c:v>540</c:v>
                </c:pt>
                <c:pt idx="1">
                  <c:v>548</c:v>
                </c:pt>
                <c:pt idx="2">
                  <c:v>485</c:v>
                </c:pt>
                <c:pt idx="3">
                  <c:v>541</c:v>
                </c:pt>
                <c:pt idx="4">
                  <c:v>492</c:v>
                </c:pt>
                <c:pt idx="5">
                  <c:v>462</c:v>
                </c:pt>
                <c:pt idx="6">
                  <c:v>522</c:v>
                </c:pt>
                <c:pt idx="7">
                  <c:v>508</c:v>
                </c:pt>
                <c:pt idx="8">
                  <c:v>573</c:v>
                </c:pt>
                <c:pt idx="9">
                  <c:v>514</c:v>
                </c:pt>
                <c:pt idx="10">
                  <c:v>540</c:v>
                </c:pt>
                <c:pt idx="11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69-4AD9-A03A-8EB1BCB781E9}"/>
            </c:ext>
          </c:extLst>
        </c:ser>
        <c:ser>
          <c:idx val="0"/>
          <c:order val="2"/>
          <c:tx>
            <c:strRef>
              <c:f>'3.7'!$CN$33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f>'3.7'!$CG$34:$CG$45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'3.7'!$CN$34:$CN$45</c:f>
              <c:numCache>
                <c:formatCode>#,##0</c:formatCode>
                <c:ptCount val="12"/>
                <c:pt idx="0">
                  <c:v>444</c:v>
                </c:pt>
                <c:pt idx="1">
                  <c:v>423</c:v>
                </c:pt>
                <c:pt idx="2">
                  <c:v>545</c:v>
                </c:pt>
                <c:pt idx="3">
                  <c:v>534</c:v>
                </c:pt>
                <c:pt idx="4">
                  <c:v>516</c:v>
                </c:pt>
                <c:pt idx="5">
                  <c:v>482</c:v>
                </c:pt>
                <c:pt idx="6">
                  <c:v>507</c:v>
                </c:pt>
                <c:pt idx="7">
                  <c:v>543</c:v>
                </c:pt>
                <c:pt idx="8">
                  <c:v>502</c:v>
                </c:pt>
                <c:pt idx="9">
                  <c:v>524</c:v>
                </c:pt>
                <c:pt idx="10">
                  <c:v>448</c:v>
                </c:pt>
                <c:pt idx="11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6F-47A9-88F1-372C9EC8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2"/>
        <c:axId val="496720048"/>
        <c:axId val="496718480"/>
      </c:barChart>
      <c:catAx>
        <c:axId val="496720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8480"/>
        <c:crosses val="autoZero"/>
        <c:auto val="1"/>
        <c:lblAlgn val="ctr"/>
        <c:lblOffset val="100"/>
        <c:noMultiLvlLbl val="0"/>
      </c:catAx>
      <c:valAx>
        <c:axId val="496718480"/>
        <c:scaling>
          <c:orientation val="minMax"/>
          <c:max val="65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800"/>
                  <a:t>in numbers</a:t>
                </a:r>
              </a:p>
            </c:rich>
          </c:tx>
          <c:layout>
            <c:manualLayout>
              <c:xMode val="edge"/>
              <c:yMode val="edge"/>
              <c:x val="3.909911877348151E-3"/>
              <c:y val="0.3162886218170097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048"/>
        <c:crosses val="autoZero"/>
        <c:crossBetween val="between"/>
        <c:majorUnit val="150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0236538248624091"/>
          <c:y val="0.177811186929691"/>
          <c:w val="0.28342743126040038"/>
          <c:h val="7.5629366865978584E-2"/>
        </c:manualLayout>
      </c:layout>
      <c:overlay val="0"/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 sz="900"/>
              <a:t>Figure 3.11: Monthly records of Deaths, 201</a:t>
            </a:r>
            <a:r>
              <a:rPr lang="dv-MV" sz="900"/>
              <a:t>9</a:t>
            </a:r>
            <a:r>
              <a:rPr lang="en-US" sz="900"/>
              <a:t>-202</a:t>
            </a:r>
            <a:r>
              <a:rPr lang="dv-MV" sz="900"/>
              <a:t>1</a:t>
            </a:r>
            <a:endParaRPr lang="en-US" sz="900"/>
          </a:p>
        </c:rich>
      </c:tx>
      <c:layout>
        <c:manualLayout>
          <c:xMode val="edge"/>
          <c:yMode val="edge"/>
          <c:x val="0.2373150135465415"/>
          <c:y val="4.598660410285389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29871987059981E-2"/>
          <c:y val="0.17302976344478774"/>
          <c:w val="0.87732294567058045"/>
          <c:h val="0.6916192941971069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'3.7'!$CB$33</c:f>
              <c:strCache>
                <c:ptCount val="1"/>
                <c:pt idx="0">
                  <c:v>2019 </c:v>
                </c:pt>
              </c:strCache>
            </c:strRef>
          </c:tx>
          <c:spPr>
            <a:solidFill>
              <a:srgbClr val="B9FFFF"/>
            </a:solidFill>
          </c:spPr>
          <c:invertIfNegative val="0"/>
          <c:cat>
            <c:strRef>
              <c:f>'3.7'!$BW$34:$BW$45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'3.7'!$CB$34:$CB$45</c:f>
              <c:numCache>
                <c:formatCode>#,##0</c:formatCode>
                <c:ptCount val="12"/>
                <c:pt idx="0">
                  <c:v>110</c:v>
                </c:pt>
                <c:pt idx="1">
                  <c:v>78</c:v>
                </c:pt>
                <c:pt idx="2">
                  <c:v>101</c:v>
                </c:pt>
                <c:pt idx="3">
                  <c:v>87</c:v>
                </c:pt>
                <c:pt idx="4">
                  <c:v>89</c:v>
                </c:pt>
                <c:pt idx="5">
                  <c:v>80</c:v>
                </c:pt>
                <c:pt idx="6">
                  <c:v>98</c:v>
                </c:pt>
                <c:pt idx="7">
                  <c:v>85</c:v>
                </c:pt>
                <c:pt idx="8">
                  <c:v>78</c:v>
                </c:pt>
                <c:pt idx="9">
                  <c:v>91</c:v>
                </c:pt>
                <c:pt idx="10">
                  <c:v>86</c:v>
                </c:pt>
                <c:pt idx="1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F-41DA-8E2D-3D3D3C463BCE}"/>
            </c:ext>
          </c:extLst>
        </c:ser>
        <c:ser>
          <c:idx val="2"/>
          <c:order val="1"/>
          <c:tx>
            <c:strRef>
              <c:f>'3.7'!$CC$33</c:f>
              <c:strCache>
                <c:ptCount val="1"/>
                <c:pt idx="0">
                  <c:v>2020 </c:v>
                </c:pt>
              </c:strCache>
            </c:strRef>
          </c:tx>
          <c:spPr>
            <a:solidFill>
              <a:srgbClr val="00DFDA"/>
            </a:solidFill>
          </c:spPr>
          <c:invertIfNegative val="0"/>
          <c:cat>
            <c:strRef>
              <c:f>'3.7'!$BW$34:$BW$45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'3.7'!$CC$34:$CC$45</c:f>
              <c:numCache>
                <c:formatCode>#,##0</c:formatCode>
                <c:ptCount val="12"/>
                <c:pt idx="0">
                  <c:v>114</c:v>
                </c:pt>
                <c:pt idx="1">
                  <c:v>96</c:v>
                </c:pt>
                <c:pt idx="2">
                  <c:v>109</c:v>
                </c:pt>
                <c:pt idx="3">
                  <c:v>91</c:v>
                </c:pt>
                <c:pt idx="4">
                  <c:v>109</c:v>
                </c:pt>
                <c:pt idx="5">
                  <c:v>91</c:v>
                </c:pt>
                <c:pt idx="6">
                  <c:v>115</c:v>
                </c:pt>
                <c:pt idx="7">
                  <c:v>129</c:v>
                </c:pt>
                <c:pt idx="8">
                  <c:v>112</c:v>
                </c:pt>
                <c:pt idx="9">
                  <c:v>103</c:v>
                </c:pt>
                <c:pt idx="10">
                  <c:v>110</c:v>
                </c:pt>
                <c:pt idx="1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F-41DA-8E2D-3D3D3C463BCE}"/>
            </c:ext>
          </c:extLst>
        </c:ser>
        <c:ser>
          <c:idx val="0"/>
          <c:order val="2"/>
          <c:tx>
            <c:strRef>
              <c:f>'3.7'!$CD$33</c:f>
              <c:strCache>
                <c:ptCount val="1"/>
                <c:pt idx="0">
                  <c:v>2021 </c:v>
                </c:pt>
              </c:strCache>
            </c:strRef>
          </c:tx>
          <c:spPr>
            <a:solidFill>
              <a:srgbClr val="009999"/>
            </a:solidFill>
          </c:spPr>
          <c:invertIfNegative val="0"/>
          <c:cat>
            <c:strRef>
              <c:f>'3.7'!$BW$34:$BW$45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'3.7'!$CD$34:$CD$45</c:f>
              <c:numCache>
                <c:formatCode>#,##0</c:formatCode>
                <c:ptCount val="12"/>
                <c:pt idx="0">
                  <c:v>98</c:v>
                </c:pt>
                <c:pt idx="1">
                  <c:v>102</c:v>
                </c:pt>
                <c:pt idx="2">
                  <c:v>104</c:v>
                </c:pt>
                <c:pt idx="3">
                  <c:v>129</c:v>
                </c:pt>
                <c:pt idx="4">
                  <c:v>186</c:v>
                </c:pt>
                <c:pt idx="5">
                  <c:v>178</c:v>
                </c:pt>
                <c:pt idx="6">
                  <c:v>115</c:v>
                </c:pt>
                <c:pt idx="7">
                  <c:v>106</c:v>
                </c:pt>
                <c:pt idx="8">
                  <c:v>114</c:v>
                </c:pt>
                <c:pt idx="9">
                  <c:v>149</c:v>
                </c:pt>
                <c:pt idx="10">
                  <c:v>116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C-4120-AF80-56536D1C9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2"/>
        <c:axId val="496719264"/>
        <c:axId val="496721224"/>
      </c:barChart>
      <c:catAx>
        <c:axId val="49671926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/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1224"/>
        <c:crosses val="autoZero"/>
        <c:auto val="1"/>
        <c:lblAlgn val="ctr"/>
        <c:lblOffset val="100"/>
        <c:noMultiLvlLbl val="0"/>
      </c:catAx>
      <c:valAx>
        <c:axId val="496721224"/>
        <c:scaling>
          <c:orientation val="minMax"/>
          <c:max val="20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4.1990220440386748E-3"/>
              <c:y val="0.37841122965082363"/>
            </c:manualLayout>
          </c:layout>
          <c:overlay val="0"/>
        </c:title>
        <c:numFmt formatCode="#,##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1926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1890649429187515"/>
          <c:y val="0.2067182086129839"/>
          <c:w val="0.24221491520683805"/>
          <c:h val="7.9750508570877801E-2"/>
        </c:manualLayout>
      </c:layout>
      <c:overlay val="0"/>
      <c:txPr>
        <a:bodyPr/>
        <a:lstStyle/>
        <a:p>
          <a:pPr>
            <a:defRPr sz="7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851741</xdr:colOff>
      <xdr:row>22</xdr:row>
      <xdr:rowOff>40221</xdr:rowOff>
    </xdr:from>
    <xdr:to>
      <xdr:col>35</xdr:col>
      <xdr:colOff>140560</xdr:colOff>
      <xdr:row>33</xdr:row>
      <xdr:rowOff>24804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849858</xdr:colOff>
      <xdr:row>33</xdr:row>
      <xdr:rowOff>121424</xdr:rowOff>
    </xdr:from>
    <xdr:to>
      <xdr:col>35</xdr:col>
      <xdr:colOff>114102</xdr:colOff>
      <xdr:row>42</xdr:row>
      <xdr:rowOff>223242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CN59"/>
  <sheetViews>
    <sheetView tabSelected="1" zoomScale="96" zoomScaleNormal="96" zoomScaleSheetLayoutView="124" workbookViewId="0">
      <selection activeCell="AN25" sqref="AN25"/>
    </sheetView>
  </sheetViews>
  <sheetFormatPr defaultColWidth="10.28515625" defaultRowHeight="18.75" x14ac:dyDescent="0.5"/>
  <cols>
    <col min="1" max="1" width="14" style="1" customWidth="1"/>
    <col min="2" max="2" width="9.140625" style="1" hidden="1" customWidth="1"/>
    <col min="3" max="3" width="9.42578125" style="1" hidden="1" customWidth="1"/>
    <col min="4" max="4" width="11" style="1" hidden="1" customWidth="1"/>
    <col min="5" max="6" width="10.140625" style="1" hidden="1" customWidth="1"/>
    <col min="7" max="7" width="11.28515625" style="1" hidden="1" customWidth="1"/>
    <col min="8" max="24" width="11.5703125" style="1" hidden="1" customWidth="1"/>
    <col min="25" max="25" width="9.42578125" style="1" hidden="1" customWidth="1"/>
    <col min="26" max="26" width="7.140625" style="1" hidden="1" customWidth="1"/>
    <col min="27" max="27" width="8" style="1" hidden="1" customWidth="1"/>
    <col min="28" max="28" width="9.5703125" style="1" hidden="1" customWidth="1"/>
    <col min="29" max="30" width="11.5703125" style="1" customWidth="1"/>
    <col min="31" max="31" width="9.42578125" style="1" customWidth="1"/>
    <col min="32" max="33" width="11.5703125" style="1" customWidth="1"/>
    <col min="34" max="34" width="9.42578125" style="1" customWidth="1"/>
    <col min="35" max="35" width="9.42578125" style="1" hidden="1" customWidth="1"/>
    <col min="36" max="36" width="16.42578125" style="35" customWidth="1"/>
    <col min="37" max="37" width="2.140625" style="1" customWidth="1"/>
    <col min="38" max="38" width="14.5703125" style="1" customWidth="1"/>
    <col min="39" max="41" width="10.42578125" style="1" customWidth="1"/>
    <col min="42" max="48" width="2.85546875" style="1" customWidth="1"/>
    <col min="49" max="49" width="9.28515625" style="1" customWidth="1"/>
    <col min="50" max="70" width="2.85546875" style="1" customWidth="1"/>
    <col min="71" max="73" width="10.28515625" style="1"/>
    <col min="74" max="74" width="10.28515625" style="2"/>
    <col min="75" max="75" width="10.28515625" style="3"/>
    <col min="76" max="78" width="10.28515625" style="2"/>
    <col min="79" max="265" width="10.28515625" style="1"/>
    <col min="266" max="266" width="14" style="1" customWidth="1"/>
    <col min="267" max="278" width="0" style="1" hidden="1" customWidth="1"/>
    <col min="279" max="287" width="11.5703125" style="1" customWidth="1"/>
    <col min="288" max="290" width="0" style="1" hidden="1" customWidth="1"/>
    <col min="291" max="291" width="10.140625" style="1" customWidth="1"/>
    <col min="292" max="292" width="8.85546875" style="1" customWidth="1"/>
    <col min="293" max="293" width="2.140625" style="1" customWidth="1"/>
    <col min="294" max="294" width="14.5703125" style="1" customWidth="1"/>
    <col min="295" max="297" width="10.42578125" style="1" customWidth="1"/>
    <col min="298" max="326" width="2.85546875" style="1" customWidth="1"/>
    <col min="327" max="521" width="10.28515625" style="1"/>
    <col min="522" max="522" width="14" style="1" customWidth="1"/>
    <col min="523" max="534" width="0" style="1" hidden="1" customWidth="1"/>
    <col min="535" max="543" width="11.5703125" style="1" customWidth="1"/>
    <col min="544" max="546" width="0" style="1" hidden="1" customWidth="1"/>
    <col min="547" max="547" width="10.140625" style="1" customWidth="1"/>
    <col min="548" max="548" width="8.85546875" style="1" customWidth="1"/>
    <col min="549" max="549" width="2.140625" style="1" customWidth="1"/>
    <col min="550" max="550" width="14.5703125" style="1" customWidth="1"/>
    <col min="551" max="553" width="10.42578125" style="1" customWidth="1"/>
    <col min="554" max="582" width="2.85546875" style="1" customWidth="1"/>
    <col min="583" max="777" width="10.28515625" style="1"/>
    <col min="778" max="778" width="14" style="1" customWidth="1"/>
    <col min="779" max="790" width="0" style="1" hidden="1" customWidth="1"/>
    <col min="791" max="799" width="11.5703125" style="1" customWidth="1"/>
    <col min="800" max="802" width="0" style="1" hidden="1" customWidth="1"/>
    <col min="803" max="803" width="10.140625" style="1" customWidth="1"/>
    <col min="804" max="804" width="8.85546875" style="1" customWidth="1"/>
    <col min="805" max="805" width="2.140625" style="1" customWidth="1"/>
    <col min="806" max="806" width="14.5703125" style="1" customWidth="1"/>
    <col min="807" max="809" width="10.42578125" style="1" customWidth="1"/>
    <col min="810" max="838" width="2.85546875" style="1" customWidth="1"/>
    <col min="839" max="1033" width="10.28515625" style="1"/>
    <col min="1034" max="1034" width="14" style="1" customWidth="1"/>
    <col min="1035" max="1046" width="0" style="1" hidden="1" customWidth="1"/>
    <col min="1047" max="1055" width="11.5703125" style="1" customWidth="1"/>
    <col min="1056" max="1058" width="0" style="1" hidden="1" customWidth="1"/>
    <col min="1059" max="1059" width="10.140625" style="1" customWidth="1"/>
    <col min="1060" max="1060" width="8.85546875" style="1" customWidth="1"/>
    <col min="1061" max="1061" width="2.140625" style="1" customWidth="1"/>
    <col min="1062" max="1062" width="14.5703125" style="1" customWidth="1"/>
    <col min="1063" max="1065" width="10.42578125" style="1" customWidth="1"/>
    <col min="1066" max="1094" width="2.85546875" style="1" customWidth="1"/>
    <col min="1095" max="1289" width="10.28515625" style="1"/>
    <col min="1290" max="1290" width="14" style="1" customWidth="1"/>
    <col min="1291" max="1302" width="0" style="1" hidden="1" customWidth="1"/>
    <col min="1303" max="1311" width="11.5703125" style="1" customWidth="1"/>
    <col min="1312" max="1314" width="0" style="1" hidden="1" customWidth="1"/>
    <col min="1315" max="1315" width="10.140625" style="1" customWidth="1"/>
    <col min="1316" max="1316" width="8.85546875" style="1" customWidth="1"/>
    <col min="1317" max="1317" width="2.140625" style="1" customWidth="1"/>
    <col min="1318" max="1318" width="14.5703125" style="1" customWidth="1"/>
    <col min="1319" max="1321" width="10.42578125" style="1" customWidth="1"/>
    <col min="1322" max="1350" width="2.85546875" style="1" customWidth="1"/>
    <col min="1351" max="1545" width="10.28515625" style="1"/>
    <col min="1546" max="1546" width="14" style="1" customWidth="1"/>
    <col min="1547" max="1558" width="0" style="1" hidden="1" customWidth="1"/>
    <col min="1559" max="1567" width="11.5703125" style="1" customWidth="1"/>
    <col min="1568" max="1570" width="0" style="1" hidden="1" customWidth="1"/>
    <col min="1571" max="1571" width="10.140625" style="1" customWidth="1"/>
    <col min="1572" max="1572" width="8.85546875" style="1" customWidth="1"/>
    <col min="1573" max="1573" width="2.140625" style="1" customWidth="1"/>
    <col min="1574" max="1574" width="14.5703125" style="1" customWidth="1"/>
    <col min="1575" max="1577" width="10.42578125" style="1" customWidth="1"/>
    <col min="1578" max="1606" width="2.85546875" style="1" customWidth="1"/>
    <col min="1607" max="1801" width="10.28515625" style="1"/>
    <col min="1802" max="1802" width="14" style="1" customWidth="1"/>
    <col min="1803" max="1814" width="0" style="1" hidden="1" customWidth="1"/>
    <col min="1815" max="1823" width="11.5703125" style="1" customWidth="1"/>
    <col min="1824" max="1826" width="0" style="1" hidden="1" customWidth="1"/>
    <col min="1827" max="1827" width="10.140625" style="1" customWidth="1"/>
    <col min="1828" max="1828" width="8.85546875" style="1" customWidth="1"/>
    <col min="1829" max="1829" width="2.140625" style="1" customWidth="1"/>
    <col min="1830" max="1830" width="14.5703125" style="1" customWidth="1"/>
    <col min="1831" max="1833" width="10.42578125" style="1" customWidth="1"/>
    <col min="1834" max="1862" width="2.85546875" style="1" customWidth="1"/>
    <col min="1863" max="2057" width="10.28515625" style="1"/>
    <col min="2058" max="2058" width="14" style="1" customWidth="1"/>
    <col min="2059" max="2070" width="0" style="1" hidden="1" customWidth="1"/>
    <col min="2071" max="2079" width="11.5703125" style="1" customWidth="1"/>
    <col min="2080" max="2082" width="0" style="1" hidden="1" customWidth="1"/>
    <col min="2083" max="2083" width="10.140625" style="1" customWidth="1"/>
    <col min="2084" max="2084" width="8.85546875" style="1" customWidth="1"/>
    <col min="2085" max="2085" width="2.140625" style="1" customWidth="1"/>
    <col min="2086" max="2086" width="14.5703125" style="1" customWidth="1"/>
    <col min="2087" max="2089" width="10.42578125" style="1" customWidth="1"/>
    <col min="2090" max="2118" width="2.85546875" style="1" customWidth="1"/>
    <col min="2119" max="2313" width="10.28515625" style="1"/>
    <col min="2314" max="2314" width="14" style="1" customWidth="1"/>
    <col min="2315" max="2326" width="0" style="1" hidden="1" customWidth="1"/>
    <col min="2327" max="2335" width="11.5703125" style="1" customWidth="1"/>
    <col min="2336" max="2338" width="0" style="1" hidden="1" customWidth="1"/>
    <col min="2339" max="2339" width="10.140625" style="1" customWidth="1"/>
    <col min="2340" max="2340" width="8.85546875" style="1" customWidth="1"/>
    <col min="2341" max="2341" width="2.140625" style="1" customWidth="1"/>
    <col min="2342" max="2342" width="14.5703125" style="1" customWidth="1"/>
    <col min="2343" max="2345" width="10.42578125" style="1" customWidth="1"/>
    <col min="2346" max="2374" width="2.85546875" style="1" customWidth="1"/>
    <col min="2375" max="2569" width="10.28515625" style="1"/>
    <col min="2570" max="2570" width="14" style="1" customWidth="1"/>
    <col min="2571" max="2582" width="0" style="1" hidden="1" customWidth="1"/>
    <col min="2583" max="2591" width="11.5703125" style="1" customWidth="1"/>
    <col min="2592" max="2594" width="0" style="1" hidden="1" customWidth="1"/>
    <col min="2595" max="2595" width="10.140625" style="1" customWidth="1"/>
    <col min="2596" max="2596" width="8.85546875" style="1" customWidth="1"/>
    <col min="2597" max="2597" width="2.140625" style="1" customWidth="1"/>
    <col min="2598" max="2598" width="14.5703125" style="1" customWidth="1"/>
    <col min="2599" max="2601" width="10.42578125" style="1" customWidth="1"/>
    <col min="2602" max="2630" width="2.85546875" style="1" customWidth="1"/>
    <col min="2631" max="2825" width="10.28515625" style="1"/>
    <col min="2826" max="2826" width="14" style="1" customWidth="1"/>
    <col min="2827" max="2838" width="0" style="1" hidden="1" customWidth="1"/>
    <col min="2839" max="2847" width="11.5703125" style="1" customWidth="1"/>
    <col min="2848" max="2850" width="0" style="1" hidden="1" customWidth="1"/>
    <col min="2851" max="2851" width="10.140625" style="1" customWidth="1"/>
    <col min="2852" max="2852" width="8.85546875" style="1" customWidth="1"/>
    <col min="2853" max="2853" width="2.140625" style="1" customWidth="1"/>
    <col min="2854" max="2854" width="14.5703125" style="1" customWidth="1"/>
    <col min="2855" max="2857" width="10.42578125" style="1" customWidth="1"/>
    <col min="2858" max="2886" width="2.85546875" style="1" customWidth="1"/>
    <col min="2887" max="3081" width="10.28515625" style="1"/>
    <col min="3082" max="3082" width="14" style="1" customWidth="1"/>
    <col min="3083" max="3094" width="0" style="1" hidden="1" customWidth="1"/>
    <col min="3095" max="3103" width="11.5703125" style="1" customWidth="1"/>
    <col min="3104" max="3106" width="0" style="1" hidden="1" customWidth="1"/>
    <col min="3107" max="3107" width="10.140625" style="1" customWidth="1"/>
    <col min="3108" max="3108" width="8.85546875" style="1" customWidth="1"/>
    <col min="3109" max="3109" width="2.140625" style="1" customWidth="1"/>
    <col min="3110" max="3110" width="14.5703125" style="1" customWidth="1"/>
    <col min="3111" max="3113" width="10.42578125" style="1" customWidth="1"/>
    <col min="3114" max="3142" width="2.85546875" style="1" customWidth="1"/>
    <col min="3143" max="3337" width="10.28515625" style="1"/>
    <col min="3338" max="3338" width="14" style="1" customWidth="1"/>
    <col min="3339" max="3350" width="0" style="1" hidden="1" customWidth="1"/>
    <col min="3351" max="3359" width="11.5703125" style="1" customWidth="1"/>
    <col min="3360" max="3362" width="0" style="1" hidden="1" customWidth="1"/>
    <col min="3363" max="3363" width="10.140625" style="1" customWidth="1"/>
    <col min="3364" max="3364" width="8.85546875" style="1" customWidth="1"/>
    <col min="3365" max="3365" width="2.140625" style="1" customWidth="1"/>
    <col min="3366" max="3366" width="14.5703125" style="1" customWidth="1"/>
    <col min="3367" max="3369" width="10.42578125" style="1" customWidth="1"/>
    <col min="3370" max="3398" width="2.85546875" style="1" customWidth="1"/>
    <col min="3399" max="3593" width="10.28515625" style="1"/>
    <col min="3594" max="3594" width="14" style="1" customWidth="1"/>
    <col min="3595" max="3606" width="0" style="1" hidden="1" customWidth="1"/>
    <col min="3607" max="3615" width="11.5703125" style="1" customWidth="1"/>
    <col min="3616" max="3618" width="0" style="1" hidden="1" customWidth="1"/>
    <col min="3619" max="3619" width="10.140625" style="1" customWidth="1"/>
    <col min="3620" max="3620" width="8.85546875" style="1" customWidth="1"/>
    <col min="3621" max="3621" width="2.140625" style="1" customWidth="1"/>
    <col min="3622" max="3622" width="14.5703125" style="1" customWidth="1"/>
    <col min="3623" max="3625" width="10.42578125" style="1" customWidth="1"/>
    <col min="3626" max="3654" width="2.85546875" style="1" customWidth="1"/>
    <col min="3655" max="3849" width="10.28515625" style="1"/>
    <col min="3850" max="3850" width="14" style="1" customWidth="1"/>
    <col min="3851" max="3862" width="0" style="1" hidden="1" customWidth="1"/>
    <col min="3863" max="3871" width="11.5703125" style="1" customWidth="1"/>
    <col min="3872" max="3874" width="0" style="1" hidden="1" customWidth="1"/>
    <col min="3875" max="3875" width="10.140625" style="1" customWidth="1"/>
    <col min="3876" max="3876" width="8.85546875" style="1" customWidth="1"/>
    <col min="3877" max="3877" width="2.140625" style="1" customWidth="1"/>
    <col min="3878" max="3878" width="14.5703125" style="1" customWidth="1"/>
    <col min="3879" max="3881" width="10.42578125" style="1" customWidth="1"/>
    <col min="3882" max="3910" width="2.85546875" style="1" customWidth="1"/>
    <col min="3911" max="4105" width="10.28515625" style="1"/>
    <col min="4106" max="4106" width="14" style="1" customWidth="1"/>
    <col min="4107" max="4118" width="0" style="1" hidden="1" customWidth="1"/>
    <col min="4119" max="4127" width="11.5703125" style="1" customWidth="1"/>
    <col min="4128" max="4130" width="0" style="1" hidden="1" customWidth="1"/>
    <col min="4131" max="4131" width="10.140625" style="1" customWidth="1"/>
    <col min="4132" max="4132" width="8.85546875" style="1" customWidth="1"/>
    <col min="4133" max="4133" width="2.140625" style="1" customWidth="1"/>
    <col min="4134" max="4134" width="14.5703125" style="1" customWidth="1"/>
    <col min="4135" max="4137" width="10.42578125" style="1" customWidth="1"/>
    <col min="4138" max="4166" width="2.85546875" style="1" customWidth="1"/>
    <col min="4167" max="4361" width="10.28515625" style="1"/>
    <col min="4362" max="4362" width="14" style="1" customWidth="1"/>
    <col min="4363" max="4374" width="0" style="1" hidden="1" customWidth="1"/>
    <col min="4375" max="4383" width="11.5703125" style="1" customWidth="1"/>
    <col min="4384" max="4386" width="0" style="1" hidden="1" customWidth="1"/>
    <col min="4387" max="4387" width="10.140625" style="1" customWidth="1"/>
    <col min="4388" max="4388" width="8.85546875" style="1" customWidth="1"/>
    <col min="4389" max="4389" width="2.140625" style="1" customWidth="1"/>
    <col min="4390" max="4390" width="14.5703125" style="1" customWidth="1"/>
    <col min="4391" max="4393" width="10.42578125" style="1" customWidth="1"/>
    <col min="4394" max="4422" width="2.85546875" style="1" customWidth="1"/>
    <col min="4423" max="4617" width="10.28515625" style="1"/>
    <col min="4618" max="4618" width="14" style="1" customWidth="1"/>
    <col min="4619" max="4630" width="0" style="1" hidden="1" customWidth="1"/>
    <col min="4631" max="4639" width="11.5703125" style="1" customWidth="1"/>
    <col min="4640" max="4642" width="0" style="1" hidden="1" customWidth="1"/>
    <col min="4643" max="4643" width="10.140625" style="1" customWidth="1"/>
    <col min="4644" max="4644" width="8.85546875" style="1" customWidth="1"/>
    <col min="4645" max="4645" width="2.140625" style="1" customWidth="1"/>
    <col min="4646" max="4646" width="14.5703125" style="1" customWidth="1"/>
    <col min="4647" max="4649" width="10.42578125" style="1" customWidth="1"/>
    <col min="4650" max="4678" width="2.85546875" style="1" customWidth="1"/>
    <col min="4679" max="4873" width="10.28515625" style="1"/>
    <col min="4874" max="4874" width="14" style="1" customWidth="1"/>
    <col min="4875" max="4886" width="0" style="1" hidden="1" customWidth="1"/>
    <col min="4887" max="4895" width="11.5703125" style="1" customWidth="1"/>
    <col min="4896" max="4898" width="0" style="1" hidden="1" customWidth="1"/>
    <col min="4899" max="4899" width="10.140625" style="1" customWidth="1"/>
    <col min="4900" max="4900" width="8.85546875" style="1" customWidth="1"/>
    <col min="4901" max="4901" width="2.140625" style="1" customWidth="1"/>
    <col min="4902" max="4902" width="14.5703125" style="1" customWidth="1"/>
    <col min="4903" max="4905" width="10.42578125" style="1" customWidth="1"/>
    <col min="4906" max="4934" width="2.85546875" style="1" customWidth="1"/>
    <col min="4935" max="5129" width="10.28515625" style="1"/>
    <col min="5130" max="5130" width="14" style="1" customWidth="1"/>
    <col min="5131" max="5142" width="0" style="1" hidden="1" customWidth="1"/>
    <col min="5143" max="5151" width="11.5703125" style="1" customWidth="1"/>
    <col min="5152" max="5154" width="0" style="1" hidden="1" customWidth="1"/>
    <col min="5155" max="5155" width="10.140625" style="1" customWidth="1"/>
    <col min="5156" max="5156" width="8.85546875" style="1" customWidth="1"/>
    <col min="5157" max="5157" width="2.140625" style="1" customWidth="1"/>
    <col min="5158" max="5158" width="14.5703125" style="1" customWidth="1"/>
    <col min="5159" max="5161" width="10.42578125" style="1" customWidth="1"/>
    <col min="5162" max="5190" width="2.85546875" style="1" customWidth="1"/>
    <col min="5191" max="5385" width="10.28515625" style="1"/>
    <col min="5386" max="5386" width="14" style="1" customWidth="1"/>
    <col min="5387" max="5398" width="0" style="1" hidden="1" customWidth="1"/>
    <col min="5399" max="5407" width="11.5703125" style="1" customWidth="1"/>
    <col min="5408" max="5410" width="0" style="1" hidden="1" customWidth="1"/>
    <col min="5411" max="5411" width="10.140625" style="1" customWidth="1"/>
    <col min="5412" max="5412" width="8.85546875" style="1" customWidth="1"/>
    <col min="5413" max="5413" width="2.140625" style="1" customWidth="1"/>
    <col min="5414" max="5414" width="14.5703125" style="1" customWidth="1"/>
    <col min="5415" max="5417" width="10.42578125" style="1" customWidth="1"/>
    <col min="5418" max="5446" width="2.85546875" style="1" customWidth="1"/>
    <col min="5447" max="5641" width="10.28515625" style="1"/>
    <col min="5642" max="5642" width="14" style="1" customWidth="1"/>
    <col min="5643" max="5654" width="0" style="1" hidden="1" customWidth="1"/>
    <col min="5655" max="5663" width="11.5703125" style="1" customWidth="1"/>
    <col min="5664" max="5666" width="0" style="1" hidden="1" customWidth="1"/>
    <col min="5667" max="5667" width="10.140625" style="1" customWidth="1"/>
    <col min="5668" max="5668" width="8.85546875" style="1" customWidth="1"/>
    <col min="5669" max="5669" width="2.140625" style="1" customWidth="1"/>
    <col min="5670" max="5670" width="14.5703125" style="1" customWidth="1"/>
    <col min="5671" max="5673" width="10.42578125" style="1" customWidth="1"/>
    <col min="5674" max="5702" width="2.85546875" style="1" customWidth="1"/>
    <col min="5703" max="5897" width="10.28515625" style="1"/>
    <col min="5898" max="5898" width="14" style="1" customWidth="1"/>
    <col min="5899" max="5910" width="0" style="1" hidden="1" customWidth="1"/>
    <col min="5911" max="5919" width="11.5703125" style="1" customWidth="1"/>
    <col min="5920" max="5922" width="0" style="1" hidden="1" customWidth="1"/>
    <col min="5923" max="5923" width="10.140625" style="1" customWidth="1"/>
    <col min="5924" max="5924" width="8.85546875" style="1" customWidth="1"/>
    <col min="5925" max="5925" width="2.140625" style="1" customWidth="1"/>
    <col min="5926" max="5926" width="14.5703125" style="1" customWidth="1"/>
    <col min="5927" max="5929" width="10.42578125" style="1" customWidth="1"/>
    <col min="5930" max="5958" width="2.85546875" style="1" customWidth="1"/>
    <col min="5959" max="6153" width="10.28515625" style="1"/>
    <col min="6154" max="6154" width="14" style="1" customWidth="1"/>
    <col min="6155" max="6166" width="0" style="1" hidden="1" customWidth="1"/>
    <col min="6167" max="6175" width="11.5703125" style="1" customWidth="1"/>
    <col min="6176" max="6178" width="0" style="1" hidden="1" customWidth="1"/>
    <col min="6179" max="6179" width="10.140625" style="1" customWidth="1"/>
    <col min="6180" max="6180" width="8.85546875" style="1" customWidth="1"/>
    <col min="6181" max="6181" width="2.140625" style="1" customWidth="1"/>
    <col min="6182" max="6182" width="14.5703125" style="1" customWidth="1"/>
    <col min="6183" max="6185" width="10.42578125" style="1" customWidth="1"/>
    <col min="6186" max="6214" width="2.85546875" style="1" customWidth="1"/>
    <col min="6215" max="6409" width="10.28515625" style="1"/>
    <col min="6410" max="6410" width="14" style="1" customWidth="1"/>
    <col min="6411" max="6422" width="0" style="1" hidden="1" customWidth="1"/>
    <col min="6423" max="6431" width="11.5703125" style="1" customWidth="1"/>
    <col min="6432" max="6434" width="0" style="1" hidden="1" customWidth="1"/>
    <col min="6435" max="6435" width="10.140625" style="1" customWidth="1"/>
    <col min="6436" max="6436" width="8.85546875" style="1" customWidth="1"/>
    <col min="6437" max="6437" width="2.140625" style="1" customWidth="1"/>
    <col min="6438" max="6438" width="14.5703125" style="1" customWidth="1"/>
    <col min="6439" max="6441" width="10.42578125" style="1" customWidth="1"/>
    <col min="6442" max="6470" width="2.85546875" style="1" customWidth="1"/>
    <col min="6471" max="6665" width="10.28515625" style="1"/>
    <col min="6666" max="6666" width="14" style="1" customWidth="1"/>
    <col min="6667" max="6678" width="0" style="1" hidden="1" customWidth="1"/>
    <col min="6679" max="6687" width="11.5703125" style="1" customWidth="1"/>
    <col min="6688" max="6690" width="0" style="1" hidden="1" customWidth="1"/>
    <col min="6691" max="6691" width="10.140625" style="1" customWidth="1"/>
    <col min="6692" max="6692" width="8.85546875" style="1" customWidth="1"/>
    <col min="6693" max="6693" width="2.140625" style="1" customWidth="1"/>
    <col min="6694" max="6694" width="14.5703125" style="1" customWidth="1"/>
    <col min="6695" max="6697" width="10.42578125" style="1" customWidth="1"/>
    <col min="6698" max="6726" width="2.85546875" style="1" customWidth="1"/>
    <col min="6727" max="6921" width="10.28515625" style="1"/>
    <col min="6922" max="6922" width="14" style="1" customWidth="1"/>
    <col min="6923" max="6934" width="0" style="1" hidden="1" customWidth="1"/>
    <col min="6935" max="6943" width="11.5703125" style="1" customWidth="1"/>
    <col min="6944" max="6946" width="0" style="1" hidden="1" customWidth="1"/>
    <col min="6947" max="6947" width="10.140625" style="1" customWidth="1"/>
    <col min="6948" max="6948" width="8.85546875" style="1" customWidth="1"/>
    <col min="6949" max="6949" width="2.140625" style="1" customWidth="1"/>
    <col min="6950" max="6950" width="14.5703125" style="1" customWidth="1"/>
    <col min="6951" max="6953" width="10.42578125" style="1" customWidth="1"/>
    <col min="6954" max="6982" width="2.85546875" style="1" customWidth="1"/>
    <col min="6983" max="7177" width="10.28515625" style="1"/>
    <col min="7178" max="7178" width="14" style="1" customWidth="1"/>
    <col min="7179" max="7190" width="0" style="1" hidden="1" customWidth="1"/>
    <col min="7191" max="7199" width="11.5703125" style="1" customWidth="1"/>
    <col min="7200" max="7202" width="0" style="1" hidden="1" customWidth="1"/>
    <col min="7203" max="7203" width="10.140625" style="1" customWidth="1"/>
    <col min="7204" max="7204" width="8.85546875" style="1" customWidth="1"/>
    <col min="7205" max="7205" width="2.140625" style="1" customWidth="1"/>
    <col min="7206" max="7206" width="14.5703125" style="1" customWidth="1"/>
    <col min="7207" max="7209" width="10.42578125" style="1" customWidth="1"/>
    <col min="7210" max="7238" width="2.85546875" style="1" customWidth="1"/>
    <col min="7239" max="7433" width="10.28515625" style="1"/>
    <col min="7434" max="7434" width="14" style="1" customWidth="1"/>
    <col min="7435" max="7446" width="0" style="1" hidden="1" customWidth="1"/>
    <col min="7447" max="7455" width="11.5703125" style="1" customWidth="1"/>
    <col min="7456" max="7458" width="0" style="1" hidden="1" customWidth="1"/>
    <col min="7459" max="7459" width="10.140625" style="1" customWidth="1"/>
    <col min="7460" max="7460" width="8.85546875" style="1" customWidth="1"/>
    <col min="7461" max="7461" width="2.140625" style="1" customWidth="1"/>
    <col min="7462" max="7462" width="14.5703125" style="1" customWidth="1"/>
    <col min="7463" max="7465" width="10.42578125" style="1" customWidth="1"/>
    <col min="7466" max="7494" width="2.85546875" style="1" customWidth="1"/>
    <col min="7495" max="7689" width="10.28515625" style="1"/>
    <col min="7690" max="7690" width="14" style="1" customWidth="1"/>
    <col min="7691" max="7702" width="0" style="1" hidden="1" customWidth="1"/>
    <col min="7703" max="7711" width="11.5703125" style="1" customWidth="1"/>
    <col min="7712" max="7714" width="0" style="1" hidden="1" customWidth="1"/>
    <col min="7715" max="7715" width="10.140625" style="1" customWidth="1"/>
    <col min="7716" max="7716" width="8.85546875" style="1" customWidth="1"/>
    <col min="7717" max="7717" width="2.140625" style="1" customWidth="1"/>
    <col min="7718" max="7718" width="14.5703125" style="1" customWidth="1"/>
    <col min="7719" max="7721" width="10.42578125" style="1" customWidth="1"/>
    <col min="7722" max="7750" width="2.85546875" style="1" customWidth="1"/>
    <col min="7751" max="7945" width="10.28515625" style="1"/>
    <col min="7946" max="7946" width="14" style="1" customWidth="1"/>
    <col min="7947" max="7958" width="0" style="1" hidden="1" customWidth="1"/>
    <col min="7959" max="7967" width="11.5703125" style="1" customWidth="1"/>
    <col min="7968" max="7970" width="0" style="1" hidden="1" customWidth="1"/>
    <col min="7971" max="7971" width="10.140625" style="1" customWidth="1"/>
    <col min="7972" max="7972" width="8.85546875" style="1" customWidth="1"/>
    <col min="7973" max="7973" width="2.140625" style="1" customWidth="1"/>
    <col min="7974" max="7974" width="14.5703125" style="1" customWidth="1"/>
    <col min="7975" max="7977" width="10.42578125" style="1" customWidth="1"/>
    <col min="7978" max="8006" width="2.85546875" style="1" customWidth="1"/>
    <col min="8007" max="8201" width="10.28515625" style="1"/>
    <col min="8202" max="8202" width="14" style="1" customWidth="1"/>
    <col min="8203" max="8214" width="0" style="1" hidden="1" customWidth="1"/>
    <col min="8215" max="8223" width="11.5703125" style="1" customWidth="1"/>
    <col min="8224" max="8226" width="0" style="1" hidden="1" customWidth="1"/>
    <col min="8227" max="8227" width="10.140625" style="1" customWidth="1"/>
    <col min="8228" max="8228" width="8.85546875" style="1" customWidth="1"/>
    <col min="8229" max="8229" width="2.140625" style="1" customWidth="1"/>
    <col min="8230" max="8230" width="14.5703125" style="1" customWidth="1"/>
    <col min="8231" max="8233" width="10.42578125" style="1" customWidth="1"/>
    <col min="8234" max="8262" width="2.85546875" style="1" customWidth="1"/>
    <col min="8263" max="8457" width="10.28515625" style="1"/>
    <col min="8458" max="8458" width="14" style="1" customWidth="1"/>
    <col min="8459" max="8470" width="0" style="1" hidden="1" customWidth="1"/>
    <col min="8471" max="8479" width="11.5703125" style="1" customWidth="1"/>
    <col min="8480" max="8482" width="0" style="1" hidden="1" customWidth="1"/>
    <col min="8483" max="8483" width="10.140625" style="1" customWidth="1"/>
    <col min="8484" max="8484" width="8.85546875" style="1" customWidth="1"/>
    <col min="8485" max="8485" width="2.140625" style="1" customWidth="1"/>
    <col min="8486" max="8486" width="14.5703125" style="1" customWidth="1"/>
    <col min="8487" max="8489" width="10.42578125" style="1" customWidth="1"/>
    <col min="8490" max="8518" width="2.85546875" style="1" customWidth="1"/>
    <col min="8519" max="8713" width="10.28515625" style="1"/>
    <col min="8714" max="8714" width="14" style="1" customWidth="1"/>
    <col min="8715" max="8726" width="0" style="1" hidden="1" customWidth="1"/>
    <col min="8727" max="8735" width="11.5703125" style="1" customWidth="1"/>
    <col min="8736" max="8738" width="0" style="1" hidden="1" customWidth="1"/>
    <col min="8739" max="8739" width="10.140625" style="1" customWidth="1"/>
    <col min="8740" max="8740" width="8.85546875" style="1" customWidth="1"/>
    <col min="8741" max="8741" width="2.140625" style="1" customWidth="1"/>
    <col min="8742" max="8742" width="14.5703125" style="1" customWidth="1"/>
    <col min="8743" max="8745" width="10.42578125" style="1" customWidth="1"/>
    <col min="8746" max="8774" width="2.85546875" style="1" customWidth="1"/>
    <col min="8775" max="8969" width="10.28515625" style="1"/>
    <col min="8970" max="8970" width="14" style="1" customWidth="1"/>
    <col min="8971" max="8982" width="0" style="1" hidden="1" customWidth="1"/>
    <col min="8983" max="8991" width="11.5703125" style="1" customWidth="1"/>
    <col min="8992" max="8994" width="0" style="1" hidden="1" customWidth="1"/>
    <col min="8995" max="8995" width="10.140625" style="1" customWidth="1"/>
    <col min="8996" max="8996" width="8.85546875" style="1" customWidth="1"/>
    <col min="8997" max="8997" width="2.140625" style="1" customWidth="1"/>
    <col min="8998" max="8998" width="14.5703125" style="1" customWidth="1"/>
    <col min="8999" max="9001" width="10.42578125" style="1" customWidth="1"/>
    <col min="9002" max="9030" width="2.85546875" style="1" customWidth="1"/>
    <col min="9031" max="9225" width="10.28515625" style="1"/>
    <col min="9226" max="9226" width="14" style="1" customWidth="1"/>
    <col min="9227" max="9238" width="0" style="1" hidden="1" customWidth="1"/>
    <col min="9239" max="9247" width="11.5703125" style="1" customWidth="1"/>
    <col min="9248" max="9250" width="0" style="1" hidden="1" customWidth="1"/>
    <col min="9251" max="9251" width="10.140625" style="1" customWidth="1"/>
    <col min="9252" max="9252" width="8.85546875" style="1" customWidth="1"/>
    <col min="9253" max="9253" width="2.140625" style="1" customWidth="1"/>
    <col min="9254" max="9254" width="14.5703125" style="1" customWidth="1"/>
    <col min="9255" max="9257" width="10.42578125" style="1" customWidth="1"/>
    <col min="9258" max="9286" width="2.85546875" style="1" customWidth="1"/>
    <col min="9287" max="9481" width="10.28515625" style="1"/>
    <col min="9482" max="9482" width="14" style="1" customWidth="1"/>
    <col min="9483" max="9494" width="0" style="1" hidden="1" customWidth="1"/>
    <col min="9495" max="9503" width="11.5703125" style="1" customWidth="1"/>
    <col min="9504" max="9506" width="0" style="1" hidden="1" customWidth="1"/>
    <col min="9507" max="9507" width="10.140625" style="1" customWidth="1"/>
    <col min="9508" max="9508" width="8.85546875" style="1" customWidth="1"/>
    <col min="9509" max="9509" width="2.140625" style="1" customWidth="1"/>
    <col min="9510" max="9510" width="14.5703125" style="1" customWidth="1"/>
    <col min="9511" max="9513" width="10.42578125" style="1" customWidth="1"/>
    <col min="9514" max="9542" width="2.85546875" style="1" customWidth="1"/>
    <col min="9543" max="9737" width="10.28515625" style="1"/>
    <col min="9738" max="9738" width="14" style="1" customWidth="1"/>
    <col min="9739" max="9750" width="0" style="1" hidden="1" customWidth="1"/>
    <col min="9751" max="9759" width="11.5703125" style="1" customWidth="1"/>
    <col min="9760" max="9762" width="0" style="1" hidden="1" customWidth="1"/>
    <col min="9763" max="9763" width="10.140625" style="1" customWidth="1"/>
    <col min="9764" max="9764" width="8.85546875" style="1" customWidth="1"/>
    <col min="9765" max="9765" width="2.140625" style="1" customWidth="1"/>
    <col min="9766" max="9766" width="14.5703125" style="1" customWidth="1"/>
    <col min="9767" max="9769" width="10.42578125" style="1" customWidth="1"/>
    <col min="9770" max="9798" width="2.85546875" style="1" customWidth="1"/>
    <col min="9799" max="9993" width="10.28515625" style="1"/>
    <col min="9994" max="9994" width="14" style="1" customWidth="1"/>
    <col min="9995" max="10006" width="0" style="1" hidden="1" customWidth="1"/>
    <col min="10007" max="10015" width="11.5703125" style="1" customWidth="1"/>
    <col min="10016" max="10018" width="0" style="1" hidden="1" customWidth="1"/>
    <col min="10019" max="10019" width="10.140625" style="1" customWidth="1"/>
    <col min="10020" max="10020" width="8.85546875" style="1" customWidth="1"/>
    <col min="10021" max="10021" width="2.140625" style="1" customWidth="1"/>
    <col min="10022" max="10022" width="14.5703125" style="1" customWidth="1"/>
    <col min="10023" max="10025" width="10.42578125" style="1" customWidth="1"/>
    <col min="10026" max="10054" width="2.85546875" style="1" customWidth="1"/>
    <col min="10055" max="10249" width="10.28515625" style="1"/>
    <col min="10250" max="10250" width="14" style="1" customWidth="1"/>
    <col min="10251" max="10262" width="0" style="1" hidden="1" customWidth="1"/>
    <col min="10263" max="10271" width="11.5703125" style="1" customWidth="1"/>
    <col min="10272" max="10274" width="0" style="1" hidden="1" customWidth="1"/>
    <col min="10275" max="10275" width="10.140625" style="1" customWidth="1"/>
    <col min="10276" max="10276" width="8.85546875" style="1" customWidth="1"/>
    <col min="10277" max="10277" width="2.140625" style="1" customWidth="1"/>
    <col min="10278" max="10278" width="14.5703125" style="1" customWidth="1"/>
    <col min="10279" max="10281" width="10.42578125" style="1" customWidth="1"/>
    <col min="10282" max="10310" width="2.85546875" style="1" customWidth="1"/>
    <col min="10311" max="10505" width="10.28515625" style="1"/>
    <col min="10506" max="10506" width="14" style="1" customWidth="1"/>
    <col min="10507" max="10518" width="0" style="1" hidden="1" customWidth="1"/>
    <col min="10519" max="10527" width="11.5703125" style="1" customWidth="1"/>
    <col min="10528" max="10530" width="0" style="1" hidden="1" customWidth="1"/>
    <col min="10531" max="10531" width="10.140625" style="1" customWidth="1"/>
    <col min="10532" max="10532" width="8.85546875" style="1" customWidth="1"/>
    <col min="10533" max="10533" width="2.140625" style="1" customWidth="1"/>
    <col min="10534" max="10534" width="14.5703125" style="1" customWidth="1"/>
    <col min="10535" max="10537" width="10.42578125" style="1" customWidth="1"/>
    <col min="10538" max="10566" width="2.85546875" style="1" customWidth="1"/>
    <col min="10567" max="10761" width="10.28515625" style="1"/>
    <col min="10762" max="10762" width="14" style="1" customWidth="1"/>
    <col min="10763" max="10774" width="0" style="1" hidden="1" customWidth="1"/>
    <col min="10775" max="10783" width="11.5703125" style="1" customWidth="1"/>
    <col min="10784" max="10786" width="0" style="1" hidden="1" customWidth="1"/>
    <col min="10787" max="10787" width="10.140625" style="1" customWidth="1"/>
    <col min="10788" max="10788" width="8.85546875" style="1" customWidth="1"/>
    <col min="10789" max="10789" width="2.140625" style="1" customWidth="1"/>
    <col min="10790" max="10790" width="14.5703125" style="1" customWidth="1"/>
    <col min="10791" max="10793" width="10.42578125" style="1" customWidth="1"/>
    <col min="10794" max="10822" width="2.85546875" style="1" customWidth="1"/>
    <col min="10823" max="11017" width="10.28515625" style="1"/>
    <col min="11018" max="11018" width="14" style="1" customWidth="1"/>
    <col min="11019" max="11030" width="0" style="1" hidden="1" customWidth="1"/>
    <col min="11031" max="11039" width="11.5703125" style="1" customWidth="1"/>
    <col min="11040" max="11042" width="0" style="1" hidden="1" customWidth="1"/>
    <col min="11043" max="11043" width="10.140625" style="1" customWidth="1"/>
    <col min="11044" max="11044" width="8.85546875" style="1" customWidth="1"/>
    <col min="11045" max="11045" width="2.140625" style="1" customWidth="1"/>
    <col min="11046" max="11046" width="14.5703125" style="1" customWidth="1"/>
    <col min="11047" max="11049" width="10.42578125" style="1" customWidth="1"/>
    <col min="11050" max="11078" width="2.85546875" style="1" customWidth="1"/>
    <col min="11079" max="11273" width="10.28515625" style="1"/>
    <col min="11274" max="11274" width="14" style="1" customWidth="1"/>
    <col min="11275" max="11286" width="0" style="1" hidden="1" customWidth="1"/>
    <col min="11287" max="11295" width="11.5703125" style="1" customWidth="1"/>
    <col min="11296" max="11298" width="0" style="1" hidden="1" customWidth="1"/>
    <col min="11299" max="11299" width="10.140625" style="1" customWidth="1"/>
    <col min="11300" max="11300" width="8.85546875" style="1" customWidth="1"/>
    <col min="11301" max="11301" width="2.140625" style="1" customWidth="1"/>
    <col min="11302" max="11302" width="14.5703125" style="1" customWidth="1"/>
    <col min="11303" max="11305" width="10.42578125" style="1" customWidth="1"/>
    <col min="11306" max="11334" width="2.85546875" style="1" customWidth="1"/>
    <col min="11335" max="11529" width="10.28515625" style="1"/>
    <col min="11530" max="11530" width="14" style="1" customWidth="1"/>
    <col min="11531" max="11542" width="0" style="1" hidden="1" customWidth="1"/>
    <col min="11543" max="11551" width="11.5703125" style="1" customWidth="1"/>
    <col min="11552" max="11554" width="0" style="1" hidden="1" customWidth="1"/>
    <col min="11555" max="11555" width="10.140625" style="1" customWidth="1"/>
    <col min="11556" max="11556" width="8.85546875" style="1" customWidth="1"/>
    <col min="11557" max="11557" width="2.140625" style="1" customWidth="1"/>
    <col min="11558" max="11558" width="14.5703125" style="1" customWidth="1"/>
    <col min="11559" max="11561" width="10.42578125" style="1" customWidth="1"/>
    <col min="11562" max="11590" width="2.85546875" style="1" customWidth="1"/>
    <col min="11591" max="11785" width="10.28515625" style="1"/>
    <col min="11786" max="11786" width="14" style="1" customWidth="1"/>
    <col min="11787" max="11798" width="0" style="1" hidden="1" customWidth="1"/>
    <col min="11799" max="11807" width="11.5703125" style="1" customWidth="1"/>
    <col min="11808" max="11810" width="0" style="1" hidden="1" customWidth="1"/>
    <col min="11811" max="11811" width="10.140625" style="1" customWidth="1"/>
    <col min="11812" max="11812" width="8.85546875" style="1" customWidth="1"/>
    <col min="11813" max="11813" width="2.140625" style="1" customWidth="1"/>
    <col min="11814" max="11814" width="14.5703125" style="1" customWidth="1"/>
    <col min="11815" max="11817" width="10.42578125" style="1" customWidth="1"/>
    <col min="11818" max="11846" width="2.85546875" style="1" customWidth="1"/>
    <col min="11847" max="12041" width="10.28515625" style="1"/>
    <col min="12042" max="12042" width="14" style="1" customWidth="1"/>
    <col min="12043" max="12054" width="0" style="1" hidden="1" customWidth="1"/>
    <col min="12055" max="12063" width="11.5703125" style="1" customWidth="1"/>
    <col min="12064" max="12066" width="0" style="1" hidden="1" customWidth="1"/>
    <col min="12067" max="12067" width="10.140625" style="1" customWidth="1"/>
    <col min="12068" max="12068" width="8.85546875" style="1" customWidth="1"/>
    <col min="12069" max="12069" width="2.140625" style="1" customWidth="1"/>
    <col min="12070" max="12070" width="14.5703125" style="1" customWidth="1"/>
    <col min="12071" max="12073" width="10.42578125" style="1" customWidth="1"/>
    <col min="12074" max="12102" width="2.85546875" style="1" customWidth="1"/>
    <col min="12103" max="12297" width="10.28515625" style="1"/>
    <col min="12298" max="12298" width="14" style="1" customWidth="1"/>
    <col min="12299" max="12310" width="0" style="1" hidden="1" customWidth="1"/>
    <col min="12311" max="12319" width="11.5703125" style="1" customWidth="1"/>
    <col min="12320" max="12322" width="0" style="1" hidden="1" customWidth="1"/>
    <col min="12323" max="12323" width="10.140625" style="1" customWidth="1"/>
    <col min="12324" max="12324" width="8.85546875" style="1" customWidth="1"/>
    <col min="12325" max="12325" width="2.140625" style="1" customWidth="1"/>
    <col min="12326" max="12326" width="14.5703125" style="1" customWidth="1"/>
    <col min="12327" max="12329" width="10.42578125" style="1" customWidth="1"/>
    <col min="12330" max="12358" width="2.85546875" style="1" customWidth="1"/>
    <col min="12359" max="12553" width="10.28515625" style="1"/>
    <col min="12554" max="12554" width="14" style="1" customWidth="1"/>
    <col min="12555" max="12566" width="0" style="1" hidden="1" customWidth="1"/>
    <col min="12567" max="12575" width="11.5703125" style="1" customWidth="1"/>
    <col min="12576" max="12578" width="0" style="1" hidden="1" customWidth="1"/>
    <col min="12579" max="12579" width="10.140625" style="1" customWidth="1"/>
    <col min="12580" max="12580" width="8.85546875" style="1" customWidth="1"/>
    <col min="12581" max="12581" width="2.140625" style="1" customWidth="1"/>
    <col min="12582" max="12582" width="14.5703125" style="1" customWidth="1"/>
    <col min="12583" max="12585" width="10.42578125" style="1" customWidth="1"/>
    <col min="12586" max="12614" width="2.85546875" style="1" customWidth="1"/>
    <col min="12615" max="12809" width="10.28515625" style="1"/>
    <col min="12810" max="12810" width="14" style="1" customWidth="1"/>
    <col min="12811" max="12822" width="0" style="1" hidden="1" customWidth="1"/>
    <col min="12823" max="12831" width="11.5703125" style="1" customWidth="1"/>
    <col min="12832" max="12834" width="0" style="1" hidden="1" customWidth="1"/>
    <col min="12835" max="12835" width="10.140625" style="1" customWidth="1"/>
    <col min="12836" max="12836" width="8.85546875" style="1" customWidth="1"/>
    <col min="12837" max="12837" width="2.140625" style="1" customWidth="1"/>
    <col min="12838" max="12838" width="14.5703125" style="1" customWidth="1"/>
    <col min="12839" max="12841" width="10.42578125" style="1" customWidth="1"/>
    <col min="12842" max="12870" width="2.85546875" style="1" customWidth="1"/>
    <col min="12871" max="13065" width="10.28515625" style="1"/>
    <col min="13066" max="13066" width="14" style="1" customWidth="1"/>
    <col min="13067" max="13078" width="0" style="1" hidden="1" customWidth="1"/>
    <col min="13079" max="13087" width="11.5703125" style="1" customWidth="1"/>
    <col min="13088" max="13090" width="0" style="1" hidden="1" customWidth="1"/>
    <col min="13091" max="13091" width="10.140625" style="1" customWidth="1"/>
    <col min="13092" max="13092" width="8.85546875" style="1" customWidth="1"/>
    <col min="13093" max="13093" width="2.140625" style="1" customWidth="1"/>
    <col min="13094" max="13094" width="14.5703125" style="1" customWidth="1"/>
    <col min="13095" max="13097" width="10.42578125" style="1" customWidth="1"/>
    <col min="13098" max="13126" width="2.85546875" style="1" customWidth="1"/>
    <col min="13127" max="13321" width="10.28515625" style="1"/>
    <col min="13322" max="13322" width="14" style="1" customWidth="1"/>
    <col min="13323" max="13334" width="0" style="1" hidden="1" customWidth="1"/>
    <col min="13335" max="13343" width="11.5703125" style="1" customWidth="1"/>
    <col min="13344" max="13346" width="0" style="1" hidden="1" customWidth="1"/>
    <col min="13347" max="13347" width="10.140625" style="1" customWidth="1"/>
    <col min="13348" max="13348" width="8.85546875" style="1" customWidth="1"/>
    <col min="13349" max="13349" width="2.140625" style="1" customWidth="1"/>
    <col min="13350" max="13350" width="14.5703125" style="1" customWidth="1"/>
    <col min="13351" max="13353" width="10.42578125" style="1" customWidth="1"/>
    <col min="13354" max="13382" width="2.85546875" style="1" customWidth="1"/>
    <col min="13383" max="13577" width="10.28515625" style="1"/>
    <col min="13578" max="13578" width="14" style="1" customWidth="1"/>
    <col min="13579" max="13590" width="0" style="1" hidden="1" customWidth="1"/>
    <col min="13591" max="13599" width="11.5703125" style="1" customWidth="1"/>
    <col min="13600" max="13602" width="0" style="1" hidden="1" customWidth="1"/>
    <col min="13603" max="13603" width="10.140625" style="1" customWidth="1"/>
    <col min="13604" max="13604" width="8.85546875" style="1" customWidth="1"/>
    <col min="13605" max="13605" width="2.140625" style="1" customWidth="1"/>
    <col min="13606" max="13606" width="14.5703125" style="1" customWidth="1"/>
    <col min="13607" max="13609" width="10.42578125" style="1" customWidth="1"/>
    <col min="13610" max="13638" width="2.85546875" style="1" customWidth="1"/>
    <col min="13639" max="13833" width="10.28515625" style="1"/>
    <col min="13834" max="13834" width="14" style="1" customWidth="1"/>
    <col min="13835" max="13846" width="0" style="1" hidden="1" customWidth="1"/>
    <col min="13847" max="13855" width="11.5703125" style="1" customWidth="1"/>
    <col min="13856" max="13858" width="0" style="1" hidden="1" customWidth="1"/>
    <col min="13859" max="13859" width="10.140625" style="1" customWidth="1"/>
    <col min="13860" max="13860" width="8.85546875" style="1" customWidth="1"/>
    <col min="13861" max="13861" width="2.140625" style="1" customWidth="1"/>
    <col min="13862" max="13862" width="14.5703125" style="1" customWidth="1"/>
    <col min="13863" max="13865" width="10.42578125" style="1" customWidth="1"/>
    <col min="13866" max="13894" width="2.85546875" style="1" customWidth="1"/>
    <col min="13895" max="14089" width="10.28515625" style="1"/>
    <col min="14090" max="14090" width="14" style="1" customWidth="1"/>
    <col min="14091" max="14102" width="0" style="1" hidden="1" customWidth="1"/>
    <col min="14103" max="14111" width="11.5703125" style="1" customWidth="1"/>
    <col min="14112" max="14114" width="0" style="1" hidden="1" customWidth="1"/>
    <col min="14115" max="14115" width="10.140625" style="1" customWidth="1"/>
    <col min="14116" max="14116" width="8.85546875" style="1" customWidth="1"/>
    <col min="14117" max="14117" width="2.140625" style="1" customWidth="1"/>
    <col min="14118" max="14118" width="14.5703125" style="1" customWidth="1"/>
    <col min="14119" max="14121" width="10.42578125" style="1" customWidth="1"/>
    <col min="14122" max="14150" width="2.85546875" style="1" customWidth="1"/>
    <col min="14151" max="14345" width="10.28515625" style="1"/>
    <col min="14346" max="14346" width="14" style="1" customWidth="1"/>
    <col min="14347" max="14358" width="0" style="1" hidden="1" customWidth="1"/>
    <col min="14359" max="14367" width="11.5703125" style="1" customWidth="1"/>
    <col min="14368" max="14370" width="0" style="1" hidden="1" customWidth="1"/>
    <col min="14371" max="14371" width="10.140625" style="1" customWidth="1"/>
    <col min="14372" max="14372" width="8.85546875" style="1" customWidth="1"/>
    <col min="14373" max="14373" width="2.140625" style="1" customWidth="1"/>
    <col min="14374" max="14374" width="14.5703125" style="1" customWidth="1"/>
    <col min="14375" max="14377" width="10.42578125" style="1" customWidth="1"/>
    <col min="14378" max="14406" width="2.85546875" style="1" customWidth="1"/>
    <col min="14407" max="14601" width="10.28515625" style="1"/>
    <col min="14602" max="14602" width="14" style="1" customWidth="1"/>
    <col min="14603" max="14614" width="0" style="1" hidden="1" customWidth="1"/>
    <col min="14615" max="14623" width="11.5703125" style="1" customWidth="1"/>
    <col min="14624" max="14626" width="0" style="1" hidden="1" customWidth="1"/>
    <col min="14627" max="14627" width="10.140625" style="1" customWidth="1"/>
    <col min="14628" max="14628" width="8.85546875" style="1" customWidth="1"/>
    <col min="14629" max="14629" width="2.140625" style="1" customWidth="1"/>
    <col min="14630" max="14630" width="14.5703125" style="1" customWidth="1"/>
    <col min="14631" max="14633" width="10.42578125" style="1" customWidth="1"/>
    <col min="14634" max="14662" width="2.85546875" style="1" customWidth="1"/>
    <col min="14663" max="14857" width="10.28515625" style="1"/>
    <col min="14858" max="14858" width="14" style="1" customWidth="1"/>
    <col min="14859" max="14870" width="0" style="1" hidden="1" customWidth="1"/>
    <col min="14871" max="14879" width="11.5703125" style="1" customWidth="1"/>
    <col min="14880" max="14882" width="0" style="1" hidden="1" customWidth="1"/>
    <col min="14883" max="14883" width="10.140625" style="1" customWidth="1"/>
    <col min="14884" max="14884" width="8.85546875" style="1" customWidth="1"/>
    <col min="14885" max="14885" width="2.140625" style="1" customWidth="1"/>
    <col min="14886" max="14886" width="14.5703125" style="1" customWidth="1"/>
    <col min="14887" max="14889" width="10.42578125" style="1" customWidth="1"/>
    <col min="14890" max="14918" width="2.85546875" style="1" customWidth="1"/>
    <col min="14919" max="15113" width="10.28515625" style="1"/>
    <col min="15114" max="15114" width="14" style="1" customWidth="1"/>
    <col min="15115" max="15126" width="0" style="1" hidden="1" customWidth="1"/>
    <col min="15127" max="15135" width="11.5703125" style="1" customWidth="1"/>
    <col min="15136" max="15138" width="0" style="1" hidden="1" customWidth="1"/>
    <col min="15139" max="15139" width="10.140625" style="1" customWidth="1"/>
    <col min="15140" max="15140" width="8.85546875" style="1" customWidth="1"/>
    <col min="15141" max="15141" width="2.140625" style="1" customWidth="1"/>
    <col min="15142" max="15142" width="14.5703125" style="1" customWidth="1"/>
    <col min="15143" max="15145" width="10.42578125" style="1" customWidth="1"/>
    <col min="15146" max="15174" width="2.85546875" style="1" customWidth="1"/>
    <col min="15175" max="15369" width="10.28515625" style="1"/>
    <col min="15370" max="15370" width="14" style="1" customWidth="1"/>
    <col min="15371" max="15382" width="0" style="1" hidden="1" customWidth="1"/>
    <col min="15383" max="15391" width="11.5703125" style="1" customWidth="1"/>
    <col min="15392" max="15394" width="0" style="1" hidden="1" customWidth="1"/>
    <col min="15395" max="15395" width="10.140625" style="1" customWidth="1"/>
    <col min="15396" max="15396" width="8.85546875" style="1" customWidth="1"/>
    <col min="15397" max="15397" width="2.140625" style="1" customWidth="1"/>
    <col min="15398" max="15398" width="14.5703125" style="1" customWidth="1"/>
    <col min="15399" max="15401" width="10.42578125" style="1" customWidth="1"/>
    <col min="15402" max="15430" width="2.85546875" style="1" customWidth="1"/>
    <col min="15431" max="15625" width="10.28515625" style="1"/>
    <col min="15626" max="15626" width="14" style="1" customWidth="1"/>
    <col min="15627" max="15638" width="0" style="1" hidden="1" customWidth="1"/>
    <col min="15639" max="15647" width="11.5703125" style="1" customWidth="1"/>
    <col min="15648" max="15650" width="0" style="1" hidden="1" customWidth="1"/>
    <col min="15651" max="15651" width="10.140625" style="1" customWidth="1"/>
    <col min="15652" max="15652" width="8.85546875" style="1" customWidth="1"/>
    <col min="15653" max="15653" width="2.140625" style="1" customWidth="1"/>
    <col min="15654" max="15654" width="14.5703125" style="1" customWidth="1"/>
    <col min="15655" max="15657" width="10.42578125" style="1" customWidth="1"/>
    <col min="15658" max="15686" width="2.85546875" style="1" customWidth="1"/>
    <col min="15687" max="15881" width="10.28515625" style="1"/>
    <col min="15882" max="15882" width="14" style="1" customWidth="1"/>
    <col min="15883" max="15894" width="0" style="1" hidden="1" customWidth="1"/>
    <col min="15895" max="15903" width="11.5703125" style="1" customWidth="1"/>
    <col min="15904" max="15906" width="0" style="1" hidden="1" customWidth="1"/>
    <col min="15907" max="15907" width="10.140625" style="1" customWidth="1"/>
    <col min="15908" max="15908" width="8.85546875" style="1" customWidth="1"/>
    <col min="15909" max="15909" width="2.140625" style="1" customWidth="1"/>
    <col min="15910" max="15910" width="14.5703125" style="1" customWidth="1"/>
    <col min="15911" max="15913" width="10.42578125" style="1" customWidth="1"/>
    <col min="15914" max="15942" width="2.85546875" style="1" customWidth="1"/>
    <col min="15943" max="16137" width="10.28515625" style="1"/>
    <col min="16138" max="16138" width="14" style="1" customWidth="1"/>
    <col min="16139" max="16150" width="0" style="1" hidden="1" customWidth="1"/>
    <col min="16151" max="16159" width="11.5703125" style="1" customWidth="1"/>
    <col min="16160" max="16162" width="0" style="1" hidden="1" customWidth="1"/>
    <col min="16163" max="16163" width="10.140625" style="1" customWidth="1"/>
    <col min="16164" max="16164" width="8.85546875" style="1" customWidth="1"/>
    <col min="16165" max="16165" width="2.140625" style="1" customWidth="1"/>
    <col min="16166" max="16166" width="14.5703125" style="1" customWidth="1"/>
    <col min="16167" max="16169" width="10.42578125" style="1" customWidth="1"/>
    <col min="16170" max="16198" width="2.85546875" style="1" customWidth="1"/>
    <col min="16199" max="16384" width="10.28515625" style="1"/>
  </cols>
  <sheetData>
    <row r="1" spans="1:78" ht="20.25" customHeight="1" x14ac:dyDescent="0.45">
      <c r="A1" s="76" t="s">
        <v>51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</row>
    <row r="2" spans="1:78" ht="18" customHeight="1" x14ac:dyDescent="0.15">
      <c r="A2" s="77" t="s">
        <v>50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</row>
    <row r="3" spans="1:78" s="6" customFormat="1" ht="15.75" customHeight="1" x14ac:dyDescent="0.2">
      <c r="A3" s="4"/>
      <c r="B3" s="70">
        <v>2011</v>
      </c>
      <c r="C3" s="71"/>
      <c r="D3" s="78"/>
      <c r="E3" s="71">
        <v>2012</v>
      </c>
      <c r="F3" s="71"/>
      <c r="G3" s="71"/>
      <c r="H3" s="71">
        <v>2013</v>
      </c>
      <c r="I3" s="71"/>
      <c r="J3" s="78"/>
      <c r="K3" s="70">
        <v>2014</v>
      </c>
      <c r="L3" s="71"/>
      <c r="M3" s="71"/>
      <c r="N3" s="70">
        <v>2015</v>
      </c>
      <c r="O3" s="71"/>
      <c r="P3" s="71"/>
      <c r="Q3" s="70">
        <v>2016</v>
      </c>
      <c r="R3" s="71"/>
      <c r="S3" s="71"/>
      <c r="T3" s="70">
        <v>2017</v>
      </c>
      <c r="U3" s="71"/>
      <c r="V3" s="71"/>
      <c r="W3" s="70">
        <v>2018</v>
      </c>
      <c r="X3" s="71"/>
      <c r="Y3" s="71"/>
      <c r="Z3" s="70">
        <v>2019</v>
      </c>
      <c r="AA3" s="71"/>
      <c r="AB3" s="71"/>
      <c r="AC3" s="70">
        <v>2020</v>
      </c>
      <c r="AD3" s="71"/>
      <c r="AE3" s="71"/>
      <c r="AF3" s="70" t="s">
        <v>49</v>
      </c>
      <c r="AG3" s="71"/>
      <c r="AH3" s="71"/>
      <c r="AI3" s="5"/>
      <c r="AJ3" s="72" t="s">
        <v>2</v>
      </c>
      <c r="BV3" s="7"/>
      <c r="BW3" s="8"/>
      <c r="BX3" s="7"/>
      <c r="BY3" s="7"/>
      <c r="BZ3" s="7"/>
    </row>
    <row r="4" spans="1:78" s="55" customFormat="1" ht="21.75" customHeight="1" x14ac:dyDescent="0.4">
      <c r="A4" s="51"/>
      <c r="B4" s="52" t="s">
        <v>3</v>
      </c>
      <c r="C4" s="53" t="s">
        <v>4</v>
      </c>
      <c r="D4" s="54" t="s">
        <v>5</v>
      </c>
      <c r="E4" s="53" t="s">
        <v>3</v>
      </c>
      <c r="F4" s="53" t="s">
        <v>4</v>
      </c>
      <c r="G4" s="53" t="s">
        <v>5</v>
      </c>
      <c r="H4" s="53" t="s">
        <v>3</v>
      </c>
      <c r="I4" s="53" t="s">
        <v>4</v>
      </c>
      <c r="J4" s="54" t="s">
        <v>5</v>
      </c>
      <c r="K4" s="52" t="s">
        <v>3</v>
      </c>
      <c r="L4" s="53" t="s">
        <v>4</v>
      </c>
      <c r="M4" s="53" t="s">
        <v>5</v>
      </c>
      <c r="N4" s="52" t="s">
        <v>3</v>
      </c>
      <c r="O4" s="53" t="s">
        <v>4</v>
      </c>
      <c r="P4" s="53" t="s">
        <v>5</v>
      </c>
      <c r="Q4" s="52" t="s">
        <v>3</v>
      </c>
      <c r="R4" s="53" t="s">
        <v>4</v>
      </c>
      <c r="S4" s="53" t="s">
        <v>5</v>
      </c>
      <c r="T4" s="52" t="s">
        <v>3</v>
      </c>
      <c r="U4" s="53" t="s">
        <v>4</v>
      </c>
      <c r="V4" s="53" t="s">
        <v>5</v>
      </c>
      <c r="W4" s="52" t="s">
        <v>3</v>
      </c>
      <c r="X4" s="53" t="s">
        <v>4</v>
      </c>
      <c r="Y4" s="53" t="s">
        <v>5</v>
      </c>
      <c r="Z4" s="52" t="s">
        <v>3</v>
      </c>
      <c r="AA4" s="53" t="s">
        <v>4</v>
      </c>
      <c r="AB4" s="53" t="s">
        <v>5</v>
      </c>
      <c r="AC4" s="52" t="s">
        <v>3</v>
      </c>
      <c r="AD4" s="53" t="s">
        <v>4</v>
      </c>
      <c r="AE4" s="53" t="s">
        <v>5</v>
      </c>
      <c r="AF4" s="52" t="s">
        <v>3</v>
      </c>
      <c r="AG4" s="53" t="s">
        <v>4</v>
      </c>
      <c r="AH4" s="53" t="s">
        <v>5</v>
      </c>
      <c r="AI4" s="53"/>
      <c r="AJ4" s="73"/>
      <c r="BV4" s="56"/>
      <c r="BW4" s="57"/>
      <c r="BX4" s="56"/>
      <c r="BY4" s="56"/>
      <c r="BZ4" s="56"/>
    </row>
    <row r="5" spans="1:78" ht="25.5" customHeight="1" x14ac:dyDescent="0.25">
      <c r="A5" s="9" t="s">
        <v>6</v>
      </c>
      <c r="B5" s="10" t="s">
        <v>7</v>
      </c>
      <c r="C5" s="11" t="s">
        <v>8</v>
      </c>
      <c r="D5" s="12" t="s">
        <v>9</v>
      </c>
      <c r="E5" s="11" t="s">
        <v>7</v>
      </c>
      <c r="F5" s="11" t="s">
        <v>8</v>
      </c>
      <c r="G5" s="13" t="s">
        <v>9</v>
      </c>
      <c r="H5" s="11" t="s">
        <v>7</v>
      </c>
      <c r="I5" s="11" t="s">
        <v>8</v>
      </c>
      <c r="J5" s="12" t="s">
        <v>9</v>
      </c>
      <c r="K5" s="10" t="s">
        <v>7</v>
      </c>
      <c r="L5" s="11" t="s">
        <v>8</v>
      </c>
      <c r="M5" s="13" t="s">
        <v>9</v>
      </c>
      <c r="N5" s="10" t="s">
        <v>7</v>
      </c>
      <c r="O5" s="11" t="s">
        <v>8</v>
      </c>
      <c r="P5" s="13" t="s">
        <v>9</v>
      </c>
      <c r="Q5" s="10" t="s">
        <v>7</v>
      </c>
      <c r="R5" s="11" t="s">
        <v>8</v>
      </c>
      <c r="S5" s="13" t="s">
        <v>9</v>
      </c>
      <c r="T5" s="10" t="s">
        <v>7</v>
      </c>
      <c r="U5" s="11" t="s">
        <v>8</v>
      </c>
      <c r="V5" s="13" t="s">
        <v>9</v>
      </c>
      <c r="W5" s="10" t="s">
        <v>7</v>
      </c>
      <c r="X5" s="11" t="s">
        <v>8</v>
      </c>
      <c r="Y5" s="13" t="s">
        <v>9</v>
      </c>
      <c r="Z5" s="10" t="s">
        <v>7</v>
      </c>
      <c r="AA5" s="11" t="s">
        <v>8</v>
      </c>
      <c r="AB5" s="13" t="s">
        <v>9</v>
      </c>
      <c r="AC5" s="10" t="s">
        <v>7</v>
      </c>
      <c r="AD5" s="11" t="s">
        <v>8</v>
      </c>
      <c r="AE5" s="13" t="s">
        <v>9</v>
      </c>
      <c r="AF5" s="10" t="s">
        <v>7</v>
      </c>
      <c r="AG5" s="11" t="s">
        <v>8</v>
      </c>
      <c r="AH5" s="13" t="s">
        <v>9</v>
      </c>
      <c r="AI5" s="13"/>
      <c r="AJ5" s="74"/>
    </row>
    <row r="6" spans="1:78" ht="18.75" customHeight="1" x14ac:dyDescent="0.55000000000000004">
      <c r="A6" s="4" t="s">
        <v>1</v>
      </c>
      <c r="B6" s="14">
        <f t="shared" ref="B6:Y6" si="0">SUM(B7:B18)</f>
        <v>7182</v>
      </c>
      <c r="C6" s="15">
        <f t="shared" si="0"/>
        <v>1137</v>
      </c>
      <c r="D6" s="16">
        <f t="shared" si="0"/>
        <v>6045</v>
      </c>
      <c r="E6" s="15">
        <f t="shared" si="0"/>
        <v>7431</v>
      </c>
      <c r="F6" s="15">
        <f t="shared" si="0"/>
        <v>1135</v>
      </c>
      <c r="G6" s="15">
        <f t="shared" si="0"/>
        <v>6296</v>
      </c>
      <c r="H6" s="15">
        <f t="shared" si="0"/>
        <v>7153</v>
      </c>
      <c r="I6" s="15">
        <f t="shared" si="0"/>
        <v>1120</v>
      </c>
      <c r="J6" s="16">
        <f t="shared" si="0"/>
        <v>6033</v>
      </c>
      <c r="K6" s="14">
        <f t="shared" si="0"/>
        <v>7245</v>
      </c>
      <c r="L6" s="15">
        <f t="shared" si="0"/>
        <v>1143</v>
      </c>
      <c r="M6" s="15">
        <f t="shared" si="0"/>
        <v>6102</v>
      </c>
      <c r="N6" s="14">
        <f t="shared" si="0"/>
        <v>6986</v>
      </c>
      <c r="O6" s="15">
        <f t="shared" si="0"/>
        <v>1130</v>
      </c>
      <c r="P6" s="17">
        <f t="shared" si="0"/>
        <v>5856</v>
      </c>
      <c r="Q6" s="14">
        <f>SUM(Q7:Q18)</f>
        <v>6756</v>
      </c>
      <c r="R6" s="15">
        <f>SUM(R7:R18)</f>
        <v>1226</v>
      </c>
      <c r="S6" s="17">
        <f t="shared" si="0"/>
        <v>5530</v>
      </c>
      <c r="T6" s="14">
        <f t="shared" si="0"/>
        <v>6723</v>
      </c>
      <c r="U6" s="15">
        <f t="shared" si="0"/>
        <v>1241</v>
      </c>
      <c r="V6" s="15">
        <f t="shared" si="0"/>
        <v>5482</v>
      </c>
      <c r="W6" s="14">
        <f t="shared" si="0"/>
        <v>6564</v>
      </c>
      <c r="X6" s="15">
        <f t="shared" si="0"/>
        <v>1216</v>
      </c>
      <c r="Y6" s="15">
        <f t="shared" si="0"/>
        <v>5348</v>
      </c>
      <c r="Z6" s="14">
        <f t="shared" ref="Z6:AH6" si="1">SUM(Z7:Z18)</f>
        <v>6127</v>
      </c>
      <c r="AA6" s="15">
        <f t="shared" si="1"/>
        <v>1041</v>
      </c>
      <c r="AB6" s="15">
        <f t="shared" si="1"/>
        <v>5086</v>
      </c>
      <c r="AC6" s="14">
        <f t="shared" si="1"/>
        <v>6293</v>
      </c>
      <c r="AD6" s="15">
        <f t="shared" si="1"/>
        <v>1275</v>
      </c>
      <c r="AE6" s="15">
        <f t="shared" si="1"/>
        <v>5018</v>
      </c>
      <c r="AF6" s="14">
        <f t="shared" si="1"/>
        <v>5914</v>
      </c>
      <c r="AG6" s="15">
        <f t="shared" si="1"/>
        <v>1513</v>
      </c>
      <c r="AH6" s="15">
        <f t="shared" si="1"/>
        <v>4401</v>
      </c>
      <c r="AI6" s="15"/>
      <c r="AJ6" s="18" t="s">
        <v>10</v>
      </c>
    </row>
    <row r="7" spans="1:78" ht="18.75" customHeight="1" x14ac:dyDescent="0.25">
      <c r="A7" s="19" t="s">
        <v>11</v>
      </c>
      <c r="B7" s="20">
        <v>561</v>
      </c>
      <c r="C7" s="21">
        <v>103</v>
      </c>
      <c r="D7" s="22">
        <f>B7-C7</f>
        <v>458</v>
      </c>
      <c r="E7" s="21">
        <v>623</v>
      </c>
      <c r="F7" s="21">
        <v>87</v>
      </c>
      <c r="G7" s="21">
        <f>E7-F7</f>
        <v>536</v>
      </c>
      <c r="H7" s="21">
        <v>599</v>
      </c>
      <c r="I7" s="21">
        <v>111</v>
      </c>
      <c r="J7" s="22">
        <f>H7-I7</f>
        <v>488</v>
      </c>
      <c r="K7" s="20">
        <v>585</v>
      </c>
      <c r="L7" s="21">
        <v>99</v>
      </c>
      <c r="M7" s="21">
        <f>K7-L7</f>
        <v>486</v>
      </c>
      <c r="N7" s="20">
        <v>517</v>
      </c>
      <c r="O7" s="21">
        <v>94</v>
      </c>
      <c r="P7" s="22">
        <f t="shared" ref="P7:P18" si="2">N7-O7</f>
        <v>423</v>
      </c>
      <c r="Q7" s="20">
        <v>560</v>
      </c>
      <c r="R7" s="21">
        <v>122</v>
      </c>
      <c r="S7" s="22">
        <f t="shared" ref="S7:S18" si="3">Q7-R7</f>
        <v>438</v>
      </c>
      <c r="T7" s="20">
        <v>550</v>
      </c>
      <c r="U7" s="21">
        <v>97</v>
      </c>
      <c r="V7" s="21">
        <f t="shared" ref="V7:V18" si="4">T7-U7</f>
        <v>453</v>
      </c>
      <c r="W7" s="20">
        <v>541</v>
      </c>
      <c r="X7" s="21">
        <v>114</v>
      </c>
      <c r="Y7" s="21">
        <f t="shared" ref="Y7:Y18" si="5">W7-X7</f>
        <v>427</v>
      </c>
      <c r="Z7" s="20">
        <v>526</v>
      </c>
      <c r="AA7" s="21">
        <v>110</v>
      </c>
      <c r="AB7" s="21">
        <f t="shared" ref="AB7:AB18" si="6">Z7-AA7</f>
        <v>416</v>
      </c>
      <c r="AC7" s="20">
        <v>540</v>
      </c>
      <c r="AD7" s="21">
        <v>114</v>
      </c>
      <c r="AE7" s="21">
        <f t="shared" ref="AE7:AE18" si="7">AC7-AD7</f>
        <v>426</v>
      </c>
      <c r="AF7" s="63">
        <v>444</v>
      </c>
      <c r="AG7" s="21">
        <v>98</v>
      </c>
      <c r="AH7" s="21">
        <f t="shared" ref="AH7:AH18" si="8">AF7-AG7</f>
        <v>346</v>
      </c>
      <c r="AI7" s="21"/>
      <c r="AJ7" s="23" t="s">
        <v>12</v>
      </c>
    </row>
    <row r="8" spans="1:78" ht="18.75" customHeight="1" x14ac:dyDescent="0.25">
      <c r="A8" s="19" t="s">
        <v>13</v>
      </c>
      <c r="B8" s="20">
        <v>473</v>
      </c>
      <c r="C8" s="21">
        <v>76</v>
      </c>
      <c r="D8" s="22">
        <f t="shared" ref="D8:D18" si="9">B8-C8</f>
        <v>397</v>
      </c>
      <c r="E8" s="21">
        <v>584</v>
      </c>
      <c r="F8" s="21">
        <v>96</v>
      </c>
      <c r="G8" s="21">
        <f t="shared" ref="G8:G18" si="10">E8-F8</f>
        <v>488</v>
      </c>
      <c r="H8" s="21">
        <v>542</v>
      </c>
      <c r="I8" s="21">
        <v>89</v>
      </c>
      <c r="J8" s="22">
        <f t="shared" ref="J8:J18" si="11">H8-I8</f>
        <v>453</v>
      </c>
      <c r="K8" s="20">
        <v>570</v>
      </c>
      <c r="L8" s="21">
        <v>91</v>
      </c>
      <c r="M8" s="21">
        <f t="shared" ref="M8:M18" si="12">K8-L8</f>
        <v>479</v>
      </c>
      <c r="N8" s="20">
        <v>496</v>
      </c>
      <c r="O8" s="21">
        <v>91</v>
      </c>
      <c r="P8" s="22">
        <f t="shared" si="2"/>
        <v>405</v>
      </c>
      <c r="Q8" s="20">
        <v>524</v>
      </c>
      <c r="R8" s="21">
        <v>121</v>
      </c>
      <c r="S8" s="22">
        <f t="shared" si="3"/>
        <v>403</v>
      </c>
      <c r="T8" s="20">
        <v>511</v>
      </c>
      <c r="U8" s="21">
        <v>104</v>
      </c>
      <c r="V8" s="21">
        <f t="shared" si="4"/>
        <v>407</v>
      </c>
      <c r="W8" s="20">
        <v>535</v>
      </c>
      <c r="X8" s="21">
        <v>98</v>
      </c>
      <c r="Y8" s="21">
        <f t="shared" si="5"/>
        <v>437</v>
      </c>
      <c r="Z8" s="20">
        <v>449</v>
      </c>
      <c r="AA8" s="21">
        <v>78</v>
      </c>
      <c r="AB8" s="21">
        <f t="shared" si="6"/>
        <v>371</v>
      </c>
      <c r="AC8" s="20">
        <v>548</v>
      </c>
      <c r="AD8" s="21">
        <v>96</v>
      </c>
      <c r="AE8" s="21">
        <f t="shared" si="7"/>
        <v>452</v>
      </c>
      <c r="AF8" s="63">
        <v>423</v>
      </c>
      <c r="AG8" s="21">
        <v>102</v>
      </c>
      <c r="AH8" s="21">
        <f t="shared" si="8"/>
        <v>321</v>
      </c>
      <c r="AI8" s="21"/>
      <c r="AJ8" s="23" t="s">
        <v>14</v>
      </c>
    </row>
    <row r="9" spans="1:78" ht="18.75" customHeight="1" x14ac:dyDescent="0.25">
      <c r="A9" s="19" t="s">
        <v>15</v>
      </c>
      <c r="B9" s="20">
        <v>566</v>
      </c>
      <c r="C9" s="21">
        <v>92</v>
      </c>
      <c r="D9" s="22">
        <f t="shared" si="9"/>
        <v>474</v>
      </c>
      <c r="E9" s="21">
        <v>568</v>
      </c>
      <c r="F9" s="21">
        <v>102</v>
      </c>
      <c r="G9" s="21">
        <f t="shared" si="10"/>
        <v>466</v>
      </c>
      <c r="H9" s="21">
        <v>597</v>
      </c>
      <c r="I9" s="21">
        <v>103</v>
      </c>
      <c r="J9" s="22">
        <f t="shared" si="11"/>
        <v>494</v>
      </c>
      <c r="K9" s="20">
        <v>649</v>
      </c>
      <c r="L9" s="21">
        <v>102</v>
      </c>
      <c r="M9" s="21">
        <f t="shared" si="12"/>
        <v>547</v>
      </c>
      <c r="N9" s="20">
        <v>538</v>
      </c>
      <c r="O9" s="21">
        <v>107</v>
      </c>
      <c r="P9" s="22">
        <f t="shared" si="2"/>
        <v>431</v>
      </c>
      <c r="Q9" s="20">
        <v>582</v>
      </c>
      <c r="R9" s="21">
        <v>129</v>
      </c>
      <c r="S9" s="22">
        <f t="shared" si="3"/>
        <v>453</v>
      </c>
      <c r="T9" s="20">
        <v>598</v>
      </c>
      <c r="U9" s="21">
        <v>134</v>
      </c>
      <c r="V9" s="21">
        <f t="shared" si="4"/>
        <v>464</v>
      </c>
      <c r="W9" s="20">
        <v>577</v>
      </c>
      <c r="X9" s="21">
        <v>117</v>
      </c>
      <c r="Y9" s="21">
        <f t="shared" si="5"/>
        <v>460</v>
      </c>
      <c r="Z9" s="20">
        <v>539</v>
      </c>
      <c r="AA9" s="21">
        <v>101</v>
      </c>
      <c r="AB9" s="21">
        <f t="shared" si="6"/>
        <v>438</v>
      </c>
      <c r="AC9" s="20">
        <v>485</v>
      </c>
      <c r="AD9" s="21">
        <v>109</v>
      </c>
      <c r="AE9" s="21">
        <f t="shared" si="7"/>
        <v>376</v>
      </c>
      <c r="AF9" s="63">
        <v>545</v>
      </c>
      <c r="AG9" s="21">
        <v>104</v>
      </c>
      <c r="AH9" s="21">
        <f t="shared" si="8"/>
        <v>441</v>
      </c>
      <c r="AI9" s="21"/>
      <c r="AJ9" s="23" t="s">
        <v>16</v>
      </c>
    </row>
    <row r="10" spans="1:78" ht="18.75" customHeight="1" x14ac:dyDescent="0.25">
      <c r="A10" s="19" t="s">
        <v>17</v>
      </c>
      <c r="B10" s="20">
        <v>584</v>
      </c>
      <c r="C10" s="21">
        <v>79</v>
      </c>
      <c r="D10" s="22">
        <f t="shared" si="9"/>
        <v>505</v>
      </c>
      <c r="E10" s="21">
        <v>582</v>
      </c>
      <c r="F10" s="21">
        <v>115</v>
      </c>
      <c r="G10" s="21">
        <f t="shared" si="10"/>
        <v>467</v>
      </c>
      <c r="H10" s="21">
        <v>519</v>
      </c>
      <c r="I10" s="21">
        <v>87</v>
      </c>
      <c r="J10" s="22">
        <f t="shared" si="11"/>
        <v>432</v>
      </c>
      <c r="K10" s="20">
        <v>577</v>
      </c>
      <c r="L10" s="21">
        <v>101</v>
      </c>
      <c r="M10" s="21">
        <f t="shared" si="12"/>
        <v>476</v>
      </c>
      <c r="N10" s="20">
        <v>599</v>
      </c>
      <c r="O10" s="21">
        <v>114</v>
      </c>
      <c r="P10" s="22">
        <f t="shared" si="2"/>
        <v>485</v>
      </c>
      <c r="Q10" s="20">
        <v>628</v>
      </c>
      <c r="R10" s="21">
        <v>97</v>
      </c>
      <c r="S10" s="22">
        <f t="shared" si="3"/>
        <v>531</v>
      </c>
      <c r="T10" s="20">
        <v>573</v>
      </c>
      <c r="U10" s="21">
        <v>109</v>
      </c>
      <c r="V10" s="21">
        <f t="shared" si="4"/>
        <v>464</v>
      </c>
      <c r="W10" s="20">
        <v>521</v>
      </c>
      <c r="X10" s="21">
        <v>99</v>
      </c>
      <c r="Y10" s="21">
        <f t="shared" si="5"/>
        <v>422</v>
      </c>
      <c r="Z10" s="20">
        <v>477</v>
      </c>
      <c r="AA10" s="21">
        <v>87</v>
      </c>
      <c r="AB10" s="21">
        <f t="shared" si="6"/>
        <v>390</v>
      </c>
      <c r="AC10" s="20">
        <v>541</v>
      </c>
      <c r="AD10" s="21">
        <v>91</v>
      </c>
      <c r="AE10" s="21">
        <f t="shared" si="7"/>
        <v>450</v>
      </c>
      <c r="AF10" s="63">
        <v>534</v>
      </c>
      <c r="AG10" s="21">
        <v>129</v>
      </c>
      <c r="AH10" s="21">
        <f t="shared" si="8"/>
        <v>405</v>
      </c>
      <c r="AI10" s="21"/>
      <c r="AJ10" s="23" t="s">
        <v>18</v>
      </c>
    </row>
    <row r="11" spans="1:78" ht="18.75" customHeight="1" x14ac:dyDescent="0.25">
      <c r="A11" s="19" t="s">
        <v>20</v>
      </c>
      <c r="B11" s="20">
        <v>617</v>
      </c>
      <c r="C11" s="21">
        <v>99</v>
      </c>
      <c r="D11" s="22">
        <f>B11-C11</f>
        <v>518</v>
      </c>
      <c r="E11" s="21">
        <v>736</v>
      </c>
      <c r="F11" s="21">
        <v>84</v>
      </c>
      <c r="G11" s="21">
        <f t="shared" si="10"/>
        <v>652</v>
      </c>
      <c r="H11" s="21">
        <v>601</v>
      </c>
      <c r="I11" s="21">
        <v>72</v>
      </c>
      <c r="J11" s="22">
        <f t="shared" si="11"/>
        <v>529</v>
      </c>
      <c r="K11" s="20">
        <v>675</v>
      </c>
      <c r="L11" s="21">
        <v>103</v>
      </c>
      <c r="M11" s="21">
        <f t="shared" si="12"/>
        <v>572</v>
      </c>
      <c r="N11" s="20">
        <v>635</v>
      </c>
      <c r="O11" s="21">
        <v>87</v>
      </c>
      <c r="P11" s="22">
        <f t="shared" si="2"/>
        <v>548</v>
      </c>
      <c r="Q11" s="20">
        <v>585</v>
      </c>
      <c r="R11" s="21">
        <v>104</v>
      </c>
      <c r="S11" s="22">
        <f t="shared" si="3"/>
        <v>481</v>
      </c>
      <c r="T11" s="20">
        <v>582</v>
      </c>
      <c r="U11" s="21">
        <v>94</v>
      </c>
      <c r="V11" s="21">
        <f t="shared" si="4"/>
        <v>488</v>
      </c>
      <c r="W11" s="20">
        <v>608</v>
      </c>
      <c r="X11" s="21">
        <v>113</v>
      </c>
      <c r="Y11" s="21">
        <f t="shared" si="5"/>
        <v>495</v>
      </c>
      <c r="Z11" s="20">
        <v>604</v>
      </c>
      <c r="AA11" s="21">
        <v>89</v>
      </c>
      <c r="AB11" s="21">
        <f t="shared" si="6"/>
        <v>515</v>
      </c>
      <c r="AC11" s="20">
        <v>492</v>
      </c>
      <c r="AD11" s="21">
        <v>109</v>
      </c>
      <c r="AE11" s="21">
        <f t="shared" si="7"/>
        <v>383</v>
      </c>
      <c r="AF11" s="63">
        <v>516</v>
      </c>
      <c r="AG11" s="21">
        <v>186</v>
      </c>
      <c r="AH11" s="21">
        <f t="shared" si="8"/>
        <v>330</v>
      </c>
      <c r="AI11" s="21"/>
      <c r="AJ11" s="23" t="s">
        <v>21</v>
      </c>
    </row>
    <row r="12" spans="1:78" ht="18.75" customHeight="1" x14ac:dyDescent="0.25">
      <c r="A12" s="19" t="s">
        <v>23</v>
      </c>
      <c r="B12" s="20">
        <v>598</v>
      </c>
      <c r="C12" s="21">
        <v>115</v>
      </c>
      <c r="D12" s="22">
        <f t="shared" si="9"/>
        <v>483</v>
      </c>
      <c r="E12" s="21">
        <v>579</v>
      </c>
      <c r="F12" s="21">
        <v>86</v>
      </c>
      <c r="G12" s="21">
        <f t="shared" si="10"/>
        <v>493</v>
      </c>
      <c r="H12" s="21">
        <v>558</v>
      </c>
      <c r="I12" s="21">
        <v>99</v>
      </c>
      <c r="J12" s="22">
        <f t="shared" si="11"/>
        <v>459</v>
      </c>
      <c r="K12" s="20">
        <v>629</v>
      </c>
      <c r="L12" s="21">
        <v>109</v>
      </c>
      <c r="M12" s="21">
        <f t="shared" si="12"/>
        <v>520</v>
      </c>
      <c r="N12" s="20">
        <v>601</v>
      </c>
      <c r="O12" s="21">
        <v>88</v>
      </c>
      <c r="P12" s="22">
        <f t="shared" si="2"/>
        <v>513</v>
      </c>
      <c r="Q12" s="20">
        <v>532</v>
      </c>
      <c r="R12" s="21">
        <v>98</v>
      </c>
      <c r="S12" s="22">
        <f t="shared" si="3"/>
        <v>434</v>
      </c>
      <c r="T12" s="20">
        <v>581</v>
      </c>
      <c r="U12" s="21">
        <v>103</v>
      </c>
      <c r="V12" s="21">
        <f t="shared" si="4"/>
        <v>478</v>
      </c>
      <c r="W12" s="20">
        <v>489</v>
      </c>
      <c r="X12" s="21">
        <v>89</v>
      </c>
      <c r="Y12" s="21">
        <f t="shared" si="5"/>
        <v>400</v>
      </c>
      <c r="Z12" s="20">
        <v>499</v>
      </c>
      <c r="AA12" s="21">
        <v>80</v>
      </c>
      <c r="AB12" s="21">
        <f t="shared" si="6"/>
        <v>419</v>
      </c>
      <c r="AC12" s="20">
        <v>462</v>
      </c>
      <c r="AD12" s="21">
        <v>91</v>
      </c>
      <c r="AE12" s="21">
        <f t="shared" si="7"/>
        <v>371</v>
      </c>
      <c r="AF12" s="63">
        <v>482</v>
      </c>
      <c r="AG12" s="21">
        <v>178</v>
      </c>
      <c r="AH12" s="21">
        <f t="shared" si="8"/>
        <v>304</v>
      </c>
      <c r="AI12" s="21"/>
      <c r="AJ12" s="23" t="s">
        <v>24</v>
      </c>
    </row>
    <row r="13" spans="1:78" ht="18.75" customHeight="1" x14ac:dyDescent="0.25">
      <c r="A13" s="19" t="s">
        <v>26</v>
      </c>
      <c r="B13" s="20">
        <v>600</v>
      </c>
      <c r="C13" s="21">
        <v>94</v>
      </c>
      <c r="D13" s="22">
        <f t="shared" si="9"/>
        <v>506</v>
      </c>
      <c r="E13" s="21">
        <v>657</v>
      </c>
      <c r="F13" s="21">
        <v>109</v>
      </c>
      <c r="G13" s="21">
        <f t="shared" si="10"/>
        <v>548</v>
      </c>
      <c r="H13" s="21">
        <v>655</v>
      </c>
      <c r="I13" s="21">
        <v>104</v>
      </c>
      <c r="J13" s="22">
        <f t="shared" si="11"/>
        <v>551</v>
      </c>
      <c r="K13" s="20">
        <v>619</v>
      </c>
      <c r="L13" s="21">
        <v>95</v>
      </c>
      <c r="M13" s="21">
        <f t="shared" si="12"/>
        <v>524</v>
      </c>
      <c r="N13" s="20">
        <v>574</v>
      </c>
      <c r="O13" s="21">
        <v>73</v>
      </c>
      <c r="P13" s="22">
        <f t="shared" si="2"/>
        <v>501</v>
      </c>
      <c r="Q13" s="20">
        <v>518</v>
      </c>
      <c r="R13" s="21">
        <v>83</v>
      </c>
      <c r="S13" s="22">
        <f t="shared" si="3"/>
        <v>435</v>
      </c>
      <c r="T13" s="20">
        <v>547</v>
      </c>
      <c r="U13" s="21">
        <v>105</v>
      </c>
      <c r="V13" s="21">
        <f t="shared" si="4"/>
        <v>442</v>
      </c>
      <c r="W13" s="20">
        <v>528</v>
      </c>
      <c r="X13" s="21">
        <v>100</v>
      </c>
      <c r="Y13" s="21">
        <f t="shared" si="5"/>
        <v>428</v>
      </c>
      <c r="Z13" s="20">
        <v>491</v>
      </c>
      <c r="AA13" s="21">
        <v>98</v>
      </c>
      <c r="AB13" s="21">
        <f t="shared" si="6"/>
        <v>393</v>
      </c>
      <c r="AC13" s="20">
        <v>522</v>
      </c>
      <c r="AD13" s="21">
        <v>115</v>
      </c>
      <c r="AE13" s="21">
        <f t="shared" si="7"/>
        <v>407</v>
      </c>
      <c r="AF13" s="63">
        <v>507</v>
      </c>
      <c r="AG13" s="21">
        <v>115</v>
      </c>
      <c r="AH13" s="21">
        <f t="shared" si="8"/>
        <v>392</v>
      </c>
      <c r="AI13" s="21"/>
      <c r="AJ13" s="23" t="s">
        <v>27</v>
      </c>
    </row>
    <row r="14" spans="1:78" ht="18.75" customHeight="1" x14ac:dyDescent="0.25">
      <c r="A14" s="19" t="s">
        <v>29</v>
      </c>
      <c r="B14" s="20">
        <v>702</v>
      </c>
      <c r="C14" s="21">
        <v>109</v>
      </c>
      <c r="D14" s="22">
        <f t="shared" si="9"/>
        <v>593</v>
      </c>
      <c r="E14" s="21">
        <v>669</v>
      </c>
      <c r="F14" s="21">
        <v>88</v>
      </c>
      <c r="G14" s="21">
        <f t="shared" si="10"/>
        <v>581</v>
      </c>
      <c r="H14" s="21">
        <v>570</v>
      </c>
      <c r="I14" s="21">
        <v>89</v>
      </c>
      <c r="J14" s="22">
        <f t="shared" si="11"/>
        <v>481</v>
      </c>
      <c r="K14" s="20">
        <v>569</v>
      </c>
      <c r="L14" s="21">
        <v>96</v>
      </c>
      <c r="M14" s="21">
        <f t="shared" si="12"/>
        <v>473</v>
      </c>
      <c r="N14" s="20">
        <v>585</v>
      </c>
      <c r="O14" s="21">
        <v>91</v>
      </c>
      <c r="P14" s="22">
        <f t="shared" si="2"/>
        <v>494</v>
      </c>
      <c r="Q14" s="20">
        <v>565</v>
      </c>
      <c r="R14" s="21">
        <v>109</v>
      </c>
      <c r="S14" s="22">
        <f t="shared" si="3"/>
        <v>456</v>
      </c>
      <c r="T14" s="20">
        <v>623</v>
      </c>
      <c r="U14" s="21">
        <v>88</v>
      </c>
      <c r="V14" s="21">
        <f t="shared" si="4"/>
        <v>535</v>
      </c>
      <c r="W14" s="20">
        <v>574</v>
      </c>
      <c r="X14" s="21">
        <v>91</v>
      </c>
      <c r="Y14" s="21">
        <f t="shared" si="5"/>
        <v>483</v>
      </c>
      <c r="Z14" s="20">
        <v>511</v>
      </c>
      <c r="AA14" s="21">
        <v>85</v>
      </c>
      <c r="AB14" s="21">
        <f t="shared" si="6"/>
        <v>426</v>
      </c>
      <c r="AC14" s="20">
        <v>508</v>
      </c>
      <c r="AD14" s="21">
        <v>129</v>
      </c>
      <c r="AE14" s="21">
        <f t="shared" si="7"/>
        <v>379</v>
      </c>
      <c r="AF14" s="63">
        <v>543</v>
      </c>
      <c r="AG14" s="21">
        <v>106</v>
      </c>
      <c r="AH14" s="21">
        <f t="shared" si="8"/>
        <v>437</v>
      </c>
      <c r="AI14" s="21"/>
      <c r="AJ14" s="23" t="s">
        <v>30</v>
      </c>
    </row>
    <row r="15" spans="1:78" ht="18.75" customHeight="1" x14ac:dyDescent="0.25">
      <c r="A15" s="19" t="s">
        <v>31</v>
      </c>
      <c r="B15" s="20">
        <v>651</v>
      </c>
      <c r="C15" s="21">
        <v>105</v>
      </c>
      <c r="D15" s="22">
        <f t="shared" si="9"/>
        <v>546</v>
      </c>
      <c r="E15" s="21">
        <v>606</v>
      </c>
      <c r="F15" s="21">
        <v>83</v>
      </c>
      <c r="G15" s="21">
        <f t="shared" si="10"/>
        <v>523</v>
      </c>
      <c r="H15" s="21">
        <v>655</v>
      </c>
      <c r="I15" s="21">
        <v>96</v>
      </c>
      <c r="J15" s="22">
        <f t="shared" si="11"/>
        <v>559</v>
      </c>
      <c r="K15" s="20">
        <v>593</v>
      </c>
      <c r="L15" s="21">
        <v>79</v>
      </c>
      <c r="M15" s="21">
        <f t="shared" si="12"/>
        <v>514</v>
      </c>
      <c r="N15" s="20">
        <v>647</v>
      </c>
      <c r="O15" s="21">
        <v>92</v>
      </c>
      <c r="P15" s="22">
        <f t="shared" si="2"/>
        <v>555</v>
      </c>
      <c r="Q15" s="20">
        <v>543</v>
      </c>
      <c r="R15" s="21">
        <v>94</v>
      </c>
      <c r="S15" s="22">
        <f t="shared" si="3"/>
        <v>449</v>
      </c>
      <c r="T15" s="20">
        <v>559</v>
      </c>
      <c r="U15" s="21">
        <v>90</v>
      </c>
      <c r="V15" s="21">
        <f t="shared" si="4"/>
        <v>469</v>
      </c>
      <c r="W15" s="20">
        <v>554</v>
      </c>
      <c r="X15" s="21">
        <v>93</v>
      </c>
      <c r="Y15" s="21">
        <f t="shared" si="5"/>
        <v>461</v>
      </c>
      <c r="Z15" s="20">
        <v>513</v>
      </c>
      <c r="AA15" s="21">
        <v>78</v>
      </c>
      <c r="AB15" s="21">
        <f t="shared" si="6"/>
        <v>435</v>
      </c>
      <c r="AC15" s="20">
        <v>573</v>
      </c>
      <c r="AD15" s="21">
        <v>112</v>
      </c>
      <c r="AE15" s="21">
        <f t="shared" si="7"/>
        <v>461</v>
      </c>
      <c r="AF15" s="63">
        <v>502</v>
      </c>
      <c r="AG15" s="21">
        <v>114</v>
      </c>
      <c r="AH15" s="21">
        <f t="shared" si="8"/>
        <v>388</v>
      </c>
      <c r="AI15" s="21"/>
      <c r="AJ15" s="23" t="s">
        <v>32</v>
      </c>
    </row>
    <row r="16" spans="1:78" ht="18.75" customHeight="1" x14ac:dyDescent="0.25">
      <c r="A16" s="19" t="s">
        <v>0</v>
      </c>
      <c r="B16" s="20">
        <v>643</v>
      </c>
      <c r="C16" s="21">
        <v>87</v>
      </c>
      <c r="D16" s="22">
        <f t="shared" si="9"/>
        <v>556</v>
      </c>
      <c r="E16" s="21">
        <v>624</v>
      </c>
      <c r="F16" s="21">
        <v>77</v>
      </c>
      <c r="G16" s="21">
        <f t="shared" si="10"/>
        <v>547</v>
      </c>
      <c r="H16" s="21">
        <v>643</v>
      </c>
      <c r="I16" s="21">
        <v>99</v>
      </c>
      <c r="J16" s="22">
        <f t="shared" si="11"/>
        <v>544</v>
      </c>
      <c r="K16" s="20">
        <v>618</v>
      </c>
      <c r="L16" s="21">
        <v>98</v>
      </c>
      <c r="M16" s="21">
        <f t="shared" si="12"/>
        <v>520</v>
      </c>
      <c r="N16" s="20">
        <v>628</v>
      </c>
      <c r="O16" s="21">
        <v>97</v>
      </c>
      <c r="P16" s="22">
        <f t="shared" si="2"/>
        <v>531</v>
      </c>
      <c r="Q16" s="20">
        <v>601</v>
      </c>
      <c r="R16" s="21">
        <v>80</v>
      </c>
      <c r="S16" s="22">
        <f t="shared" si="3"/>
        <v>521</v>
      </c>
      <c r="T16" s="20">
        <v>570</v>
      </c>
      <c r="U16" s="21">
        <v>106</v>
      </c>
      <c r="V16" s="21">
        <f t="shared" si="4"/>
        <v>464</v>
      </c>
      <c r="W16" s="20">
        <v>577</v>
      </c>
      <c r="X16" s="21">
        <v>100</v>
      </c>
      <c r="Y16" s="21">
        <f t="shared" si="5"/>
        <v>477</v>
      </c>
      <c r="Z16" s="20">
        <v>525</v>
      </c>
      <c r="AA16" s="21">
        <v>91</v>
      </c>
      <c r="AB16" s="21">
        <f t="shared" si="6"/>
        <v>434</v>
      </c>
      <c r="AC16" s="20">
        <v>514</v>
      </c>
      <c r="AD16" s="21">
        <v>103</v>
      </c>
      <c r="AE16" s="21">
        <f t="shared" si="7"/>
        <v>411</v>
      </c>
      <c r="AF16" s="63">
        <v>524</v>
      </c>
      <c r="AG16" s="21">
        <v>149</v>
      </c>
      <c r="AH16" s="21">
        <f t="shared" si="8"/>
        <v>375</v>
      </c>
      <c r="AI16" s="21"/>
      <c r="AJ16" s="23" t="s">
        <v>34</v>
      </c>
      <c r="BV16" s="1"/>
      <c r="BW16" s="1"/>
      <c r="BX16" s="1"/>
      <c r="BY16" s="1"/>
      <c r="BZ16" s="1"/>
    </row>
    <row r="17" spans="1:88" ht="18.75" customHeight="1" x14ac:dyDescent="0.25">
      <c r="A17" s="19" t="s">
        <v>36</v>
      </c>
      <c r="B17" s="20">
        <v>630</v>
      </c>
      <c r="C17" s="21">
        <v>84</v>
      </c>
      <c r="D17" s="22">
        <f t="shared" si="9"/>
        <v>546</v>
      </c>
      <c r="E17" s="21">
        <v>626</v>
      </c>
      <c r="F17" s="21">
        <v>105</v>
      </c>
      <c r="G17" s="21">
        <f t="shared" si="10"/>
        <v>521</v>
      </c>
      <c r="H17" s="21">
        <v>625</v>
      </c>
      <c r="I17" s="21">
        <v>87</v>
      </c>
      <c r="J17" s="22">
        <f t="shared" si="11"/>
        <v>538</v>
      </c>
      <c r="K17" s="20">
        <v>565</v>
      </c>
      <c r="L17" s="21">
        <v>73</v>
      </c>
      <c r="M17" s="21">
        <f t="shared" si="12"/>
        <v>492</v>
      </c>
      <c r="N17" s="20">
        <v>626</v>
      </c>
      <c r="O17" s="21">
        <v>98</v>
      </c>
      <c r="P17" s="22">
        <f t="shared" si="2"/>
        <v>528</v>
      </c>
      <c r="Q17" s="20">
        <v>553</v>
      </c>
      <c r="R17" s="21">
        <v>88</v>
      </c>
      <c r="S17" s="22">
        <f t="shared" si="3"/>
        <v>465</v>
      </c>
      <c r="T17" s="20">
        <v>520</v>
      </c>
      <c r="U17" s="21">
        <v>94</v>
      </c>
      <c r="V17" s="21">
        <f t="shared" si="4"/>
        <v>426</v>
      </c>
      <c r="W17" s="20">
        <v>520</v>
      </c>
      <c r="X17" s="21">
        <v>90</v>
      </c>
      <c r="Y17" s="21">
        <f t="shared" si="5"/>
        <v>430</v>
      </c>
      <c r="Z17" s="20">
        <v>474</v>
      </c>
      <c r="AA17" s="21">
        <v>86</v>
      </c>
      <c r="AB17" s="21">
        <f t="shared" si="6"/>
        <v>388</v>
      </c>
      <c r="AC17" s="20">
        <v>540</v>
      </c>
      <c r="AD17" s="21">
        <v>110</v>
      </c>
      <c r="AE17" s="21">
        <f t="shared" si="7"/>
        <v>430</v>
      </c>
      <c r="AF17" s="63">
        <v>448</v>
      </c>
      <c r="AG17" s="21">
        <v>116</v>
      </c>
      <c r="AH17" s="21">
        <f t="shared" si="8"/>
        <v>332</v>
      </c>
      <c r="AI17" s="21"/>
      <c r="AJ17" s="23" t="s">
        <v>37</v>
      </c>
    </row>
    <row r="18" spans="1:88" ht="18.75" customHeight="1" x14ac:dyDescent="0.25">
      <c r="A18" s="28" t="s">
        <v>39</v>
      </c>
      <c r="B18" s="29">
        <v>557</v>
      </c>
      <c r="C18" s="30">
        <v>94</v>
      </c>
      <c r="D18" s="31">
        <f t="shared" si="9"/>
        <v>463</v>
      </c>
      <c r="E18" s="30">
        <v>577</v>
      </c>
      <c r="F18" s="30">
        <v>103</v>
      </c>
      <c r="G18" s="30">
        <f t="shared" si="10"/>
        <v>474</v>
      </c>
      <c r="H18" s="30">
        <v>589</v>
      </c>
      <c r="I18" s="30">
        <v>84</v>
      </c>
      <c r="J18" s="31">
        <f t="shared" si="11"/>
        <v>505</v>
      </c>
      <c r="K18" s="29">
        <v>596</v>
      </c>
      <c r="L18" s="30">
        <v>97</v>
      </c>
      <c r="M18" s="30">
        <f t="shared" si="12"/>
        <v>499</v>
      </c>
      <c r="N18" s="29">
        <v>540</v>
      </c>
      <c r="O18" s="30">
        <v>98</v>
      </c>
      <c r="P18" s="31">
        <f t="shared" si="2"/>
        <v>442</v>
      </c>
      <c r="Q18" s="29">
        <v>565</v>
      </c>
      <c r="R18" s="30">
        <v>101</v>
      </c>
      <c r="S18" s="31">
        <f t="shared" si="3"/>
        <v>464</v>
      </c>
      <c r="T18" s="29">
        <v>509</v>
      </c>
      <c r="U18" s="30">
        <v>117</v>
      </c>
      <c r="V18" s="30">
        <f t="shared" si="4"/>
        <v>392</v>
      </c>
      <c r="W18" s="29">
        <v>540</v>
      </c>
      <c r="X18" s="30">
        <v>112</v>
      </c>
      <c r="Y18" s="30">
        <f t="shared" si="5"/>
        <v>428</v>
      </c>
      <c r="Z18" s="29">
        <v>519</v>
      </c>
      <c r="AA18" s="30">
        <v>58</v>
      </c>
      <c r="AB18" s="30">
        <f t="shared" si="6"/>
        <v>461</v>
      </c>
      <c r="AC18" s="29">
        <v>568</v>
      </c>
      <c r="AD18" s="30">
        <v>96</v>
      </c>
      <c r="AE18" s="30">
        <f t="shared" si="7"/>
        <v>472</v>
      </c>
      <c r="AF18" s="62">
        <v>446</v>
      </c>
      <c r="AG18" s="30">
        <v>116</v>
      </c>
      <c r="AH18" s="30">
        <f t="shared" si="8"/>
        <v>330</v>
      </c>
      <c r="AI18" s="30"/>
      <c r="AJ18" s="32" t="s">
        <v>40</v>
      </c>
      <c r="AK18" s="60"/>
      <c r="BV18" s="1"/>
      <c r="BW18" s="1"/>
      <c r="BX18" s="1"/>
      <c r="BY18" s="1"/>
      <c r="BZ18" s="1"/>
    </row>
    <row r="19" spans="1:88" ht="21.75" customHeight="1" x14ac:dyDescent="0.15">
      <c r="A19" s="58" t="s">
        <v>46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1"/>
      <c r="AK19" s="23" t="s">
        <v>48</v>
      </c>
      <c r="BV19" s="1"/>
      <c r="BW19" s="1"/>
      <c r="BX19" s="1"/>
      <c r="BY19" s="1"/>
      <c r="BZ19" s="1"/>
    </row>
    <row r="20" spans="1:88" ht="17.25" customHeight="1" x14ac:dyDescent="0.15">
      <c r="A20" s="64" t="s">
        <v>55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65" t="s">
        <v>52</v>
      </c>
      <c r="AK20" s="61"/>
      <c r="BV20" s="1"/>
      <c r="BW20" s="1"/>
      <c r="BX20" s="1"/>
      <c r="BY20" s="1"/>
      <c r="BZ20" s="1"/>
    </row>
    <row r="21" spans="1:88" s="34" customFormat="1" ht="30" customHeight="1" x14ac:dyDescent="0.25">
      <c r="A21" s="69" t="s">
        <v>54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8" t="s">
        <v>53</v>
      </c>
      <c r="AG21" s="68"/>
      <c r="AH21" s="68"/>
      <c r="AI21" s="68"/>
      <c r="AJ21" s="68"/>
      <c r="AM21" s="66"/>
      <c r="AN21" s="66"/>
      <c r="AO21" s="66"/>
    </row>
    <row r="22" spans="1:88" ht="16.5" x14ac:dyDescent="0.15">
      <c r="A22" s="33" t="s">
        <v>43</v>
      </c>
      <c r="AJ22" s="67" t="s">
        <v>47</v>
      </c>
      <c r="AK22" s="36"/>
      <c r="AL22" s="36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V22" s="1"/>
      <c r="BW22" s="1"/>
      <c r="BX22" s="1"/>
      <c r="BY22" s="1"/>
      <c r="BZ22" s="1"/>
    </row>
    <row r="23" spans="1:88" x14ac:dyDescent="0.5">
      <c r="AK23" s="36"/>
      <c r="AL23" s="36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V23" s="1"/>
      <c r="BW23" s="1"/>
      <c r="BX23" s="1"/>
      <c r="BY23" s="1"/>
      <c r="BZ23" s="1"/>
    </row>
    <row r="24" spans="1:88" x14ac:dyDescent="0.5">
      <c r="AK24" s="36"/>
      <c r="AL24" s="36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</row>
    <row r="25" spans="1:88" x14ac:dyDescent="0.5">
      <c r="AK25" s="36"/>
      <c r="AL25" s="36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</row>
    <row r="26" spans="1:88" x14ac:dyDescent="0.5">
      <c r="AK26" s="36"/>
      <c r="AL26" s="36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</row>
    <row r="29" spans="1:88" ht="12" x14ac:dyDescent="0.15">
      <c r="AJ29" s="1"/>
    </row>
    <row r="30" spans="1:88" ht="12" x14ac:dyDescent="0.15">
      <c r="A30" s="38"/>
      <c r="AJ30" s="1"/>
      <c r="BW30" s="24" t="s">
        <v>8</v>
      </c>
    </row>
    <row r="31" spans="1:88" ht="12" x14ac:dyDescent="0.15">
      <c r="AJ31" s="1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9"/>
      <c r="BT31" s="39"/>
      <c r="BU31" s="39"/>
      <c r="BV31" s="40"/>
    </row>
    <row r="32" spans="1:88" ht="12" x14ac:dyDescent="0.15">
      <c r="A32" s="41"/>
      <c r="AJ32" s="1"/>
      <c r="CD32" s="2"/>
      <c r="CG32" s="24" t="s">
        <v>7</v>
      </c>
      <c r="CH32" s="2"/>
      <c r="CI32" s="2"/>
      <c r="CJ32" s="2"/>
    </row>
    <row r="33" spans="1:92" s="41" customFormat="1" ht="12" x14ac:dyDescent="0.25">
      <c r="A33" s="42"/>
      <c r="BV33" s="43"/>
      <c r="BW33" s="25"/>
      <c r="BX33" s="25">
        <v>2015</v>
      </c>
      <c r="BY33" s="25">
        <v>2016</v>
      </c>
      <c r="BZ33" s="25">
        <v>2017</v>
      </c>
      <c r="CA33" s="25">
        <v>2018</v>
      </c>
      <c r="CB33" s="25">
        <v>2019</v>
      </c>
      <c r="CC33" s="25">
        <v>2020</v>
      </c>
      <c r="CD33" s="25">
        <v>2021</v>
      </c>
      <c r="CG33" s="25"/>
      <c r="CH33" s="25">
        <v>2015</v>
      </c>
      <c r="CI33" s="25">
        <v>2016</v>
      </c>
      <c r="CJ33" s="25">
        <v>2017</v>
      </c>
      <c r="CK33" s="25">
        <v>2018</v>
      </c>
      <c r="CL33" s="25">
        <v>2019</v>
      </c>
      <c r="CM33" s="25">
        <v>2020</v>
      </c>
      <c r="CN33" s="25">
        <v>2021</v>
      </c>
    </row>
    <row r="34" spans="1:92" ht="12.75" x14ac:dyDescent="0.15">
      <c r="A34" s="42"/>
      <c r="AJ34" s="1"/>
      <c r="BW34" s="26" t="s">
        <v>19</v>
      </c>
      <c r="BX34" s="27">
        <v>94</v>
      </c>
      <c r="BY34" s="27">
        <f>R7</f>
        <v>122</v>
      </c>
      <c r="BZ34" s="27">
        <f>U7</f>
        <v>97</v>
      </c>
      <c r="CA34" s="27">
        <f>X7</f>
        <v>114</v>
      </c>
      <c r="CB34" s="27">
        <f>AA7</f>
        <v>110</v>
      </c>
      <c r="CC34" s="27">
        <f>AD7</f>
        <v>114</v>
      </c>
      <c r="CD34" s="27">
        <f>AG7</f>
        <v>98</v>
      </c>
      <c r="CG34" s="26" t="s">
        <v>19</v>
      </c>
      <c r="CH34" s="27">
        <v>517</v>
      </c>
      <c r="CI34" s="27">
        <f t="shared" ref="CI34:CI45" si="13">Q7</f>
        <v>560</v>
      </c>
      <c r="CJ34" s="27">
        <f t="shared" ref="CJ34:CJ45" si="14">T7</f>
        <v>550</v>
      </c>
      <c r="CK34" s="27">
        <f t="shared" ref="CK34:CK45" si="15">W7</f>
        <v>541</v>
      </c>
      <c r="CL34" s="27">
        <f t="shared" ref="CL34:CL45" si="16">Z7</f>
        <v>526</v>
      </c>
      <c r="CM34" s="27">
        <f t="shared" ref="CM34:CM45" si="17">AC7</f>
        <v>540</v>
      </c>
      <c r="CN34" s="27">
        <f>AF7</f>
        <v>444</v>
      </c>
    </row>
    <row r="35" spans="1:92" ht="12.75" x14ac:dyDescent="0.15">
      <c r="A35" s="42"/>
      <c r="AJ35" s="1"/>
      <c r="BW35" s="26" t="s">
        <v>22</v>
      </c>
      <c r="BX35" s="27">
        <v>91</v>
      </c>
      <c r="BY35" s="27">
        <f t="shared" ref="BY35:BY45" si="18">R8</f>
        <v>121</v>
      </c>
      <c r="BZ35" s="27">
        <f t="shared" ref="BZ35:BZ45" si="19">U8</f>
        <v>104</v>
      </c>
      <c r="CA35" s="27">
        <f t="shared" ref="CA35:CA45" si="20">X8</f>
        <v>98</v>
      </c>
      <c r="CB35" s="27">
        <f>AA8</f>
        <v>78</v>
      </c>
      <c r="CC35" s="27">
        <f t="shared" ref="CC35:CC45" si="21">AD8</f>
        <v>96</v>
      </c>
      <c r="CD35" s="27">
        <f t="shared" ref="CD35:CD45" si="22">AG8</f>
        <v>102</v>
      </c>
      <c r="CG35" s="26" t="s">
        <v>22</v>
      </c>
      <c r="CH35" s="27">
        <v>496</v>
      </c>
      <c r="CI35" s="27">
        <f t="shared" si="13"/>
        <v>524</v>
      </c>
      <c r="CJ35" s="27">
        <f t="shared" si="14"/>
        <v>511</v>
      </c>
      <c r="CK35" s="27">
        <f t="shared" si="15"/>
        <v>535</v>
      </c>
      <c r="CL35" s="27">
        <f t="shared" si="16"/>
        <v>449</v>
      </c>
      <c r="CM35" s="27">
        <f t="shared" si="17"/>
        <v>548</v>
      </c>
      <c r="CN35" s="27">
        <f t="shared" ref="CN35:CN45" si="23">AF8</f>
        <v>423</v>
      </c>
    </row>
    <row r="36" spans="1:92" ht="8.25" customHeight="1" x14ac:dyDescent="0.15">
      <c r="A36" s="42"/>
      <c r="AJ36" s="1"/>
      <c r="BW36" s="26" t="s">
        <v>25</v>
      </c>
      <c r="BX36" s="27">
        <v>107</v>
      </c>
      <c r="BY36" s="27">
        <f t="shared" si="18"/>
        <v>129</v>
      </c>
      <c r="BZ36" s="27">
        <f t="shared" si="19"/>
        <v>134</v>
      </c>
      <c r="CA36" s="27">
        <f t="shared" si="20"/>
        <v>117</v>
      </c>
      <c r="CB36" s="27">
        <f t="shared" ref="CB36:CB45" si="24">AA9</f>
        <v>101</v>
      </c>
      <c r="CC36" s="27">
        <f t="shared" si="21"/>
        <v>109</v>
      </c>
      <c r="CD36" s="27">
        <f t="shared" si="22"/>
        <v>104</v>
      </c>
      <c r="CG36" s="26" t="s">
        <v>25</v>
      </c>
      <c r="CH36" s="27">
        <v>538</v>
      </c>
      <c r="CI36" s="27">
        <f t="shared" si="13"/>
        <v>582</v>
      </c>
      <c r="CJ36" s="27">
        <f t="shared" si="14"/>
        <v>598</v>
      </c>
      <c r="CK36" s="27">
        <f t="shared" si="15"/>
        <v>577</v>
      </c>
      <c r="CL36" s="27">
        <f t="shared" si="16"/>
        <v>539</v>
      </c>
      <c r="CM36" s="27">
        <f t="shared" si="17"/>
        <v>485</v>
      </c>
      <c r="CN36" s="27">
        <f t="shared" si="23"/>
        <v>545</v>
      </c>
    </row>
    <row r="37" spans="1:92" x14ac:dyDescent="0.5">
      <c r="A37" s="42"/>
      <c r="B37" s="75"/>
      <c r="C37" s="75"/>
      <c r="D37" s="75"/>
      <c r="E37" s="44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BW37" s="26" t="s">
        <v>28</v>
      </c>
      <c r="BX37" s="27">
        <v>114</v>
      </c>
      <c r="BY37" s="27">
        <f t="shared" si="18"/>
        <v>97</v>
      </c>
      <c r="BZ37" s="27">
        <f t="shared" si="19"/>
        <v>109</v>
      </c>
      <c r="CA37" s="27">
        <f t="shared" si="20"/>
        <v>99</v>
      </c>
      <c r="CB37" s="27">
        <f t="shared" si="24"/>
        <v>87</v>
      </c>
      <c r="CC37" s="27">
        <f t="shared" si="21"/>
        <v>91</v>
      </c>
      <c r="CD37" s="27">
        <f t="shared" si="22"/>
        <v>129</v>
      </c>
      <c r="CG37" s="26" t="s">
        <v>28</v>
      </c>
      <c r="CH37" s="27">
        <v>599</v>
      </c>
      <c r="CI37" s="27">
        <f t="shared" si="13"/>
        <v>628</v>
      </c>
      <c r="CJ37" s="27">
        <f t="shared" si="14"/>
        <v>573</v>
      </c>
      <c r="CK37" s="27">
        <f t="shared" si="15"/>
        <v>521</v>
      </c>
      <c r="CL37" s="27">
        <f t="shared" si="16"/>
        <v>477</v>
      </c>
      <c r="CM37" s="27">
        <f t="shared" si="17"/>
        <v>541</v>
      </c>
      <c r="CN37" s="27">
        <f t="shared" si="23"/>
        <v>534</v>
      </c>
    </row>
    <row r="38" spans="1:92" x14ac:dyDescent="0.5">
      <c r="A38" s="42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BW38" s="26" t="s">
        <v>20</v>
      </c>
      <c r="BX38" s="27">
        <v>87</v>
      </c>
      <c r="BY38" s="27">
        <f t="shared" si="18"/>
        <v>104</v>
      </c>
      <c r="BZ38" s="27">
        <f t="shared" si="19"/>
        <v>94</v>
      </c>
      <c r="CA38" s="27">
        <f t="shared" si="20"/>
        <v>113</v>
      </c>
      <c r="CB38" s="27">
        <f t="shared" si="24"/>
        <v>89</v>
      </c>
      <c r="CC38" s="27">
        <f t="shared" si="21"/>
        <v>109</v>
      </c>
      <c r="CD38" s="27">
        <f t="shared" si="22"/>
        <v>186</v>
      </c>
      <c r="CG38" s="26" t="s">
        <v>20</v>
      </c>
      <c r="CH38" s="27">
        <v>635</v>
      </c>
      <c r="CI38" s="27">
        <f t="shared" si="13"/>
        <v>585</v>
      </c>
      <c r="CJ38" s="27">
        <f t="shared" si="14"/>
        <v>582</v>
      </c>
      <c r="CK38" s="27">
        <f t="shared" si="15"/>
        <v>608</v>
      </c>
      <c r="CL38" s="27">
        <f t="shared" si="16"/>
        <v>604</v>
      </c>
      <c r="CM38" s="27">
        <f t="shared" si="17"/>
        <v>492</v>
      </c>
      <c r="CN38" s="27">
        <f t="shared" si="23"/>
        <v>516</v>
      </c>
    </row>
    <row r="39" spans="1:92" x14ac:dyDescent="0.5">
      <c r="A39" s="42"/>
      <c r="B39" s="46"/>
      <c r="C39" s="46"/>
      <c r="D39" s="47"/>
      <c r="E39" s="47"/>
      <c r="F39" s="46"/>
      <c r="G39" s="46"/>
      <c r="H39" s="47"/>
      <c r="I39" s="46"/>
      <c r="J39" s="46"/>
      <c r="K39" s="47"/>
      <c r="L39" s="46"/>
      <c r="M39" s="46"/>
      <c r="N39" s="47"/>
      <c r="O39" s="46"/>
      <c r="P39" s="46"/>
      <c r="Q39" s="47"/>
      <c r="R39" s="46"/>
      <c r="S39" s="46"/>
      <c r="T39" s="47"/>
      <c r="U39" s="46"/>
      <c r="V39" s="46"/>
      <c r="W39" s="47"/>
      <c r="X39" s="46"/>
      <c r="Y39" s="46"/>
      <c r="Z39" s="47"/>
      <c r="AA39" s="46"/>
      <c r="AB39" s="46"/>
      <c r="AC39" s="47"/>
      <c r="AD39" s="46"/>
      <c r="AE39" s="46"/>
      <c r="AF39" s="47"/>
      <c r="AG39" s="46"/>
      <c r="AH39" s="46"/>
      <c r="AI39" s="46"/>
      <c r="BW39" s="26" t="s">
        <v>33</v>
      </c>
      <c r="BX39" s="27">
        <v>88</v>
      </c>
      <c r="BY39" s="27">
        <f t="shared" si="18"/>
        <v>98</v>
      </c>
      <c r="BZ39" s="27">
        <f t="shared" si="19"/>
        <v>103</v>
      </c>
      <c r="CA39" s="27">
        <f t="shared" si="20"/>
        <v>89</v>
      </c>
      <c r="CB39" s="27">
        <f t="shared" si="24"/>
        <v>80</v>
      </c>
      <c r="CC39" s="27">
        <f t="shared" si="21"/>
        <v>91</v>
      </c>
      <c r="CD39" s="27">
        <f t="shared" si="22"/>
        <v>178</v>
      </c>
      <c r="CG39" s="26" t="s">
        <v>33</v>
      </c>
      <c r="CH39" s="27">
        <v>601</v>
      </c>
      <c r="CI39" s="27">
        <f t="shared" si="13"/>
        <v>532</v>
      </c>
      <c r="CJ39" s="27">
        <f t="shared" si="14"/>
        <v>581</v>
      </c>
      <c r="CK39" s="27">
        <f t="shared" si="15"/>
        <v>489</v>
      </c>
      <c r="CL39" s="27">
        <f t="shared" si="16"/>
        <v>499</v>
      </c>
      <c r="CM39" s="27">
        <f t="shared" si="17"/>
        <v>462</v>
      </c>
      <c r="CN39" s="27">
        <f t="shared" si="23"/>
        <v>482</v>
      </c>
    </row>
    <row r="40" spans="1:92" x14ac:dyDescent="0.5">
      <c r="A40" s="42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BW40" s="26" t="s">
        <v>35</v>
      </c>
      <c r="BX40" s="27">
        <v>73</v>
      </c>
      <c r="BY40" s="27">
        <f t="shared" si="18"/>
        <v>83</v>
      </c>
      <c r="BZ40" s="27">
        <f t="shared" si="19"/>
        <v>105</v>
      </c>
      <c r="CA40" s="27">
        <f t="shared" si="20"/>
        <v>100</v>
      </c>
      <c r="CB40" s="27">
        <f t="shared" si="24"/>
        <v>98</v>
      </c>
      <c r="CC40" s="27">
        <f t="shared" si="21"/>
        <v>115</v>
      </c>
      <c r="CD40" s="27">
        <f t="shared" si="22"/>
        <v>115</v>
      </c>
      <c r="CG40" s="26" t="s">
        <v>35</v>
      </c>
      <c r="CH40" s="27">
        <v>574</v>
      </c>
      <c r="CI40" s="27">
        <f t="shared" si="13"/>
        <v>518</v>
      </c>
      <c r="CJ40" s="27">
        <f t="shared" si="14"/>
        <v>547</v>
      </c>
      <c r="CK40" s="27">
        <f t="shared" si="15"/>
        <v>528</v>
      </c>
      <c r="CL40" s="27">
        <f t="shared" si="16"/>
        <v>491</v>
      </c>
      <c r="CM40" s="27">
        <f t="shared" si="17"/>
        <v>522</v>
      </c>
      <c r="CN40" s="27">
        <f t="shared" si="23"/>
        <v>507</v>
      </c>
    </row>
    <row r="41" spans="1:92" x14ac:dyDescent="0.5">
      <c r="A41" s="42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BW41" s="26" t="s">
        <v>38</v>
      </c>
      <c r="BX41" s="27">
        <v>91</v>
      </c>
      <c r="BY41" s="27">
        <f t="shared" si="18"/>
        <v>109</v>
      </c>
      <c r="BZ41" s="27">
        <f t="shared" si="19"/>
        <v>88</v>
      </c>
      <c r="CA41" s="27">
        <f t="shared" si="20"/>
        <v>91</v>
      </c>
      <c r="CB41" s="27">
        <f t="shared" si="24"/>
        <v>85</v>
      </c>
      <c r="CC41" s="27">
        <f t="shared" si="21"/>
        <v>129</v>
      </c>
      <c r="CD41" s="27">
        <f t="shared" si="22"/>
        <v>106</v>
      </c>
      <c r="CG41" s="26" t="s">
        <v>38</v>
      </c>
      <c r="CH41" s="27">
        <v>585</v>
      </c>
      <c r="CI41" s="27">
        <f t="shared" si="13"/>
        <v>565</v>
      </c>
      <c r="CJ41" s="27">
        <f t="shared" si="14"/>
        <v>623</v>
      </c>
      <c r="CK41" s="27">
        <f t="shared" si="15"/>
        <v>574</v>
      </c>
      <c r="CL41" s="27">
        <f t="shared" si="16"/>
        <v>511</v>
      </c>
      <c r="CM41" s="27">
        <f t="shared" si="17"/>
        <v>508</v>
      </c>
      <c r="CN41" s="27">
        <f t="shared" si="23"/>
        <v>543</v>
      </c>
    </row>
    <row r="42" spans="1:92" x14ac:dyDescent="0.5">
      <c r="A42" s="42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BW42" s="26" t="s">
        <v>41</v>
      </c>
      <c r="BX42" s="27">
        <v>92</v>
      </c>
      <c r="BY42" s="27">
        <f t="shared" si="18"/>
        <v>94</v>
      </c>
      <c r="BZ42" s="27">
        <f t="shared" si="19"/>
        <v>90</v>
      </c>
      <c r="CA42" s="27">
        <f t="shared" si="20"/>
        <v>93</v>
      </c>
      <c r="CB42" s="27">
        <f t="shared" si="24"/>
        <v>78</v>
      </c>
      <c r="CC42" s="27">
        <f t="shared" si="21"/>
        <v>112</v>
      </c>
      <c r="CD42" s="27">
        <f t="shared" si="22"/>
        <v>114</v>
      </c>
      <c r="CG42" s="26" t="s">
        <v>41</v>
      </c>
      <c r="CH42" s="27">
        <v>647</v>
      </c>
      <c r="CI42" s="27">
        <f t="shared" si="13"/>
        <v>543</v>
      </c>
      <c r="CJ42" s="27">
        <f t="shared" si="14"/>
        <v>559</v>
      </c>
      <c r="CK42" s="27">
        <f t="shared" si="15"/>
        <v>554</v>
      </c>
      <c r="CL42" s="27">
        <f t="shared" si="16"/>
        <v>513</v>
      </c>
      <c r="CM42" s="27">
        <f t="shared" si="17"/>
        <v>573</v>
      </c>
      <c r="CN42" s="27">
        <f t="shared" si="23"/>
        <v>502</v>
      </c>
    </row>
    <row r="43" spans="1:92" x14ac:dyDescent="0.5">
      <c r="A43" s="42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BW43" s="26" t="s">
        <v>42</v>
      </c>
      <c r="BX43" s="27">
        <v>97</v>
      </c>
      <c r="BY43" s="27">
        <f t="shared" si="18"/>
        <v>80</v>
      </c>
      <c r="BZ43" s="27">
        <f t="shared" si="19"/>
        <v>106</v>
      </c>
      <c r="CA43" s="27">
        <f t="shared" si="20"/>
        <v>100</v>
      </c>
      <c r="CB43" s="27">
        <f t="shared" si="24"/>
        <v>91</v>
      </c>
      <c r="CC43" s="27">
        <f t="shared" si="21"/>
        <v>103</v>
      </c>
      <c r="CD43" s="27">
        <f t="shared" si="22"/>
        <v>149</v>
      </c>
      <c r="CG43" s="26" t="s">
        <v>42</v>
      </c>
      <c r="CH43" s="27">
        <f>N16</f>
        <v>628</v>
      </c>
      <c r="CI43" s="27">
        <f t="shared" si="13"/>
        <v>601</v>
      </c>
      <c r="CJ43" s="27">
        <f t="shared" si="14"/>
        <v>570</v>
      </c>
      <c r="CK43" s="27">
        <f t="shared" si="15"/>
        <v>577</v>
      </c>
      <c r="CL43" s="27">
        <f t="shared" si="16"/>
        <v>525</v>
      </c>
      <c r="CM43" s="27">
        <f t="shared" si="17"/>
        <v>514</v>
      </c>
      <c r="CN43" s="27">
        <f t="shared" si="23"/>
        <v>524</v>
      </c>
    </row>
    <row r="44" spans="1:92" x14ac:dyDescent="0.5">
      <c r="A44" s="42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BW44" s="26" t="s">
        <v>44</v>
      </c>
      <c r="BX44" s="27">
        <v>98</v>
      </c>
      <c r="BY44" s="27">
        <f t="shared" si="18"/>
        <v>88</v>
      </c>
      <c r="BZ44" s="27">
        <f t="shared" si="19"/>
        <v>94</v>
      </c>
      <c r="CA44" s="27">
        <f t="shared" si="20"/>
        <v>90</v>
      </c>
      <c r="CB44" s="27">
        <f t="shared" si="24"/>
        <v>86</v>
      </c>
      <c r="CC44" s="27">
        <f t="shared" si="21"/>
        <v>110</v>
      </c>
      <c r="CD44" s="27">
        <f t="shared" si="22"/>
        <v>116</v>
      </c>
      <c r="CG44" s="26" t="s">
        <v>44</v>
      </c>
      <c r="CH44" s="27">
        <v>626</v>
      </c>
      <c r="CI44" s="27">
        <f t="shared" si="13"/>
        <v>553</v>
      </c>
      <c r="CJ44" s="27">
        <f t="shared" si="14"/>
        <v>520</v>
      </c>
      <c r="CK44" s="27">
        <f t="shared" si="15"/>
        <v>520</v>
      </c>
      <c r="CL44" s="27">
        <f t="shared" si="16"/>
        <v>474</v>
      </c>
      <c r="CM44" s="27">
        <f t="shared" si="17"/>
        <v>540</v>
      </c>
      <c r="CN44" s="27">
        <f t="shared" si="23"/>
        <v>448</v>
      </c>
    </row>
    <row r="45" spans="1:92" x14ac:dyDescent="0.5"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BW45" s="26" t="s">
        <v>45</v>
      </c>
      <c r="BX45" s="27">
        <v>98</v>
      </c>
      <c r="BY45" s="27">
        <f t="shared" si="18"/>
        <v>101</v>
      </c>
      <c r="BZ45" s="27">
        <f t="shared" si="19"/>
        <v>117</v>
      </c>
      <c r="CA45" s="27">
        <f t="shared" si="20"/>
        <v>112</v>
      </c>
      <c r="CB45" s="27">
        <f t="shared" si="24"/>
        <v>58</v>
      </c>
      <c r="CC45" s="27">
        <f t="shared" si="21"/>
        <v>96</v>
      </c>
      <c r="CD45" s="27">
        <f t="shared" si="22"/>
        <v>116</v>
      </c>
      <c r="CG45" s="26" t="s">
        <v>45</v>
      </c>
      <c r="CH45" s="27">
        <v>540</v>
      </c>
      <c r="CI45" s="27">
        <f t="shared" si="13"/>
        <v>565</v>
      </c>
      <c r="CJ45" s="27">
        <f t="shared" si="14"/>
        <v>509</v>
      </c>
      <c r="CK45" s="27">
        <f t="shared" si="15"/>
        <v>540</v>
      </c>
      <c r="CL45" s="27">
        <f t="shared" si="16"/>
        <v>519</v>
      </c>
      <c r="CM45" s="27">
        <f t="shared" si="17"/>
        <v>568</v>
      </c>
      <c r="CN45" s="27">
        <f t="shared" si="23"/>
        <v>446</v>
      </c>
    </row>
    <row r="46" spans="1:92" x14ac:dyDescent="0.5"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CD46" s="2"/>
      <c r="CE46" s="3"/>
      <c r="CF46" s="2"/>
      <c r="CG46" s="2"/>
      <c r="CH46" s="2"/>
    </row>
    <row r="47" spans="1:92" x14ac:dyDescent="0.5"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BW47" s="49"/>
    </row>
    <row r="48" spans="1:92" x14ac:dyDescent="0.5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BW48" s="50"/>
    </row>
    <row r="49" spans="2:75" x14ac:dyDescent="0.5"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BW49" s="50"/>
    </row>
    <row r="50" spans="2:75" x14ac:dyDescent="0.5"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BW50" s="50"/>
    </row>
    <row r="51" spans="2:75" x14ac:dyDescent="0.5"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BW51" s="50"/>
    </row>
    <row r="52" spans="2:75" x14ac:dyDescent="0.5"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BW52" s="50"/>
    </row>
    <row r="53" spans="2:75" x14ac:dyDescent="0.5">
      <c r="BW53" s="50"/>
    </row>
    <row r="54" spans="2:75" x14ac:dyDescent="0.5">
      <c r="BW54" s="50"/>
    </row>
    <row r="55" spans="2:75" x14ac:dyDescent="0.5">
      <c r="BW55" s="50"/>
    </row>
    <row r="56" spans="2:75" x14ac:dyDescent="0.5">
      <c r="BW56" s="50"/>
    </row>
    <row r="57" spans="2:75" x14ac:dyDescent="0.5">
      <c r="BW57" s="50"/>
    </row>
    <row r="58" spans="2:75" x14ac:dyDescent="0.5">
      <c r="BW58" s="50"/>
    </row>
    <row r="59" spans="2:75" x14ac:dyDescent="0.5">
      <c r="BW59" s="50"/>
    </row>
  </sheetData>
  <mergeCells count="18">
    <mergeCell ref="A1:AJ1"/>
    <mergeCell ref="A2:AJ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21:AJ21"/>
    <mergeCell ref="A21:AE21"/>
    <mergeCell ref="AF3:AH3"/>
    <mergeCell ref="AJ3:AJ5"/>
    <mergeCell ref="B37:D37"/>
    <mergeCell ref="F37:AI37"/>
  </mergeCells>
  <pageMargins left="0.7" right="0.7" top="0.75" bottom="0.75" header="0.3" footer="0.3"/>
  <pageSetup scale="88" orientation="portrait" horizontalDpi="4294967295" verticalDpi="4294967295" r:id="rId1"/>
  <rowBreaks count="1" manualBreakCount="1">
    <brk id="44" max="37" man="1"/>
  </rowBreaks>
  <colBreaks count="1" manualBreakCount="1">
    <brk id="3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2024-07-29T06:02:13Z</cp:lastPrinted>
  <dcterms:created xsi:type="dcterms:W3CDTF">2019-07-22T06:02:33Z</dcterms:created>
  <dcterms:modified xsi:type="dcterms:W3CDTF">2024-07-29T06:02:26Z</dcterms:modified>
</cp:coreProperties>
</file>