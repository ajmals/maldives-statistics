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FC23DB0C-D9BA-4162-A43F-374A925217EA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13" sheetId="12" r:id="rId1"/>
  </sheets>
  <externalReferences>
    <externalReference r:id="rId2"/>
  </externalReferences>
  <definedNames>
    <definedName name="_xlnm.Print_Area" localSheetId="0">'9.13'!$A$1:$J$31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2" l="1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7" i="12" s="1"/>
  <c r="B8" i="12"/>
  <c r="H7" i="12"/>
  <c r="G7" i="12"/>
  <c r="F7" i="12"/>
  <c r="E7" i="12"/>
  <c r="D7" i="12"/>
  <c r="C7" i="12"/>
</calcChain>
</file>

<file path=xl/sharedStrings.xml><?xml version="1.0" encoding="utf-8"?>
<sst xmlns="http://schemas.openxmlformats.org/spreadsheetml/2006/main" count="62" uniqueCount="61">
  <si>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</si>
  <si>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</si>
  <si>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</si>
  <si>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</si>
  <si>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</si>
  <si>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</si>
  <si>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</si>
  <si>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</si>
  <si>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</si>
  <si>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</si>
  <si>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</si>
  <si>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</si>
  <si>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</si>
  <si>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</si>
  <si>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</si>
  <si>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</si>
  <si>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</si>
  <si>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</si>
  <si>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</si>
  <si>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</si>
  <si>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</si>
  <si>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</si>
  <si>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</si>
  <si>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</si>
  <si>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</si>
  <si>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</si>
  <si>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</si>
  <si>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</si>
  <si>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</si>
  <si>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</si>
  <si>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</si>
  <si>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</si>
  <si>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</si>
  <si>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</si>
  <si>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</si>
  <si>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</si>
  <si>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</si>
  <si>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</si>
  <si>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</si>
  <si>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</si>
  <si>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</si>
  <si>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</si>
  <si>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</si>
  <si>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</si>
  <si>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</si>
  <si>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</si>
  <si>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2023 ,cawtctwvWb egumwkirevuDnwd Wdcawh cSokumcaWa iawgEjcaWr cniaeret egukwtctwvWb unuveruk cTrOpcmia cSwaejcaWr  : 9.13 ulwvWt</t>
  </si>
  <si>
    <t>Table 9.13: IMPORTS OF FRESH AGRICULTURAL CROPS MAINLY PRODUCED IN MALDIVES, 2023</t>
  </si>
  <si>
    <t>(cniaOlik )</t>
  </si>
  <si>
    <t>(In kgs)</t>
  </si>
  <si>
    <t>Agricultural Crops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</si>
  <si>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</si>
  <si>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</si>
  <si>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</si>
  <si>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</si>
  <si>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</si>
  <si>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</si>
  <si>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</si>
  <si>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</si>
  <si>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</si>
  <si>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Sweet Potato ( Fresh , Chilled Or Frozen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</si>
</sst>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Faseyha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  <charset val="1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  <charset val="1"/>
    </font>
    <font>
      <sz val="11"/>
      <color indexed="8"/>
      <name val="Faruma"/>
      <charset val="1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</borders>
  <cellStyleXfs count="9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2" fillId="0" borderId="0"/>
    <xf numFmtId="0" fontId="2" fillId="0" borderId="0"/>
    <xf numFmtId="0" fontId="10" fillId="0" borderId="0"/>
  </cellStyleXfs>
  <cellXfs count="33">
    <xf numFmtId="0" fontId="0" fillId="0" borderId="0" xfId="0"/>
    <xf numFmtId="38" fontId="5" fillId="2" borderId="0" xfId="2" applyNumberFormat="1" applyFont="1" applyFill="1" applyBorder="1"/>
    <xf numFmtId="164" fontId="10" fillId="2" borderId="4" xfId="8" applyNumberFormat="1" applyFill="1" applyBorder="1"/>
    <xf numFmtId="2" fontId="15" fillId="2" borderId="3" xfId="8" applyNumberFormat="1" applyFont="1" applyFill="1" applyBorder="1" applyAlignment="1">
      <alignment horizontal="right" vertical="center"/>
    </xf>
    <xf numFmtId="0" fontId="12" fillId="2" borderId="7" xfId="8" applyFont="1" applyFill="1" applyBorder="1" applyAlignment="1">
      <alignment horizontal="right" vertical="center"/>
    </xf>
    <xf numFmtId="0" fontId="14" fillId="2" borderId="1" xfId="8" applyFont="1" applyFill="1" applyBorder="1" applyAlignment="1">
      <alignment horizontal="right" vertical="center"/>
    </xf>
    <xf numFmtId="0" fontId="13" fillId="2" borderId="2" xfId="8" applyFont="1" applyFill="1" applyBorder="1" applyAlignment="1">
      <alignment horizontal="left" vertical="center"/>
    </xf>
    <xf numFmtId="38" fontId="14" fillId="2" borderId="2" xfId="8" applyNumberFormat="1" applyFont="1" applyFill="1" applyBorder="1" applyAlignment="1">
      <alignment horizontal="right" vertical="center"/>
    </xf>
    <xf numFmtId="0" fontId="17" fillId="2" borderId="10" xfId="8" applyFont="1" applyFill="1" applyBorder="1" applyAlignment="1">
      <alignment horizontal="left" vertical="center" indent="1"/>
    </xf>
    <xf numFmtId="0" fontId="17" fillId="2" borderId="11" xfId="8" applyFont="1" applyFill="1" applyBorder="1" applyAlignment="1">
      <alignment horizontal="left" vertical="center" indent="1"/>
    </xf>
    <xf numFmtId="0" fontId="17" fillId="2" borderId="12" xfId="8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164" fontId="8" fillId="2" borderId="13" xfId="1" applyFont="1" applyFill="1" applyBorder="1" applyAlignment="1">
      <alignment horizontal="right" vertical="center" indent="1"/>
    </xf>
    <xf numFmtId="164" fontId="1" fillId="2" borderId="4" xfId="8" applyNumberFormat="1" applyFont="1" applyFill="1" applyBorder="1"/>
    <xf numFmtId="164" fontId="4" fillId="2" borderId="13" xfId="1" applyFont="1" applyFill="1" applyBorder="1" applyAlignment="1">
      <alignment horizontal="left" vertical="center"/>
    </xf>
    <xf numFmtId="164" fontId="10" fillId="2" borderId="0" xfId="8" applyNumberFormat="1" applyFill="1"/>
    <xf numFmtId="1" fontId="7" fillId="2" borderId="0" xfId="0" applyNumberFormat="1" applyFont="1" applyFill="1" applyAlignment="1">
      <alignment horizontal="left" indent="1"/>
    </xf>
    <xf numFmtId="0" fontId="16" fillId="2" borderId="14" xfId="8" applyFont="1" applyFill="1" applyBorder="1" applyAlignment="1">
      <alignment horizontal="right" vertical="center" indent="1"/>
    </xf>
    <xf numFmtId="0" fontId="16" fillId="2" borderId="0" xfId="8" applyFont="1" applyFill="1" applyAlignment="1">
      <alignment horizontal="right" vertical="center" indent="1"/>
    </xf>
    <xf numFmtId="0" fontId="16" fillId="2" borderId="9" xfId="8" applyFont="1" applyFill="1" applyBorder="1" applyAlignment="1">
      <alignment horizontal="right" vertical="center" indent="1"/>
    </xf>
    <xf numFmtId="164" fontId="3" fillId="2" borderId="13" xfId="1" applyFont="1" applyFill="1" applyBorder="1" applyAlignment="1">
      <alignment horizontal="left" vertical="center"/>
    </xf>
    <xf numFmtId="164" fontId="8" fillId="2" borderId="13" xfId="1" applyFont="1" applyFill="1" applyBorder="1" applyAlignment="1">
      <alignment horizontal="left" vertical="center" indent="1"/>
    </xf>
    <xf numFmtId="38" fontId="7" fillId="2" borderId="0" xfId="2" applyNumberFormat="1" applyFont="1" applyFill="1" applyBorder="1" applyAlignment="1">
      <alignment horizontal="right"/>
    </xf>
    <xf numFmtId="38" fontId="7" fillId="2" borderId="1" xfId="2" applyNumberFormat="1" applyFont="1" applyFill="1" applyBorder="1" applyAlignment="1">
      <alignment horizontal="right"/>
    </xf>
    <xf numFmtId="0" fontId="9" fillId="2" borderId="4" xfId="7" applyFont="1" applyFill="1" applyBorder="1" applyAlignment="1">
      <alignment horizontal="center" vertical="center"/>
    </xf>
    <xf numFmtId="0" fontId="11" fillId="2" borderId="4" xfId="8" applyFont="1" applyFill="1" applyBorder="1" applyAlignment="1">
      <alignment horizontal="center" vertical="center"/>
    </xf>
    <xf numFmtId="0" fontId="13" fillId="2" borderId="5" xfId="8" applyFont="1" applyFill="1" applyBorder="1" applyAlignment="1">
      <alignment horizontal="center" vertical="center"/>
    </xf>
    <xf numFmtId="0" fontId="12" fillId="2" borderId="7" xfId="8" applyFont="1" applyFill="1" applyBorder="1" applyAlignment="1">
      <alignment horizontal="right" vertical="center"/>
    </xf>
    <xf numFmtId="0" fontId="12" fillId="2" borderId="9" xfId="8" applyFont="1" applyFill="1" applyBorder="1" applyAlignment="1">
      <alignment horizontal="right" vertical="center"/>
    </xf>
    <xf numFmtId="0" fontId="18" fillId="2" borderId="4" xfId="8" applyFont="1" applyFill="1" applyBorder="1" applyAlignment="1">
      <alignment horizontal="center" vertical="center"/>
    </xf>
    <xf numFmtId="0" fontId="15" fillId="2" borderId="4" xfId="8" applyFont="1" applyFill="1" applyBorder="1" applyAlignment="1">
      <alignment horizontal="center" vertical="center"/>
    </xf>
    <xf numFmtId="0" fontId="13" fillId="2" borderId="6" xfId="8" applyFont="1" applyFill="1" applyBorder="1" applyAlignment="1">
      <alignment horizontal="left" vertical="center"/>
    </xf>
    <xf numFmtId="0" fontId="13" fillId="2" borderId="8" xfId="8" applyFont="1" applyFill="1" applyBorder="1" applyAlignment="1">
      <alignment horizontal="left" vertical="center"/>
    </xf>
  </cellXfs>
  <cellStyles count="9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agri planning 2009 year book(final)" xfId="8" xr:uid="{F548CDDC-8B48-42E3-8B04-9096E447910A}"/>
    <cellStyle name="Normal_Fish &amp;  Agri - 8" xfId="1" xr:uid="{00000000-0005-0000-0000-00000A000000}"/>
    <cellStyle name="Normal_mmifco" xfId="7" xr:uid="{95EF5255-3C43-4034-98FC-AA0D1F3035C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Received\04-%20FISHERIES%20AND%20AGRICULTURE%20-%20Customs.xlsx" TargetMode="External"/><Relationship Id="rId1" Type="http://schemas.openxmlformats.org/officeDocument/2006/relationships/externalLinkPath" Target="/Dissemination/Publications/Statistical%20Year%20Book/YEARBOOK%202024/Received/04-%20FISHERIES%20AND%20AGRICULTURE%20-%20Custo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2"/>
      <sheetName val="9.13"/>
      <sheetName val="9.14"/>
    </sheetNames>
    <sheetDataSet>
      <sheetData sheetId="0"/>
      <sheetData sheetId="1"/>
      <sheetData sheetId="2">
        <row r="5">
          <cell r="B5">
            <v>2014</v>
          </cell>
          <cell r="C5">
            <v>2015</v>
          </cell>
          <cell r="D5">
            <v>2016</v>
          </cell>
          <cell r="E5">
            <v>2017</v>
          </cell>
          <cell r="F5">
            <v>2018</v>
          </cell>
          <cell r="G5">
            <v>2019</v>
          </cell>
          <cell r="H5">
            <v>2020</v>
          </cell>
          <cell r="I5">
            <v>2021</v>
          </cell>
          <cell r="J5">
            <v>2022</v>
          </cell>
          <cell r="K5">
            <v>2023</v>
          </cell>
        </row>
        <row r="6">
          <cell r="B6">
            <v>302002607.58999997</v>
          </cell>
          <cell r="C6">
            <v>330503715.94</v>
          </cell>
          <cell r="D6">
            <v>356030840.86999995</v>
          </cell>
          <cell r="E6">
            <v>400897835.12256002</v>
          </cell>
          <cell r="F6">
            <v>437440288.20000005</v>
          </cell>
          <cell r="G6">
            <v>523705778.18000007</v>
          </cell>
          <cell r="H6">
            <v>319277222.86999995</v>
          </cell>
          <cell r="I6">
            <v>486970834.08999968</v>
          </cell>
          <cell r="J6">
            <v>595470253.65999937</v>
          </cell>
          <cell r="K6">
            <v>572015103.19000006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6D5-23A2-471C-B786-364FDFCFDD29}">
  <dimension ref="A1:AT31"/>
  <sheetViews>
    <sheetView tabSelected="1" zoomScaleNormal="100" workbookViewId="0">
      <selection activeCell="P15" sqref="P15"/>
    </sheetView>
  </sheetViews>
  <sheetFormatPr defaultColWidth="8.85546875" defaultRowHeight="15" x14ac:dyDescent="0.25"/>
  <cols>
    <col min="1" max="1" width="40.85546875" style="2" customWidth="1"/>
    <col min="2" max="8" width="15.7109375" style="2" customWidth="1"/>
    <col min="9" max="9" width="24.5703125" style="2" customWidth="1"/>
    <col min="10" max="10" width="2.85546875" style="2" customWidth="1"/>
    <col min="11" max="16384" width="8.85546875" style="2"/>
  </cols>
  <sheetData>
    <row r="1" spans="1:46" ht="18" x14ac:dyDescent="0.25">
      <c r="A1" s="24" t="s">
        <v>46</v>
      </c>
      <c r="B1" s="24"/>
      <c r="C1" s="24"/>
      <c r="D1" s="24"/>
      <c r="E1" s="24"/>
      <c r="F1" s="24"/>
      <c r="G1" s="24"/>
      <c r="H1" s="24"/>
      <c r="I1" s="24"/>
    </row>
    <row r="2" spans="1:46" ht="15.75" x14ac:dyDescent="0.25">
      <c r="A2" s="25" t="s">
        <v>47</v>
      </c>
      <c r="B2" s="25"/>
      <c r="C2" s="25"/>
      <c r="D2" s="25"/>
      <c r="E2" s="25"/>
      <c r="F2" s="25"/>
      <c r="G2" s="25"/>
      <c r="H2" s="25"/>
      <c r="I2" s="25"/>
    </row>
    <row r="3" spans="1:46" ht="18.75" x14ac:dyDescent="0.25">
      <c r="A3" s="29" t="s">
        <v>48</v>
      </c>
      <c r="B3" s="29"/>
      <c r="C3" s="30"/>
      <c r="D3" s="30"/>
      <c r="E3" s="30"/>
      <c r="F3" s="30"/>
      <c r="G3" s="30"/>
      <c r="H3" s="30"/>
      <c r="I3" s="30"/>
    </row>
    <row r="4" spans="1:46" x14ac:dyDescent="0.25">
      <c r="A4" s="26" t="s">
        <v>49</v>
      </c>
      <c r="B4" s="26"/>
      <c r="C4" s="26"/>
      <c r="D4" s="26"/>
      <c r="E4" s="26"/>
      <c r="F4" s="26"/>
      <c r="G4" s="26"/>
      <c r="H4" s="26"/>
      <c r="I4" s="26"/>
    </row>
    <row r="5" spans="1:46" ht="18.75" x14ac:dyDescent="0.25">
      <c r="A5" s="31" t="s">
        <v>50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27" t="s">
        <v>8</v>
      </c>
    </row>
    <row r="6" spans="1:46" x14ac:dyDescent="0.25">
      <c r="A6" s="32"/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28"/>
    </row>
    <row r="7" spans="1:46" ht="21" x14ac:dyDescent="0.25">
      <c r="A7" s="6" t="s">
        <v>0</v>
      </c>
      <c r="B7" s="7">
        <f t="shared" ref="B7:H7" si="0">SUM(B8:B26)</f>
        <v>37739980.165504098</v>
      </c>
      <c r="C7" s="7">
        <f t="shared" si="0"/>
        <v>30150280.201000005</v>
      </c>
      <c r="D7" s="7">
        <f t="shared" si="0"/>
        <v>4063575.6012235861</v>
      </c>
      <c r="E7" s="7">
        <f t="shared" si="0"/>
        <v>1486512.8163181806</v>
      </c>
      <c r="F7" s="7">
        <f t="shared" si="0"/>
        <v>100514.658</v>
      </c>
      <c r="G7" s="7">
        <f t="shared" si="0"/>
        <v>389709.5773</v>
      </c>
      <c r="H7" s="7">
        <f t="shared" si="0"/>
        <v>1549387.3116623259</v>
      </c>
      <c r="I7" s="4" t="s">
        <v>1</v>
      </c>
      <c r="AO7" s="15"/>
      <c r="AP7" s="15"/>
      <c r="AQ7" s="15"/>
      <c r="AR7" s="15"/>
      <c r="AS7" s="15"/>
      <c r="AT7" s="15"/>
    </row>
    <row r="8" spans="1:46" ht="21" x14ac:dyDescent="0.25">
      <c r="A8" s="16" t="s">
        <v>16</v>
      </c>
      <c r="B8" s="1">
        <f t="shared" ref="B8:B24" si="1">SUM(C8:H8)</f>
        <v>3442561.5490000001</v>
      </c>
      <c r="C8" s="22">
        <v>2373315.02</v>
      </c>
      <c r="D8" s="22">
        <v>951173.76099999994</v>
      </c>
      <c r="E8" s="22">
        <v>83208.565000000002</v>
      </c>
      <c r="F8" s="22">
        <v>474.22</v>
      </c>
      <c r="G8" s="22">
        <v>4047.5529999999999</v>
      </c>
      <c r="H8" s="22">
        <v>30342.43</v>
      </c>
      <c r="I8" s="17" t="s">
        <v>17</v>
      </c>
    </row>
    <row r="9" spans="1:46" ht="21" x14ac:dyDescent="0.25">
      <c r="A9" s="8" t="s">
        <v>18</v>
      </c>
      <c r="B9" s="1">
        <f t="shared" si="1"/>
        <v>684878.42211818183</v>
      </c>
      <c r="C9" s="22">
        <v>428673.22600000002</v>
      </c>
      <c r="D9" s="22">
        <v>113568.428818182</v>
      </c>
      <c r="E9" s="22">
        <v>106210.6473</v>
      </c>
      <c r="F9" s="22">
        <v>3340.33</v>
      </c>
      <c r="G9" s="22">
        <v>4025.5529999999999</v>
      </c>
      <c r="H9" s="22">
        <v>29060.237000000001</v>
      </c>
      <c r="I9" s="18" t="s">
        <v>19</v>
      </c>
    </row>
    <row r="10" spans="1:46" ht="21" x14ac:dyDescent="0.25">
      <c r="A10" s="9" t="s">
        <v>51</v>
      </c>
      <c r="B10" s="1">
        <f t="shared" si="1"/>
        <v>41219.68</v>
      </c>
      <c r="C10" s="22">
        <v>607</v>
      </c>
      <c r="D10" s="22">
        <v>28607.15</v>
      </c>
      <c r="E10" s="22">
        <v>258.5</v>
      </c>
      <c r="F10" s="22">
        <v>0</v>
      </c>
      <c r="G10" s="22">
        <v>11505.03</v>
      </c>
      <c r="H10" s="22">
        <v>242</v>
      </c>
      <c r="I10" s="18" t="s">
        <v>20</v>
      </c>
    </row>
    <row r="11" spans="1:46" ht="21" x14ac:dyDescent="0.25">
      <c r="A11" s="9" t="s">
        <v>52</v>
      </c>
      <c r="B11" s="1">
        <f t="shared" si="1"/>
        <v>4724111.6647142852</v>
      </c>
      <c r="C11" s="22">
        <v>4287862.5599999996</v>
      </c>
      <c r="D11" s="22">
        <v>151044.74</v>
      </c>
      <c r="E11" s="22">
        <v>89725.403999999995</v>
      </c>
      <c r="F11" s="22">
        <v>2480.4699999999998</v>
      </c>
      <c r="G11" s="22">
        <v>4445.1000000000004</v>
      </c>
      <c r="H11" s="22">
        <v>188553.39071428572</v>
      </c>
      <c r="I11" s="18" t="s">
        <v>21</v>
      </c>
    </row>
    <row r="12" spans="1:46" ht="21" x14ac:dyDescent="0.25">
      <c r="A12" s="9" t="s">
        <v>22</v>
      </c>
      <c r="B12" s="1">
        <f t="shared" si="1"/>
        <v>83611.754000000001</v>
      </c>
      <c r="C12" s="22">
        <v>5779.99</v>
      </c>
      <c r="D12" s="22">
        <v>22963.598000000002</v>
      </c>
      <c r="E12" s="22">
        <v>35074.614999999998</v>
      </c>
      <c r="F12" s="22">
        <v>1903.0740000000001</v>
      </c>
      <c r="G12" s="22">
        <v>10463.61</v>
      </c>
      <c r="H12" s="22">
        <v>7426.8670000000002</v>
      </c>
      <c r="I12" s="18" t="s">
        <v>23</v>
      </c>
    </row>
    <row r="13" spans="1:46" ht="21" x14ac:dyDescent="0.25">
      <c r="A13" s="9" t="s">
        <v>53</v>
      </c>
      <c r="B13" s="1">
        <f t="shared" si="1"/>
        <v>194280.65499999997</v>
      </c>
      <c r="C13" s="22">
        <v>2910.4</v>
      </c>
      <c r="D13" s="22">
        <v>176557.30499999999</v>
      </c>
      <c r="E13" s="22">
        <v>3979.05</v>
      </c>
      <c r="F13" s="22">
        <v>0</v>
      </c>
      <c r="G13" s="22">
        <v>10413.799999999999</v>
      </c>
      <c r="H13" s="22">
        <v>420.1</v>
      </c>
      <c r="I13" s="18" t="s">
        <v>24</v>
      </c>
    </row>
    <row r="14" spans="1:46" ht="21" x14ac:dyDescent="0.25">
      <c r="A14" s="9" t="s">
        <v>54</v>
      </c>
      <c r="B14" s="1">
        <f t="shared" si="1"/>
        <v>501971.7667848476</v>
      </c>
      <c r="C14" s="22">
        <v>350179.9</v>
      </c>
      <c r="D14" s="22">
        <v>56391.67</v>
      </c>
      <c r="E14" s="22">
        <v>33305.513618180899</v>
      </c>
      <c r="F14" s="22">
        <v>380.34399999999999</v>
      </c>
      <c r="G14" s="22">
        <v>12547.592500000001</v>
      </c>
      <c r="H14" s="22">
        <v>49166.746666666673</v>
      </c>
      <c r="I14" s="18" t="s">
        <v>25</v>
      </c>
    </row>
    <row r="15" spans="1:46" ht="21" x14ac:dyDescent="0.25">
      <c r="A15" s="9" t="s">
        <v>55</v>
      </c>
      <c r="B15" s="1">
        <f t="shared" si="1"/>
        <v>1113097.5619999999</v>
      </c>
      <c r="C15" s="22">
        <v>317775.94</v>
      </c>
      <c r="D15" s="22">
        <v>558772.24199999997</v>
      </c>
      <c r="E15" s="22">
        <v>151703.43</v>
      </c>
      <c r="F15" s="22">
        <v>2109.41</v>
      </c>
      <c r="G15" s="22">
        <v>1516.28</v>
      </c>
      <c r="H15" s="22">
        <v>81220.259999999995</v>
      </c>
      <c r="I15" s="18" t="s">
        <v>26</v>
      </c>
    </row>
    <row r="16" spans="1:46" ht="21" x14ac:dyDescent="0.25">
      <c r="A16" s="9" t="s">
        <v>56</v>
      </c>
      <c r="B16" s="1">
        <f t="shared" si="1"/>
        <v>135395.10500000001</v>
      </c>
      <c r="C16" s="22">
        <v>112791.87</v>
      </c>
      <c r="D16" s="22">
        <v>16650.445</v>
      </c>
      <c r="E16" s="22">
        <v>5521.19</v>
      </c>
      <c r="F16" s="22">
        <v>5</v>
      </c>
      <c r="G16" s="22">
        <v>141</v>
      </c>
      <c r="H16" s="22">
        <v>285.60000000000002</v>
      </c>
      <c r="I16" s="18" t="s">
        <v>27</v>
      </c>
    </row>
    <row r="17" spans="1:20" ht="21" x14ac:dyDescent="0.25">
      <c r="A17" s="9" t="s">
        <v>57</v>
      </c>
      <c r="B17" s="1">
        <f t="shared" si="1"/>
        <v>481759.15799999994</v>
      </c>
      <c r="C17" s="22">
        <v>96853.88</v>
      </c>
      <c r="D17" s="22">
        <v>177971.948</v>
      </c>
      <c r="E17" s="22">
        <v>50543.67</v>
      </c>
      <c r="F17" s="22">
        <v>19</v>
      </c>
      <c r="G17" s="22">
        <v>57108.56</v>
      </c>
      <c r="H17" s="22">
        <v>99262.1</v>
      </c>
      <c r="I17" s="18" t="s">
        <v>28</v>
      </c>
    </row>
    <row r="18" spans="1:20" ht="21" x14ac:dyDescent="0.25">
      <c r="A18" s="9" t="s">
        <v>29</v>
      </c>
      <c r="B18" s="1">
        <f t="shared" si="1"/>
        <v>842200.79090139829</v>
      </c>
      <c r="C18" s="22">
        <v>13676.04</v>
      </c>
      <c r="D18" s="22">
        <v>63759.63</v>
      </c>
      <c r="E18" s="22">
        <v>396623.74540000001</v>
      </c>
      <c r="F18" s="22">
        <v>31516.31</v>
      </c>
      <c r="G18" s="22">
        <v>8401.08</v>
      </c>
      <c r="H18" s="22">
        <v>328223.98550139827</v>
      </c>
      <c r="I18" s="18" t="s">
        <v>30</v>
      </c>
    </row>
    <row r="19" spans="1:20" ht="21" x14ac:dyDescent="0.25">
      <c r="A19" s="9" t="s">
        <v>58</v>
      </c>
      <c r="B19" s="1">
        <f t="shared" si="1"/>
        <v>1213597.9668000001</v>
      </c>
      <c r="C19" s="22">
        <v>139432.5</v>
      </c>
      <c r="D19" s="22">
        <v>474643.19099999999</v>
      </c>
      <c r="E19" s="22">
        <v>109144.89</v>
      </c>
      <c r="F19" s="22">
        <v>941.12</v>
      </c>
      <c r="G19" s="22">
        <v>121940.7438</v>
      </c>
      <c r="H19" s="22">
        <v>367495.522</v>
      </c>
      <c r="I19" s="18" t="s">
        <v>31</v>
      </c>
    </row>
    <row r="20" spans="1:20" ht="21" x14ac:dyDescent="0.25">
      <c r="A20" s="9" t="s">
        <v>32</v>
      </c>
      <c r="B20" s="1">
        <f t="shared" si="1"/>
        <v>1202740.9976039752</v>
      </c>
      <c r="C20" s="22">
        <v>735482.05</v>
      </c>
      <c r="D20" s="22">
        <v>13022.26</v>
      </c>
      <c r="E20" s="22">
        <v>237539.66500000001</v>
      </c>
      <c r="F20" s="22">
        <v>16541.12</v>
      </c>
      <c r="G20" s="22">
        <v>23659.34</v>
      </c>
      <c r="H20" s="22">
        <v>176496.5626039753</v>
      </c>
      <c r="I20" s="18" t="s">
        <v>33</v>
      </c>
    </row>
    <row r="21" spans="1:20" ht="21" x14ac:dyDescent="0.25">
      <c r="A21" s="9" t="s">
        <v>34</v>
      </c>
      <c r="B21" s="1">
        <f t="shared" si="1"/>
        <v>485677.96000000008</v>
      </c>
      <c r="C21" s="22">
        <v>38087.9</v>
      </c>
      <c r="D21" s="22">
        <v>397867.76</v>
      </c>
      <c r="E21" s="22">
        <v>13122.7</v>
      </c>
      <c r="F21" s="22">
        <v>116.5</v>
      </c>
      <c r="G21" s="22">
        <v>28145.7</v>
      </c>
      <c r="H21" s="22">
        <v>8337.4</v>
      </c>
      <c r="I21" s="18" t="s">
        <v>35</v>
      </c>
    </row>
    <row r="22" spans="1:20" ht="21" x14ac:dyDescent="0.25">
      <c r="A22" s="9" t="s">
        <v>59</v>
      </c>
      <c r="B22" s="1">
        <f t="shared" si="1"/>
        <v>604281.88197599992</v>
      </c>
      <c r="C22" s="22">
        <v>86001.96</v>
      </c>
      <c r="D22" s="22">
        <v>433598.58199999999</v>
      </c>
      <c r="E22" s="22">
        <v>56317.32</v>
      </c>
      <c r="F22" s="22">
        <v>345</v>
      </c>
      <c r="G22" s="22">
        <v>22564.57</v>
      </c>
      <c r="H22" s="22">
        <v>5454.4499759999999</v>
      </c>
      <c r="I22" s="18" t="s">
        <v>36</v>
      </c>
    </row>
    <row r="23" spans="1:20" ht="21" x14ac:dyDescent="0.25">
      <c r="A23" s="9" t="s">
        <v>37</v>
      </c>
      <c r="B23" s="1">
        <f t="shared" si="1"/>
        <v>1413130.260405405</v>
      </c>
      <c r="C23" s="22">
        <v>1218049.605</v>
      </c>
      <c r="D23" s="22">
        <v>149244.95040540499</v>
      </c>
      <c r="E23" s="22">
        <v>38846.705000000002</v>
      </c>
      <c r="F23" s="22">
        <v>5124.5</v>
      </c>
      <c r="G23" s="22">
        <v>544.5</v>
      </c>
      <c r="H23" s="22">
        <v>1320</v>
      </c>
      <c r="I23" s="18" t="s">
        <v>38</v>
      </c>
    </row>
    <row r="24" spans="1:20" ht="21" x14ac:dyDescent="0.25">
      <c r="A24" s="9" t="s">
        <v>39</v>
      </c>
      <c r="B24" s="1">
        <f t="shared" si="1"/>
        <v>12812.26</v>
      </c>
      <c r="C24" s="22">
        <v>2839.9</v>
      </c>
      <c r="D24" s="22">
        <v>99</v>
      </c>
      <c r="E24" s="22">
        <v>1768.9</v>
      </c>
      <c r="F24" s="22">
        <v>0</v>
      </c>
      <c r="G24" s="22">
        <v>856.9</v>
      </c>
      <c r="H24" s="22">
        <v>7247.56</v>
      </c>
      <c r="I24" s="18" t="s">
        <v>40</v>
      </c>
    </row>
    <row r="25" spans="1:20" ht="21" x14ac:dyDescent="0.25">
      <c r="A25" s="9" t="s">
        <v>60</v>
      </c>
      <c r="B25" s="1">
        <f>SUM(C25:H25)</f>
        <v>378110.42800000007</v>
      </c>
      <c r="C25" s="22">
        <v>148591.76</v>
      </c>
      <c r="D25" s="22">
        <v>200325.462</v>
      </c>
      <c r="E25" s="22">
        <v>23614.596000000001</v>
      </c>
      <c r="F25" s="22">
        <v>4274.26</v>
      </c>
      <c r="G25" s="22">
        <v>1300.2</v>
      </c>
      <c r="H25" s="22">
        <v>4.1500000000000004</v>
      </c>
      <c r="I25" s="18" t="s">
        <v>41</v>
      </c>
    </row>
    <row r="26" spans="1:20" ht="21" x14ac:dyDescent="0.25">
      <c r="A26" s="10" t="s">
        <v>42</v>
      </c>
      <c r="B26" s="11">
        <f t="shared" ref="B26" si="2">SUM(C26:H26)</f>
        <v>20184540.303199999</v>
      </c>
      <c r="C26" s="23">
        <v>19791368.699999999</v>
      </c>
      <c r="D26" s="23">
        <v>77313.478000000003</v>
      </c>
      <c r="E26" s="23">
        <v>50003.71</v>
      </c>
      <c r="F26" s="23">
        <v>30944</v>
      </c>
      <c r="G26" s="23">
        <v>66082.464999999997</v>
      </c>
      <c r="H26" s="23">
        <v>168827.95020000002</v>
      </c>
      <c r="I26" s="19" t="s">
        <v>43</v>
      </c>
    </row>
    <row r="27" spans="1:20" s="13" customFormat="1" x14ac:dyDescent="0.25">
      <c r="A27" s="20" t="s">
        <v>44</v>
      </c>
      <c r="B27" s="20"/>
      <c r="C27" s="14"/>
      <c r="D27" s="14"/>
      <c r="E27" s="14"/>
      <c r="F27" s="14"/>
      <c r="G27" s="14"/>
      <c r="H27" s="21">
        <v>44901.649999999994</v>
      </c>
      <c r="I27" s="12" t="s">
        <v>45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s="13" customFormat="1" x14ac:dyDescent="0.25">
      <c r="A28" s="20"/>
      <c r="B28" s="20"/>
      <c r="C28" s="14"/>
      <c r="D28" s="14"/>
      <c r="E28" s="14"/>
      <c r="F28" s="14"/>
      <c r="G28" s="14"/>
      <c r="H28" s="21"/>
      <c r="I28" s="1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s="13" customFormat="1" x14ac:dyDescent="0.25">
      <c r="A29" s="20"/>
      <c r="B29" s="20"/>
      <c r="C29" s="14"/>
      <c r="D29" s="14"/>
      <c r="E29" s="14"/>
      <c r="F29" s="14"/>
      <c r="G29" s="14"/>
      <c r="H29" s="21"/>
      <c r="I29" s="12"/>
      <c r="J29" s="2"/>
      <c r="K29" s="2"/>
      <c r="L29" s="2"/>
      <c r="M29" s="2"/>
      <c r="N29" s="2"/>
      <c r="O29" s="2"/>
      <c r="P29" s="2"/>
      <c r="Q29" s="2"/>
    </row>
    <row r="30" spans="1:20" s="13" customFormat="1" x14ac:dyDescent="0.25">
      <c r="A30" s="20"/>
      <c r="B30" s="20"/>
      <c r="C30" s="14"/>
      <c r="D30" s="14"/>
      <c r="E30" s="14"/>
      <c r="F30" s="14"/>
      <c r="G30" s="14"/>
      <c r="H30" s="21"/>
      <c r="I30" s="12"/>
      <c r="J30" s="2"/>
      <c r="K30" s="2"/>
      <c r="L30" s="2"/>
      <c r="M30" s="2"/>
      <c r="N30" s="2"/>
      <c r="O30" s="2"/>
      <c r="P30" s="2"/>
      <c r="Q30" s="2"/>
    </row>
    <row r="31" spans="1:20" s="13" customFormat="1" x14ac:dyDescent="0.25">
      <c r="A31" s="20"/>
      <c r="B31" s="20"/>
      <c r="C31" s="14"/>
      <c r="D31" s="14"/>
      <c r="E31" s="14"/>
      <c r="F31" s="14"/>
      <c r="G31" s="14"/>
      <c r="H31" s="21"/>
      <c r="I31" s="12"/>
      <c r="J31" s="2"/>
      <c r="K31" s="2"/>
      <c r="L31" s="2"/>
      <c r="M31" s="2"/>
      <c r="N31" s="2"/>
      <c r="O31" s="2"/>
      <c r="P31" s="2"/>
      <c r="Q31" s="2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scale="50" orientation="portrait" r:id="rId1"/>
  <colBreaks count="1" manualBreakCount="1">
    <brk id="10" max="30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2024-08-05T03:05:18Z</cp:lastPrinted>
  <dcterms:created xsi:type="dcterms:W3CDTF">2019-09-09T05:11:24Z</dcterms:created>
  <dcterms:modified xsi:type="dcterms:W3CDTF">2024-08-05T03:05:27Z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