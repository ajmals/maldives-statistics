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Fisheries\"/>
    </mc:Choice>
  </mc:AlternateContent>
  <xr:revisionPtr revIDLastSave="0" documentId="13_ncr:1_{941F8D62-DF48-46D9-A4F8-A914EB028A6F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9.6" sheetId="6" r:id="rId1"/>
  </sheets>
  <definedNames>
    <definedName name="_xlnm.Print_Area" localSheetId="0">'9.6'!$A$1:$L$54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6" l="1"/>
  <c r="K7" i="6"/>
  <c r="K10" i="6"/>
  <c r="K11" i="6"/>
  <c r="K12" i="6"/>
  <c r="K9" i="6"/>
  <c r="K13" i="6"/>
  <c r="K20" i="6"/>
  <c r="K27" i="6"/>
  <c r="K6" i="6" l="1"/>
  <c r="J7" i="6"/>
  <c r="J8" i="6"/>
  <c r="J9" i="6"/>
  <c r="J10" i="6"/>
  <c r="J11" i="6"/>
  <c r="J12" i="6"/>
  <c r="J13" i="6"/>
  <c r="J20" i="6"/>
  <c r="J27" i="6"/>
  <c r="J6" i="6" l="1"/>
  <c r="I27" i="6"/>
  <c r="I7" i="6" l="1"/>
  <c r="I8" i="6"/>
  <c r="I9" i="6"/>
  <c r="I10" i="6"/>
  <c r="I11" i="6"/>
  <c r="I12" i="6"/>
  <c r="I13" i="6"/>
  <c r="I20" i="6"/>
  <c r="I6" i="6" l="1"/>
  <c r="H7" i="6" l="1"/>
  <c r="H8" i="6"/>
  <c r="H9" i="6"/>
  <c r="H10" i="6"/>
  <c r="H11" i="6"/>
  <c r="H12" i="6"/>
  <c r="H27" i="6"/>
  <c r="H20" i="6"/>
  <c r="H13" i="6"/>
  <c r="H6" i="6" l="1"/>
  <c r="G7" i="6" l="1"/>
  <c r="G8" i="6"/>
  <c r="G9" i="6"/>
  <c r="G10" i="6"/>
  <c r="G11" i="6"/>
  <c r="G12" i="6"/>
  <c r="G27" i="6"/>
  <c r="G20" i="6"/>
  <c r="G13" i="6"/>
  <c r="G6" i="6" l="1"/>
  <c r="F27" i="6" l="1"/>
  <c r="E27" i="6"/>
  <c r="D27" i="6"/>
  <c r="C27" i="6"/>
  <c r="B27" i="6"/>
  <c r="F20" i="6"/>
  <c r="E20" i="6"/>
  <c r="D20" i="6"/>
  <c r="C20" i="6"/>
  <c r="B20" i="6"/>
  <c r="F13" i="6"/>
  <c r="E13" i="6"/>
  <c r="D13" i="6"/>
  <c r="C13" i="6"/>
  <c r="B13" i="6"/>
  <c r="F12" i="6"/>
  <c r="E12" i="6"/>
  <c r="D12" i="6"/>
  <c r="C12" i="6"/>
  <c r="B12" i="6"/>
  <c r="F11" i="6"/>
  <c r="E11" i="6"/>
  <c r="D11" i="6"/>
  <c r="C11" i="6"/>
  <c r="B11" i="6"/>
  <c r="F10" i="6"/>
  <c r="E10" i="6"/>
  <c r="D10" i="6"/>
  <c r="C10" i="6"/>
  <c r="B10" i="6"/>
  <c r="F9" i="6"/>
  <c r="E9" i="6"/>
  <c r="D9" i="6"/>
  <c r="C9" i="6"/>
  <c r="B9" i="6"/>
  <c r="F8" i="6"/>
  <c r="E8" i="6"/>
  <c r="D8" i="6"/>
  <c r="C8" i="6"/>
  <c r="B8" i="6"/>
  <c r="F7" i="6"/>
  <c r="E7" i="6"/>
  <c r="D7" i="6"/>
  <c r="C7" i="6"/>
  <c r="B7" i="6"/>
  <c r="E6" i="6" l="1"/>
  <c r="F6" i="6"/>
  <c r="D6" i="6"/>
  <c r="B6" i="6"/>
  <c r="C6" i="6"/>
</calcChain>
</file>

<file path=xl/sharedStrings.xml><?xml version="1.0" encoding="utf-8"?>
<sst xmlns="http://schemas.openxmlformats.org/spreadsheetml/2006/main" count="34" uniqueCount="16">
  <si>
    <t>Bigeye tuna</t>
  </si>
  <si>
    <t>(cnunwT ckircTem)</t>
  </si>
  <si>
    <t>Yellowfin tuna</t>
  </si>
  <si>
    <t>(In metric tons)</t>
  </si>
  <si>
    <t>Skipjack</t>
  </si>
  <si>
    <t>Type of vessel &amp; species</t>
  </si>
  <si>
    <t>All Vessels</t>
  </si>
  <si>
    <t>Albacore</t>
  </si>
  <si>
    <t>Other tuna related species</t>
  </si>
  <si>
    <t>Other Marine Fishes</t>
  </si>
  <si>
    <t>Mechanised Masdhoni</t>
  </si>
  <si>
    <t>Other vessels</t>
  </si>
  <si>
    <t>Longline vessels</t>
  </si>
  <si>
    <t>Source: Ministry of Fisheries, Marine Resources and Agriculture</t>
  </si>
  <si>
    <t>Table 9.6 :  FISH CATCH BY TYPE OF VESSELS AND SPECIES, 2013 - 2023</t>
  </si>
  <si>
    <t>2023 - 2013 ,cswminEb wtwvun ifih cnutog egutwvWb eguhwm iaWncnutog egudnwLua : 9.6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</si>
</sst>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7" formatCode="0.0"/>
    <numFmt numFmtId="169" formatCode="#,##0.0_);[Red]\(#,##0.0\)"/>
    <numFmt numFmtId="170" formatCode="[$-409]mmmm\ d\,\ 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i/>
      <sz val="9"/>
      <name val="Calibri"/>
      <family val="2"/>
    </font>
    <font>
      <sz val="9"/>
      <name val="Courier"/>
      <family val="3"/>
    </font>
    <font>
      <b/>
      <sz val="10"/>
      <name val="Arial"/>
      <family val="2"/>
    </font>
    <font>
      <sz val="9"/>
      <name val="Calibri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0"/>
      <name val="A_Faseyha"/>
    </font>
    <font>
      <i/>
      <sz val="10"/>
      <name val="Calibri"/>
      <family val="2"/>
      <scheme val="minor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  <xf numFmtId="0" fontId="8" fillId="0" borderId="0"/>
  </cellStyleXfs>
  <cellXfs count="43">
    <xf numFmtId="0" fontId="0" fillId="0" borderId="0" xfId="0"/>
    <xf numFmtId="164" fontId="2" fillId="2" borderId="0" xfId="2" applyFill="1" applyAlignment="1">
      <alignment vertical="center"/>
    </xf>
    <xf numFmtId="164" fontId="7" fillId="2" borderId="0" xfId="2" applyFont="1" applyFill="1" applyAlignment="1">
      <alignment horizontal="left" vertical="center"/>
    </xf>
    <xf numFmtId="164" fontId="8" fillId="2" borderId="0" xfId="2" applyFont="1" applyFill="1" applyAlignment="1">
      <alignment vertical="center"/>
    </xf>
    <xf numFmtId="164" fontId="9" fillId="2" borderId="0" xfId="2" applyFont="1" applyFill="1" applyAlignment="1">
      <alignment horizontal="left" vertical="center"/>
    </xf>
    <xf numFmtId="164" fontId="7" fillId="2" borderId="1" xfId="2" applyFont="1" applyFill="1" applyBorder="1" applyAlignment="1">
      <alignment horizontal="left" vertical="center"/>
    </xf>
    <xf numFmtId="164" fontId="11" fillId="2" borderId="0" xfId="2" applyFont="1" applyFill="1" applyAlignment="1">
      <alignment vertical="center"/>
    </xf>
    <xf numFmtId="164" fontId="10" fillId="2" borderId="0" xfId="2" applyFont="1" applyFill="1" applyAlignment="1">
      <alignment horizontal="left" vertical="center"/>
    </xf>
    <xf numFmtId="164" fontId="12" fillId="2" borderId="0" xfId="2" applyFont="1" applyFill="1" applyAlignment="1">
      <alignment vertical="center"/>
    </xf>
    <xf numFmtId="164" fontId="5" fillId="2" borderId="0" xfId="2" applyFont="1" applyFill="1" applyAlignment="1">
      <alignment vertical="center"/>
    </xf>
    <xf numFmtId="164" fontId="13" fillId="2" borderId="0" xfId="2" applyFont="1" applyFill="1" applyAlignment="1">
      <alignment vertical="center"/>
    </xf>
    <xf numFmtId="164" fontId="6" fillId="2" borderId="0" xfId="2" applyFont="1" applyFill="1" applyAlignment="1">
      <alignment vertical="center"/>
    </xf>
    <xf numFmtId="1" fontId="8" fillId="2" borderId="0" xfId="2" applyNumberFormat="1" applyFont="1" applyFill="1" applyAlignment="1">
      <alignment vertical="center"/>
    </xf>
    <xf numFmtId="164" fontId="13" fillId="2" borderId="0" xfId="2" applyFont="1" applyFill="1" applyAlignment="1">
      <alignment horizontal="right" vertical="center"/>
    </xf>
    <xf numFmtId="164" fontId="6" fillId="2" borderId="0" xfId="2" applyFont="1" applyFill="1" applyAlignment="1">
      <alignment horizontal="right" vertical="center"/>
    </xf>
    <xf numFmtId="164" fontId="9" fillId="2" borderId="3" xfId="2" applyFont="1" applyFill="1" applyBorder="1" applyAlignment="1">
      <alignment horizontal="left" vertical="center"/>
    </xf>
    <xf numFmtId="164" fontId="14" fillId="2" borderId="3" xfId="2" applyFont="1" applyFill="1" applyBorder="1" applyAlignment="1">
      <alignment horizontal="right" vertical="center"/>
    </xf>
    <xf numFmtId="38" fontId="14" fillId="2" borderId="0" xfId="4" applyNumberFormat="1" applyFont="1" applyFill="1" applyAlignment="1" applyProtection="1">
      <alignment horizontal="right" vertical="center"/>
    </xf>
    <xf numFmtId="38" fontId="14" fillId="2" borderId="0" xfId="3" applyNumberFormat="1" applyFont="1" applyFill="1" applyAlignment="1" applyProtection="1">
      <alignment horizontal="right" vertical="center"/>
    </xf>
    <xf numFmtId="0" fontId="14" fillId="2" borderId="0" xfId="0" applyFont="1" applyFill="1" applyAlignment="1">
      <alignment horizontal="left"/>
    </xf>
    <xf numFmtId="164" fontId="9" fillId="2" borderId="2" xfId="2" applyFont="1" applyFill="1" applyBorder="1" applyAlignment="1">
      <alignment horizontal="left" vertical="center"/>
    </xf>
    <xf numFmtId="38" fontId="14" fillId="2" borderId="2" xfId="3" applyNumberFormat="1" applyFont="1" applyFill="1" applyBorder="1" applyAlignment="1" applyProtection="1">
      <alignment horizontal="right" vertical="center"/>
    </xf>
    <xf numFmtId="38" fontId="16" fillId="2" borderId="0" xfId="4" applyNumberFormat="1" applyFont="1" applyFill="1" applyAlignment="1" applyProtection="1">
      <alignment horizontal="right" vertical="center"/>
      <protection locked="0"/>
    </xf>
    <xf numFmtId="38" fontId="16" fillId="2" borderId="0" xfId="3" applyNumberFormat="1" applyFont="1" applyFill="1" applyAlignment="1" applyProtection="1">
      <alignment horizontal="right" vertical="center"/>
      <protection locked="0"/>
    </xf>
    <xf numFmtId="167" fontId="11" fillId="2" borderId="0" xfId="2" applyNumberFormat="1" applyFont="1" applyFill="1" applyAlignment="1">
      <alignment vertical="center"/>
    </xf>
    <xf numFmtId="0" fontId="16" fillId="2" borderId="0" xfId="0" applyFont="1" applyFill="1" applyAlignment="1">
      <alignment horizontal="left"/>
    </xf>
    <xf numFmtId="164" fontId="7" fillId="2" borderId="2" xfId="2" applyFont="1" applyFill="1" applyBorder="1" applyAlignment="1">
      <alignment horizontal="left" vertical="center"/>
    </xf>
    <xf numFmtId="38" fontId="16" fillId="2" borderId="2" xfId="3" applyNumberFormat="1" applyFont="1" applyFill="1" applyBorder="1" applyAlignment="1" applyProtection="1">
      <alignment horizontal="right" vertical="center"/>
      <protection locked="0"/>
    </xf>
    <xf numFmtId="38" fontId="16" fillId="2" borderId="0" xfId="4" applyNumberFormat="1" applyFont="1" applyFill="1" applyAlignment="1" applyProtection="1">
      <alignment horizontal="right" vertical="center"/>
    </xf>
    <xf numFmtId="169" fontId="4" fillId="2" borderId="0" xfId="4" applyNumberFormat="1" applyFont="1" applyFill="1" applyAlignment="1" applyProtection="1">
      <alignment horizontal="right" vertical="center"/>
    </xf>
    <xf numFmtId="169" fontId="4" fillId="2" borderId="0" xfId="3" applyNumberFormat="1" applyFont="1" applyFill="1" applyAlignment="1" applyProtection="1">
      <alignment horizontal="right" vertical="center"/>
    </xf>
    <xf numFmtId="38" fontId="16" fillId="2" borderId="1" xfId="4" applyNumberFormat="1" applyFont="1" applyFill="1" applyBorder="1" applyAlignment="1" applyProtection="1">
      <alignment horizontal="right" vertical="center"/>
      <protection locked="0"/>
    </xf>
    <xf numFmtId="164" fontId="18" fillId="2" borderId="0" xfId="2" applyFont="1" applyFill="1" applyAlignment="1">
      <alignment horizontal="left" vertical="center"/>
    </xf>
    <xf numFmtId="164" fontId="7" fillId="2" borderId="0" xfId="2" applyFont="1" applyFill="1" applyAlignment="1">
      <alignment vertical="center"/>
    </xf>
    <xf numFmtId="164" fontId="16" fillId="2" borderId="0" xfId="2" applyFont="1" applyFill="1" applyAlignment="1">
      <alignment vertical="center"/>
    </xf>
    <xf numFmtId="164" fontId="14" fillId="2" borderId="0" xfId="2" applyFont="1" applyFill="1" applyAlignment="1">
      <alignment vertical="center"/>
    </xf>
    <xf numFmtId="1" fontId="11" fillId="2" borderId="0" xfId="2" applyNumberFormat="1" applyFont="1" applyFill="1" applyAlignment="1">
      <alignment vertical="center"/>
    </xf>
    <xf numFmtId="1" fontId="0" fillId="2" borderId="0" xfId="2" applyNumberFormat="1" applyFont="1" applyFill="1" applyAlignment="1">
      <alignment vertical="center"/>
    </xf>
    <xf numFmtId="43" fontId="11" fillId="2" borderId="0" xfId="1" applyFont="1" applyFill="1" applyAlignment="1">
      <alignment vertical="center"/>
    </xf>
    <xf numFmtId="164" fontId="19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17" fillId="2" borderId="0" xfId="2" applyFont="1" applyFill="1" applyAlignment="1">
      <alignment horizontal="center" vertical="center" wrapText="1"/>
    </xf>
    <xf numFmtId="164" fontId="6" fillId="2" borderId="1" xfId="2" applyFont="1" applyFill="1" applyBorder="1" applyAlignment="1">
      <alignment horizontal="center" vertical="center"/>
    </xf>
  </cellXfs>
  <cellStyles count="9">
    <cellStyle name="1" xfId="8" xr:uid="{00000000-0005-0000-0000-000000000000}"/>
    <cellStyle name="Comma" xfId="1" builtinId="3"/>
    <cellStyle name="Comma 2" xfId="3" xr:uid="{00000000-0005-0000-0000-000002000000}"/>
    <cellStyle name="Comma_Fish &amp;  Agri - 8" xfId="4" xr:uid="{00000000-0005-0000-0000-000003000000}"/>
    <cellStyle name="Normal" xfId="0" builtinId="0"/>
    <cellStyle name="Normal 2_agri planning 2009 year book(final)" xfId="5" xr:uid="{00000000-0005-0000-0000-000005000000}"/>
    <cellStyle name="Normal 3_agri planning 2009 year book(final)" xfId="7" xr:uid="{00000000-0005-0000-0000-000006000000}"/>
    <cellStyle name="Normal 4_agri planning 2009 year book(final)" xfId="6" xr:uid="{00000000-0005-0000-0000-000007000000}"/>
    <cellStyle name="Normal_Fish &amp;  Agri - 8" xfId="2" xr:uid="{00000000-0005-0000-0000-00000A000000}"/>
  </cellStyles>
  <dxfs count="0"/>
  <tableStyles count="0" defaultTableStyle="TableStyleMedium2" defaultPivotStyle="PivotStyleLight16"/>
  <colors>
    <mruColors>
      <color rgb="FF33CCCC"/>
      <color rgb="FF249390"/>
      <color rgb="FF00FFCC"/>
      <color rgb="FFEAFAFA"/>
      <color rgb="FFFFD5D5"/>
      <color rgb="FFFFA7A7"/>
      <color rgb="FFFFE5E5"/>
      <color rgb="FFFF9900"/>
      <color rgb="FF196563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Figure 9.4: Percentage of  fish catch by type of  species, 2023</a:t>
            </a:r>
          </a:p>
        </c:rich>
      </c:tx>
      <c:layout>
        <c:manualLayout>
          <c:xMode val="edge"/>
          <c:yMode val="edge"/>
          <c:x val="0.14740330407105226"/>
          <c:y val="6.1205402987215524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131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5452186245661453E-2"/>
          <c:y val="0.16216197962446416"/>
          <c:w val="0.86631689728810357"/>
          <c:h val="0.78181414117634185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0-BAD8-465B-BB45-3A689C5CE434}"/>
              </c:ext>
            </c:extLst>
          </c:dPt>
          <c:dPt>
            <c:idx val="1"/>
            <c:bubble3D val="0"/>
            <c:spPr>
              <a:solidFill>
                <a:srgbClr val="249390"/>
              </a:solidFill>
            </c:spPr>
            <c:extLst>
              <c:ext xmlns:c16="http://schemas.microsoft.com/office/drawing/2014/chart" uri="{C3380CC4-5D6E-409C-BE32-E72D297353CC}">
                <c16:uniqueId val="{00000001-BAD8-465B-BB45-3A689C5CE434}"/>
              </c:ext>
            </c:extLst>
          </c:dPt>
          <c:dLbls>
            <c:dLbl>
              <c:idx val="0"/>
              <c:layout>
                <c:manualLayout>
                  <c:x val="0.25110756631264747"/>
                  <c:y val="3.422262831354924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AD8-465B-BB45-3A689C5CE43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D8-465B-BB45-3A689C5CE43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D8-465B-BB45-3A689C5CE43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AD8-465B-BB45-3A689C5CE43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D8-465B-BB45-3A689C5CE43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'9.6'!$A$7:$A$12</c:f>
              <c:strCache>
                <c:ptCount val="6"/>
                <c:pt idx="0">
                  <c:v>Skipjack</c:v>
                </c:pt>
                <c:pt idx="1">
                  <c:v>Yellowfin tuna</c:v>
                </c:pt>
                <c:pt idx="2">
                  <c:v>Bigeye tuna</c:v>
                </c:pt>
                <c:pt idx="3">
                  <c:v>Albacore</c:v>
                </c:pt>
                <c:pt idx="4">
                  <c:v>Other tuna related species</c:v>
                </c:pt>
                <c:pt idx="5">
                  <c:v>Other Marine Fishes</c:v>
                </c:pt>
              </c:strCache>
            </c:strRef>
          </c:cat>
          <c:val>
            <c:numRef>
              <c:f>'9.6'!$K$7:$K$12</c:f>
              <c:numCache>
                <c:formatCode>#,##0_);[Red]\(#,##0\)</c:formatCode>
                <c:ptCount val="6"/>
                <c:pt idx="0">
                  <c:v>129200.73426197746</c:v>
                </c:pt>
                <c:pt idx="1">
                  <c:v>30775.6657436399</c:v>
                </c:pt>
                <c:pt idx="2">
                  <c:v>395.66546875728534</c:v>
                </c:pt>
                <c:pt idx="3">
                  <c:v>0</c:v>
                </c:pt>
                <c:pt idx="4">
                  <c:v>117.31568347240568</c:v>
                </c:pt>
                <c:pt idx="5">
                  <c:v>193.75071118576031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A9F-4895-81DB-58F06A800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</c:plotArea>
    <c:plotVisOnly val="1"/>
    <c:dispBlanksAs val="gap"/>
    <c:showDLblsOverMax val="0"/>
  </c:chart>
  <c:spPr>
    <a:solidFill>
      <a:srgbClr val="EAFA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450842</xdr:colOff>
      <xdr:row>34</xdr:row>
      <xdr:rowOff>54344</xdr:rowOff>
    </xdr:from>
    <xdr:to>
      <xdr:col>8</xdr:col>
      <xdr:colOff>578303</xdr:colOff>
      <xdr:row>53</xdr:row>
      <xdr:rowOff>68036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51"/>
  <sheetViews>
    <sheetView tabSelected="1" zoomScale="112" zoomScaleNormal="112" workbookViewId="0">
      <selection activeCell="N13" sqref="N13"/>
    </sheetView>
  </sheetViews>
  <sheetFormatPr defaultColWidth="8.85546875" defaultRowHeight="12.75" x14ac:dyDescent="0.25"/>
  <cols>
    <col min="1" max="1" width="24.7109375" style="3" customWidth="1"/>
    <col min="2" max="8" width="11.140625" style="34" customWidth="1"/>
    <col min="9" max="11" width="11.140625" style="3" customWidth="1"/>
    <col min="12" max="12" width="14.85546875" style="3" bestFit="1" customWidth="1"/>
    <col min="13" max="13" width="8.85546875" style="3"/>
    <col min="14" max="14" width="22.28515625" style="3" bestFit="1" customWidth="1"/>
    <col min="15" max="16384" width="8.85546875" style="3"/>
  </cols>
  <sheetData>
    <row r="1" spans="1:28" s="8" customFormat="1" ht="18.75" x14ac:dyDescent="0.25">
      <c r="A1" s="39" t="s">
        <v>15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s="14" customFormat="1" ht="15.75" x14ac:dyDescent="0.25">
      <c r="A2" s="40" t="s">
        <v>14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s="9" customFormat="1" ht="15.75" x14ac:dyDescent="0.25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s="11" customFormat="1" ht="12.95" customHeight="1" x14ac:dyDescent="0.25">
      <c r="A4" s="42" t="s">
        <v>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s="8" customFormat="1" x14ac:dyDescent="0.25">
      <c r="A5" s="15" t="s">
        <v>5</v>
      </c>
      <c r="B5" s="16">
        <v>2014</v>
      </c>
      <c r="C5" s="16">
        <v>2015</v>
      </c>
      <c r="D5" s="16">
        <v>2016</v>
      </c>
      <c r="E5" s="16">
        <v>2017</v>
      </c>
      <c r="F5" s="16">
        <v>2018</v>
      </c>
      <c r="G5" s="16">
        <v>2019</v>
      </c>
      <c r="H5" s="16">
        <v>2020</v>
      </c>
      <c r="I5" s="16">
        <v>2021</v>
      </c>
      <c r="J5" s="16">
        <v>2022</v>
      </c>
      <c r="K5" s="16">
        <v>2023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s="9" customFormat="1" x14ac:dyDescent="0.25">
      <c r="A6" s="4" t="s">
        <v>6</v>
      </c>
      <c r="B6" s="17">
        <f t="shared" ref="B6:F6" si="0">SUM(B7:B12)</f>
        <v>128683.22700000007</v>
      </c>
      <c r="C6" s="17">
        <f t="shared" si="0"/>
        <v>127351.81848143297</v>
      </c>
      <c r="D6" s="17">
        <f t="shared" si="0"/>
        <v>129190.99510655231</v>
      </c>
      <c r="E6" s="17">
        <f t="shared" si="0"/>
        <v>143159.96433162465</v>
      </c>
      <c r="F6" s="17">
        <f t="shared" si="0"/>
        <v>151024.32375223361</v>
      </c>
      <c r="G6" s="17">
        <f t="shared" ref="G6:K6" si="1">SUM(G7:G12)</f>
        <v>135068.92557018774</v>
      </c>
      <c r="H6" s="17">
        <f t="shared" si="1"/>
        <v>148582.96918261508</v>
      </c>
      <c r="I6" s="17">
        <f t="shared" si="1"/>
        <v>144992.65539280474</v>
      </c>
      <c r="J6" s="17">
        <f t="shared" si="1"/>
        <v>155205.21614942857</v>
      </c>
      <c r="K6" s="17">
        <f t="shared" si="1"/>
        <v>160683.1318690328</v>
      </c>
      <c r="L6" s="17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s="9" customFormat="1" x14ac:dyDescent="0.25">
      <c r="A7" s="4" t="s">
        <v>4</v>
      </c>
      <c r="B7" s="18">
        <f t="shared" ref="B7:F12" si="2">B14+B21+B28</f>
        <v>68521.958485088442</v>
      </c>
      <c r="C7" s="18">
        <f t="shared" si="2"/>
        <v>69244.324399131321</v>
      </c>
      <c r="D7" s="18">
        <f t="shared" si="2"/>
        <v>69589.480938961424</v>
      </c>
      <c r="E7" s="18">
        <f t="shared" si="2"/>
        <v>89683.148024090726</v>
      </c>
      <c r="F7" s="18">
        <f t="shared" si="2"/>
        <v>100099.48690598567</v>
      </c>
      <c r="G7" s="18">
        <f t="shared" ref="G7:H12" si="3">G14+G21+G28</f>
        <v>88019.666239199301</v>
      </c>
      <c r="H7" s="18">
        <f t="shared" si="3"/>
        <v>103870.66972179353</v>
      </c>
      <c r="I7" s="18">
        <f t="shared" ref="I7:J7" si="4">I14+I21+I28</f>
        <v>118683.30116795225</v>
      </c>
      <c r="J7" s="18">
        <f t="shared" si="4"/>
        <v>126385.79982430226</v>
      </c>
      <c r="K7" s="18">
        <f t="shared" ref="K7:K12" si="5">K14+K21+K28</f>
        <v>129200.73426197746</v>
      </c>
      <c r="L7" s="38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s="9" customFormat="1" x14ac:dyDescent="0.25">
      <c r="A8" s="4" t="s">
        <v>2</v>
      </c>
      <c r="B8" s="18">
        <f t="shared" si="2"/>
        <v>49100.552219018806</v>
      </c>
      <c r="C8" s="18">
        <f t="shared" si="2"/>
        <v>51472.456475638181</v>
      </c>
      <c r="D8" s="18">
        <f t="shared" si="2"/>
        <v>53705.451966179055</v>
      </c>
      <c r="E8" s="18">
        <f t="shared" si="2"/>
        <v>49376.811349197844</v>
      </c>
      <c r="F8" s="18">
        <f t="shared" si="2"/>
        <v>47216.695506999946</v>
      </c>
      <c r="G8" s="18">
        <f t="shared" si="3"/>
        <v>44423.897166028532</v>
      </c>
      <c r="H8" s="18">
        <f t="shared" si="3"/>
        <v>42704.576500856863</v>
      </c>
      <c r="I8" s="18">
        <f t="shared" ref="I8:J8" si="6">I15+I22+I29</f>
        <v>24547.862347577371</v>
      </c>
      <c r="J8" s="18">
        <f t="shared" si="6"/>
        <v>28082.962978199947</v>
      </c>
      <c r="K8" s="18">
        <f t="shared" si="5"/>
        <v>30775.6657436399</v>
      </c>
      <c r="L8" s="38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s="9" customFormat="1" x14ac:dyDescent="0.25">
      <c r="A9" s="4" t="s">
        <v>0</v>
      </c>
      <c r="B9" s="18">
        <f t="shared" si="2"/>
        <v>2334.0795325544514</v>
      </c>
      <c r="C9" s="18">
        <f t="shared" si="2"/>
        <v>1828.2678227461424</v>
      </c>
      <c r="D9" s="18">
        <f t="shared" si="2"/>
        <v>2480.0423404201283</v>
      </c>
      <c r="E9" s="18">
        <f t="shared" si="2"/>
        <v>1074.1737564163373</v>
      </c>
      <c r="F9" s="18">
        <f t="shared" si="2"/>
        <v>432.30529269740236</v>
      </c>
      <c r="G9" s="18">
        <f t="shared" si="3"/>
        <v>395.98115232852712</v>
      </c>
      <c r="H9" s="18">
        <f t="shared" si="3"/>
        <v>212.68961995324838</v>
      </c>
      <c r="I9" s="18">
        <f t="shared" ref="I9:J9" si="7">I16+I23+I30</f>
        <v>224.22526847471417</v>
      </c>
      <c r="J9" s="18">
        <f t="shared" si="7"/>
        <v>223.89013175083426</v>
      </c>
      <c r="K9" s="18">
        <f t="shared" si="5"/>
        <v>395.66546875728534</v>
      </c>
      <c r="L9" s="38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s="9" customFormat="1" x14ac:dyDescent="0.2">
      <c r="A10" s="19" t="s">
        <v>7</v>
      </c>
      <c r="B10" s="18">
        <f t="shared" si="2"/>
        <v>0</v>
      </c>
      <c r="C10" s="18">
        <f t="shared" si="2"/>
        <v>1.2469999999999999</v>
      </c>
      <c r="D10" s="18">
        <f t="shared" si="2"/>
        <v>15.290000000000001</v>
      </c>
      <c r="E10" s="18">
        <f t="shared" si="2"/>
        <v>3.4710000000000005</v>
      </c>
      <c r="F10" s="18">
        <f t="shared" si="2"/>
        <v>10.569000000000001</v>
      </c>
      <c r="G10" s="18">
        <f t="shared" si="3"/>
        <v>4.1649999999999991</v>
      </c>
      <c r="H10" s="18">
        <f t="shared" si="3"/>
        <v>0</v>
      </c>
      <c r="I10" s="18">
        <f t="shared" ref="I10:J10" si="8">I17+I24+I31</f>
        <v>0</v>
      </c>
      <c r="J10" s="18">
        <f t="shared" si="8"/>
        <v>0</v>
      </c>
      <c r="K10" s="18">
        <f t="shared" si="5"/>
        <v>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s="9" customFormat="1" x14ac:dyDescent="0.25">
      <c r="A11" s="4" t="s">
        <v>8</v>
      </c>
      <c r="B11" s="18">
        <f t="shared" si="2"/>
        <v>1590.1763812155898</v>
      </c>
      <c r="C11" s="18">
        <f t="shared" si="2"/>
        <v>388.14185000950374</v>
      </c>
      <c r="D11" s="18">
        <f t="shared" si="2"/>
        <v>184.62584430785094</v>
      </c>
      <c r="E11" s="18">
        <f t="shared" si="2"/>
        <v>528.43389924277017</v>
      </c>
      <c r="F11" s="18">
        <f t="shared" si="2"/>
        <v>439.81229963149298</v>
      </c>
      <c r="G11" s="18">
        <f t="shared" si="3"/>
        <v>181.98295910647892</v>
      </c>
      <c r="H11" s="18">
        <f t="shared" si="3"/>
        <v>98.424318844106836</v>
      </c>
      <c r="I11" s="18">
        <f t="shared" ref="I11:J11" si="9">I18+I25+I32</f>
        <v>85.292200269940651</v>
      </c>
      <c r="J11" s="18">
        <f t="shared" si="9"/>
        <v>58.484137407457986</v>
      </c>
      <c r="K11" s="18">
        <f t="shared" si="5"/>
        <v>117.31568347240568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s="9" customFormat="1" x14ac:dyDescent="0.25">
      <c r="A12" s="20" t="s">
        <v>9</v>
      </c>
      <c r="B12" s="21">
        <f t="shared" si="2"/>
        <v>7136.4603821227938</v>
      </c>
      <c r="C12" s="21">
        <f t="shared" si="2"/>
        <v>4417.3809339078243</v>
      </c>
      <c r="D12" s="21">
        <f t="shared" si="2"/>
        <v>3216.1040166838497</v>
      </c>
      <c r="E12" s="21">
        <f t="shared" si="2"/>
        <v>2493.9263026769804</v>
      </c>
      <c r="F12" s="21">
        <f t="shared" si="2"/>
        <v>2825.4547469191102</v>
      </c>
      <c r="G12" s="21">
        <f t="shared" si="3"/>
        <v>2043.233053524893</v>
      </c>
      <c r="H12" s="21">
        <f t="shared" si="3"/>
        <v>1696.6090211673259</v>
      </c>
      <c r="I12" s="21">
        <f t="shared" ref="I12:J12" si="10">I19+I26+I33</f>
        <v>1451.9744085304569</v>
      </c>
      <c r="J12" s="21">
        <f t="shared" si="10"/>
        <v>454.07907776806996</v>
      </c>
      <c r="K12" s="21">
        <f t="shared" si="5"/>
        <v>193.75071118576031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s="9" customFormat="1" x14ac:dyDescent="0.25">
      <c r="A13" s="4" t="s">
        <v>10</v>
      </c>
      <c r="B13" s="17">
        <f t="shared" ref="B13:F13" si="11">SUM(B14:B19)</f>
        <v>125719.12905590361</v>
      </c>
      <c r="C13" s="17">
        <f t="shared" si="11"/>
        <v>126033.20197139472</v>
      </c>
      <c r="D13" s="17">
        <f t="shared" si="11"/>
        <v>126998.75543939034</v>
      </c>
      <c r="E13" s="17">
        <f t="shared" si="11"/>
        <v>140592.52760031726</v>
      </c>
      <c r="F13" s="17">
        <f t="shared" si="11"/>
        <v>149483.07983864215</v>
      </c>
      <c r="G13" s="17">
        <f>SUM(G14:G19)</f>
        <v>134369.24852018774</v>
      </c>
      <c r="H13" s="17">
        <f>SUM(H14:H19)</f>
        <v>148465.82010228059</v>
      </c>
      <c r="I13" s="17">
        <f>SUM(I14:I19)</f>
        <v>144506.83681234741</v>
      </c>
      <c r="J13" s="17">
        <f>SUM(J14:J19)</f>
        <v>154799.02709490771</v>
      </c>
      <c r="K13" s="17">
        <f>SUM(K14:K19)</f>
        <v>160467.49772016457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s="9" customFormat="1" x14ac:dyDescent="0.25">
      <c r="A14" s="2" t="s">
        <v>4</v>
      </c>
      <c r="B14" s="23">
        <v>68264.06166711259</v>
      </c>
      <c r="C14" s="23">
        <v>68993.039348680875</v>
      </c>
      <c r="D14" s="23">
        <v>69296.858985614817</v>
      </c>
      <c r="E14" s="23">
        <v>89674.12634652984</v>
      </c>
      <c r="F14" s="23">
        <v>99948.05043073585</v>
      </c>
      <c r="G14" s="23">
        <v>88018.208239199303</v>
      </c>
      <c r="H14" s="23">
        <v>103788.1665485936</v>
      </c>
      <c r="I14" s="23">
        <v>118277.83007352566</v>
      </c>
      <c r="J14" s="23">
        <v>126007.14471613413</v>
      </c>
      <c r="K14" s="23">
        <v>129015.29534298787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s="9" customFormat="1" x14ac:dyDescent="0.25">
      <c r="A15" s="2" t="s">
        <v>2</v>
      </c>
      <c r="B15" s="23">
        <v>48392.262881971219</v>
      </c>
      <c r="C15" s="23">
        <v>50839.521094786913</v>
      </c>
      <c r="D15" s="23">
        <v>52923.722126591507</v>
      </c>
      <c r="E15" s="23">
        <v>48084.267819922592</v>
      </c>
      <c r="F15" s="23">
        <v>46558.076742999947</v>
      </c>
      <c r="G15" s="23">
        <v>43944.683666028533</v>
      </c>
      <c r="H15" s="23">
        <v>42670.296822357966</v>
      </c>
      <c r="I15" s="23">
        <v>24475.863962238676</v>
      </c>
      <c r="J15" s="23">
        <v>28059.750853199948</v>
      </c>
      <c r="K15" s="23">
        <v>30762.253919417351</v>
      </c>
      <c r="L15" s="6"/>
      <c r="M15" s="6"/>
      <c r="N15" s="4"/>
      <c r="O15" s="6"/>
      <c r="P15" s="6"/>
      <c r="Q15" s="6"/>
      <c r="R15" s="4"/>
      <c r="S15" s="17"/>
      <c r="T15" s="24"/>
      <c r="U15" s="6"/>
      <c r="V15" s="6"/>
      <c r="W15" s="6"/>
      <c r="X15" s="6"/>
      <c r="Y15" s="6"/>
      <c r="Z15" s="6"/>
      <c r="AA15" s="6"/>
      <c r="AB15" s="6"/>
    </row>
    <row r="16" spans="1:28" s="9" customFormat="1" x14ac:dyDescent="0.25">
      <c r="A16" s="2" t="s">
        <v>0</v>
      </c>
      <c r="B16" s="23">
        <v>832.08553255445054</v>
      </c>
      <c r="C16" s="23">
        <v>1597.0517227461426</v>
      </c>
      <c r="D16" s="23">
        <v>1850.7364661923034</v>
      </c>
      <c r="E16" s="23">
        <v>382.19979641633751</v>
      </c>
      <c r="F16" s="23">
        <v>267.71670285126027</v>
      </c>
      <c r="G16" s="23">
        <v>312.38460232852714</v>
      </c>
      <c r="H16" s="23">
        <v>212.323391317589</v>
      </c>
      <c r="I16" s="23">
        <v>215.95905308926089</v>
      </c>
      <c r="J16" s="23">
        <v>223.15267384086295</v>
      </c>
      <c r="K16" s="23">
        <v>395.66546875728534</v>
      </c>
      <c r="L16" s="6"/>
      <c r="M16" s="6"/>
      <c r="N16" s="4"/>
      <c r="O16" s="6"/>
      <c r="P16" s="6"/>
      <c r="Q16" s="6"/>
      <c r="R16" s="4"/>
      <c r="S16" s="17"/>
      <c r="T16" s="24"/>
      <c r="U16" s="6"/>
      <c r="V16" s="6"/>
      <c r="W16" s="6"/>
      <c r="X16" s="6"/>
      <c r="Y16" s="6"/>
      <c r="Z16" s="6"/>
      <c r="AA16" s="6"/>
      <c r="AB16" s="6"/>
    </row>
    <row r="17" spans="1:28" s="9" customFormat="1" x14ac:dyDescent="0.2">
      <c r="A17" s="25" t="s">
        <v>7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6"/>
      <c r="M17" s="6"/>
      <c r="N17" s="4"/>
      <c r="O17" s="6"/>
      <c r="P17" s="6"/>
      <c r="Q17" s="6"/>
      <c r="R17" s="4"/>
      <c r="S17" s="17"/>
      <c r="T17" s="24"/>
      <c r="U17" s="6"/>
      <c r="V17" s="6"/>
      <c r="W17" s="6"/>
      <c r="X17" s="6"/>
      <c r="Y17" s="6"/>
      <c r="Z17" s="6"/>
      <c r="AA17" s="6"/>
      <c r="AB17" s="6"/>
    </row>
    <row r="18" spans="1:28" s="9" customFormat="1" x14ac:dyDescent="0.25">
      <c r="A18" s="2" t="s">
        <v>8</v>
      </c>
      <c r="B18" s="23">
        <v>1578.9184695880226</v>
      </c>
      <c r="C18" s="23">
        <v>382.14671124456078</v>
      </c>
      <c r="D18" s="23">
        <v>184.62584430785094</v>
      </c>
      <c r="E18" s="23">
        <v>528.43389924277017</v>
      </c>
      <c r="F18" s="23">
        <v>420.82297649699524</v>
      </c>
      <c r="G18" s="23">
        <v>181.98295910647892</v>
      </c>
      <c r="H18" s="23">
        <v>98.424318844106836</v>
      </c>
      <c r="I18" s="23">
        <v>85.289012373532842</v>
      </c>
      <c r="J18" s="23">
        <v>57.272707575882919</v>
      </c>
      <c r="K18" s="23">
        <v>114.79815322255334</v>
      </c>
      <c r="L18" s="6"/>
      <c r="M18" s="6"/>
      <c r="N18" s="4"/>
      <c r="O18" s="6"/>
      <c r="P18" s="6"/>
      <c r="Q18" s="6"/>
      <c r="R18" s="4"/>
      <c r="S18" s="17"/>
      <c r="T18" s="24"/>
      <c r="U18" s="6"/>
      <c r="V18" s="6"/>
      <c r="W18" s="6"/>
      <c r="X18" s="6"/>
      <c r="Y18" s="6"/>
      <c r="Z18" s="6"/>
      <c r="AA18" s="6"/>
      <c r="AB18" s="6"/>
    </row>
    <row r="19" spans="1:28" s="9" customFormat="1" x14ac:dyDescent="0.25">
      <c r="A19" s="26" t="s">
        <v>9</v>
      </c>
      <c r="B19" s="27">
        <v>6651.8005046773324</v>
      </c>
      <c r="C19" s="27">
        <v>4221.4430939362337</v>
      </c>
      <c r="D19" s="27">
        <v>2742.8120166838498</v>
      </c>
      <c r="E19" s="27">
        <v>1923.4997382057331</v>
      </c>
      <c r="F19" s="27">
        <v>2288.4129855580886</v>
      </c>
      <c r="G19" s="27">
        <v>1911.9890535248931</v>
      </c>
      <c r="H19" s="27">
        <v>1696.6090211673259</v>
      </c>
      <c r="I19" s="27">
        <v>1451.8947111202617</v>
      </c>
      <c r="J19" s="27">
        <v>451.70614415685361</v>
      </c>
      <c r="K19" s="27">
        <v>179.48483577949929</v>
      </c>
      <c r="L19" s="6"/>
      <c r="M19" s="6"/>
      <c r="N19" s="4"/>
      <c r="O19" s="6"/>
      <c r="P19" s="6"/>
      <c r="Q19" s="6"/>
      <c r="R19" s="4"/>
      <c r="S19" s="17"/>
      <c r="T19" s="24"/>
      <c r="U19" s="6"/>
      <c r="V19" s="6"/>
      <c r="W19" s="6"/>
      <c r="X19" s="6"/>
      <c r="Y19" s="6"/>
      <c r="Z19" s="6"/>
      <c r="AA19" s="6"/>
      <c r="AB19" s="6"/>
    </row>
    <row r="20" spans="1:28" s="9" customFormat="1" x14ac:dyDescent="0.25">
      <c r="A20" s="4" t="s">
        <v>11</v>
      </c>
      <c r="B20" s="17">
        <f t="shared" ref="B20:F20" si="12">SUM(B21:B26)</f>
        <v>840.85994409647162</v>
      </c>
      <c r="C20" s="17">
        <f t="shared" si="12"/>
        <v>834.73882003824372</v>
      </c>
      <c r="D20" s="17">
        <f t="shared" si="12"/>
        <v>350.24466716197429</v>
      </c>
      <c r="E20" s="17">
        <f t="shared" si="12"/>
        <v>31.751651307386688</v>
      </c>
      <c r="F20" s="17">
        <f t="shared" si="12"/>
        <v>195.73893359147394</v>
      </c>
      <c r="G20" s="17">
        <f>SUM(G21:G26)</f>
        <v>0</v>
      </c>
      <c r="H20" s="17">
        <f>SUM(H21:H26)</f>
        <v>117.14908033448833</v>
      </c>
      <c r="I20" s="17">
        <f>SUM(I21:I26)</f>
        <v>485.81858045732497</v>
      </c>
      <c r="J20" s="17">
        <f>SUM(J21:J26)</f>
        <v>406.1890545208924</v>
      </c>
      <c r="K20" s="17">
        <f>SUM(K21:K26)</f>
        <v>215.63414886824836</v>
      </c>
      <c r="L20" s="6"/>
      <c r="M20" s="6"/>
      <c r="N20" s="4"/>
      <c r="O20" s="6"/>
      <c r="P20" s="6"/>
      <c r="Q20" s="6"/>
      <c r="R20" s="4"/>
      <c r="S20" s="17"/>
      <c r="T20" s="24"/>
      <c r="U20" s="6"/>
      <c r="V20" s="6"/>
      <c r="W20" s="6"/>
      <c r="X20" s="6"/>
      <c r="Y20" s="6"/>
      <c r="Z20" s="6"/>
      <c r="AA20" s="6"/>
      <c r="AB20" s="6"/>
    </row>
    <row r="21" spans="1:28" s="9" customFormat="1" x14ac:dyDescent="0.25">
      <c r="A21" s="2" t="s">
        <v>4</v>
      </c>
      <c r="B21" s="23">
        <v>257.56381797585459</v>
      </c>
      <c r="C21" s="23">
        <v>250.95905045044441</v>
      </c>
      <c r="D21" s="23">
        <v>290.20995334660569</v>
      </c>
      <c r="E21" s="23">
        <v>7.8696775608898752</v>
      </c>
      <c r="F21" s="23">
        <v>147.77947524981249</v>
      </c>
      <c r="G21" s="23">
        <v>0</v>
      </c>
      <c r="H21" s="23">
        <v>82.503173199933457</v>
      </c>
      <c r="I21" s="23">
        <v>405.47109442657546</v>
      </c>
      <c r="J21" s="23">
        <v>378.65510816812963</v>
      </c>
      <c r="K21" s="23">
        <v>185.43891898958623</v>
      </c>
      <c r="L21" s="6"/>
      <c r="M21" s="6"/>
      <c r="N21" s="4"/>
      <c r="O21" s="6"/>
      <c r="P21" s="6"/>
      <c r="Q21" s="6"/>
      <c r="R21" s="4"/>
      <c r="S21" s="17"/>
      <c r="T21" s="24"/>
      <c r="U21" s="6"/>
      <c r="V21" s="6"/>
      <c r="W21" s="6"/>
      <c r="X21" s="6"/>
      <c r="Y21" s="6"/>
      <c r="Z21" s="6"/>
      <c r="AA21" s="6"/>
      <c r="AB21" s="6"/>
    </row>
    <row r="22" spans="1:28" s="9" customFormat="1" x14ac:dyDescent="0.25">
      <c r="A22" s="2" t="s">
        <v>2</v>
      </c>
      <c r="B22" s="23">
        <v>515.8723370475883</v>
      </c>
      <c r="C22" s="23">
        <v>520.86879085126566</v>
      </c>
      <c r="D22" s="23">
        <v>54.944839587543285</v>
      </c>
      <c r="E22" s="23">
        <v>23.359729275249677</v>
      </c>
      <c r="F22" s="23">
        <v>24.767424000000002</v>
      </c>
      <c r="G22" s="23">
        <v>0</v>
      </c>
      <c r="H22" s="23">
        <v>34.279678498895493</v>
      </c>
      <c r="I22" s="23">
        <v>71.998385338693126</v>
      </c>
      <c r="J22" s="23">
        <v>23.212125</v>
      </c>
      <c r="K22" s="23">
        <v>13.411824222548773</v>
      </c>
      <c r="L22" s="6"/>
      <c r="M22" s="6"/>
      <c r="N22" s="4"/>
      <c r="O22" s="6"/>
      <c r="P22" s="6"/>
      <c r="Q22" s="6"/>
      <c r="R22" s="4"/>
      <c r="S22" s="17"/>
      <c r="T22" s="24"/>
      <c r="U22" s="6"/>
      <c r="V22" s="6"/>
      <c r="W22" s="6"/>
      <c r="X22" s="6"/>
      <c r="Y22" s="6"/>
      <c r="Z22" s="6"/>
      <c r="AA22" s="6"/>
      <c r="AB22" s="6"/>
    </row>
    <row r="23" spans="1:28" s="9" customFormat="1" x14ac:dyDescent="0.25">
      <c r="A23" s="2" t="s">
        <v>0</v>
      </c>
      <c r="B23" s="23">
        <v>0</v>
      </c>
      <c r="C23" s="23">
        <v>0</v>
      </c>
      <c r="D23" s="23">
        <v>5.089874227825316</v>
      </c>
      <c r="E23" s="23">
        <v>0</v>
      </c>
      <c r="F23" s="23">
        <v>0.64744984614212131</v>
      </c>
      <c r="G23" s="23">
        <v>0</v>
      </c>
      <c r="H23" s="23">
        <v>0.36622863565938402</v>
      </c>
      <c r="I23" s="23">
        <v>8.2662153854532718</v>
      </c>
      <c r="J23" s="23">
        <v>0.73745790997132288</v>
      </c>
      <c r="K23" s="23">
        <v>0</v>
      </c>
      <c r="L23" s="6"/>
      <c r="M23" s="6"/>
      <c r="N23" s="4"/>
      <c r="O23" s="6"/>
      <c r="P23" s="6"/>
      <c r="Q23" s="6"/>
      <c r="R23" s="4"/>
      <c r="S23" s="17"/>
      <c r="T23" s="24"/>
      <c r="U23" s="6"/>
      <c r="V23" s="6"/>
      <c r="W23" s="6"/>
      <c r="X23" s="6"/>
      <c r="Y23" s="6"/>
      <c r="Z23" s="6"/>
      <c r="AA23" s="6"/>
      <c r="AB23" s="6"/>
    </row>
    <row r="24" spans="1:28" s="9" customFormat="1" x14ac:dyDescent="0.2">
      <c r="A24" s="25" t="s">
        <v>7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6"/>
      <c r="M24" s="6"/>
      <c r="N24" s="4"/>
      <c r="O24" s="6"/>
      <c r="P24" s="6"/>
      <c r="Q24" s="6"/>
      <c r="R24" s="4"/>
      <c r="S24" s="17"/>
      <c r="T24" s="24"/>
      <c r="U24" s="6"/>
      <c r="V24" s="6"/>
      <c r="W24" s="6"/>
      <c r="X24" s="6"/>
      <c r="Y24" s="6"/>
      <c r="Z24" s="6"/>
      <c r="AA24" s="6"/>
      <c r="AB24" s="6"/>
    </row>
    <row r="25" spans="1:28" s="9" customFormat="1" x14ac:dyDescent="0.25">
      <c r="A25" s="2" t="s">
        <v>8</v>
      </c>
      <c r="B25" s="23">
        <v>11.257911627567223</v>
      </c>
      <c r="C25" s="23">
        <v>5.9951387649429648</v>
      </c>
      <c r="D25" s="23">
        <v>0</v>
      </c>
      <c r="E25" s="23">
        <v>0</v>
      </c>
      <c r="F25" s="23">
        <v>18.989323134497742</v>
      </c>
      <c r="G25" s="23">
        <v>0</v>
      </c>
      <c r="H25" s="23">
        <v>0</v>
      </c>
      <c r="I25" s="23">
        <v>3.1878964078107487E-3</v>
      </c>
      <c r="J25" s="23">
        <v>1.2114298315750684</v>
      </c>
      <c r="K25" s="23">
        <v>2.5175302498523449</v>
      </c>
      <c r="L25" s="6"/>
      <c r="M25" s="6"/>
      <c r="N25" s="4"/>
      <c r="O25" s="6"/>
      <c r="P25" s="6"/>
      <c r="Q25" s="6"/>
      <c r="R25" s="4"/>
      <c r="S25" s="17"/>
      <c r="T25" s="24"/>
      <c r="U25" s="6"/>
      <c r="V25" s="6"/>
      <c r="W25" s="6"/>
      <c r="X25" s="6"/>
      <c r="Y25" s="6"/>
      <c r="Z25" s="6"/>
      <c r="AA25" s="6"/>
      <c r="AB25" s="6"/>
    </row>
    <row r="26" spans="1:28" s="9" customFormat="1" x14ac:dyDescent="0.25">
      <c r="A26" s="26" t="s">
        <v>9</v>
      </c>
      <c r="B26" s="27">
        <v>56.165877445461554</v>
      </c>
      <c r="C26" s="27">
        <v>56.915839971590572</v>
      </c>
      <c r="D26" s="27">
        <v>0</v>
      </c>
      <c r="E26" s="27">
        <v>0.5222444712471328</v>
      </c>
      <c r="F26" s="27">
        <v>3.5552613610215893</v>
      </c>
      <c r="G26" s="27">
        <v>0</v>
      </c>
      <c r="H26" s="27">
        <v>0</v>
      </c>
      <c r="I26" s="27">
        <v>7.9697410195268714E-2</v>
      </c>
      <c r="J26" s="27">
        <v>2.3729336112163493</v>
      </c>
      <c r="K26" s="27">
        <v>14.265875406261012</v>
      </c>
      <c r="L26" s="6"/>
      <c r="M26" s="6"/>
      <c r="N26" s="4"/>
      <c r="O26" s="6"/>
      <c r="P26" s="6"/>
      <c r="Q26" s="6"/>
      <c r="R26" s="4"/>
      <c r="S26" s="17"/>
      <c r="T26" s="24"/>
      <c r="U26" s="6"/>
      <c r="V26" s="6"/>
      <c r="W26" s="6"/>
      <c r="X26" s="6"/>
      <c r="Y26" s="6"/>
      <c r="Z26" s="6"/>
      <c r="AA26" s="6"/>
      <c r="AB26" s="6"/>
    </row>
    <row r="27" spans="1:28" s="9" customFormat="1" x14ac:dyDescent="0.25">
      <c r="A27" s="4" t="s">
        <v>12</v>
      </c>
      <c r="B27" s="17">
        <f t="shared" ref="B27:D27" si="13">SUM(B28:B33)</f>
        <v>2123.2380000000007</v>
      </c>
      <c r="C27" s="17">
        <f t="shared" si="13"/>
        <v>483.87768999999992</v>
      </c>
      <c r="D27" s="17">
        <f t="shared" si="13"/>
        <v>1841.9949999999999</v>
      </c>
      <c r="E27" s="17">
        <f t="shared" ref="E27:J27" si="14">SUM(E28:E33)</f>
        <v>2535.6850800000002</v>
      </c>
      <c r="F27" s="17">
        <f t="shared" si="14"/>
        <v>1345.5049800000002</v>
      </c>
      <c r="G27" s="17">
        <f t="shared" si="14"/>
        <v>699.67705000000001</v>
      </c>
      <c r="H27" s="17">
        <f t="shared" si="14"/>
        <v>0</v>
      </c>
      <c r="I27" s="17">
        <f t="shared" si="14"/>
        <v>0</v>
      </c>
      <c r="J27" s="17">
        <f t="shared" si="14"/>
        <v>0</v>
      </c>
      <c r="K27" s="17">
        <f t="shared" ref="K27" si="15">SUM(K28:K33)</f>
        <v>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s="9" customFormat="1" x14ac:dyDescent="0.25">
      <c r="A28" s="2" t="s">
        <v>4</v>
      </c>
      <c r="B28" s="28">
        <v>0.33300000000000007</v>
      </c>
      <c r="C28" s="28">
        <v>0.32600000000000001</v>
      </c>
      <c r="D28" s="28">
        <v>2.4120000000000004</v>
      </c>
      <c r="E28" s="28">
        <v>1.1520000000000001</v>
      </c>
      <c r="F28" s="28">
        <v>3.657</v>
      </c>
      <c r="G28" s="28">
        <v>1.458</v>
      </c>
      <c r="H28" s="28">
        <v>0</v>
      </c>
      <c r="I28" s="28">
        <v>0</v>
      </c>
      <c r="J28" s="28">
        <v>0</v>
      </c>
      <c r="K28" s="28">
        <v>0</v>
      </c>
      <c r="L28" s="29"/>
      <c r="M28" s="29"/>
      <c r="N28" s="30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s="9" customFormat="1" x14ac:dyDescent="0.25">
      <c r="A29" s="2" t="s">
        <v>2</v>
      </c>
      <c r="B29" s="22">
        <v>192.41699999999997</v>
      </c>
      <c r="C29" s="22">
        <v>112.06659000000001</v>
      </c>
      <c r="D29" s="22">
        <v>726.78499999999997</v>
      </c>
      <c r="E29" s="22">
        <v>1269.1838000000002</v>
      </c>
      <c r="F29" s="22">
        <v>633.85134000000016</v>
      </c>
      <c r="G29" s="22">
        <v>479.21350000000007</v>
      </c>
      <c r="H29" s="22">
        <v>0</v>
      </c>
      <c r="I29" s="22">
        <v>0</v>
      </c>
      <c r="J29" s="22">
        <v>0</v>
      </c>
      <c r="K29" s="22">
        <v>0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s="9" customFormat="1" x14ac:dyDescent="0.25">
      <c r="A30" s="2" t="s">
        <v>0</v>
      </c>
      <c r="B30" s="22">
        <v>1501.9940000000006</v>
      </c>
      <c r="C30" s="22">
        <v>231.21609999999993</v>
      </c>
      <c r="D30" s="22">
        <v>624.21599999999989</v>
      </c>
      <c r="E30" s="22">
        <v>691.97395999999981</v>
      </c>
      <c r="F30" s="22">
        <v>163.94113999999999</v>
      </c>
      <c r="G30" s="22">
        <v>83.596549999999993</v>
      </c>
      <c r="H30" s="22">
        <v>0</v>
      </c>
      <c r="I30" s="22">
        <v>0</v>
      </c>
      <c r="J30" s="22">
        <v>0</v>
      </c>
      <c r="K30" s="22">
        <v>0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s="9" customFormat="1" x14ac:dyDescent="0.2">
      <c r="A31" s="25" t="s">
        <v>7</v>
      </c>
      <c r="B31" s="22">
        <v>0</v>
      </c>
      <c r="C31" s="22">
        <v>1.2469999999999999</v>
      </c>
      <c r="D31" s="22">
        <v>15.290000000000001</v>
      </c>
      <c r="E31" s="22">
        <v>3.4710000000000005</v>
      </c>
      <c r="F31" s="22">
        <v>10.569000000000001</v>
      </c>
      <c r="G31" s="22">
        <v>4.1649999999999991</v>
      </c>
      <c r="H31" s="22">
        <v>0</v>
      </c>
      <c r="I31" s="22">
        <v>0</v>
      </c>
      <c r="J31" s="22">
        <v>0</v>
      </c>
      <c r="K31" s="22">
        <v>0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s="9" customFormat="1" x14ac:dyDescent="0.25">
      <c r="A32" s="2" t="s">
        <v>8</v>
      </c>
      <c r="B32" s="22">
        <v>0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s="9" customFormat="1" x14ac:dyDescent="0.25">
      <c r="A33" s="5" t="s">
        <v>9</v>
      </c>
      <c r="B33" s="31">
        <v>428.49399999999997</v>
      </c>
      <c r="C33" s="31">
        <v>139.02200000000002</v>
      </c>
      <c r="D33" s="31">
        <v>473.29199999999992</v>
      </c>
      <c r="E33" s="31">
        <v>569.90431999999998</v>
      </c>
      <c r="F33" s="31">
        <v>533.48649999999998</v>
      </c>
      <c r="G33" s="31">
        <v>131.24399999999997</v>
      </c>
      <c r="H33" s="31">
        <v>0</v>
      </c>
      <c r="I33" s="31">
        <v>0</v>
      </c>
      <c r="J33" s="31">
        <v>0</v>
      </c>
      <c r="K33" s="31">
        <v>0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19.5" customHeight="1" x14ac:dyDescent="0.25">
      <c r="A34" s="7" t="s">
        <v>13</v>
      </c>
      <c r="B34" s="32"/>
      <c r="C34" s="32"/>
      <c r="D34" s="32"/>
      <c r="E34" s="32"/>
      <c r="F34" s="32"/>
      <c r="G34" s="32"/>
      <c r="H34" s="32"/>
    </row>
    <row r="35" spans="1:28" x14ac:dyDescent="0.25">
      <c r="A35" s="33"/>
    </row>
    <row r="36" spans="1:28" x14ac:dyDescent="0.25">
      <c r="A36" s="33"/>
    </row>
    <row r="37" spans="1:28" x14ac:dyDescent="0.25">
      <c r="A37" s="33"/>
    </row>
    <row r="39" spans="1:28" s="9" customFormat="1" x14ac:dyDescent="0.25">
      <c r="B39" s="35"/>
      <c r="C39" s="35"/>
      <c r="D39" s="35"/>
      <c r="E39" s="35"/>
      <c r="F39" s="35"/>
      <c r="G39" s="35"/>
      <c r="H39" s="35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s="9" customFormat="1" x14ac:dyDescent="0.25">
      <c r="B40" s="35"/>
      <c r="C40" s="35"/>
      <c r="D40" s="35"/>
      <c r="E40" s="35"/>
      <c r="F40" s="35"/>
      <c r="G40" s="35"/>
      <c r="H40" s="35"/>
      <c r="I40" s="6"/>
      <c r="J40" s="6"/>
      <c r="K40" s="6"/>
      <c r="L40" s="6"/>
      <c r="M40" s="6"/>
      <c r="O40" s="4"/>
      <c r="P40" s="36"/>
      <c r="Q40" s="17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s="9" customFormat="1" ht="15" x14ac:dyDescent="0.25">
      <c r="B41" s="35"/>
      <c r="C41" s="35"/>
      <c r="D41" s="35"/>
      <c r="E41" s="35"/>
      <c r="F41" s="35"/>
      <c r="G41" s="35"/>
      <c r="H41" s="35"/>
      <c r="I41" s="6"/>
      <c r="J41" s="6"/>
      <c r="K41" s="6"/>
      <c r="L41" s="6"/>
      <c r="M41" s="6"/>
      <c r="O41" s="4"/>
      <c r="P41" s="37"/>
      <c r="Q41" s="18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s="9" customFormat="1" x14ac:dyDescent="0.25">
      <c r="B42" s="35"/>
      <c r="C42" s="35"/>
      <c r="D42" s="35"/>
      <c r="E42" s="35"/>
      <c r="F42" s="35"/>
      <c r="G42" s="35"/>
      <c r="H42" s="35"/>
      <c r="I42" s="6"/>
      <c r="J42" s="6"/>
      <c r="K42" s="6"/>
      <c r="L42" s="6"/>
      <c r="M42" s="6"/>
      <c r="O42" s="4"/>
      <c r="P42" s="36"/>
      <c r="Q42" s="18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s="9" customFormat="1" x14ac:dyDescent="0.25">
      <c r="B43" s="35"/>
      <c r="C43" s="35"/>
      <c r="D43" s="35"/>
      <c r="E43" s="35"/>
      <c r="F43" s="35"/>
      <c r="G43" s="35"/>
      <c r="H43" s="35"/>
      <c r="I43" s="6"/>
      <c r="J43" s="6"/>
      <c r="K43" s="6"/>
      <c r="L43" s="6"/>
      <c r="M43" s="6"/>
      <c r="O43" s="4"/>
      <c r="P43" s="36"/>
      <c r="Q43" s="18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s="9" customFormat="1" x14ac:dyDescent="0.25">
      <c r="B44" s="35"/>
      <c r="C44" s="35"/>
      <c r="D44" s="35"/>
      <c r="E44" s="35"/>
      <c r="F44" s="35"/>
      <c r="G44" s="35"/>
      <c r="H44" s="35"/>
      <c r="I44" s="6"/>
      <c r="J44" s="6"/>
      <c r="K44" s="6"/>
      <c r="L44" s="6"/>
      <c r="M44" s="6"/>
      <c r="O44" s="4"/>
      <c r="P44" s="36"/>
      <c r="Q44" s="18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s="9" customFormat="1" x14ac:dyDescent="0.25">
      <c r="B45" s="35"/>
      <c r="C45" s="35"/>
      <c r="D45" s="35"/>
      <c r="E45" s="35"/>
      <c r="F45" s="35"/>
      <c r="G45" s="35"/>
      <c r="H45" s="35"/>
      <c r="I45" s="6"/>
      <c r="J45" s="6"/>
      <c r="K45" s="6"/>
      <c r="L45" s="6"/>
      <c r="M45" s="6"/>
      <c r="P45" s="3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x14ac:dyDescent="0.25">
      <c r="O46" s="4"/>
      <c r="P46" s="12"/>
      <c r="Q46" s="17"/>
    </row>
    <row r="47" spans="1:28" x14ac:dyDescent="0.25">
      <c r="O47" s="4"/>
      <c r="P47" s="12"/>
      <c r="Q47" s="6"/>
    </row>
    <row r="48" spans="1:28" x14ac:dyDescent="0.25">
      <c r="O48" s="4"/>
      <c r="P48" s="12"/>
      <c r="Q48" s="6"/>
    </row>
    <row r="49" spans="15:17" x14ac:dyDescent="0.25">
      <c r="O49" s="4"/>
      <c r="P49" s="12"/>
      <c r="Q49" s="6"/>
    </row>
    <row r="50" spans="15:17" x14ac:dyDescent="0.25">
      <c r="O50" s="4"/>
      <c r="P50" s="12"/>
      <c r="Q50" s="6"/>
    </row>
    <row r="51" spans="15:17" x14ac:dyDescent="0.25">
      <c r="O51" s="4"/>
      <c r="P51" s="12"/>
      <c r="Q51" s="6"/>
    </row>
  </sheetData>
  <mergeCells count="4">
    <mergeCell ref="A1:K1"/>
    <mergeCell ref="A2:K2"/>
    <mergeCell ref="A3:K3"/>
    <mergeCell ref="A4:K4"/>
  </mergeCells>
  <pageMargins left="0.7" right="0.7" top="0.75" bottom="0.75" header="0.3" footer="0.3"/>
  <pageSetup scale="5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9.6</vt:lpstr>
      <vt:lpstr>'9.6'!Print_Area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2024-08-04T06:32:18Z</cp:lastPrinted>
  <dcterms:created xsi:type="dcterms:W3CDTF">2019-09-09T05:11:24Z</dcterms:created>
  <dcterms:modified xsi:type="dcterms:W3CDTF">2024-08-04T06:32:42Z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