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BC53E737-4C3B-4952-8532-7C22F8C7C8C9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12" sheetId="11" r:id="rId1"/>
  </sheets>
  <definedNames>
    <definedName name="_xlnm.Print_Area" localSheetId="0">'9.12'!$A$1:$J$43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1" l="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G7" i="11"/>
  <c r="F7" i="11"/>
  <c r="E7" i="11"/>
  <c r="D7" i="11"/>
  <c r="C7" i="11"/>
  <c r="B7" i="11" l="1"/>
</calcChain>
</file>

<file path=xl/sharedStrings.xml><?xml version="1.0" encoding="utf-8"?>
<sst xmlns="http://schemas.openxmlformats.org/spreadsheetml/2006/main" count="62" uniqueCount="61">
  <si>
    <t>Total</t>
  </si>
  <si>
    <t>2023 ,cawtctwvWb egumwkirevuDnwd Wdcawh cSokumcaWa iawgEjcaWr cniaeret egukwtctwvWb unuveruk cTrOpcmia cSwaejcaWr  : 9.12 ulwvWt</t>
  </si>
  <si>
    <t>Table 9.12: IMPORTS OF FRESH AGRICULTURAL CROPS MAINLY PRODUCED IN MALDIVES, 2023</t>
  </si>
  <si>
    <t>(ރުފިޔާއިން )</t>
  </si>
  <si>
    <t>(Value in MVR)</t>
  </si>
  <si>
    <t>Agricultural crops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</si>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</sst>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  <charset val="1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  <charset val="1"/>
    </font>
    <font>
      <sz val="11"/>
      <color indexed="8"/>
      <name val="Faruma"/>
      <charset val="1"/>
    </font>
    <font>
      <sz val="9"/>
      <color indexed="8"/>
      <name val="Calibri"/>
      <family val="2"/>
    </font>
    <font>
      <b/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0" fontId="3" fillId="0" borderId="0"/>
    <xf numFmtId="0" fontId="3" fillId="0" borderId="0"/>
    <xf numFmtId="0" fontId="11" fillId="0" borderId="0"/>
  </cellStyleXfs>
  <cellXfs count="58">
    <xf numFmtId="0" fontId="0" fillId="0" borderId="0" xfId="0"/>
    <xf numFmtId="164" fontId="5" fillId="2" borderId="0" xfId="2" applyFont="1" applyFill="1" applyAlignment="1">
      <alignment horizontal="left" vertical="center"/>
    </xf>
    <xf numFmtId="164" fontId="4" fillId="2" borderId="0" xfId="2" applyFont="1" applyFill="1" applyAlignment="1">
      <alignment horizontal="left" vertical="center"/>
    </xf>
    <xf numFmtId="38" fontId="6" fillId="2" borderId="0" xfId="3" applyNumberFormat="1" applyFont="1" applyFill="1" applyBorder="1"/>
    <xf numFmtId="38" fontId="8" fillId="2" borderId="0" xfId="3" applyNumberFormat="1" applyFont="1" applyFill="1" applyBorder="1"/>
    <xf numFmtId="164" fontId="11" fillId="2" borderId="4" xfId="9" applyNumberFormat="1" applyFill="1" applyBorder="1"/>
    <xf numFmtId="2" fontId="16" fillId="2" borderId="3" xfId="9" applyNumberFormat="1" applyFont="1" applyFill="1" applyBorder="1" applyAlignment="1">
      <alignment horizontal="right" vertical="center"/>
    </xf>
    <xf numFmtId="0" fontId="13" fillId="2" borderId="7" xfId="9" applyFont="1" applyFill="1" applyBorder="1" applyAlignment="1">
      <alignment horizontal="right" vertical="center"/>
    </xf>
    <xf numFmtId="0" fontId="15" fillId="2" borderId="1" xfId="9" applyFont="1" applyFill="1" applyBorder="1" applyAlignment="1">
      <alignment horizontal="right" vertical="center"/>
    </xf>
    <xf numFmtId="0" fontId="14" fillId="2" borderId="2" xfId="9" applyFont="1" applyFill="1" applyBorder="1" applyAlignment="1">
      <alignment horizontal="left" vertical="center"/>
    </xf>
    <xf numFmtId="38" fontId="15" fillId="2" borderId="2" xfId="9" applyNumberFormat="1" applyFont="1" applyFill="1" applyBorder="1" applyAlignment="1">
      <alignment horizontal="right" vertical="center"/>
    </xf>
    <xf numFmtId="1" fontId="8" fillId="2" borderId="0" xfId="0" applyNumberFormat="1" applyFont="1" applyFill="1" applyAlignment="1">
      <alignment horizontal="left" vertical="center" indent="1"/>
    </xf>
    <xf numFmtId="0" fontId="17" fillId="2" borderId="10" xfId="9" applyFont="1" applyFill="1" applyBorder="1" applyAlignment="1">
      <alignment horizontal="right" vertical="center" indent="1"/>
    </xf>
    <xf numFmtId="0" fontId="18" fillId="2" borderId="11" xfId="9" applyFont="1" applyFill="1" applyBorder="1" applyAlignment="1">
      <alignment horizontal="left" vertical="center" indent="1"/>
    </xf>
    <xf numFmtId="0" fontId="17" fillId="2" borderId="12" xfId="9" applyFont="1" applyFill="1" applyBorder="1" applyAlignment="1">
      <alignment horizontal="right" vertical="center" indent="1"/>
    </xf>
    <xf numFmtId="0" fontId="18" fillId="2" borderId="13" xfId="9" applyFont="1" applyFill="1" applyBorder="1" applyAlignment="1">
      <alignment horizontal="left" vertical="center" indent="1"/>
    </xf>
    <xf numFmtId="0" fontId="18" fillId="2" borderId="14" xfId="9" applyFont="1" applyFill="1" applyBorder="1" applyAlignment="1">
      <alignment horizontal="left" vertical="center" indent="1"/>
    </xf>
    <xf numFmtId="38" fontId="6" fillId="2" borderId="1" xfId="3" applyNumberFormat="1" applyFont="1" applyFill="1" applyBorder="1"/>
    <xf numFmtId="0" fontId="17" fillId="2" borderId="15" xfId="9" applyFont="1" applyFill="1" applyBorder="1" applyAlignment="1">
      <alignment horizontal="right" vertical="center" indent="1"/>
    </xf>
    <xf numFmtId="164" fontId="4" fillId="2" borderId="11" xfId="2" applyFont="1" applyFill="1" applyBorder="1" applyAlignment="1">
      <alignment horizontal="left" vertical="center"/>
    </xf>
    <xf numFmtId="164" fontId="2" fillId="2" borderId="16" xfId="9" applyNumberFormat="1" applyFont="1" applyFill="1" applyBorder="1"/>
    <xf numFmtId="164" fontId="9" fillId="2" borderId="16" xfId="2" applyFont="1" applyFill="1" applyBorder="1" applyAlignment="1">
      <alignment horizontal="right" vertical="center" indent="1"/>
    </xf>
    <xf numFmtId="164" fontId="2" fillId="2" borderId="4" xfId="9" applyNumberFormat="1" applyFont="1" applyFill="1" applyBorder="1"/>
    <xf numFmtId="1" fontId="8" fillId="2" borderId="0" xfId="0" applyNumberFormat="1" applyFont="1" applyFill="1"/>
    <xf numFmtId="164" fontId="2" fillId="2" borderId="12" xfId="9" applyNumberFormat="1" applyFont="1" applyFill="1" applyBorder="1"/>
    <xf numFmtId="164" fontId="5" fillId="2" borderId="16" xfId="2" applyFont="1" applyFill="1" applyBorder="1" applyAlignment="1">
      <alignment horizontal="left" vertical="center"/>
    </xf>
    <xf numFmtId="164" fontId="9" fillId="2" borderId="16" xfId="2" applyFont="1" applyFill="1" applyBorder="1" applyAlignment="1">
      <alignment horizontal="left" vertical="center" indent="1" readingOrder="2"/>
    </xf>
    <xf numFmtId="164" fontId="4" fillId="2" borderId="17" xfId="2" applyFont="1" applyFill="1" applyBorder="1" applyAlignment="1">
      <alignment horizontal="left" vertical="center"/>
    </xf>
    <xf numFmtId="164" fontId="2" fillId="2" borderId="18" xfId="9" applyNumberFormat="1" applyFont="1" applyFill="1" applyBorder="1"/>
    <xf numFmtId="164" fontId="5" fillId="2" borderId="19" xfId="2" applyFont="1" applyFill="1" applyBorder="1" applyAlignment="1">
      <alignment horizontal="left" vertical="center"/>
    </xf>
    <xf numFmtId="164" fontId="9" fillId="2" borderId="19" xfId="2" applyFont="1" applyFill="1" applyBorder="1" applyAlignment="1">
      <alignment horizontal="left" vertical="center" indent="1" readingOrder="2"/>
    </xf>
    <xf numFmtId="164" fontId="2" fillId="2" borderId="5" xfId="9" applyNumberFormat="1" applyFont="1" applyFill="1" applyBorder="1"/>
    <xf numFmtId="164" fontId="2" fillId="2" borderId="0" xfId="9" applyNumberFormat="1" applyFont="1" applyFill="1"/>
    <xf numFmtId="164" fontId="9" fillId="2" borderId="0" xfId="2" applyFont="1" applyFill="1" applyAlignment="1">
      <alignment horizontal="left" vertical="center" indent="1" readingOrder="2"/>
    </xf>
    <xf numFmtId="0" fontId="14" fillId="2" borderId="0" xfId="9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right" vertical="center"/>
    </xf>
    <xf numFmtId="0" fontId="13" fillId="2" borderId="0" xfId="9" applyFont="1" applyFill="1" applyAlignment="1">
      <alignment horizontal="right" vertical="center"/>
    </xf>
    <xf numFmtId="0" fontId="15" fillId="2" borderId="0" xfId="9" applyFont="1" applyFill="1" applyAlignment="1">
      <alignment horizontal="right" vertical="center"/>
    </xf>
    <xf numFmtId="38" fontId="15" fillId="2" borderId="0" xfId="9" applyNumberFormat="1" applyFont="1" applyFill="1" applyAlignment="1">
      <alignment horizontal="right" vertical="center"/>
    </xf>
    <xf numFmtId="0" fontId="17" fillId="2" borderId="0" xfId="9" applyFont="1" applyFill="1" applyAlignment="1">
      <alignment vertical="center"/>
    </xf>
    <xf numFmtId="0" fontId="18" fillId="2" borderId="0" xfId="9" applyFont="1" applyFill="1" applyAlignment="1">
      <alignment horizontal="left" vertical="center"/>
    </xf>
    <xf numFmtId="0" fontId="18" fillId="2" borderId="13" xfId="9" applyFont="1" applyFill="1" applyBorder="1" applyAlignment="1">
      <alignment horizontal="left" vertical="center" wrapText="1" indent="1"/>
    </xf>
    <xf numFmtId="0" fontId="10" fillId="2" borderId="4" xfId="8" applyFont="1" applyFill="1" applyBorder="1" applyAlignment="1">
      <alignment horizontal="center" vertical="center"/>
    </xf>
    <xf numFmtId="0" fontId="12" fillId="2" borderId="4" xfId="9" applyFont="1" applyFill="1" applyBorder="1" applyAlignment="1">
      <alignment horizontal="center" vertical="center"/>
    </xf>
    <xf numFmtId="0" fontId="13" fillId="2" borderId="4" xfId="9" applyFont="1" applyFill="1" applyBorder="1" applyAlignment="1">
      <alignment horizontal="center" vertical="center"/>
    </xf>
    <xf numFmtId="0" fontId="14" fillId="2" borderId="5" xfId="9" applyFont="1" applyFill="1" applyBorder="1" applyAlignment="1">
      <alignment horizontal="center" vertical="center"/>
    </xf>
    <xf numFmtId="0" fontId="15" fillId="2" borderId="6" xfId="9" applyFont="1" applyFill="1" applyBorder="1" applyAlignment="1">
      <alignment horizontal="left" vertical="center"/>
    </xf>
    <xf numFmtId="0" fontId="15" fillId="2" borderId="8" xfId="9" applyFont="1" applyFill="1" applyBorder="1" applyAlignment="1">
      <alignment horizontal="left" vertical="center"/>
    </xf>
    <xf numFmtId="0" fontId="13" fillId="2" borderId="7" xfId="9" applyFont="1" applyFill="1" applyBorder="1" applyAlignment="1">
      <alignment horizontal="right" vertical="center"/>
    </xf>
    <xf numFmtId="0" fontId="13" fillId="2" borderId="9" xfId="9" applyFont="1" applyFill="1" applyBorder="1" applyAlignment="1">
      <alignment horizontal="right" vertical="center"/>
    </xf>
    <xf numFmtId="0" fontId="19" fillId="2" borderId="0" xfId="8" applyFont="1" applyFill="1" applyAlignment="1">
      <alignment horizontal="center" vertical="center"/>
    </xf>
    <xf numFmtId="0" fontId="12" fillId="2" borderId="0" xfId="9" applyFont="1" applyFill="1" applyAlignment="1">
      <alignment horizontal="center" vertical="center"/>
    </xf>
    <xf numFmtId="0" fontId="13" fillId="2" borderId="0" xfId="9" applyFont="1" applyFill="1" applyAlignment="1">
      <alignment horizontal="center" vertical="center"/>
    </xf>
    <xf numFmtId="0" fontId="14" fillId="2" borderId="0" xfId="9" applyFont="1" applyFill="1" applyAlignment="1">
      <alignment horizontal="center" vertical="center"/>
    </xf>
    <xf numFmtId="0" fontId="14" fillId="2" borderId="0" xfId="9" applyFont="1" applyFill="1" applyAlignment="1">
      <alignment horizontal="left" vertical="center"/>
    </xf>
    <xf numFmtId="0" fontId="13" fillId="2" borderId="0" xfId="9" applyFont="1" applyFill="1" applyAlignment="1">
      <alignment horizontal="right" vertical="center"/>
    </xf>
    <xf numFmtId="3" fontId="8" fillId="2" borderId="0" xfId="1" applyNumberFormat="1" applyFont="1" applyFill="1" applyBorder="1" applyAlignment="1">
      <alignment vertical="center"/>
    </xf>
    <xf numFmtId="3" fontId="8" fillId="2" borderId="1" xfId="1" applyNumberFormat="1" applyFont="1" applyFill="1" applyBorder="1" applyAlignment="1">
      <alignment vertical="center"/>
    </xf>
  </cellXfs>
  <cellStyles count="10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agri planning 2009 year book(final)" xfId="9" xr:uid="{F548CDDC-8B48-42E3-8B04-9096E447910A}"/>
    <cellStyle name="Normal_Fish &amp;  Agri - 8" xfId="2" xr:uid="{00000000-0005-0000-0000-00000A000000}"/>
    <cellStyle name="Normal_mmifco" xfId="8" xr:uid="{95EF5255-3C43-4034-98FC-AA0D1F3035C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2023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'9.12'!$C$6:$H$6</c:f>
              <c:strCache>
                <c:ptCount val="6"/>
                <c:pt idx="0">
                  <c:v>India</c:v>
                </c:pt>
                <c:pt idx="1">
                  <c:v>Srilanka</c:v>
                </c:pt>
                <c:pt idx="2">
                  <c:v>U.A.E</c:v>
                </c:pt>
                <c:pt idx="3">
                  <c:v>Australia</c:v>
                </c:pt>
                <c:pt idx="4">
                  <c:v>Thailand</c:v>
                </c:pt>
                <c:pt idx="5">
                  <c:v>Other Countries</c:v>
                </c:pt>
              </c:strCache>
            </c:strRef>
          </c:cat>
          <c:val>
            <c:numRef>
              <c:f>'9.12'!$C$7:$H$7</c:f>
              <c:numCache>
                <c:formatCode>#,##0_);[Red]\(#,##0\)</c:formatCode>
                <c:ptCount val="6"/>
                <c:pt idx="0">
                  <c:v>169507800.92000005</c:v>
                </c:pt>
                <c:pt idx="1">
                  <c:v>145064432.79000011</c:v>
                </c:pt>
                <c:pt idx="2">
                  <c:v>134008429.20999986</c:v>
                </c:pt>
                <c:pt idx="3">
                  <c:v>8419672.1199999899</c:v>
                </c:pt>
                <c:pt idx="4">
                  <c:v>47351539.519999981</c:v>
                </c:pt>
                <c:pt idx="5">
                  <c:v>58841469.449999988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A-4935-B376-287CE6E50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09048"/>
        <c:axId val="424712184"/>
      </c:barChart>
      <c:catAx>
        <c:axId val="4247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12184"/>
        <c:crosses val="autoZero"/>
        <c:auto val="1"/>
        <c:lblAlgn val="ctr"/>
        <c:lblOffset val="100"/>
        <c:noMultiLvlLbl val="0"/>
      </c:catAx>
      <c:valAx>
        <c:axId val="424712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90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1483995</xdr:colOff>
      <xdr:row>28</xdr:row>
      <xdr:rowOff>66675</xdr:rowOff>
    </xdr:from>
    <xdr:to>
      <xdr:col>8</xdr:col>
      <xdr:colOff>76200</xdr:colOff>
      <xdr:row>41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ABC6A-ECCE-4A81-BC5E-E6D57AAF1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9754-12E1-495A-A8D8-AB966D1AF54A}">
  <dimension ref="A1:U50"/>
  <sheetViews>
    <sheetView tabSelected="1" topLeftCell="A4" zoomScale="106" zoomScaleNormal="106" workbookViewId="0">
      <selection activeCell="H8" sqref="H8"/>
    </sheetView>
  </sheetViews>
  <sheetFormatPr defaultColWidth="8.85546875" defaultRowHeight="15" x14ac:dyDescent="0.25"/>
  <cols>
    <col min="1" max="1" width="32" style="5" customWidth="1"/>
    <col min="2" max="8" width="15.28515625" style="5" customWidth="1"/>
    <col min="9" max="9" width="21.28515625" style="5" customWidth="1"/>
    <col min="10" max="10" width="5.7109375" style="5" customWidth="1"/>
    <col min="11" max="11" width="8.85546875" style="5"/>
    <col min="12" max="23" width="11.140625" style="5" customWidth="1"/>
    <col min="24" max="24" width="13.28515625" style="5" bestFit="1" customWidth="1"/>
    <col min="25" max="26" width="8.85546875" style="5"/>
    <col min="27" max="27" width="9" style="5" bestFit="1" customWidth="1"/>
    <col min="28" max="16384" width="8.85546875" style="5"/>
  </cols>
  <sheetData>
    <row r="1" spans="1:9" ht="18" x14ac:dyDescent="0.25">
      <c r="A1" s="42" t="s">
        <v>1</v>
      </c>
      <c r="B1" s="42"/>
      <c r="C1" s="42"/>
      <c r="D1" s="42"/>
      <c r="E1" s="42"/>
      <c r="F1" s="42"/>
      <c r="G1" s="42"/>
      <c r="H1" s="42"/>
      <c r="I1" s="42"/>
    </row>
    <row r="2" spans="1:9" ht="15.75" x14ac:dyDescent="0.25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21" x14ac:dyDescent="0.25">
      <c r="A3" s="44" t="s">
        <v>3</v>
      </c>
      <c r="B3" s="44"/>
      <c r="C3" s="44"/>
      <c r="D3" s="44"/>
      <c r="E3" s="44"/>
      <c r="F3" s="44"/>
      <c r="G3" s="44"/>
      <c r="H3" s="44"/>
      <c r="I3" s="44"/>
    </row>
    <row r="4" spans="1:9" x14ac:dyDescent="0.25">
      <c r="A4" s="45" t="s">
        <v>4</v>
      </c>
      <c r="B4" s="45"/>
      <c r="C4" s="45"/>
      <c r="D4" s="45"/>
      <c r="E4" s="45"/>
      <c r="F4" s="45"/>
      <c r="G4" s="45"/>
      <c r="H4" s="45"/>
      <c r="I4" s="45"/>
    </row>
    <row r="5" spans="1:9" ht="18.75" x14ac:dyDescent="0.25">
      <c r="A5" s="4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48" t="s">
        <v>13</v>
      </c>
    </row>
    <row r="6" spans="1:9" x14ac:dyDescent="0.25">
      <c r="A6" s="47"/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49"/>
    </row>
    <row r="7" spans="1:9" ht="21" x14ac:dyDescent="0.25">
      <c r="A7" s="9" t="s">
        <v>0</v>
      </c>
      <c r="B7" s="10">
        <f t="shared" ref="B7:H7" si="0">SUM(B8:B26)</f>
        <v>563193344.00999999</v>
      </c>
      <c r="C7" s="10">
        <f t="shared" si="0"/>
        <v>169507800.92000005</v>
      </c>
      <c r="D7" s="10">
        <f t="shared" si="0"/>
        <v>145064432.79000011</v>
      </c>
      <c r="E7" s="10">
        <f t="shared" si="0"/>
        <v>134008429.20999986</v>
      </c>
      <c r="F7" s="10">
        <f t="shared" si="0"/>
        <v>8419672.1199999899</v>
      </c>
      <c r="G7" s="10">
        <f t="shared" si="0"/>
        <v>47351539.519999981</v>
      </c>
      <c r="H7" s="10">
        <f>SUM(H8:H26)</f>
        <v>58841469.449999988</v>
      </c>
      <c r="I7" s="7" t="s">
        <v>6</v>
      </c>
    </row>
    <row r="8" spans="1:9" ht="21" x14ac:dyDescent="0.25">
      <c r="A8" s="11" t="s">
        <v>21</v>
      </c>
      <c r="B8" s="3">
        <f>SUM(C8:H8)</f>
        <v>35385489.220000103</v>
      </c>
      <c r="C8" s="56">
        <v>21145323.9300001</v>
      </c>
      <c r="D8" s="56">
        <v>8862574.5299999993</v>
      </c>
      <c r="E8" s="56">
        <v>3024834.7600000002</v>
      </c>
      <c r="F8" s="56">
        <v>43093.48</v>
      </c>
      <c r="G8" s="56">
        <v>363722</v>
      </c>
      <c r="H8" s="56">
        <v>1945940.5199999998</v>
      </c>
      <c r="I8" s="12" t="s">
        <v>22</v>
      </c>
    </row>
    <row r="9" spans="1:9" ht="21" x14ac:dyDescent="0.25">
      <c r="A9" s="13" t="s">
        <v>23</v>
      </c>
      <c r="B9" s="3">
        <f t="shared" ref="B9:B26" si="1">SUM(C9:H9)</f>
        <v>28243224.810000021</v>
      </c>
      <c r="C9" s="56">
        <v>16359252.85</v>
      </c>
      <c r="D9" s="56">
        <v>6202349.5900000203</v>
      </c>
      <c r="E9" s="56">
        <v>3249700.43</v>
      </c>
      <c r="F9" s="56">
        <v>68532.53</v>
      </c>
      <c r="G9" s="56">
        <v>754885.63</v>
      </c>
      <c r="H9" s="56">
        <v>1608503.7800000003</v>
      </c>
      <c r="I9" s="14" t="s">
        <v>24</v>
      </c>
    </row>
    <row r="10" spans="1:9" ht="21" x14ac:dyDescent="0.25">
      <c r="A10" s="15" t="s">
        <v>25</v>
      </c>
      <c r="B10" s="3">
        <f t="shared" si="1"/>
        <v>1023064.18</v>
      </c>
      <c r="C10" s="56">
        <v>18677.14</v>
      </c>
      <c r="D10" s="56">
        <v>982267.48</v>
      </c>
      <c r="E10" s="56">
        <v>17182.54</v>
      </c>
      <c r="F10" s="56">
        <v>0</v>
      </c>
      <c r="G10" s="56">
        <v>0</v>
      </c>
      <c r="H10" s="56">
        <v>4937.0200000000004</v>
      </c>
      <c r="I10" s="14" t="s">
        <v>26</v>
      </c>
    </row>
    <row r="11" spans="1:9" ht="21" x14ac:dyDescent="0.25">
      <c r="A11" s="15" t="s">
        <v>27</v>
      </c>
      <c r="B11" s="3">
        <f t="shared" si="1"/>
        <v>39866497.300000049</v>
      </c>
      <c r="C11" s="56">
        <v>23322110.400000099</v>
      </c>
      <c r="D11" s="56">
        <v>7662040.3499999698</v>
      </c>
      <c r="E11" s="56">
        <v>3799220.7599999802</v>
      </c>
      <c r="F11" s="56">
        <v>179875.42</v>
      </c>
      <c r="G11" s="56">
        <v>469497.89</v>
      </c>
      <c r="H11" s="56">
        <v>4433752.4799999986</v>
      </c>
      <c r="I11" s="14" t="s">
        <v>28</v>
      </c>
    </row>
    <row r="12" spans="1:9" ht="21" x14ac:dyDescent="0.25">
      <c r="A12" s="15" t="s">
        <v>29</v>
      </c>
      <c r="B12" s="3">
        <f t="shared" si="1"/>
        <v>10137116.25999999</v>
      </c>
      <c r="C12" s="56">
        <v>187755.44</v>
      </c>
      <c r="D12" s="56">
        <v>2073151</v>
      </c>
      <c r="E12" s="56">
        <v>4630949.9399999902</v>
      </c>
      <c r="F12" s="56">
        <v>166107.07</v>
      </c>
      <c r="G12" s="56">
        <v>2247934.17</v>
      </c>
      <c r="H12" s="56">
        <v>831218.6399999999</v>
      </c>
      <c r="I12" s="14" t="s">
        <v>30</v>
      </c>
    </row>
    <row r="13" spans="1:9" ht="24" x14ac:dyDescent="0.25">
      <c r="A13" s="41" t="s">
        <v>31</v>
      </c>
      <c r="B13" s="3">
        <f t="shared" si="1"/>
        <v>4304227.1700000102</v>
      </c>
      <c r="C13" s="56">
        <v>75843.039999999994</v>
      </c>
      <c r="D13" s="56">
        <v>3865135.1800000099</v>
      </c>
      <c r="E13" s="56">
        <v>206576.33</v>
      </c>
      <c r="F13" s="56">
        <v>0</v>
      </c>
      <c r="G13" s="56">
        <v>137707.21</v>
      </c>
      <c r="H13" s="56">
        <v>18965.41</v>
      </c>
      <c r="I13" s="14" t="s">
        <v>32</v>
      </c>
    </row>
    <row r="14" spans="1:9" ht="21" x14ac:dyDescent="0.25">
      <c r="A14" s="15" t="s">
        <v>33</v>
      </c>
      <c r="B14" s="3">
        <f t="shared" si="1"/>
        <v>25706354.469999991</v>
      </c>
      <c r="C14" s="56">
        <v>13401587.720000001</v>
      </c>
      <c r="D14" s="56">
        <v>4250238.45</v>
      </c>
      <c r="E14" s="56">
        <v>3216369.06</v>
      </c>
      <c r="F14" s="56">
        <v>74490.600000000006</v>
      </c>
      <c r="G14" s="56">
        <v>2317082.6699999901</v>
      </c>
      <c r="H14" s="56">
        <v>2446585.9699999997</v>
      </c>
      <c r="I14" s="14" t="s">
        <v>34</v>
      </c>
    </row>
    <row r="15" spans="1:9" ht="21" x14ac:dyDescent="0.25">
      <c r="A15" s="15" t="s">
        <v>35</v>
      </c>
      <c r="B15" s="3">
        <f t="shared" si="1"/>
        <v>43569305.240000136</v>
      </c>
      <c r="C15" s="56">
        <v>9583739.9700000305</v>
      </c>
      <c r="D15" s="56">
        <v>22023802.600000098</v>
      </c>
      <c r="E15" s="56">
        <v>7990088.3700000104</v>
      </c>
      <c r="F15" s="56">
        <v>224809.57</v>
      </c>
      <c r="G15" s="56">
        <v>99101.72</v>
      </c>
      <c r="H15" s="56">
        <v>3647763.0099999979</v>
      </c>
      <c r="I15" s="14" t="s">
        <v>36</v>
      </c>
    </row>
    <row r="16" spans="1:9" ht="21" x14ac:dyDescent="0.25">
      <c r="A16" s="15" t="s">
        <v>37</v>
      </c>
      <c r="B16" s="3">
        <f t="shared" si="1"/>
        <v>6538816.2599999914</v>
      </c>
      <c r="C16" s="56">
        <v>4986717.5199999902</v>
      </c>
      <c r="D16" s="56">
        <v>1112677.31</v>
      </c>
      <c r="E16" s="56">
        <v>410895.29</v>
      </c>
      <c r="F16" s="56">
        <v>366.4</v>
      </c>
      <c r="G16" s="56">
        <v>10291.540000000001</v>
      </c>
      <c r="H16" s="56">
        <v>17868.199999999997</v>
      </c>
      <c r="I16" s="14" t="s">
        <v>38</v>
      </c>
    </row>
    <row r="17" spans="1:21" ht="21" x14ac:dyDescent="0.25">
      <c r="A17" s="15" t="s">
        <v>39</v>
      </c>
      <c r="B17" s="3">
        <f t="shared" si="1"/>
        <v>33080664.259999998</v>
      </c>
      <c r="C17" s="56">
        <v>4268517.84</v>
      </c>
      <c r="D17" s="56">
        <v>8447337.9600000102</v>
      </c>
      <c r="E17" s="56">
        <v>10586511.699999999</v>
      </c>
      <c r="F17" s="56">
        <v>4502.6099999999997</v>
      </c>
      <c r="G17" s="56">
        <v>6739537.0799999898</v>
      </c>
      <c r="H17" s="56">
        <v>3034257.0700000003</v>
      </c>
      <c r="I17" s="14" t="s">
        <v>40</v>
      </c>
    </row>
    <row r="18" spans="1:21" ht="24" x14ac:dyDescent="0.25">
      <c r="A18" s="41" t="s">
        <v>41</v>
      </c>
      <c r="B18" s="3">
        <f t="shared" si="1"/>
        <v>76681006.279999807</v>
      </c>
      <c r="C18" s="56">
        <v>1024619.96</v>
      </c>
      <c r="D18" s="56">
        <v>9028716.2500000205</v>
      </c>
      <c r="E18" s="56">
        <v>43788265.769999802</v>
      </c>
      <c r="F18" s="56">
        <v>3852753.1299999901</v>
      </c>
      <c r="G18" s="56">
        <v>1505440</v>
      </c>
      <c r="H18" s="56">
        <v>17481211.169999991</v>
      </c>
      <c r="I18" s="14" t="s">
        <v>42</v>
      </c>
    </row>
    <row r="19" spans="1:21" ht="21" x14ac:dyDescent="0.25">
      <c r="A19" s="15" t="s">
        <v>43</v>
      </c>
      <c r="B19" s="3">
        <f t="shared" si="1"/>
        <v>86195883.130000114</v>
      </c>
      <c r="C19" s="56">
        <v>5810489.3500000099</v>
      </c>
      <c r="D19" s="56">
        <v>33056812.800000001</v>
      </c>
      <c r="E19" s="56">
        <v>16941472.0900001</v>
      </c>
      <c r="F19" s="56">
        <v>179189.22</v>
      </c>
      <c r="G19" s="56">
        <v>19774353.98</v>
      </c>
      <c r="H19" s="56">
        <v>10433565.689999999</v>
      </c>
      <c r="I19" s="14" t="s">
        <v>44</v>
      </c>
    </row>
    <row r="20" spans="1:21" ht="21" x14ac:dyDescent="0.25">
      <c r="A20" s="15" t="s">
        <v>45</v>
      </c>
      <c r="B20" s="3">
        <f t="shared" si="1"/>
        <v>40706662.159999996</v>
      </c>
      <c r="C20" s="56">
        <v>15535312.1</v>
      </c>
      <c r="D20" s="56">
        <v>451911</v>
      </c>
      <c r="E20" s="56">
        <v>14708982.84</v>
      </c>
      <c r="F20" s="56">
        <v>1313635.79</v>
      </c>
      <c r="G20" s="56">
        <v>2848390.43</v>
      </c>
      <c r="H20" s="56">
        <v>5848429.9999999991</v>
      </c>
      <c r="I20" s="14" t="s">
        <v>46</v>
      </c>
    </row>
    <row r="21" spans="1:21" ht="21" x14ac:dyDescent="0.25">
      <c r="A21" s="15" t="s">
        <v>47</v>
      </c>
      <c r="B21" s="3">
        <f t="shared" si="1"/>
        <v>15062611.29000001</v>
      </c>
      <c r="C21" s="56">
        <v>473236.61</v>
      </c>
      <c r="D21" s="56">
        <v>9675405.3200000096</v>
      </c>
      <c r="E21" s="56">
        <v>1814758.88</v>
      </c>
      <c r="F21" s="56">
        <v>16132.89</v>
      </c>
      <c r="G21" s="56">
        <v>2773324.66</v>
      </c>
      <c r="H21" s="56">
        <v>309752.93</v>
      </c>
      <c r="I21" s="14" t="s">
        <v>48</v>
      </c>
    </row>
    <row r="22" spans="1:21" ht="21" x14ac:dyDescent="0.25">
      <c r="A22" s="15" t="s">
        <v>49</v>
      </c>
      <c r="B22" s="3">
        <f t="shared" si="1"/>
        <v>34069596.260000013</v>
      </c>
      <c r="C22" s="56">
        <v>3854973.37</v>
      </c>
      <c r="D22" s="56">
        <v>17238896.5</v>
      </c>
      <c r="E22" s="56">
        <v>8556432.1600000095</v>
      </c>
      <c r="F22" s="56">
        <v>26159.39</v>
      </c>
      <c r="G22" s="56">
        <v>3014091.71</v>
      </c>
      <c r="H22" s="56">
        <v>1379043.1300000001</v>
      </c>
      <c r="I22" s="14" t="s">
        <v>50</v>
      </c>
    </row>
    <row r="23" spans="1:21" ht="21" x14ac:dyDescent="0.25">
      <c r="A23" s="15" t="s">
        <v>51</v>
      </c>
      <c r="B23" s="3">
        <f t="shared" si="1"/>
        <v>12394195.24</v>
      </c>
      <c r="C23" s="56">
        <v>4998834.9000000004</v>
      </c>
      <c r="D23" s="56">
        <v>3296340.2100000102</v>
      </c>
      <c r="E23" s="56">
        <v>3610853.25999999</v>
      </c>
      <c r="F23" s="56">
        <v>154082.06</v>
      </c>
      <c r="G23" s="56">
        <v>28292.03</v>
      </c>
      <c r="H23" s="56">
        <v>305792.78000000003</v>
      </c>
      <c r="I23" s="14" t="s">
        <v>52</v>
      </c>
    </row>
    <row r="24" spans="1:21" ht="21" x14ac:dyDescent="0.25">
      <c r="A24" s="15" t="s">
        <v>53</v>
      </c>
      <c r="B24" s="3">
        <f t="shared" si="1"/>
        <v>553035.93999999994</v>
      </c>
      <c r="C24" s="56">
        <v>103695.42</v>
      </c>
      <c r="D24" s="56">
        <v>5818.01</v>
      </c>
      <c r="E24" s="56">
        <v>309493.83</v>
      </c>
      <c r="F24" s="56">
        <v>0</v>
      </c>
      <c r="G24" s="56">
        <v>132719.18</v>
      </c>
      <c r="H24" s="56">
        <v>1309.5</v>
      </c>
      <c r="I24" s="14" t="s">
        <v>54</v>
      </c>
    </row>
    <row r="25" spans="1:21" ht="21" x14ac:dyDescent="0.25">
      <c r="A25" s="15" t="s">
        <v>55</v>
      </c>
      <c r="B25" s="3">
        <f t="shared" si="1"/>
        <v>11075134.149999999</v>
      </c>
      <c r="C25" s="56">
        <v>1623228.44</v>
      </c>
      <c r="D25" s="56">
        <v>4519266.8499999996</v>
      </c>
      <c r="E25" s="56">
        <v>1567577.21</v>
      </c>
      <c r="F25" s="56">
        <v>108645.88</v>
      </c>
      <c r="G25" s="56">
        <v>88371.74</v>
      </c>
      <c r="H25" s="56">
        <v>3168044.0299999993</v>
      </c>
      <c r="I25" s="14" t="s">
        <v>56</v>
      </c>
    </row>
    <row r="26" spans="1:21" ht="21" x14ac:dyDescent="0.25">
      <c r="A26" s="16" t="s">
        <v>57</v>
      </c>
      <c r="B26" s="17">
        <f t="shared" si="1"/>
        <v>58600460.389999799</v>
      </c>
      <c r="C26" s="57">
        <v>42733884.919999801</v>
      </c>
      <c r="D26" s="57">
        <v>2309691.4</v>
      </c>
      <c r="E26" s="57">
        <v>5578263.9900000002</v>
      </c>
      <c r="F26" s="57">
        <v>2007296.08</v>
      </c>
      <c r="G26" s="57">
        <v>4046795.88</v>
      </c>
      <c r="H26" s="57">
        <v>1924528.12</v>
      </c>
      <c r="I26" s="18" t="s">
        <v>58</v>
      </c>
    </row>
    <row r="27" spans="1:21" s="22" customFormat="1" x14ac:dyDescent="0.25">
      <c r="A27" s="19" t="s">
        <v>59</v>
      </c>
      <c r="B27" s="19"/>
      <c r="C27" s="20"/>
      <c r="D27" s="20"/>
      <c r="E27" s="20"/>
      <c r="F27" s="20"/>
      <c r="G27" s="20"/>
      <c r="H27" s="20"/>
      <c r="I27" s="21" t="s">
        <v>60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s="22" customFormat="1" x14ac:dyDescent="0.25">
      <c r="A28" s="19"/>
      <c r="B28" s="2"/>
      <c r="C28" s="23"/>
      <c r="D28" s="24"/>
      <c r="E28" s="25"/>
      <c r="F28" s="25"/>
      <c r="G28" s="25"/>
      <c r="H28" s="2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s="22" customFormat="1" x14ac:dyDescent="0.25">
      <c r="A29" s="19"/>
      <c r="B29" s="2"/>
      <c r="C29" s="23"/>
      <c r="D29" s="24"/>
      <c r="E29" s="25"/>
      <c r="F29" s="25"/>
      <c r="G29" s="25"/>
      <c r="H29" s="2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s="22" customFormat="1" x14ac:dyDescent="0.25">
      <c r="A30" s="19"/>
      <c r="B30" s="2"/>
      <c r="C30" s="23"/>
      <c r="D30" s="24"/>
      <c r="E30" s="25"/>
      <c r="F30" s="25"/>
      <c r="G30" s="25"/>
      <c r="H30" s="2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19"/>
      <c r="B31" s="2"/>
      <c r="C31" s="23"/>
      <c r="D31" s="24"/>
      <c r="E31" s="25"/>
      <c r="F31" s="25"/>
      <c r="G31" s="25"/>
      <c r="H31" s="26"/>
      <c r="I31" s="22"/>
    </row>
    <row r="32" spans="1:21" x14ac:dyDescent="0.25">
      <c r="A32" s="19"/>
      <c r="B32" s="2"/>
      <c r="C32" s="23"/>
      <c r="D32" s="24"/>
      <c r="E32" s="25"/>
      <c r="F32" s="25"/>
      <c r="G32" s="25"/>
      <c r="H32" s="26"/>
      <c r="I32" s="22"/>
    </row>
    <row r="33" spans="1:9" x14ac:dyDescent="0.25">
      <c r="A33" s="27"/>
      <c r="B33" s="2"/>
      <c r="C33" s="23"/>
      <c r="D33" s="28"/>
      <c r="E33" s="29"/>
      <c r="F33" s="29"/>
      <c r="G33" s="29"/>
      <c r="H33" s="30"/>
      <c r="I33" s="31"/>
    </row>
    <row r="34" spans="1:9" x14ac:dyDescent="0.25">
      <c r="A34" s="2"/>
      <c r="B34" s="2"/>
      <c r="C34" s="23"/>
      <c r="D34" s="32"/>
      <c r="E34" s="1"/>
      <c r="F34" s="1"/>
      <c r="G34" s="1"/>
      <c r="H34" s="33"/>
      <c r="I34" s="32"/>
    </row>
    <row r="35" spans="1:9" ht="18" x14ac:dyDescent="0.25">
      <c r="A35" s="50"/>
      <c r="B35" s="50"/>
      <c r="C35" s="50"/>
      <c r="D35" s="50"/>
      <c r="E35" s="50"/>
      <c r="F35" s="50"/>
      <c r="G35" s="50"/>
      <c r="H35" s="50"/>
      <c r="I35" s="50"/>
    </row>
    <row r="36" spans="1:9" ht="15.75" x14ac:dyDescent="0.25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21" x14ac:dyDescent="0.25">
      <c r="A37" s="52"/>
      <c r="B37" s="52"/>
      <c r="C37" s="52"/>
      <c r="D37" s="52"/>
      <c r="E37" s="52"/>
      <c r="F37" s="52"/>
      <c r="G37" s="52"/>
      <c r="H37" s="52"/>
      <c r="I37" s="52"/>
    </row>
    <row r="38" spans="1:9" x14ac:dyDescent="0.25">
      <c r="A38" s="53"/>
      <c r="B38" s="53"/>
      <c r="C38" s="53"/>
      <c r="D38" s="53"/>
      <c r="E38" s="53"/>
      <c r="F38" s="53"/>
      <c r="G38" s="53"/>
      <c r="H38" s="53"/>
      <c r="I38" s="53"/>
    </row>
    <row r="39" spans="1:9" ht="18.75" x14ac:dyDescent="0.25">
      <c r="A39" s="54"/>
      <c r="B39" s="35"/>
      <c r="C39" s="35"/>
      <c r="D39" s="35"/>
      <c r="E39" s="35"/>
      <c r="F39" s="35"/>
      <c r="G39" s="35"/>
      <c r="H39" s="35"/>
      <c r="I39" s="55"/>
    </row>
    <row r="40" spans="1:9" x14ac:dyDescent="0.25">
      <c r="A40" s="54"/>
      <c r="B40" s="37"/>
      <c r="C40" s="37"/>
      <c r="D40" s="37"/>
      <c r="E40" s="37"/>
      <c r="F40" s="37"/>
      <c r="G40" s="37"/>
      <c r="H40" s="37"/>
      <c r="I40" s="55"/>
    </row>
    <row r="41" spans="1:9" ht="21" x14ac:dyDescent="0.25">
      <c r="A41" s="34"/>
      <c r="B41" s="38"/>
      <c r="C41" s="38"/>
      <c r="D41" s="38"/>
      <c r="E41" s="38"/>
      <c r="F41" s="38"/>
      <c r="G41" s="38"/>
      <c r="H41" s="38"/>
      <c r="I41" s="36"/>
    </row>
    <row r="42" spans="1:9" ht="21" x14ac:dyDescent="0.25">
      <c r="A42" s="23"/>
      <c r="B42" s="3"/>
      <c r="C42" s="4"/>
      <c r="D42" s="4"/>
      <c r="E42" s="4"/>
      <c r="F42" s="4"/>
      <c r="G42" s="4"/>
      <c r="H42" s="4"/>
      <c r="I42" s="39"/>
    </row>
    <row r="43" spans="1:9" ht="21" x14ac:dyDescent="0.25">
      <c r="A43" s="40"/>
      <c r="B43" s="3"/>
      <c r="C43" s="4"/>
      <c r="D43" s="4"/>
      <c r="E43" s="4"/>
      <c r="F43" s="4"/>
      <c r="G43" s="4"/>
      <c r="H43" s="4"/>
      <c r="I43" s="39"/>
    </row>
    <row r="44" spans="1:9" ht="21" x14ac:dyDescent="0.25">
      <c r="A44" s="40"/>
      <c r="B44" s="3"/>
      <c r="C44" s="4"/>
      <c r="D44" s="4"/>
      <c r="E44" s="4"/>
      <c r="F44" s="4"/>
      <c r="G44" s="4"/>
      <c r="H44" s="4"/>
      <c r="I44" s="39"/>
    </row>
    <row r="45" spans="1:9" ht="21" x14ac:dyDescent="0.25">
      <c r="A45" s="40"/>
      <c r="B45" s="3"/>
      <c r="C45" s="4"/>
      <c r="D45" s="4"/>
      <c r="E45" s="4"/>
      <c r="F45" s="4"/>
      <c r="G45" s="4"/>
      <c r="H45" s="4"/>
      <c r="I45" s="39"/>
    </row>
    <row r="46" spans="1:9" ht="21" x14ac:dyDescent="0.25">
      <c r="A46" s="40"/>
      <c r="B46" s="3"/>
      <c r="C46" s="4"/>
      <c r="D46" s="4"/>
      <c r="E46" s="4"/>
      <c r="F46" s="4"/>
      <c r="G46" s="4"/>
      <c r="H46" s="4"/>
      <c r="I46" s="39"/>
    </row>
    <row r="47" spans="1:9" ht="21" x14ac:dyDescent="0.25">
      <c r="A47" s="40"/>
      <c r="B47" s="3"/>
      <c r="C47" s="4"/>
      <c r="D47" s="4"/>
      <c r="E47" s="4"/>
      <c r="F47" s="4"/>
      <c r="G47" s="4"/>
      <c r="H47" s="4"/>
      <c r="I47" s="39"/>
    </row>
    <row r="48" spans="1:9" ht="21" x14ac:dyDescent="0.25">
      <c r="A48" s="40"/>
      <c r="B48" s="3"/>
      <c r="C48" s="4"/>
      <c r="D48" s="4"/>
      <c r="E48" s="4"/>
      <c r="F48" s="4"/>
      <c r="G48" s="4"/>
      <c r="H48" s="4"/>
      <c r="I48" s="39"/>
    </row>
    <row r="49" spans="1:9" x14ac:dyDescent="0.25">
      <c r="A49" s="19"/>
      <c r="B49" s="19"/>
      <c r="C49" s="20"/>
      <c r="D49" s="20"/>
      <c r="E49" s="20"/>
      <c r="F49" s="20"/>
      <c r="G49" s="20"/>
      <c r="H49" s="20"/>
      <c r="I49" s="21"/>
    </row>
    <row r="50" spans="1:9" x14ac:dyDescent="0.25">
      <c r="A50" s="19"/>
      <c r="B50" s="2"/>
      <c r="C50" s="23"/>
      <c r="D50" s="24"/>
      <c r="E50" s="25"/>
      <c r="F50" s="25"/>
      <c r="G50" s="25"/>
      <c r="H50" s="26"/>
      <c r="I50" s="22"/>
    </row>
  </sheetData>
  <mergeCells count="12">
    <mergeCell ref="A35:I35"/>
    <mergeCell ref="A36:I36"/>
    <mergeCell ref="A37:I37"/>
    <mergeCell ref="A38:I38"/>
    <mergeCell ref="A39:A40"/>
    <mergeCell ref="I39:I40"/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2024-08-05T03:09:41Z</cp:lastPrinted>
  <dcterms:created xsi:type="dcterms:W3CDTF">2019-09-09T05:11:24Z</dcterms:created>
  <dcterms:modified xsi:type="dcterms:W3CDTF">2024-08-05T03:09:45Z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