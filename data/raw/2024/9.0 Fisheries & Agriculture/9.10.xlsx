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Fisheries\"/>
    </mc:Choice>
  </mc:AlternateContent>
  <xr:revisionPtr revIDLastSave="0" documentId="13_ncr:1_{0FBA04B0-016E-4D8D-A2B4-F04EC88B38B5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10" sheetId="10" r:id="rId1"/>
  </sheets>
  <definedNames>
    <definedName name="_xlnm.Print_Area" localSheetId="0">'9.10'!$A$1:$H$33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0" l="1"/>
  <c r="E26" i="10"/>
  <c r="E30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11" i="10"/>
  <c r="G9" i="10" l="1"/>
  <c r="G7" i="10" s="1"/>
  <c r="F9" i="10"/>
  <c r="F7" i="10" s="1"/>
  <c r="C9" i="10"/>
  <c r="C7" i="10" s="1"/>
  <c r="B9" i="10"/>
  <c r="B7" i="10" l="1"/>
  <c r="D9" i="10"/>
  <c r="D7" i="10" s="1"/>
  <c r="E9" i="10"/>
  <c r="E7" i="10" s="1"/>
</calcChain>
</file>

<file path=xl/sharedStrings.xml><?xml version="1.0" encoding="utf-8"?>
<sst xmlns="http://schemas.openxmlformats.org/spreadsheetml/2006/main" count="41" uniqueCount="35">
  <si>
    <t>Republic</t>
  </si>
  <si>
    <t>Male'</t>
  </si>
  <si>
    <t>Atolls</t>
  </si>
  <si>
    <t>Longline</t>
  </si>
  <si>
    <t xml:space="preserve"> HA</t>
  </si>
  <si>
    <t xml:space="preserve"> HDh</t>
  </si>
  <si>
    <t xml:space="preserve"> Sh</t>
  </si>
  <si>
    <t>S</t>
  </si>
  <si>
    <t xml:space="preserve"> N</t>
  </si>
  <si>
    <t xml:space="preserve"> R</t>
  </si>
  <si>
    <t>B</t>
  </si>
  <si>
    <t>Lh</t>
  </si>
  <si>
    <t>K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</si>
  <si>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</si>
  <si>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</si>
  <si>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</si>
  <si>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</si>
  <si>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</si>
  <si>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</si>
  <si>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</si>
  <si>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</si>
  <si>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</si>
  <si>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</si>
  <si>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Source: Ministry of Fisheries  and Agriculture</t>
  </si>
  <si>
    <t>Locality</t>
  </si>
  <si>
    <t>Other vessels</t>
  </si>
  <si>
    <t>Mechanised</t>
  </si>
  <si>
    <t xml:space="preserve"> AA</t>
  </si>
  <si>
    <t>Fish Catch (metric tonnes)</t>
  </si>
  <si>
    <t>Catch per unit effort (metric tonnes)</t>
  </si>
  <si>
    <t>Fishing Trips</t>
  </si>
  <si>
    <t>Masdhonis</t>
  </si>
  <si>
    <t xml:space="preserve">މައުލޫމާތު ދެއްވި ފަރާތް: މިނިސްޓްރީ އޮފް ފިޝަރީޒް އެންޑް އެގްރިކަލްޗަރ </t>
  </si>
  <si>
    <t>Table 9.10: FISH CATCH, FISHING TRIPS AND CATCH PER UNIT EFFORT BY LOCALITY, 2023</t>
  </si>
  <si>
    <t>ތާވަލު 9.10: ބޭނުނު މަހުގެ އަދަދު، މަސްދަތުރުގެ އަދަދު އަދި ތަނުގެ ގޮތުން ބޭނިފައިވާ މަހުގެ ނިސްބަތް،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</si>
</sst>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#,##0.0"/>
    <numFmt numFmtId="170" formatCode="[$-409]mmmm\ d\,\ 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</font>
    <font>
      <b/>
      <sz val="10"/>
      <name val="Arial"/>
      <family val="2"/>
    </font>
    <font>
      <sz val="9"/>
      <name val="Calibri"/>
      <family val="2"/>
    </font>
    <font>
      <sz val="10"/>
      <name val="MS Sans Serif"/>
      <family val="2"/>
    </font>
    <font>
      <b/>
      <sz val="12"/>
      <name val="Faruma"/>
      <family val="3"/>
    </font>
    <font>
      <b/>
      <sz val="11"/>
      <name val="Faruma"/>
      <family val="3"/>
    </font>
    <font>
      <b/>
      <sz val="11"/>
      <color theme="1"/>
      <name val="Calibri"/>
      <family val="2"/>
    </font>
    <font>
      <sz val="9"/>
      <color theme="1"/>
      <name val="Faruma"/>
      <family val="3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1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  <xf numFmtId="0" fontId="6" fillId="0" borderId="0"/>
  </cellStyleXfs>
  <cellXfs count="49">
    <xf numFmtId="0" fontId="0" fillId="0" borderId="0" xfId="0"/>
    <xf numFmtId="164" fontId="6" fillId="2" borderId="0" xfId="2" applyFont="1" applyFill="1" applyAlignment="1">
      <alignment vertical="center"/>
    </xf>
    <xf numFmtId="164" fontId="7" fillId="2" borderId="0" xfId="2" applyFont="1" applyFill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9" fillId="2" borderId="0" xfId="2" applyFont="1" applyFill="1" applyAlignment="1">
      <alignment vertical="center"/>
    </xf>
    <xf numFmtId="164" fontId="9" fillId="2" borderId="0" xfId="2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left" vertical="center" indent="1"/>
    </xf>
    <xf numFmtId="164" fontId="5" fillId="2" borderId="1" xfId="0" applyNumberFormat="1" applyFont="1" applyFill="1" applyBorder="1" applyAlignment="1">
      <alignment horizontal="left" vertical="center" indent="1"/>
    </xf>
    <xf numFmtId="164" fontId="4" fillId="2" borderId="0" xfId="2" applyFont="1" applyFill="1" applyAlignment="1">
      <alignment horizontal="right" vertical="center"/>
    </xf>
    <xf numFmtId="164" fontId="7" fillId="2" borderId="0" xfId="2" applyFont="1" applyFill="1" applyAlignment="1">
      <alignment horizontal="center" vertical="center"/>
    </xf>
    <xf numFmtId="3" fontId="7" fillId="2" borderId="2" xfId="2" applyNumberFormat="1" applyFont="1" applyFill="1" applyBorder="1" applyAlignment="1">
      <alignment horizontal="right" vertical="center"/>
    </xf>
    <xf numFmtId="3" fontId="7" fillId="2" borderId="0" xfId="2" applyNumberFormat="1" applyFont="1" applyFill="1" applyAlignment="1">
      <alignment horizontal="right" vertical="center"/>
    </xf>
    <xf numFmtId="3" fontId="5" fillId="2" borderId="0" xfId="2" applyNumberFormat="1" applyFont="1" applyFill="1" applyAlignment="1">
      <alignment horizontal="right" vertical="center"/>
    </xf>
    <xf numFmtId="3" fontId="5" fillId="2" borderId="1" xfId="2" applyNumberFormat="1" applyFont="1" applyFill="1" applyBorder="1" applyAlignment="1">
      <alignment horizontal="right" vertical="center"/>
    </xf>
    <xf numFmtId="164" fontId="7" fillId="2" borderId="1" xfId="2" applyFont="1" applyFill="1" applyBorder="1" applyAlignment="1">
      <alignment horizontal="right" vertical="center"/>
    </xf>
    <xf numFmtId="164" fontId="10" fillId="2" borderId="0" xfId="2" applyFont="1" applyFill="1" applyAlignment="1">
      <alignment horizontal="right" vertical="center"/>
    </xf>
    <xf numFmtId="164" fontId="7" fillId="2" borderId="7" xfId="2" applyFont="1" applyFill="1" applyBorder="1" applyAlignment="1">
      <alignment horizontal="right"/>
    </xf>
    <xf numFmtId="164" fontId="13" fillId="2" borderId="0" xfId="2" applyFont="1" applyFill="1" applyAlignment="1">
      <alignment vertical="center"/>
    </xf>
    <xf numFmtId="164" fontId="14" fillId="2" borderId="0" xfId="2" applyFont="1" applyFill="1" applyAlignment="1">
      <alignment vertical="center"/>
    </xf>
    <xf numFmtId="164" fontId="7" fillId="2" borderId="0" xfId="2" applyFont="1" applyFill="1" applyAlignment="1">
      <alignment horizontal="right" vertical="center"/>
    </xf>
    <xf numFmtId="164" fontId="7" fillId="2" borderId="9" xfId="2" applyFont="1" applyFill="1" applyBorder="1" applyAlignment="1">
      <alignment horizontal="right"/>
    </xf>
    <xf numFmtId="164" fontId="7" fillId="2" borderId="4" xfId="2" applyFont="1" applyFill="1" applyBorder="1" applyAlignment="1">
      <alignment horizontal="right" vertical="center"/>
    </xf>
    <xf numFmtId="165" fontId="7" fillId="2" borderId="3" xfId="2" applyNumberFormat="1" applyFont="1" applyFill="1" applyBorder="1" applyAlignment="1">
      <alignment horizontal="right" vertical="center" indent="3"/>
    </xf>
    <xf numFmtId="3" fontId="7" fillId="2" borderId="2" xfId="2" applyNumberFormat="1" applyFont="1" applyFill="1" applyBorder="1" applyAlignment="1">
      <alignment horizontal="right" vertical="center" indent="1"/>
    </xf>
    <xf numFmtId="3" fontId="4" fillId="2" borderId="0" xfId="2" applyNumberFormat="1" applyFont="1" applyFill="1" applyAlignment="1">
      <alignment horizontal="right" vertical="center"/>
    </xf>
    <xf numFmtId="3" fontId="7" fillId="2" borderId="0" xfId="2" applyNumberFormat="1" applyFont="1" applyFill="1" applyAlignment="1">
      <alignment horizontal="right" vertical="center" indent="1"/>
    </xf>
    <xf numFmtId="165" fontId="5" fillId="2" borderId="3" xfId="2" applyNumberFormat="1" applyFont="1" applyFill="1" applyBorder="1" applyAlignment="1">
      <alignment horizontal="right" vertical="center" indent="3"/>
    </xf>
    <xf numFmtId="3" fontId="5" fillId="2" borderId="0" xfId="2" applyNumberFormat="1" applyFont="1" applyFill="1" applyAlignment="1">
      <alignment horizontal="right" vertical="center" indent="1"/>
    </xf>
    <xf numFmtId="164" fontId="3" fillId="2" borderId="0" xfId="2" applyFont="1" applyFill="1" applyAlignment="1">
      <alignment horizontal="right" vertical="center"/>
    </xf>
    <xf numFmtId="165" fontId="5" fillId="2" borderId="4" xfId="2" applyNumberFormat="1" applyFont="1" applyFill="1" applyBorder="1" applyAlignment="1">
      <alignment horizontal="right" vertical="center" indent="3"/>
    </xf>
    <xf numFmtId="3" fontId="5" fillId="2" borderId="1" xfId="2" applyNumberFormat="1" applyFont="1" applyFill="1" applyBorder="1" applyAlignment="1">
      <alignment horizontal="right" vertical="center" indent="1"/>
    </xf>
    <xf numFmtId="164" fontId="10" fillId="2" borderId="0" xfId="2" applyFont="1" applyFill="1" applyAlignment="1">
      <alignment horizontal="right" vertical="center" indent="1"/>
    </xf>
    <xf numFmtId="0" fontId="15" fillId="2" borderId="0" xfId="0" applyFont="1" applyFill="1" applyAlignment="1">
      <alignment horizontal="right" indent="1"/>
    </xf>
    <xf numFmtId="164" fontId="7" fillId="2" borderId="1" xfId="2" applyFont="1" applyFill="1" applyBorder="1" applyAlignment="1">
      <alignment horizontal="center" vertical="center"/>
    </xf>
    <xf numFmtId="43" fontId="4" fillId="2" borderId="0" xfId="1" applyFont="1" applyFill="1" applyBorder="1" applyAlignment="1">
      <alignment horizontal="right" vertical="center"/>
    </xf>
    <xf numFmtId="164" fontId="7" fillId="2" borderId="10" xfId="2" applyFont="1" applyFill="1" applyBorder="1" applyAlignment="1">
      <alignment horizontal="right" vertical="center"/>
    </xf>
    <xf numFmtId="164" fontId="7" fillId="2" borderId="11" xfId="2" applyFont="1" applyFill="1" applyBorder="1" applyAlignment="1">
      <alignment horizontal="right" vertical="center"/>
    </xf>
    <xf numFmtId="165" fontId="7" fillId="2" borderId="10" xfId="2" applyNumberFormat="1" applyFont="1" applyFill="1" applyBorder="1" applyAlignment="1">
      <alignment horizontal="right" vertical="center" indent="3"/>
    </xf>
    <xf numFmtId="165" fontId="7" fillId="2" borderId="12" xfId="2" applyNumberFormat="1" applyFont="1" applyFill="1" applyBorder="1" applyAlignment="1">
      <alignment horizontal="right" vertical="center" indent="3"/>
    </xf>
    <xf numFmtId="165" fontId="5" fillId="2" borderId="12" xfId="2" applyNumberFormat="1" applyFont="1" applyFill="1" applyBorder="1" applyAlignment="1">
      <alignment horizontal="right" vertical="center" indent="3"/>
    </xf>
    <xf numFmtId="165" fontId="5" fillId="2" borderId="11" xfId="2" applyNumberFormat="1" applyFont="1" applyFill="1" applyBorder="1" applyAlignment="1">
      <alignment horizontal="right" vertical="center" indent="3"/>
    </xf>
    <xf numFmtId="164" fontId="7" fillId="2" borderId="0" xfId="2" applyFont="1" applyFill="1" applyAlignment="1">
      <alignment horizontal="center" vertical="center"/>
    </xf>
    <xf numFmtId="164" fontId="7" fillId="2" borderId="1" xfId="2" applyFont="1" applyFill="1" applyBorder="1" applyAlignment="1">
      <alignment horizontal="center" vertical="center"/>
    </xf>
    <xf numFmtId="164" fontId="12" fillId="2" borderId="0" xfId="2" applyFont="1" applyFill="1" applyAlignment="1">
      <alignment horizontal="center" vertical="center"/>
    </xf>
    <xf numFmtId="164" fontId="16" fillId="2" borderId="0" xfId="2" applyFont="1" applyFill="1" applyAlignment="1">
      <alignment horizontal="center" vertical="center"/>
    </xf>
    <xf numFmtId="164" fontId="7" fillId="2" borderId="2" xfId="2" applyFont="1" applyFill="1" applyBorder="1" applyAlignment="1">
      <alignment horizontal="center" vertical="center"/>
    </xf>
    <xf numFmtId="164" fontId="7" fillId="2" borderId="5" xfId="2" applyFont="1" applyFill="1" applyBorder="1" applyAlignment="1">
      <alignment horizontal="center" vertical="center"/>
    </xf>
    <xf numFmtId="164" fontId="7" fillId="2" borderId="6" xfId="2" applyFont="1" applyFill="1" applyBorder="1" applyAlignment="1">
      <alignment horizontal="center" vertical="center"/>
    </xf>
    <xf numFmtId="164" fontId="7" fillId="2" borderId="8" xfId="2" applyFont="1" applyFill="1" applyBorder="1" applyAlignment="1">
      <alignment horizontal="center" vertical="center"/>
    </xf>
  </cellXfs>
  <cellStyles count="8">
    <cellStyle name="1" xfId="7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4" xr:uid="{00000000-0005-0000-0000-000005000000}"/>
    <cellStyle name="Normal 3_agri planning 2009 year book(final)" xfId="6" xr:uid="{00000000-0005-0000-0000-000006000000}"/>
    <cellStyle name="Normal 4_agri planning 2009 year book(final)" xfId="5" xr:uid="{00000000-0005-0000-0000-000007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33CCCC"/>
      <color rgb="FF249390"/>
      <color rgb="FF00FFCC"/>
      <color rgb="FFEAFAFA"/>
      <color rgb="FFFFD5D5"/>
      <color rgb="FFFFA7A7"/>
      <color rgb="FFFFE5E5"/>
      <color rgb="FFFF9900"/>
      <color rgb="FF196563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3"/>
  <sheetViews>
    <sheetView tabSelected="1" zoomScaleNormal="100" workbookViewId="0">
      <selection activeCell="K65" sqref="K65"/>
    </sheetView>
  </sheetViews>
  <sheetFormatPr defaultColWidth="10" defaultRowHeight="12.75" x14ac:dyDescent="0.25"/>
  <cols>
    <col min="1" max="1" width="10" style="1"/>
    <col min="2" max="2" width="13" style="1" customWidth="1"/>
    <col min="3" max="3" width="14.28515625" style="1" customWidth="1"/>
    <col min="4" max="4" width="15.5703125" style="1" customWidth="1"/>
    <col min="5" max="5" width="15.85546875" style="1" customWidth="1"/>
    <col min="6" max="7" width="13.140625" style="1" customWidth="1"/>
    <col min="8" max="8" width="3.85546875" style="1" customWidth="1"/>
    <col min="9" max="9" width="12.28515625" style="1" customWidth="1"/>
    <col min="10" max="10" width="11.7109375" style="1" customWidth="1"/>
    <col min="11" max="16384" width="10" style="1"/>
  </cols>
  <sheetData>
    <row r="1" spans="1:11" ht="21.75" x14ac:dyDescent="0.25">
      <c r="A1" s="43" t="s">
        <v>34</v>
      </c>
      <c r="B1" s="43"/>
      <c r="C1" s="43"/>
      <c r="D1" s="43"/>
      <c r="E1" s="43"/>
      <c r="F1" s="43"/>
      <c r="G1" s="43"/>
      <c r="H1" s="17"/>
      <c r="I1" s="17"/>
      <c r="J1" s="17"/>
    </row>
    <row r="2" spans="1:11" s="4" customFormat="1" ht="15.75" x14ac:dyDescent="0.25">
      <c r="A2" s="44" t="s">
        <v>33</v>
      </c>
      <c r="B2" s="44"/>
      <c r="C2" s="44"/>
      <c r="D2" s="44"/>
      <c r="E2" s="44"/>
      <c r="F2" s="44"/>
      <c r="G2" s="44"/>
      <c r="H2" s="18"/>
      <c r="I2" s="18"/>
      <c r="J2" s="18"/>
    </row>
    <row r="3" spans="1:11" s="4" customFormat="1" x14ac:dyDescent="0.25">
      <c r="A3" s="9"/>
      <c r="B3" s="33"/>
      <c r="C3" s="33"/>
      <c r="D3" s="33"/>
      <c r="E3" s="33"/>
      <c r="F3" s="33"/>
      <c r="G3" s="33"/>
      <c r="H3" s="9"/>
      <c r="I3" s="9"/>
      <c r="J3" s="9"/>
    </row>
    <row r="4" spans="1:11" s="4" customFormat="1" x14ac:dyDescent="0.25">
      <c r="A4" s="45" t="s">
        <v>24</v>
      </c>
      <c r="B4" s="46" t="s">
        <v>28</v>
      </c>
      <c r="C4" s="46"/>
      <c r="D4" s="47" t="s">
        <v>29</v>
      </c>
      <c r="E4" s="48"/>
      <c r="F4" s="46" t="s">
        <v>30</v>
      </c>
      <c r="G4" s="46"/>
    </row>
    <row r="5" spans="1:11" s="4" customFormat="1" x14ac:dyDescent="0.2">
      <c r="A5" s="41"/>
      <c r="B5" s="19" t="s">
        <v>26</v>
      </c>
      <c r="C5" s="16" t="s">
        <v>25</v>
      </c>
      <c r="D5" s="35" t="s">
        <v>26</v>
      </c>
      <c r="E5" s="20" t="s">
        <v>25</v>
      </c>
      <c r="F5" s="19" t="s">
        <v>26</v>
      </c>
      <c r="G5" s="16" t="s">
        <v>25</v>
      </c>
      <c r="K5" s="5"/>
    </row>
    <row r="6" spans="1:11" s="4" customFormat="1" x14ac:dyDescent="0.25">
      <c r="A6" s="42"/>
      <c r="B6" s="14" t="s">
        <v>31</v>
      </c>
      <c r="C6" s="14"/>
      <c r="D6" s="36" t="s">
        <v>31</v>
      </c>
      <c r="E6" s="21"/>
      <c r="F6" s="19" t="s">
        <v>31</v>
      </c>
      <c r="G6" s="19"/>
    </row>
    <row r="7" spans="1:11" s="8" customFormat="1" x14ac:dyDescent="0.25">
      <c r="A7" s="2" t="s">
        <v>0</v>
      </c>
      <c r="B7" s="11">
        <f>B8+B9</f>
        <v>160467.49772016524</v>
      </c>
      <c r="C7" s="11">
        <f>C8+C9</f>
        <v>215.69623346133969</v>
      </c>
      <c r="D7" s="37">
        <f>D8+D9+D10</f>
        <v>4.143964983610382</v>
      </c>
      <c r="E7" s="22">
        <f t="shared" ref="E7:G7" si="0">E8+E9+E10</f>
        <v>0.91785631260144551</v>
      </c>
      <c r="F7" s="10">
        <f t="shared" si="0"/>
        <v>37660</v>
      </c>
      <c r="G7" s="23">
        <f t="shared" si="0"/>
        <v>235</v>
      </c>
      <c r="I7" s="34"/>
      <c r="K7" s="24"/>
    </row>
    <row r="8" spans="1:11" s="8" customFormat="1" x14ac:dyDescent="0.25">
      <c r="A8" s="2" t="s">
        <v>1</v>
      </c>
      <c r="B8" s="11">
        <v>24466.710923056125</v>
      </c>
      <c r="C8" s="12">
        <v>0</v>
      </c>
      <c r="D8" s="38">
        <v>0</v>
      </c>
      <c r="E8" s="22">
        <v>0</v>
      </c>
      <c r="F8" s="11">
        <v>4841</v>
      </c>
      <c r="G8" s="25">
        <v>0</v>
      </c>
      <c r="K8" s="24"/>
    </row>
    <row r="9" spans="1:11" s="8" customFormat="1" x14ac:dyDescent="0.25">
      <c r="A9" s="2" t="s">
        <v>2</v>
      </c>
      <c r="B9" s="11">
        <f>SUM(B11:B30)</f>
        <v>136000.78679710912</v>
      </c>
      <c r="C9" s="11">
        <f>SUM(C11:C30)</f>
        <v>215.69623346133969</v>
      </c>
      <c r="D9" s="38">
        <f>B9/F9</f>
        <v>4.143964983610382</v>
      </c>
      <c r="E9" s="22">
        <f>C9/G9</f>
        <v>0.91785631260144551</v>
      </c>
      <c r="F9" s="11">
        <f>SUM(F11:F30)</f>
        <v>32819</v>
      </c>
      <c r="G9" s="25">
        <f>SUM(G11:G30)</f>
        <v>235</v>
      </c>
      <c r="K9" s="24"/>
    </row>
    <row r="10" spans="1:11" s="8" customFormat="1" hidden="1" x14ac:dyDescent="0.25">
      <c r="A10" s="2" t="s">
        <v>3</v>
      </c>
      <c r="B10" s="11"/>
      <c r="C10" s="11"/>
      <c r="D10" s="38"/>
      <c r="E10" s="22"/>
      <c r="F10" s="11"/>
      <c r="G10" s="25"/>
      <c r="K10" s="24"/>
    </row>
    <row r="11" spans="1:11" s="8" customFormat="1" x14ac:dyDescent="0.25">
      <c r="A11" s="6" t="s">
        <v>4</v>
      </c>
      <c r="B11" s="12">
        <v>8247.5055980521702</v>
      </c>
      <c r="C11" s="12">
        <v>0</v>
      </c>
      <c r="D11" s="39">
        <f t="shared" ref="D11:D30" si="1">B11/F11</f>
        <v>3.076279596438706</v>
      </c>
      <c r="E11" s="26">
        <v>0</v>
      </c>
      <c r="F11" s="12">
        <v>2681</v>
      </c>
      <c r="G11" s="27">
        <v>0</v>
      </c>
      <c r="K11" s="24"/>
    </row>
    <row r="12" spans="1:11" s="8" customFormat="1" x14ac:dyDescent="0.25">
      <c r="A12" s="6" t="s">
        <v>5</v>
      </c>
      <c r="B12" s="12">
        <v>2170.1795064826738</v>
      </c>
      <c r="C12" s="12">
        <v>0</v>
      </c>
      <c r="D12" s="39">
        <f t="shared" si="1"/>
        <v>2.8974359232078424</v>
      </c>
      <c r="E12" s="26">
        <v>0</v>
      </c>
      <c r="F12" s="12">
        <v>749</v>
      </c>
      <c r="G12" s="27">
        <v>0</v>
      </c>
      <c r="K12" s="24"/>
    </row>
    <row r="13" spans="1:11" s="8" customFormat="1" x14ac:dyDescent="0.25">
      <c r="A13" s="6" t="s">
        <v>6</v>
      </c>
      <c r="B13" s="12">
        <v>2204.7579638394614</v>
      </c>
      <c r="C13" s="12">
        <v>0</v>
      </c>
      <c r="D13" s="39">
        <f t="shared" si="1"/>
        <v>2.5847103913709981</v>
      </c>
      <c r="E13" s="26">
        <v>0</v>
      </c>
      <c r="F13" s="12">
        <v>853</v>
      </c>
      <c r="G13" s="27">
        <v>0</v>
      </c>
      <c r="K13" s="24"/>
    </row>
    <row r="14" spans="1:11" s="8" customFormat="1" x14ac:dyDescent="0.25">
      <c r="A14" s="6" t="s">
        <v>8</v>
      </c>
      <c r="B14" s="12">
        <v>1973.5305206113298</v>
      </c>
      <c r="C14" s="12">
        <v>0</v>
      </c>
      <c r="D14" s="39">
        <f t="shared" si="1"/>
        <v>2.383490966921896</v>
      </c>
      <c r="E14" s="26">
        <v>0</v>
      </c>
      <c r="F14" s="12">
        <v>828</v>
      </c>
      <c r="G14" s="27">
        <v>0</v>
      </c>
      <c r="K14" s="24"/>
    </row>
    <row r="15" spans="1:11" s="8" customFormat="1" x14ac:dyDescent="0.25">
      <c r="A15" s="6" t="s">
        <v>9</v>
      </c>
      <c r="B15" s="12">
        <v>6407.4659607860358</v>
      </c>
      <c r="C15" s="12">
        <v>0</v>
      </c>
      <c r="D15" s="39">
        <f t="shared" si="1"/>
        <v>3.0849619454915915</v>
      </c>
      <c r="E15" s="26">
        <v>0</v>
      </c>
      <c r="F15" s="12">
        <v>2077</v>
      </c>
      <c r="G15" s="27">
        <v>0</v>
      </c>
      <c r="K15" s="24"/>
    </row>
    <row r="16" spans="1:11" s="8" customFormat="1" x14ac:dyDescent="0.25">
      <c r="A16" s="6" t="s">
        <v>10</v>
      </c>
      <c r="B16" s="12">
        <v>1924.7537772028741</v>
      </c>
      <c r="C16" s="12">
        <v>0</v>
      </c>
      <c r="D16" s="39">
        <f t="shared" si="1"/>
        <v>1.8401087736165145</v>
      </c>
      <c r="E16" s="26">
        <v>0</v>
      </c>
      <c r="F16" s="12">
        <v>1046</v>
      </c>
      <c r="G16" s="27">
        <v>0</v>
      </c>
      <c r="K16" s="24"/>
    </row>
    <row r="17" spans="1:11" s="8" customFormat="1" x14ac:dyDescent="0.25">
      <c r="A17" s="6" t="s">
        <v>11</v>
      </c>
      <c r="B17" s="12">
        <v>5553.7792316248278</v>
      </c>
      <c r="C17" s="12">
        <v>0</v>
      </c>
      <c r="D17" s="39">
        <f t="shared" si="1"/>
        <v>4.216992582858639</v>
      </c>
      <c r="E17" s="26">
        <v>0</v>
      </c>
      <c r="F17" s="12">
        <v>1317</v>
      </c>
      <c r="G17" s="27">
        <v>0</v>
      </c>
      <c r="K17" s="24"/>
    </row>
    <row r="18" spans="1:11" s="8" customFormat="1" x14ac:dyDescent="0.25">
      <c r="A18" s="6" t="s">
        <v>12</v>
      </c>
      <c r="B18" s="12">
        <v>4873.9912443723506</v>
      </c>
      <c r="C18" s="12">
        <v>0</v>
      </c>
      <c r="D18" s="39">
        <f t="shared" si="1"/>
        <v>2.8536248503351</v>
      </c>
      <c r="E18" s="26">
        <v>0</v>
      </c>
      <c r="F18" s="12">
        <v>1708</v>
      </c>
      <c r="G18" s="27">
        <v>0</v>
      </c>
      <c r="K18" s="24"/>
    </row>
    <row r="19" spans="1:11" s="8" customFormat="1" x14ac:dyDescent="0.25">
      <c r="A19" s="6" t="s">
        <v>27</v>
      </c>
      <c r="B19" s="12">
        <v>2278.6222118598621</v>
      </c>
      <c r="C19" s="12">
        <v>0</v>
      </c>
      <c r="D19" s="39">
        <f t="shared" si="1"/>
        <v>2.0236431721668402</v>
      </c>
      <c r="E19" s="26">
        <v>0</v>
      </c>
      <c r="F19" s="12">
        <v>1126</v>
      </c>
      <c r="G19" s="27">
        <v>0</v>
      </c>
      <c r="K19" s="24"/>
    </row>
    <row r="20" spans="1:11" s="8" customFormat="1" x14ac:dyDescent="0.25">
      <c r="A20" s="6" t="s">
        <v>13</v>
      </c>
      <c r="B20" s="12">
        <v>2622.6758581041549</v>
      </c>
      <c r="C20" s="12">
        <v>0</v>
      </c>
      <c r="D20" s="39">
        <f t="shared" si="1"/>
        <v>1.7484505720694365</v>
      </c>
      <c r="E20" s="26">
        <v>0</v>
      </c>
      <c r="F20" s="12">
        <v>1500</v>
      </c>
      <c r="G20" s="27">
        <v>0</v>
      </c>
      <c r="K20" s="24"/>
    </row>
    <row r="21" spans="1:11" s="8" customFormat="1" x14ac:dyDescent="0.25">
      <c r="A21" s="6" t="s">
        <v>14</v>
      </c>
      <c r="B21" s="12">
        <v>149.60768177648075</v>
      </c>
      <c r="C21" s="12">
        <v>0</v>
      </c>
      <c r="D21" s="39">
        <f t="shared" si="1"/>
        <v>2.1372525968068676</v>
      </c>
      <c r="E21" s="26">
        <v>0</v>
      </c>
      <c r="F21" s="12">
        <v>70</v>
      </c>
      <c r="G21" s="27">
        <v>0</v>
      </c>
      <c r="K21" s="24"/>
    </row>
    <row r="22" spans="1:11" s="28" customFormat="1" x14ac:dyDescent="0.25">
      <c r="A22" s="6" t="s">
        <v>15</v>
      </c>
      <c r="B22" s="12">
        <v>2212.1098913894325</v>
      </c>
      <c r="C22" s="12">
        <v>0</v>
      </c>
      <c r="D22" s="39">
        <f t="shared" si="1"/>
        <v>2.9573661649591343</v>
      </c>
      <c r="E22" s="26">
        <v>0</v>
      </c>
      <c r="F22" s="12">
        <v>748</v>
      </c>
      <c r="G22" s="27">
        <v>0</v>
      </c>
      <c r="I22" s="8"/>
      <c r="K22" s="24"/>
    </row>
    <row r="23" spans="1:11" s="28" customFormat="1" x14ac:dyDescent="0.25">
      <c r="A23" s="6" t="s">
        <v>16</v>
      </c>
      <c r="B23" s="12">
        <v>1930.0578619254891</v>
      </c>
      <c r="C23" s="12">
        <v>0</v>
      </c>
      <c r="D23" s="39">
        <f t="shared" si="1"/>
        <v>2.0402302980184874</v>
      </c>
      <c r="E23" s="26">
        <v>0</v>
      </c>
      <c r="F23" s="12">
        <v>946</v>
      </c>
      <c r="G23" s="27">
        <v>0</v>
      </c>
      <c r="I23" s="8"/>
      <c r="K23" s="24"/>
    </row>
    <row r="24" spans="1:11" s="28" customFormat="1" x14ac:dyDescent="0.25">
      <c r="A24" s="6" t="s">
        <v>17</v>
      </c>
      <c r="B24" s="12">
        <v>10591.670770145123</v>
      </c>
      <c r="C24" s="12">
        <v>0</v>
      </c>
      <c r="D24" s="39">
        <f t="shared" si="1"/>
        <v>3.2985583214403995</v>
      </c>
      <c r="E24" s="26">
        <v>0</v>
      </c>
      <c r="F24" s="12">
        <v>3211</v>
      </c>
      <c r="G24" s="27">
        <v>0</v>
      </c>
      <c r="I24" s="8"/>
      <c r="K24" s="24"/>
    </row>
    <row r="25" spans="1:11" s="28" customFormat="1" x14ac:dyDescent="0.25">
      <c r="A25" s="6" t="s">
        <v>18</v>
      </c>
      <c r="B25" s="12">
        <v>6540.1541189873587</v>
      </c>
      <c r="C25" s="12">
        <v>16.783405656113359</v>
      </c>
      <c r="D25" s="39">
        <f t="shared" si="1"/>
        <v>4.8195682527541335</v>
      </c>
      <c r="E25" s="26">
        <f>C25/G25</f>
        <v>0.119031245788038</v>
      </c>
      <c r="F25" s="12">
        <v>1357</v>
      </c>
      <c r="G25" s="27">
        <v>141</v>
      </c>
      <c r="I25" s="8"/>
      <c r="K25" s="24"/>
    </row>
    <row r="26" spans="1:11" s="28" customFormat="1" x14ac:dyDescent="0.25">
      <c r="A26" s="6" t="s">
        <v>19</v>
      </c>
      <c r="B26" s="12">
        <v>8185.894084019782</v>
      </c>
      <c r="C26" s="12">
        <v>188.86754064305347</v>
      </c>
      <c r="D26" s="39">
        <f t="shared" si="1"/>
        <v>3.9931190653755033</v>
      </c>
      <c r="E26" s="26">
        <f>C26/G26</f>
        <v>2.6981077234721926</v>
      </c>
      <c r="F26" s="12">
        <v>2050</v>
      </c>
      <c r="G26" s="27">
        <v>70</v>
      </c>
      <c r="I26" s="8"/>
      <c r="K26" s="24"/>
    </row>
    <row r="27" spans="1:11" s="28" customFormat="1" x14ac:dyDescent="0.25">
      <c r="A27" s="6" t="s">
        <v>20</v>
      </c>
      <c r="B27" s="12">
        <v>29434.83897048319</v>
      </c>
      <c r="C27" s="12">
        <v>0</v>
      </c>
      <c r="D27" s="39">
        <f t="shared" si="1"/>
        <v>6.8724816648338054</v>
      </c>
      <c r="E27" s="26">
        <v>0</v>
      </c>
      <c r="F27" s="12">
        <v>4283</v>
      </c>
      <c r="G27" s="27">
        <v>0</v>
      </c>
      <c r="I27" s="8"/>
      <c r="K27" s="24"/>
    </row>
    <row r="28" spans="1:11" s="28" customFormat="1" x14ac:dyDescent="0.25">
      <c r="A28" s="6" t="s">
        <v>21</v>
      </c>
      <c r="B28" s="12">
        <v>18291.134297444172</v>
      </c>
      <c r="C28" s="12">
        <v>0</v>
      </c>
      <c r="D28" s="39">
        <f t="shared" si="1"/>
        <v>6.6585854741332993</v>
      </c>
      <c r="E28" s="26">
        <v>0</v>
      </c>
      <c r="F28" s="12">
        <v>2747</v>
      </c>
      <c r="G28" s="27">
        <v>0</v>
      </c>
      <c r="I28" s="8"/>
      <c r="K28" s="24"/>
    </row>
    <row r="29" spans="1:11" s="28" customFormat="1" x14ac:dyDescent="0.25">
      <c r="A29" s="6" t="s">
        <v>22</v>
      </c>
      <c r="B29" s="12">
        <v>4292.8985343457707</v>
      </c>
      <c r="C29" s="12">
        <v>0</v>
      </c>
      <c r="D29" s="39">
        <f t="shared" si="1"/>
        <v>4.620988734494909</v>
      </c>
      <c r="E29" s="26">
        <v>0</v>
      </c>
      <c r="F29" s="12">
        <v>929</v>
      </c>
      <c r="G29" s="27">
        <v>0</v>
      </c>
      <c r="I29" s="8"/>
      <c r="K29" s="24"/>
    </row>
    <row r="30" spans="1:11" s="28" customFormat="1" x14ac:dyDescent="0.25">
      <c r="A30" s="7" t="s">
        <v>7</v>
      </c>
      <c r="B30" s="13">
        <v>16115.158713656585</v>
      </c>
      <c r="C30" s="13">
        <v>10.045287162172857</v>
      </c>
      <c r="D30" s="40">
        <f t="shared" si="1"/>
        <v>6.2148703099331222</v>
      </c>
      <c r="E30" s="29">
        <f>C30/G30</f>
        <v>0.41855363175720234</v>
      </c>
      <c r="F30" s="13">
        <v>2593</v>
      </c>
      <c r="G30" s="30">
        <v>24</v>
      </c>
      <c r="I30" s="8"/>
      <c r="K30" s="24"/>
    </row>
    <row r="31" spans="1:11" s="28" customFormat="1" ht="17.25" x14ac:dyDescent="0.45">
      <c r="A31" s="3" t="s">
        <v>23</v>
      </c>
      <c r="B31" s="15"/>
      <c r="C31" s="15"/>
      <c r="D31" s="15"/>
      <c r="E31" s="15"/>
      <c r="F31" s="15"/>
      <c r="G31" s="32" t="s">
        <v>32</v>
      </c>
    </row>
    <row r="32" spans="1:11" s="28" customFormat="1" ht="12" x14ac:dyDescent="0.25">
      <c r="A32" s="3"/>
      <c r="B32" s="15"/>
      <c r="C32" s="15"/>
      <c r="D32" s="15"/>
      <c r="E32" s="15"/>
      <c r="F32" s="15"/>
      <c r="G32" s="31"/>
    </row>
    <row r="33" spans="1:7" s="28" customFormat="1" ht="12" x14ac:dyDescent="0.25">
      <c r="A33" s="3"/>
      <c r="B33" s="15"/>
      <c r="C33" s="15"/>
      <c r="D33" s="15"/>
      <c r="E33" s="15"/>
      <c r="F33" s="15"/>
      <c r="G33" s="31"/>
    </row>
  </sheetData>
  <mergeCells count="6">
    <mergeCell ref="A1:G1"/>
    <mergeCell ref="A2:G2"/>
    <mergeCell ref="A4:A6"/>
    <mergeCell ref="B4:C4"/>
    <mergeCell ref="D4:E4"/>
    <mergeCell ref="F4:G4"/>
  </mergeCells>
  <pageMargins left="0.7" right="0.7" top="0.75" bottom="0.75" header="0.3" footer="0.3"/>
  <pageSetup paperSize="9" scale="80" orientation="portrait" horizontalDpi="4294967295" verticalDpi="4294967295" r:id="rId1"/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9.10</vt:lpstr>
      <vt:lpstr>'9.10'!Print_Area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2024-08-04T06:36:46Z</cp:lastPrinted>
  <dcterms:created xsi:type="dcterms:W3CDTF">2019-09-09T05:11:24Z</dcterms:created>
  <dcterms:modified xsi:type="dcterms:W3CDTF">2024-08-04T06:36:53Z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