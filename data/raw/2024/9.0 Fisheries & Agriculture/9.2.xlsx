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isheries\"/>
    </mc:Choice>
  </mc:AlternateContent>
  <xr:revisionPtr revIDLastSave="0" documentId="13_ncr:1_{A98667D1-3C81-474E-A04B-E4ACB37A6E41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2" sheetId="2" r:id="rId1"/>
  </sheets>
  <definedNames>
    <definedName name="_xlnm.Print_Area" localSheetId="0">'9.2'!$A$1:$V$34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2" l="1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H10" i="2"/>
  <c r="H8" i="2" s="1"/>
  <c r="N11" i="2" s="1"/>
  <c r="N10" i="2" l="1"/>
  <c r="N26" i="2"/>
  <c r="N22" i="2"/>
  <c r="N18" i="2"/>
  <c r="N30" i="2"/>
  <c r="N14" i="2"/>
  <c r="N29" i="2"/>
  <c r="N25" i="2"/>
  <c r="N21" i="2"/>
  <c r="N17" i="2"/>
  <c r="N13" i="2"/>
  <c r="N9" i="2"/>
  <c r="N8" i="2"/>
  <c r="N28" i="2"/>
  <c r="N24" i="2"/>
  <c r="N20" i="2"/>
  <c r="N16" i="2"/>
  <c r="N12" i="2"/>
  <c r="N31" i="2"/>
  <c r="N27" i="2"/>
  <c r="N23" i="2"/>
  <c r="N19" i="2"/>
  <c r="N15" i="2"/>
  <c r="O11" i="2" l="1"/>
  <c r="P11" i="2"/>
  <c r="S9" i="2" l="1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G10" i="2"/>
  <c r="T10" i="2" s="1"/>
  <c r="Q9" i="2"/>
  <c r="R9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G8" i="2" l="1"/>
  <c r="M10" i="2" l="1"/>
  <c r="T8" i="2"/>
  <c r="M20" i="2"/>
  <c r="M8" i="2"/>
  <c r="M31" i="2"/>
  <c r="M19" i="2"/>
  <c r="M18" i="2"/>
  <c r="M30" i="2"/>
  <c r="M11" i="2"/>
  <c r="M9" i="2"/>
  <c r="M29" i="2"/>
  <c r="M17" i="2"/>
  <c r="M23" i="2"/>
  <c r="M22" i="2"/>
  <c r="M28" i="2"/>
  <c r="M16" i="2"/>
  <c r="M27" i="2"/>
  <c r="M15" i="2"/>
  <c r="M26" i="2"/>
  <c r="M14" i="2"/>
  <c r="M21" i="2"/>
  <c r="M25" i="2"/>
  <c r="M13" i="2"/>
  <c r="M12" i="2"/>
  <c r="M24" i="2"/>
  <c r="F10" i="2" l="1"/>
  <c r="S10" i="2" s="1"/>
  <c r="F8" i="2" l="1"/>
  <c r="L8" i="2" l="1"/>
  <c r="S8" i="2"/>
  <c r="L18" i="2"/>
  <c r="L26" i="2"/>
  <c r="L31" i="2"/>
  <c r="L29" i="2"/>
  <c r="L13" i="2"/>
  <c r="L21" i="2"/>
  <c r="L22" i="2"/>
  <c r="L28" i="2"/>
  <c r="L20" i="2"/>
  <c r="L15" i="2"/>
  <c r="L23" i="2"/>
  <c r="L16" i="2"/>
  <c r="L24" i="2"/>
  <c r="L30" i="2"/>
  <c r="L14" i="2"/>
  <c r="L17" i="2"/>
  <c r="L12" i="2"/>
  <c r="L11" i="2"/>
  <c r="L19" i="2"/>
  <c r="L27" i="2"/>
  <c r="L9" i="2"/>
  <c r="L25" i="2"/>
  <c r="L10" i="2"/>
  <c r="P31" i="2" l="1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E10" i="2"/>
  <c r="D10" i="2"/>
  <c r="D8" i="2" s="1"/>
  <c r="C10" i="2"/>
  <c r="C8" i="2" s="1"/>
  <c r="B10" i="2"/>
  <c r="B8" i="2" s="1"/>
  <c r="P9" i="2"/>
  <c r="O9" i="2"/>
  <c r="Q10" i="2" l="1"/>
  <c r="R10" i="2"/>
  <c r="I31" i="2"/>
  <c r="I28" i="2"/>
  <c r="O8" i="2"/>
  <c r="J16" i="2"/>
  <c r="J24" i="2"/>
  <c r="J30" i="2"/>
  <c r="J8" i="2"/>
  <c r="J18" i="2"/>
  <c r="J28" i="2"/>
  <c r="J11" i="2"/>
  <c r="J19" i="2"/>
  <c r="J27" i="2"/>
  <c r="J14" i="2"/>
  <c r="J22" i="2"/>
  <c r="J12" i="2"/>
  <c r="J20" i="2"/>
  <c r="J23" i="2"/>
  <c r="J29" i="2"/>
  <c r="J9" i="2"/>
  <c r="J17" i="2"/>
  <c r="J25" i="2"/>
  <c r="J31" i="2"/>
  <c r="J15" i="2"/>
  <c r="J26" i="2"/>
  <c r="J13" i="2"/>
  <c r="J21" i="2"/>
  <c r="E8" i="2"/>
  <c r="K8" i="2" s="1"/>
  <c r="J10" i="2"/>
  <c r="I14" i="2"/>
  <c r="I18" i="2"/>
  <c r="I22" i="2"/>
  <c r="I9" i="2"/>
  <c r="O10" i="2"/>
  <c r="I10" i="2"/>
  <c r="P10" i="2"/>
  <c r="I12" i="2"/>
  <c r="I16" i="2"/>
  <c r="I20" i="2"/>
  <c r="I24" i="2"/>
  <c r="I26" i="2"/>
  <c r="I30" i="2"/>
  <c r="P8" i="2"/>
  <c r="I8" i="2"/>
  <c r="I11" i="2"/>
  <c r="I13" i="2"/>
  <c r="I15" i="2"/>
  <c r="I17" i="2"/>
  <c r="I19" i="2"/>
  <c r="I21" i="2"/>
  <c r="I23" i="2"/>
  <c r="I25" i="2"/>
  <c r="I27" i="2"/>
  <c r="I29" i="2"/>
  <c r="Q8" i="2" l="1"/>
  <c r="K28" i="2"/>
  <c r="K13" i="2"/>
  <c r="K21" i="2"/>
  <c r="K29" i="2"/>
  <c r="K18" i="2"/>
  <c r="K16" i="2"/>
  <c r="K24" i="2"/>
  <c r="K30" i="2"/>
  <c r="K9" i="2"/>
  <c r="K17" i="2"/>
  <c r="K20" i="2"/>
  <c r="K15" i="2"/>
  <c r="K23" i="2"/>
  <c r="K11" i="2"/>
  <c r="K19" i="2"/>
  <c r="K27" i="2"/>
  <c r="K25" i="2"/>
  <c r="K31" i="2"/>
  <c r="K12" i="2"/>
  <c r="K14" i="2"/>
  <c r="K22" i="2"/>
  <c r="K26" i="2"/>
  <c r="R8" i="2"/>
  <c r="K10" i="2"/>
</calcChain>
</file>

<file path=xl/sharedStrings.xml><?xml version="1.0" encoding="utf-8"?>
<sst xmlns="http://schemas.openxmlformats.org/spreadsheetml/2006/main" count="64" uniqueCount="63">
  <si>
    <t>(cnuhWh cnwT ckircTem )</t>
  </si>
  <si>
    <t>(In '000 metric tons)</t>
  </si>
  <si>
    <t>cniawtcaws ctogWviawfiheb</t>
  </si>
  <si>
    <t>Percentage share</t>
  </si>
  <si>
    <t xml:space="preserve"> Locality</t>
  </si>
  <si>
    <t>udwdwA ununEb cswm</t>
  </si>
  <si>
    <t>(cnia % ) urwvcnim ivurutia eruvcSwrwhwa wyidim</t>
  </si>
  <si>
    <t>cnwt</t>
  </si>
  <si>
    <t>Fish catch</t>
  </si>
  <si>
    <t xml:space="preserve">% change over  previous year 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</si>
  <si>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</si>
  <si>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</si>
  <si>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</si>
  <si>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</si>
  <si>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</si>
  <si>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</si>
  <si>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</si>
  <si>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</si>
  <si>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</si>
  <si>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</si>
  <si>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</si>
  <si>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</si>
  <si>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</si>
  <si>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</si>
  <si>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</si>
  <si>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</si>
  <si>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</si>
  <si>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</si>
  <si>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</si>
  <si>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</si>
  <si>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</si>
  <si>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</si>
  <si>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</si>
  <si>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</si>
  <si>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</si>
  <si>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</si>
  <si>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</si>
  <si>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</si>
  <si>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</si>
  <si>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</si>
  <si>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</si>
  <si>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</si>
  <si>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</si>
  <si>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</si>
  <si>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</si>
  <si>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</si>
  <si>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</si>
  <si>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</si>
  <si>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</si>
  <si>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</si>
  <si>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</si>
  <si>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</si>
  <si>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</si>
  <si>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</si>
  <si>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</si>
  <si>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</si>
  <si>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މަޢުލޫމާތުދެއްވި ފަރާތް: މިނިސްޓްރީ އޮފް ފިޝަރީޒް، މެރިންރިސޯސަސް އެންޑް އެގްރިކަލްޗަރ</t>
  </si>
  <si>
    <t>cnwkirevcswmunEl</t>
  </si>
  <si>
    <t>Source:  Ministry of Fisheries, Marine Resources and Agriculture</t>
  </si>
  <si>
    <t>Note: This table does not in any way or form represent the area of fish catch but the catches from the vessels regisered to islands in the specific atoll</t>
  </si>
  <si>
    <t xml:space="preserve">ނޯޓް: މި ތާވަލުން ރަމްޒުކޮށްދެނީ މަސްވެރިކަން ކޮށްފައިވާ ސަރަޙައްދުތަކެއް ނޫނެވެ. މިތާވަލުން ރަމްޒުކޮށްދެނީ ވަކިވަކި އަތޮޅުތަކަށް ރަޖިސްޓްރީކޮށްފައިވާ އުޅާނދުން މަސް ބާނާފައިވާ މިންވަރެވެ. </t>
  </si>
  <si>
    <t>Table 9.2 :  FISH CATCH BY VESSEL LOCALITY, 2018 -  2023</t>
  </si>
  <si>
    <r>
      <t>2023 - 2018 ,urwvcnim eguhwm inEb wtwvun ifih cnutog eguLotwa WviawfcSokIrcTcsijwr udnwLua</t>
    </r>
    <r>
      <rPr>
        <b/>
        <sz val="10"/>
        <rFont val="A_Randhoo"/>
      </rPr>
      <t xml:space="preserve"> : </t>
    </r>
    <r>
      <rPr>
        <b/>
        <sz val="12"/>
        <rFont val="A_Randhoo"/>
      </rPr>
      <t>9.2 ulwvWt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</si>
</sst>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??_);_(@_)"/>
    <numFmt numFmtId="170" formatCode="[$-409]mmmm\ d\,\ 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  <family val="3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9"/>
      <name val="Faruma"/>
      <family val="3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10"/>
      <name val="MS Sans Serif"/>
      <family val="2"/>
    </font>
    <font>
      <b/>
      <sz val="10"/>
      <name val="A_Randhoo"/>
    </font>
    <font>
      <b/>
      <sz val="12"/>
      <name val="A_Randhoo"/>
    </font>
    <font>
      <b/>
      <sz val="10"/>
      <name val="A_Faseyha"/>
    </font>
    <font>
      <b/>
      <sz val="9"/>
      <name val="A_Faseyha"/>
    </font>
    <font>
      <sz val="10"/>
      <name val="A_Faseyha"/>
    </font>
    <font>
      <b/>
      <sz val="9"/>
      <name val="A_Funa"/>
    </font>
    <font>
      <sz val="9"/>
      <name val="A_Funa"/>
    </font>
    <font>
      <b/>
      <sz val="10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8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9" fillId="0" borderId="0"/>
  </cellStyleXfs>
  <cellXfs count="70">
    <xf numFmtId="0" fontId="0" fillId="0" borderId="0" xfId="0"/>
    <xf numFmtId="164" fontId="2" fillId="2" borderId="0" xfId="2" applyFill="1" applyAlignment="1">
      <alignment vertical="center"/>
    </xf>
    <xf numFmtId="164" fontId="3" fillId="2" borderId="0" xfId="2" applyFont="1" applyFill="1" applyAlignment="1">
      <alignment vertical="center"/>
    </xf>
    <xf numFmtId="164" fontId="9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13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top"/>
    </xf>
    <xf numFmtId="164" fontId="16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6" fillId="2" borderId="1" xfId="2" applyFont="1" applyFill="1" applyBorder="1" applyAlignment="1">
      <alignment horizontal="centerContinuous" vertical="center"/>
    </xf>
    <xf numFmtId="164" fontId="5" fillId="2" borderId="1" xfId="2" applyFont="1" applyFill="1" applyBorder="1" applyAlignment="1">
      <alignment horizontal="centerContinuous" vertical="center"/>
    </xf>
    <xf numFmtId="164" fontId="4" fillId="2" borderId="0" xfId="2" applyFont="1" applyFill="1" applyAlignment="1">
      <alignment vertical="center"/>
    </xf>
    <xf numFmtId="164" fontId="17" fillId="2" borderId="0" xfId="2" applyFont="1" applyFill="1" applyAlignment="1">
      <alignment vertical="center"/>
    </xf>
    <xf numFmtId="1" fontId="10" fillId="2" borderId="4" xfId="2" applyNumberFormat="1" applyFont="1" applyFill="1" applyBorder="1" applyAlignment="1">
      <alignment horizontal="right" vertical="center"/>
    </xf>
    <xf numFmtId="164" fontId="10" fillId="2" borderId="4" xfId="2" applyFont="1" applyFill="1" applyBorder="1" applyAlignment="1">
      <alignment horizontal="right" vertical="center" wrapText="1"/>
    </xf>
    <xf numFmtId="164" fontId="2" fillId="2" borderId="0" xfId="2" applyFill="1" applyAlignment="1">
      <alignment horizontal="right" vertical="center"/>
    </xf>
    <xf numFmtId="164" fontId="10" fillId="2" borderId="0" xfId="2" applyFont="1" applyFill="1" applyAlignment="1">
      <alignment horizontal="center" vertical="center" wrapText="1"/>
    </xf>
    <xf numFmtId="164" fontId="16" fillId="2" borderId="0" xfId="2" applyFont="1" applyFill="1" applyAlignment="1">
      <alignment horizontal="right" vertical="center"/>
    </xf>
    <xf numFmtId="165" fontId="10" fillId="2" borderId="0" xfId="2" applyNumberFormat="1" applyFont="1" applyFill="1" applyAlignment="1">
      <alignment horizontal="right"/>
    </xf>
    <xf numFmtId="165" fontId="10" fillId="2" borderId="0" xfId="2" applyNumberFormat="1" applyFont="1" applyFill="1" applyAlignment="1">
      <alignment horizontal="right" vertical="center"/>
    </xf>
    <xf numFmtId="166" fontId="15" fillId="2" borderId="0" xfId="1" applyNumberFormat="1" applyFont="1" applyFill="1" applyAlignment="1">
      <alignment vertical="center"/>
    </xf>
    <xf numFmtId="164" fontId="7" fillId="2" borderId="0" xfId="2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left" vertical="center" indent="1"/>
    </xf>
    <xf numFmtId="165" fontId="8" fillId="2" borderId="0" xfId="2" applyNumberFormat="1" applyFont="1" applyFill="1" applyAlignment="1">
      <alignment horizontal="right"/>
    </xf>
    <xf numFmtId="165" fontId="8" fillId="2" borderId="0" xfId="2" applyNumberFormat="1" applyFont="1" applyFill="1" applyAlignment="1">
      <alignment horizontal="right" vertical="center"/>
    </xf>
    <xf numFmtId="166" fontId="3" fillId="2" borderId="0" xfId="1" applyNumberFormat="1" applyFont="1" applyFill="1" applyAlignment="1">
      <alignment vertical="center"/>
    </xf>
    <xf numFmtId="164" fontId="8" fillId="2" borderId="1" xfId="0" applyNumberFormat="1" applyFont="1" applyFill="1" applyBorder="1" applyAlignment="1">
      <alignment horizontal="left" vertical="center" indent="1"/>
    </xf>
    <xf numFmtId="165" fontId="8" fillId="2" borderId="1" xfId="2" applyNumberFormat="1" applyFont="1" applyFill="1" applyBorder="1" applyAlignment="1">
      <alignment horizontal="right"/>
    </xf>
    <xf numFmtId="165" fontId="8" fillId="2" borderId="1" xfId="2" applyNumberFormat="1" applyFont="1" applyFill="1" applyBorder="1" applyAlignment="1">
      <alignment horizontal="right" vertical="center"/>
    </xf>
    <xf numFmtId="164" fontId="3" fillId="2" borderId="0" xfId="2" applyFont="1" applyFill="1" applyAlignment="1">
      <alignment horizontal="left" vertical="center"/>
    </xf>
    <xf numFmtId="165" fontId="10" fillId="2" borderId="0" xfId="2" applyNumberFormat="1" applyFont="1" applyFill="1" applyAlignment="1">
      <alignment horizontal="left" vertical="center"/>
    </xf>
    <xf numFmtId="164" fontId="5" fillId="2" borderId="9" xfId="2" applyFont="1" applyFill="1" applyBorder="1" applyAlignment="1">
      <alignment horizontal="centerContinuous" vertical="center"/>
    </xf>
    <xf numFmtId="164" fontId="24" fillId="2" borderId="0" xfId="2" applyFont="1" applyFill="1" applyAlignment="1">
      <alignment horizontal="centerContinuous" vertical="center" wrapText="1"/>
    </xf>
    <xf numFmtId="164" fontId="25" fillId="2" borderId="0" xfId="2" applyFont="1" applyFill="1" applyAlignment="1">
      <alignment horizontal="centerContinuous" vertical="center"/>
    </xf>
    <xf numFmtId="164" fontId="25" fillId="2" borderId="0" xfId="2" applyFont="1" applyFill="1" applyAlignment="1">
      <alignment vertical="center"/>
    </xf>
    <xf numFmtId="164" fontId="24" fillId="2" borderId="0" xfId="2" applyFont="1" applyFill="1" applyAlignment="1">
      <alignment vertical="center"/>
    </xf>
    <xf numFmtId="164" fontId="21" fillId="2" borderId="0" xfId="2" applyFont="1" applyFill="1" applyAlignment="1">
      <alignment horizontal="right" vertical="center" indent="1"/>
    </xf>
    <xf numFmtId="164" fontId="26" fillId="2" borderId="0" xfId="2" applyFont="1" applyFill="1" applyAlignment="1">
      <alignment horizontal="right" vertical="center" indent="1"/>
    </xf>
    <xf numFmtId="164" fontId="23" fillId="2" borderId="0" xfId="0" applyNumberFormat="1" applyFont="1" applyFill="1" applyAlignment="1">
      <alignment horizontal="right" vertical="center" indent="3"/>
    </xf>
    <xf numFmtId="164" fontId="23" fillId="2" borderId="1" xfId="0" applyNumberFormat="1" applyFont="1" applyFill="1" applyBorder="1" applyAlignment="1">
      <alignment horizontal="right" vertical="center" indent="3"/>
    </xf>
    <xf numFmtId="165" fontId="10" fillId="2" borderId="2" xfId="2" applyNumberFormat="1" applyFont="1" applyFill="1" applyBorder="1" applyAlignment="1">
      <alignment horizontal="right"/>
    </xf>
    <xf numFmtId="1" fontId="10" fillId="2" borderId="11" xfId="2" applyNumberFormat="1" applyFont="1" applyFill="1" applyBorder="1" applyAlignment="1">
      <alignment horizontal="right" vertical="center"/>
    </xf>
    <xf numFmtId="165" fontId="10" fillId="2" borderId="8" xfId="2" applyNumberFormat="1" applyFont="1" applyFill="1" applyBorder="1" applyAlignment="1">
      <alignment horizontal="right"/>
    </xf>
    <xf numFmtId="165" fontId="10" fillId="2" borderId="6" xfId="2" applyNumberFormat="1" applyFont="1" applyFill="1" applyBorder="1" applyAlignment="1">
      <alignment horizontal="right"/>
    </xf>
    <xf numFmtId="165" fontId="10" fillId="2" borderId="8" xfId="2" applyNumberFormat="1" applyFont="1" applyFill="1" applyBorder="1" applyAlignment="1">
      <alignment horizontal="right" vertical="center"/>
    </xf>
    <xf numFmtId="165" fontId="8" fillId="2" borderId="8" xfId="2" applyNumberFormat="1" applyFont="1" applyFill="1" applyBorder="1" applyAlignment="1">
      <alignment horizontal="right"/>
    </xf>
    <xf numFmtId="165" fontId="8" fillId="2" borderId="9" xfId="2" applyNumberFormat="1" applyFont="1" applyFill="1" applyBorder="1" applyAlignment="1">
      <alignment horizontal="right"/>
    </xf>
    <xf numFmtId="164" fontId="4" fillId="2" borderId="3" xfId="2" applyFont="1" applyFill="1" applyBorder="1" applyAlignment="1">
      <alignment horizontal="center" vertical="center"/>
    </xf>
    <xf numFmtId="164" fontId="13" fillId="2" borderId="0" xfId="2" applyFont="1" applyFill="1" applyAlignment="1">
      <alignment horizontal="left" vertical="top" wrapText="1"/>
    </xf>
    <xf numFmtId="164" fontId="12" fillId="2" borderId="0" xfId="2" applyFont="1" applyFill="1" applyAlignment="1">
      <alignment horizontal="right" vertical="top" wrapText="1"/>
    </xf>
    <xf numFmtId="164" fontId="13" fillId="2" borderId="0" xfId="2" applyFont="1" applyFill="1" applyAlignment="1">
      <alignment horizontal="right" vertical="top" wrapText="1"/>
    </xf>
    <xf numFmtId="164" fontId="6" fillId="2" borderId="2" xfId="2" applyFont="1" applyFill="1" applyBorder="1" applyAlignment="1">
      <alignment horizontal="left" vertical="center"/>
    </xf>
    <xf numFmtId="164" fontId="6" fillId="2" borderId="0" xfId="2" applyFont="1" applyFill="1" applyAlignment="1">
      <alignment horizontal="left" vertical="center"/>
    </xf>
    <xf numFmtId="164" fontId="6" fillId="2" borderId="1" xfId="2" applyFont="1" applyFill="1" applyBorder="1" applyAlignment="1">
      <alignment horizontal="left" vertical="center"/>
    </xf>
    <xf numFmtId="164" fontId="20" fillId="2" borderId="0" xfId="2" applyFont="1" applyFill="1" applyAlignment="1">
      <alignment horizontal="center" vertical="center"/>
    </xf>
    <xf numFmtId="164" fontId="10" fillId="2" borderId="0" xfId="2" applyFont="1" applyFill="1" applyAlignment="1">
      <alignment horizontal="center" vertical="center"/>
    </xf>
    <xf numFmtId="164" fontId="22" fillId="2" borderId="2" xfId="2" applyFont="1" applyFill="1" applyBorder="1" applyAlignment="1">
      <alignment horizontal="right" vertical="center"/>
    </xf>
    <xf numFmtId="164" fontId="22" fillId="2" borderId="0" xfId="2" applyFont="1" applyFill="1" applyAlignment="1">
      <alignment horizontal="right" vertical="center"/>
    </xf>
    <xf numFmtId="164" fontId="22" fillId="2" borderId="1" xfId="2" applyFont="1" applyFill="1" applyBorder="1" applyAlignment="1">
      <alignment horizontal="right" vertical="center"/>
    </xf>
    <xf numFmtId="164" fontId="22" fillId="2" borderId="5" xfId="2" applyFont="1" applyFill="1" applyBorder="1" applyAlignment="1">
      <alignment horizontal="center" vertical="center"/>
    </xf>
    <xf numFmtId="164" fontId="22" fillId="2" borderId="2" xfId="2" applyFont="1" applyFill="1" applyBorder="1" applyAlignment="1">
      <alignment horizontal="center" vertical="center"/>
    </xf>
    <xf numFmtId="164" fontId="22" fillId="2" borderId="6" xfId="2" applyFont="1" applyFill="1" applyBorder="1" applyAlignment="1">
      <alignment horizontal="center" vertical="center"/>
    </xf>
    <xf numFmtId="164" fontId="4" fillId="2" borderId="7" xfId="2" applyFont="1" applyFill="1" applyBorder="1" applyAlignment="1">
      <alignment horizontal="center" vertical="center"/>
    </xf>
    <xf numFmtId="164" fontId="4" fillId="2" borderId="10" xfId="2" applyFont="1" applyFill="1" applyBorder="1" applyAlignment="1">
      <alignment horizontal="center" vertical="center"/>
    </xf>
    <xf numFmtId="164" fontId="24" fillId="2" borderId="2" xfId="2" applyFont="1" applyFill="1" applyBorder="1" applyAlignment="1">
      <alignment horizontal="center" vertical="center"/>
    </xf>
    <xf numFmtId="164" fontId="24" fillId="2" borderId="6" xfId="2" applyFont="1" applyFill="1" applyBorder="1" applyAlignment="1">
      <alignment horizontal="center" vertical="center"/>
    </xf>
    <xf numFmtId="164" fontId="24" fillId="2" borderId="2" xfId="2" applyFont="1" applyFill="1" applyBorder="1" applyAlignment="1">
      <alignment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33CCCC"/>
      <color rgb="FF249390"/>
      <color rgb="FF00FFCC"/>
      <color rgb="FFEAFAFA"/>
      <color rgb="FFFFD5D5"/>
      <color rgb="FFFFA7A7"/>
      <color rgb="FFFFE5E5"/>
      <color rgb="FFFF9900"/>
      <color rgb="FF196563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7"/>
  <sheetViews>
    <sheetView tabSelected="1" zoomScale="89" zoomScaleNormal="89" workbookViewId="0">
      <selection activeCell="W7" sqref="W7"/>
    </sheetView>
  </sheetViews>
  <sheetFormatPr defaultColWidth="8.85546875" defaultRowHeight="12.75" x14ac:dyDescent="0.25"/>
  <cols>
    <col min="1" max="1" width="7.85546875" style="3" customWidth="1"/>
    <col min="2" max="2" width="9.28515625" style="3" hidden="1" customWidth="1"/>
    <col min="3" max="20" width="7.85546875" style="3" customWidth="1"/>
    <col min="21" max="21" width="19.7109375" style="3" customWidth="1"/>
    <col min="22" max="23" width="10.140625" style="3" bestFit="1" customWidth="1"/>
    <col min="24" max="16384" width="8.85546875" style="3"/>
  </cols>
  <sheetData>
    <row r="1" spans="1:38" s="10" customFormat="1" ht="19.5" x14ac:dyDescent="0.25">
      <c r="A1" s="57" t="s">
        <v>62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s="11" customFormat="1" x14ac:dyDescent="0.25">
      <c r="A2" s="58" t="s">
        <v>61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s="38" customFormat="1" ht="15.75" x14ac:dyDescent="0.25">
      <c r="A3" s="35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</row>
    <row r="4" spans="1:38" s="11" customFormat="1" ht="12" x14ac:dyDescent="0.25">
      <c r="A4" s="12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34"/>
      <c r="M4" s="13"/>
      <c r="N4" s="13"/>
      <c r="O4" s="13"/>
      <c r="P4" s="13"/>
      <c r="Q4" s="13"/>
      <c r="R4" s="13"/>
      <c r="S4" s="13"/>
      <c r="T4" s="13"/>
      <c r="U4" s="13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 s="11" customFormat="1" ht="17.25" customHeight="1" x14ac:dyDescent="0.25">
      <c r="A5" s="54" t="s">
        <v>4</v>
      </c>
      <c r="B5" s="69"/>
      <c r="C5" s="67" t="s">
        <v>5</v>
      </c>
      <c r="D5" s="67"/>
      <c r="E5" s="67"/>
      <c r="F5" s="67"/>
      <c r="G5" s="67"/>
      <c r="H5" s="68"/>
      <c r="I5" s="62" t="s">
        <v>2</v>
      </c>
      <c r="J5" s="63"/>
      <c r="K5" s="63"/>
      <c r="L5" s="63"/>
      <c r="M5" s="63"/>
      <c r="N5" s="64"/>
      <c r="O5" s="62" t="s">
        <v>6</v>
      </c>
      <c r="P5" s="63"/>
      <c r="Q5" s="63"/>
      <c r="R5" s="63"/>
      <c r="S5" s="63"/>
      <c r="T5" s="63"/>
      <c r="U5" s="59" t="s">
        <v>7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s="14" customFormat="1" ht="16.5" customHeight="1" x14ac:dyDescent="0.25">
      <c r="A6" s="55"/>
      <c r="C6" s="50" t="s">
        <v>8</v>
      </c>
      <c r="D6" s="50"/>
      <c r="E6" s="50"/>
      <c r="F6" s="50"/>
      <c r="G6" s="50"/>
      <c r="H6" s="66"/>
      <c r="I6" s="65" t="s">
        <v>3</v>
      </c>
      <c r="J6" s="50"/>
      <c r="K6" s="50"/>
      <c r="L6" s="50"/>
      <c r="M6" s="50"/>
      <c r="N6" s="66"/>
      <c r="O6" s="65" t="s">
        <v>9</v>
      </c>
      <c r="P6" s="50"/>
      <c r="Q6" s="50"/>
      <c r="R6" s="50"/>
      <c r="S6" s="50"/>
      <c r="T6" s="50"/>
      <c r="U6" s="60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1:38" s="20" customFormat="1" x14ac:dyDescent="0.25">
      <c r="A7" s="56"/>
      <c r="B7" s="16">
        <v>2017</v>
      </c>
      <c r="C7" s="16">
        <v>2018</v>
      </c>
      <c r="D7" s="16">
        <v>2019</v>
      </c>
      <c r="E7" s="16">
        <v>2020</v>
      </c>
      <c r="F7" s="16">
        <v>2021</v>
      </c>
      <c r="G7" s="16">
        <v>2022</v>
      </c>
      <c r="H7" s="44">
        <v>2023</v>
      </c>
      <c r="I7" s="17">
        <v>2018</v>
      </c>
      <c r="J7" s="17">
        <v>2019</v>
      </c>
      <c r="K7" s="17">
        <v>2020</v>
      </c>
      <c r="L7" s="17">
        <v>2021</v>
      </c>
      <c r="M7" s="17">
        <v>2022</v>
      </c>
      <c r="N7" s="44">
        <v>2023</v>
      </c>
      <c r="O7" s="17">
        <v>2018</v>
      </c>
      <c r="P7" s="17">
        <v>2019</v>
      </c>
      <c r="Q7" s="17">
        <v>2020</v>
      </c>
      <c r="R7" s="16">
        <v>2021</v>
      </c>
      <c r="S7" s="16">
        <v>2022</v>
      </c>
      <c r="T7" s="16">
        <v>2023</v>
      </c>
      <c r="U7" s="61"/>
      <c r="V7" s="18"/>
      <c r="W7" s="19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11" customFormat="1" ht="15.75" x14ac:dyDescent="0.2">
      <c r="A8" s="4" t="s">
        <v>10</v>
      </c>
      <c r="B8" s="21">
        <f t="shared" ref="B8:E8" si="0">B9+B10+B11</f>
        <v>143.15996433162485</v>
      </c>
      <c r="C8" s="21">
        <f t="shared" si="0"/>
        <v>151.02432375223395</v>
      </c>
      <c r="D8" s="21">
        <f t="shared" si="0"/>
        <v>135.06892557018762</v>
      </c>
      <c r="E8" s="21">
        <f t="shared" si="0"/>
        <v>148.58296918261513</v>
      </c>
      <c r="F8" s="21">
        <f>F9+F10+F11</f>
        <v>144.99265539280537</v>
      </c>
      <c r="G8" s="21">
        <f>G9+G10+G11</f>
        <v>155.20544329252186</v>
      </c>
      <c r="H8" s="45">
        <f>H9+H10+H11</f>
        <v>160.68319395362658</v>
      </c>
      <c r="I8" s="21">
        <f t="shared" ref="I8:I23" si="1">(C8/$C$8)*100</f>
        <v>100</v>
      </c>
      <c r="J8" s="21">
        <f>(D8/$D$8)*100</f>
        <v>100</v>
      </c>
      <c r="K8" s="21">
        <f>(E8/$E$8)*100</f>
        <v>100</v>
      </c>
      <c r="L8" s="43">
        <f>(F8/$F$8)*100</f>
        <v>100</v>
      </c>
      <c r="M8" s="43">
        <f t="shared" ref="M8:M31" si="2">(G8/$G$8)*100</f>
        <v>100</v>
      </c>
      <c r="N8" s="46">
        <f>(H8/$H$8)*100</f>
        <v>100</v>
      </c>
      <c r="O8" s="22">
        <f>((C8-B8)/B8)*100</f>
        <v>5.4934069432928911</v>
      </c>
      <c r="P8" s="22">
        <f t="shared" ref="O8:P31" si="3">((D8-C8)/C8)*100</f>
        <v>-10.564787039352874</v>
      </c>
      <c r="Q8" s="22">
        <f t="shared" ref="Q8:Q31" si="4">((E8-D8)/D8)*100</f>
        <v>10.005294374985633</v>
      </c>
      <c r="R8" s="22">
        <f t="shared" ref="R8:R31" si="5">((F8-E8)/E8)*100</f>
        <v>-2.4163696617188335</v>
      </c>
      <c r="S8" s="22">
        <f t="shared" ref="S8:T10" si="6">((G8-F8)/F8)*100</f>
        <v>7.0436587784730333</v>
      </c>
      <c r="T8" s="22">
        <f t="shared" si="6"/>
        <v>3.5293547345376202</v>
      </c>
      <c r="U8" s="39" t="s">
        <v>11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s="11" customFormat="1" ht="15.75" x14ac:dyDescent="0.2">
      <c r="A9" s="4" t="s">
        <v>12</v>
      </c>
      <c r="B9" s="21">
        <v>25.501210143903222</v>
      </c>
      <c r="C9" s="21">
        <v>28.304114418123373</v>
      </c>
      <c r="D9" s="21">
        <v>23.90253601145335</v>
      </c>
      <c r="E9" s="21">
        <v>24.817541091693119</v>
      </c>
      <c r="F9" s="21">
        <v>24.229160836192506</v>
      </c>
      <c r="G9" s="21">
        <v>24.451033449991819</v>
      </c>
      <c r="H9" s="45">
        <v>24.466710923056112</v>
      </c>
      <c r="I9" s="21">
        <f t="shared" si="1"/>
        <v>18.741427681913191</v>
      </c>
      <c r="J9" s="21">
        <f t="shared" ref="J9:J31" si="7">(D9/$D$8)*100</f>
        <v>17.696547085534167</v>
      </c>
      <c r="K9" s="21">
        <f t="shared" ref="K9:K31" si="8">(E9/$E$8)*100</f>
        <v>16.702816768448912</v>
      </c>
      <c r="L9" s="21">
        <f t="shared" ref="L9:L31" si="9">(F9/$F$8)*100</f>
        <v>16.710612527615503</v>
      </c>
      <c r="M9" s="21">
        <f t="shared" si="2"/>
        <v>15.753979326554923</v>
      </c>
      <c r="N9" s="45">
        <f t="shared" ref="N9:N31" si="10">(H9/$H$8)*100</f>
        <v>15.226676991569663</v>
      </c>
      <c r="O9" s="22">
        <f t="shared" si="3"/>
        <v>10.991259859447348</v>
      </c>
      <c r="P9" s="22">
        <f t="shared" si="3"/>
        <v>-15.551019691510481</v>
      </c>
      <c r="Q9" s="22">
        <f t="shared" si="4"/>
        <v>3.8280669457053738</v>
      </c>
      <c r="R9" s="22">
        <f t="shared" si="5"/>
        <v>-2.3708241413874598</v>
      </c>
      <c r="S9" s="22">
        <f t="shared" si="6"/>
        <v>0.9157255395650723</v>
      </c>
      <c r="T9" s="22">
        <f t="shared" si="6"/>
        <v>6.411783410446778E-2</v>
      </c>
      <c r="U9" s="39" t="s">
        <v>13</v>
      </c>
      <c r="V9" s="23"/>
      <c r="W9" s="23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s="11" customFormat="1" ht="15.75" x14ac:dyDescent="0.2">
      <c r="A10" s="4" t="s">
        <v>14</v>
      </c>
      <c r="B10" s="22">
        <f t="shared" ref="B10:E10" si="11">SUM(B12:B31)</f>
        <v>115.12306910772161</v>
      </c>
      <c r="C10" s="22">
        <f t="shared" si="11"/>
        <v>121.37470435411061</v>
      </c>
      <c r="D10" s="22">
        <f t="shared" si="11"/>
        <v>110.46671250873428</v>
      </c>
      <c r="E10" s="22">
        <f t="shared" si="11"/>
        <v>123.76542809092201</v>
      </c>
      <c r="F10" s="22">
        <f>SUM(F12:F31)</f>
        <v>120.76349455661288</v>
      </c>
      <c r="G10" s="22">
        <f>SUM(G12:G31)</f>
        <v>130.75440984253004</v>
      </c>
      <c r="H10" s="47">
        <f>SUM(H12:H31)</f>
        <v>136.21648303057046</v>
      </c>
      <c r="I10" s="21">
        <f t="shared" si="1"/>
        <v>80.367652930685765</v>
      </c>
      <c r="J10" s="21">
        <f t="shared" si="7"/>
        <v>81.785438095701011</v>
      </c>
      <c r="K10" s="21">
        <f t="shared" si="8"/>
        <v>83.297183231551088</v>
      </c>
      <c r="L10" s="21">
        <f t="shared" si="9"/>
        <v>83.289387472384519</v>
      </c>
      <c r="M10" s="21">
        <f t="shared" si="2"/>
        <v>84.246020673445074</v>
      </c>
      <c r="N10" s="45">
        <f t="shared" si="10"/>
        <v>84.773323008430339</v>
      </c>
      <c r="O10" s="22">
        <f t="shared" si="3"/>
        <v>5.4303931391364264</v>
      </c>
      <c r="P10" s="22">
        <f t="shared" si="3"/>
        <v>-8.9870388590626522</v>
      </c>
      <c r="Q10" s="22">
        <f t="shared" si="4"/>
        <v>12.038663304238595</v>
      </c>
      <c r="R10" s="22">
        <f t="shared" si="5"/>
        <v>-2.4255024853174794</v>
      </c>
      <c r="S10" s="22">
        <f t="shared" si="6"/>
        <v>8.2731253534846161</v>
      </c>
      <c r="T10" s="22">
        <f t="shared" si="6"/>
        <v>4.177352943291547</v>
      </c>
      <c r="U10" s="39" t="s">
        <v>15</v>
      </c>
      <c r="V10" s="23"/>
      <c r="W10" s="23"/>
      <c r="X10" s="7"/>
      <c r="Y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s="11" customFormat="1" ht="15.75" x14ac:dyDescent="0.2">
      <c r="A11" s="4" t="s">
        <v>16</v>
      </c>
      <c r="B11" s="21">
        <v>2.5356850800000004</v>
      </c>
      <c r="C11" s="21">
        <v>1.3455049800000001</v>
      </c>
      <c r="D11" s="21">
        <v>0.69967704999999991</v>
      </c>
      <c r="E11" s="21">
        <v>0</v>
      </c>
      <c r="F11" s="21">
        <v>0</v>
      </c>
      <c r="G11" s="21">
        <v>0</v>
      </c>
      <c r="H11" s="45">
        <v>0</v>
      </c>
      <c r="I11" s="21">
        <f t="shared" si="1"/>
        <v>0.89091938740106258</v>
      </c>
      <c r="J11" s="21">
        <f t="shared" si="7"/>
        <v>0.51801481876482214</v>
      </c>
      <c r="K11" s="21">
        <f t="shared" si="8"/>
        <v>0</v>
      </c>
      <c r="L11" s="21">
        <f t="shared" si="9"/>
        <v>0</v>
      </c>
      <c r="M11" s="21">
        <f t="shared" si="2"/>
        <v>0</v>
      </c>
      <c r="N11" s="48">
        <f t="shared" si="10"/>
        <v>0</v>
      </c>
      <c r="O11" s="22">
        <f t="shared" ref="O11" si="12">((C11-B11)/B11)*100</f>
        <v>-46.937220611007426</v>
      </c>
      <c r="P11" s="22">
        <f t="shared" ref="P11" si="13">((D11-C11)/C11)*100</f>
        <v>-47.998925280826541</v>
      </c>
      <c r="Q11" s="22">
        <v>0</v>
      </c>
      <c r="R11" s="22">
        <v>0</v>
      </c>
      <c r="S11" s="22">
        <v>0</v>
      </c>
      <c r="T11" s="22">
        <v>0</v>
      </c>
      <c r="U11" s="40" t="s">
        <v>57</v>
      </c>
      <c r="V11" s="23"/>
      <c r="W11" s="23"/>
      <c r="X11" s="7"/>
      <c r="Y11" s="7"/>
      <c r="Z11" s="24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s="11" customFormat="1" ht="15.75" x14ac:dyDescent="0.2">
      <c r="A12" s="25" t="s">
        <v>17</v>
      </c>
      <c r="B12" s="26">
        <v>3.5486896117828475</v>
      </c>
      <c r="C12" s="26">
        <v>4.8522798486124339</v>
      </c>
      <c r="D12" s="26">
        <v>4.8206493377963984</v>
      </c>
      <c r="E12" s="26">
        <v>7.8372333079125518</v>
      </c>
      <c r="F12" s="26">
        <v>5.9319524550622242</v>
      </c>
      <c r="G12" s="26">
        <v>6.703539761889826</v>
      </c>
      <c r="H12" s="48">
        <v>8.2475055980521557</v>
      </c>
      <c r="I12" s="26">
        <f t="shared" si="1"/>
        <v>3.2129128130200675</v>
      </c>
      <c r="J12" s="26">
        <f t="shared" si="7"/>
        <v>3.5690291585916127</v>
      </c>
      <c r="K12" s="26">
        <f t="shared" si="8"/>
        <v>5.2746511602418185</v>
      </c>
      <c r="L12" s="26">
        <f t="shared" si="9"/>
        <v>4.0912089229566391</v>
      </c>
      <c r="M12" s="26">
        <f t="shared" si="2"/>
        <v>4.3191395995405895</v>
      </c>
      <c r="N12" s="48">
        <f t="shared" si="10"/>
        <v>5.1327742467158064</v>
      </c>
      <c r="O12" s="27">
        <f t="shared" si="3"/>
        <v>36.734411273987639</v>
      </c>
      <c r="P12" s="27">
        <f t="shared" si="3"/>
        <v>-0.65186905543134799</v>
      </c>
      <c r="Q12" s="27">
        <f t="shared" si="4"/>
        <v>62.576299555011516</v>
      </c>
      <c r="R12" s="27">
        <f t="shared" si="5"/>
        <v>-24.31063077995568</v>
      </c>
      <c r="S12" s="27">
        <f t="shared" ref="S12:S31" si="14">((G12-F12)/F12)*100</f>
        <v>13.0073076726895</v>
      </c>
      <c r="T12" s="27">
        <f t="shared" ref="T12:T31" si="15">((H12-G12)/G12)*100</f>
        <v>23.032097831952935</v>
      </c>
      <c r="U12" s="41" t="s">
        <v>18</v>
      </c>
      <c r="V12" s="23"/>
      <c r="W12" s="23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s="11" customFormat="1" ht="15.75" x14ac:dyDescent="0.2">
      <c r="A13" s="25" t="s">
        <v>19</v>
      </c>
      <c r="B13" s="26">
        <v>2.6651350675685075</v>
      </c>
      <c r="C13" s="26">
        <v>2.5656526699013371</v>
      </c>
      <c r="D13" s="26">
        <v>2.0613592502634659</v>
      </c>
      <c r="E13" s="26">
        <v>1.7425440616363188</v>
      </c>
      <c r="F13" s="26">
        <v>1.797470476133664</v>
      </c>
      <c r="G13" s="26">
        <v>1.5122673711630708</v>
      </c>
      <c r="H13" s="48">
        <v>2.1701795064826737</v>
      </c>
      <c r="I13" s="26">
        <f t="shared" si="1"/>
        <v>1.6988340726560518</v>
      </c>
      <c r="J13" s="26">
        <f t="shared" si="7"/>
        <v>1.5261535853354331</v>
      </c>
      <c r="K13" s="26">
        <f t="shared" si="8"/>
        <v>1.1727750974572693</v>
      </c>
      <c r="L13" s="26">
        <f t="shared" si="9"/>
        <v>1.2396976048642361</v>
      </c>
      <c r="M13" s="26">
        <f t="shared" si="2"/>
        <v>0.97436490569009249</v>
      </c>
      <c r="N13" s="48">
        <f t="shared" si="10"/>
        <v>1.3505952010818199</v>
      </c>
      <c r="O13" s="27">
        <f t="shared" si="3"/>
        <v>-3.7327338069185179</v>
      </c>
      <c r="P13" s="27">
        <f t="shared" si="3"/>
        <v>-19.655560768374151</v>
      </c>
      <c r="Q13" s="27">
        <f t="shared" si="4"/>
        <v>-15.466260361283398</v>
      </c>
      <c r="R13" s="27">
        <f t="shared" si="5"/>
        <v>3.1520818156969317</v>
      </c>
      <c r="S13" s="27">
        <f t="shared" si="14"/>
        <v>-15.866914575646407</v>
      </c>
      <c r="T13" s="27">
        <f t="shared" si="15"/>
        <v>43.505014249802194</v>
      </c>
      <c r="U13" s="41" t="s">
        <v>20</v>
      </c>
      <c r="V13" s="23"/>
      <c r="W13" s="23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s="11" customFormat="1" ht="15.75" x14ac:dyDescent="0.2">
      <c r="A14" s="25" t="s">
        <v>21</v>
      </c>
      <c r="B14" s="26">
        <v>3.2212989848185964</v>
      </c>
      <c r="C14" s="26">
        <v>2.7634444005300427</v>
      </c>
      <c r="D14" s="26">
        <v>3.1946032976825478</v>
      </c>
      <c r="E14" s="26">
        <v>3.916127698023721</v>
      </c>
      <c r="F14" s="26">
        <v>4.0115190762657624</v>
      </c>
      <c r="G14" s="26">
        <v>3.0144479459297053</v>
      </c>
      <c r="H14" s="48">
        <v>2.2047579638394637</v>
      </c>
      <c r="I14" s="26">
        <f t="shared" si="1"/>
        <v>1.8298008770187697</v>
      </c>
      <c r="J14" s="26">
        <f t="shared" si="7"/>
        <v>2.3651652548479736</v>
      </c>
      <c r="K14" s="26">
        <f t="shared" si="8"/>
        <v>2.635650451439441</v>
      </c>
      <c r="L14" s="26">
        <f t="shared" si="9"/>
        <v>2.7667050206081103</v>
      </c>
      <c r="M14" s="26">
        <f t="shared" si="2"/>
        <v>1.9422308148356986</v>
      </c>
      <c r="N14" s="48">
        <f t="shared" si="10"/>
        <v>1.37211484884708</v>
      </c>
      <c r="O14" s="27">
        <f t="shared" si="3"/>
        <v>-14.213352639613403</v>
      </c>
      <c r="P14" s="27">
        <f t="shared" si="3"/>
        <v>15.602228040839419</v>
      </c>
      <c r="Q14" s="27">
        <f t="shared" si="4"/>
        <v>22.585727650897581</v>
      </c>
      <c r="R14" s="27">
        <f t="shared" si="5"/>
        <v>2.4358597471216492</v>
      </c>
      <c r="S14" s="27">
        <f t="shared" si="14"/>
        <v>-24.855201019365694</v>
      </c>
      <c r="T14" s="27">
        <f t="shared" si="15"/>
        <v>-26.860307313766533</v>
      </c>
      <c r="U14" s="41" t="s">
        <v>22</v>
      </c>
      <c r="V14" s="23"/>
      <c r="W14" s="23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s="11" customFormat="1" ht="15.75" x14ac:dyDescent="0.2">
      <c r="A15" s="25" t="s">
        <v>23</v>
      </c>
      <c r="B15" s="26">
        <v>2.0373695496846889</v>
      </c>
      <c r="C15" s="26">
        <v>2.6820970062263165</v>
      </c>
      <c r="D15" s="26">
        <v>3.6999022280220193</v>
      </c>
      <c r="E15" s="26">
        <v>2.616621895499482</v>
      </c>
      <c r="F15" s="26">
        <v>2.3899616970334963</v>
      </c>
      <c r="G15" s="26">
        <v>1.7586308073379135</v>
      </c>
      <c r="H15" s="48">
        <v>1.9735305206113305</v>
      </c>
      <c r="I15" s="26">
        <f t="shared" si="1"/>
        <v>1.775937107075868</v>
      </c>
      <c r="J15" s="26">
        <f t="shared" si="7"/>
        <v>2.7392697560915971</v>
      </c>
      <c r="K15" s="26">
        <f t="shared" si="8"/>
        <v>1.7610510207825609</v>
      </c>
      <c r="L15" s="26">
        <f t="shared" si="9"/>
        <v>1.648332938353847</v>
      </c>
      <c r="M15" s="26">
        <f t="shared" si="2"/>
        <v>1.1330986658910875</v>
      </c>
      <c r="N15" s="48">
        <f t="shared" si="10"/>
        <v>1.2282121558903629</v>
      </c>
      <c r="O15" s="27">
        <f t="shared" si="3"/>
        <v>31.645091419051006</v>
      </c>
      <c r="P15" s="27">
        <f t="shared" si="3"/>
        <v>37.948113712253253</v>
      </c>
      <c r="Q15" s="27">
        <f t="shared" si="4"/>
        <v>-29.278620508349562</v>
      </c>
      <c r="R15" s="27">
        <f t="shared" si="5"/>
        <v>-8.6623214021037995</v>
      </c>
      <c r="S15" s="27">
        <f t="shared" si="14"/>
        <v>-26.415941748322268</v>
      </c>
      <c r="T15" s="27">
        <f t="shared" si="15"/>
        <v>12.219717315126328</v>
      </c>
      <c r="U15" s="41" t="s">
        <v>24</v>
      </c>
      <c r="V15" s="23"/>
      <c r="W15" s="23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s="11" customFormat="1" ht="15.75" x14ac:dyDescent="0.2">
      <c r="A16" s="25" t="s">
        <v>25</v>
      </c>
      <c r="B16" s="26">
        <v>4.7365105807719861</v>
      </c>
      <c r="C16" s="26">
        <v>5.7753810964430077</v>
      </c>
      <c r="D16" s="26">
        <v>6.4741999351819688</v>
      </c>
      <c r="E16" s="26">
        <v>7.7595142166813016</v>
      </c>
      <c r="F16" s="26">
        <v>6.435394762928258</v>
      </c>
      <c r="G16" s="26">
        <v>6.9267990835435498</v>
      </c>
      <c r="H16" s="48">
        <v>6.4074659607860491</v>
      </c>
      <c r="I16" s="26">
        <f t="shared" si="1"/>
        <v>3.8241396835637729</v>
      </c>
      <c r="J16" s="26">
        <f t="shared" si="7"/>
        <v>4.7932564117552676</v>
      </c>
      <c r="K16" s="26">
        <f t="shared" si="8"/>
        <v>5.2223442965017819</v>
      </c>
      <c r="L16" s="26">
        <f t="shared" si="9"/>
        <v>4.4384281020951537</v>
      </c>
      <c r="M16" s="26">
        <f t="shared" si="2"/>
        <v>4.4629872101124288</v>
      </c>
      <c r="N16" s="48">
        <f t="shared" si="10"/>
        <v>3.9876391569831839</v>
      </c>
      <c r="O16" s="27">
        <f t="shared" si="3"/>
        <v>21.93324596145418</v>
      </c>
      <c r="P16" s="27">
        <f t="shared" si="3"/>
        <v>12.099960627175854</v>
      </c>
      <c r="Q16" s="27">
        <f t="shared" si="4"/>
        <v>19.852866676463041</v>
      </c>
      <c r="R16" s="27">
        <f t="shared" si="5"/>
        <v>-17.064463274085753</v>
      </c>
      <c r="S16" s="27">
        <f t="shared" si="14"/>
        <v>7.6359623413636735</v>
      </c>
      <c r="T16" s="27">
        <f t="shared" si="15"/>
        <v>-7.4974474716801645</v>
      </c>
      <c r="U16" s="41" t="s">
        <v>26</v>
      </c>
      <c r="V16" s="23"/>
      <c r="W16" s="23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s="2" customFormat="1" ht="15.75" x14ac:dyDescent="0.2">
      <c r="A17" s="25" t="s">
        <v>27</v>
      </c>
      <c r="B17" s="26">
        <v>1.6092743994481875</v>
      </c>
      <c r="C17" s="26">
        <v>1.8748629168399324</v>
      </c>
      <c r="D17" s="26">
        <v>1.6551629666460959</v>
      </c>
      <c r="E17" s="26">
        <v>2.2424289738665668</v>
      </c>
      <c r="F17" s="26">
        <v>1.3430112167004908</v>
      </c>
      <c r="G17" s="26">
        <v>1.4210651691484961</v>
      </c>
      <c r="H17" s="48">
        <v>1.924753777202874</v>
      </c>
      <c r="I17" s="26">
        <f t="shared" si="1"/>
        <v>1.2414310955073549</v>
      </c>
      <c r="J17" s="26">
        <f t="shared" si="7"/>
        <v>1.225420991289371</v>
      </c>
      <c r="K17" s="26">
        <f t="shared" si="8"/>
        <v>1.5092099627585993</v>
      </c>
      <c r="L17" s="26">
        <f t="shared" si="9"/>
        <v>0.92626154963648732</v>
      </c>
      <c r="M17" s="26">
        <f t="shared" si="2"/>
        <v>0.91560266122249212</v>
      </c>
      <c r="N17" s="48">
        <f t="shared" si="10"/>
        <v>1.1978563095766945</v>
      </c>
      <c r="O17" s="27">
        <f t="shared" si="3"/>
        <v>16.503619114478795</v>
      </c>
      <c r="P17" s="27">
        <f t="shared" si="3"/>
        <v>-11.718187405623192</v>
      </c>
      <c r="Q17" s="27">
        <f t="shared" si="4"/>
        <v>35.4808571152643</v>
      </c>
      <c r="R17" s="27">
        <f t="shared" si="5"/>
        <v>-40.109085623132643</v>
      </c>
      <c r="S17" s="27">
        <f t="shared" si="14"/>
        <v>5.8118615449667042</v>
      </c>
      <c r="T17" s="27">
        <f t="shared" si="15"/>
        <v>35.444441183242056</v>
      </c>
      <c r="U17" s="41" t="s">
        <v>28</v>
      </c>
      <c r="V17" s="23"/>
      <c r="W17" s="23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 s="2" customFormat="1" ht="15.75" x14ac:dyDescent="0.2">
      <c r="A18" s="25" t="s">
        <v>29</v>
      </c>
      <c r="B18" s="26">
        <v>3.28562210783848</v>
      </c>
      <c r="C18" s="26">
        <v>4.8539717464144525</v>
      </c>
      <c r="D18" s="26">
        <v>4.5546509441370615</v>
      </c>
      <c r="E18" s="26">
        <v>4.7149029731799859</v>
      </c>
      <c r="F18" s="26">
        <v>6.0736380008439461</v>
      </c>
      <c r="G18" s="26">
        <v>5.5858275151017143</v>
      </c>
      <c r="H18" s="48">
        <v>5.5537792316248371</v>
      </c>
      <c r="I18" s="26">
        <f t="shared" si="1"/>
        <v>3.2140330946806523</v>
      </c>
      <c r="J18" s="26">
        <f t="shared" si="7"/>
        <v>3.3720938586797811</v>
      </c>
      <c r="K18" s="26">
        <f t="shared" si="8"/>
        <v>3.1732458969676123</v>
      </c>
      <c r="L18" s="26">
        <f t="shared" si="9"/>
        <v>4.1889280421753856</v>
      </c>
      <c r="M18" s="26">
        <f t="shared" si="2"/>
        <v>3.5989894404501546</v>
      </c>
      <c r="N18" s="48">
        <f t="shared" si="10"/>
        <v>3.4563535208465335</v>
      </c>
      <c r="O18" s="27">
        <f t="shared" si="3"/>
        <v>47.733719432748352</v>
      </c>
      <c r="P18" s="27">
        <f t="shared" si="3"/>
        <v>-6.1665130724853157</v>
      </c>
      <c r="Q18" s="27">
        <f t="shared" si="4"/>
        <v>3.5184261320663333</v>
      </c>
      <c r="R18" s="27">
        <f t="shared" si="5"/>
        <v>28.817878870316516</v>
      </c>
      <c r="S18" s="27">
        <f t="shared" si="14"/>
        <v>-8.0316028988630777</v>
      </c>
      <c r="T18" s="27">
        <f t="shared" si="15"/>
        <v>-0.57374280516596976</v>
      </c>
      <c r="U18" s="41" t="s">
        <v>30</v>
      </c>
      <c r="V18" s="23"/>
      <c r="W18" s="23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s="2" customFormat="1" ht="15.75" x14ac:dyDescent="0.2">
      <c r="A19" s="25" t="s">
        <v>31</v>
      </c>
      <c r="B19" s="26">
        <v>3.3523710822809956</v>
      </c>
      <c r="C19" s="26">
        <v>4.2366941379973797</v>
      </c>
      <c r="D19" s="26">
        <v>4.0403289710183294</v>
      </c>
      <c r="E19" s="26">
        <v>6.9489645043832642</v>
      </c>
      <c r="F19" s="26">
        <v>5.0992156067167569</v>
      </c>
      <c r="G19" s="26">
        <v>5.3014392356192035</v>
      </c>
      <c r="H19" s="48">
        <v>4.8739912443723528</v>
      </c>
      <c r="I19" s="26">
        <f t="shared" si="1"/>
        <v>2.8053058161332838</v>
      </c>
      <c r="J19" s="26">
        <f t="shared" si="7"/>
        <v>2.9913090327492098</v>
      </c>
      <c r="K19" s="26">
        <f t="shared" si="8"/>
        <v>4.6768243646031031</v>
      </c>
      <c r="L19" s="26">
        <f t="shared" si="9"/>
        <v>3.5168785569877792</v>
      </c>
      <c r="M19" s="26">
        <f t="shared" si="2"/>
        <v>3.4157559961523836</v>
      </c>
      <c r="N19" s="48">
        <f t="shared" si="10"/>
        <v>3.0332924834559827</v>
      </c>
      <c r="O19" s="27">
        <f t="shared" si="3"/>
        <v>26.379032452298794</v>
      </c>
      <c r="P19" s="27">
        <f t="shared" si="3"/>
        <v>-4.6348676723656306</v>
      </c>
      <c r="Q19" s="27">
        <f t="shared" si="4"/>
        <v>71.990067002683674</v>
      </c>
      <c r="R19" s="27">
        <f t="shared" si="5"/>
        <v>-26.619058084117764</v>
      </c>
      <c r="S19" s="27">
        <f t="shared" si="14"/>
        <v>3.9657791413266557</v>
      </c>
      <c r="T19" s="27">
        <f t="shared" si="15"/>
        <v>-8.0628669357355207</v>
      </c>
      <c r="U19" s="41" t="s">
        <v>32</v>
      </c>
      <c r="V19" s="23"/>
      <c r="W19" s="23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spans="1:38" s="2" customFormat="1" ht="15.75" x14ac:dyDescent="0.2">
      <c r="A20" s="25" t="s">
        <v>33</v>
      </c>
      <c r="B20" s="26">
        <v>2.3493707511765831</v>
      </c>
      <c r="C20" s="26">
        <v>2.5766094130832551</v>
      </c>
      <c r="D20" s="26">
        <v>2.8361701649421343</v>
      </c>
      <c r="E20" s="26">
        <v>3.2216682753374388</v>
      </c>
      <c r="F20" s="26">
        <v>1.5484507695258485</v>
      </c>
      <c r="G20" s="26">
        <v>2.1974779212832702</v>
      </c>
      <c r="H20" s="48">
        <v>2.2786222118598616</v>
      </c>
      <c r="I20" s="26">
        <f t="shared" si="1"/>
        <v>1.706089025308509</v>
      </c>
      <c r="J20" s="26">
        <f t="shared" si="7"/>
        <v>2.0997947181184458</v>
      </c>
      <c r="K20" s="26">
        <f t="shared" si="8"/>
        <v>2.1682621454265489</v>
      </c>
      <c r="L20" s="26">
        <f t="shared" si="9"/>
        <v>1.0679511767895269</v>
      </c>
      <c r="M20" s="26">
        <f t="shared" si="2"/>
        <v>1.4158510646701974</v>
      </c>
      <c r="N20" s="48">
        <f t="shared" si="10"/>
        <v>1.4180837185234665</v>
      </c>
      <c r="O20" s="27">
        <f t="shared" si="3"/>
        <v>9.672320207139256</v>
      </c>
      <c r="P20" s="27">
        <f t="shared" si="3"/>
        <v>10.073732966312511</v>
      </c>
      <c r="Q20" s="27">
        <f t="shared" si="4"/>
        <v>13.592206672238575</v>
      </c>
      <c r="R20" s="27">
        <f t="shared" si="5"/>
        <v>-51.936368452966711</v>
      </c>
      <c r="S20" s="27">
        <f t="shared" si="14"/>
        <v>41.914613272216627</v>
      </c>
      <c r="T20" s="27">
        <f t="shared" si="15"/>
        <v>3.6926100503983754</v>
      </c>
      <c r="U20" s="41" t="s">
        <v>34</v>
      </c>
      <c r="V20" s="23"/>
      <c r="W20" s="23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s="2" customFormat="1" ht="15.75" x14ac:dyDescent="0.2">
      <c r="A21" s="25" t="s">
        <v>35</v>
      </c>
      <c r="B21" s="26">
        <v>3.0697628263915906</v>
      </c>
      <c r="C21" s="26">
        <v>3.2696684813193393</v>
      </c>
      <c r="D21" s="26">
        <v>3.0080433639696103</v>
      </c>
      <c r="E21" s="26">
        <v>3.060880391124515</v>
      </c>
      <c r="F21" s="26">
        <v>2.2417806051075906</v>
      </c>
      <c r="G21" s="26">
        <v>2.9150046955015272</v>
      </c>
      <c r="H21" s="48">
        <v>2.6226758581041558</v>
      </c>
      <c r="I21" s="26">
        <f t="shared" si="1"/>
        <v>2.1649946181407578</v>
      </c>
      <c r="J21" s="26">
        <f t="shared" si="7"/>
        <v>2.2270432309069501</v>
      </c>
      <c r="K21" s="26">
        <f t="shared" si="8"/>
        <v>2.0600479368281808</v>
      </c>
      <c r="L21" s="26">
        <f t="shared" si="9"/>
        <v>1.5461339052204359</v>
      </c>
      <c r="M21" s="26">
        <f t="shared" si="2"/>
        <v>1.8781588027215654</v>
      </c>
      <c r="N21" s="48">
        <f t="shared" si="10"/>
        <v>1.632202966329549</v>
      </c>
      <c r="O21" s="27">
        <f t="shared" si="3"/>
        <v>6.512087944029588</v>
      </c>
      <c r="P21" s="27">
        <f t="shared" si="3"/>
        <v>-8.001579329662226</v>
      </c>
      <c r="Q21" s="27">
        <f t="shared" si="4"/>
        <v>1.7565247824478702</v>
      </c>
      <c r="R21" s="27">
        <f t="shared" si="5"/>
        <v>-26.760267679587479</v>
      </c>
      <c r="S21" s="27">
        <f t="shared" si="14"/>
        <v>30.030775039274026</v>
      </c>
      <c r="T21" s="27">
        <f t="shared" si="15"/>
        <v>-10.028417376085089</v>
      </c>
      <c r="U21" s="41" t="s">
        <v>36</v>
      </c>
      <c r="V21" s="23"/>
      <c r="W21" s="23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1:38" s="2" customFormat="1" ht="15.75" x14ac:dyDescent="0.2">
      <c r="A22" s="25" t="s">
        <v>37</v>
      </c>
      <c r="B22" s="26">
        <v>0.24041875105324056</v>
      </c>
      <c r="C22" s="26">
        <v>0.23480660959918051</v>
      </c>
      <c r="D22" s="26">
        <v>0.25677748611255835</v>
      </c>
      <c r="E22" s="26">
        <v>0.63955167891345943</v>
      </c>
      <c r="F22" s="26">
        <v>0.45661319352007401</v>
      </c>
      <c r="G22" s="26">
        <v>0.53461822162097594</v>
      </c>
      <c r="H22" s="48">
        <v>0.14960768177648073</v>
      </c>
      <c r="I22" s="26">
        <f t="shared" si="1"/>
        <v>0.15547602119006823</v>
      </c>
      <c r="J22" s="26">
        <f t="shared" si="7"/>
        <v>0.19010848352319629</v>
      </c>
      <c r="K22" s="26">
        <f t="shared" si="8"/>
        <v>0.43043404128465201</v>
      </c>
      <c r="L22" s="26">
        <f t="shared" si="9"/>
        <v>0.31492160225843513</v>
      </c>
      <c r="M22" s="26">
        <f t="shared" si="2"/>
        <v>0.34445842251380304</v>
      </c>
      <c r="N22" s="48">
        <f t="shared" si="10"/>
        <v>9.3107236727978993E-2</v>
      </c>
      <c r="O22" s="27">
        <f t="shared" si="3"/>
        <v>-2.3343193613119007</v>
      </c>
      <c r="P22" s="27">
        <f t="shared" si="3"/>
        <v>9.3570093920620714</v>
      </c>
      <c r="Q22" s="27">
        <f t="shared" si="4"/>
        <v>149.06843999287076</v>
      </c>
      <c r="R22" s="27">
        <f t="shared" si="5"/>
        <v>-28.60417561629756</v>
      </c>
      <c r="S22" s="27">
        <f t="shared" si="14"/>
        <v>17.083393385888357</v>
      </c>
      <c r="T22" s="27">
        <f t="shared" si="15"/>
        <v>-72.015977808824687</v>
      </c>
      <c r="U22" s="41" t="s">
        <v>38</v>
      </c>
      <c r="V22" s="23"/>
      <c r="W22" s="23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s="2" customFormat="1" ht="15.75" x14ac:dyDescent="0.2">
      <c r="A23" s="25" t="s">
        <v>39</v>
      </c>
      <c r="B23" s="26">
        <v>3.3034787321652641</v>
      </c>
      <c r="C23" s="26">
        <v>2.6945335002029829</v>
      </c>
      <c r="D23" s="26">
        <v>3.6609335097969522</v>
      </c>
      <c r="E23" s="26">
        <v>4.0860262316599076</v>
      </c>
      <c r="F23" s="26">
        <v>3.1689160392067319</v>
      </c>
      <c r="G23" s="26">
        <v>3.9909745535054189</v>
      </c>
      <c r="H23" s="48">
        <v>2.2121098913894328</v>
      </c>
      <c r="I23" s="26">
        <f t="shared" si="1"/>
        <v>1.7841718693099762</v>
      </c>
      <c r="J23" s="26">
        <f t="shared" si="7"/>
        <v>2.710418769041421</v>
      </c>
      <c r="K23" s="26">
        <f t="shared" si="8"/>
        <v>2.7499963516262742</v>
      </c>
      <c r="L23" s="26">
        <f t="shared" si="9"/>
        <v>2.1855700418905326</v>
      </c>
      <c r="M23" s="26">
        <f t="shared" si="2"/>
        <v>2.5714140360293105</v>
      </c>
      <c r="N23" s="48">
        <f t="shared" si="10"/>
        <v>1.3766902667044638</v>
      </c>
      <c r="O23" s="27">
        <f t="shared" si="3"/>
        <v>-18.433453983920405</v>
      </c>
      <c r="P23" s="27">
        <f t="shared" si="3"/>
        <v>35.865206705397021</v>
      </c>
      <c r="Q23" s="27">
        <f t="shared" si="4"/>
        <v>11.611593620189309</v>
      </c>
      <c r="R23" s="27">
        <f t="shared" si="5"/>
        <v>-22.445039274273306</v>
      </c>
      <c r="S23" s="27">
        <f t="shared" si="14"/>
        <v>25.941315709471152</v>
      </c>
      <c r="T23" s="27">
        <f t="shared" si="15"/>
        <v>-44.572187526315957</v>
      </c>
      <c r="U23" s="41" t="s">
        <v>40</v>
      </c>
      <c r="V23" s="23"/>
      <c r="W23" s="23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s="2" customFormat="1" ht="15.75" x14ac:dyDescent="0.2">
      <c r="A24" s="25" t="s">
        <v>41</v>
      </c>
      <c r="B24" s="26">
        <v>2.9696042037139136</v>
      </c>
      <c r="C24" s="26">
        <v>2.9324848575439835</v>
      </c>
      <c r="D24" s="26">
        <v>2.6582474096926743</v>
      </c>
      <c r="E24" s="26">
        <v>3.0837334818653956</v>
      </c>
      <c r="F24" s="26">
        <v>2.2203880190497109</v>
      </c>
      <c r="G24" s="26">
        <v>2.4196397016416267</v>
      </c>
      <c r="H24" s="48">
        <v>1.9300578619254896</v>
      </c>
      <c r="I24" s="26">
        <f t="shared" ref="I24:I31" si="16">(C24/$C$8)*100</f>
        <v>1.9417301694758331</v>
      </c>
      <c r="J24" s="26">
        <f t="shared" si="7"/>
        <v>1.9680673393017662</v>
      </c>
      <c r="K24" s="26">
        <f t="shared" si="8"/>
        <v>2.0754286300978069</v>
      </c>
      <c r="L24" s="26">
        <f t="shared" si="9"/>
        <v>1.5313796502549522</v>
      </c>
      <c r="M24" s="26">
        <f t="shared" si="2"/>
        <v>1.5589915213741801</v>
      </c>
      <c r="N24" s="48">
        <f t="shared" si="10"/>
        <v>1.2011572675624729</v>
      </c>
      <c r="O24" s="27">
        <f t="shared" si="3"/>
        <v>-1.2499762131097181</v>
      </c>
      <c r="P24" s="27">
        <f t="shared" si="3"/>
        <v>-9.351708914909409</v>
      </c>
      <c r="Q24" s="27">
        <f t="shared" si="4"/>
        <v>16.00626302206809</v>
      </c>
      <c r="R24" s="27">
        <f t="shared" si="5"/>
        <v>-27.99676002782946</v>
      </c>
      <c r="S24" s="27">
        <f t="shared" si="14"/>
        <v>8.9737325585638903</v>
      </c>
      <c r="T24" s="27">
        <f t="shared" si="15"/>
        <v>-20.233666995295863</v>
      </c>
      <c r="U24" s="41" t="s">
        <v>42</v>
      </c>
      <c r="V24" s="23"/>
      <c r="W24" s="23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s="2" customFormat="1" ht="15.75" x14ac:dyDescent="0.2">
      <c r="A25" s="25" t="s">
        <v>43</v>
      </c>
      <c r="B25" s="26">
        <v>8.3901824668277172</v>
      </c>
      <c r="C25" s="26">
        <v>8.5304285251459255</v>
      </c>
      <c r="D25" s="26">
        <v>9.9004574381934045</v>
      </c>
      <c r="E25" s="26">
        <v>11.389740816779341</v>
      </c>
      <c r="F25" s="26">
        <v>7.3506107479954865</v>
      </c>
      <c r="G25" s="26">
        <v>9.890061002195166</v>
      </c>
      <c r="H25" s="48">
        <v>10.591670770145104</v>
      </c>
      <c r="I25" s="26">
        <f t="shared" si="16"/>
        <v>5.6483805477193822</v>
      </c>
      <c r="J25" s="26">
        <f t="shared" si="7"/>
        <v>7.3299298090949137</v>
      </c>
      <c r="K25" s="26">
        <f t="shared" si="8"/>
        <v>7.6655762631724214</v>
      </c>
      <c r="L25" s="26">
        <f t="shared" si="9"/>
        <v>5.0696435126880424</v>
      </c>
      <c r="M25" s="26">
        <f t="shared" si="2"/>
        <v>6.3722384939521577</v>
      </c>
      <c r="N25" s="48">
        <f t="shared" si="10"/>
        <v>6.591648142867931</v>
      </c>
      <c r="O25" s="27">
        <f t="shared" si="3"/>
        <v>1.6715495625118943</v>
      </c>
      <c r="P25" s="27">
        <f t="shared" si="3"/>
        <v>16.060493432527092</v>
      </c>
      <c r="Q25" s="27">
        <f t="shared" si="4"/>
        <v>15.042571395142474</v>
      </c>
      <c r="R25" s="27">
        <f t="shared" si="5"/>
        <v>-35.462879566437692</v>
      </c>
      <c r="S25" s="27">
        <f t="shared" si="14"/>
        <v>34.547472873491344</v>
      </c>
      <c r="T25" s="27">
        <f t="shared" si="15"/>
        <v>7.0940893872566688</v>
      </c>
      <c r="U25" s="41" t="s">
        <v>44</v>
      </c>
      <c r="V25" s="23"/>
      <c r="W25" s="23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s="2" customFormat="1" ht="15.75" x14ac:dyDescent="0.2">
      <c r="A26" s="25" t="s">
        <v>45</v>
      </c>
      <c r="B26" s="26">
        <v>5.7942599899738356</v>
      </c>
      <c r="C26" s="26">
        <v>6.0494795388263602</v>
      </c>
      <c r="D26" s="26">
        <v>7.1989792228439535</v>
      </c>
      <c r="E26" s="26">
        <v>7.5536508780813598</v>
      </c>
      <c r="F26" s="26">
        <v>5.5079821252969765</v>
      </c>
      <c r="G26" s="26">
        <v>7.9643446792424548</v>
      </c>
      <c r="H26" s="48">
        <v>6.556937524643474</v>
      </c>
      <c r="I26" s="26">
        <f t="shared" si="16"/>
        <v>4.005632595151333</v>
      </c>
      <c r="J26" s="26">
        <f t="shared" si="7"/>
        <v>5.3298559920083575</v>
      </c>
      <c r="K26" s="26">
        <f t="shared" si="8"/>
        <v>5.0837931962428238</v>
      </c>
      <c r="L26" s="26">
        <f t="shared" si="9"/>
        <v>3.7988007808913378</v>
      </c>
      <c r="M26" s="26">
        <f t="shared" si="2"/>
        <v>5.1314854107479579</v>
      </c>
      <c r="N26" s="48">
        <f t="shared" si="10"/>
        <v>4.0806616817287162</v>
      </c>
      <c r="O26" s="27">
        <f t="shared" si="3"/>
        <v>4.4046961871601678</v>
      </c>
      <c r="P26" s="27">
        <f t="shared" si="3"/>
        <v>19.00162942348928</v>
      </c>
      <c r="Q26" s="27">
        <f t="shared" si="4"/>
        <v>4.926693691682769</v>
      </c>
      <c r="R26" s="27">
        <f t="shared" si="5"/>
        <v>-27.081854666070914</v>
      </c>
      <c r="S26" s="27">
        <f t="shared" si="14"/>
        <v>44.596414768013389</v>
      </c>
      <c r="T26" s="27">
        <f t="shared" si="15"/>
        <v>-17.671349135191488</v>
      </c>
      <c r="U26" s="41" t="s">
        <v>46</v>
      </c>
      <c r="V26" s="28"/>
      <c r="W26" s="23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s="2" customFormat="1" ht="15.75" x14ac:dyDescent="0.2">
      <c r="A27" s="25" t="s">
        <v>47</v>
      </c>
      <c r="B27" s="26">
        <v>12.223952593290209</v>
      </c>
      <c r="C27" s="26">
        <v>11.585481944996269</v>
      </c>
      <c r="D27" s="26">
        <v>9.7740388693018012</v>
      </c>
      <c r="E27" s="26">
        <v>10.600246504316949</v>
      </c>
      <c r="F27" s="26">
        <v>8.7133733898041843</v>
      </c>
      <c r="G27" s="26">
        <v>9.244293576529385</v>
      </c>
      <c r="H27" s="48">
        <v>8.3747616246628382</v>
      </c>
      <c r="I27" s="26">
        <f t="shared" si="16"/>
        <v>7.6712688771929676</v>
      </c>
      <c r="J27" s="26">
        <f t="shared" si="7"/>
        <v>7.2363342108787201</v>
      </c>
      <c r="K27" s="26">
        <f t="shared" si="8"/>
        <v>7.134227134261109</v>
      </c>
      <c r="L27" s="26">
        <f t="shared" si="9"/>
        <v>6.0095274248191659</v>
      </c>
      <c r="M27" s="26">
        <f t="shared" si="2"/>
        <v>5.9561658279640985</v>
      </c>
      <c r="N27" s="48">
        <f t="shared" si="10"/>
        <v>5.2119710957947518</v>
      </c>
      <c r="O27" s="27">
        <f t="shared" si="3"/>
        <v>-5.2231112925323284</v>
      </c>
      <c r="P27" s="27">
        <f t="shared" si="3"/>
        <v>-15.635457241179546</v>
      </c>
      <c r="Q27" s="27">
        <f t="shared" si="4"/>
        <v>8.4530831733245151</v>
      </c>
      <c r="R27" s="27">
        <f t="shared" si="5"/>
        <v>-17.800275811928863</v>
      </c>
      <c r="S27" s="27">
        <f t="shared" si="14"/>
        <v>6.0931646444355128</v>
      </c>
      <c r="T27" s="27">
        <f t="shared" si="15"/>
        <v>-9.4061481785285093</v>
      </c>
      <c r="U27" s="41" t="s">
        <v>48</v>
      </c>
      <c r="V27" s="28"/>
      <c r="W27" s="23"/>
      <c r="X27" s="7"/>
      <c r="Y27" s="7"/>
    </row>
    <row r="28" spans="1:38" s="2" customFormat="1" ht="15.75" x14ac:dyDescent="0.2">
      <c r="A28" s="25" t="s">
        <v>49</v>
      </c>
      <c r="B28" s="26">
        <v>24.21426468123731</v>
      </c>
      <c r="C28" s="26">
        <v>25.065136682070062</v>
      </c>
      <c r="D28" s="26">
        <v>18.765171841803927</v>
      </c>
      <c r="E28" s="26">
        <v>21.156044330819775</v>
      </c>
      <c r="F28" s="26">
        <v>27.641363022801691</v>
      </c>
      <c r="G28" s="26">
        <v>25.924720528129626</v>
      </c>
      <c r="H28" s="48">
        <v>29.434838970483174</v>
      </c>
      <c r="I28" s="26">
        <f>(C28/$C$8)*100</f>
        <v>16.596754787123686</v>
      </c>
      <c r="J28" s="26">
        <f>(D28/$D$8)*100</f>
        <v>13.893034065820519</v>
      </c>
      <c r="K28" s="26">
        <f>(E28/$E$8)*100</f>
        <v>14.238539212941726</v>
      </c>
      <c r="L28" s="26">
        <f t="shared" si="9"/>
        <v>19.063974618519381</v>
      </c>
      <c r="M28" s="26">
        <f t="shared" si="2"/>
        <v>16.703486667840814</v>
      </c>
      <c r="N28" s="48">
        <f t="shared" si="10"/>
        <v>18.318554819726891</v>
      </c>
      <c r="O28" s="27">
        <f t="shared" si="3"/>
        <v>3.5139287194298285</v>
      </c>
      <c r="P28" s="27">
        <f t="shared" si="3"/>
        <v>-25.134372575644932</v>
      </c>
      <c r="Q28" s="27">
        <f t="shared" si="4"/>
        <v>12.741010363089805</v>
      </c>
      <c r="R28" s="27">
        <f t="shared" si="5"/>
        <v>30.654684734868948</v>
      </c>
      <c r="S28" s="27">
        <f t="shared" si="14"/>
        <v>-6.2104118861866047</v>
      </c>
      <c r="T28" s="27">
        <f t="shared" si="15"/>
        <v>13.539657789347787</v>
      </c>
      <c r="U28" s="41" t="s">
        <v>50</v>
      </c>
      <c r="V28" s="28"/>
      <c r="W28" s="23"/>
      <c r="X28" s="7"/>
      <c r="Y28" s="7"/>
    </row>
    <row r="29" spans="1:38" s="2" customFormat="1" ht="15.75" x14ac:dyDescent="0.2">
      <c r="A29" s="25" t="s">
        <v>51</v>
      </c>
      <c r="B29" s="26">
        <v>13.637841725925478</v>
      </c>
      <c r="C29" s="26">
        <v>14.621351612458165</v>
      </c>
      <c r="D29" s="26">
        <v>12.213624200393626</v>
      </c>
      <c r="E29" s="26">
        <v>11.610003248031642</v>
      </c>
      <c r="F29" s="26">
        <v>15.274721541317986</v>
      </c>
      <c r="G29" s="26">
        <v>18.428990439852011</v>
      </c>
      <c r="H29" s="48">
        <v>18.291134297444156</v>
      </c>
      <c r="I29" s="26">
        <f t="shared" si="16"/>
        <v>9.6814547810493909</v>
      </c>
      <c r="J29" s="26">
        <f t="shared" si="7"/>
        <v>9.0425122942485405</v>
      </c>
      <c r="K29" s="26">
        <f t="shared" si="8"/>
        <v>7.8138183076436096</v>
      </c>
      <c r="L29" s="26">
        <f t="shared" si="9"/>
        <v>10.534824332954404</v>
      </c>
      <c r="M29" s="26">
        <f t="shared" si="2"/>
        <v>11.873933058596508</v>
      </c>
      <c r="N29" s="48">
        <f t="shared" si="10"/>
        <v>11.38335245111135</v>
      </c>
      <c r="O29" s="27">
        <f t="shared" si="3"/>
        <v>7.2116241433058947</v>
      </c>
      <c r="P29" s="27">
        <f t="shared" si="3"/>
        <v>-16.467201363333793</v>
      </c>
      <c r="Q29" s="27">
        <f t="shared" si="4"/>
        <v>-4.9421935901919305</v>
      </c>
      <c r="R29" s="27">
        <f t="shared" si="5"/>
        <v>31.565178880614518</v>
      </c>
      <c r="S29" s="27">
        <f t="shared" si="14"/>
        <v>20.650254670775876</v>
      </c>
      <c r="T29" s="27">
        <f t="shared" si="15"/>
        <v>-0.74803957849881275</v>
      </c>
      <c r="U29" s="41" t="s">
        <v>52</v>
      </c>
      <c r="V29" s="28"/>
      <c r="W29" s="23"/>
      <c r="X29" s="7"/>
      <c r="Y29" s="7"/>
    </row>
    <row r="30" spans="1:38" s="2" customFormat="1" ht="15.75" x14ac:dyDescent="0.2">
      <c r="A30" s="25" t="s">
        <v>53</v>
      </c>
      <c r="B30" s="26">
        <v>5.0960265002171319</v>
      </c>
      <c r="C30" s="26">
        <v>4.7624309815730665</v>
      </c>
      <c r="D30" s="26">
        <v>2.5162397100822615</v>
      </c>
      <c r="E30" s="26">
        <v>2.155572749456085</v>
      </c>
      <c r="F30" s="26">
        <v>2.3874367396231704</v>
      </c>
      <c r="G30" s="26">
        <v>2.7517640926224085</v>
      </c>
      <c r="H30" s="48">
        <v>4.2928985343457677</v>
      </c>
      <c r="I30" s="26">
        <f t="shared" si="16"/>
        <v>3.1534198354605247</v>
      </c>
      <c r="J30" s="26">
        <f t="shared" si="7"/>
        <v>1.8629301295320626</v>
      </c>
      <c r="K30" s="26">
        <f t="shared" si="8"/>
        <v>1.4507535832096541</v>
      </c>
      <c r="L30" s="26">
        <f t="shared" si="9"/>
        <v>1.6465915002075591</v>
      </c>
      <c r="M30" s="26">
        <f t="shared" si="2"/>
        <v>1.7729816907491118</v>
      </c>
      <c r="N30" s="48">
        <f t="shared" si="10"/>
        <v>2.6716537235279905</v>
      </c>
      <c r="O30" s="27">
        <f t="shared" si="3"/>
        <v>-6.5461888518407712</v>
      </c>
      <c r="P30" s="27">
        <f t="shared" si="3"/>
        <v>-47.164804701250937</v>
      </c>
      <c r="Q30" s="27">
        <f t="shared" si="4"/>
        <v>-14.333569221605899</v>
      </c>
      <c r="R30" s="27">
        <f t="shared" si="5"/>
        <v>10.756491063713417</v>
      </c>
      <c r="S30" s="27">
        <f t="shared" si="14"/>
        <v>15.260188760299595</v>
      </c>
      <c r="T30" s="27">
        <f t="shared" si="15"/>
        <v>56.005325669275329</v>
      </c>
      <c r="U30" s="41" t="s">
        <v>54</v>
      </c>
      <c r="V30" s="28"/>
      <c r="W30" s="23"/>
      <c r="X30" s="7"/>
      <c r="Y30" s="7"/>
    </row>
    <row r="31" spans="1:38" s="2" customFormat="1" ht="15.75" x14ac:dyDescent="0.2">
      <c r="A31" s="29" t="s">
        <v>22</v>
      </c>
      <c r="B31" s="30">
        <v>9.3776345015550255</v>
      </c>
      <c r="C31" s="30">
        <v>9.4479083843271106</v>
      </c>
      <c r="D31" s="30">
        <v>7.1771723608534721</v>
      </c>
      <c r="E31" s="30">
        <v>7.4299718733529492</v>
      </c>
      <c r="F31" s="30">
        <v>11.169695071678818</v>
      </c>
      <c r="G31" s="30">
        <v>12.268503540672658</v>
      </c>
      <c r="H31" s="49">
        <v>16.125204000818776</v>
      </c>
      <c r="I31" s="30">
        <f t="shared" si="16"/>
        <v>6.2558852439075103</v>
      </c>
      <c r="J31" s="30">
        <f t="shared" si="7"/>
        <v>5.3137110038858681</v>
      </c>
      <c r="K31" s="30">
        <f t="shared" si="8"/>
        <v>5.0005541780640961</v>
      </c>
      <c r="L31" s="30">
        <f t="shared" si="9"/>
        <v>7.7036281882130879</v>
      </c>
      <c r="M31" s="30">
        <f t="shared" si="2"/>
        <v>7.9046863823904179</v>
      </c>
      <c r="N31" s="49">
        <f t="shared" si="10"/>
        <v>10.035401714427294</v>
      </c>
      <c r="O31" s="31">
        <f t="shared" si="3"/>
        <v>0.74937749770938511</v>
      </c>
      <c r="P31" s="31">
        <f t="shared" si="3"/>
        <v>-24.034272254804073</v>
      </c>
      <c r="Q31" s="31">
        <f t="shared" si="4"/>
        <v>3.522271721915502</v>
      </c>
      <c r="R31" s="31">
        <f t="shared" si="5"/>
        <v>50.332938833027249</v>
      </c>
      <c r="S31" s="31">
        <f t="shared" si="14"/>
        <v>9.837407932289123</v>
      </c>
      <c r="T31" s="31">
        <f t="shared" si="15"/>
        <v>31.435785524781807</v>
      </c>
      <c r="U31" s="42" t="s">
        <v>55</v>
      </c>
      <c r="V31" s="28"/>
      <c r="W31" s="23"/>
      <c r="X31" s="7"/>
      <c r="Y31" s="7"/>
    </row>
    <row r="32" spans="1:38" s="2" customFormat="1" ht="17.25" x14ac:dyDescent="0.25">
      <c r="A32" s="8" t="s">
        <v>58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5" t="s">
        <v>56</v>
      </c>
      <c r="W32" s="23"/>
      <c r="X32" s="7"/>
      <c r="Y32" s="7"/>
    </row>
    <row r="33" spans="1:25" s="32" customFormat="1" ht="37.5" customHeight="1" x14ac:dyDescent="0.25">
      <c r="A33" s="51" t="s">
        <v>59</v>
      </c>
      <c r="B33" s="51"/>
      <c r="C33" s="51"/>
      <c r="D33" s="51"/>
      <c r="E33" s="51"/>
      <c r="F33" s="51"/>
      <c r="G33" s="51"/>
      <c r="H33" s="51"/>
      <c r="I33" s="52" t="s">
        <v>60</v>
      </c>
      <c r="J33" s="52"/>
      <c r="K33" s="52"/>
      <c r="L33" s="52"/>
      <c r="M33" s="52"/>
      <c r="N33" s="52"/>
      <c r="O33" s="53"/>
      <c r="P33" s="53"/>
      <c r="Q33" s="53"/>
      <c r="R33" s="53"/>
      <c r="S33" s="53"/>
      <c r="T33" s="53"/>
      <c r="U33" s="53"/>
      <c r="W33" s="23"/>
      <c r="X33" s="7"/>
      <c r="Y33" s="7"/>
    </row>
    <row r="34" spans="1:25" s="32" customFormat="1" x14ac:dyDescent="0.25">
      <c r="A34" s="9"/>
      <c r="O34" s="33"/>
      <c r="P34" s="33"/>
      <c r="Q34" s="33"/>
      <c r="R34" s="33"/>
    </row>
    <row r="35" spans="1:25" s="2" customFormat="1" ht="12" x14ac:dyDescent="0.25"/>
    <row r="36" spans="1:25" s="2" customFormat="1" ht="12" x14ac:dyDescent="0.25"/>
    <row r="37" spans="1:25" s="2" customFormat="1" ht="12" x14ac:dyDescent="0.25"/>
    <row r="38" spans="1:25" s="2" customFormat="1" ht="12" x14ac:dyDescent="0.25"/>
    <row r="39" spans="1:25" s="2" customFormat="1" ht="12" x14ac:dyDescent="0.25"/>
    <row r="40" spans="1:25" s="2" customFormat="1" ht="12" x14ac:dyDescent="0.25"/>
    <row r="41" spans="1:25" s="2" customFormat="1" ht="12" x14ac:dyDescent="0.25"/>
    <row r="42" spans="1:25" s="2" customFormat="1" ht="12" x14ac:dyDescent="0.25"/>
    <row r="43" spans="1:25" s="2" customFormat="1" ht="12" x14ac:dyDescent="0.25"/>
    <row r="44" spans="1:25" s="2" customFormat="1" ht="12" x14ac:dyDescent="0.25"/>
    <row r="45" spans="1:25" s="2" customFormat="1" ht="12" x14ac:dyDescent="0.25"/>
    <row r="46" spans="1:25" s="2" customFormat="1" ht="12" x14ac:dyDescent="0.25"/>
    <row r="47" spans="1:25" s="2" customFormat="1" ht="12" x14ac:dyDescent="0.25"/>
    <row r="48" spans="1:25" s="2" customFormat="1" ht="12" x14ac:dyDescent="0.25"/>
    <row r="49" spans="1:21" s="2" customFormat="1" ht="12" x14ac:dyDescent="0.25"/>
    <row r="50" spans="1:21" s="2" customFormat="1" ht="12" x14ac:dyDescent="0.25"/>
    <row r="51" spans="1:21" s="2" customFormat="1" ht="12" x14ac:dyDescent="0.25"/>
    <row r="52" spans="1:21" s="2" customFormat="1" ht="12" x14ac:dyDescent="0.25"/>
    <row r="53" spans="1:21" s="2" customFormat="1" ht="12" x14ac:dyDescent="0.25"/>
    <row r="54" spans="1:21" s="2" customFormat="1" ht="12" x14ac:dyDescent="0.25"/>
    <row r="55" spans="1:21" s="2" customFormat="1" ht="12" x14ac:dyDescent="0.25"/>
    <row r="56" spans="1:21" s="2" customFormat="1" ht="12" x14ac:dyDescent="0.25"/>
    <row r="57" spans="1:21" s="2" customFormat="1" ht="12" x14ac:dyDescent="0.25"/>
    <row r="58" spans="1:21" s="2" customFormat="1" ht="12" x14ac:dyDescent="0.25"/>
    <row r="59" spans="1:21" s="2" customFormat="1" ht="12" x14ac:dyDescent="0.25"/>
    <row r="60" spans="1:21" s="2" customFormat="1" ht="12" x14ac:dyDescent="0.25"/>
    <row r="61" spans="1:21" s="2" customFormat="1" ht="12" x14ac:dyDescent="0.25"/>
    <row r="62" spans="1:2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</sheetData>
  <mergeCells count="12">
    <mergeCell ref="O5:T5"/>
    <mergeCell ref="O6:T6"/>
    <mergeCell ref="A33:H33"/>
    <mergeCell ref="I33:U33"/>
    <mergeCell ref="A5:A7"/>
    <mergeCell ref="A1:U1"/>
    <mergeCell ref="A2:U2"/>
    <mergeCell ref="U5:U7"/>
    <mergeCell ref="C5:H5"/>
    <mergeCell ref="C6:H6"/>
    <mergeCell ref="I5:N5"/>
    <mergeCell ref="I6:N6"/>
  </mergeCells>
  <pageMargins left="0.7" right="0.7" top="0.75" bottom="0.75" header="0.3" footer="0.3"/>
  <pageSetup scale="43" orientation="portrait" r:id="rId1"/>
  <ignoredErrors>
    <ignoredError sqref="B10:F1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9.2</vt:lpstr>
      <vt:lpstr>'9.2'!Print_Area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2024-08-04T06:20:36Z</cp:lastPrinted>
  <dcterms:created xsi:type="dcterms:W3CDTF">2019-09-09T05:11:24Z</dcterms:created>
  <dcterms:modified xsi:type="dcterms:W3CDTF">2024-08-04T06:22:12Z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