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Geo\"/>
    </mc:Choice>
  </mc:AlternateContent>
  <xr:revisionPtr revIDLastSave="0" documentId="13_ncr:1_{0B41C8D7-1059-4D24-8356-7CF0DB4FF8A0}" xr6:coauthVersionLast="47" xr6:coauthVersionMax="47" xr10:uidLastSave="{00000000-0000-0000-0000-000000000000}"/>
  <bookViews>
    <workbookView xWindow="-120" yWindow="-120" windowWidth="29040" windowHeight="15720" tabRatio="799" xr2:uid="{00000000-000D-0000-FFFF-FFFF00000000}"/>
  </bookViews>
  <sheets>
    <sheet name="1.2" sheetId="2" r:id="rId1"/>
    <sheet name="Sheet1" sheetId="5" state="hidden" r:id="rId2"/>
  </sheets>
  <definedNames>
    <definedName name="_xlnm.Print_Area" localSheetId="0">'1.2'!$A$1:$P$42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AK21" i="2" s="1"/>
  <c r="B17" i="2"/>
  <c r="AK20" i="2" s="1"/>
  <c r="B16" i="2"/>
  <c r="AK19" i="2" s="1"/>
  <c r="B15" i="2"/>
  <c r="AK18" i="2" s="1"/>
  <c r="B14" i="2"/>
  <c r="AK17" i="2" s="1"/>
  <c r="B12" i="2"/>
  <c r="AJ21" i="2" s="1"/>
  <c r="B11" i="2"/>
  <c r="AJ20" i="2" s="1"/>
  <c r="B10" i="2"/>
  <c r="AJ19" i="2" s="1"/>
  <c r="B9" i="2"/>
  <c r="AJ18" i="2" s="1"/>
  <c r="B8" i="2"/>
  <c r="AJ17" i="2" s="1"/>
</calcChain>
</file>

<file path=xl/sharedStrings.xml><?xml version="1.0" encoding="utf-8"?>
<sst xmlns="http://schemas.openxmlformats.org/spreadsheetml/2006/main" count="65" uniqueCount="50">
  <si>
    <t>Locality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</si>
  <si>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</si>
  <si>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</si>
  <si>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</si>
  <si>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</si>
  <si>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</si>
  <si>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</si>
  <si>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</si>
  <si>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</si>
  <si>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</si>
  <si>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</si>
  <si>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</si>
  <si>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</si>
  <si>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</si>
  <si>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</si>
  <si>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</si>
  <si>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</si>
  <si>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</si>
  <si>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</si>
  <si>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</si>
  <si>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</si>
  <si>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</si>
  <si>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</si>
  <si>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</si>
  <si>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</si>
  <si>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</si>
  <si>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</si>
  <si>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</si>
  <si>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</si>
  <si>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</si>
  <si>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</si>
  <si>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</si>
  <si>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</si>
  <si>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</si>
  <si>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</si>
  <si>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</si>
  <si>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</si>
  <si>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</si>
  <si>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  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</si>
  <si>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</si>
  <si>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</si>
  <si>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</si>
  <si>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</si>
  <si>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</si>
  <si>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</si>
  <si>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</si>
  <si>
    <t>Rain fall</t>
  </si>
  <si>
    <t>Sunshine</t>
  </si>
  <si>
    <t>Table 1.2 : AVERAGE OF DAILY MAXIMUM AND MINIMUM TEMPERATURE, BY MONTH, 2023</t>
  </si>
  <si>
    <t>2023 ,urwvcnim Wviawfcsog cSwSwd idwa cSwCcawm emcnea cnimunUh uhwmcswmikea : 1.2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</si>
</sst>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6" formatCode="0.0"/>
  </numFmts>
  <fonts count="17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sz val="10"/>
      <name val="A_Randhoo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i/>
      <sz val="10"/>
      <name val="Arial"/>
      <family val="2"/>
    </font>
    <font>
      <sz val="10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2" fillId="0" borderId="0"/>
    <xf numFmtId="0" fontId="2" fillId="0" borderId="0"/>
    <xf numFmtId="43" fontId="16" fillId="0" borderId="0" applyFont="0" applyFill="0" applyBorder="0" applyAlignment="0" applyProtection="0"/>
  </cellStyleXfs>
  <cellXfs count="45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top"/>
      <protection hidden="1"/>
    </xf>
    <xf numFmtId="0" fontId="5" fillId="2" borderId="2" xfId="0" applyFont="1" applyFill="1" applyBorder="1" applyAlignment="1" applyProtection="1">
      <alignment horizontal="center" vertical="top"/>
      <protection hidden="1"/>
    </xf>
    <xf numFmtId="0" fontId="6" fillId="2" borderId="0" xfId="0" applyFont="1" applyFill="1" applyAlignment="1" applyProtection="1">
      <alignment horizontal="right" vertical="center"/>
      <protection hidden="1"/>
    </xf>
    <xf numFmtId="0" fontId="6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 wrapText="1"/>
      <protection hidden="1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164" fontId="4" fillId="2" borderId="0" xfId="0" applyNumberFormat="1" applyFont="1" applyFill="1" applyAlignment="1" applyProtection="1">
      <alignment horizontal="right" vertical="center" wrapText="1"/>
      <protection hidden="1"/>
    </xf>
    <xf numFmtId="164" fontId="4" fillId="2" borderId="0" xfId="0" applyNumberFormat="1" applyFont="1" applyFill="1" applyAlignment="1" applyProtection="1">
      <alignment horizontal="right" vertical="center"/>
      <protection hidden="1"/>
    </xf>
    <xf numFmtId="164" fontId="4" fillId="2" borderId="1" xfId="0" applyNumberFormat="1" applyFont="1" applyFill="1" applyBorder="1" applyAlignment="1" applyProtection="1">
      <alignment horizontal="right"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right" vertical="center"/>
      <protection hidden="1"/>
    </xf>
    <xf numFmtId="0" fontId="8" fillId="2" borderId="0" xfId="0" applyFont="1" applyFill="1" applyAlignment="1" applyProtection="1">
      <alignment horizontal="lef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0" fontId="8" fillId="2" borderId="0" xfId="0" applyFont="1" applyFill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center"/>
    </xf>
    <xf numFmtId="0" fontId="8" fillId="2" borderId="2" xfId="0" applyFont="1" applyFill="1" applyBorder="1" applyAlignment="1" applyProtection="1">
      <alignment horizontal="left" vertical="center"/>
      <protection hidden="1"/>
    </xf>
    <xf numFmtId="164" fontId="5" fillId="2" borderId="2" xfId="0" applyNumberFormat="1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Alignment="1" applyProtection="1">
      <alignment vertical="center"/>
      <protection hidden="1"/>
    </xf>
    <xf numFmtId="0" fontId="11" fillId="2" borderId="0" xfId="0" applyFont="1" applyFill="1" applyAlignment="1">
      <alignment horizontal="right" vertical="center"/>
    </xf>
    <xf numFmtId="0" fontId="0" fillId="2" borderId="0" xfId="0" applyFill="1"/>
    <xf numFmtId="0" fontId="2" fillId="2" borderId="0" xfId="0" applyFont="1" applyFill="1"/>
    <xf numFmtId="0" fontId="14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164" fontId="7" fillId="2" borderId="0" xfId="0" applyNumberFormat="1" applyFont="1" applyFill="1" applyAlignment="1" applyProtection="1">
      <alignment vertical="center"/>
      <protection hidden="1"/>
    </xf>
    <xf numFmtId="166" fontId="2" fillId="2" borderId="0" xfId="0" applyNumberFormat="1" applyFont="1" applyFill="1" applyAlignment="1" applyProtection="1">
      <alignment horizontal="right" vertical="center"/>
      <protection hidden="1"/>
    </xf>
    <xf numFmtId="166" fontId="7" fillId="2" borderId="0" xfId="0" applyNumberFormat="1" applyFont="1" applyFill="1" applyAlignment="1" applyProtection="1">
      <alignment horizontal="right" vertical="center"/>
      <protection hidden="1"/>
    </xf>
    <xf numFmtId="166" fontId="8" fillId="2" borderId="0" xfId="0" applyNumberFormat="1" applyFont="1" applyFill="1" applyAlignment="1" applyProtection="1">
      <alignment horizontal="right" vertical="center"/>
      <protection locked="0"/>
    </xf>
    <xf numFmtId="166" fontId="8" fillId="2" borderId="2" xfId="0" applyNumberFormat="1" applyFont="1" applyFill="1" applyBorder="1" applyAlignment="1" applyProtection="1">
      <alignment horizontal="right" vertical="center"/>
      <protection locked="0"/>
    </xf>
    <xf numFmtId="166" fontId="0" fillId="2" borderId="2" xfId="0" applyNumberFormat="1" applyFill="1" applyBorder="1" applyAlignment="1" applyProtection="1">
      <alignment horizontal="right" vertical="center"/>
      <protection locked="0"/>
    </xf>
    <xf numFmtId="0" fontId="6" fillId="2" borderId="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64" fontId="4" fillId="3" borderId="0" xfId="1" applyNumberFormat="1" applyFont="1" applyFill="1" applyAlignment="1">
      <alignment horizontal="right" vertical="center"/>
    </xf>
    <xf numFmtId="0" fontId="0" fillId="4" borderId="0" xfId="0" applyFill="1"/>
    <xf numFmtId="0" fontId="4" fillId="2" borderId="0" xfId="0" applyFont="1" applyFill="1" applyAlignment="1" applyProtection="1">
      <alignment horizontal="left" vertical="center"/>
      <protection hidden="1"/>
    </xf>
    <xf numFmtId="2" fontId="0" fillId="4" borderId="0" xfId="0" applyNumberFormat="1" applyFill="1"/>
    <xf numFmtId="0" fontId="1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top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left" vertical="center"/>
      <protection hidden="1"/>
    </xf>
  </cellXfs>
  <cellStyles count="5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</cellStyles>
  <dxfs count="0"/>
  <tableStyles count="0" defaultTableStyle="TableStyleMedium2" defaultPivotStyle="PivotStyleLight16"/>
  <colors>
    <mruColors>
      <color rgb="FF006F6C"/>
      <color rgb="FFEFFFFF"/>
      <color rgb="FF00CCC7"/>
      <color rgb="FF009999"/>
      <color rgb="FFE8EEF8"/>
      <color rgb="FFFFF3F3"/>
      <color rgb="FFFFC1C1"/>
      <color rgb="FFF75B8F"/>
      <color rgb="FFFF000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854158167613768E-2"/>
          <c:y val="0.18192706643635631"/>
          <c:w val="0.93375134410346861"/>
          <c:h val="0.69840647015515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'1.2'!$AJ$16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006F6C"/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'1.2'!$AJ$17:$AJ$21</c:f>
              <c:numCache>
                <c:formatCode>#,##0.0</c:formatCode>
                <c:ptCount val="5"/>
                <c:pt idx="0">
                  <c:v>32.824999999999996</c:v>
                </c:pt>
                <c:pt idx="1">
                  <c:v>33.491666666666667</c:v>
                </c:pt>
                <c:pt idx="2">
                  <c:v>32.733333333333341</c:v>
                </c:pt>
                <c:pt idx="3">
                  <c:v>32.349999999999994</c:v>
                </c:pt>
                <c:pt idx="4">
                  <c:v>32.466666666666669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0D-4640-A355-B24E7A19A9D4}"/>
            </c:ext>
          </c:extLst>
        </c:ser>
        <c:ser>
          <c:idx val="1"/>
          <c:order val="1"/>
          <c:tx>
            <c:strRef>
              <c:f>'1.2'!$AK$16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'1.2'!$AK$17:$AK$21</c:f>
              <c:numCache>
                <c:formatCode>#,##0.0</c:formatCode>
                <c:ptCount val="5"/>
                <c:pt idx="0">
                  <c:v>23.983333333333331</c:v>
                </c:pt>
                <c:pt idx="1">
                  <c:v>23.458333333333332</c:v>
                </c:pt>
                <c:pt idx="2">
                  <c:v>23.566666666666666</c:v>
                </c:pt>
                <c:pt idx="3">
                  <c:v>22.908333333333331</c:v>
                </c:pt>
                <c:pt idx="4">
                  <c:v>23.008333333333336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0D-4640-A355-B24E7A19A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8626176"/>
        <c:axId val="1838622912"/>
      </c:barChart>
      <c:catAx>
        <c:axId val="183862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622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862291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8.9119005020423508E-3"/>
              <c:y val="0.1150746799499132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626176"/>
        <c:crosses val="autoZero"/>
        <c:crossBetween val="between"/>
      </c:valAx>
      <c:spPr>
        <a:solidFill>
          <a:srgbClr val="EFFFFF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880960110473318"/>
          <c:y val="0.18696320587349885"/>
          <c:w val="0.28649859672903716"/>
          <c:h val="8.4064875478884721E-2"/>
        </c:manualLayout>
      </c:layout>
      <c:overlay val="0"/>
      <c:spPr>
        <a:ln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799653</xdr:colOff>
      <xdr:row>20</xdr:row>
      <xdr:rowOff>76926</xdr:rowOff>
    </xdr:from>
    <xdr:to>
      <xdr:col>14</xdr:col>
      <xdr:colOff>266700</xdr:colOff>
      <xdr:row>40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0.13031</cdr:x>
      <cdr:y>0.05198</cdr:y>
    </cdr:from>
    <cdr:to>
      <cdr:x>0.89834</cdr:x>
      <cdr:y>0.12954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532" y="175772"/>
          <a:ext cx="6409754" cy="2622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Figure</a:t>
          </a:r>
          <a:r>
            <a:rPr lang="en-US" sz="12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1.2: Yearly Average of daily maximum and minimum temperature, 2023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4"/>
  <sheetViews>
    <sheetView tabSelected="1" zoomScale="93" zoomScaleNormal="93" workbookViewId="0">
      <selection activeCell="Y16" sqref="Y16"/>
    </sheetView>
  </sheetViews>
  <sheetFormatPr defaultColWidth="8.85546875" defaultRowHeight="15" x14ac:dyDescent="0.25"/>
  <cols>
    <col min="1" max="1" width="18.140625" style="25" customWidth="1"/>
    <col min="2" max="14" width="8.85546875" style="25"/>
    <col min="15" max="15" width="19.5703125" style="25" customWidth="1"/>
    <col min="16" max="16384" width="8.85546875" style="25"/>
  </cols>
  <sheetData>
    <row r="1" spans="1:37" s="1" customFormat="1" ht="18" x14ac:dyDescent="0.25">
      <c r="A1" s="41" t="s">
        <v>49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37" s="5" customFormat="1" ht="15.75" x14ac:dyDescent="0.25">
      <c r="A2" s="42" t="s">
        <v>48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37" s="5" customForma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37" s="1" customFormat="1" ht="15.75" customHeight="1" x14ac:dyDescent="0.25">
      <c r="A4" s="43" t="s">
        <v>0</v>
      </c>
      <c r="B4" s="7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  <c r="L4" s="8" t="s">
        <v>32</v>
      </c>
      <c r="M4" s="8" t="s">
        <v>33</v>
      </c>
      <c r="N4" s="8" t="s">
        <v>34</v>
      </c>
      <c r="O4" s="8" t="s">
        <v>35</v>
      </c>
    </row>
    <row r="5" spans="1:37" s="4" customFormat="1" ht="24.75" customHeight="1" x14ac:dyDescent="0.25">
      <c r="A5" s="44"/>
      <c r="B5" s="9" t="s">
        <v>36</v>
      </c>
      <c r="C5" s="10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8"/>
    </row>
    <row r="6" spans="1:37" s="4" customFormat="1" ht="15.75" x14ac:dyDescent="0.25">
      <c r="A6" s="39"/>
      <c r="B6" s="11"/>
      <c r="C6" s="12"/>
      <c r="D6" s="12"/>
      <c r="E6" s="12"/>
      <c r="F6" s="12"/>
      <c r="G6" s="12"/>
      <c r="H6" s="12"/>
      <c r="I6" s="12"/>
      <c r="J6" s="13"/>
      <c r="K6" s="13"/>
      <c r="L6" s="13"/>
      <c r="M6" s="13"/>
      <c r="N6" s="13"/>
      <c r="O6" s="14"/>
    </row>
    <row r="7" spans="1:37" s="4" customFormat="1" ht="19.5" customHeight="1" x14ac:dyDescent="0.25">
      <c r="A7" s="15" t="s">
        <v>37</v>
      </c>
      <c r="B7" s="16"/>
      <c r="C7" s="16"/>
      <c r="D7" s="16"/>
      <c r="E7" s="16"/>
      <c r="F7" s="16"/>
      <c r="G7" s="16"/>
      <c r="H7" s="16"/>
      <c r="I7" s="16"/>
      <c r="K7" s="8"/>
      <c r="L7" s="8"/>
      <c r="M7" s="8"/>
      <c r="N7" s="8"/>
      <c r="O7" s="8" t="s">
        <v>38</v>
      </c>
    </row>
    <row r="8" spans="1:37" s="1" customFormat="1" ht="22.9" customHeight="1" x14ac:dyDescent="0.25">
      <c r="A8" s="17" t="s">
        <v>1</v>
      </c>
      <c r="B8" s="18">
        <f>AVERAGE(C8:N8)</f>
        <v>32.824999999999996</v>
      </c>
      <c r="C8" s="32">
        <v>32.200000000000003</v>
      </c>
      <c r="D8" s="32">
        <v>32.299999999999997</v>
      </c>
      <c r="E8" s="32">
        <v>32.6</v>
      </c>
      <c r="F8" s="32">
        <v>33.9</v>
      </c>
      <c r="G8" s="32">
        <v>33.299999999999997</v>
      </c>
      <c r="H8" s="32">
        <v>32.700000000000003</v>
      </c>
      <c r="I8" s="32">
        <v>33.200000000000003</v>
      </c>
      <c r="J8" s="32">
        <v>32.6</v>
      </c>
      <c r="K8" s="32">
        <v>33.200000000000003</v>
      </c>
      <c r="L8" s="32">
        <v>32.700000000000003</v>
      </c>
      <c r="M8" s="32">
        <v>32.799999999999997</v>
      </c>
      <c r="N8" s="32">
        <v>32.4</v>
      </c>
      <c r="O8" s="8" t="s">
        <v>2</v>
      </c>
    </row>
    <row r="9" spans="1:37" s="1" customFormat="1" ht="22.9" customHeight="1" x14ac:dyDescent="0.25">
      <c r="A9" s="17" t="s">
        <v>4</v>
      </c>
      <c r="B9" s="18">
        <f>AVERAGE(C9:N9)</f>
        <v>33.491666666666667</v>
      </c>
      <c r="C9" s="32">
        <v>31.3</v>
      </c>
      <c r="D9" s="32">
        <v>33.200000000000003</v>
      </c>
      <c r="E9" s="32">
        <v>33.200000000000003</v>
      </c>
      <c r="F9" s="32">
        <v>34.4</v>
      </c>
      <c r="G9" s="32">
        <v>34.6</v>
      </c>
      <c r="H9" s="32">
        <v>34.4</v>
      </c>
      <c r="I9" s="32">
        <v>33.799999999999997</v>
      </c>
      <c r="J9" s="32">
        <v>33.9</v>
      </c>
      <c r="K9" s="32">
        <v>33.1</v>
      </c>
      <c r="L9" s="32">
        <v>32.799999999999997</v>
      </c>
      <c r="M9" s="32">
        <v>33.6</v>
      </c>
      <c r="N9" s="32">
        <v>33.6</v>
      </c>
      <c r="O9" s="8" t="s">
        <v>5</v>
      </c>
    </row>
    <row r="10" spans="1:37" s="1" customFormat="1" ht="22.9" customHeight="1" x14ac:dyDescent="0.25">
      <c r="A10" s="17" t="s">
        <v>6</v>
      </c>
      <c r="B10" s="18">
        <f>AVERAGE(C10:N10)</f>
        <v>32.733333333333341</v>
      </c>
      <c r="C10" s="32">
        <v>31.2</v>
      </c>
      <c r="D10" s="32">
        <v>31.7</v>
      </c>
      <c r="E10" s="32">
        <v>33</v>
      </c>
      <c r="F10" s="32">
        <v>34.200000000000003</v>
      </c>
      <c r="G10" s="32">
        <v>33.799999999999997</v>
      </c>
      <c r="H10" s="32">
        <v>33.799999999999997</v>
      </c>
      <c r="I10" s="32">
        <v>33.6</v>
      </c>
      <c r="J10" s="32">
        <v>33.1</v>
      </c>
      <c r="K10" s="32">
        <v>32</v>
      </c>
      <c r="L10" s="32">
        <v>32</v>
      </c>
      <c r="M10" s="32">
        <v>32.299999999999997</v>
      </c>
      <c r="N10" s="32">
        <v>32.1</v>
      </c>
      <c r="O10" s="8" t="s">
        <v>39</v>
      </c>
    </row>
    <row r="11" spans="1:37" s="1" customFormat="1" ht="22.9" customHeight="1" x14ac:dyDescent="0.25">
      <c r="A11" s="17" t="s">
        <v>7</v>
      </c>
      <c r="B11" s="18">
        <f>AVERAGE(C11:N11)</f>
        <v>32.349999999999994</v>
      </c>
      <c r="C11" s="32">
        <v>32.200000000000003</v>
      </c>
      <c r="D11" s="32">
        <v>31.6</v>
      </c>
      <c r="E11" s="32">
        <v>32.4</v>
      </c>
      <c r="F11" s="32">
        <v>33</v>
      </c>
      <c r="G11" s="32">
        <v>32.700000000000003</v>
      </c>
      <c r="H11" s="32">
        <v>32.6</v>
      </c>
      <c r="I11" s="32">
        <v>32.5</v>
      </c>
      <c r="J11" s="32">
        <v>32.1</v>
      </c>
      <c r="K11" s="32">
        <v>32.5</v>
      </c>
      <c r="L11" s="32">
        <v>32.200000000000003</v>
      </c>
      <c r="M11" s="32">
        <v>32</v>
      </c>
      <c r="N11" s="32">
        <v>32.4</v>
      </c>
      <c r="O11" s="8" t="s">
        <v>40</v>
      </c>
    </row>
    <row r="12" spans="1:37" s="1" customFormat="1" ht="22.9" customHeight="1" x14ac:dyDescent="0.25">
      <c r="A12" s="17" t="s">
        <v>3</v>
      </c>
      <c r="B12" s="18">
        <f>AVERAGE(C12:N12)</f>
        <v>32.466666666666669</v>
      </c>
      <c r="C12" s="32">
        <v>32.700000000000003</v>
      </c>
      <c r="D12" s="32">
        <v>32.4</v>
      </c>
      <c r="E12" s="32">
        <v>32.4</v>
      </c>
      <c r="F12" s="32">
        <v>33.200000000000003</v>
      </c>
      <c r="G12" s="32">
        <v>32.6</v>
      </c>
      <c r="H12" s="32">
        <v>32.6</v>
      </c>
      <c r="I12" s="32">
        <v>32.4</v>
      </c>
      <c r="J12" s="32">
        <v>32.200000000000003</v>
      </c>
      <c r="K12" s="32">
        <v>32</v>
      </c>
      <c r="L12" s="32">
        <v>32.1</v>
      </c>
      <c r="M12" s="32">
        <v>32.6</v>
      </c>
      <c r="N12" s="32">
        <v>32.4</v>
      </c>
      <c r="O12" s="8" t="s">
        <v>41</v>
      </c>
    </row>
    <row r="13" spans="1:37" s="1" customFormat="1" ht="19.5" customHeight="1" x14ac:dyDescent="0.25">
      <c r="A13" s="15" t="s">
        <v>42</v>
      </c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8" t="s">
        <v>43</v>
      </c>
    </row>
    <row r="14" spans="1:37" s="1" customFormat="1" ht="22.9" customHeight="1" x14ac:dyDescent="0.25">
      <c r="A14" s="17" t="s">
        <v>1</v>
      </c>
      <c r="B14" s="18">
        <f>AVERAGE(C14:N14)</f>
        <v>23.983333333333331</v>
      </c>
      <c r="C14" s="32">
        <v>23.5</v>
      </c>
      <c r="D14" s="32">
        <v>24.5</v>
      </c>
      <c r="E14" s="32">
        <v>24</v>
      </c>
      <c r="F14" s="32">
        <v>24.4</v>
      </c>
      <c r="G14" s="32">
        <v>23.5</v>
      </c>
      <c r="H14" s="32">
        <v>24.1</v>
      </c>
      <c r="I14" s="32">
        <v>24.2</v>
      </c>
      <c r="J14" s="32">
        <v>24.2</v>
      </c>
      <c r="K14" s="32">
        <v>24</v>
      </c>
      <c r="L14" s="32">
        <v>23.4</v>
      </c>
      <c r="M14" s="32">
        <v>24.5</v>
      </c>
      <c r="N14" s="32">
        <v>23.5</v>
      </c>
      <c r="O14" s="8" t="s">
        <v>2</v>
      </c>
    </row>
    <row r="15" spans="1:37" s="1" customFormat="1" ht="22.9" customHeight="1" x14ac:dyDescent="0.25">
      <c r="A15" s="17" t="s">
        <v>4</v>
      </c>
      <c r="B15" s="18">
        <f>AVERAGE(C15:N15)</f>
        <v>23.458333333333332</v>
      </c>
      <c r="C15" s="32">
        <v>21.3</v>
      </c>
      <c r="D15" s="32">
        <v>21.7</v>
      </c>
      <c r="E15" s="32">
        <v>23.9</v>
      </c>
      <c r="F15" s="32">
        <v>24.5</v>
      </c>
      <c r="G15" s="32">
        <v>24.1</v>
      </c>
      <c r="H15" s="32">
        <v>23.6</v>
      </c>
      <c r="I15" s="32">
        <v>23.4</v>
      </c>
      <c r="J15" s="32">
        <v>23.4</v>
      </c>
      <c r="K15" s="32">
        <v>23.6</v>
      </c>
      <c r="L15" s="32">
        <v>23.6</v>
      </c>
      <c r="M15" s="32">
        <v>24.4</v>
      </c>
      <c r="N15" s="32">
        <v>24</v>
      </c>
      <c r="O15" s="8" t="s">
        <v>5</v>
      </c>
    </row>
    <row r="16" spans="1:37" s="1" customFormat="1" ht="22.9" customHeight="1" x14ac:dyDescent="0.2">
      <c r="A16" s="17" t="s">
        <v>6</v>
      </c>
      <c r="B16" s="18">
        <f>AVERAGE(C16:N16)</f>
        <v>23.566666666666666</v>
      </c>
      <c r="C16" s="32">
        <v>23.2</v>
      </c>
      <c r="D16" s="32">
        <v>24</v>
      </c>
      <c r="E16" s="32">
        <v>23.4</v>
      </c>
      <c r="F16" s="32">
        <v>24.9</v>
      </c>
      <c r="G16" s="32">
        <v>23.7</v>
      </c>
      <c r="H16" s="32">
        <v>24.1</v>
      </c>
      <c r="I16" s="32">
        <v>22.5</v>
      </c>
      <c r="J16" s="32">
        <v>22.8</v>
      </c>
      <c r="K16" s="32">
        <v>23.2</v>
      </c>
      <c r="L16" s="32">
        <v>23.6</v>
      </c>
      <c r="M16" s="32">
        <v>23.4</v>
      </c>
      <c r="N16" s="32">
        <v>24</v>
      </c>
      <c r="O16" s="8" t="s">
        <v>39</v>
      </c>
      <c r="AJ16" s="20" t="s">
        <v>44</v>
      </c>
      <c r="AK16" s="20" t="s">
        <v>45</v>
      </c>
    </row>
    <row r="17" spans="1:37" s="1" customFormat="1" ht="22.9" customHeight="1" x14ac:dyDescent="0.25">
      <c r="A17" s="17" t="s">
        <v>7</v>
      </c>
      <c r="B17" s="18">
        <f>AVERAGE(C17:N17)</f>
        <v>22.908333333333331</v>
      </c>
      <c r="C17" s="32">
        <v>22.8</v>
      </c>
      <c r="D17" s="32">
        <v>23.2</v>
      </c>
      <c r="E17" s="32">
        <v>24</v>
      </c>
      <c r="F17" s="32">
        <v>23.5</v>
      </c>
      <c r="G17" s="32">
        <v>23.6</v>
      </c>
      <c r="H17" s="32">
        <v>22.4</v>
      </c>
      <c r="I17" s="32">
        <v>21.3</v>
      </c>
      <c r="J17" s="32">
        <v>22.1</v>
      </c>
      <c r="K17" s="32">
        <v>22.5</v>
      </c>
      <c r="L17" s="32">
        <v>23.8</v>
      </c>
      <c r="M17" s="32">
        <v>22.2</v>
      </c>
      <c r="N17" s="32">
        <v>23.5</v>
      </c>
      <c r="O17" s="8" t="s">
        <v>40</v>
      </c>
      <c r="AH17" s="3" t="s">
        <v>1</v>
      </c>
      <c r="AJ17" s="18">
        <f>B8</f>
        <v>32.824999999999996</v>
      </c>
      <c r="AK17" s="18">
        <f>B14</f>
        <v>23.983333333333331</v>
      </c>
    </row>
    <row r="18" spans="1:37" s="1" customFormat="1" ht="22.9" customHeight="1" x14ac:dyDescent="0.25">
      <c r="A18" s="21" t="s">
        <v>3</v>
      </c>
      <c r="B18" s="22">
        <f>AVERAGE(C18:N18)</f>
        <v>23.008333333333336</v>
      </c>
      <c r="C18" s="33">
        <v>22.6</v>
      </c>
      <c r="D18" s="34">
        <v>24</v>
      </c>
      <c r="E18" s="33">
        <v>23.1</v>
      </c>
      <c r="F18" s="33">
        <v>23.2</v>
      </c>
      <c r="G18" s="33">
        <v>21.4</v>
      </c>
      <c r="H18" s="33">
        <v>22.4</v>
      </c>
      <c r="I18" s="33">
        <v>22.4</v>
      </c>
      <c r="J18" s="33">
        <v>21.6</v>
      </c>
      <c r="K18" s="33">
        <v>22.6</v>
      </c>
      <c r="L18" s="33">
        <v>25.4</v>
      </c>
      <c r="M18" s="33">
        <v>23.2</v>
      </c>
      <c r="N18" s="33">
        <v>24.2</v>
      </c>
      <c r="O18" s="35" t="s">
        <v>41</v>
      </c>
      <c r="AH18" s="3" t="s">
        <v>4</v>
      </c>
      <c r="AJ18" s="18">
        <f>B9</f>
        <v>33.491666666666667</v>
      </c>
      <c r="AK18" s="18">
        <f>B15</f>
        <v>23.458333333333332</v>
      </c>
    </row>
    <row r="19" spans="1:37" s="1" customFormat="1" ht="14.25" customHeight="1" x14ac:dyDescent="0.25">
      <c r="A19" s="2" t="s">
        <v>20</v>
      </c>
      <c r="B19" s="23"/>
      <c r="O19" s="36" t="s">
        <v>21</v>
      </c>
      <c r="AH19" s="3" t="s">
        <v>6</v>
      </c>
      <c r="AJ19" s="18">
        <f>B10</f>
        <v>32.733333333333341</v>
      </c>
      <c r="AK19" s="18">
        <f>B16</f>
        <v>23.566666666666666</v>
      </c>
    </row>
    <row r="20" spans="1:37" s="1" customFormat="1" ht="15.75" x14ac:dyDescent="0.25">
      <c r="A20" s="2"/>
      <c r="B20" s="23"/>
      <c r="O20" s="24"/>
      <c r="AH20" s="3" t="s">
        <v>7</v>
      </c>
      <c r="AJ20" s="18">
        <f>B11</f>
        <v>32.349999999999994</v>
      </c>
      <c r="AK20" s="18">
        <f>B17</f>
        <v>22.908333333333331</v>
      </c>
    </row>
    <row r="21" spans="1:37" x14ac:dyDescent="0.25">
      <c r="AH21" s="3" t="s">
        <v>3</v>
      </c>
      <c r="AI21" s="1"/>
      <c r="AJ21" s="18">
        <f>B12</f>
        <v>32.466666666666669</v>
      </c>
      <c r="AK21" s="18">
        <f>B18</f>
        <v>23.008333333333336</v>
      </c>
    </row>
    <row r="22" spans="1:37" x14ac:dyDescent="0.25">
      <c r="AH22" s="26"/>
      <c r="AI22" s="1"/>
      <c r="AJ22" s="1"/>
      <c r="AK22" s="1"/>
    </row>
    <row r="24" spans="1:37" s="1" customFormat="1" ht="15.75" x14ac:dyDescent="0.25">
      <c r="A24" s="2"/>
      <c r="B24" s="23"/>
      <c r="O24" s="24"/>
    </row>
    <row r="25" spans="1:37" s="1" customFormat="1" ht="12.75" x14ac:dyDescent="0.25"/>
    <row r="26" spans="1:37" s="1" customFormat="1" ht="12.75" x14ac:dyDescent="0.25">
      <c r="A26" s="27"/>
    </row>
    <row r="27" spans="1:37" s="1" customFormat="1" ht="12.75" x14ac:dyDescent="0.25">
      <c r="A27" s="27"/>
      <c r="B27" s="28"/>
    </row>
    <row r="28" spans="1:37" s="1" customFormat="1" ht="12.75" x14ac:dyDescent="0.25">
      <c r="A28" s="3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37" s="1" customFormat="1" ht="12.75" x14ac:dyDescent="0.25">
      <c r="A29" s="3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37" s="1" customFormat="1" ht="12.75" x14ac:dyDescent="0.25">
      <c r="A30" s="3"/>
      <c r="B30" s="28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Q30" s="4"/>
    </row>
    <row r="31" spans="1:37" s="1" customFormat="1" ht="12.75" x14ac:dyDescent="0.25">
      <c r="A31" s="3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37" s="1" customFormat="1" ht="12.75" x14ac:dyDescent="0.2">
      <c r="A32" s="3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26"/>
    </row>
    <row r="33" spans="1:14" s="1" customFormat="1" ht="12.75" x14ac:dyDescent="0.25">
      <c r="A33" s="3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s="1" customFormat="1" ht="12.75" x14ac:dyDescent="0.25">
      <c r="A34" s="3"/>
    </row>
    <row r="35" spans="1:14" s="1" customFormat="1" ht="12.75" x14ac:dyDescent="0.25">
      <c r="A35" s="3"/>
      <c r="B35" s="28"/>
    </row>
    <row r="36" spans="1:14" s="1" customFormat="1" ht="12.75" x14ac:dyDescent="0.25">
      <c r="A36" s="3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s="1" customFormat="1" ht="12.75" x14ac:dyDescent="0.25">
      <c r="A37" s="3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s="1" customFormat="1" ht="12.75" x14ac:dyDescent="0.25">
      <c r="A38" s="3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s="1" customFormat="1" ht="12.75" x14ac:dyDescent="0.25">
      <c r="A39" s="3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4" s="1" customFormat="1" ht="12.75" x14ac:dyDescent="0.25">
      <c r="A40" s="3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s="1" customFormat="1" ht="12.75" x14ac:dyDescent="0.25"/>
    <row r="42" spans="1:14" s="1" customFormat="1" ht="12.75" x14ac:dyDescent="0.25"/>
    <row r="43" spans="1:14" s="1" customFormat="1" ht="12.75" x14ac:dyDescent="0.25"/>
    <row r="44" spans="1:14" s="1" customFormat="1" ht="12.75" x14ac:dyDescent="0.25"/>
  </sheetData>
  <protectedRanges>
    <protectedRange sqref="C13:N13 M7:N7 C7:I7 K7" name="Range1_1"/>
    <protectedRange sqref="C8:N12" name="Range1_1_1_1_1"/>
    <protectedRange sqref="C14:N17" name="Range1_1_2_1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U8:WWF18 C8:N18 JI8:JT18 TE8:TP18 ADA8:ADL18 AMW8:ANH18 AWS8:AXD18 BGO8:BGZ18 BQK8:BQV18 CAG8:CAR18 CKC8:CKN18 CTY8:CUJ18 DDU8:DEF18 DNQ8:DOB18 DXM8:DXX18 EHI8:EHT18 ERE8:ERP18 FBA8:FBL18 FKW8:FLH18 FUS8:FVD18 GEO8:GEZ18 GOK8:GOV18 GYG8:GYR18 HIC8:HIN18 HRY8:HSJ18 IBU8:ICF18 ILQ8:IMB18 IVM8:IVX18 JFI8:JFT18 JPE8:JPP18 JZA8:JZL18 KIW8:KJH18 KSS8:KTD18 LCO8:LCZ18 LMK8:LMV18 LWG8:LWR18 MGC8:MGN18 MPY8:MQJ18 MZU8:NAF18 NJQ8:NKB18 NTM8:NTX18 ODI8:ODT18 ONE8:ONP18 OXA8:OXL18 PGW8:PHH18 PQS8:PRD18 QAO8:QAZ18 QKK8:QKV18 QUG8:QUR18 REC8:REN18 RNY8:ROJ18 RXU8:RYF18 SHQ8:SIB18 SRM8:SRX18 TBI8:TBT18 TLE8:TLP18 TVA8:TVL18 UEW8:UFH18 UOS8:UPD18 UYO8:UYZ18 VIK8:VIV18 VSG8:VSR18 WCC8:WCN18 WLY8:WMJ18" xr:uid="{00000000-0002-0000-0100-000000000000}">
      <formula1>0</formula1>
      <formula2>1000</formula2>
    </dataValidation>
  </dataValidations>
  <pageMargins left="0.7" right="0.7" top="0.75" bottom="0.75" header="0.3" footer="0.3"/>
  <pageSetup scale="55" orientation="portrait" horizontalDpi="4294967295" verticalDpi="4294967295" r:id="rId1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47</v>
      </c>
      <c r="K3" t="s">
        <v>46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37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37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40">
        <v>2732</v>
      </c>
      <c r="K49" s="38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1.2</vt:lpstr>
      <vt:lpstr>Sheet1</vt:lpstr>
      <vt:lpstr>'1.2'!Print_Area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2024-05-06T08:36:40Z</cp:lastPrinted>
  <dcterms:created xsi:type="dcterms:W3CDTF">2019-04-10T06:39:10Z</dcterms:created>
  <dcterms:modified xsi:type="dcterms:W3CDTF">2024-05-06T08:37:05Z</dcterms:modified>
</cp:coreProperties>
</file>