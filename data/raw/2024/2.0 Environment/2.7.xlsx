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.ENVIRONMENT\"/>
    </mc:Choice>
  </mc:AlternateContent>
  <xr:revisionPtr revIDLastSave="0" documentId="13_ncr:1_{1D47B8DF-8936-45CE-9A0A-A217C1CE6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7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/EjzYoigixdu7kfrWrDIPxUPLvw=="/>
    </ext>
  </extLst>
</workbook>
</file>

<file path=xl/calcChain.xml><?xml version="1.0" encoding="utf-8"?>
<calcChain xmlns="http://schemas.openxmlformats.org/spreadsheetml/2006/main">
  <c r="O9" i="9" l="1"/>
  <c r="O5" i="9"/>
  <c r="O6" i="9"/>
  <c r="O7" i="9"/>
  <c r="O8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</calcChain>
</file>

<file path=xl/sharedStrings.xml><?xml version="1.0" encoding="utf-8"?>
<sst xmlns="http://schemas.openxmlformats.org/spreadsheetml/2006/main" count="45" uniqueCount="43">
  <si>
    <t>May</t>
  </si>
  <si>
    <t>Source: Waste Management Corporation Limited (WAMCO)</t>
  </si>
  <si>
    <t>Category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</si>
  <si>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</si>
  <si>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</si>
  <si>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</si>
  <si>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</si>
  <si>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</si>
  <si>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</si>
  <si>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</si>
  <si>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</si>
  <si>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</si>
  <si>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</si>
  <si>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</si>
  <si>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</si>
  <si>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TYPE OF WASTE (TONNES)</t>
  </si>
  <si>
    <t>Bulky Waste</t>
  </si>
  <si>
    <t>Expired waste</t>
  </si>
  <si>
    <t>Medical/Hazardous</t>
  </si>
  <si>
    <t>Wet waste</t>
  </si>
  <si>
    <t xml:space="preserve">Dry Waste </t>
  </si>
  <si>
    <t>Plastic</t>
  </si>
  <si>
    <t>Wood/ Sawdust/Leaves</t>
  </si>
  <si>
    <t>Sand/ CnD</t>
  </si>
  <si>
    <t>Metal</t>
  </si>
  <si>
    <t>Mixed Waste</t>
  </si>
  <si>
    <t>Paper/Cardboard</t>
  </si>
  <si>
    <t>Sludge/ Sewage</t>
  </si>
  <si>
    <t>Glass</t>
  </si>
  <si>
    <t>Used Oil</t>
  </si>
  <si>
    <t>WASTE TONNAGE</t>
  </si>
  <si>
    <t>WAMCO</t>
  </si>
  <si>
    <t>Private</t>
  </si>
  <si>
    <t>Male' City Council</t>
  </si>
  <si>
    <t>Government/SOE ( State-Owned Enterprises)</t>
  </si>
  <si>
    <t>HOUSEHOLD COLLECTION</t>
  </si>
  <si>
    <t>HH Zone 1</t>
  </si>
  <si>
    <t>HH Zone 2</t>
  </si>
  <si>
    <t>HH Zone 3</t>
  </si>
  <si>
    <t>HH Zone 4</t>
  </si>
  <si>
    <t>HH Zone 5</t>
  </si>
  <si>
    <t>HH Zone 6</t>
  </si>
  <si>
    <t>Table 2.7: Monthly waste collected, Greater Male' Area,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</si>
</sst>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5" x14ac:knownFonts="1">
    <font>
      <sz val="11"/>
      <color theme="1"/>
      <name val="Arial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164" fontId="2" fillId="0" borderId="1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1" xfId="0" applyFont="1" applyFill="1" applyBorder="1"/>
    <xf numFmtId="0" fontId="6" fillId="2" borderId="1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 wrapText="1"/>
    </xf>
    <xf numFmtId="3" fontId="13" fillId="2" borderId="5" xfId="0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3" fontId="13" fillId="2" borderId="6" xfId="0" applyNumberFormat="1" applyFont="1" applyFill="1" applyBorder="1" applyAlignment="1">
      <alignment horizontal="right" vertical="center"/>
    </xf>
    <xf numFmtId="3" fontId="13" fillId="2" borderId="7" xfId="0" applyNumberFormat="1" applyFont="1" applyFill="1" applyBorder="1" applyAlignment="1">
      <alignment horizontal="right" vertical="center"/>
    </xf>
    <xf numFmtId="3" fontId="13" fillId="2" borderId="8" xfId="0" applyNumberFormat="1" applyFont="1" applyFill="1" applyBorder="1" applyAlignment="1">
      <alignment horizontal="right" vertical="center"/>
    </xf>
    <xf numFmtId="3" fontId="13" fillId="2" borderId="10" xfId="0" applyNumberFormat="1" applyFont="1" applyFill="1" applyBorder="1" applyAlignment="1">
      <alignment horizontal="right" vertical="center"/>
    </xf>
    <xf numFmtId="3" fontId="13" fillId="2" borderId="9" xfId="0" applyNumberFormat="1" applyFont="1" applyFill="1" applyBorder="1" applyAlignment="1">
      <alignment horizontal="right" vertical="center"/>
    </xf>
    <xf numFmtId="3" fontId="13" fillId="2" borderId="11" xfId="0" applyNumberFormat="1" applyFont="1" applyFill="1" applyBorder="1" applyAlignment="1">
      <alignment horizontal="right" vertical="center"/>
    </xf>
    <xf numFmtId="3" fontId="13" fillId="2" borderId="2" xfId="0" applyNumberFormat="1" applyFont="1" applyFill="1" applyBorder="1" applyAlignment="1">
      <alignment horizontal="right" vertical="center"/>
    </xf>
    <xf numFmtId="3" fontId="13" fillId="2" borderId="12" xfId="0" applyNumberFormat="1" applyFont="1" applyFill="1" applyBorder="1" applyAlignment="1">
      <alignment horizontal="right" vertical="center"/>
    </xf>
    <xf numFmtId="3" fontId="14" fillId="2" borderId="17" xfId="0" applyNumberFormat="1" applyFont="1" applyFill="1" applyBorder="1" applyAlignment="1">
      <alignment horizontal="right" vertical="center"/>
    </xf>
    <xf numFmtId="3" fontId="14" fillId="2" borderId="8" xfId="0" applyNumberFormat="1" applyFont="1" applyFill="1" applyBorder="1" applyAlignment="1">
      <alignment horizontal="right" vertical="center"/>
    </xf>
    <xf numFmtId="3" fontId="13" fillId="2" borderId="3" xfId="0" applyNumberFormat="1" applyFont="1" applyFill="1" applyBorder="1" applyAlignment="1">
      <alignment horizontal="right" vertical="center"/>
    </xf>
    <xf numFmtId="3" fontId="13" fillId="2" borderId="18" xfId="0" applyNumberFormat="1" applyFont="1" applyFill="1" applyBorder="1" applyAlignment="1">
      <alignment horizontal="right" vertical="center"/>
    </xf>
    <xf numFmtId="3" fontId="14" fillId="2" borderId="15" xfId="0" applyNumberFormat="1" applyFont="1" applyFill="1" applyBorder="1" applyAlignment="1">
      <alignment horizontal="right" vertical="center"/>
    </xf>
    <xf numFmtId="3" fontId="14" fillId="2" borderId="16" xfId="0" applyNumberFormat="1" applyFont="1" applyFill="1" applyBorder="1" applyAlignment="1">
      <alignment horizontal="right" vertical="center"/>
    </xf>
    <xf numFmtId="3" fontId="14" fillId="2" borderId="14" xfId="0" applyNumberFormat="1" applyFont="1" applyFill="1" applyBorder="1" applyAlignment="1">
      <alignment horizontal="right" vertical="center"/>
    </xf>
    <xf numFmtId="3" fontId="14" fillId="2" borderId="13" xfId="0" applyNumberFormat="1" applyFont="1" applyFill="1" applyBorder="1" applyAlignment="1">
      <alignment horizontal="right" vertical="center"/>
    </xf>
    <xf numFmtId="2" fontId="11" fillId="2" borderId="13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right" vertical="center"/>
    </xf>
    <xf numFmtId="0" fontId="12" fillId="2" borderId="21" xfId="0" applyFont="1" applyFill="1" applyBorder="1" applyAlignment="1">
      <alignment horizontal="right" vertical="center"/>
    </xf>
    <xf numFmtId="0" fontId="12" fillId="2" borderId="23" xfId="0" applyFont="1" applyFill="1" applyBorder="1" applyAlignment="1">
      <alignment horizontal="right" vertical="center"/>
    </xf>
    <xf numFmtId="0" fontId="12" fillId="2" borderId="24" xfId="0" applyFont="1" applyFill="1" applyBorder="1" applyAlignment="1">
      <alignment horizontal="right" vertical="center"/>
    </xf>
    <xf numFmtId="0" fontId="12" fillId="2" borderId="25" xfId="0" applyFont="1" applyFill="1" applyBorder="1" applyAlignment="1">
      <alignment horizontal="right" vertical="center"/>
    </xf>
    <xf numFmtId="3" fontId="14" fillId="2" borderId="27" xfId="0" applyNumberFormat="1" applyFont="1" applyFill="1" applyBorder="1" applyAlignment="1">
      <alignment horizontal="right" vertical="center"/>
    </xf>
    <xf numFmtId="3" fontId="14" fillId="2" borderId="29" xfId="0" applyNumberFormat="1" applyFont="1" applyFill="1" applyBorder="1" applyAlignment="1">
      <alignment horizontal="right" vertical="center"/>
    </xf>
    <xf numFmtId="3" fontId="14" fillId="2" borderId="31" xfId="0" applyNumberFormat="1" applyFont="1" applyFill="1" applyBorder="1" applyAlignment="1">
      <alignment horizontal="right" vertical="center"/>
    </xf>
    <xf numFmtId="0" fontId="9" fillId="2" borderId="33" xfId="0" applyFont="1" applyFill="1" applyBorder="1" applyAlignment="1">
      <alignment horizontal="center" wrapText="1"/>
    </xf>
    <xf numFmtId="3" fontId="13" fillId="2" borderId="34" xfId="0" applyNumberFormat="1" applyFont="1" applyFill="1" applyBorder="1" applyAlignment="1">
      <alignment horizontal="right" vertical="center"/>
    </xf>
    <xf numFmtId="3" fontId="13" fillId="2" borderId="33" xfId="0" applyNumberFormat="1" applyFont="1" applyFill="1" applyBorder="1" applyAlignment="1">
      <alignment horizontal="right" vertical="center"/>
    </xf>
    <xf numFmtId="3" fontId="13" fillId="2" borderId="35" xfId="0" applyNumberFormat="1" applyFont="1" applyFill="1" applyBorder="1" applyAlignment="1">
      <alignment horizontal="right" vertical="center"/>
    </xf>
    <xf numFmtId="3" fontId="13" fillId="2" borderId="36" xfId="0" applyNumberFormat="1" applyFont="1" applyFill="1" applyBorder="1" applyAlignment="1">
      <alignment horizontal="right" vertical="center"/>
    </xf>
    <xf numFmtId="3" fontId="13" fillId="2" borderId="37" xfId="0" applyNumberFormat="1" applyFont="1" applyFill="1" applyBorder="1" applyAlignment="1">
      <alignment horizontal="right" vertical="center"/>
    </xf>
    <xf numFmtId="3" fontId="14" fillId="2" borderId="38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EAFAFA"/>
      <color rgb="FFB9EEED"/>
      <color rgb="FFFFFFFF"/>
      <color rgb="FF23908D"/>
      <color rgb="FFFFDDDD"/>
      <color rgb="FFFFC9C9"/>
      <color rgb="FFFFAFAF"/>
      <color rgb="FFFFF3F3"/>
      <color rgb="FF64DAD7"/>
      <color rgb="FFFFAA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9F5D-2943-4218-B1CD-624580639382}">
  <sheetPr>
    <tabColor rgb="FF92D050"/>
  </sheetPr>
  <dimension ref="A1:O31"/>
  <sheetViews>
    <sheetView tabSelected="1" zoomScaleNormal="100" workbookViewId="0">
      <selection activeCell="R11" sqref="R11"/>
    </sheetView>
  </sheetViews>
  <sheetFormatPr defaultRowHeight="15" x14ac:dyDescent="0.25"/>
  <cols>
    <col min="1" max="1" width="22.25" style="2" bestFit="1" customWidth="1"/>
    <col min="2" max="2" width="25.625" style="2" customWidth="1"/>
    <col min="3" max="14" width="9.75" style="2" customWidth="1"/>
    <col min="15" max="15" width="10.375" style="2" customWidth="1"/>
    <col min="16" max="16384" width="9" style="2"/>
  </cols>
  <sheetData>
    <row r="1" spans="1:15" x14ac:dyDescent="0.25">
      <c r="O1" s="3"/>
    </row>
    <row r="2" spans="1:15" ht="18.75" x14ac:dyDescent="0.25">
      <c r="A2" s="49" t="s">
        <v>42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16.5" thickBot="1" x14ac:dyDescent="0.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5.75" thickBot="1" x14ac:dyDescent="0.3">
      <c r="A4" s="32" t="s">
        <v>2</v>
      </c>
      <c r="B4" s="33"/>
      <c r="C4" s="34" t="s">
        <v>3</v>
      </c>
      <c r="D4" s="35" t="s">
        <v>4</v>
      </c>
      <c r="E4" s="36" t="s">
        <v>5</v>
      </c>
      <c r="F4" s="37" t="s">
        <v>6</v>
      </c>
      <c r="G4" s="34" t="s">
        <v>0</v>
      </c>
      <c r="H4" s="35" t="s">
        <v>7</v>
      </c>
      <c r="I4" s="36" t="s">
        <v>8</v>
      </c>
      <c r="J4" s="34" t="s">
        <v>9</v>
      </c>
      <c r="K4" s="34" t="s">
        <v>10</v>
      </c>
      <c r="L4" s="34" t="s">
        <v>11</v>
      </c>
      <c r="M4" s="35" t="s">
        <v>12</v>
      </c>
      <c r="N4" s="36" t="s">
        <v>13</v>
      </c>
      <c r="O4" s="38" t="s">
        <v>14</v>
      </c>
    </row>
    <row r="5" spans="1:15" ht="16.5" customHeight="1" x14ac:dyDescent="0.25">
      <c r="A5" s="51" t="s">
        <v>15</v>
      </c>
      <c r="B5" s="4" t="s">
        <v>16</v>
      </c>
      <c r="C5" s="13">
        <v>2260.6999999999998</v>
      </c>
      <c r="D5" s="14">
        <v>1872.8</v>
      </c>
      <c r="E5" s="15">
        <v>2561.5</v>
      </c>
      <c r="F5" s="16">
        <v>1788.85</v>
      </c>
      <c r="G5" s="13">
        <v>1847.45</v>
      </c>
      <c r="H5" s="14">
        <v>1721.8</v>
      </c>
      <c r="I5" s="15">
        <v>1660.25</v>
      </c>
      <c r="J5" s="17">
        <v>1589.2</v>
      </c>
      <c r="K5" s="17">
        <v>1293.8499999999999</v>
      </c>
      <c r="L5" s="17">
        <v>1328.35</v>
      </c>
      <c r="M5" s="17">
        <v>1245.2</v>
      </c>
      <c r="N5" s="17">
        <v>1328.15</v>
      </c>
      <c r="O5" s="39">
        <f t="shared" ref="O5:O30" si="0">SUM(C5:N5)</f>
        <v>20498.100000000002</v>
      </c>
    </row>
    <row r="6" spans="1:15" ht="16.5" customHeight="1" x14ac:dyDescent="0.25">
      <c r="A6" s="52"/>
      <c r="B6" s="5" t="s">
        <v>17</v>
      </c>
      <c r="C6" s="18">
        <v>15.15</v>
      </c>
      <c r="D6" s="19">
        <v>9.4499999999999993</v>
      </c>
      <c r="E6" s="20">
        <v>22.2</v>
      </c>
      <c r="F6" s="21">
        <v>27.6</v>
      </c>
      <c r="G6" s="18">
        <v>26.75</v>
      </c>
      <c r="H6" s="19">
        <v>17.2</v>
      </c>
      <c r="I6" s="20">
        <v>14.8</v>
      </c>
      <c r="J6" s="22">
        <v>20.149999999999999</v>
      </c>
      <c r="K6" s="22">
        <v>27.2</v>
      </c>
      <c r="L6" s="22">
        <v>11.9</v>
      </c>
      <c r="M6" s="22">
        <v>31.4</v>
      </c>
      <c r="N6" s="22">
        <v>16</v>
      </c>
      <c r="O6" s="40">
        <f t="shared" si="0"/>
        <v>239.8</v>
      </c>
    </row>
    <row r="7" spans="1:15" ht="16.5" customHeight="1" x14ac:dyDescent="0.25">
      <c r="A7" s="52"/>
      <c r="B7" s="6" t="s">
        <v>18</v>
      </c>
      <c r="C7" s="18">
        <v>70.099999999999994</v>
      </c>
      <c r="D7" s="19">
        <v>71.5</v>
      </c>
      <c r="E7" s="20">
        <v>73.099999999999994</v>
      </c>
      <c r="F7" s="21">
        <v>60.25</v>
      </c>
      <c r="G7" s="18">
        <v>85</v>
      </c>
      <c r="H7" s="19">
        <v>98.5</v>
      </c>
      <c r="I7" s="20">
        <v>82</v>
      </c>
      <c r="J7" s="22">
        <v>59</v>
      </c>
      <c r="K7" s="22">
        <v>88.35</v>
      </c>
      <c r="L7" s="22">
        <v>99.5</v>
      </c>
      <c r="M7" s="22">
        <v>105.5</v>
      </c>
      <c r="N7" s="22">
        <v>88</v>
      </c>
      <c r="O7" s="40">
        <f t="shared" si="0"/>
        <v>980.80000000000007</v>
      </c>
    </row>
    <row r="8" spans="1:15" ht="16.5" customHeight="1" x14ac:dyDescent="0.25">
      <c r="A8" s="52"/>
      <c r="B8" s="5" t="s">
        <v>19</v>
      </c>
      <c r="C8" s="18">
        <v>5068.2</v>
      </c>
      <c r="D8" s="19">
        <v>4753.5</v>
      </c>
      <c r="E8" s="20">
        <v>5648.25</v>
      </c>
      <c r="F8" s="21">
        <v>5430.25</v>
      </c>
      <c r="G8" s="18">
        <v>5310.15</v>
      </c>
      <c r="H8" s="19">
        <v>5070.95</v>
      </c>
      <c r="I8" s="20">
        <v>4802.1000000000004</v>
      </c>
      <c r="J8" s="22">
        <v>4365</v>
      </c>
      <c r="K8" s="22">
        <v>4081.3</v>
      </c>
      <c r="L8" s="22">
        <v>3904.9</v>
      </c>
      <c r="M8" s="22">
        <v>3775.9</v>
      </c>
      <c r="N8" s="22">
        <v>3646.6</v>
      </c>
      <c r="O8" s="40">
        <f t="shared" si="0"/>
        <v>55857.100000000006</v>
      </c>
    </row>
    <row r="9" spans="1:15" ht="16.5" customHeight="1" x14ac:dyDescent="0.25">
      <c r="A9" s="52"/>
      <c r="B9" s="5" t="s">
        <v>20</v>
      </c>
      <c r="C9" s="18">
        <v>17.25</v>
      </c>
      <c r="D9" s="19">
        <v>17.25</v>
      </c>
      <c r="E9" s="20">
        <v>11.25</v>
      </c>
      <c r="F9" s="21">
        <v>0</v>
      </c>
      <c r="G9" s="18">
        <v>0</v>
      </c>
      <c r="H9" s="19">
        <v>0</v>
      </c>
      <c r="I9" s="20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40">
        <f t="shared" si="0"/>
        <v>45.75</v>
      </c>
    </row>
    <row r="10" spans="1:15" ht="16.5" customHeight="1" x14ac:dyDescent="0.25">
      <c r="A10" s="52"/>
      <c r="B10" s="5" t="s">
        <v>21</v>
      </c>
      <c r="C10" s="18">
        <v>76.400000000000006</v>
      </c>
      <c r="D10" s="19">
        <v>34.9</v>
      </c>
      <c r="E10" s="20">
        <v>37.549999999999997</v>
      </c>
      <c r="F10" s="21">
        <v>42.5</v>
      </c>
      <c r="G10" s="18">
        <v>53.2</v>
      </c>
      <c r="H10" s="19">
        <v>29.2</v>
      </c>
      <c r="I10" s="20">
        <v>51.75</v>
      </c>
      <c r="J10" s="22">
        <v>69.5</v>
      </c>
      <c r="K10" s="22">
        <v>69.400000000000006</v>
      </c>
      <c r="L10" s="22">
        <v>75.900000000000006</v>
      </c>
      <c r="M10" s="22">
        <v>80.8</v>
      </c>
      <c r="N10" s="22">
        <v>66.8</v>
      </c>
      <c r="O10" s="40">
        <f t="shared" si="0"/>
        <v>687.89999999999986</v>
      </c>
    </row>
    <row r="11" spans="1:15" ht="16.5" customHeight="1" x14ac:dyDescent="0.25">
      <c r="A11" s="52"/>
      <c r="B11" s="7" t="s">
        <v>22</v>
      </c>
      <c r="C11" s="18">
        <v>1273.5999999999999</v>
      </c>
      <c r="D11" s="19">
        <v>1109.25</v>
      </c>
      <c r="E11" s="20">
        <v>902.85</v>
      </c>
      <c r="F11" s="21">
        <v>628.20000000000005</v>
      </c>
      <c r="G11" s="18">
        <v>872.2</v>
      </c>
      <c r="H11" s="19">
        <v>896.4</v>
      </c>
      <c r="I11" s="20">
        <v>628.65</v>
      </c>
      <c r="J11" s="22">
        <v>851.85</v>
      </c>
      <c r="K11" s="22">
        <v>747.8</v>
      </c>
      <c r="L11" s="22">
        <v>798.85</v>
      </c>
      <c r="M11" s="22">
        <v>935</v>
      </c>
      <c r="N11" s="22">
        <v>1112.5</v>
      </c>
      <c r="O11" s="40">
        <f t="shared" si="0"/>
        <v>10757.15</v>
      </c>
    </row>
    <row r="12" spans="1:15" ht="16.5" customHeight="1" x14ac:dyDescent="0.25">
      <c r="A12" s="52"/>
      <c r="B12" s="5" t="s">
        <v>23</v>
      </c>
      <c r="C12" s="18">
        <v>6184.65</v>
      </c>
      <c r="D12" s="19">
        <v>5061.8999999999996</v>
      </c>
      <c r="E12" s="20">
        <v>3651.45</v>
      </c>
      <c r="F12" s="21">
        <v>1923.2</v>
      </c>
      <c r="G12" s="18">
        <v>4096.8999999999996</v>
      </c>
      <c r="H12" s="19">
        <v>3484.3</v>
      </c>
      <c r="I12" s="20">
        <v>2641.4</v>
      </c>
      <c r="J12" s="22">
        <v>3144.2</v>
      </c>
      <c r="K12" s="22">
        <v>2644.75</v>
      </c>
      <c r="L12" s="22">
        <v>1659.6</v>
      </c>
      <c r="M12" s="22">
        <v>1665.85</v>
      </c>
      <c r="N12" s="22">
        <v>2155.15</v>
      </c>
      <c r="O12" s="40">
        <f t="shared" si="0"/>
        <v>38313.35</v>
      </c>
    </row>
    <row r="13" spans="1:15" ht="16.5" customHeight="1" x14ac:dyDescent="0.25">
      <c r="A13" s="52"/>
      <c r="B13" s="5" t="s">
        <v>24</v>
      </c>
      <c r="C13" s="18">
        <v>80.849999999999994</v>
      </c>
      <c r="D13" s="19">
        <v>66.3</v>
      </c>
      <c r="E13" s="20">
        <v>28.7</v>
      </c>
      <c r="F13" s="21">
        <v>22.55</v>
      </c>
      <c r="G13" s="18">
        <v>24.85</v>
      </c>
      <c r="H13" s="19">
        <v>22.95</v>
      </c>
      <c r="I13" s="20">
        <v>20.75</v>
      </c>
      <c r="J13" s="22">
        <v>20.05</v>
      </c>
      <c r="K13" s="22">
        <v>23.45</v>
      </c>
      <c r="L13" s="22">
        <v>22.35</v>
      </c>
      <c r="M13" s="22">
        <v>45.6</v>
      </c>
      <c r="N13" s="22">
        <v>35.9</v>
      </c>
      <c r="O13" s="40">
        <f t="shared" si="0"/>
        <v>414.29999999999995</v>
      </c>
    </row>
    <row r="14" spans="1:15" ht="16.5" customHeight="1" x14ac:dyDescent="0.25">
      <c r="A14" s="52"/>
      <c r="B14" s="5" t="s">
        <v>25</v>
      </c>
      <c r="C14" s="18">
        <v>7669.5</v>
      </c>
      <c r="D14" s="19">
        <v>7081.65</v>
      </c>
      <c r="E14" s="20">
        <v>7505.25</v>
      </c>
      <c r="F14" s="21">
        <v>6349.85</v>
      </c>
      <c r="G14" s="18">
        <v>7118.9</v>
      </c>
      <c r="H14" s="19">
        <v>6843.4</v>
      </c>
      <c r="I14" s="20">
        <v>7478.95</v>
      </c>
      <c r="J14" s="22">
        <v>8147.65</v>
      </c>
      <c r="K14" s="22">
        <v>8017</v>
      </c>
      <c r="L14" s="22">
        <v>8899.9</v>
      </c>
      <c r="M14" s="22">
        <v>8910.9500000000007</v>
      </c>
      <c r="N14" s="22">
        <v>9452.1</v>
      </c>
      <c r="O14" s="40">
        <f t="shared" si="0"/>
        <v>93475.099999999991</v>
      </c>
    </row>
    <row r="15" spans="1:15" ht="16.5" customHeight="1" x14ac:dyDescent="0.25">
      <c r="A15" s="52"/>
      <c r="B15" s="5" t="s">
        <v>26</v>
      </c>
      <c r="C15" s="18">
        <v>799.35</v>
      </c>
      <c r="D15" s="19">
        <v>886.55</v>
      </c>
      <c r="E15" s="20">
        <v>831.35</v>
      </c>
      <c r="F15" s="21">
        <v>587.5</v>
      </c>
      <c r="G15" s="18">
        <v>571.70000000000005</v>
      </c>
      <c r="H15" s="19">
        <v>486.2</v>
      </c>
      <c r="I15" s="20">
        <v>462.9</v>
      </c>
      <c r="J15" s="22">
        <v>492.05</v>
      </c>
      <c r="K15" s="22">
        <v>424.55</v>
      </c>
      <c r="L15" s="22">
        <v>559.75</v>
      </c>
      <c r="M15" s="22">
        <v>533.6</v>
      </c>
      <c r="N15" s="22">
        <v>532.95000000000005</v>
      </c>
      <c r="O15" s="40">
        <f t="shared" si="0"/>
        <v>7168.45</v>
      </c>
    </row>
    <row r="16" spans="1:15" ht="16.5" customHeight="1" x14ac:dyDescent="0.25">
      <c r="A16" s="52"/>
      <c r="B16" s="5" t="s">
        <v>27</v>
      </c>
      <c r="C16" s="18">
        <v>9.75</v>
      </c>
      <c r="D16" s="19">
        <v>8.75</v>
      </c>
      <c r="E16" s="20">
        <v>6.75</v>
      </c>
      <c r="F16" s="21">
        <v>8.4</v>
      </c>
      <c r="G16" s="18">
        <v>8.0500000000000007</v>
      </c>
      <c r="H16" s="19">
        <v>11</v>
      </c>
      <c r="I16" s="20">
        <v>6.65</v>
      </c>
      <c r="J16" s="22">
        <v>10.3</v>
      </c>
      <c r="K16" s="22">
        <v>6.45</v>
      </c>
      <c r="L16" s="22">
        <v>8.85</v>
      </c>
      <c r="M16" s="22">
        <v>10.1</v>
      </c>
      <c r="N16" s="22">
        <v>6.65</v>
      </c>
      <c r="O16" s="40">
        <f t="shared" si="0"/>
        <v>101.7</v>
      </c>
    </row>
    <row r="17" spans="1:15" ht="16.5" customHeight="1" x14ac:dyDescent="0.25">
      <c r="A17" s="52"/>
      <c r="B17" s="6" t="s">
        <v>28</v>
      </c>
      <c r="C17" s="18">
        <v>5.85</v>
      </c>
      <c r="D17" s="19">
        <v>5.9</v>
      </c>
      <c r="E17" s="20">
        <v>5.85</v>
      </c>
      <c r="F17" s="21">
        <v>0</v>
      </c>
      <c r="G17" s="18">
        <v>6.7</v>
      </c>
      <c r="H17" s="19">
        <v>0</v>
      </c>
      <c r="I17" s="20">
        <v>1.5</v>
      </c>
      <c r="J17" s="22">
        <v>4.2</v>
      </c>
      <c r="K17" s="22">
        <v>0.35</v>
      </c>
      <c r="L17" s="22">
        <v>6.5</v>
      </c>
      <c r="M17" s="22">
        <v>3.7</v>
      </c>
      <c r="N17" s="22">
        <v>3.85</v>
      </c>
      <c r="O17" s="40">
        <f t="shared" si="0"/>
        <v>44.400000000000006</v>
      </c>
    </row>
    <row r="18" spans="1:15" ht="16.5" customHeight="1" x14ac:dyDescent="0.25">
      <c r="A18" s="52"/>
      <c r="B18" s="5" t="s">
        <v>29</v>
      </c>
      <c r="C18" s="18">
        <v>5.55</v>
      </c>
      <c r="D18" s="19">
        <v>0.7</v>
      </c>
      <c r="E18" s="20">
        <v>4.3499999999999996</v>
      </c>
      <c r="F18" s="21">
        <v>3</v>
      </c>
      <c r="G18" s="18">
        <v>9.6</v>
      </c>
      <c r="H18" s="19">
        <v>5.35</v>
      </c>
      <c r="I18" s="20">
        <v>2.2000000000000002</v>
      </c>
      <c r="J18" s="22">
        <v>2.25</v>
      </c>
      <c r="K18" s="22">
        <v>2.5499999999999998</v>
      </c>
      <c r="L18" s="22">
        <v>8.9499999999999993</v>
      </c>
      <c r="M18" s="22">
        <v>1.5</v>
      </c>
      <c r="N18" s="22">
        <v>3.55</v>
      </c>
      <c r="O18" s="40">
        <f t="shared" si="0"/>
        <v>49.55</v>
      </c>
    </row>
    <row r="19" spans="1:15" ht="16.5" customHeight="1" thickBot="1" x14ac:dyDescent="0.3">
      <c r="A19" s="53"/>
      <c r="B19" s="31" t="s">
        <v>14</v>
      </c>
      <c r="C19" s="29">
        <v>23536.9</v>
      </c>
      <c r="D19" s="30">
        <v>20980.400000000001</v>
      </c>
      <c r="E19" s="27">
        <v>21290.400000000001</v>
      </c>
      <c r="F19" s="28">
        <v>16872.150000000001</v>
      </c>
      <c r="G19" s="29">
        <v>20031.45</v>
      </c>
      <c r="H19" s="30">
        <v>18687.25</v>
      </c>
      <c r="I19" s="27">
        <v>17853.900000000001</v>
      </c>
      <c r="J19" s="23">
        <v>18775.400000000001</v>
      </c>
      <c r="K19" s="23">
        <v>17427</v>
      </c>
      <c r="L19" s="23">
        <v>17385.3</v>
      </c>
      <c r="M19" s="23">
        <v>17345.099999999999</v>
      </c>
      <c r="N19" s="23">
        <v>18448.2</v>
      </c>
      <c r="O19" s="41">
        <f t="shared" si="0"/>
        <v>228633.45</v>
      </c>
    </row>
    <row r="20" spans="1:15" x14ac:dyDescent="0.25">
      <c r="A20" s="51" t="s">
        <v>30</v>
      </c>
      <c r="B20" s="8" t="s">
        <v>31</v>
      </c>
      <c r="C20" s="13">
        <v>9390.1</v>
      </c>
      <c r="D20" s="14">
        <v>8582.4500000000007</v>
      </c>
      <c r="E20" s="15">
        <v>10745.95</v>
      </c>
      <c r="F20" s="16">
        <v>11022.2</v>
      </c>
      <c r="G20" s="13">
        <v>12455.35</v>
      </c>
      <c r="H20" s="14">
        <v>11494.25</v>
      </c>
      <c r="I20" s="15">
        <v>11349.75</v>
      </c>
      <c r="J20" s="24">
        <v>11999.2</v>
      </c>
      <c r="K20" s="24">
        <v>11591.95</v>
      </c>
      <c r="L20" s="24">
        <v>12258.35</v>
      </c>
      <c r="M20" s="24">
        <v>12252.25</v>
      </c>
      <c r="N20" s="24">
        <v>12608.65</v>
      </c>
      <c r="O20" s="39">
        <f t="shared" si="0"/>
        <v>135750.45000000001</v>
      </c>
    </row>
    <row r="21" spans="1:15" x14ac:dyDescent="0.25">
      <c r="A21" s="52"/>
      <c r="B21" s="6" t="s">
        <v>32</v>
      </c>
      <c r="C21" s="18">
        <v>12032.4</v>
      </c>
      <c r="D21" s="19">
        <v>10539.85</v>
      </c>
      <c r="E21" s="20">
        <v>8373.5</v>
      </c>
      <c r="F21" s="21">
        <v>3362.2</v>
      </c>
      <c r="G21" s="18">
        <v>4591.25</v>
      </c>
      <c r="H21" s="19">
        <v>3604.35</v>
      </c>
      <c r="I21" s="20">
        <v>3754.8</v>
      </c>
      <c r="J21" s="22">
        <v>3482.2</v>
      </c>
      <c r="K21" s="22">
        <v>2822.3</v>
      </c>
      <c r="L21" s="22">
        <v>2956.45</v>
      </c>
      <c r="M21" s="22">
        <v>2593.9</v>
      </c>
      <c r="N21" s="22">
        <v>2872.65</v>
      </c>
      <c r="O21" s="40">
        <f t="shared" si="0"/>
        <v>60985.85</v>
      </c>
    </row>
    <row r="22" spans="1:15" x14ac:dyDescent="0.25">
      <c r="A22" s="52"/>
      <c r="B22" s="9" t="s">
        <v>33</v>
      </c>
      <c r="C22" s="18">
        <v>2114.4</v>
      </c>
      <c r="D22" s="19">
        <v>1858.1</v>
      </c>
      <c r="E22" s="20">
        <v>1631.7</v>
      </c>
      <c r="F22" s="21">
        <v>1191.45</v>
      </c>
      <c r="G22" s="18">
        <v>1248.2</v>
      </c>
      <c r="H22" s="19">
        <v>1335.3</v>
      </c>
      <c r="I22" s="20">
        <v>1045.75</v>
      </c>
      <c r="J22" s="22">
        <v>941.55</v>
      </c>
      <c r="K22" s="22">
        <v>754.35</v>
      </c>
      <c r="L22" s="22">
        <v>774.7</v>
      </c>
      <c r="M22" s="22">
        <v>809.15</v>
      </c>
      <c r="N22" s="22">
        <v>974.55</v>
      </c>
      <c r="O22" s="40">
        <f t="shared" si="0"/>
        <v>14679.199999999999</v>
      </c>
    </row>
    <row r="23" spans="1:15" ht="25.5" x14ac:dyDescent="0.25">
      <c r="A23" s="52"/>
      <c r="B23" s="12" t="s">
        <v>34</v>
      </c>
      <c r="C23" s="25"/>
      <c r="D23" s="26"/>
      <c r="E23" s="20">
        <v>539.25</v>
      </c>
      <c r="F23" s="21">
        <v>1296.3</v>
      </c>
      <c r="G23" s="18">
        <v>1736.65</v>
      </c>
      <c r="H23" s="19">
        <v>2253.35</v>
      </c>
      <c r="I23" s="20">
        <v>1703.6</v>
      </c>
      <c r="J23" s="22">
        <v>2352.4499999999998</v>
      </c>
      <c r="K23" s="22">
        <v>2258.4</v>
      </c>
      <c r="L23" s="22">
        <v>1395.8</v>
      </c>
      <c r="M23" s="22">
        <v>1689.8</v>
      </c>
      <c r="N23" s="22">
        <v>1992.35</v>
      </c>
      <c r="O23" s="40">
        <f t="shared" si="0"/>
        <v>17217.949999999997</v>
      </c>
    </row>
    <row r="24" spans="1:15" ht="15.75" thickBot="1" x14ac:dyDescent="0.3">
      <c r="A24" s="53"/>
      <c r="B24" s="10" t="s">
        <v>14</v>
      </c>
      <c r="C24" s="29">
        <v>23536.9</v>
      </c>
      <c r="D24" s="30">
        <v>20980.400000000001</v>
      </c>
      <c r="E24" s="27">
        <v>21290.400000000001</v>
      </c>
      <c r="F24" s="28">
        <v>16872.150000000001</v>
      </c>
      <c r="G24" s="29">
        <v>20031.45</v>
      </c>
      <c r="H24" s="30">
        <v>18687.25</v>
      </c>
      <c r="I24" s="27">
        <v>17853.900000000001</v>
      </c>
      <c r="J24" s="23">
        <v>18775.400000000001</v>
      </c>
      <c r="K24" s="23">
        <v>17427</v>
      </c>
      <c r="L24" s="23">
        <v>17385.3</v>
      </c>
      <c r="M24" s="23">
        <v>17345.099999999999</v>
      </c>
      <c r="N24" s="23">
        <v>18448.2</v>
      </c>
      <c r="O24" s="41">
        <f t="shared" si="0"/>
        <v>228633.45</v>
      </c>
    </row>
    <row r="25" spans="1:15" ht="17.25" customHeight="1" x14ac:dyDescent="0.25">
      <c r="A25" s="54" t="s">
        <v>35</v>
      </c>
      <c r="B25" s="11" t="s">
        <v>36</v>
      </c>
      <c r="C25" s="13">
        <v>484.95</v>
      </c>
      <c r="D25" s="14">
        <v>463</v>
      </c>
      <c r="E25" s="15">
        <v>644.75</v>
      </c>
      <c r="F25" s="16">
        <v>720</v>
      </c>
      <c r="G25" s="13">
        <v>586.35</v>
      </c>
      <c r="H25" s="14">
        <v>566.5</v>
      </c>
      <c r="I25" s="15">
        <v>573</v>
      </c>
      <c r="J25" s="17">
        <v>553.70000000000005</v>
      </c>
      <c r="K25" s="17">
        <v>583.5</v>
      </c>
      <c r="L25" s="17">
        <v>542.5</v>
      </c>
      <c r="M25" s="17">
        <v>545.29999999999995</v>
      </c>
      <c r="N25" s="17">
        <v>557</v>
      </c>
      <c r="O25" s="39">
        <f t="shared" si="0"/>
        <v>6820.55</v>
      </c>
    </row>
    <row r="26" spans="1:15" ht="17.25" customHeight="1" x14ac:dyDescent="0.25">
      <c r="A26" s="55"/>
      <c r="B26" s="9" t="s">
        <v>37</v>
      </c>
      <c r="C26" s="18">
        <v>518.20000000000005</v>
      </c>
      <c r="D26" s="19">
        <v>460.85</v>
      </c>
      <c r="E26" s="20">
        <v>691.75</v>
      </c>
      <c r="F26" s="21">
        <v>585.75</v>
      </c>
      <c r="G26" s="18">
        <v>561.25</v>
      </c>
      <c r="H26" s="19">
        <v>551.75</v>
      </c>
      <c r="I26" s="20">
        <v>489</v>
      </c>
      <c r="J26" s="22">
        <v>513.1</v>
      </c>
      <c r="K26" s="22">
        <v>408.75</v>
      </c>
      <c r="L26" s="22">
        <v>486.75</v>
      </c>
      <c r="M26" s="22">
        <v>518</v>
      </c>
      <c r="N26" s="22">
        <v>544.79999999999995</v>
      </c>
      <c r="O26" s="40">
        <f t="shared" si="0"/>
        <v>6329.9500000000007</v>
      </c>
    </row>
    <row r="27" spans="1:15" ht="17.25" customHeight="1" x14ac:dyDescent="0.25">
      <c r="A27" s="55"/>
      <c r="B27" s="9" t="s">
        <v>38</v>
      </c>
      <c r="C27" s="18">
        <v>344</v>
      </c>
      <c r="D27" s="19">
        <v>355.2</v>
      </c>
      <c r="E27" s="20">
        <v>391.1</v>
      </c>
      <c r="F27" s="21">
        <v>446.5</v>
      </c>
      <c r="G27" s="18">
        <v>403.5</v>
      </c>
      <c r="H27" s="19">
        <v>431.25</v>
      </c>
      <c r="I27" s="20">
        <v>403.2</v>
      </c>
      <c r="J27" s="22">
        <v>374.8</v>
      </c>
      <c r="K27" s="22">
        <v>363</v>
      </c>
      <c r="L27" s="22">
        <v>354.25</v>
      </c>
      <c r="M27" s="22">
        <v>343.95</v>
      </c>
      <c r="N27" s="22">
        <v>429.45</v>
      </c>
      <c r="O27" s="40">
        <f t="shared" si="0"/>
        <v>4640.2</v>
      </c>
    </row>
    <row r="28" spans="1:15" ht="17.25" customHeight="1" x14ac:dyDescent="0.25">
      <c r="A28" s="55"/>
      <c r="B28" s="9" t="s">
        <v>39</v>
      </c>
      <c r="C28" s="18">
        <v>350</v>
      </c>
      <c r="D28" s="19">
        <v>358.75</v>
      </c>
      <c r="E28" s="20">
        <v>420.2</v>
      </c>
      <c r="F28" s="21">
        <v>459.45</v>
      </c>
      <c r="G28" s="18">
        <v>473.45</v>
      </c>
      <c r="H28" s="19">
        <v>424.5</v>
      </c>
      <c r="I28" s="20">
        <v>405.95</v>
      </c>
      <c r="J28" s="22">
        <v>351.5</v>
      </c>
      <c r="K28" s="22">
        <v>337</v>
      </c>
      <c r="L28" s="22">
        <v>368.1</v>
      </c>
      <c r="M28" s="22">
        <v>335.95</v>
      </c>
      <c r="N28" s="22">
        <v>377.25</v>
      </c>
      <c r="O28" s="40">
        <f t="shared" si="0"/>
        <v>4662.0999999999995</v>
      </c>
    </row>
    <row r="29" spans="1:15" ht="17.25" customHeight="1" x14ac:dyDescent="0.25">
      <c r="A29" s="55"/>
      <c r="B29" s="9" t="s">
        <v>40</v>
      </c>
      <c r="C29" s="18">
        <v>495.75</v>
      </c>
      <c r="D29" s="19">
        <v>416.5</v>
      </c>
      <c r="E29" s="20">
        <v>518</v>
      </c>
      <c r="F29" s="21">
        <v>620</v>
      </c>
      <c r="G29" s="18">
        <v>519</v>
      </c>
      <c r="H29" s="19">
        <v>477.35</v>
      </c>
      <c r="I29" s="20">
        <v>549.25</v>
      </c>
      <c r="J29" s="22">
        <v>472.3</v>
      </c>
      <c r="K29" s="22">
        <v>482.5</v>
      </c>
      <c r="L29" s="22">
        <v>426.5</v>
      </c>
      <c r="M29" s="22">
        <v>443.5</v>
      </c>
      <c r="N29" s="22">
        <v>492.2</v>
      </c>
      <c r="O29" s="40">
        <f t="shared" si="0"/>
        <v>5912.8499999999995</v>
      </c>
    </row>
    <row r="30" spans="1:15" ht="17.25" customHeight="1" thickBot="1" x14ac:dyDescent="0.3">
      <c r="A30" s="56"/>
      <c r="B30" s="42" t="s">
        <v>41</v>
      </c>
      <c r="C30" s="43">
        <v>567.25</v>
      </c>
      <c r="D30" s="44">
        <v>526.25</v>
      </c>
      <c r="E30" s="45">
        <v>656</v>
      </c>
      <c r="F30" s="46">
        <v>645.9</v>
      </c>
      <c r="G30" s="43">
        <v>723.5</v>
      </c>
      <c r="H30" s="44">
        <v>532.6</v>
      </c>
      <c r="I30" s="45">
        <v>412.6</v>
      </c>
      <c r="J30" s="47">
        <v>399.6</v>
      </c>
      <c r="K30" s="47">
        <v>428.6</v>
      </c>
      <c r="L30" s="47">
        <v>285.75</v>
      </c>
      <c r="M30" s="47">
        <v>326.45</v>
      </c>
      <c r="N30" s="47">
        <v>370.2</v>
      </c>
      <c r="O30" s="48">
        <f t="shared" si="0"/>
        <v>5874.7</v>
      </c>
    </row>
    <row r="31" spans="1:15" x14ac:dyDescent="0.25">
      <c r="A31" s="1" t="s">
        <v>1</v>
      </c>
    </row>
  </sheetData>
  <mergeCells count="5">
    <mergeCell ref="A2:O2"/>
    <mergeCell ref="A3:O3"/>
    <mergeCell ref="A5:A19"/>
    <mergeCell ref="A20:A24"/>
    <mergeCell ref="A25:A30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2024-10-22T13:23:07Z</cp:lastPrinted>
  <dcterms:created xsi:type="dcterms:W3CDTF">2018-12-05T04:57:49Z</dcterms:created>
  <dcterms:modified xsi:type="dcterms:W3CDTF">2024-10-22T13:23:11Z</dcterms:modified>
</cp:coreProperties>
</file>