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Moneytary\"/>
    </mc:Choice>
  </mc:AlternateContent>
  <xr:revisionPtr revIDLastSave="0" documentId="13_ncr:1_{1F32FA96-7F16-48D4-B74C-B854B231DC1F}" xr6:coauthVersionLast="47" xr6:coauthVersionMax="47" xr10:uidLastSave="{00000000-0000-0000-0000-000000000000}"/>
  <bookViews>
    <workbookView xWindow="-120" yWindow="-120" windowWidth="29040" windowHeight="15720" tabRatio="827" xr2:uid="{00000000-000D-0000-FFFF-FFFF00000000}"/>
  </bookViews>
  <sheets>
    <sheet name="14.8" sheetId="13" r:id="rId1"/>
    <sheet name="Sheet2" sheetId="24" state="hidden" r:id="rId2"/>
  </sheets>
  <externalReferences>
    <externalReference r:id="rId3"/>
  </externalReferences>
  <definedNames>
    <definedName name="Date_ODC">[1]Industry!$4:$4</definedName>
    <definedName name="LCFC_ODC">[1]Industry!$5:$5</definedName>
    <definedName name="_xlnm.Print_Area" localSheetId="0">'14.8'!$A$1:$R$40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34" i="13" l="1"/>
  <c r="P34" i="13"/>
  <c r="Q34" i="13"/>
  <c r="N34" i="13"/>
  <c r="O33" i="13"/>
  <c r="P33" i="13"/>
  <c r="Q33" i="13"/>
  <c r="N33" i="13"/>
  <c r="J33" i="13" l="1"/>
  <c r="K33" i="13"/>
  <c r="L33" i="13"/>
  <c r="J34" i="13"/>
  <c r="K34" i="13"/>
  <c r="L34" i="13"/>
  <c r="G33" i="13"/>
  <c r="H33" i="13"/>
  <c r="I33" i="13"/>
  <c r="G34" i="13"/>
  <c r="H34" i="13"/>
  <c r="I34" i="13"/>
  <c r="F34" i="13"/>
  <c r="F33" i="13"/>
</calcChain>
</file>

<file path=xl/sharedStrings.xml><?xml version="1.0" encoding="utf-8"?>
<sst xmlns="http://schemas.openxmlformats.org/spreadsheetml/2006/main" count="99" uniqueCount="61">
  <si>
    <t>(cniaWyifur cnwailim ;cSwlwyin egutwdcaum WviawfiLeawDnwk)</t>
  </si>
  <si>
    <t>(In millions of Rufiyaa; end of period)</t>
  </si>
  <si>
    <t>Particulars</t>
  </si>
  <si>
    <t>cCWm</t>
  </si>
  <si>
    <t>cnUj</t>
  </si>
  <si>
    <t>cTcpes</t>
  </si>
  <si>
    <t>cmesiD</t>
  </si>
  <si>
    <t>clIBcfwt</t>
  </si>
  <si>
    <t>Mar</t>
  </si>
  <si>
    <t>Jun</t>
  </si>
  <si>
    <t>Sep</t>
  </si>
  <si>
    <t>ސަރުކާރަށް ލިބެންވާ ( ޑިޕޮސިޓް އަދި އެހެނިހެން ފައިސާ)</t>
  </si>
  <si>
    <t>Loans</t>
  </si>
  <si>
    <t>ލޯނު</t>
  </si>
  <si>
    <t>Annual percentage change</t>
  </si>
  <si>
    <t>Source: Maldives Monetary Authority.</t>
  </si>
  <si>
    <t>Dec</t>
  </si>
  <si>
    <t>Total Assets</t>
  </si>
  <si>
    <t>Foreign assets</t>
  </si>
  <si>
    <t>Other assets</t>
  </si>
  <si>
    <t>Non-financial assets</t>
  </si>
  <si>
    <t>Total Liabilities</t>
  </si>
  <si>
    <t>Securities other than shares</t>
  </si>
  <si>
    <t>Foreign liabilities</t>
  </si>
  <si>
    <t>Other liabilities</t>
  </si>
  <si>
    <t>ބޭރުގެ އެސެޓް</t>
  </si>
  <si>
    <t>Cash</t>
  </si>
  <si>
    <t>Deposits with central bank</t>
  </si>
  <si>
    <t>ސެކިޔުރިޓީސް (ހިއްސާ ނުހިމަނައި)</t>
  </si>
  <si>
    <t>Loans and advances</t>
  </si>
  <si>
    <t>Deposits</t>
  </si>
  <si>
    <t>ޑިޕޮސިޓް</t>
  </si>
  <si>
    <t>Central government liabilities</t>
  </si>
  <si>
    <t>ނޯޓް:</t>
  </si>
  <si>
    <t>NOTE:</t>
  </si>
  <si>
    <t/>
  </si>
  <si>
    <t>ވިޔަފާރި ބޭންކްތަކުގައި ހުރި ޑިޕޮސިޓް</t>
  </si>
  <si>
    <t>ވިޔަފާރި ބޭންކުތަކުން ނަގާފައިވާ ދަރަނި</t>
  </si>
  <si>
    <t>Insurance technical reserves</t>
  </si>
  <si>
    <t>Shares and other equity</t>
  </si>
  <si>
    <t>Deposits with other depository corporations</t>
  </si>
  <si>
    <t>Credit from other depository corporations</t>
  </si>
  <si>
    <t>އިންޝުއަރެންސް ޓެކްނިކަލް ރިސަރވް</t>
  </si>
  <si>
    <t>ޖުމްލަ ލައިބިލިޓީ</t>
  </si>
  <si>
    <t>ތަފްޞީލް</t>
  </si>
  <si>
    <t>މައުލޫމާތު ދެއްވި ފަރާތް: މޯލްޑިވްސް މަނިޓަރީ އޮތޯރިޓީ</t>
  </si>
  <si>
    <t>މަރުކަޒީ ބޭންކުގައި ބަހައްޓާފައިވާ ފައިސާ</t>
  </si>
  <si>
    <t>ފޮރިން ލައިބިލިޓީސް</t>
  </si>
  <si>
    <t>އެހެނިހެން ލައިބިލިޓީސް</t>
  </si>
  <si>
    <t>ހިއްސާއާއި އެހެނިހެން އިކުއިޓީ</t>
  </si>
  <si>
    <t>ފޮރިން އެސެޓްސް</t>
  </si>
  <si>
    <t>މާލީ ނޫން އެސެޓްސް</t>
  </si>
  <si>
    <t>ޖުމްލަ އެސެޓް</t>
  </si>
  <si>
    <t>ލޯނާއި އެޑްވާންސް</t>
  </si>
  <si>
    <t>އެހެނިހެން އެސެޓްސް</t>
  </si>
  <si>
    <t>ނަގުދު ފައިސާ</t>
  </si>
  <si>
    <t>އަހަރުން އަހަރަށް އިތުރުވި މިންވަރު އިންސައްތައިން</t>
  </si>
  <si>
    <t xml:space="preserve">Data is compiled based on IMF Monetary and Financial Statistics: Compilation Guide (2008). </t>
  </si>
  <si>
    <t>މިމައުލޫމާތުތައް އެކުލަވާލެވިފައި މިވަނީ އިންޓަނޭޝަނަލް މަނިޓަރީ ފަންޑްގެ މަނިޓަރީ އެންޑް ފައިނޭންސަލް ސްޓެޓިސްޓިކްސް: ކޮމްޕައިލޭޝަން ގައިޑް (2008) ގައި ބަޔާން ކުރެވިފައިވާ ގޮތަށެވެ.</t>
  </si>
  <si>
    <t>Table 14.8: ASSETS AND LIABILITIES OF OTHER FINANCIAL CORPORATIONS, 2020 - 2023</t>
  </si>
  <si>
    <t>ތާވަލު 14.8:އެހެނިހެން މާލީދާއިރާގެ ކުންފުނިތަކުގެ އެސެޓްތަކާއި އަދި ލައިބިލިޓީތައް، 2020- 2023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</si>
</sst>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#,##0.0"/>
    <numFmt numFmtId="168" formatCode="_ * #,##0.00_ ;_ * \-#,##0.00_ ;_ * &quot;-&quot;??_ ;_ @_ "/>
    <numFmt numFmtId="169" formatCode="#,##0.0_);\(#,##0.0\)"/>
    <numFmt numFmtId="170" formatCode="mmmm\-yy"/>
    <numFmt numFmtId="171" formatCode="_-&quot;$&quot;* #,##0_-;\-&quot;$&quot;* #,##0_-;_-&quot;$&quot;* &quot;-&quot;_-;_-@_-"/>
    <numFmt numFmtId="172" formatCode="0.0000%"/>
    <numFmt numFmtId="173" formatCode="##,##0.0000"/>
    <numFmt numFmtId="174" formatCode="_-* #,##0\ _F_-;\-* #,##0\ _F_-;_-* &quot;-&quot;\ _F_-;_-@_-"/>
    <numFmt numFmtId="175" formatCode="_-* #,##0.00\ _F_-;\-* #,##0.00\ _F_-;_-* &quot;-&quot;??\ _F_-;_-@_-"/>
    <numFmt numFmtId="176" formatCode="#,##0\ &quot;F&quot;;[Red]\-#,##0\ &quot;F&quot;"/>
    <numFmt numFmtId="177" formatCode="#,##0.00\ &quot;F&quot;;\-#,##0.00\ &quot;F&quot;"/>
    <numFmt numFmtId="178" formatCode="_-&quot;$&quot;* #,##0.00_-;\-&quot;$&quot;* #,##0.00_-;_-&quot;$&quot;* &quot;-&quot;??_-;_-@_-"/>
    <numFmt numFmtId="179" formatCode="#,##0&quot;£&quot;_);\(#,##0&quot;£&quot;\)"/>
    <numFmt numFmtId="180" formatCode="_(\ #,##0.0_);[Red]_(\-#,##0.0_);_(\ &quot;-&quot;?_);_(@_)"/>
  </numFmts>
  <fonts count="5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Courier"/>
      <family val="3"/>
    </font>
    <font>
      <b/>
      <sz val="12"/>
      <name val="Faruma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9"/>
      <name val="Faruma"/>
    </font>
    <font>
      <b/>
      <sz val="9"/>
      <name val="A_Faseyha"/>
    </font>
    <font>
      <b/>
      <sz val="10"/>
      <name val="Calibri"/>
      <family val="2"/>
      <scheme val="minor"/>
    </font>
    <font>
      <sz val="9"/>
      <name val="A_Randhoo"/>
    </font>
    <font>
      <b/>
      <i/>
      <sz val="9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Faruma"/>
    </font>
    <font>
      <b/>
      <sz val="10"/>
      <name val="Faruma"/>
    </font>
    <font>
      <sz val="8"/>
      <name val="Calibri"/>
      <family val="2"/>
      <scheme val="minor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0"/>
      <name val="Faruma"/>
    </font>
    <font>
      <sz val="10"/>
      <color theme="1"/>
      <name val="Faruma"/>
    </font>
    <font>
      <b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Roboto"/>
    </font>
  </fonts>
  <fills count="22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theme="0"/>
      </left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 style="thin">
        <color theme="0"/>
      </right>
      <top/>
      <bottom style="thin">
        <color theme="0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indexed="64"/>
      </right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</borders>
  <cellStyleXfs count="300">
    <xf numFmtId="0" fontId="0" fillId="0" borderId="0"/>
    <xf numFmtId="43" fontId="1" fillId="0" borderId="0" applyFont="0" applyFill="0" applyBorder="0" applyAlignment="0" applyProtection="0"/>
    <xf numFmtId="165" fontId="3" fillId="0" borderId="0"/>
    <xf numFmtId="0" fontId="5" fillId="0" borderId="0"/>
    <xf numFmtId="0" fontId="5" fillId="0" borderId="0"/>
    <xf numFmtId="17" fontId="5" fillId="0" borderId="0" applyFont="0"/>
    <xf numFmtId="17" fontId="5" fillId="0" borderId="0" applyFont="0"/>
    <xf numFmtId="0" fontId="5" fillId="0" borderId="0"/>
    <xf numFmtId="0" fontId="5" fillId="0" borderId="0"/>
    <xf numFmtId="0" fontId="5" fillId="0" borderId="0"/>
    <xf numFmtId="0" fontId="5" fillId="0" borderId="0"/>
    <xf numFmtId="17" fontId="5" fillId="0" borderId="0" applyFont="0"/>
    <xf numFmtId="0" fontId="5" fillId="0" borderId="0"/>
    <xf numFmtId="0" fontId="21" fillId="2" borderId="0" applyNumberFormat="0" applyBorder="0" applyAlignment="0" applyProtection="0"/>
    <xf numFmtId="0" fontId="21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1" fillId="2" borderId="0" applyNumberFormat="0" applyBorder="0" applyAlignment="0" applyProtection="0"/>
    <xf numFmtId="0" fontId="21" fillId="6" borderId="0" applyNumberFormat="0" applyBorder="0" applyAlignment="0" applyProtection="0"/>
    <xf numFmtId="0" fontId="22" fillId="7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2" fillId="6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1" fillId="2" borderId="0" applyNumberFormat="0" applyBorder="0" applyAlignment="0" applyProtection="0"/>
    <xf numFmtId="0" fontId="21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2" fillId="4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17" fontId="5" fillId="0" borderId="0" applyFont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68" fontId="5" fillId="0" borderId="0" applyFill="0" applyBorder="0" applyAlignment="0"/>
    <xf numFmtId="0" fontId="25" fillId="0" borderId="0" applyFill="0" applyBorder="0" applyAlignment="0"/>
    <xf numFmtId="0" fontId="5" fillId="0" borderId="0" applyFill="0" applyBorder="0" applyAlignment="0"/>
    <xf numFmtId="169" fontId="3" fillId="0" borderId="0" applyFill="0" applyBorder="0" applyAlignment="0"/>
    <xf numFmtId="170" fontId="5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25" fillId="0" borderId="0" applyFill="0" applyBorder="0" applyAlignment="0"/>
    <xf numFmtId="0" fontId="26" fillId="14" borderId="10" applyNumberFormat="0" applyAlignment="0" applyProtection="0"/>
    <xf numFmtId="0" fontId="26" fillId="14" borderId="10" applyNumberFormat="0" applyAlignment="0" applyProtection="0"/>
    <xf numFmtId="0" fontId="26" fillId="14" borderId="10" applyNumberFormat="0" applyAlignment="0" applyProtection="0"/>
    <xf numFmtId="0" fontId="26" fillId="14" borderId="10" applyNumberFormat="0" applyAlignment="0" applyProtection="0"/>
    <xf numFmtId="0" fontId="26" fillId="14" borderId="10" applyNumberFormat="0" applyAlignment="0" applyProtection="0"/>
    <xf numFmtId="0" fontId="26" fillId="14" borderId="10" applyNumberFormat="0" applyAlignment="0" applyProtection="0"/>
    <xf numFmtId="0" fontId="26" fillId="14" borderId="10" applyNumberFormat="0" applyAlignment="0" applyProtection="0"/>
    <xf numFmtId="0" fontId="26" fillId="14" borderId="10" applyNumberFormat="0" applyAlignment="0" applyProtection="0"/>
    <xf numFmtId="17" fontId="5" fillId="0" borderId="0" applyFont="0"/>
    <xf numFmtId="0" fontId="27" fillId="7" borderId="11" applyNumberFormat="0" applyAlignment="0" applyProtection="0"/>
    <xf numFmtId="0" fontId="27" fillId="7" borderId="11" applyNumberFormat="0" applyAlignment="0" applyProtection="0"/>
    <xf numFmtId="0" fontId="27" fillId="7" borderId="11" applyNumberFormat="0" applyAlignment="0" applyProtection="0"/>
    <xf numFmtId="0" fontId="27" fillId="7" borderId="11" applyNumberFormat="0" applyAlignment="0" applyProtection="0"/>
    <xf numFmtId="0" fontId="27" fillId="7" borderId="11" applyNumberFormat="0" applyAlignment="0" applyProtection="0"/>
    <xf numFmtId="0" fontId="27" fillId="7" borderId="11" applyNumberFormat="0" applyAlignment="0" applyProtection="0"/>
    <xf numFmtId="0" fontId="27" fillId="7" borderId="11" applyNumberFormat="0" applyAlignment="0" applyProtection="0"/>
    <xf numFmtId="0" fontId="27" fillId="7" borderId="11" applyNumberFormat="0" applyAlignment="0" applyProtection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1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0" fontId="25" fillId="0" borderId="0" applyFont="0" applyFill="0" applyBorder="0" applyAlignment="0" applyProtection="0"/>
    <xf numFmtId="14" fontId="28" fillId="0" borderId="0" applyFill="0" applyBorder="0" applyAlignment="0"/>
    <xf numFmtId="0" fontId="29" fillId="15" borderId="0" applyNumberFormat="0" applyBorder="0" applyAlignment="0" applyProtection="0"/>
    <xf numFmtId="0" fontId="29" fillId="16" borderId="0" applyNumberFormat="0" applyBorder="0" applyAlignment="0" applyProtection="0"/>
    <xf numFmtId="0" fontId="29" fillId="17" borderId="0" applyNumberFormat="0" applyBorder="0" applyAlignment="0" applyProtection="0"/>
    <xf numFmtId="168" fontId="5" fillId="0" borderId="0" applyFill="0" applyBorder="0" applyAlignment="0"/>
    <xf numFmtId="0" fontId="25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25" fillId="0" borderId="0" applyFill="0" applyBorder="0" applyAlignment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38" fontId="19" fillId="19" borderId="0" applyNumberFormat="0" applyBorder="0" applyAlignment="0" applyProtection="0"/>
    <xf numFmtId="0" fontId="31" fillId="0" borderId="12" applyNumberFormat="0" applyAlignment="0" applyProtection="0">
      <alignment horizontal="left" vertical="center"/>
    </xf>
    <xf numFmtId="0" fontId="31" fillId="0" borderId="9">
      <alignment horizontal="left" vertical="center"/>
    </xf>
    <xf numFmtId="0" fontId="32" fillId="0" borderId="13" applyNumberFormat="0" applyFill="0" applyAlignment="0" applyProtection="0"/>
    <xf numFmtId="0" fontId="32" fillId="0" borderId="13" applyNumberFormat="0" applyFill="0" applyAlignment="0" applyProtection="0"/>
    <xf numFmtId="0" fontId="32" fillId="0" borderId="13" applyNumberFormat="0" applyFill="0" applyAlignment="0" applyProtection="0"/>
    <xf numFmtId="0" fontId="32" fillId="0" borderId="13" applyNumberFormat="0" applyFill="0" applyAlignment="0" applyProtection="0"/>
    <xf numFmtId="0" fontId="32" fillId="0" borderId="13" applyNumberFormat="0" applyFill="0" applyAlignment="0" applyProtection="0"/>
    <xf numFmtId="0" fontId="32" fillId="0" borderId="13" applyNumberFormat="0" applyFill="0" applyAlignment="0" applyProtection="0"/>
    <xf numFmtId="0" fontId="32" fillId="0" borderId="13" applyNumberFormat="0" applyFill="0" applyAlignment="0" applyProtection="0"/>
    <xf numFmtId="0" fontId="32" fillId="0" borderId="13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4" fillId="0" borderId="15" applyNumberFormat="0" applyFill="0" applyAlignment="0" applyProtection="0"/>
    <xf numFmtId="0" fontId="34" fillId="0" borderId="15" applyNumberFormat="0" applyFill="0" applyAlignment="0" applyProtection="0"/>
    <xf numFmtId="0" fontId="34" fillId="0" borderId="15" applyNumberFormat="0" applyFill="0" applyAlignment="0" applyProtection="0"/>
    <xf numFmtId="0" fontId="34" fillId="0" borderId="15" applyNumberFormat="0" applyFill="0" applyAlignment="0" applyProtection="0"/>
    <xf numFmtId="0" fontId="34" fillId="0" borderId="15" applyNumberFormat="0" applyFill="0" applyAlignment="0" applyProtection="0"/>
    <xf numFmtId="0" fontId="34" fillId="0" borderId="15" applyNumberFormat="0" applyFill="0" applyAlignment="0" applyProtection="0"/>
    <xf numFmtId="0" fontId="34" fillId="0" borderId="15" applyNumberFormat="0" applyFill="0" applyAlignment="0" applyProtection="0"/>
    <xf numFmtId="0" fontId="34" fillId="0" borderId="15" applyNumberFormat="0" applyFill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10" fontId="19" fillId="20" borderId="16" applyNumberFormat="0" applyBorder="0" applyAlignment="0" applyProtection="0"/>
    <xf numFmtId="0" fontId="35" fillId="11" borderId="10" applyNumberFormat="0" applyAlignment="0" applyProtection="0"/>
    <xf numFmtId="0" fontId="35" fillId="11" borderId="10" applyNumberFormat="0" applyAlignment="0" applyProtection="0"/>
    <xf numFmtId="0" fontId="35" fillId="11" borderId="10" applyNumberFormat="0" applyAlignment="0" applyProtection="0"/>
    <xf numFmtId="0" fontId="35" fillId="11" borderId="10" applyNumberFormat="0" applyAlignment="0" applyProtection="0"/>
    <xf numFmtId="0" fontId="35" fillId="11" borderId="10" applyNumberFormat="0" applyAlignment="0" applyProtection="0"/>
    <xf numFmtId="0" fontId="35" fillId="11" borderId="10" applyNumberFormat="0" applyAlignment="0" applyProtection="0"/>
    <xf numFmtId="0" fontId="35" fillId="11" borderId="10" applyNumberFormat="0" applyAlignment="0" applyProtection="0"/>
    <xf numFmtId="0" fontId="35" fillId="11" borderId="10" applyNumberFormat="0" applyAlignment="0" applyProtection="0"/>
    <xf numFmtId="168" fontId="5" fillId="0" borderId="0" applyFill="0" applyBorder="0" applyAlignment="0"/>
    <xf numFmtId="0" fontId="25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25" fillId="0" borderId="0" applyFill="0" applyBorder="0" applyAlignment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174" fontId="37" fillId="0" borderId="0" applyFont="0" applyFill="0" applyBorder="0" applyAlignment="0" applyProtection="0"/>
    <xf numFmtId="175" fontId="37" fillId="0" borderId="0" applyFont="0" applyFill="0" applyBorder="0" applyAlignment="0" applyProtection="0"/>
    <xf numFmtId="42" fontId="37" fillId="0" borderId="0" applyFont="0" applyFill="0" applyBorder="0" applyAlignment="0" applyProtection="0"/>
    <xf numFmtId="44" fontId="37" fillId="0" borderId="0" applyFont="0" applyFill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176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18" applyNumberFormat="0" applyFont="0" applyAlignment="0" applyProtection="0"/>
    <xf numFmtId="0" fontId="5" fillId="10" borderId="18" applyNumberFormat="0" applyFont="0" applyAlignment="0" applyProtection="0"/>
    <xf numFmtId="0" fontId="5" fillId="10" borderId="18" applyNumberFormat="0" applyFont="0" applyAlignment="0" applyProtection="0"/>
    <xf numFmtId="0" fontId="5" fillId="10" borderId="18" applyNumberFormat="0" applyFont="0" applyAlignment="0" applyProtection="0"/>
    <xf numFmtId="0" fontId="5" fillId="10" borderId="18" applyNumberFormat="0" applyFont="0" applyAlignment="0" applyProtection="0"/>
    <xf numFmtId="0" fontId="5" fillId="10" borderId="18" applyNumberFormat="0" applyFont="0" applyAlignment="0" applyProtection="0"/>
    <xf numFmtId="0" fontId="5" fillId="10" borderId="18" applyNumberFormat="0" applyFont="0" applyAlignment="0" applyProtection="0"/>
    <xf numFmtId="0" fontId="5" fillId="10" borderId="18" applyNumberFormat="0" applyFont="0" applyAlignment="0" applyProtection="0"/>
    <xf numFmtId="0" fontId="39" fillId="14" borderId="19" applyNumberFormat="0" applyAlignment="0" applyProtection="0"/>
    <xf numFmtId="0" fontId="39" fillId="14" borderId="19" applyNumberFormat="0" applyAlignment="0" applyProtection="0"/>
    <xf numFmtId="0" fontId="39" fillId="14" borderId="19" applyNumberFormat="0" applyAlignment="0" applyProtection="0"/>
    <xf numFmtId="0" fontId="39" fillId="14" borderId="19" applyNumberFormat="0" applyAlignment="0" applyProtection="0"/>
    <xf numFmtId="0" fontId="39" fillId="14" borderId="19" applyNumberFormat="0" applyAlignment="0" applyProtection="0"/>
    <xf numFmtId="0" fontId="39" fillId="14" borderId="19" applyNumberFormat="0" applyAlignment="0" applyProtection="0"/>
    <xf numFmtId="0" fontId="39" fillId="14" borderId="19" applyNumberFormat="0" applyAlignment="0" applyProtection="0"/>
    <xf numFmtId="0" fontId="39" fillId="14" borderId="19" applyNumberFormat="0" applyAlignment="0" applyProtection="0"/>
    <xf numFmtId="0" fontId="5" fillId="0" borderId="0"/>
    <xf numFmtId="17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8" fontId="5" fillId="0" borderId="0" applyFill="0" applyBorder="0" applyAlignment="0"/>
    <xf numFmtId="0" fontId="25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25" fillId="0" borderId="0" applyFill="0" applyBorder="0" applyAlignment="0"/>
    <xf numFmtId="0" fontId="40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9" fontId="28" fillId="0" borderId="0" applyFill="0" applyBorder="0" applyAlignment="0"/>
    <xf numFmtId="178" fontId="5" fillId="0" borderId="0" applyFill="0" applyBorder="0" applyAlignment="0"/>
    <xf numFmtId="179" fontId="5" fillId="0" borderId="0" applyFill="0" applyBorder="0" applyAlignment="0"/>
    <xf numFmtId="0" fontId="29" fillId="0" borderId="20" applyNumberFormat="0" applyFill="0" applyAlignment="0" applyProtection="0"/>
    <xf numFmtId="0" fontId="29" fillId="0" borderId="20" applyNumberFormat="0" applyFill="0" applyAlignment="0" applyProtection="0"/>
    <xf numFmtId="0" fontId="29" fillId="0" borderId="20" applyNumberFormat="0" applyFill="0" applyAlignment="0" applyProtection="0"/>
    <xf numFmtId="0" fontId="29" fillId="0" borderId="20" applyNumberFormat="0" applyFill="0" applyAlignment="0" applyProtection="0"/>
    <xf numFmtId="0" fontId="29" fillId="0" borderId="20" applyNumberFormat="0" applyFill="0" applyAlignment="0" applyProtection="0"/>
    <xf numFmtId="0" fontId="29" fillId="0" borderId="20" applyNumberFormat="0" applyFill="0" applyAlignment="0" applyProtection="0"/>
    <xf numFmtId="0" fontId="29" fillId="0" borderId="20" applyNumberFormat="0" applyFill="0" applyAlignment="0" applyProtection="0"/>
    <xf numFmtId="0" fontId="29" fillId="0" borderId="20" applyNumberFormat="0" applyFill="0" applyAlignment="0" applyProtection="0"/>
    <xf numFmtId="0" fontId="41" fillId="0" borderId="0">
      <alignment vertical="top"/>
    </xf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73">
    <xf numFmtId="0" fontId="0" fillId="0" borderId="0" xfId="0"/>
    <xf numFmtId="165" fontId="20" fillId="0" borderId="0" xfId="1" applyNumberFormat="1" applyFont="1"/>
    <xf numFmtId="0" fontId="0" fillId="21" borderId="0" xfId="0" applyFill="1"/>
    <xf numFmtId="165" fontId="7" fillId="21" borderId="4" xfId="0" applyNumberFormat="1" applyFont="1" applyFill="1" applyBorder="1" applyAlignment="1">
      <alignment vertical="center"/>
    </xf>
    <xf numFmtId="164" fontId="11" fillId="21" borderId="28" xfId="2" applyNumberFormat="1" applyFont="1" applyFill="1" applyBorder="1" applyAlignment="1">
      <alignment horizontal="right"/>
    </xf>
    <xf numFmtId="164" fontId="11" fillId="21" borderId="6" xfId="2" applyNumberFormat="1" applyFont="1" applyFill="1" applyBorder="1" applyAlignment="1">
      <alignment horizontal="right"/>
    </xf>
    <xf numFmtId="164" fontId="11" fillId="21" borderId="27" xfId="2" applyNumberFormat="1" applyFont="1" applyFill="1" applyBorder="1" applyAlignment="1">
      <alignment horizontal="right"/>
    </xf>
    <xf numFmtId="0" fontId="9" fillId="21" borderId="21" xfId="0" applyFont="1" applyFill="1" applyBorder="1" applyAlignment="1">
      <alignment horizontal="right"/>
    </xf>
    <xf numFmtId="43" fontId="7" fillId="21" borderId="31" xfId="1" applyFont="1" applyFill="1" applyBorder="1" applyAlignment="1">
      <alignment horizontal="right"/>
    </xf>
    <xf numFmtId="43" fontId="7" fillId="21" borderId="3" xfId="1" applyFont="1" applyFill="1" applyBorder="1" applyAlignment="1">
      <alignment horizontal="right"/>
    </xf>
    <xf numFmtId="43" fontId="7" fillId="21" borderId="32" xfId="1" applyFont="1" applyFill="1" applyBorder="1" applyAlignment="1">
      <alignment horizontal="right"/>
    </xf>
    <xf numFmtId="0" fontId="9" fillId="21" borderId="0" xfId="0" applyFont="1" applyFill="1" applyAlignment="1">
      <alignment horizontal="right"/>
    </xf>
    <xf numFmtId="43" fontId="7" fillId="21" borderId="25" xfId="1" applyFont="1" applyFill="1" applyBorder="1" applyAlignment="1">
      <alignment horizontal="right"/>
    </xf>
    <xf numFmtId="43" fontId="7" fillId="21" borderId="0" xfId="1" applyFont="1" applyFill="1" applyBorder="1" applyAlignment="1">
      <alignment horizontal="right"/>
    </xf>
    <xf numFmtId="43" fontId="7" fillId="21" borderId="29" xfId="1" applyFont="1" applyFill="1" applyBorder="1" applyAlignment="1">
      <alignment horizontal="right"/>
    </xf>
    <xf numFmtId="166" fontId="12" fillId="21" borderId="0" xfId="0" applyNumberFormat="1" applyFont="1" applyFill="1" applyAlignment="1">
      <alignment vertical="center"/>
    </xf>
    <xf numFmtId="166" fontId="17" fillId="21" borderId="0" xfId="2" applyNumberFormat="1" applyFont="1" applyFill="1" applyAlignment="1">
      <alignment horizontal="right" vertical="center"/>
    </xf>
    <xf numFmtId="0" fontId="14" fillId="21" borderId="0" xfId="0" applyFont="1" applyFill="1" applyAlignment="1">
      <alignment horizontal="left"/>
    </xf>
    <xf numFmtId="164" fontId="45" fillId="21" borderId="0" xfId="2" applyNumberFormat="1" applyFont="1" applyFill="1" applyAlignment="1">
      <alignment horizontal="right" vertical="center"/>
    </xf>
    <xf numFmtId="164" fontId="15" fillId="21" borderId="0" xfId="2" applyNumberFormat="1" applyFont="1" applyFill="1" applyAlignment="1">
      <alignment horizontal="left" vertical="center" indent="2"/>
    </xf>
    <xf numFmtId="164" fontId="16" fillId="21" borderId="0" xfId="2" applyNumberFormat="1" applyFont="1" applyFill="1" applyAlignment="1">
      <alignment horizontal="right" vertical="center" indent="2"/>
    </xf>
    <xf numFmtId="0" fontId="8" fillId="21" borderId="34" xfId="0" applyFont="1" applyFill="1" applyBorder="1"/>
    <xf numFmtId="0" fontId="12" fillId="21" borderId="0" xfId="0" applyFont="1" applyFill="1" applyAlignment="1">
      <alignment vertical="center"/>
    </xf>
    <xf numFmtId="165" fontId="49" fillId="21" borderId="25" xfId="1" applyNumberFormat="1" applyFont="1" applyFill="1" applyBorder="1"/>
    <xf numFmtId="165" fontId="49" fillId="21" borderId="0" xfId="1" applyNumberFormat="1" applyFont="1" applyFill="1" applyBorder="1"/>
    <xf numFmtId="165" fontId="49" fillId="21" borderId="29" xfId="1" applyNumberFormat="1" applyFont="1" applyFill="1" applyBorder="1"/>
    <xf numFmtId="165" fontId="20" fillId="21" borderId="25" xfId="1" applyNumberFormat="1" applyFont="1" applyFill="1" applyBorder="1"/>
    <xf numFmtId="165" fontId="20" fillId="21" borderId="0" xfId="1" applyNumberFormat="1" applyFont="1" applyFill="1" applyBorder="1"/>
    <xf numFmtId="165" fontId="20" fillId="21" borderId="29" xfId="1" applyNumberFormat="1" applyFont="1" applyFill="1" applyBorder="1"/>
    <xf numFmtId="164" fontId="46" fillId="21" borderId="0" xfId="2" applyNumberFormat="1" applyFont="1" applyFill="1" applyAlignment="1">
      <alignment horizontal="right" vertical="center" indent="2" readingOrder="2"/>
    </xf>
    <xf numFmtId="49" fontId="47" fillId="21" borderId="0" xfId="0" applyNumberFormat="1" applyFont="1" applyFill="1" applyAlignment="1">
      <alignment vertical="center"/>
    </xf>
    <xf numFmtId="49" fontId="43" fillId="21" borderId="0" xfId="0" applyNumberFormat="1" applyFont="1" applyFill="1" applyAlignment="1">
      <alignment horizontal="left" vertical="center" indent="2"/>
    </xf>
    <xf numFmtId="49" fontId="46" fillId="21" borderId="0" xfId="0" applyNumberFormat="1" applyFont="1" applyFill="1" applyAlignment="1">
      <alignment horizontal="right" vertical="center" indent="2" readingOrder="2"/>
    </xf>
    <xf numFmtId="166" fontId="49" fillId="21" borderId="25" xfId="1" applyNumberFormat="1" applyFont="1" applyFill="1" applyBorder="1"/>
    <xf numFmtId="166" fontId="49" fillId="21" borderId="0" xfId="1" applyNumberFormat="1" applyFont="1" applyFill="1" applyBorder="1"/>
    <xf numFmtId="166" fontId="49" fillId="21" borderId="29" xfId="1" applyNumberFormat="1" applyFont="1" applyFill="1" applyBorder="1"/>
    <xf numFmtId="166" fontId="20" fillId="21" borderId="25" xfId="1" applyNumberFormat="1" applyFont="1" applyFill="1" applyBorder="1"/>
    <xf numFmtId="166" fontId="20" fillId="21" borderId="0" xfId="1" applyNumberFormat="1" applyFont="1" applyFill="1" applyBorder="1"/>
    <xf numFmtId="166" fontId="20" fillId="21" borderId="29" xfId="1" applyNumberFormat="1" applyFont="1" applyFill="1" applyBorder="1"/>
    <xf numFmtId="164" fontId="46" fillId="21" borderId="0" xfId="2" applyNumberFormat="1" applyFont="1" applyFill="1" applyAlignment="1">
      <alignment vertical="center" readingOrder="2"/>
    </xf>
    <xf numFmtId="0" fontId="31" fillId="21" borderId="0" xfId="0" applyFont="1" applyFill="1" applyAlignment="1">
      <alignment horizontal="center" vertical="center"/>
    </xf>
    <xf numFmtId="164" fontId="11" fillId="21" borderId="0" xfId="2" applyNumberFormat="1" applyFont="1" applyFill="1" applyAlignment="1">
      <alignment horizontal="right" vertical="center"/>
    </xf>
    <xf numFmtId="0" fontId="12" fillId="21" borderId="1" xfId="0" applyFont="1" applyFill="1" applyBorder="1" applyAlignment="1">
      <alignment vertical="center"/>
    </xf>
    <xf numFmtId="169" fontId="12" fillId="21" borderId="24" xfId="1" applyNumberFormat="1" applyFont="1" applyFill="1" applyBorder="1" applyAlignment="1">
      <alignment vertical="center"/>
    </xf>
    <xf numFmtId="169" fontId="12" fillId="21" borderId="1" xfId="1" applyNumberFormat="1" applyFont="1" applyFill="1" applyBorder="1" applyAlignment="1">
      <alignment vertical="center"/>
    </xf>
    <xf numFmtId="169" fontId="12" fillId="21" borderId="30" xfId="1" applyNumberFormat="1" applyFont="1" applyFill="1" applyBorder="1" applyAlignment="1">
      <alignment vertical="center"/>
    </xf>
    <xf numFmtId="164" fontId="10" fillId="21" borderId="22" xfId="2" applyNumberFormat="1" applyFont="1" applyFill="1" applyBorder="1" applyAlignment="1">
      <alignment horizontal="right"/>
    </xf>
    <xf numFmtId="169" fontId="12" fillId="21" borderId="25" xfId="1" applyNumberFormat="1" applyFont="1" applyFill="1" applyBorder="1" applyAlignment="1">
      <alignment vertical="center"/>
    </xf>
    <xf numFmtId="169" fontId="12" fillId="21" borderId="0" xfId="1" applyNumberFormat="1" applyFont="1" applyFill="1" applyBorder="1" applyAlignment="1">
      <alignment vertical="center"/>
    </xf>
    <xf numFmtId="169" fontId="12" fillId="21" borderId="29" xfId="1" applyNumberFormat="1" applyFont="1" applyFill="1" applyBorder="1" applyAlignment="1">
      <alignment vertical="center"/>
    </xf>
    <xf numFmtId="164" fontId="10" fillId="21" borderId="8" xfId="2" applyNumberFormat="1" applyFont="1" applyFill="1" applyBorder="1" applyAlignment="1">
      <alignment horizontal="right"/>
    </xf>
    <xf numFmtId="49" fontId="48" fillId="21" borderId="0" xfId="0" applyNumberFormat="1" applyFont="1" applyFill="1" applyAlignment="1">
      <alignment vertical="center"/>
    </xf>
    <xf numFmtId="166" fontId="12" fillId="21" borderId="24" xfId="2" applyNumberFormat="1" applyFont="1" applyFill="1" applyBorder="1" applyAlignment="1">
      <alignment vertical="center"/>
    </xf>
    <xf numFmtId="166" fontId="12" fillId="21" borderId="1" xfId="2" applyNumberFormat="1" applyFont="1" applyFill="1" applyBorder="1" applyAlignment="1">
      <alignment vertical="center"/>
    </xf>
    <xf numFmtId="166" fontId="12" fillId="21" borderId="30" xfId="2" applyNumberFormat="1" applyFont="1" applyFill="1" applyBorder="1" applyAlignment="1">
      <alignment vertical="center"/>
    </xf>
    <xf numFmtId="164" fontId="11" fillId="21" borderId="1" xfId="2" applyNumberFormat="1" applyFont="1" applyFill="1" applyBorder="1" applyAlignment="1">
      <alignment horizontal="right"/>
    </xf>
    <xf numFmtId="164" fontId="11" fillId="21" borderId="0" xfId="2" applyNumberFormat="1" applyFont="1" applyFill="1" applyAlignment="1">
      <alignment horizontal="right"/>
    </xf>
    <xf numFmtId="0" fontId="13" fillId="21" borderId="0" xfId="0" applyFont="1" applyFill="1"/>
    <xf numFmtId="0" fontId="18" fillId="21" borderId="0" xfId="0" applyFont="1" applyFill="1"/>
    <xf numFmtId="43" fontId="18" fillId="21" borderId="0" xfId="1" applyFont="1" applyFill="1" applyBorder="1"/>
    <xf numFmtId="43" fontId="18" fillId="21" borderId="0" xfId="0" applyNumberFormat="1" applyFont="1" applyFill="1"/>
    <xf numFmtId="180" fontId="50" fillId="21" borderId="0" xfId="0" applyNumberFormat="1" applyFont="1" applyFill="1" applyAlignment="1">
      <alignment horizontal="right" vertical="center"/>
    </xf>
    <xf numFmtId="0" fontId="6" fillId="21" borderId="23" xfId="0" applyFont="1" applyFill="1" applyBorder="1" applyAlignment="1">
      <alignment horizontal="center" vertical="center"/>
    </xf>
    <xf numFmtId="0" fontId="6" fillId="21" borderId="2" xfId="0" applyFont="1" applyFill="1" applyBorder="1" applyAlignment="1">
      <alignment horizontal="center" vertical="center"/>
    </xf>
    <xf numFmtId="0" fontId="6" fillId="21" borderId="33" xfId="0" applyFont="1" applyFill="1" applyBorder="1" applyAlignment="1">
      <alignment horizontal="center" vertical="center"/>
    </xf>
    <xf numFmtId="164" fontId="17" fillId="21" borderId="26" xfId="2" applyNumberFormat="1" applyFont="1" applyFill="1" applyBorder="1" applyAlignment="1">
      <alignment horizontal="right" vertical="center"/>
    </xf>
    <xf numFmtId="164" fontId="17" fillId="21" borderId="25" xfId="2" applyNumberFormat="1" applyFont="1" applyFill="1" applyBorder="1" applyAlignment="1">
      <alignment horizontal="right" vertical="center"/>
    </xf>
    <xf numFmtId="164" fontId="17" fillId="21" borderId="24" xfId="2" applyNumberFormat="1" applyFont="1" applyFill="1" applyBorder="1" applyAlignment="1">
      <alignment horizontal="right" vertical="center"/>
    </xf>
    <xf numFmtId="164" fontId="11" fillId="21" borderId="0" xfId="2" applyNumberFormat="1" applyFont="1" applyFill="1" applyAlignment="1">
      <alignment horizontal="center" vertical="center"/>
    </xf>
    <xf numFmtId="164" fontId="4" fillId="21" borderId="4" xfId="2" applyNumberFormat="1" applyFont="1" applyFill="1" applyBorder="1" applyAlignment="1">
      <alignment horizontal="center" vertical="center" readingOrder="2"/>
    </xf>
    <xf numFmtId="164" fontId="4" fillId="21" borderId="5" xfId="2" applyNumberFormat="1" applyFont="1" applyFill="1" applyBorder="1" applyAlignment="1">
      <alignment horizontal="center" vertical="center" readingOrder="2"/>
    </xf>
    <xf numFmtId="164" fontId="44" fillId="21" borderId="7" xfId="2" applyNumberFormat="1" applyFont="1" applyFill="1" applyBorder="1" applyAlignment="1">
      <alignment horizontal="center" vertical="center"/>
    </xf>
    <xf numFmtId="0" fontId="31" fillId="21" borderId="0" xfId="0" applyFont="1" applyFill="1" applyAlignment="1">
      <alignment horizontal="center" vertical="center"/>
    </xf>
  </cellXfs>
  <cellStyles count="300">
    <cellStyle name="1" xfId="4" xr:uid="{00000000-0005-0000-0000-000000000000}"/>
    <cellStyle name="1_1" xfId="5" xr:uid="{00000000-0005-0000-0000-000001000000}"/>
    <cellStyle name="1_16" xfId="6" xr:uid="{00000000-0005-0000-0000-000002000000}"/>
    <cellStyle name="1_92-2000" xfId="7" xr:uid="{00000000-0005-0000-0000-000003000000}"/>
    <cellStyle name="1_Book2" xfId="8" xr:uid="{00000000-0005-0000-0000-000004000000}"/>
    <cellStyle name="1_Book3" xfId="9" xr:uid="{00000000-0005-0000-0000-000005000000}"/>
    <cellStyle name="1_Book4" xfId="10" xr:uid="{00000000-0005-0000-0000-000006000000}"/>
    <cellStyle name="1_monthly series 89-99" xfId="11" xr:uid="{00000000-0005-0000-0000-000007000000}"/>
    <cellStyle name="1_tab-2000" xfId="12" xr:uid="{00000000-0005-0000-0000-000008000000}"/>
    <cellStyle name="Accent1 - 20%" xfId="13" xr:uid="{00000000-0005-0000-0000-000009000000}"/>
    <cellStyle name="Accent1 - 40%" xfId="14" xr:uid="{00000000-0005-0000-0000-00000A000000}"/>
    <cellStyle name="Accent1 - 60%" xfId="15" xr:uid="{00000000-0005-0000-0000-00000B000000}"/>
    <cellStyle name="Accent1 2" xfId="16" xr:uid="{00000000-0005-0000-0000-00000C000000}"/>
    <cellStyle name="Accent1 3" xfId="17" xr:uid="{00000000-0005-0000-0000-00000D000000}"/>
    <cellStyle name="Accent1 4" xfId="18" xr:uid="{00000000-0005-0000-0000-00000E000000}"/>
    <cellStyle name="Accent1 5" xfId="19" xr:uid="{00000000-0005-0000-0000-00000F000000}"/>
    <cellStyle name="Accent1 6" xfId="20" xr:uid="{00000000-0005-0000-0000-000010000000}"/>
    <cellStyle name="Accent1 7" xfId="21" xr:uid="{00000000-0005-0000-0000-000011000000}"/>
    <cellStyle name="Accent1 8" xfId="22" xr:uid="{00000000-0005-0000-0000-000012000000}"/>
    <cellStyle name="Accent1 9" xfId="23" xr:uid="{00000000-0005-0000-0000-000013000000}"/>
    <cellStyle name="Accent2 - 20%" xfId="24" xr:uid="{00000000-0005-0000-0000-000014000000}"/>
    <cellStyle name="Accent2 - 40%" xfId="25" xr:uid="{00000000-0005-0000-0000-000015000000}"/>
    <cellStyle name="Accent2 - 60%" xfId="26" xr:uid="{00000000-0005-0000-0000-000016000000}"/>
    <cellStyle name="Accent2 2" xfId="27" xr:uid="{00000000-0005-0000-0000-000017000000}"/>
    <cellStyle name="Accent2 3" xfId="28" xr:uid="{00000000-0005-0000-0000-000018000000}"/>
    <cellStyle name="Accent2 4" xfId="29" xr:uid="{00000000-0005-0000-0000-000019000000}"/>
    <cellStyle name="Accent2 5" xfId="30" xr:uid="{00000000-0005-0000-0000-00001A000000}"/>
    <cellStyle name="Accent2 6" xfId="31" xr:uid="{00000000-0005-0000-0000-00001B000000}"/>
    <cellStyle name="Accent2 7" xfId="32" xr:uid="{00000000-0005-0000-0000-00001C000000}"/>
    <cellStyle name="Accent2 8" xfId="33" xr:uid="{00000000-0005-0000-0000-00001D000000}"/>
    <cellStyle name="Accent2 9" xfId="34" xr:uid="{00000000-0005-0000-0000-00001E000000}"/>
    <cellStyle name="Accent3 - 20%" xfId="35" xr:uid="{00000000-0005-0000-0000-00001F000000}"/>
    <cellStyle name="Accent3 - 40%" xfId="36" xr:uid="{00000000-0005-0000-0000-000020000000}"/>
    <cellStyle name="Accent3 - 60%" xfId="37" xr:uid="{00000000-0005-0000-0000-000021000000}"/>
    <cellStyle name="Accent3 2" xfId="38" xr:uid="{00000000-0005-0000-0000-000022000000}"/>
    <cellStyle name="Accent3 3" xfId="39" xr:uid="{00000000-0005-0000-0000-000023000000}"/>
    <cellStyle name="Accent3 4" xfId="40" xr:uid="{00000000-0005-0000-0000-000024000000}"/>
    <cellStyle name="Accent3 5" xfId="41" xr:uid="{00000000-0005-0000-0000-000025000000}"/>
    <cellStyle name="Accent3 6" xfId="42" xr:uid="{00000000-0005-0000-0000-000026000000}"/>
    <cellStyle name="Accent3 7" xfId="43" xr:uid="{00000000-0005-0000-0000-000027000000}"/>
    <cellStyle name="Accent3 8" xfId="44" xr:uid="{00000000-0005-0000-0000-000028000000}"/>
    <cellStyle name="Accent3 9" xfId="45" xr:uid="{00000000-0005-0000-0000-000029000000}"/>
    <cellStyle name="Accent4 - 20%" xfId="46" xr:uid="{00000000-0005-0000-0000-00002A000000}"/>
    <cellStyle name="Accent4 - 40%" xfId="47" xr:uid="{00000000-0005-0000-0000-00002B000000}"/>
    <cellStyle name="Accent4 - 60%" xfId="48" xr:uid="{00000000-0005-0000-0000-00002C000000}"/>
    <cellStyle name="Accent4 2" xfId="49" xr:uid="{00000000-0005-0000-0000-00002D000000}"/>
    <cellStyle name="Accent4 3" xfId="50" xr:uid="{00000000-0005-0000-0000-00002E000000}"/>
    <cellStyle name="Accent4 4" xfId="51" xr:uid="{00000000-0005-0000-0000-00002F000000}"/>
    <cellStyle name="Accent4 5" xfId="52" xr:uid="{00000000-0005-0000-0000-000030000000}"/>
    <cellStyle name="Accent4 6" xfId="53" xr:uid="{00000000-0005-0000-0000-000031000000}"/>
    <cellStyle name="Accent4 7" xfId="54" xr:uid="{00000000-0005-0000-0000-000032000000}"/>
    <cellStyle name="Accent4 8" xfId="55" xr:uid="{00000000-0005-0000-0000-000033000000}"/>
    <cellStyle name="Accent4 9" xfId="56" xr:uid="{00000000-0005-0000-0000-000034000000}"/>
    <cellStyle name="Accent5 - 20%" xfId="57" xr:uid="{00000000-0005-0000-0000-000035000000}"/>
    <cellStyle name="Accent5 - 40%" xfId="58" xr:uid="{00000000-0005-0000-0000-000036000000}"/>
    <cellStyle name="Accent5 - 60%" xfId="59" xr:uid="{00000000-0005-0000-0000-000037000000}"/>
    <cellStyle name="Accent5 2" xfId="60" xr:uid="{00000000-0005-0000-0000-000038000000}"/>
    <cellStyle name="Accent5 3" xfId="61" xr:uid="{00000000-0005-0000-0000-000039000000}"/>
    <cellStyle name="Accent5 4" xfId="62" xr:uid="{00000000-0005-0000-0000-00003A000000}"/>
    <cellStyle name="Accent5 5" xfId="63" xr:uid="{00000000-0005-0000-0000-00003B000000}"/>
    <cellStyle name="Accent5 6" xfId="64" xr:uid="{00000000-0005-0000-0000-00003C000000}"/>
    <cellStyle name="Accent5 7" xfId="65" xr:uid="{00000000-0005-0000-0000-00003D000000}"/>
    <cellStyle name="Accent5 8" xfId="66" xr:uid="{00000000-0005-0000-0000-00003E000000}"/>
    <cellStyle name="Accent5 9" xfId="67" xr:uid="{00000000-0005-0000-0000-00003F000000}"/>
    <cellStyle name="Accent6 - 20%" xfId="68" xr:uid="{00000000-0005-0000-0000-000040000000}"/>
    <cellStyle name="Accent6 - 40%" xfId="69" xr:uid="{00000000-0005-0000-0000-000041000000}"/>
    <cellStyle name="Accent6 - 60%" xfId="70" xr:uid="{00000000-0005-0000-0000-000042000000}"/>
    <cellStyle name="Accent6 2" xfId="71" xr:uid="{00000000-0005-0000-0000-000043000000}"/>
    <cellStyle name="Accent6 3" xfId="72" xr:uid="{00000000-0005-0000-0000-000044000000}"/>
    <cellStyle name="Accent6 4" xfId="73" xr:uid="{00000000-0005-0000-0000-000045000000}"/>
    <cellStyle name="Accent6 5" xfId="74" xr:uid="{00000000-0005-0000-0000-000046000000}"/>
    <cellStyle name="Accent6 6" xfId="75" xr:uid="{00000000-0005-0000-0000-000047000000}"/>
    <cellStyle name="Accent6 7" xfId="76" xr:uid="{00000000-0005-0000-0000-000048000000}"/>
    <cellStyle name="Accent6 8" xfId="77" xr:uid="{00000000-0005-0000-0000-000049000000}"/>
    <cellStyle name="Accent6 9" xfId="78" xr:uid="{00000000-0005-0000-0000-00004A000000}"/>
    <cellStyle name="AutoFormat Options" xfId="79" xr:uid="{00000000-0005-0000-0000-00004B000000}"/>
    <cellStyle name="Bad 2" xfId="80" xr:uid="{00000000-0005-0000-0000-00004C000000}"/>
    <cellStyle name="Bad 3" xfId="81" xr:uid="{00000000-0005-0000-0000-00004D000000}"/>
    <cellStyle name="Bad 4" xfId="82" xr:uid="{00000000-0005-0000-0000-00004E000000}"/>
    <cellStyle name="Bad 5" xfId="83" xr:uid="{00000000-0005-0000-0000-00004F000000}"/>
    <cellStyle name="Bad 6" xfId="84" xr:uid="{00000000-0005-0000-0000-000050000000}"/>
    <cellStyle name="Bad 7" xfId="85" xr:uid="{00000000-0005-0000-0000-000051000000}"/>
    <cellStyle name="Bad 8" xfId="86" xr:uid="{00000000-0005-0000-0000-000052000000}"/>
    <cellStyle name="Bad 9" xfId="87" xr:uid="{00000000-0005-0000-0000-000053000000}"/>
    <cellStyle name="Calc C - Style1" xfId="88" xr:uid="{00000000-0005-0000-0000-000054000000}"/>
    <cellStyle name="Calc C - Style2" xfId="89" xr:uid="{00000000-0005-0000-0000-000055000000}"/>
    <cellStyle name="Calc C - Style3" xfId="90" xr:uid="{00000000-0005-0000-0000-000056000000}"/>
    <cellStyle name="Calc C - Style4" xfId="91" xr:uid="{00000000-0005-0000-0000-000057000000}"/>
    <cellStyle name="Calc C - Style5" xfId="92" xr:uid="{00000000-0005-0000-0000-000058000000}"/>
    <cellStyle name="Calc C - Style6" xfId="93" xr:uid="{00000000-0005-0000-0000-000059000000}"/>
    <cellStyle name="Calc C - Style7" xfId="94" xr:uid="{00000000-0005-0000-0000-00005A000000}"/>
    <cellStyle name="Calc C - Style8" xfId="95" xr:uid="{00000000-0005-0000-0000-00005B000000}"/>
    <cellStyle name="Calc Currency (0)" xfId="96" xr:uid="{00000000-0005-0000-0000-00005C000000}"/>
    <cellStyle name="Calc Currency (2)" xfId="97" xr:uid="{00000000-0005-0000-0000-00005D000000}"/>
    <cellStyle name="Calc Percent (0)" xfId="98" xr:uid="{00000000-0005-0000-0000-00005E000000}"/>
    <cellStyle name="Calc Percent (1)" xfId="99" xr:uid="{00000000-0005-0000-0000-00005F000000}"/>
    <cellStyle name="Calc Percent (2)" xfId="100" xr:uid="{00000000-0005-0000-0000-000060000000}"/>
    <cellStyle name="Calc Units (0)" xfId="101" xr:uid="{00000000-0005-0000-0000-000061000000}"/>
    <cellStyle name="Calc Units (1)" xfId="102" xr:uid="{00000000-0005-0000-0000-000062000000}"/>
    <cellStyle name="Calc Units (2)" xfId="103" xr:uid="{00000000-0005-0000-0000-000063000000}"/>
    <cellStyle name="Calculation 2" xfId="104" xr:uid="{00000000-0005-0000-0000-000064000000}"/>
    <cellStyle name="Calculation 3" xfId="105" xr:uid="{00000000-0005-0000-0000-000065000000}"/>
    <cellStyle name="Calculation 4" xfId="106" xr:uid="{00000000-0005-0000-0000-000066000000}"/>
    <cellStyle name="Calculation 5" xfId="107" xr:uid="{00000000-0005-0000-0000-000067000000}"/>
    <cellStyle name="Calculation 6" xfId="108" xr:uid="{00000000-0005-0000-0000-000068000000}"/>
    <cellStyle name="Calculation 7" xfId="109" xr:uid="{00000000-0005-0000-0000-000069000000}"/>
    <cellStyle name="Calculation 8" xfId="110" xr:uid="{00000000-0005-0000-0000-00006A000000}"/>
    <cellStyle name="Calculation 9" xfId="111" xr:uid="{00000000-0005-0000-0000-00006B000000}"/>
    <cellStyle name="Change A&amp;ll" xfId="112" xr:uid="{00000000-0005-0000-0000-00006C000000}"/>
    <cellStyle name="Check Cell 2" xfId="113" xr:uid="{00000000-0005-0000-0000-00006D000000}"/>
    <cellStyle name="Check Cell 3" xfId="114" xr:uid="{00000000-0005-0000-0000-00006E000000}"/>
    <cellStyle name="Check Cell 4" xfId="115" xr:uid="{00000000-0005-0000-0000-00006F000000}"/>
    <cellStyle name="Check Cell 5" xfId="116" xr:uid="{00000000-0005-0000-0000-000070000000}"/>
    <cellStyle name="Check Cell 6" xfId="117" xr:uid="{00000000-0005-0000-0000-000071000000}"/>
    <cellStyle name="Check Cell 7" xfId="118" xr:uid="{00000000-0005-0000-0000-000072000000}"/>
    <cellStyle name="Check Cell 8" xfId="119" xr:uid="{00000000-0005-0000-0000-000073000000}"/>
    <cellStyle name="Check Cell 9" xfId="120" xr:uid="{00000000-0005-0000-0000-000074000000}"/>
    <cellStyle name="Comma" xfId="1" builtinId="3"/>
    <cellStyle name="Comma  - Style1" xfId="121" xr:uid="{00000000-0005-0000-0000-000076000000}"/>
    <cellStyle name="Comma  - Style2" xfId="122" xr:uid="{00000000-0005-0000-0000-000077000000}"/>
    <cellStyle name="Comma  - Style3" xfId="123" xr:uid="{00000000-0005-0000-0000-000078000000}"/>
    <cellStyle name="Comma  - Style4" xfId="124" xr:uid="{00000000-0005-0000-0000-000079000000}"/>
    <cellStyle name="Comma  - Style5" xfId="125" xr:uid="{00000000-0005-0000-0000-00007A000000}"/>
    <cellStyle name="Comma  - Style6" xfId="126" xr:uid="{00000000-0005-0000-0000-00007B000000}"/>
    <cellStyle name="Comma  - Style7" xfId="127" xr:uid="{00000000-0005-0000-0000-00007C000000}"/>
    <cellStyle name="Comma  - Style8" xfId="128" xr:uid="{00000000-0005-0000-0000-00007D000000}"/>
    <cellStyle name="Comma [00]" xfId="129" xr:uid="{00000000-0005-0000-0000-00007E000000}"/>
    <cellStyle name="Comma 10" xfId="130" xr:uid="{00000000-0005-0000-0000-00007F000000}"/>
    <cellStyle name="Comma 2" xfId="131" xr:uid="{00000000-0005-0000-0000-000080000000}"/>
    <cellStyle name="Comma 2 2" xfId="132" xr:uid="{00000000-0005-0000-0000-000081000000}"/>
    <cellStyle name="Comma 2 3" xfId="133" xr:uid="{00000000-0005-0000-0000-000082000000}"/>
    <cellStyle name="Comma 3" xfId="134" xr:uid="{00000000-0005-0000-0000-000083000000}"/>
    <cellStyle name="Comma 3 2" xfId="135" xr:uid="{00000000-0005-0000-0000-000084000000}"/>
    <cellStyle name="Comma 3 3" xfId="136" xr:uid="{00000000-0005-0000-0000-000085000000}"/>
    <cellStyle name="Comma 3 4" xfId="137" xr:uid="{00000000-0005-0000-0000-000086000000}"/>
    <cellStyle name="Comma 3 5" xfId="138" xr:uid="{00000000-0005-0000-0000-000087000000}"/>
    <cellStyle name="Comma 3 6" xfId="139" xr:uid="{00000000-0005-0000-0000-000088000000}"/>
    <cellStyle name="Comma 3 7" xfId="140" xr:uid="{00000000-0005-0000-0000-000089000000}"/>
    <cellStyle name="Comma 3 8" xfId="141" xr:uid="{00000000-0005-0000-0000-00008A000000}"/>
    <cellStyle name="Currency [00]" xfId="142" xr:uid="{00000000-0005-0000-0000-00008B000000}"/>
    <cellStyle name="Date Short" xfId="143" xr:uid="{00000000-0005-0000-0000-00008C000000}"/>
    <cellStyle name="Emphasis 1" xfId="144" xr:uid="{00000000-0005-0000-0000-00008D000000}"/>
    <cellStyle name="Emphasis 2" xfId="145" xr:uid="{00000000-0005-0000-0000-00008E000000}"/>
    <cellStyle name="Emphasis 3" xfId="146" xr:uid="{00000000-0005-0000-0000-00008F000000}"/>
    <cellStyle name="Enter Currency (0)" xfId="147" xr:uid="{00000000-0005-0000-0000-000090000000}"/>
    <cellStyle name="Enter Currency (2)" xfId="148" xr:uid="{00000000-0005-0000-0000-000091000000}"/>
    <cellStyle name="Enter Units (0)" xfId="149" xr:uid="{00000000-0005-0000-0000-000092000000}"/>
    <cellStyle name="Enter Units (1)" xfId="150" xr:uid="{00000000-0005-0000-0000-000093000000}"/>
    <cellStyle name="Enter Units (2)" xfId="151" xr:uid="{00000000-0005-0000-0000-000094000000}"/>
    <cellStyle name="Good 2" xfId="152" xr:uid="{00000000-0005-0000-0000-000095000000}"/>
    <cellStyle name="Good 3" xfId="153" xr:uid="{00000000-0005-0000-0000-000096000000}"/>
    <cellStyle name="Good 4" xfId="154" xr:uid="{00000000-0005-0000-0000-000097000000}"/>
    <cellStyle name="Good 5" xfId="155" xr:uid="{00000000-0005-0000-0000-000098000000}"/>
    <cellStyle name="Good 6" xfId="156" xr:uid="{00000000-0005-0000-0000-000099000000}"/>
    <cellStyle name="Good 7" xfId="157" xr:uid="{00000000-0005-0000-0000-00009A000000}"/>
    <cellStyle name="Good 8" xfId="158" xr:uid="{00000000-0005-0000-0000-00009B000000}"/>
    <cellStyle name="Good 9" xfId="159" xr:uid="{00000000-0005-0000-0000-00009C000000}"/>
    <cellStyle name="Grey" xfId="160" xr:uid="{00000000-0005-0000-0000-00009D000000}"/>
    <cellStyle name="Header1" xfId="161" xr:uid="{00000000-0005-0000-0000-00009E000000}"/>
    <cellStyle name="Header2" xfId="162" xr:uid="{00000000-0005-0000-0000-00009F000000}"/>
    <cellStyle name="Heading 1 2" xfId="163" xr:uid="{00000000-0005-0000-0000-0000A0000000}"/>
    <cellStyle name="Heading 1 3" xfId="164" xr:uid="{00000000-0005-0000-0000-0000A1000000}"/>
    <cellStyle name="Heading 1 4" xfId="165" xr:uid="{00000000-0005-0000-0000-0000A2000000}"/>
    <cellStyle name="Heading 1 5" xfId="166" xr:uid="{00000000-0005-0000-0000-0000A3000000}"/>
    <cellStyle name="Heading 1 6" xfId="167" xr:uid="{00000000-0005-0000-0000-0000A4000000}"/>
    <cellStyle name="Heading 1 7" xfId="168" xr:uid="{00000000-0005-0000-0000-0000A5000000}"/>
    <cellStyle name="Heading 1 8" xfId="169" xr:uid="{00000000-0005-0000-0000-0000A6000000}"/>
    <cellStyle name="Heading 1 9" xfId="170" xr:uid="{00000000-0005-0000-0000-0000A7000000}"/>
    <cellStyle name="Heading 2 2" xfId="171" xr:uid="{00000000-0005-0000-0000-0000A8000000}"/>
    <cellStyle name="Heading 2 3" xfId="172" xr:uid="{00000000-0005-0000-0000-0000A9000000}"/>
    <cellStyle name="Heading 2 4" xfId="173" xr:uid="{00000000-0005-0000-0000-0000AA000000}"/>
    <cellStyle name="Heading 2 5" xfId="174" xr:uid="{00000000-0005-0000-0000-0000AB000000}"/>
    <cellStyle name="Heading 2 6" xfId="175" xr:uid="{00000000-0005-0000-0000-0000AC000000}"/>
    <cellStyle name="Heading 2 7" xfId="176" xr:uid="{00000000-0005-0000-0000-0000AD000000}"/>
    <cellStyle name="Heading 2 8" xfId="177" xr:uid="{00000000-0005-0000-0000-0000AE000000}"/>
    <cellStyle name="Heading 2 9" xfId="178" xr:uid="{00000000-0005-0000-0000-0000AF000000}"/>
    <cellStyle name="Heading 3 2" xfId="179" xr:uid="{00000000-0005-0000-0000-0000B0000000}"/>
    <cellStyle name="Heading 3 3" xfId="180" xr:uid="{00000000-0005-0000-0000-0000B1000000}"/>
    <cellStyle name="Heading 3 4" xfId="181" xr:uid="{00000000-0005-0000-0000-0000B2000000}"/>
    <cellStyle name="Heading 3 5" xfId="182" xr:uid="{00000000-0005-0000-0000-0000B3000000}"/>
    <cellStyle name="Heading 3 6" xfId="183" xr:uid="{00000000-0005-0000-0000-0000B4000000}"/>
    <cellStyle name="Heading 3 7" xfId="184" xr:uid="{00000000-0005-0000-0000-0000B5000000}"/>
    <cellStyle name="Heading 3 8" xfId="185" xr:uid="{00000000-0005-0000-0000-0000B6000000}"/>
    <cellStyle name="Heading 3 9" xfId="186" xr:uid="{00000000-0005-0000-0000-0000B7000000}"/>
    <cellStyle name="Heading 4 2" xfId="187" xr:uid="{00000000-0005-0000-0000-0000B8000000}"/>
    <cellStyle name="Heading 4 3" xfId="188" xr:uid="{00000000-0005-0000-0000-0000B9000000}"/>
    <cellStyle name="Heading 4 4" xfId="189" xr:uid="{00000000-0005-0000-0000-0000BA000000}"/>
    <cellStyle name="Heading 4 5" xfId="190" xr:uid="{00000000-0005-0000-0000-0000BB000000}"/>
    <cellStyle name="Heading 4 6" xfId="191" xr:uid="{00000000-0005-0000-0000-0000BC000000}"/>
    <cellStyle name="Heading 4 7" xfId="192" xr:uid="{00000000-0005-0000-0000-0000BD000000}"/>
    <cellStyle name="Heading 4 8" xfId="193" xr:uid="{00000000-0005-0000-0000-0000BE000000}"/>
    <cellStyle name="Heading 4 9" xfId="194" xr:uid="{00000000-0005-0000-0000-0000BF000000}"/>
    <cellStyle name="Input [yellow]" xfId="195" xr:uid="{00000000-0005-0000-0000-0000C0000000}"/>
    <cellStyle name="Input 2" xfId="196" xr:uid="{00000000-0005-0000-0000-0000C1000000}"/>
    <cellStyle name="Input 3" xfId="197" xr:uid="{00000000-0005-0000-0000-0000C2000000}"/>
    <cellStyle name="Input 4" xfId="198" xr:uid="{00000000-0005-0000-0000-0000C3000000}"/>
    <cellStyle name="Input 5" xfId="199" xr:uid="{00000000-0005-0000-0000-0000C4000000}"/>
    <cellStyle name="Input 6" xfId="200" xr:uid="{00000000-0005-0000-0000-0000C5000000}"/>
    <cellStyle name="Input 7" xfId="201" xr:uid="{00000000-0005-0000-0000-0000C6000000}"/>
    <cellStyle name="Input 8" xfId="202" xr:uid="{00000000-0005-0000-0000-0000C7000000}"/>
    <cellStyle name="Input 9" xfId="203" xr:uid="{00000000-0005-0000-0000-0000C8000000}"/>
    <cellStyle name="Link Currency (0)" xfId="204" xr:uid="{00000000-0005-0000-0000-0000C9000000}"/>
    <cellStyle name="Link Currency (2)" xfId="205" xr:uid="{00000000-0005-0000-0000-0000CA000000}"/>
    <cellStyle name="Link Units (0)" xfId="206" xr:uid="{00000000-0005-0000-0000-0000CB000000}"/>
    <cellStyle name="Link Units (1)" xfId="207" xr:uid="{00000000-0005-0000-0000-0000CC000000}"/>
    <cellStyle name="Link Units (2)" xfId="208" xr:uid="{00000000-0005-0000-0000-0000CD000000}"/>
    <cellStyle name="Linked Cell 2" xfId="209" xr:uid="{00000000-0005-0000-0000-0000CE000000}"/>
    <cellStyle name="Linked Cell 3" xfId="210" xr:uid="{00000000-0005-0000-0000-0000CF000000}"/>
    <cellStyle name="Linked Cell 4" xfId="211" xr:uid="{00000000-0005-0000-0000-0000D0000000}"/>
    <cellStyle name="Linked Cell 5" xfId="212" xr:uid="{00000000-0005-0000-0000-0000D1000000}"/>
    <cellStyle name="Linked Cell 6" xfId="213" xr:uid="{00000000-0005-0000-0000-0000D2000000}"/>
    <cellStyle name="Linked Cell 7" xfId="214" xr:uid="{00000000-0005-0000-0000-0000D3000000}"/>
    <cellStyle name="Linked Cell 8" xfId="215" xr:uid="{00000000-0005-0000-0000-0000D4000000}"/>
    <cellStyle name="Linked Cell 9" xfId="216" xr:uid="{00000000-0005-0000-0000-0000D5000000}"/>
    <cellStyle name="Milliers [0]_VERA" xfId="217" xr:uid="{00000000-0005-0000-0000-0000D6000000}"/>
    <cellStyle name="Milliers_VERA" xfId="218" xr:uid="{00000000-0005-0000-0000-0000D7000000}"/>
    <cellStyle name="Monétaire [0]_VERA" xfId="219" xr:uid="{00000000-0005-0000-0000-0000D8000000}"/>
    <cellStyle name="Monétaire_VERA" xfId="220" xr:uid="{00000000-0005-0000-0000-0000D9000000}"/>
    <cellStyle name="Neutral 2" xfId="221" xr:uid="{00000000-0005-0000-0000-0000DA000000}"/>
    <cellStyle name="Neutral 3" xfId="222" xr:uid="{00000000-0005-0000-0000-0000DB000000}"/>
    <cellStyle name="Neutral 4" xfId="223" xr:uid="{00000000-0005-0000-0000-0000DC000000}"/>
    <cellStyle name="Neutral 5" xfId="224" xr:uid="{00000000-0005-0000-0000-0000DD000000}"/>
    <cellStyle name="Neutral 6" xfId="225" xr:uid="{00000000-0005-0000-0000-0000DE000000}"/>
    <cellStyle name="Neutral 7" xfId="226" xr:uid="{00000000-0005-0000-0000-0000DF000000}"/>
    <cellStyle name="Neutral 8" xfId="227" xr:uid="{00000000-0005-0000-0000-0000E0000000}"/>
    <cellStyle name="Neutral 9" xfId="228" xr:uid="{00000000-0005-0000-0000-0000E1000000}"/>
    <cellStyle name="Normal" xfId="0" builtinId="0"/>
    <cellStyle name="Normal - Style1" xfId="229" xr:uid="{00000000-0005-0000-0000-0000E3000000}"/>
    <cellStyle name="Normal 14" xfId="3" xr:uid="{00000000-0005-0000-0000-0000E4000000}"/>
    <cellStyle name="Normal 2" xfId="230" xr:uid="{00000000-0005-0000-0000-0000E5000000}"/>
    <cellStyle name="Normal 2 2" xfId="231" xr:uid="{00000000-0005-0000-0000-0000E6000000}"/>
    <cellStyle name="Normal 3" xfId="232" xr:uid="{00000000-0005-0000-0000-0000E7000000}"/>
    <cellStyle name="Normal 5" xfId="233" xr:uid="{00000000-0005-0000-0000-0000E8000000}"/>
    <cellStyle name="Normal 6" xfId="234" xr:uid="{00000000-0005-0000-0000-0000E9000000}"/>
    <cellStyle name="Normal 7" xfId="235" xr:uid="{00000000-0005-0000-0000-0000EA000000}"/>
    <cellStyle name="Normal 8" xfId="236" xr:uid="{00000000-0005-0000-0000-0000EB000000}"/>
    <cellStyle name="Normal 9" xfId="237" xr:uid="{00000000-0005-0000-0000-0000EC000000}"/>
    <cellStyle name="Normal_Finance - XI" xfId="2" xr:uid="{00000000-0005-0000-0000-0000ED000000}"/>
    <cellStyle name="Note 2" xfId="238" xr:uid="{00000000-0005-0000-0000-0000EF000000}"/>
    <cellStyle name="Note 3" xfId="239" xr:uid="{00000000-0005-0000-0000-0000F0000000}"/>
    <cellStyle name="Note 4" xfId="240" xr:uid="{00000000-0005-0000-0000-0000F1000000}"/>
    <cellStyle name="Note 5" xfId="241" xr:uid="{00000000-0005-0000-0000-0000F2000000}"/>
    <cellStyle name="Note 6" xfId="242" xr:uid="{00000000-0005-0000-0000-0000F3000000}"/>
    <cellStyle name="Note 7" xfId="243" xr:uid="{00000000-0005-0000-0000-0000F4000000}"/>
    <cellStyle name="Note 8" xfId="244" xr:uid="{00000000-0005-0000-0000-0000F5000000}"/>
    <cellStyle name="Note 9" xfId="245" xr:uid="{00000000-0005-0000-0000-0000F6000000}"/>
    <cellStyle name="Output 2" xfId="246" xr:uid="{00000000-0005-0000-0000-0000F7000000}"/>
    <cellStyle name="Output 3" xfId="247" xr:uid="{00000000-0005-0000-0000-0000F8000000}"/>
    <cellStyle name="Output 4" xfId="248" xr:uid="{00000000-0005-0000-0000-0000F9000000}"/>
    <cellStyle name="Output 5" xfId="249" xr:uid="{00000000-0005-0000-0000-0000FA000000}"/>
    <cellStyle name="Output 6" xfId="250" xr:uid="{00000000-0005-0000-0000-0000FB000000}"/>
    <cellStyle name="Output 7" xfId="251" xr:uid="{00000000-0005-0000-0000-0000FC000000}"/>
    <cellStyle name="Output 8" xfId="252" xr:uid="{00000000-0005-0000-0000-0000FD000000}"/>
    <cellStyle name="Output 9" xfId="253" xr:uid="{00000000-0005-0000-0000-0000FE000000}"/>
    <cellStyle name="Pattern" xfId="254" xr:uid="{00000000-0005-0000-0000-0000FF000000}"/>
    <cellStyle name="Percent [0]" xfId="255" xr:uid="{00000000-0005-0000-0000-000001010000}"/>
    <cellStyle name="Percent [00]" xfId="256" xr:uid="{00000000-0005-0000-0000-000002010000}"/>
    <cellStyle name="Percent [2]" xfId="257" xr:uid="{00000000-0005-0000-0000-000003010000}"/>
    <cellStyle name="Percent 2" xfId="258" xr:uid="{00000000-0005-0000-0000-000004010000}"/>
    <cellStyle name="Percent 2 2" xfId="259" xr:uid="{00000000-0005-0000-0000-000005010000}"/>
    <cellStyle name="Percent 2 3" xfId="260" xr:uid="{00000000-0005-0000-0000-000006010000}"/>
    <cellStyle name="Percent 3 2" xfId="261" xr:uid="{00000000-0005-0000-0000-000007010000}"/>
    <cellStyle name="Percent 3 3" xfId="262" xr:uid="{00000000-0005-0000-0000-000008010000}"/>
    <cellStyle name="Percent 3 4" xfId="263" xr:uid="{00000000-0005-0000-0000-000009010000}"/>
    <cellStyle name="Percent 3 5" xfId="264" xr:uid="{00000000-0005-0000-0000-00000A010000}"/>
    <cellStyle name="Percent 3 6" xfId="265" xr:uid="{00000000-0005-0000-0000-00000B010000}"/>
    <cellStyle name="Percent 3 7" xfId="266" xr:uid="{00000000-0005-0000-0000-00000C010000}"/>
    <cellStyle name="Percent 3 8" xfId="267" xr:uid="{00000000-0005-0000-0000-00000D010000}"/>
    <cellStyle name="PrePop Currency (0)" xfId="268" xr:uid="{00000000-0005-0000-0000-00000E010000}"/>
    <cellStyle name="PrePop Currency (2)" xfId="269" xr:uid="{00000000-0005-0000-0000-00000F010000}"/>
    <cellStyle name="PrePop Units (0)" xfId="270" xr:uid="{00000000-0005-0000-0000-000010010000}"/>
    <cellStyle name="PrePop Units (1)" xfId="271" xr:uid="{00000000-0005-0000-0000-000011010000}"/>
    <cellStyle name="PrePop Units (2)" xfId="272" xr:uid="{00000000-0005-0000-0000-000012010000}"/>
    <cellStyle name="Sheet Title" xfId="273" xr:uid="{00000000-0005-0000-0000-000013010000}"/>
    <cellStyle name="STYL1 - Style1" xfId="274" xr:uid="{00000000-0005-0000-0000-000014010000}"/>
    <cellStyle name="STYL2 - Style2" xfId="275" xr:uid="{00000000-0005-0000-0000-000015010000}"/>
    <cellStyle name="STYL3 - Style3" xfId="276" xr:uid="{00000000-0005-0000-0000-000016010000}"/>
    <cellStyle name="STYL4 - Style4" xfId="277" xr:uid="{00000000-0005-0000-0000-000017010000}"/>
    <cellStyle name="STYL5 - Style5" xfId="278" xr:uid="{00000000-0005-0000-0000-000018010000}"/>
    <cellStyle name="Text Indent A" xfId="279" xr:uid="{00000000-0005-0000-0000-000019010000}"/>
    <cellStyle name="Text Indent B" xfId="280" xr:uid="{00000000-0005-0000-0000-00001A010000}"/>
    <cellStyle name="Text Indent C" xfId="281" xr:uid="{00000000-0005-0000-0000-00001B010000}"/>
    <cellStyle name="Title 2" xfId="299" xr:uid="{00000000-0005-0000-0000-00001D010000}"/>
    <cellStyle name="Total 2" xfId="282" xr:uid="{00000000-0005-0000-0000-00001E010000}"/>
    <cellStyle name="Total 3" xfId="283" xr:uid="{00000000-0005-0000-0000-00001F010000}"/>
    <cellStyle name="Total 4" xfId="284" xr:uid="{00000000-0005-0000-0000-000020010000}"/>
    <cellStyle name="Total 5" xfId="285" xr:uid="{00000000-0005-0000-0000-000021010000}"/>
    <cellStyle name="Total 6" xfId="286" xr:uid="{00000000-0005-0000-0000-000022010000}"/>
    <cellStyle name="Total 7" xfId="287" xr:uid="{00000000-0005-0000-0000-000023010000}"/>
    <cellStyle name="Total 8" xfId="288" xr:uid="{00000000-0005-0000-0000-000024010000}"/>
    <cellStyle name="Total 9" xfId="289" xr:uid="{00000000-0005-0000-0000-000025010000}"/>
    <cellStyle name="Update" xfId="290" xr:uid="{00000000-0005-0000-0000-000026010000}"/>
    <cellStyle name="Warning Text 2" xfId="291" xr:uid="{00000000-0005-0000-0000-000027010000}"/>
    <cellStyle name="Warning Text 3" xfId="292" xr:uid="{00000000-0005-0000-0000-000028010000}"/>
    <cellStyle name="Warning Text 4" xfId="293" xr:uid="{00000000-0005-0000-0000-000029010000}"/>
    <cellStyle name="Warning Text 5" xfId="294" xr:uid="{00000000-0005-0000-0000-00002A010000}"/>
    <cellStyle name="Warning Text 6" xfId="295" xr:uid="{00000000-0005-0000-0000-00002B010000}"/>
    <cellStyle name="Warning Text 7" xfId="296" xr:uid="{00000000-0005-0000-0000-00002C010000}"/>
    <cellStyle name="Warning Text 8" xfId="297" xr:uid="{00000000-0005-0000-0000-00002D010000}"/>
    <cellStyle name="Warning Text 9" xfId="298" xr:uid="{00000000-0005-0000-0000-00002E010000}"/>
  </cellStyles>
  <dxfs count="0"/>
  <tableStyles count="0" defaultTableStyle="TableStyleMedium9" defaultPivotStyle="PivotStyleLight16"/>
  <colors>
    <mruColors>
      <color rgb="FFFCFC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SD\Statistics_Section\Data_Dissemination\Monetary%20and%20Financial%20statistics_publications%20%20tables\interest%20rate\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AL107"/>
  <sheetViews>
    <sheetView showGridLines="0" tabSelected="1" zoomScale="85" zoomScaleNormal="85" zoomScaleSheetLayoutView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L12" sqref="L12"/>
    </sheetView>
  </sheetViews>
  <sheetFormatPr defaultColWidth="9.140625" defaultRowHeight="15" customHeight="1" x14ac:dyDescent="0.25"/>
  <cols>
    <col min="1" max="1" width="31.42578125" style="58" customWidth="1"/>
    <col min="2" max="17" width="10.28515625" style="58" bestFit="1" customWidth="1"/>
    <col min="18" max="18" width="40.85546875" style="2" customWidth="1"/>
    <col min="19" max="16384" width="9.140625" style="2"/>
  </cols>
  <sheetData>
    <row r="1" spans="1:38" ht="20.25" customHeight="1" x14ac:dyDescent="0.25">
      <c r="A1" s="69" t="s">
        <v>60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</row>
    <row r="2" spans="1:38" ht="20.25" customHeight="1" x14ac:dyDescent="0.25">
      <c r="A2" s="71" t="s">
        <v>59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</row>
    <row r="3" spans="1:38" ht="15.95" customHeight="1" x14ac:dyDescent="0.25">
      <c r="A3" s="68" t="s">
        <v>0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</row>
    <row r="4" spans="1:38" ht="15.95" customHeight="1" x14ac:dyDescent="0.25">
      <c r="A4" s="72" t="s">
        <v>1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</row>
    <row r="5" spans="1:38" ht="8.1" customHeight="1" x14ac:dyDescent="0.25">
      <c r="A5" s="40"/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</row>
    <row r="6" spans="1:38" ht="15.95" customHeight="1" x14ac:dyDescent="0.25">
      <c r="A6" s="21"/>
      <c r="B6" s="62">
        <v>2020</v>
      </c>
      <c r="C6" s="63"/>
      <c r="D6" s="63"/>
      <c r="E6" s="64"/>
      <c r="F6" s="62">
        <v>2021</v>
      </c>
      <c r="G6" s="63"/>
      <c r="H6" s="63"/>
      <c r="I6" s="64"/>
      <c r="J6" s="62">
        <v>2022</v>
      </c>
      <c r="K6" s="63"/>
      <c r="L6" s="63"/>
      <c r="M6" s="64"/>
      <c r="N6" s="62">
        <v>2023</v>
      </c>
      <c r="O6" s="63"/>
      <c r="P6" s="63"/>
      <c r="Q6" s="64"/>
      <c r="R6" s="65" t="s">
        <v>44</v>
      </c>
    </row>
    <row r="7" spans="1:38" ht="15.95" customHeight="1" x14ac:dyDescent="0.35">
      <c r="A7" s="3" t="s">
        <v>2</v>
      </c>
      <c r="B7" s="4" t="s">
        <v>3</v>
      </c>
      <c r="C7" s="5" t="s">
        <v>4</v>
      </c>
      <c r="D7" s="5" t="s">
        <v>5</v>
      </c>
      <c r="E7" s="6" t="s">
        <v>6</v>
      </c>
      <c r="F7" s="4" t="s">
        <v>3</v>
      </c>
      <c r="G7" s="5" t="s">
        <v>4</v>
      </c>
      <c r="H7" s="5" t="s">
        <v>5</v>
      </c>
      <c r="I7" s="6" t="s">
        <v>6</v>
      </c>
      <c r="J7" s="4" t="s">
        <v>3</v>
      </c>
      <c r="K7" s="5" t="s">
        <v>4</v>
      </c>
      <c r="L7" s="5" t="s">
        <v>5</v>
      </c>
      <c r="M7" s="6" t="s">
        <v>6</v>
      </c>
      <c r="N7" s="4" t="s">
        <v>3</v>
      </c>
      <c r="O7" s="5" t="s">
        <v>4</v>
      </c>
      <c r="P7" s="5" t="s">
        <v>5</v>
      </c>
      <c r="Q7" s="6" t="s">
        <v>6</v>
      </c>
      <c r="R7" s="66" t="s">
        <v>7</v>
      </c>
    </row>
    <row r="8" spans="1:38" ht="15.95" customHeight="1" x14ac:dyDescent="0.25">
      <c r="A8" s="7"/>
      <c r="B8" s="8" t="s">
        <v>8</v>
      </c>
      <c r="C8" s="9" t="s">
        <v>9</v>
      </c>
      <c r="D8" s="9" t="s">
        <v>10</v>
      </c>
      <c r="E8" s="10" t="s">
        <v>16</v>
      </c>
      <c r="F8" s="8" t="s">
        <v>8</v>
      </c>
      <c r="G8" s="9" t="s">
        <v>9</v>
      </c>
      <c r="H8" s="9" t="s">
        <v>10</v>
      </c>
      <c r="I8" s="10" t="s">
        <v>16</v>
      </c>
      <c r="J8" s="8" t="s">
        <v>8</v>
      </c>
      <c r="K8" s="9" t="s">
        <v>9</v>
      </c>
      <c r="L8" s="9" t="s">
        <v>10</v>
      </c>
      <c r="M8" s="10" t="s">
        <v>16</v>
      </c>
      <c r="N8" s="8" t="s">
        <v>8</v>
      </c>
      <c r="O8" s="9" t="s">
        <v>9</v>
      </c>
      <c r="P8" s="9" t="s">
        <v>10</v>
      </c>
      <c r="Q8" s="10" t="s">
        <v>16</v>
      </c>
      <c r="R8" s="67"/>
    </row>
    <row r="9" spans="1:38" ht="8.1" customHeight="1" x14ac:dyDescent="0.25">
      <c r="A9" s="11"/>
      <c r="B9" s="12"/>
      <c r="C9" s="13"/>
      <c r="D9" s="13"/>
      <c r="E9" s="14"/>
      <c r="F9" s="12"/>
      <c r="G9" s="13"/>
      <c r="H9" s="13"/>
      <c r="I9" s="14"/>
      <c r="J9" s="12"/>
      <c r="K9" s="13"/>
      <c r="L9" s="13"/>
      <c r="M9" s="14"/>
      <c r="N9" s="12"/>
      <c r="O9" s="13"/>
      <c r="P9" s="13"/>
      <c r="Q9" s="14"/>
      <c r="R9" s="41"/>
    </row>
    <row r="10" spans="1:38" ht="15.95" customHeight="1" x14ac:dyDescent="0.25">
      <c r="A10" s="30" t="s">
        <v>17</v>
      </c>
      <c r="B10" s="33">
        <v>19005.269963033003</v>
      </c>
      <c r="C10" s="34">
        <v>19472.6699974451</v>
      </c>
      <c r="D10" s="34">
        <v>20139.557116087301</v>
      </c>
      <c r="E10" s="35">
        <v>20688.0916939907</v>
      </c>
      <c r="F10" s="33">
        <v>21466.902555687182</v>
      </c>
      <c r="G10" s="34">
        <v>22141.92597981896</v>
      </c>
      <c r="H10" s="34">
        <v>22836.470837704215</v>
      </c>
      <c r="I10" s="35">
        <v>23674.308883043272</v>
      </c>
      <c r="J10" s="33">
        <v>24530.694939587098</v>
      </c>
      <c r="K10" s="34">
        <v>25301.459448142803</v>
      </c>
      <c r="L10" s="34">
        <v>25866.408986768387</v>
      </c>
      <c r="M10" s="35">
        <v>26796.756694596752</v>
      </c>
      <c r="N10" s="33">
        <v>27397.9328952654</v>
      </c>
      <c r="O10" s="34">
        <v>27870.970765158101</v>
      </c>
      <c r="P10" s="34">
        <v>28761.132338989701</v>
      </c>
      <c r="Q10" s="35">
        <v>29462.96744977</v>
      </c>
      <c r="R10" s="16" t="s">
        <v>52</v>
      </c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</row>
    <row r="11" spans="1:38" ht="15.95" customHeight="1" x14ac:dyDescent="0.25">
      <c r="A11" s="31" t="s">
        <v>18</v>
      </c>
      <c r="B11" s="36">
        <v>459.62374975</v>
      </c>
      <c r="C11" s="37">
        <v>428.11911043999999</v>
      </c>
      <c r="D11" s="37">
        <v>556.97581259000003</v>
      </c>
      <c r="E11" s="38">
        <v>525.30698316000007</v>
      </c>
      <c r="F11" s="36">
        <v>741.89525289000005</v>
      </c>
      <c r="G11" s="37">
        <v>696.85311036000007</v>
      </c>
      <c r="H11" s="37">
        <v>904.13555825000003</v>
      </c>
      <c r="I11" s="38">
        <v>886.11432764624999</v>
      </c>
      <c r="J11" s="36">
        <v>1110.5228543600001</v>
      </c>
      <c r="K11" s="37">
        <v>1172.25431088</v>
      </c>
      <c r="L11" s="37">
        <v>1151.16717556</v>
      </c>
      <c r="M11" s="38">
        <v>1131.2004413499999</v>
      </c>
      <c r="N11" s="36">
        <v>1049.9031476299999</v>
      </c>
      <c r="O11" s="37">
        <v>891.09587126999998</v>
      </c>
      <c r="P11" s="37">
        <v>1017.7195592</v>
      </c>
      <c r="Q11" s="38">
        <v>974.98357040999997</v>
      </c>
      <c r="R11" s="32" t="s">
        <v>50</v>
      </c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</row>
    <row r="12" spans="1:38" ht="15.95" customHeight="1" x14ac:dyDescent="0.25">
      <c r="A12" s="31" t="s">
        <v>26</v>
      </c>
      <c r="B12" s="36">
        <v>1.29099511298162</v>
      </c>
      <c r="C12" s="37">
        <v>0.56104683804796407</v>
      </c>
      <c r="D12" s="37">
        <v>0.26211573441441499</v>
      </c>
      <c r="E12" s="38">
        <v>0.11799956483313499</v>
      </c>
      <c r="F12" s="36">
        <v>0.63099877387600645</v>
      </c>
      <c r="G12" s="37">
        <v>0.29151825210946142</v>
      </c>
      <c r="H12" s="37">
        <v>0.1930132628434803</v>
      </c>
      <c r="I12" s="38">
        <v>0.10710210054528937</v>
      </c>
      <c r="J12" s="36">
        <v>0.1088159770959103</v>
      </c>
      <c r="K12" s="37">
        <v>8.3772832805842079E-2</v>
      </c>
      <c r="L12" s="37">
        <v>9.9060769683583141E-2</v>
      </c>
      <c r="M12" s="38">
        <v>0.11214277</v>
      </c>
      <c r="N12" s="36">
        <v>0.11915576999999999</v>
      </c>
      <c r="O12" s="37">
        <v>0.117498138132272</v>
      </c>
      <c r="P12" s="37">
        <v>0.11787664</v>
      </c>
      <c r="Q12" s="38">
        <v>0.11580873</v>
      </c>
      <c r="R12" s="32" t="s">
        <v>55</v>
      </c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</row>
    <row r="13" spans="1:38" ht="15.95" customHeight="1" x14ac:dyDescent="0.25">
      <c r="A13" s="31" t="s">
        <v>27</v>
      </c>
      <c r="B13" s="36">
        <v>12</v>
      </c>
      <c r="C13" s="37">
        <v>12</v>
      </c>
      <c r="D13" s="37">
        <v>12</v>
      </c>
      <c r="E13" s="38">
        <v>12</v>
      </c>
      <c r="F13" s="36">
        <v>12</v>
      </c>
      <c r="G13" s="37">
        <v>12</v>
      </c>
      <c r="H13" s="37">
        <v>12</v>
      </c>
      <c r="I13" s="38">
        <v>12</v>
      </c>
      <c r="J13" s="36">
        <v>12</v>
      </c>
      <c r="K13" s="37">
        <v>12</v>
      </c>
      <c r="L13" s="37">
        <v>12</v>
      </c>
      <c r="M13" s="38">
        <v>12</v>
      </c>
      <c r="N13" s="36">
        <v>12</v>
      </c>
      <c r="O13" s="37">
        <v>12</v>
      </c>
      <c r="P13" s="37">
        <v>12</v>
      </c>
      <c r="Q13" s="38">
        <v>12</v>
      </c>
      <c r="R13" s="32" t="s">
        <v>46</v>
      </c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</row>
    <row r="14" spans="1:38" ht="15.95" customHeight="1" x14ac:dyDescent="0.25">
      <c r="A14" s="31" t="s">
        <v>40</v>
      </c>
      <c r="B14" s="36">
        <v>893.14049321000005</v>
      </c>
      <c r="C14" s="37">
        <v>895.79703440000003</v>
      </c>
      <c r="D14" s="37">
        <v>1013.95419314</v>
      </c>
      <c r="E14" s="38">
        <v>993.98255758000005</v>
      </c>
      <c r="F14" s="36">
        <v>998.20119680000016</v>
      </c>
      <c r="G14" s="37">
        <v>1198.0424213700003</v>
      </c>
      <c r="H14" s="37">
        <v>1222.80331916</v>
      </c>
      <c r="I14" s="38">
        <v>1363.6359710900001</v>
      </c>
      <c r="J14" s="36">
        <v>1409.7240434799999</v>
      </c>
      <c r="K14" s="37">
        <v>1518.2034772299999</v>
      </c>
      <c r="L14" s="37">
        <v>1663.43169407</v>
      </c>
      <c r="M14" s="38">
        <v>1869.06269554</v>
      </c>
      <c r="N14" s="36">
        <v>1863.9512396699999</v>
      </c>
      <c r="O14" s="37">
        <v>1949.06236967</v>
      </c>
      <c r="P14" s="37">
        <v>2029.0305412800001</v>
      </c>
      <c r="Q14" s="38">
        <v>2079.1359330599998</v>
      </c>
      <c r="R14" s="32" t="s">
        <v>36</v>
      </c>
    </row>
    <row r="15" spans="1:38" ht="15.95" customHeight="1" x14ac:dyDescent="0.25">
      <c r="A15" s="31" t="s">
        <v>22</v>
      </c>
      <c r="B15" s="36">
        <v>10204.420106179999</v>
      </c>
      <c r="C15" s="37">
        <v>10535.18462527</v>
      </c>
      <c r="D15" s="37">
        <v>10844.676505089999</v>
      </c>
      <c r="E15" s="38">
        <v>11278.03614892</v>
      </c>
      <c r="F15" s="36">
        <v>11861.650250520001</v>
      </c>
      <c r="G15" s="37">
        <v>12369.452309650002</v>
      </c>
      <c r="H15" s="37">
        <v>12770.109383620002</v>
      </c>
      <c r="I15" s="38">
        <v>13265.529730319999</v>
      </c>
      <c r="J15" s="36">
        <v>13707.52557387</v>
      </c>
      <c r="K15" s="37">
        <v>14023.773157459998</v>
      </c>
      <c r="L15" s="37">
        <v>14428.48512944</v>
      </c>
      <c r="M15" s="38">
        <v>14947.21110092</v>
      </c>
      <c r="N15" s="36">
        <v>15315.950898139999</v>
      </c>
      <c r="O15" s="37">
        <v>15451.48884407</v>
      </c>
      <c r="P15" s="37">
        <v>15974.91811257</v>
      </c>
      <c r="Q15" s="38">
        <v>16606.026136109998</v>
      </c>
      <c r="R15" s="32" t="s">
        <v>28</v>
      </c>
    </row>
    <row r="16" spans="1:38" ht="15.95" customHeight="1" x14ac:dyDescent="0.25">
      <c r="A16" s="31" t="s">
        <v>29</v>
      </c>
      <c r="B16" s="36">
        <v>6322.7332027399998</v>
      </c>
      <c r="C16" s="37">
        <v>6428.0182459099997</v>
      </c>
      <c r="D16" s="37">
        <v>6508.7801959354802</v>
      </c>
      <c r="E16" s="38">
        <v>6581.8715887200005</v>
      </c>
      <c r="F16" s="36">
        <v>6636.1638247470692</v>
      </c>
      <c r="G16" s="37">
        <v>6701.5372021399999</v>
      </c>
      <c r="H16" s="37">
        <v>6791.1641754200009</v>
      </c>
      <c r="I16" s="38">
        <v>6963.4436157300006</v>
      </c>
      <c r="J16" s="36">
        <v>7066.6224800799991</v>
      </c>
      <c r="K16" s="37">
        <v>7192.4923499400011</v>
      </c>
      <c r="L16" s="37">
        <v>7313.2226407770322</v>
      </c>
      <c r="M16" s="38">
        <v>7525.3562281550803</v>
      </c>
      <c r="N16" s="36">
        <v>7651.2317862346099</v>
      </c>
      <c r="O16" s="37">
        <v>7748.0624564</v>
      </c>
      <c r="P16" s="37">
        <v>7690.6900696763396</v>
      </c>
      <c r="Q16" s="38">
        <v>7912.0175972300003</v>
      </c>
      <c r="R16" s="32" t="s">
        <v>53</v>
      </c>
    </row>
    <row r="17" spans="1:18" ht="15.95" customHeight="1" x14ac:dyDescent="0.25">
      <c r="A17" s="31" t="s">
        <v>39</v>
      </c>
      <c r="B17" s="36">
        <v>670.72</v>
      </c>
      <c r="C17" s="37">
        <v>665.096</v>
      </c>
      <c r="D17" s="37">
        <v>662.97500000000002</v>
      </c>
      <c r="E17" s="38">
        <v>660.29100000000005</v>
      </c>
      <c r="F17" s="36">
        <v>661.2879999999999</v>
      </c>
      <c r="G17" s="37">
        <v>663.19799999999998</v>
      </c>
      <c r="H17" s="37">
        <v>655.17100000000005</v>
      </c>
      <c r="I17" s="38">
        <v>647.96499999999992</v>
      </c>
      <c r="J17" s="36">
        <v>662.22499999999991</v>
      </c>
      <c r="K17" s="37">
        <v>680.93399999999997</v>
      </c>
      <c r="L17" s="37">
        <v>705.97699999999998</v>
      </c>
      <c r="M17" s="38">
        <v>721.37999999999988</v>
      </c>
      <c r="N17" s="36">
        <v>727.87400000000002</v>
      </c>
      <c r="O17" s="37">
        <v>1055.4259999999999</v>
      </c>
      <c r="P17" s="37">
        <v>1101.972</v>
      </c>
      <c r="Q17" s="38">
        <v>1096.55</v>
      </c>
      <c r="R17" s="32" t="s">
        <v>49</v>
      </c>
    </row>
    <row r="18" spans="1:18" ht="15.95" customHeight="1" x14ac:dyDescent="0.25">
      <c r="A18" s="31" t="s">
        <v>19</v>
      </c>
      <c r="B18" s="36">
        <v>269.84529824998401</v>
      </c>
      <c r="C18" s="37">
        <v>335.39286184701302</v>
      </c>
      <c r="D18" s="37">
        <v>350.69912398738199</v>
      </c>
      <c r="E18" s="38">
        <v>440.33362346583095</v>
      </c>
      <c r="F18" s="36">
        <v>356.32827838623416</v>
      </c>
      <c r="G18" s="37">
        <v>301.39896037684957</v>
      </c>
      <c r="H18" s="37">
        <v>278.05255529137139</v>
      </c>
      <c r="I18" s="38">
        <v>329.93455016647931</v>
      </c>
      <c r="J18" s="36">
        <v>348.87574900000254</v>
      </c>
      <c r="K18" s="37">
        <v>486.27096270999391</v>
      </c>
      <c r="L18" s="37">
        <v>371.42451393166994</v>
      </c>
      <c r="M18" s="38">
        <v>366.47591922166976</v>
      </c>
      <c r="N18" s="36">
        <v>544.18269668083303</v>
      </c>
      <c r="O18" s="37">
        <v>531.19333531999996</v>
      </c>
      <c r="P18" s="37">
        <v>683.17099779332796</v>
      </c>
      <c r="Q18" s="38">
        <v>533.45022437000796</v>
      </c>
      <c r="R18" s="32" t="s">
        <v>54</v>
      </c>
    </row>
    <row r="19" spans="1:18" ht="15.95" customHeight="1" x14ac:dyDescent="0.25">
      <c r="A19" s="31" t="s">
        <v>20</v>
      </c>
      <c r="B19" s="36">
        <v>171.49611779</v>
      </c>
      <c r="C19" s="37">
        <v>172.50107274000001</v>
      </c>
      <c r="D19" s="37">
        <v>189.23416961000001</v>
      </c>
      <c r="E19" s="38">
        <v>196.15179258000001</v>
      </c>
      <c r="F19" s="36">
        <v>198.74475357</v>
      </c>
      <c r="G19" s="37">
        <v>199.15245766999999</v>
      </c>
      <c r="H19" s="37">
        <v>202.8418327</v>
      </c>
      <c r="I19" s="38">
        <v>205.57858598999999</v>
      </c>
      <c r="J19" s="36">
        <v>213.09042282000001</v>
      </c>
      <c r="K19" s="37">
        <v>215.44741708999999</v>
      </c>
      <c r="L19" s="37">
        <v>220.60177221999999</v>
      </c>
      <c r="M19" s="38">
        <v>223.95816664</v>
      </c>
      <c r="N19" s="36">
        <v>232.71997114000001</v>
      </c>
      <c r="O19" s="37">
        <v>232.52439029000001</v>
      </c>
      <c r="P19" s="37">
        <v>251.51318183000001</v>
      </c>
      <c r="Q19" s="38">
        <v>248.68817985999999</v>
      </c>
      <c r="R19" s="32" t="s">
        <v>51</v>
      </c>
    </row>
    <row r="20" spans="1:18" ht="15.95" customHeight="1" x14ac:dyDescent="0.25">
      <c r="A20" s="30" t="s">
        <v>21</v>
      </c>
      <c r="B20" s="33">
        <v>19005.269963033003</v>
      </c>
      <c r="C20" s="34">
        <v>19472.6699974451</v>
      </c>
      <c r="D20" s="34">
        <v>20139.557116087301</v>
      </c>
      <c r="E20" s="35">
        <v>20688.0916939907</v>
      </c>
      <c r="F20" s="33">
        <v>21466.902555687182</v>
      </c>
      <c r="G20" s="34">
        <v>22141.92597981896</v>
      </c>
      <c r="H20" s="34">
        <v>22836.470837704215</v>
      </c>
      <c r="I20" s="35">
        <v>23674.308883043272</v>
      </c>
      <c r="J20" s="33">
        <v>24530.694939587098</v>
      </c>
      <c r="K20" s="34">
        <v>25301.459448142803</v>
      </c>
      <c r="L20" s="34">
        <v>25866.408986768387</v>
      </c>
      <c r="M20" s="35">
        <v>26796.756694596752</v>
      </c>
      <c r="N20" s="33">
        <v>27397.9328952654</v>
      </c>
      <c r="O20" s="34">
        <v>27870.970765158101</v>
      </c>
      <c r="P20" s="34">
        <v>28761.132338989701</v>
      </c>
      <c r="Q20" s="35">
        <v>29462.96744977</v>
      </c>
      <c r="R20" s="16" t="s">
        <v>43</v>
      </c>
    </row>
    <row r="21" spans="1:18" ht="15.95" customHeight="1" x14ac:dyDescent="0.25">
      <c r="A21" s="31" t="s">
        <v>23</v>
      </c>
      <c r="B21" s="36">
        <v>322.26565180444504</v>
      </c>
      <c r="C21" s="37">
        <v>362.70082958346899</v>
      </c>
      <c r="D21" s="37">
        <v>314.35381470829805</v>
      </c>
      <c r="E21" s="38">
        <v>283.195890280041</v>
      </c>
      <c r="F21" s="36">
        <v>310.14433916260936</v>
      </c>
      <c r="G21" s="37">
        <v>328.64308216154768</v>
      </c>
      <c r="H21" s="37">
        <v>306.85725136590037</v>
      </c>
      <c r="I21" s="38">
        <v>304.90750910571217</v>
      </c>
      <c r="J21" s="36">
        <v>389.4252847593998</v>
      </c>
      <c r="K21" s="37">
        <v>352.95939062236044</v>
      </c>
      <c r="L21" s="37">
        <v>312.1072921148151</v>
      </c>
      <c r="M21" s="38">
        <v>369.29686601827575</v>
      </c>
      <c r="N21" s="36">
        <v>444.35579697187001</v>
      </c>
      <c r="O21" s="37">
        <v>326.18882647575998</v>
      </c>
      <c r="P21" s="37">
        <v>577.26718196920001</v>
      </c>
      <c r="Q21" s="38">
        <v>517.973644057878</v>
      </c>
      <c r="R21" s="32" t="s">
        <v>47</v>
      </c>
    </row>
    <row r="22" spans="1:18" ht="15.95" customHeight="1" x14ac:dyDescent="0.25">
      <c r="A22" s="31" t="s">
        <v>30</v>
      </c>
      <c r="B22" s="36">
        <v>90.444999999999993</v>
      </c>
      <c r="C22" s="37">
        <v>86.509</v>
      </c>
      <c r="D22" s="37">
        <v>84.948999999999998</v>
      </c>
      <c r="E22" s="38">
        <v>81.227000000000004</v>
      </c>
      <c r="F22" s="36">
        <v>79.846999999999994</v>
      </c>
      <c r="G22" s="37">
        <v>78.977000000000004</v>
      </c>
      <c r="H22" s="37">
        <v>79.582999999999998</v>
      </c>
      <c r="I22" s="38">
        <v>79.429999999999993</v>
      </c>
      <c r="J22" s="36">
        <v>82.433999999999997</v>
      </c>
      <c r="K22" s="37">
        <v>81.42</v>
      </c>
      <c r="L22" s="37">
        <v>82.923000000000002</v>
      </c>
      <c r="M22" s="38">
        <v>82.378999999999991</v>
      </c>
      <c r="N22" s="36">
        <v>82.53</v>
      </c>
      <c r="O22" s="37">
        <v>81.677000000000007</v>
      </c>
      <c r="P22" s="37">
        <v>83.204999999999998</v>
      </c>
      <c r="Q22" s="38">
        <v>83.123999999999995</v>
      </c>
      <c r="R22" s="32" t="s">
        <v>31</v>
      </c>
    </row>
    <row r="23" spans="1:18" ht="15.95" customHeight="1" x14ac:dyDescent="0.25">
      <c r="A23" s="31" t="s">
        <v>32</v>
      </c>
      <c r="B23" s="36">
        <v>39.999657134873004</v>
      </c>
      <c r="C23" s="37">
        <v>52.7359435202303</v>
      </c>
      <c r="D23" s="37">
        <v>31.359788793210999</v>
      </c>
      <c r="E23" s="38">
        <v>32.401340866234001</v>
      </c>
      <c r="F23" s="36">
        <v>29.024253110427928</v>
      </c>
      <c r="G23" s="37">
        <v>36.43853574520341</v>
      </c>
      <c r="H23" s="37">
        <v>18.903214082963739</v>
      </c>
      <c r="I23" s="38">
        <v>24.157454583172132</v>
      </c>
      <c r="J23" s="36">
        <v>28.948193824780684</v>
      </c>
      <c r="K23" s="37">
        <v>29.943221209641866</v>
      </c>
      <c r="L23" s="37">
        <v>23.990357992792795</v>
      </c>
      <c r="M23" s="38">
        <v>27.141189418203634</v>
      </c>
      <c r="N23" s="36">
        <v>25.178471760482701</v>
      </c>
      <c r="O23" s="37">
        <v>31.740395581009299</v>
      </c>
      <c r="P23" s="37">
        <v>45.095644992253703</v>
      </c>
      <c r="Q23" s="38">
        <v>41.793929041168198</v>
      </c>
      <c r="R23" s="32" t="s">
        <v>11</v>
      </c>
    </row>
    <row r="24" spans="1:18" ht="15.95" customHeight="1" x14ac:dyDescent="0.25">
      <c r="A24" s="31" t="s">
        <v>41</v>
      </c>
      <c r="B24" s="36">
        <v>776.52200000000005</v>
      </c>
      <c r="C24" s="37">
        <v>735.46299999999997</v>
      </c>
      <c r="D24" s="37">
        <v>698.09</v>
      </c>
      <c r="E24" s="38">
        <v>696.202</v>
      </c>
      <c r="F24" s="36">
        <v>643.45600000000002</v>
      </c>
      <c r="G24" s="37">
        <v>704.12700000000007</v>
      </c>
      <c r="H24" s="37">
        <v>665.28600000000006</v>
      </c>
      <c r="I24" s="38">
        <v>657.40699999999993</v>
      </c>
      <c r="J24" s="36">
        <v>616.798</v>
      </c>
      <c r="K24" s="37">
        <v>649.548</v>
      </c>
      <c r="L24" s="37">
        <v>686.08299999999997</v>
      </c>
      <c r="M24" s="38">
        <v>790.13900000000001</v>
      </c>
      <c r="N24" s="36">
        <v>792.07899999999995</v>
      </c>
      <c r="O24" s="37">
        <v>770.02700000000004</v>
      </c>
      <c r="P24" s="37">
        <v>719.60299999999995</v>
      </c>
      <c r="Q24" s="38">
        <v>681.947</v>
      </c>
      <c r="R24" s="32" t="s">
        <v>37</v>
      </c>
    </row>
    <row r="25" spans="1:18" ht="15.95" customHeight="1" x14ac:dyDescent="0.25">
      <c r="A25" s="31" t="s">
        <v>22</v>
      </c>
      <c r="B25" s="36">
        <v>452.94799999999998</v>
      </c>
      <c r="C25" s="37">
        <v>437.19900000000001</v>
      </c>
      <c r="D25" s="37">
        <v>444.21199999999999</v>
      </c>
      <c r="E25" s="38">
        <v>432.46699999999998</v>
      </c>
      <c r="F25" s="36">
        <v>448.34</v>
      </c>
      <c r="G25" s="37">
        <v>434.30500000000001</v>
      </c>
      <c r="H25" s="37">
        <v>419.90999999999997</v>
      </c>
      <c r="I25" s="38">
        <v>574.74599999999987</v>
      </c>
      <c r="J25" s="36">
        <v>581.72799999999995</v>
      </c>
      <c r="K25" s="37">
        <v>569.81799999999987</v>
      </c>
      <c r="L25" s="37">
        <v>578.56099999999992</v>
      </c>
      <c r="M25" s="38">
        <v>564.27299999999991</v>
      </c>
      <c r="N25" s="36">
        <v>561.00199999999995</v>
      </c>
      <c r="O25" s="37">
        <v>542.9</v>
      </c>
      <c r="P25" s="37">
        <v>552.51199999999994</v>
      </c>
      <c r="Q25" s="38">
        <v>650.55399999999997</v>
      </c>
      <c r="R25" s="32" t="s">
        <v>28</v>
      </c>
    </row>
    <row r="26" spans="1:18" ht="15.95" customHeight="1" x14ac:dyDescent="0.25">
      <c r="A26" s="31" t="s">
        <v>12</v>
      </c>
      <c r="B26" s="36">
        <v>85.275000000000006</v>
      </c>
      <c r="C26" s="37">
        <v>85.254000000000005</v>
      </c>
      <c r="D26" s="37">
        <v>85.245999999999995</v>
      </c>
      <c r="E26" s="38">
        <v>85.033000000000001</v>
      </c>
      <c r="F26" s="36">
        <v>85.323999999999998</v>
      </c>
      <c r="G26" s="37">
        <v>90.335999999999999</v>
      </c>
      <c r="H26" s="37">
        <v>92.495000000000005</v>
      </c>
      <c r="I26" s="38">
        <v>72.259</v>
      </c>
      <c r="J26" s="36">
        <v>73.296000000000006</v>
      </c>
      <c r="K26" s="37">
        <v>62.088999999999999</v>
      </c>
      <c r="L26" s="37">
        <v>62.05</v>
      </c>
      <c r="M26" s="38">
        <v>45.875999999999998</v>
      </c>
      <c r="N26" s="36">
        <v>5.9589999999999996</v>
      </c>
      <c r="O26" s="37">
        <v>5.8659999999999997</v>
      </c>
      <c r="P26" s="37">
        <v>5.8650000000000002</v>
      </c>
      <c r="Q26" s="38">
        <v>1.677</v>
      </c>
      <c r="R26" s="32" t="s">
        <v>13</v>
      </c>
    </row>
    <row r="27" spans="1:18" ht="15.95" customHeight="1" x14ac:dyDescent="0.25">
      <c r="A27" s="31" t="s">
        <v>38</v>
      </c>
      <c r="B27" s="36">
        <v>14921.220654809798</v>
      </c>
      <c r="C27" s="37">
        <v>15300.895799645701</v>
      </c>
      <c r="D27" s="37">
        <v>15824.0514862206</v>
      </c>
      <c r="E27" s="38">
        <v>16225.625892177799</v>
      </c>
      <c r="F27" s="36">
        <v>16884.018424581951</v>
      </c>
      <c r="G27" s="37">
        <v>17356.36750762492</v>
      </c>
      <c r="H27" s="37">
        <v>17938.894778743692</v>
      </c>
      <c r="I27" s="38">
        <v>18434.207543678927</v>
      </c>
      <c r="J27" s="36">
        <v>19149.94256898166</v>
      </c>
      <c r="K27" s="37">
        <v>19813.005260107835</v>
      </c>
      <c r="L27" s="37">
        <v>20299.638774855779</v>
      </c>
      <c r="M27" s="38">
        <v>20822.053757198715</v>
      </c>
      <c r="N27" s="36">
        <v>21412.568368736898</v>
      </c>
      <c r="O27" s="37">
        <v>21987.060036417701</v>
      </c>
      <c r="P27" s="37">
        <v>22589.4229691377</v>
      </c>
      <c r="Q27" s="38">
        <v>23138.245236264502</v>
      </c>
      <c r="R27" s="32" t="s">
        <v>42</v>
      </c>
    </row>
    <row r="28" spans="1:18" ht="15.95" customHeight="1" x14ac:dyDescent="0.25">
      <c r="A28" s="31" t="s">
        <v>24</v>
      </c>
      <c r="B28" s="36">
        <v>632.69455192389796</v>
      </c>
      <c r="C28" s="37">
        <v>630.510646185685</v>
      </c>
      <c r="D28" s="37">
        <v>672.21894707521301</v>
      </c>
      <c r="E28" s="38">
        <v>820.14992855658102</v>
      </c>
      <c r="F28" s="36">
        <v>798.63799276219288</v>
      </c>
      <c r="G28" s="37">
        <v>842.67544581728725</v>
      </c>
      <c r="H28" s="37">
        <v>911.62614578165812</v>
      </c>
      <c r="I28" s="38">
        <v>1042.4095789154599</v>
      </c>
      <c r="J28" s="36">
        <v>998.02302756125573</v>
      </c>
      <c r="K28" s="37">
        <v>1040.8066894229632</v>
      </c>
      <c r="L28" s="37">
        <v>1045.6205017649991</v>
      </c>
      <c r="M28" s="38">
        <v>1272.8654177415592</v>
      </c>
      <c r="N28" s="36">
        <v>1234.47093404622</v>
      </c>
      <c r="O28" s="37">
        <v>1252.1410277336699</v>
      </c>
      <c r="P28" s="37">
        <v>1218.85347512049</v>
      </c>
      <c r="Q28" s="38">
        <v>1331.5128042464901</v>
      </c>
      <c r="R28" s="32" t="s">
        <v>48</v>
      </c>
    </row>
    <row r="29" spans="1:18" ht="15.95" customHeight="1" x14ac:dyDescent="0.25">
      <c r="A29" s="31" t="s">
        <v>39</v>
      </c>
      <c r="B29" s="36">
        <v>1683.8994473599998</v>
      </c>
      <c r="C29" s="37">
        <v>1781.40177851</v>
      </c>
      <c r="D29" s="37">
        <v>1985.0760792900001</v>
      </c>
      <c r="E29" s="38">
        <v>2031.7896421099999</v>
      </c>
      <c r="F29" s="36">
        <v>2188.1105460700001</v>
      </c>
      <c r="G29" s="37">
        <v>2270.05640847</v>
      </c>
      <c r="H29" s="37">
        <v>2402.9154477300003</v>
      </c>
      <c r="I29" s="38">
        <v>2484.7847967600001</v>
      </c>
      <c r="J29" s="36">
        <v>2610.0998644599999</v>
      </c>
      <c r="K29" s="37">
        <v>2701.8698867800003</v>
      </c>
      <c r="L29" s="37">
        <v>2775.4350600400003</v>
      </c>
      <c r="M29" s="38">
        <v>2822.7324642199997</v>
      </c>
      <c r="N29" s="36">
        <v>2839.7893237500002</v>
      </c>
      <c r="O29" s="37">
        <v>2873.3704789499998</v>
      </c>
      <c r="P29" s="37">
        <v>2969.30806777</v>
      </c>
      <c r="Q29" s="38">
        <v>3016.13983616</v>
      </c>
      <c r="R29" s="32" t="s">
        <v>49</v>
      </c>
    </row>
    <row r="30" spans="1:18" ht="8.1" customHeight="1" x14ac:dyDescent="0.45">
      <c r="A30" s="42" t="s">
        <v>35</v>
      </c>
      <c r="B30" s="43"/>
      <c r="C30" s="44"/>
      <c r="D30" s="44"/>
      <c r="E30" s="45"/>
      <c r="F30" s="43"/>
      <c r="G30" s="44"/>
      <c r="H30" s="44"/>
      <c r="I30" s="45"/>
      <c r="J30" s="43"/>
      <c r="K30" s="44"/>
      <c r="L30" s="44"/>
      <c r="M30" s="45"/>
      <c r="N30" s="43"/>
      <c r="O30" s="44"/>
      <c r="P30" s="44"/>
      <c r="Q30" s="45"/>
      <c r="R30" s="46" t="s">
        <v>35</v>
      </c>
    </row>
    <row r="31" spans="1:18" ht="8.1" customHeight="1" x14ac:dyDescent="0.45">
      <c r="A31" s="22" t="s">
        <v>35</v>
      </c>
      <c r="B31" s="47"/>
      <c r="C31" s="48"/>
      <c r="D31" s="48"/>
      <c r="E31" s="49"/>
      <c r="F31" s="47"/>
      <c r="G31" s="48"/>
      <c r="H31" s="48"/>
      <c r="I31" s="49"/>
      <c r="J31" s="47"/>
      <c r="K31" s="48"/>
      <c r="L31" s="48"/>
      <c r="M31" s="49"/>
      <c r="N31" s="47"/>
      <c r="O31" s="48"/>
      <c r="P31" s="48"/>
      <c r="Q31" s="49"/>
      <c r="R31" s="50" t="s">
        <v>35</v>
      </c>
    </row>
    <row r="32" spans="1:18" ht="15.95" customHeight="1" x14ac:dyDescent="0.25">
      <c r="A32" s="51" t="s">
        <v>14</v>
      </c>
      <c r="B32" s="26"/>
      <c r="C32" s="27"/>
      <c r="D32" s="27"/>
      <c r="E32" s="28"/>
      <c r="F32" s="26"/>
      <c r="G32" s="27"/>
      <c r="H32" s="27"/>
      <c r="I32" s="28"/>
      <c r="J32" s="26"/>
      <c r="K32" s="27"/>
      <c r="L32" s="27"/>
      <c r="M32" s="28"/>
      <c r="N32" s="26"/>
      <c r="O32" s="27"/>
      <c r="P32" s="27"/>
      <c r="Q32" s="28"/>
      <c r="R32" s="16" t="s">
        <v>56</v>
      </c>
    </row>
    <row r="33" spans="1:18" ht="15.95" customHeight="1" x14ac:dyDescent="0.25">
      <c r="A33" s="30" t="s">
        <v>18</v>
      </c>
      <c r="B33" s="23">
        <v>2.2233234146310443</v>
      </c>
      <c r="C33" s="24">
        <v>6.3747641310217071</v>
      </c>
      <c r="D33" s="24">
        <v>11.56399799700765</v>
      </c>
      <c r="E33" s="25">
        <v>20.172820540429381</v>
      </c>
      <c r="F33" s="23">
        <f>(F11-B11)/B11*100</f>
        <v>61.413602602897278</v>
      </c>
      <c r="G33" s="24">
        <f t="shared" ref="G33:I33" si="0">(G11-C11)/C11*100</f>
        <v>62.770848898524612</v>
      </c>
      <c r="H33" s="24">
        <f t="shared" si="0"/>
        <v>62.329411405796641</v>
      </c>
      <c r="I33" s="25">
        <f t="shared" si="0"/>
        <v>68.685046278235703</v>
      </c>
      <c r="J33" s="23">
        <f>(J11-F11)/F11*100</f>
        <v>49.687284024805059</v>
      </c>
      <c r="K33" s="24">
        <f t="shared" ref="K33" si="1">(K11-G11)/G11*100</f>
        <v>68.221149256893426</v>
      </c>
      <c r="L33" s="24">
        <f t="shared" ref="L33" si="2">(L11-H11)/H11*100</f>
        <v>27.322409240063756</v>
      </c>
      <c r="M33" s="25">
        <v>27.658520583315958</v>
      </c>
      <c r="N33" s="23">
        <f>(N11-J11)/J11*100</f>
        <v>-5.4586635918389659</v>
      </c>
      <c r="O33" s="24">
        <f t="shared" ref="O33:Q33" si="3">(O11-K11)/K11*100</f>
        <v>-23.984423601644693</v>
      </c>
      <c r="P33" s="24">
        <f t="shared" si="3"/>
        <v>-11.592375042754558</v>
      </c>
      <c r="Q33" s="25">
        <f t="shared" si="3"/>
        <v>-13.809831151901534</v>
      </c>
      <c r="R33" s="16" t="s">
        <v>25</v>
      </c>
    </row>
    <row r="34" spans="1:18" ht="15.95" customHeight="1" x14ac:dyDescent="0.25">
      <c r="A34" s="30" t="s">
        <v>23</v>
      </c>
      <c r="B34" s="23">
        <v>-13.36072834687684</v>
      </c>
      <c r="C34" s="24">
        <v>-2.5022147503483159</v>
      </c>
      <c r="D34" s="24">
        <v>-4.5388975816597128</v>
      </c>
      <c r="E34" s="25">
        <v>-7.8879831177461748</v>
      </c>
      <c r="F34" s="23">
        <f>(F21-B21)/B21*100</f>
        <v>-3.7612797311675821</v>
      </c>
      <c r="G34" s="24">
        <f t="shared" ref="G34:I34" si="4">(G21-C21)/C21*100</f>
        <v>-9.390038468076769</v>
      </c>
      <c r="H34" s="24">
        <f t="shared" si="4"/>
        <v>-2.3847534184861257</v>
      </c>
      <c r="I34" s="25">
        <f t="shared" si="4"/>
        <v>7.6666433274160246</v>
      </c>
      <c r="J34" s="23">
        <f>(J21-F21)/F21*100</f>
        <v>25.562596373949383</v>
      </c>
      <c r="K34" s="24">
        <f t="shared" ref="K34" si="5">(K21-G21)/G21*100</f>
        <v>7.3990020726679555</v>
      </c>
      <c r="L34" s="24">
        <f t="shared" ref="L34" si="6">(L21-H21)/H21*100</f>
        <v>1.710906529190837</v>
      </c>
      <c r="M34" s="25">
        <v>21.117668469830843</v>
      </c>
      <c r="N34" s="23">
        <f>(N21-J21)/J21*100</f>
        <v>14.105533041186103</v>
      </c>
      <c r="O34" s="24">
        <f t="shared" ref="O34:Q34" si="7">(O21-K21)/K21*100</f>
        <v>-7.5846017581220613</v>
      </c>
      <c r="P34" s="24">
        <f t="shared" si="7"/>
        <v>84.957928428292021</v>
      </c>
      <c r="Q34" s="25">
        <f t="shared" si="7"/>
        <v>40.259420461002385</v>
      </c>
      <c r="R34" s="16" t="s">
        <v>47</v>
      </c>
    </row>
    <row r="35" spans="1:18" ht="8.1" customHeight="1" x14ac:dyDescent="0.35">
      <c r="A35" s="42" t="s">
        <v>35</v>
      </c>
      <c r="B35" s="52"/>
      <c r="C35" s="53"/>
      <c r="D35" s="53"/>
      <c r="E35" s="54"/>
      <c r="F35" s="52"/>
      <c r="G35" s="53"/>
      <c r="H35" s="53"/>
      <c r="I35" s="54"/>
      <c r="J35" s="52"/>
      <c r="K35" s="53"/>
      <c r="L35" s="53"/>
      <c r="M35" s="54"/>
      <c r="N35" s="52"/>
      <c r="O35" s="53"/>
      <c r="P35" s="53"/>
      <c r="Q35" s="54"/>
      <c r="R35" s="55"/>
    </row>
    <row r="36" spans="1:18" ht="8.1" customHeight="1" x14ac:dyDescent="0.35">
      <c r="A36" s="22" t="s">
        <v>35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56"/>
    </row>
    <row r="37" spans="1:18" ht="15.95" customHeight="1" x14ac:dyDescent="0.4">
      <c r="A37" s="17" t="s">
        <v>34</v>
      </c>
      <c r="B37" s="2"/>
      <c r="C37" s="2"/>
      <c r="D37" s="2"/>
      <c r="E37" s="57"/>
      <c r="F37" s="2"/>
      <c r="G37" s="2"/>
      <c r="H37" s="2"/>
      <c r="I37" s="57"/>
      <c r="J37" s="2"/>
      <c r="K37" s="2"/>
      <c r="L37" s="2"/>
      <c r="M37" s="57"/>
      <c r="N37" s="2"/>
      <c r="O37" s="2"/>
      <c r="P37" s="2"/>
      <c r="Q37" s="57"/>
      <c r="R37" s="18" t="s">
        <v>33</v>
      </c>
    </row>
    <row r="38" spans="1:18" ht="15.95" customHeight="1" x14ac:dyDescent="0.25">
      <c r="A38" s="19" t="s">
        <v>57</v>
      </c>
      <c r="R38" s="29" t="s">
        <v>58</v>
      </c>
    </row>
    <row r="39" spans="1:18" ht="8.1" customHeight="1" x14ac:dyDescent="0.25">
      <c r="A39" s="19" t="s">
        <v>35</v>
      </c>
      <c r="R39" s="39" t="s">
        <v>35</v>
      </c>
    </row>
    <row r="40" spans="1:18" ht="15.95" customHeight="1" x14ac:dyDescent="0.25">
      <c r="A40" s="19" t="s">
        <v>15</v>
      </c>
      <c r="R40" s="20" t="s">
        <v>45</v>
      </c>
    </row>
    <row r="41" spans="1:18" ht="15" customHeight="1" x14ac:dyDescent="0.25">
      <c r="B41" s="59"/>
      <c r="D41" s="59"/>
      <c r="E41" s="59"/>
      <c r="F41" s="59"/>
      <c r="H41" s="59"/>
      <c r="I41" s="59"/>
      <c r="J41" s="59"/>
      <c r="L41" s="59"/>
      <c r="M41" s="59"/>
      <c r="N41" s="59"/>
      <c r="P41" s="59"/>
      <c r="Q41" s="59"/>
    </row>
    <row r="42" spans="1:18" ht="15" customHeight="1" x14ac:dyDescent="0.25">
      <c r="B42" s="59"/>
      <c r="D42" s="59"/>
      <c r="E42" s="59"/>
      <c r="F42" s="59"/>
      <c r="H42" s="59"/>
      <c r="I42" s="59"/>
      <c r="J42" s="59"/>
      <c r="L42" s="59"/>
      <c r="M42" s="59"/>
      <c r="N42" s="59"/>
      <c r="P42" s="59"/>
      <c r="Q42" s="59"/>
    </row>
    <row r="43" spans="1:18" ht="15" customHeight="1" x14ac:dyDescent="0.25">
      <c r="B43" s="59"/>
      <c r="D43" s="59"/>
      <c r="E43" s="59"/>
      <c r="F43" s="59"/>
      <c r="H43" s="59"/>
      <c r="I43" s="59"/>
      <c r="J43" s="59"/>
      <c r="L43" s="59"/>
      <c r="M43" s="59"/>
      <c r="N43" s="59"/>
      <c r="P43" s="59"/>
      <c r="Q43" s="59"/>
    </row>
    <row r="44" spans="1:18" ht="15" customHeight="1" x14ac:dyDescent="0.25">
      <c r="B44" s="59"/>
      <c r="D44" s="59"/>
      <c r="E44" s="59"/>
      <c r="F44" s="59"/>
      <c r="H44" s="59"/>
      <c r="I44" s="59"/>
      <c r="J44" s="59"/>
      <c r="L44" s="59"/>
      <c r="M44" s="59"/>
      <c r="N44" s="59"/>
      <c r="P44" s="59"/>
      <c r="Q44" s="59"/>
    </row>
    <row r="45" spans="1:18" ht="15" customHeight="1" x14ac:dyDescent="0.25">
      <c r="B45" s="59"/>
      <c r="D45" s="59"/>
      <c r="E45" s="59"/>
      <c r="F45" s="59"/>
      <c r="H45" s="59"/>
      <c r="I45" s="59"/>
      <c r="J45" s="59"/>
      <c r="L45" s="59"/>
      <c r="M45" s="59"/>
      <c r="N45" s="59"/>
      <c r="P45" s="59"/>
      <c r="Q45" s="59"/>
    </row>
    <row r="46" spans="1:18" ht="15" customHeight="1" x14ac:dyDescent="0.25">
      <c r="B46" s="59"/>
      <c r="D46" s="59"/>
      <c r="E46" s="59"/>
      <c r="F46" s="59"/>
      <c r="H46" s="59"/>
      <c r="I46" s="59"/>
      <c r="J46" s="59"/>
      <c r="L46" s="59"/>
      <c r="M46" s="59"/>
      <c r="N46" s="59"/>
      <c r="P46" s="59"/>
      <c r="Q46" s="59"/>
    </row>
    <row r="47" spans="1:18" ht="15" customHeight="1" x14ac:dyDescent="0.25">
      <c r="B47" s="59"/>
      <c r="D47" s="59"/>
      <c r="E47" s="59"/>
      <c r="F47" s="59"/>
      <c r="H47" s="59"/>
      <c r="I47" s="59"/>
      <c r="J47" s="59"/>
      <c r="L47" s="59"/>
      <c r="M47" s="59"/>
      <c r="N47" s="59"/>
      <c r="P47" s="59"/>
      <c r="Q47" s="59"/>
    </row>
    <row r="48" spans="1:18" ht="15" customHeight="1" x14ac:dyDescent="0.25">
      <c r="B48" s="59"/>
      <c r="D48" s="59"/>
      <c r="E48" s="59"/>
      <c r="F48" s="59"/>
      <c r="H48" s="59"/>
      <c r="I48" s="59"/>
      <c r="J48" s="59"/>
      <c r="L48" s="59"/>
      <c r="M48" s="59"/>
      <c r="N48" s="59"/>
      <c r="P48" s="59"/>
      <c r="Q48" s="59"/>
    </row>
    <row r="49" spans="2:17" ht="15" customHeight="1" x14ac:dyDescent="0.25">
      <c r="B49" s="59"/>
      <c r="D49" s="59"/>
      <c r="E49" s="59"/>
      <c r="F49" s="59"/>
      <c r="H49" s="59"/>
      <c r="I49" s="59"/>
      <c r="J49" s="59"/>
      <c r="L49" s="59"/>
      <c r="M49" s="59"/>
      <c r="N49" s="59"/>
      <c r="P49" s="59"/>
      <c r="Q49" s="59"/>
    </row>
    <row r="50" spans="2:17" ht="15" customHeight="1" x14ac:dyDescent="0.25">
      <c r="B50" s="59"/>
      <c r="D50" s="59"/>
      <c r="E50" s="59"/>
      <c r="F50" s="59"/>
      <c r="H50" s="59"/>
      <c r="I50" s="59"/>
      <c r="J50" s="59"/>
      <c r="L50" s="59"/>
      <c r="M50" s="59"/>
      <c r="N50" s="59"/>
      <c r="P50" s="59"/>
      <c r="Q50" s="59"/>
    </row>
    <row r="51" spans="2:17" ht="15" customHeight="1" x14ac:dyDescent="0.25">
      <c r="B51" s="59"/>
      <c r="D51" s="59"/>
      <c r="E51" s="59"/>
      <c r="F51" s="59"/>
      <c r="H51" s="59"/>
      <c r="I51" s="59"/>
      <c r="J51" s="59"/>
      <c r="L51" s="59"/>
      <c r="M51" s="59"/>
      <c r="N51" s="59"/>
      <c r="P51" s="59"/>
      <c r="Q51" s="59"/>
    </row>
    <row r="52" spans="2:17" ht="15" customHeight="1" x14ac:dyDescent="0.25">
      <c r="B52" s="59"/>
      <c r="D52" s="59"/>
      <c r="E52" s="59"/>
      <c r="F52" s="59"/>
      <c r="H52" s="59"/>
      <c r="I52" s="59"/>
      <c r="J52" s="59"/>
      <c r="L52" s="59"/>
      <c r="M52" s="59"/>
      <c r="N52" s="59"/>
      <c r="P52" s="59"/>
      <c r="Q52" s="59"/>
    </row>
    <row r="53" spans="2:17" ht="15" customHeight="1" x14ac:dyDescent="0.25"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</row>
    <row r="54" spans="2:17" ht="15" customHeight="1" x14ac:dyDescent="0.25"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</row>
    <row r="55" spans="2:17" ht="15" customHeight="1" x14ac:dyDescent="0.25"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</row>
    <row r="56" spans="2:17" ht="15" customHeight="1" x14ac:dyDescent="0.25"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</row>
    <row r="57" spans="2:17" ht="15" customHeight="1" x14ac:dyDescent="0.25"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</row>
    <row r="58" spans="2:17" ht="15" customHeight="1" x14ac:dyDescent="0.25"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</row>
    <row r="59" spans="2:17" ht="15" customHeight="1" x14ac:dyDescent="0.25"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</row>
    <row r="60" spans="2:17" ht="15" customHeight="1" x14ac:dyDescent="0.25"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</row>
    <row r="61" spans="2:17" ht="15" customHeight="1" x14ac:dyDescent="0.25"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</row>
    <row r="62" spans="2:17" ht="15" customHeight="1" x14ac:dyDescent="0.25"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</row>
    <row r="63" spans="2:17" ht="15" customHeight="1" x14ac:dyDescent="0.25"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</row>
    <row r="64" spans="2:17" ht="15" customHeight="1" x14ac:dyDescent="0.25"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</row>
    <row r="65" spans="2:17" ht="15" customHeight="1" x14ac:dyDescent="0.25"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</row>
    <row r="66" spans="2:17" ht="15" customHeight="1" x14ac:dyDescent="0.25"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</row>
    <row r="67" spans="2:17" ht="15" customHeight="1" x14ac:dyDescent="0.25"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</row>
    <row r="68" spans="2:17" ht="15" customHeight="1" x14ac:dyDescent="0.25"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</row>
    <row r="69" spans="2:17" ht="15" customHeight="1" x14ac:dyDescent="0.25"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</row>
    <row r="70" spans="2:17" ht="15" customHeight="1" x14ac:dyDescent="0.25"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</row>
    <row r="71" spans="2:17" ht="15" customHeight="1" x14ac:dyDescent="0.25"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</row>
    <row r="72" spans="2:17" ht="15" customHeight="1" x14ac:dyDescent="0.25"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</row>
    <row r="73" spans="2:17" ht="15" customHeight="1" x14ac:dyDescent="0.25"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</row>
    <row r="74" spans="2:17" ht="15" customHeight="1" x14ac:dyDescent="0.25"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</row>
    <row r="75" spans="2:17" ht="15" customHeight="1" x14ac:dyDescent="0.25"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</row>
    <row r="76" spans="2:17" ht="15" customHeight="1" x14ac:dyDescent="0.25"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</row>
    <row r="77" spans="2:17" ht="15" customHeight="1" x14ac:dyDescent="0.25"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</row>
    <row r="78" spans="2:17" ht="15" customHeight="1" x14ac:dyDescent="0.25"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</row>
    <row r="79" spans="2:17" ht="15" customHeight="1" x14ac:dyDescent="0.25"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</row>
    <row r="80" spans="2:17" ht="15" customHeight="1" x14ac:dyDescent="0.25"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</row>
    <row r="81" spans="2:17" ht="15" customHeight="1" x14ac:dyDescent="0.25"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</row>
    <row r="82" spans="2:17" ht="15" customHeight="1" x14ac:dyDescent="0.25"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</row>
    <row r="83" spans="2:17" ht="15" customHeight="1" x14ac:dyDescent="0.25"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</row>
    <row r="84" spans="2:17" ht="15" customHeight="1" x14ac:dyDescent="0.25"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</row>
    <row r="85" spans="2:17" ht="15" customHeight="1" x14ac:dyDescent="0.25"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</row>
    <row r="86" spans="2:17" ht="15" customHeight="1" x14ac:dyDescent="0.25"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</row>
    <row r="87" spans="2:17" ht="15" customHeight="1" x14ac:dyDescent="0.25"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</row>
    <row r="88" spans="2:17" ht="15" customHeight="1" x14ac:dyDescent="0.25"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</row>
    <row r="89" spans="2:17" ht="15" customHeight="1" x14ac:dyDescent="0.25"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</row>
    <row r="90" spans="2:17" ht="15" customHeight="1" x14ac:dyDescent="0.25"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</row>
    <row r="91" spans="2:17" ht="15" customHeight="1" x14ac:dyDescent="0.25"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</row>
    <row r="92" spans="2:17" ht="15" customHeight="1" x14ac:dyDescent="0.25"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</row>
    <row r="93" spans="2:17" ht="15" customHeight="1" x14ac:dyDescent="0.25"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</row>
    <row r="94" spans="2:17" ht="15" customHeight="1" x14ac:dyDescent="0.25"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</row>
    <row r="95" spans="2:17" ht="15" customHeight="1" x14ac:dyDescent="0.25"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</row>
    <row r="96" spans="2:17" ht="15" customHeight="1" x14ac:dyDescent="0.25"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</row>
    <row r="97" spans="2:17" ht="15" customHeight="1" x14ac:dyDescent="0.25"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</row>
    <row r="98" spans="2:17" ht="15" customHeight="1" x14ac:dyDescent="0.25"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</row>
    <row r="99" spans="2:17" ht="15" customHeight="1" x14ac:dyDescent="0.25"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</row>
    <row r="100" spans="2:17" ht="15" customHeight="1" x14ac:dyDescent="0.25"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</row>
    <row r="101" spans="2:17" ht="15" customHeight="1" x14ac:dyDescent="0.25"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</row>
    <row r="102" spans="2:17" ht="15" customHeight="1" x14ac:dyDescent="0.25"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</row>
    <row r="103" spans="2:17" ht="15" customHeight="1" x14ac:dyDescent="0.25"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</row>
    <row r="104" spans="2:17" ht="15" customHeight="1" x14ac:dyDescent="0.25"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</row>
    <row r="105" spans="2:17" ht="15" customHeight="1" x14ac:dyDescent="0.25"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</row>
    <row r="106" spans="2:17" ht="15" customHeight="1" x14ac:dyDescent="0.25"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</row>
    <row r="107" spans="2:17" ht="15" customHeight="1" x14ac:dyDescent="0.25"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</row>
  </sheetData>
  <mergeCells count="9">
    <mergeCell ref="A1:R1"/>
    <mergeCell ref="A2:R2"/>
    <mergeCell ref="A3:R3"/>
    <mergeCell ref="A4:R4"/>
    <mergeCell ref="R6:R8"/>
    <mergeCell ref="B6:E6"/>
    <mergeCell ref="J6:M6"/>
    <mergeCell ref="F6:I6"/>
    <mergeCell ref="N6:Q6"/>
  </mergeCells>
  <printOptions horizontalCentered="1"/>
  <pageMargins left="0.45" right="0.45" top="0.22" bottom="0.17" header="0.17" footer="0.17"/>
  <pageSetup paperSize="9" scale="58" fitToHeight="0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"/>
  <sheetViews>
    <sheetView workbookViewId="0"/>
  </sheetViews>
  <sheetFormatPr defaultRowHeight="15" x14ac:dyDescent="0.25"/>
  <cols>
    <col min="1" max="1" width="9.5703125" bestFit="1" customWidth="1"/>
  </cols>
  <sheetData>
    <row r="1" spans="1:1" x14ac:dyDescent="0.25">
      <c r="A1" s="1">
        <v>7323.23421637717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14.8</vt:lpstr>
      <vt:lpstr>Sheet2</vt:lpstr>
      <vt:lpstr>'14.8'!Print_Area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2024-10-22T16:04:43Z</cp:lastPrinted>
  <dcterms:created xsi:type="dcterms:W3CDTF">2013-04-01T04:26:10Z</dcterms:created>
  <dcterms:modified xsi:type="dcterms:W3CDTF">2024-10-22T16:04:50Z</dcterms:modified>
</cp:coreProperties>
</file>