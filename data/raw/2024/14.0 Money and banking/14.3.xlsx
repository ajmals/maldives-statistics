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Moneytary\"/>
    </mc:Choice>
  </mc:AlternateContent>
  <xr:revisionPtr revIDLastSave="0" documentId="13_ncr:1_{7B992C51-4606-41A7-BC9B-8999473F31DC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14.3" sheetId="1" r:id="rId1"/>
    <sheet name="Sheet2" sheetId="24" state="hidden" r:id="rId2"/>
  </sheets>
  <externalReferences>
    <externalReference r:id="rId3"/>
    <externalReference r:id="rId4"/>
  </externalReferences>
  <definedNames>
    <definedName name="Date_ODC">[1]Industry!$4:$4</definedName>
    <definedName name="LCFC_ODC">[1]Industry!$5:$5</definedName>
    <definedName name="_xlnm.Print_Area" localSheetId="0">'14.3'!$A$1:$S$47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9" i="1" l="1"/>
  <c r="N31" i="1"/>
  <c r="O33" i="1"/>
  <c r="N34" i="1"/>
  <c r="N14" i="1"/>
  <c r="N29" i="1" s="1"/>
  <c r="O14" i="1"/>
  <c r="P14" i="1"/>
  <c r="P29" i="1" s="1"/>
  <c r="Q14" i="1"/>
  <c r="Q29" i="1" s="1"/>
  <c r="N15" i="1"/>
  <c r="N30" i="1" s="1"/>
  <c r="O15" i="1"/>
  <c r="O30" i="1" s="1"/>
  <c r="P15" i="1"/>
  <c r="P30" i="1" s="1"/>
  <c r="Q15" i="1"/>
  <c r="Q30" i="1" s="1"/>
  <c r="N16" i="1"/>
  <c r="O16" i="1"/>
  <c r="O31" i="1" s="1"/>
  <c r="P16" i="1"/>
  <c r="P31" i="1" s="1"/>
  <c r="Q16" i="1"/>
  <c r="Q31" i="1" s="1"/>
  <c r="N17" i="1"/>
  <c r="N32" i="1" s="1"/>
  <c r="O17" i="1"/>
  <c r="O32" i="1" s="1"/>
  <c r="P17" i="1"/>
  <c r="P32" i="1" s="1"/>
  <c r="Q17" i="1"/>
  <c r="Q32" i="1" s="1"/>
  <c r="N18" i="1"/>
  <c r="N33" i="1" s="1"/>
  <c r="O18" i="1"/>
  <c r="P18" i="1"/>
  <c r="P33" i="1" s="1"/>
  <c r="Q18" i="1"/>
  <c r="Q33" i="1" s="1"/>
  <c r="N19" i="1"/>
  <c r="O19" i="1"/>
  <c r="O34" i="1" s="1"/>
  <c r="P19" i="1"/>
  <c r="P34" i="1" s="1"/>
  <c r="Q19" i="1"/>
  <c r="Q34" i="1" s="1"/>
  <c r="N20" i="1"/>
  <c r="N35" i="1" s="1"/>
  <c r="O20" i="1"/>
  <c r="O35" i="1" s="1"/>
  <c r="P20" i="1"/>
  <c r="P35" i="1" s="1"/>
  <c r="Q20" i="1"/>
  <c r="Q35" i="1" s="1"/>
  <c r="N21" i="1"/>
  <c r="N36" i="1" s="1"/>
  <c r="O21" i="1"/>
  <c r="O36" i="1" s="1"/>
  <c r="P21" i="1"/>
  <c r="P36" i="1" s="1"/>
  <c r="Q21" i="1"/>
  <c r="Q36" i="1" s="1"/>
  <c r="O13" i="1"/>
  <c r="O28" i="1" s="1"/>
  <c r="P13" i="1"/>
  <c r="P28" i="1" s="1"/>
  <c r="Q13" i="1"/>
  <c r="Q28" i="1" s="1"/>
  <c r="N13" i="1"/>
  <c r="N28" i="1" s="1"/>
</calcChain>
</file>

<file path=xl/sharedStrings.xml><?xml version="1.0" encoding="utf-8"?>
<sst xmlns="http://schemas.openxmlformats.org/spreadsheetml/2006/main" count="101" uniqueCount="53">
  <si>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</si>
  <si>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</si>
  <si>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</si>
  <si>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</si>
  <si>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</si>
  <si>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</si>
  <si>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</si>
  <si>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</si>
  <si>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</si>
  <si>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</si>
  <si>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</si>
  <si>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 Dec</t>
  </si>
  <si>
    <t>Domestic claims</t>
  </si>
  <si>
    <t>އެހެނިހެން ދާއިރާތަކަށް ދޫކުރެވުނު ދަރަނި</t>
  </si>
  <si>
    <t>Broad money</t>
  </si>
  <si>
    <t>ނެރޯ މަނީ</t>
  </si>
  <si>
    <t>Other items (net)</t>
  </si>
  <si>
    <t>Annual percentage change</t>
  </si>
  <si>
    <t>Net foreign assets</t>
  </si>
  <si>
    <t>Memorandum items:</t>
  </si>
  <si>
    <t>Dollarization ratio</t>
  </si>
  <si>
    <t>ޑޮލަރައިޒޭޝަން ރޭޝިޔޯ</t>
  </si>
  <si>
    <t>Source: Maldives Monetary Authority.</t>
  </si>
  <si>
    <t>Net claims on central government</t>
  </si>
  <si>
    <t>Claims on other sectors</t>
  </si>
  <si>
    <t>ނޯޓް:</t>
  </si>
  <si>
    <t>NOTE:</t>
  </si>
  <si>
    <t/>
  </si>
  <si>
    <t>Central bank</t>
  </si>
  <si>
    <t>Other depository corporations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</si>
  <si>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</si>
  <si>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</si>
  <si>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</si>
  <si>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</si>
  <si>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</si>
  <si>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</si>
  <si>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</si>
  <si>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</si>
  <si>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Narrow money</t>
  </si>
  <si>
    <t>Quasi money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</si>
  <si>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private sector</t>
    </r>
  </si>
  <si>
    <t>މަރުކަޒީ ބޭންކު</t>
  </si>
  <si>
    <t>ވިޔަފާރި ބޭންކުތައް</t>
  </si>
  <si>
    <t>ކުއާޒި މަނީ</t>
  </si>
  <si>
    <t>މީގެ ތެރެއިން: އަމިއްލަ ފަރާތްތަކުން</t>
  </si>
  <si>
    <t>ޖުމްލަ ފައިސާ</t>
  </si>
  <si>
    <t>އިތުރު މައުލޫމާތު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</si>
  <si>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</si>
  <si>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</si>
  <si>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</si>
  <si>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2021, 2020  and Dec 2019  furures are revised</t>
  </si>
  <si>
    <t>Table 14.3 :  DEPOSITORY CORPORATIONS SURVEY, 2020 - 2023</t>
  </si>
  <si>
    <t xml:space="preserve">ތާވަލު 14.3: ޑިޕޮސިޓަރީ ކޯޕަރޭޝަންސް (މަރުކަޒީ ބޭންކް އަދި ވިޔަފާރި ބޭންކުތަކުގެ) ސާރވޭ 2020 - 2023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</si>
</sst>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 * #,##0.00_ ;_ * \-#,##0.00_ ;_ * &quot;-&quot;??_ ;_ @_ "/>
    <numFmt numFmtId="168" formatCode="#,##0.0_);\(#,##0.0\)"/>
    <numFmt numFmtId="169" formatCode="mmmm\-yy"/>
    <numFmt numFmtId="170" formatCode="_-&quot;$&quot;* #,##0_-;\-&quot;$&quot;* #,##0_-;_-&quot;$&quot;* &quot;-&quot;_-;_-@_-"/>
    <numFmt numFmtId="171" formatCode="0.0000%"/>
    <numFmt numFmtId="172" formatCode="##,##0.0000"/>
    <numFmt numFmtId="173" formatCode="_-* #,##0\ _F_-;\-* #,##0\ _F_-;_-* &quot;-&quot;\ _F_-;_-@_-"/>
    <numFmt numFmtId="174" formatCode="_-* #,##0.00\ _F_-;\-* #,##0.00\ _F_-;_-* &quot;-&quot;??\ _F_-;_-@_-"/>
    <numFmt numFmtId="175" formatCode="#,##0\ &quot;F&quot;;[Red]\-#,##0\ &quot;F&quot;"/>
    <numFmt numFmtId="176" formatCode="#,##0.00\ &quot;F&quot;;\-#,##0.00\ &quot;F&quot;"/>
    <numFmt numFmtId="177" formatCode="_-&quot;$&quot;* #,##0.00_-;\-&quot;$&quot;* #,##0.00_-;_-&quot;$&quot;* &quot;-&quot;??_-;_-@_-"/>
    <numFmt numFmtId="178" formatCode="#,##0&quot;£&quot;_);\(#,##0&quot;£&quot;\)"/>
    <numFmt numFmtId="179" formatCode="_(\ #,##0.0_);[Red]_(\-#,##0.0_);_(\ &quot;-&quot;?_);_(@_)"/>
    <numFmt numFmtId="180" formatCode="_(* #,##0_);_(* \(#,##0\);_(* &quot;-&quot;??_);_(@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12"/>
      <name val="A_Randhoo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sz val="11"/>
      <name val="Roboto"/>
    </font>
    <font>
      <sz val="9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4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17" fontId="4" fillId="0" borderId="0" applyFont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7" fontId="4" fillId="0" borderId="0" applyFill="0" applyBorder="0" applyAlignment="0"/>
    <xf numFmtId="0" fontId="27" fillId="0" borderId="0" applyFill="0" applyBorder="0" applyAlignment="0"/>
    <xf numFmtId="0" fontId="4" fillId="0" borderId="0" applyFill="0" applyBorder="0" applyAlignment="0"/>
    <xf numFmtId="168" fontId="3" fillId="0" borderId="0" applyFill="0" applyBorder="0" applyAlignment="0"/>
    <xf numFmtId="169" fontId="4" fillId="0" borderId="0" applyFill="0" applyBorder="0" applyAlignment="0"/>
    <xf numFmtId="167" fontId="4" fillId="0" borderId="0" applyFill="0" applyBorder="0" applyAlignment="0"/>
    <xf numFmtId="170" fontId="4" fillId="0" borderId="0" applyFill="0" applyBorder="0" applyAlignment="0"/>
    <xf numFmtId="0" fontId="27" fillId="0" borderId="0" applyFill="0" applyBorder="0" applyAlignment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17" fontId="4" fillId="0" borderId="0" applyFont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7" fillId="0" borderId="0" applyFont="0" applyFill="0" applyBorder="0" applyAlignment="0" applyProtection="0"/>
    <xf numFmtId="14" fontId="30" fillId="0" borderId="0" applyFill="0" applyBorder="0" applyAlignment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167" fontId="4" fillId="0" borderId="0" applyFill="0" applyBorder="0" applyAlignment="0"/>
    <xf numFmtId="0" fontId="27" fillId="0" borderId="0" applyFill="0" applyBorder="0" applyAlignment="0"/>
    <xf numFmtId="167" fontId="4" fillId="0" borderId="0" applyFill="0" applyBorder="0" applyAlignment="0"/>
    <xf numFmtId="170" fontId="4" fillId="0" borderId="0" applyFill="0" applyBorder="0" applyAlignment="0"/>
    <xf numFmtId="0" fontId="27" fillId="0" borderId="0" applyFill="0" applyBorder="0" applyAlignment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38" fontId="21" fillId="19" borderId="0" applyNumberFormat="0" applyBorder="0" applyAlignment="0" applyProtection="0"/>
    <xf numFmtId="0" fontId="33" fillId="0" borderId="9" applyNumberFormat="0" applyAlignment="0" applyProtection="0">
      <alignment horizontal="left" vertical="center"/>
    </xf>
    <xf numFmtId="0" fontId="33" fillId="0" borderId="6">
      <alignment horizontal="left" vertical="center"/>
    </xf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0" fontId="21" fillId="20" borderId="13" applyNumberFormat="0" applyBorder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167" fontId="4" fillId="0" borderId="0" applyFill="0" applyBorder="0" applyAlignment="0"/>
    <xf numFmtId="0" fontId="27" fillId="0" borderId="0" applyFill="0" applyBorder="0" applyAlignment="0"/>
    <xf numFmtId="167" fontId="4" fillId="0" borderId="0" applyFill="0" applyBorder="0" applyAlignment="0"/>
    <xf numFmtId="170" fontId="4" fillId="0" borderId="0" applyFill="0" applyBorder="0" applyAlignment="0"/>
    <xf numFmtId="0" fontId="27" fillId="0" borderId="0" applyFill="0" applyBorder="0" applyAlignment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173" fontId="39" fillId="0" borderId="0" applyFont="0" applyFill="0" applyBorder="0" applyAlignment="0" applyProtection="0"/>
    <xf numFmtId="174" fontId="39" fillId="0" borderId="0" applyFont="0" applyFill="0" applyBorder="0" applyAlignment="0" applyProtection="0"/>
    <xf numFmtId="42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175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" fillId="0" borderId="0"/>
    <xf numFmtId="16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ill="0" applyBorder="0" applyAlignment="0"/>
    <xf numFmtId="0" fontId="27" fillId="0" borderId="0" applyFill="0" applyBorder="0" applyAlignment="0"/>
    <xf numFmtId="167" fontId="4" fillId="0" borderId="0" applyFill="0" applyBorder="0" applyAlignment="0"/>
    <xf numFmtId="170" fontId="4" fillId="0" borderId="0" applyFill="0" applyBorder="0" applyAlignment="0"/>
    <xf numFmtId="0" fontId="27" fillId="0" borderId="0" applyFill="0" applyBorder="0" applyAlignment="0"/>
    <xf numFmtId="0" fontId="4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9" fontId="30" fillId="0" borderId="0" applyFill="0" applyBorder="0" applyAlignment="0"/>
    <xf numFmtId="177" fontId="4" fillId="0" borderId="0" applyFill="0" applyBorder="0" applyAlignment="0"/>
    <xf numFmtId="178" fontId="4" fillId="0" borderId="0" applyFill="0" applyBorder="0" applyAlignment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43" fillId="0" borderId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0">
    <xf numFmtId="0" fontId="0" fillId="0" borderId="0" xfId="0"/>
    <xf numFmtId="165" fontId="22" fillId="0" borderId="0" xfId="1" applyNumberFormat="1" applyFont="1"/>
    <xf numFmtId="165" fontId="6" fillId="21" borderId="4" xfId="0" applyNumberFormat="1" applyFont="1" applyFill="1" applyBorder="1" applyAlignment="1">
      <alignment vertical="center"/>
    </xf>
    <xf numFmtId="164" fontId="11" fillId="21" borderId="24" xfId="2" applyNumberFormat="1" applyFont="1" applyFill="1" applyBorder="1" applyAlignment="1">
      <alignment horizontal="right"/>
    </xf>
    <xf numFmtId="164" fontId="11" fillId="21" borderId="5" xfId="2" applyNumberFormat="1" applyFont="1" applyFill="1" applyBorder="1" applyAlignment="1">
      <alignment horizontal="right"/>
    </xf>
    <xf numFmtId="164" fontId="11" fillId="21" borderId="23" xfId="2" applyNumberFormat="1" applyFont="1" applyFill="1" applyBorder="1" applyAlignment="1">
      <alignment horizontal="right"/>
    </xf>
    <xf numFmtId="0" fontId="8" fillId="21" borderId="18" xfId="0" applyFont="1" applyFill="1" applyBorder="1" applyAlignment="1">
      <alignment horizontal="right"/>
    </xf>
    <xf numFmtId="43" fontId="6" fillId="21" borderId="27" xfId="1" applyFont="1" applyFill="1" applyBorder="1" applyAlignment="1">
      <alignment horizontal="right"/>
    </xf>
    <xf numFmtId="43" fontId="6" fillId="21" borderId="3" xfId="1" applyFont="1" applyFill="1" applyBorder="1" applyAlignment="1">
      <alignment horizontal="right"/>
    </xf>
    <xf numFmtId="43" fontId="6" fillId="21" borderId="28" xfId="1" applyFont="1" applyFill="1" applyBorder="1" applyAlignment="1">
      <alignment horizontal="right"/>
    </xf>
    <xf numFmtId="166" fontId="19" fillId="21" borderId="0" xfId="2" applyNumberFormat="1" applyFont="1" applyFill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4" fontId="10" fillId="21" borderId="0" xfId="2" applyNumberFormat="1" applyFont="1" applyFill="1" applyAlignment="1">
      <alignment horizontal="right" vertical="center"/>
    </xf>
    <xf numFmtId="0" fontId="14" fillId="21" borderId="0" xfId="0" applyFont="1" applyFill="1" applyAlignment="1">
      <alignment horizontal="left"/>
    </xf>
    <xf numFmtId="164" fontId="15" fillId="21" borderId="0" xfId="2" applyNumberFormat="1" applyFont="1" applyFill="1" applyAlignment="1">
      <alignment vertical="center"/>
    </xf>
    <xf numFmtId="164" fontId="47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Alignment="1">
      <alignment horizontal="left" vertical="center" indent="2"/>
    </xf>
    <xf numFmtId="164" fontId="10" fillId="21" borderId="0" xfId="2" applyNumberFormat="1" applyFont="1" applyFill="1" applyAlignment="1">
      <alignment vertical="center"/>
    </xf>
    <xf numFmtId="164" fontId="18" fillId="21" borderId="0" xfId="2" applyNumberFormat="1" applyFont="1" applyFill="1" applyAlignment="1">
      <alignment horizontal="right" vertical="center" indent="2"/>
    </xf>
    <xf numFmtId="0" fontId="7" fillId="21" borderId="30" xfId="0" applyFont="1" applyFill="1" applyBorder="1"/>
    <xf numFmtId="165" fontId="52" fillId="21" borderId="21" xfId="1" applyNumberFormat="1" applyFont="1" applyFill="1" applyBorder="1"/>
    <xf numFmtId="165" fontId="52" fillId="21" borderId="0" xfId="1" applyNumberFormat="1" applyFont="1" applyFill="1" applyBorder="1"/>
    <xf numFmtId="165" fontId="52" fillId="21" borderId="25" xfId="1" applyNumberFormat="1" applyFont="1" applyFill="1" applyBorder="1"/>
    <xf numFmtId="165" fontId="22" fillId="21" borderId="21" xfId="1" applyNumberFormat="1" applyFont="1" applyFill="1" applyBorder="1"/>
    <xf numFmtId="165" fontId="22" fillId="21" borderId="0" xfId="1" applyNumberFormat="1" applyFont="1" applyFill="1" applyBorder="1"/>
    <xf numFmtId="165" fontId="22" fillId="21" borderId="25" xfId="1" applyNumberFormat="1" applyFont="1" applyFill="1" applyBorder="1"/>
    <xf numFmtId="164" fontId="48" fillId="21" borderId="0" xfId="2" applyNumberFormat="1" applyFont="1" applyFill="1" applyAlignment="1">
      <alignment horizontal="right" vertical="center" indent="2" readingOrder="2"/>
    </xf>
    <xf numFmtId="49" fontId="49" fillId="21" borderId="0" xfId="0" applyNumberFormat="1" applyFont="1" applyFill="1" applyAlignment="1">
      <alignment vertical="center"/>
    </xf>
    <xf numFmtId="164" fontId="4" fillId="21" borderId="0" xfId="2" applyNumberFormat="1" applyFont="1" applyFill="1" applyAlignment="1">
      <alignment vertical="center"/>
    </xf>
    <xf numFmtId="164" fontId="6" fillId="21" borderId="0" xfId="2" applyNumberFormat="1" applyFont="1" applyFill="1" applyAlignment="1">
      <alignment horizontal="left" vertical="center"/>
    </xf>
    <xf numFmtId="164" fontId="9" fillId="21" borderId="0" xfId="2" applyNumberFormat="1" applyFont="1" applyFill="1" applyAlignment="1">
      <alignment horizontal="right" vertical="center"/>
    </xf>
    <xf numFmtId="166" fontId="52" fillId="21" borderId="21" xfId="1" applyNumberFormat="1" applyFont="1" applyFill="1" applyBorder="1"/>
    <xf numFmtId="166" fontId="52" fillId="21" borderId="0" xfId="1" applyNumberFormat="1" applyFont="1" applyFill="1" applyBorder="1"/>
    <xf numFmtId="166" fontId="52" fillId="21" borderId="25" xfId="1" applyNumberFormat="1" applyFont="1" applyFill="1" applyBorder="1"/>
    <xf numFmtId="166" fontId="22" fillId="21" borderId="21" xfId="1" applyNumberFormat="1" applyFont="1" applyFill="1" applyBorder="1"/>
    <xf numFmtId="166" fontId="22" fillId="21" borderId="0" xfId="1" applyNumberFormat="1" applyFont="1" applyFill="1" applyBorder="1"/>
    <xf numFmtId="166" fontId="22" fillId="21" borderId="25" xfId="1" applyNumberFormat="1" applyFont="1" applyFill="1" applyBorder="1"/>
    <xf numFmtId="166" fontId="13" fillId="21" borderId="20" xfId="2" applyNumberFormat="1" applyFont="1" applyFill="1" applyBorder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6" fontId="13" fillId="21" borderId="26" xfId="2" applyNumberFormat="1" applyFont="1" applyFill="1" applyBorder="1" applyAlignment="1">
      <alignment vertical="center"/>
    </xf>
    <xf numFmtId="166" fontId="13" fillId="21" borderId="21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166" fontId="13" fillId="21" borderId="25" xfId="2" applyNumberFormat="1" applyFont="1" applyFill="1" applyBorder="1" applyAlignment="1">
      <alignment vertical="center"/>
    </xf>
    <xf numFmtId="164" fontId="48" fillId="21" borderId="0" xfId="2" applyNumberFormat="1" applyFont="1" applyFill="1" applyAlignment="1">
      <alignment vertical="center" readingOrder="2"/>
    </xf>
    <xf numFmtId="49" fontId="50" fillId="21" borderId="0" xfId="0" applyNumberFormat="1" applyFont="1" applyFill="1" applyAlignment="1">
      <alignment vertical="center"/>
    </xf>
    <xf numFmtId="166" fontId="12" fillId="21" borderId="20" xfId="2" applyNumberFormat="1" applyFont="1" applyFill="1" applyBorder="1" applyAlignment="1">
      <alignment vertical="center"/>
    </xf>
    <xf numFmtId="166" fontId="12" fillId="21" borderId="1" xfId="2" applyNumberFormat="1" applyFont="1" applyFill="1" applyBorder="1" applyAlignment="1">
      <alignment vertical="center"/>
    </xf>
    <xf numFmtId="166" fontId="12" fillId="21" borderId="26" xfId="2" applyNumberFormat="1" applyFont="1" applyFill="1" applyBorder="1" applyAlignment="1">
      <alignment vertical="center"/>
    </xf>
    <xf numFmtId="166" fontId="12" fillId="21" borderId="0" xfId="2" applyNumberFormat="1" applyFont="1" applyFill="1" applyAlignment="1">
      <alignment vertical="center"/>
    </xf>
    <xf numFmtId="49" fontId="48" fillId="21" borderId="0" xfId="0" applyNumberFormat="1" applyFont="1" applyFill="1" applyAlignment="1">
      <alignment horizontal="right" vertical="center" indent="2"/>
    </xf>
    <xf numFmtId="0" fontId="49" fillId="21" borderId="0" xfId="0" applyFont="1" applyFill="1"/>
    <xf numFmtId="165" fontId="12" fillId="21" borderId="1" xfId="0" applyNumberFormat="1" applyFont="1" applyFill="1" applyBorder="1" applyAlignment="1">
      <alignment vertical="center"/>
    </xf>
    <xf numFmtId="165" fontId="12" fillId="21" borderId="0" xfId="0" applyNumberFormat="1" applyFont="1" applyFill="1" applyAlignment="1">
      <alignment vertical="center"/>
    </xf>
    <xf numFmtId="165" fontId="13" fillId="21" borderId="1" xfId="0" applyNumberFormat="1" applyFont="1" applyFill="1" applyBorder="1" applyAlignment="1">
      <alignment vertical="center"/>
    </xf>
    <xf numFmtId="165" fontId="13" fillId="21" borderId="0" xfId="0" applyNumberFormat="1" applyFont="1" applyFill="1" applyAlignment="1">
      <alignment vertical="center"/>
    </xf>
    <xf numFmtId="49" fontId="48" fillId="21" borderId="0" xfId="0" applyNumberFormat="1" applyFont="1" applyFill="1" applyAlignment="1">
      <alignment horizontal="right" vertical="center" indent="4"/>
    </xf>
    <xf numFmtId="49" fontId="48" fillId="21" borderId="0" xfId="0" applyNumberFormat="1" applyFont="1" applyFill="1" applyAlignment="1">
      <alignment horizontal="right" vertical="center" indent="6"/>
    </xf>
    <xf numFmtId="164" fontId="13" fillId="21" borderId="21" xfId="2" applyNumberFormat="1" applyFont="1" applyFill="1" applyBorder="1" applyAlignment="1">
      <alignment vertical="center"/>
    </xf>
    <xf numFmtId="164" fontId="13" fillId="21" borderId="0" xfId="2" applyNumberFormat="1" applyFont="1" applyFill="1" applyAlignment="1">
      <alignment vertical="center"/>
    </xf>
    <xf numFmtId="164" fontId="8" fillId="21" borderId="0" xfId="2" applyNumberFormat="1" applyFont="1" applyFill="1" applyAlignment="1">
      <alignment vertical="center"/>
    </xf>
    <xf numFmtId="164" fontId="9" fillId="21" borderId="1" xfId="2" applyNumberFormat="1" applyFont="1" applyFill="1" applyBorder="1" applyAlignment="1">
      <alignment horizontal="right" vertical="center"/>
    </xf>
    <xf numFmtId="164" fontId="46" fillId="21" borderId="0" xfId="2" applyNumberFormat="1" applyFont="1" applyFill="1" applyAlignment="1">
      <alignment horizontal="left" vertical="center"/>
    </xf>
    <xf numFmtId="164" fontId="4" fillId="21" borderId="0" xfId="2" applyNumberFormat="1" applyFont="1" applyFill="1" applyAlignment="1">
      <alignment horizontal="left" vertical="center"/>
    </xf>
    <xf numFmtId="0" fontId="33" fillId="21" borderId="0" xfId="0" applyFont="1" applyFill="1" applyAlignment="1">
      <alignment horizontal="center" vertical="top"/>
    </xf>
    <xf numFmtId="164" fontId="8" fillId="21" borderId="0" xfId="2" applyNumberFormat="1" applyFont="1" applyFill="1" applyAlignment="1">
      <alignment horizontal="left" vertical="center"/>
    </xf>
    <xf numFmtId="164" fontId="6" fillId="21" borderId="0" xfId="2" applyNumberFormat="1" applyFont="1" applyFill="1" applyAlignment="1">
      <alignment vertical="center"/>
    </xf>
    <xf numFmtId="164" fontId="6" fillId="21" borderId="21" xfId="2" applyNumberFormat="1" applyFont="1" applyFill="1" applyBorder="1" applyAlignment="1">
      <alignment horizontal="right" vertical="center"/>
    </xf>
    <xf numFmtId="164" fontId="6" fillId="21" borderId="0" xfId="2" applyNumberFormat="1" applyFont="1" applyFill="1" applyAlignment="1">
      <alignment horizontal="right" vertical="center"/>
    </xf>
    <xf numFmtId="164" fontId="6" fillId="21" borderId="25" xfId="2" applyNumberFormat="1" applyFont="1" applyFill="1" applyBorder="1" applyAlignment="1">
      <alignment horizontal="right" vertical="center"/>
    </xf>
    <xf numFmtId="164" fontId="19" fillId="21" borderId="0" xfId="2" applyNumberFormat="1" applyFont="1" applyFill="1" applyAlignment="1">
      <alignment horizontal="right" vertical="center"/>
    </xf>
    <xf numFmtId="0" fontId="45" fillId="21" borderId="0" xfId="0" applyFont="1" applyFill="1" applyAlignment="1">
      <alignment horizontal="left" indent="2"/>
    </xf>
    <xf numFmtId="0" fontId="45" fillId="21" borderId="0" xfId="0" applyFont="1" applyFill="1" applyAlignment="1">
      <alignment horizontal="left" indent="4"/>
    </xf>
    <xf numFmtId="0" fontId="45" fillId="21" borderId="0" xfId="0" applyFont="1" applyFill="1" applyAlignment="1">
      <alignment horizontal="left" indent="6"/>
    </xf>
    <xf numFmtId="166" fontId="12" fillId="21" borderId="21" xfId="2" applyNumberFormat="1" applyFont="1" applyFill="1" applyBorder="1" applyAlignment="1">
      <alignment vertical="center"/>
    </xf>
    <xf numFmtId="166" fontId="12" fillId="21" borderId="25" xfId="2" applyNumberFormat="1" applyFont="1" applyFill="1" applyBorder="1" applyAlignment="1">
      <alignment vertical="center"/>
    </xf>
    <xf numFmtId="164" fontId="13" fillId="21" borderId="25" xfId="2" applyNumberFormat="1" applyFont="1" applyFill="1" applyBorder="1" applyAlignment="1">
      <alignment vertical="center"/>
    </xf>
    <xf numFmtId="49" fontId="19" fillId="21" borderId="0" xfId="2" applyNumberFormat="1" applyFont="1" applyFill="1" applyAlignment="1">
      <alignment horizontal="right" vertical="center"/>
    </xf>
    <xf numFmtId="165" fontId="13" fillId="21" borderId="1" xfId="0" applyNumberFormat="1" applyFont="1" applyFill="1" applyBorder="1" applyAlignment="1">
      <alignment horizontal="left" vertical="center"/>
    </xf>
    <xf numFmtId="164" fontId="18" fillId="21" borderId="1" xfId="2" applyNumberFormat="1" applyFont="1" applyFill="1" applyBorder="1" applyAlignment="1">
      <alignment vertical="center"/>
    </xf>
    <xf numFmtId="165" fontId="13" fillId="21" borderId="0" xfId="0" applyNumberFormat="1" applyFont="1" applyFill="1" applyAlignment="1">
      <alignment horizontal="left" vertical="center"/>
    </xf>
    <xf numFmtId="164" fontId="18" fillId="21" borderId="0" xfId="2" applyNumberFormat="1" applyFont="1" applyFill="1" applyAlignment="1">
      <alignment vertical="center"/>
    </xf>
    <xf numFmtId="164" fontId="22" fillId="21" borderId="0" xfId="2" applyNumberFormat="1" applyFont="1" applyFill="1" applyAlignment="1">
      <alignment vertical="center"/>
    </xf>
    <xf numFmtId="164" fontId="45" fillId="21" borderId="0" xfId="2" applyNumberFormat="1" applyFont="1" applyFill="1" applyAlignment="1">
      <alignment vertical="center"/>
    </xf>
    <xf numFmtId="0" fontId="17" fillId="21" borderId="0" xfId="0" applyFont="1" applyFill="1" applyAlignment="1">
      <alignment horizontal="left" indent="4"/>
    </xf>
    <xf numFmtId="43" fontId="15" fillId="21" borderId="0" xfId="1" applyFont="1" applyFill="1" applyBorder="1" applyAlignment="1">
      <alignment vertical="center"/>
    </xf>
    <xf numFmtId="43" fontId="4" fillId="21" borderId="0" xfId="1" applyFont="1" applyFill="1" applyBorder="1" applyAlignment="1">
      <alignment vertical="center"/>
    </xf>
    <xf numFmtId="164" fontId="4" fillId="21" borderId="0" xfId="1" applyNumberFormat="1" applyFont="1" applyFill="1" applyBorder="1" applyAlignment="1">
      <alignment vertical="center"/>
    </xf>
    <xf numFmtId="4" fontId="55" fillId="0" borderId="0" xfId="0" applyNumberFormat="1" applyFont="1"/>
    <xf numFmtId="180" fontId="13" fillId="21" borderId="0" xfId="1" applyNumberFormat="1" applyFont="1" applyFill="1" applyAlignment="1">
      <alignment vertical="center"/>
    </xf>
    <xf numFmtId="179" fontId="54" fillId="0" borderId="0" xfId="0" applyNumberFormat="1" applyFont="1" applyAlignment="1">
      <alignment horizontal="right"/>
    </xf>
    <xf numFmtId="0" fontId="5" fillId="21" borderId="19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1" borderId="29" xfId="0" applyFont="1" applyFill="1" applyBorder="1" applyAlignment="1">
      <alignment horizontal="center" vertical="center"/>
    </xf>
    <xf numFmtId="164" fontId="53" fillId="21" borderId="0" xfId="2" applyNumberFormat="1" applyFont="1" applyFill="1" applyAlignment="1">
      <alignment horizontal="center" vertical="center" readingOrder="2"/>
    </xf>
    <xf numFmtId="164" fontId="33" fillId="21" borderId="0" xfId="2" applyNumberFormat="1" applyFont="1" applyFill="1" applyAlignment="1">
      <alignment horizontal="center" vertical="center"/>
    </xf>
    <xf numFmtId="164" fontId="20" fillId="21" borderId="0" xfId="2" applyNumberFormat="1" applyFont="1" applyFill="1" applyAlignment="1">
      <alignment horizontal="center" vertical="center" wrapText="1"/>
    </xf>
    <xf numFmtId="0" fontId="33" fillId="21" borderId="0" xfId="0" applyFont="1" applyFill="1" applyAlignment="1">
      <alignment horizontal="center" vertical="top"/>
    </xf>
    <xf numFmtId="164" fontId="19" fillId="21" borderId="22" xfId="2" applyNumberFormat="1" applyFont="1" applyFill="1" applyBorder="1" applyAlignment="1">
      <alignment horizontal="right" vertical="center"/>
    </xf>
    <xf numFmtId="164" fontId="19" fillId="21" borderId="21" xfId="2" applyNumberFormat="1" applyFont="1" applyFill="1" applyBorder="1" applyAlignment="1">
      <alignment horizontal="right" vertical="center"/>
    </xf>
    <xf numFmtId="164" fontId="19" fillId="21" borderId="20" xfId="2" applyNumberFormat="1" applyFont="1" applyFill="1" applyBorder="1" applyAlignment="1">
      <alignment horizontal="right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thimath.shifaza\Downloads\data20241022135850.csv" TargetMode="External"/><Relationship Id="rId1" Type="http://schemas.openxmlformats.org/officeDocument/2006/relationships/externalLinkPath" Target="file:///C:\Users\fathimath.shifaza\Downloads\data2024102213585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20241022135850"/>
    </sheetNames>
    <sheetDataSet>
      <sheetData sheetId="0">
        <row r="77">
          <cell r="K77">
            <v>45286.639526910003</v>
          </cell>
          <cell r="L77">
            <v>46725.985816436994</v>
          </cell>
          <cell r="M77">
            <v>46949.124035535002</v>
          </cell>
          <cell r="N77">
            <v>47917.151349321</v>
          </cell>
        </row>
        <row r="78">
          <cell r="K78">
            <v>68998.073771169991</v>
          </cell>
          <cell r="L78">
            <v>70807.318480469999</v>
          </cell>
          <cell r="M78">
            <v>70971.554379830006</v>
          </cell>
          <cell r="N78">
            <v>72110.019544160008</v>
          </cell>
        </row>
        <row r="79">
          <cell r="K79">
            <v>35274.146136879994</v>
          </cell>
          <cell r="L79">
            <v>36784.75464272</v>
          </cell>
          <cell r="M79">
            <v>36458.632457959997</v>
          </cell>
          <cell r="N79">
            <v>37344.785230949994</v>
          </cell>
        </row>
        <row r="80">
          <cell r="K80">
            <v>33723.927634289998</v>
          </cell>
          <cell r="L80">
            <v>34022.56383775</v>
          </cell>
          <cell r="M80">
            <v>34512.921921870002</v>
          </cell>
          <cell r="N80">
            <v>34765.23431321</v>
          </cell>
        </row>
        <row r="81">
          <cell r="K81">
            <v>29576.607634290001</v>
          </cell>
          <cell r="L81">
            <v>29636.435837749999</v>
          </cell>
          <cell r="M81">
            <v>30033.866921869998</v>
          </cell>
          <cell r="N81">
            <v>30184.37831321</v>
          </cell>
        </row>
        <row r="82">
          <cell r="K82">
            <v>-23711.434244259999</v>
          </cell>
          <cell r="L82">
            <v>-24081.332664033001</v>
          </cell>
          <cell r="M82">
            <v>-24022.430344294997</v>
          </cell>
          <cell r="N82">
            <v>-24192.868194839</v>
          </cell>
        </row>
        <row r="83">
          <cell r="K83">
            <v>58663.236412419996</v>
          </cell>
          <cell r="L83">
            <v>59986.419522379998</v>
          </cell>
          <cell r="M83">
            <v>59052.370522639998</v>
          </cell>
          <cell r="N83">
            <v>57423.763285919995</v>
          </cell>
        </row>
        <row r="84">
          <cell r="K84">
            <v>22396.311434619998</v>
          </cell>
          <cell r="L84">
            <v>22886.967544580002</v>
          </cell>
          <cell r="M84">
            <v>23239.708544839999</v>
          </cell>
          <cell r="N84">
            <v>23613.003308119998</v>
          </cell>
        </row>
        <row r="85">
          <cell r="K85">
            <v>36266.924977800001</v>
          </cell>
          <cell r="L85">
            <v>37099.451977800003</v>
          </cell>
          <cell r="M85">
            <v>35812.661977800002</v>
          </cell>
          <cell r="N85">
            <v>33810.7599778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S101"/>
  <sheetViews>
    <sheetView showGridLines="0" tabSelected="1" zoomScale="85" zoomScaleNormal="85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R6" sqref="R6:R8"/>
    </sheetView>
  </sheetViews>
  <sheetFormatPr defaultColWidth="11.140625" defaultRowHeight="18.75" x14ac:dyDescent="0.25"/>
  <cols>
    <col min="1" max="1" width="45.7109375" style="28" customWidth="1"/>
    <col min="2" max="17" width="9.7109375" style="28" customWidth="1"/>
    <col min="18" max="18" width="45.42578125" style="80" customWidth="1"/>
    <col min="19" max="19" width="2.28515625" style="28" customWidth="1"/>
    <col min="20" max="16384" width="11.140625" style="28"/>
  </cols>
  <sheetData>
    <row r="1" spans="1:19" s="61" customFormat="1" ht="20.100000000000001" customHeight="1" x14ac:dyDescent="0.25">
      <c r="A1" s="93" t="s">
        <v>52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9" s="62" customFormat="1" ht="20.100000000000001" customHeight="1" x14ac:dyDescent="0.25">
      <c r="A2" s="94" t="s">
        <v>51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9" s="29" customFormat="1" ht="15.95" customHeight="1" x14ac:dyDescent="0.25">
      <c r="A3" s="95" t="s">
        <v>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9" s="64" customFormat="1" ht="15.95" customHeight="1" x14ac:dyDescent="0.25">
      <c r="A4" s="96" t="s">
        <v>1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</row>
    <row r="5" spans="1:19" s="64" customFormat="1" ht="8.1" customHeight="1" x14ac:dyDescent="0.2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</row>
    <row r="6" spans="1:19" s="65" customFormat="1" ht="15.95" customHeight="1" x14ac:dyDescent="0.2">
      <c r="A6" s="19"/>
      <c r="B6" s="90">
        <v>2020</v>
      </c>
      <c r="C6" s="91"/>
      <c r="D6" s="91"/>
      <c r="E6" s="92"/>
      <c r="F6" s="90">
        <v>2021</v>
      </c>
      <c r="G6" s="91"/>
      <c r="H6" s="91"/>
      <c r="I6" s="92"/>
      <c r="J6" s="90">
        <v>2022</v>
      </c>
      <c r="K6" s="91"/>
      <c r="L6" s="91"/>
      <c r="M6" s="92"/>
      <c r="N6" s="90">
        <v>2023</v>
      </c>
      <c r="O6" s="91"/>
      <c r="P6" s="91"/>
      <c r="Q6" s="92"/>
      <c r="R6" s="97" t="s">
        <v>30</v>
      </c>
    </row>
    <row r="7" spans="1:19" s="65" customFormat="1" ht="15.95" customHeight="1" x14ac:dyDescent="0.35">
      <c r="A7" s="2" t="s">
        <v>2</v>
      </c>
      <c r="B7" s="3" t="s">
        <v>3</v>
      </c>
      <c r="C7" s="4" t="s">
        <v>4</v>
      </c>
      <c r="D7" s="4" t="s">
        <v>5</v>
      </c>
      <c r="E7" s="5" t="s">
        <v>6</v>
      </c>
      <c r="F7" s="3" t="s">
        <v>3</v>
      </c>
      <c r="G7" s="4" t="s">
        <v>4</v>
      </c>
      <c r="H7" s="4" t="s">
        <v>5</v>
      </c>
      <c r="I7" s="5" t="s">
        <v>6</v>
      </c>
      <c r="J7" s="3" t="s">
        <v>3</v>
      </c>
      <c r="K7" s="4" t="s">
        <v>4</v>
      </c>
      <c r="L7" s="4" t="s">
        <v>5</v>
      </c>
      <c r="M7" s="5" t="s">
        <v>6</v>
      </c>
      <c r="N7" s="3" t="s">
        <v>3</v>
      </c>
      <c r="O7" s="4" t="s">
        <v>4</v>
      </c>
      <c r="P7" s="4" t="s">
        <v>5</v>
      </c>
      <c r="Q7" s="5" t="s">
        <v>6</v>
      </c>
      <c r="R7" s="98" t="s">
        <v>7</v>
      </c>
    </row>
    <row r="8" spans="1:19" s="65" customFormat="1" ht="15.95" customHeight="1" x14ac:dyDescent="0.2">
      <c r="A8" s="6"/>
      <c r="B8" s="7" t="s">
        <v>8</v>
      </c>
      <c r="C8" s="8" t="s">
        <v>9</v>
      </c>
      <c r="D8" s="8" t="s">
        <v>10</v>
      </c>
      <c r="E8" s="9" t="s">
        <v>11</v>
      </c>
      <c r="F8" s="7" t="s">
        <v>8</v>
      </c>
      <c r="G8" s="8" t="s">
        <v>9</v>
      </c>
      <c r="H8" s="8" t="s">
        <v>10</v>
      </c>
      <c r="I8" s="9" t="s">
        <v>11</v>
      </c>
      <c r="J8" s="7" t="s">
        <v>8</v>
      </c>
      <c r="K8" s="8" t="s">
        <v>9</v>
      </c>
      <c r="L8" s="8" t="s">
        <v>10</v>
      </c>
      <c r="M8" s="9" t="s">
        <v>11</v>
      </c>
      <c r="N8" s="7" t="s">
        <v>8</v>
      </c>
      <c r="O8" s="8" t="s">
        <v>9</v>
      </c>
      <c r="P8" s="8" t="s">
        <v>10</v>
      </c>
      <c r="Q8" s="9" t="s">
        <v>11</v>
      </c>
      <c r="R8" s="99"/>
    </row>
    <row r="9" spans="1:19" s="65" customFormat="1" ht="8.1" customHeight="1" x14ac:dyDescent="0.25">
      <c r="A9" s="29"/>
      <c r="B9" s="66"/>
      <c r="C9" s="67"/>
      <c r="D9" s="67"/>
      <c r="E9" s="68"/>
      <c r="F9" s="66"/>
      <c r="G9" s="67"/>
      <c r="H9" s="67"/>
      <c r="I9" s="68"/>
      <c r="J9" s="66"/>
      <c r="K9" s="67"/>
      <c r="L9" s="67"/>
      <c r="M9" s="68"/>
      <c r="N9" s="66"/>
      <c r="O9" s="67"/>
      <c r="P9" s="67"/>
      <c r="Q9" s="68"/>
      <c r="R9" s="69"/>
    </row>
    <row r="10" spans="1:19" s="65" customFormat="1" ht="15.95" customHeight="1" x14ac:dyDescent="0.2">
      <c r="A10" s="50" t="s">
        <v>18</v>
      </c>
      <c r="B10" s="31">
        <v>13374.057497719599</v>
      </c>
      <c r="C10" s="32">
        <v>9471.1862045637099</v>
      </c>
      <c r="D10" s="32">
        <v>4517.9866630607503</v>
      </c>
      <c r="E10" s="33">
        <v>6617.9287695552503</v>
      </c>
      <c r="F10" s="31">
        <v>7985.2819162249998</v>
      </c>
      <c r="G10" s="32">
        <v>8331.4955972100197</v>
      </c>
      <c r="H10" s="32">
        <v>9485.7069814043898</v>
      </c>
      <c r="I10" s="33">
        <v>14163.27330415347</v>
      </c>
      <c r="J10" s="31">
        <v>17024.733365388609</v>
      </c>
      <c r="K10" s="32">
        <v>16532.826263956475</v>
      </c>
      <c r="L10" s="32">
        <v>9824.8786376439257</v>
      </c>
      <c r="M10" s="33">
        <v>12217.550522746413</v>
      </c>
      <c r="N10" s="31">
        <v>13376.59688551</v>
      </c>
      <c r="O10" s="32">
        <v>9506.6119365995</v>
      </c>
      <c r="P10" s="32">
        <v>7161.2901232517006</v>
      </c>
      <c r="Q10" s="33">
        <v>9485.5121511896996</v>
      </c>
      <c r="R10" s="10" t="s">
        <v>35</v>
      </c>
    </row>
    <row r="11" spans="1:19" s="65" customFormat="1" ht="15.95" customHeight="1" x14ac:dyDescent="0.2">
      <c r="A11" s="70" t="s">
        <v>28</v>
      </c>
      <c r="B11" s="34">
        <v>10972.073497719601</v>
      </c>
      <c r="C11" s="35">
        <v>8098.1672045637097</v>
      </c>
      <c r="D11" s="35">
        <v>7993.6446630607497</v>
      </c>
      <c r="E11" s="36">
        <v>8497.0297695552508</v>
      </c>
      <c r="F11" s="34">
        <v>8667.1839162249998</v>
      </c>
      <c r="G11" s="35">
        <v>9626.7645972100199</v>
      </c>
      <c r="H11" s="35">
        <v>10942.6059814044</v>
      </c>
      <c r="I11" s="36">
        <v>11265.40430415347</v>
      </c>
      <c r="J11" s="34">
        <v>12333.653365388607</v>
      </c>
      <c r="K11" s="35">
        <v>10263.550263956473</v>
      </c>
      <c r="L11" s="35">
        <v>7948.7426376439253</v>
      </c>
      <c r="M11" s="36">
        <v>10376.879522746414</v>
      </c>
      <c r="N11" s="34">
        <v>9559.2298855097015</v>
      </c>
      <c r="O11" s="35">
        <v>8184.9389365994994</v>
      </c>
      <c r="P11" s="35">
        <v>7233.5161232517003</v>
      </c>
      <c r="Q11" s="36">
        <v>8211.1711511896992</v>
      </c>
      <c r="R11" s="49" t="s">
        <v>41</v>
      </c>
    </row>
    <row r="12" spans="1:19" s="59" customFormat="1" ht="15.95" customHeight="1" x14ac:dyDescent="0.2">
      <c r="A12" s="70" t="s">
        <v>29</v>
      </c>
      <c r="B12" s="34">
        <v>2401.9839999999999</v>
      </c>
      <c r="C12" s="35">
        <v>1373.019</v>
      </c>
      <c r="D12" s="35">
        <v>-3475.6579999999999</v>
      </c>
      <c r="E12" s="36">
        <v>-1879.1010000000001</v>
      </c>
      <c r="F12" s="34">
        <v>-681.90200000000004</v>
      </c>
      <c r="G12" s="35">
        <v>-1295.269</v>
      </c>
      <c r="H12" s="35">
        <v>-1456.8989999999999</v>
      </c>
      <c r="I12" s="36">
        <v>2897.8690000000006</v>
      </c>
      <c r="J12" s="34">
        <v>4691.0800000000008</v>
      </c>
      <c r="K12" s="35">
        <v>6269.2760000000026</v>
      </c>
      <c r="L12" s="35">
        <v>1876.1360000000004</v>
      </c>
      <c r="M12" s="36">
        <v>1840.6709999999985</v>
      </c>
      <c r="N12" s="34">
        <v>3817.3670000000002</v>
      </c>
      <c r="O12" s="35">
        <v>1321.673</v>
      </c>
      <c r="P12" s="35">
        <v>-72.225999999999999</v>
      </c>
      <c r="Q12" s="36">
        <v>1274.3409999999999</v>
      </c>
      <c r="R12" s="49" t="s">
        <v>42</v>
      </c>
      <c r="S12" s="65"/>
    </row>
    <row r="13" spans="1:19" s="59" customFormat="1" ht="15.95" customHeight="1" x14ac:dyDescent="0.2">
      <c r="A13" s="50" t="s">
        <v>31</v>
      </c>
      <c r="B13" s="31">
        <v>23980.229914810399</v>
      </c>
      <c r="C13" s="32">
        <v>28282.6282589763</v>
      </c>
      <c r="D13" s="32">
        <v>32664.102406329199</v>
      </c>
      <c r="E13" s="33">
        <v>34767.032581514803</v>
      </c>
      <c r="F13" s="31">
        <v>36443.433889134998</v>
      </c>
      <c r="G13" s="32">
        <v>37276.669566509998</v>
      </c>
      <c r="H13" s="32">
        <v>36925.094562395599</v>
      </c>
      <c r="I13" s="33">
        <v>38058.386502216526</v>
      </c>
      <c r="J13" s="31">
        <v>38858.321297761388</v>
      </c>
      <c r="K13" s="32">
        <v>41207.180598213527</v>
      </c>
      <c r="L13" s="32">
        <v>41899.662931786072</v>
      </c>
      <c r="M13" s="33">
        <v>43157.141834363589</v>
      </c>
      <c r="N13" s="31">
        <f>[2]data20241022135850!K77</f>
        <v>45286.639526910003</v>
      </c>
      <c r="O13" s="32">
        <f>[2]data20241022135850!L77</f>
        <v>46725.985816436994</v>
      </c>
      <c r="P13" s="32">
        <f>[2]data20241022135850!M77</f>
        <v>46949.124035535002</v>
      </c>
      <c r="Q13" s="33">
        <f>[2]data20241022135850!N77</f>
        <v>47917.151349321</v>
      </c>
      <c r="R13" s="10" t="s">
        <v>36</v>
      </c>
      <c r="S13" s="65"/>
    </row>
    <row r="14" spans="1:19" s="59" customFormat="1" ht="15.95" customHeight="1" x14ac:dyDescent="0.2">
      <c r="A14" s="70" t="s">
        <v>12</v>
      </c>
      <c r="B14" s="34">
        <v>42234.809401389997</v>
      </c>
      <c r="C14" s="35">
        <v>47135.803878259998</v>
      </c>
      <c r="D14" s="35">
        <v>51594.32861923</v>
      </c>
      <c r="E14" s="36">
        <v>54641.166359410003</v>
      </c>
      <c r="F14" s="34">
        <v>56250.774272820003</v>
      </c>
      <c r="G14" s="35">
        <v>57877.29580249</v>
      </c>
      <c r="H14" s="35">
        <v>58074.74391736</v>
      </c>
      <c r="I14" s="36">
        <v>59447.189413439999</v>
      </c>
      <c r="J14" s="34">
        <v>60461.883788499996</v>
      </c>
      <c r="K14" s="35">
        <v>63483.41163563</v>
      </c>
      <c r="L14" s="35">
        <v>64806.254473020002</v>
      </c>
      <c r="M14" s="36">
        <v>66819.406406780006</v>
      </c>
      <c r="N14" s="34">
        <f>[2]data20241022135850!K78</f>
        <v>68998.073771169991</v>
      </c>
      <c r="O14" s="35">
        <f>[2]data20241022135850!L78</f>
        <v>70807.318480469999</v>
      </c>
      <c r="P14" s="35">
        <f>[2]data20241022135850!M78</f>
        <v>70971.554379830006</v>
      </c>
      <c r="Q14" s="36">
        <f>[2]data20241022135850!N78</f>
        <v>72110.019544160008</v>
      </c>
      <c r="R14" s="49" t="s">
        <v>32</v>
      </c>
      <c r="S14" s="65"/>
    </row>
    <row r="15" spans="1:19" s="59" customFormat="1" ht="15.95" customHeight="1" x14ac:dyDescent="0.2">
      <c r="A15" s="71" t="s">
        <v>23</v>
      </c>
      <c r="B15" s="34">
        <v>14579.6015725</v>
      </c>
      <c r="C15" s="35">
        <v>18881.104414000001</v>
      </c>
      <c r="D15" s="35">
        <v>22206.9346811</v>
      </c>
      <c r="E15" s="36">
        <v>24733.42713765</v>
      </c>
      <c r="F15" s="34">
        <v>25704.456164939998</v>
      </c>
      <c r="G15" s="35">
        <v>26705.901668629998</v>
      </c>
      <c r="H15" s="35">
        <v>25659.68392336</v>
      </c>
      <c r="I15" s="36">
        <v>27703.28847562</v>
      </c>
      <c r="J15" s="34">
        <v>28716.418077009996</v>
      </c>
      <c r="K15" s="35">
        <v>31263.228865789999</v>
      </c>
      <c r="L15" s="35">
        <v>31979.461599140002</v>
      </c>
      <c r="M15" s="36">
        <v>33175.879028089999</v>
      </c>
      <c r="N15" s="34">
        <f>[2]data20241022135850!K79</f>
        <v>35274.146136879994</v>
      </c>
      <c r="O15" s="35">
        <f>[2]data20241022135850!L79</f>
        <v>36784.75464272</v>
      </c>
      <c r="P15" s="35">
        <f>[2]data20241022135850!M79</f>
        <v>36458.632457959997</v>
      </c>
      <c r="Q15" s="36">
        <f>[2]data20241022135850!N79</f>
        <v>37344.785230949994</v>
      </c>
      <c r="R15" s="55" t="s">
        <v>33</v>
      </c>
      <c r="S15" s="65"/>
    </row>
    <row r="16" spans="1:19" s="59" customFormat="1" ht="15.95" customHeight="1" x14ac:dyDescent="0.2">
      <c r="A16" s="71" t="s">
        <v>24</v>
      </c>
      <c r="B16" s="34">
        <v>27655.207828890001</v>
      </c>
      <c r="C16" s="35">
        <v>28254.69946426</v>
      </c>
      <c r="D16" s="35">
        <v>29387.393938130001</v>
      </c>
      <c r="E16" s="36">
        <v>29907.739221759999</v>
      </c>
      <c r="F16" s="34">
        <v>30546.318107880001</v>
      </c>
      <c r="G16" s="35">
        <v>31171.394133860002</v>
      </c>
      <c r="H16" s="35">
        <v>32415.059993999999</v>
      </c>
      <c r="I16" s="36">
        <v>31743.900937819999</v>
      </c>
      <c r="J16" s="34">
        <v>31745.465711490004</v>
      </c>
      <c r="K16" s="35">
        <v>32220.182769840001</v>
      </c>
      <c r="L16" s="35">
        <v>32826.792873880004</v>
      </c>
      <c r="M16" s="36">
        <v>33643.52737869</v>
      </c>
      <c r="N16" s="34">
        <f>[2]data20241022135850!K80</f>
        <v>33723.927634289998</v>
      </c>
      <c r="O16" s="35">
        <f>[2]data20241022135850!L80</f>
        <v>34022.56383775</v>
      </c>
      <c r="P16" s="35">
        <f>[2]data20241022135850!M80</f>
        <v>34512.921921870002</v>
      </c>
      <c r="Q16" s="36">
        <f>[2]data20241022135850!N80</f>
        <v>34765.23431321</v>
      </c>
      <c r="R16" s="55" t="s">
        <v>13</v>
      </c>
      <c r="S16" s="65"/>
    </row>
    <row r="17" spans="1:19" s="59" customFormat="1" ht="15.95" customHeight="1" x14ac:dyDescent="0.2">
      <c r="A17" s="72" t="s">
        <v>40</v>
      </c>
      <c r="B17" s="34">
        <v>25167.151828890001</v>
      </c>
      <c r="C17" s="35">
        <v>25732.120464259999</v>
      </c>
      <c r="D17" s="35">
        <v>26754.118938129999</v>
      </c>
      <c r="E17" s="36">
        <v>27168.005221759999</v>
      </c>
      <c r="F17" s="34">
        <v>27468.114107879999</v>
      </c>
      <c r="G17" s="35">
        <v>28003.447133860001</v>
      </c>
      <c r="H17" s="35">
        <v>28986.835994000001</v>
      </c>
      <c r="I17" s="36">
        <v>28160.967937819998</v>
      </c>
      <c r="J17" s="34">
        <v>27914.250711490004</v>
      </c>
      <c r="K17" s="35">
        <v>28284.758769840002</v>
      </c>
      <c r="L17" s="35">
        <v>28674.965873880003</v>
      </c>
      <c r="M17" s="36">
        <v>29430.101378689997</v>
      </c>
      <c r="N17" s="34">
        <f>[2]data20241022135850!K81</f>
        <v>29576.607634290001</v>
      </c>
      <c r="O17" s="35">
        <f>[2]data20241022135850!L81</f>
        <v>29636.435837749999</v>
      </c>
      <c r="P17" s="35">
        <f>[2]data20241022135850!M81</f>
        <v>30033.866921869998</v>
      </c>
      <c r="Q17" s="36">
        <f>[2]data20241022135850!N81</f>
        <v>30184.37831321</v>
      </c>
      <c r="R17" s="56" t="s">
        <v>44</v>
      </c>
      <c r="S17" s="65"/>
    </row>
    <row r="18" spans="1:19" s="59" customFormat="1" ht="15.95" customHeight="1" x14ac:dyDescent="0.2">
      <c r="A18" s="70" t="s">
        <v>16</v>
      </c>
      <c r="B18" s="34">
        <v>-18254.579486579602</v>
      </c>
      <c r="C18" s="35">
        <v>-18853.175619283698</v>
      </c>
      <c r="D18" s="35">
        <v>-18930.226212900801</v>
      </c>
      <c r="E18" s="36">
        <v>-19874.133777895298</v>
      </c>
      <c r="F18" s="34">
        <v>-19807.340383685001</v>
      </c>
      <c r="G18" s="35">
        <v>-20600.626235979998</v>
      </c>
      <c r="H18" s="35">
        <v>-21149.6493549644</v>
      </c>
      <c r="I18" s="36">
        <v>-21388.802911223473</v>
      </c>
      <c r="J18" s="34">
        <v>-21603.562490738608</v>
      </c>
      <c r="K18" s="35">
        <v>-22276.231037416474</v>
      </c>
      <c r="L18" s="35">
        <v>-22906.591541233931</v>
      </c>
      <c r="M18" s="36">
        <v>-23662.264572416414</v>
      </c>
      <c r="N18" s="34">
        <f>[2]data20241022135850!K82</f>
        <v>-23711.434244259999</v>
      </c>
      <c r="O18" s="35">
        <f>[2]data20241022135850!L82</f>
        <v>-24081.332664033001</v>
      </c>
      <c r="P18" s="35">
        <f>[2]data20241022135850!M82</f>
        <v>-24022.430344294997</v>
      </c>
      <c r="Q18" s="36">
        <f>[2]data20241022135850!N82</f>
        <v>-24192.868194839</v>
      </c>
      <c r="R18" s="49" t="s">
        <v>34</v>
      </c>
      <c r="S18" s="65"/>
    </row>
    <row r="19" spans="1:19" s="59" customFormat="1" ht="15.95" customHeight="1" x14ac:dyDescent="0.2">
      <c r="A19" s="50" t="s">
        <v>14</v>
      </c>
      <c r="B19" s="31">
        <v>37354.28741253</v>
      </c>
      <c r="C19" s="32">
        <v>37753.814463540002</v>
      </c>
      <c r="D19" s="32">
        <v>37182.08906939</v>
      </c>
      <c r="E19" s="33">
        <v>41384.96135107</v>
      </c>
      <c r="F19" s="31">
        <v>44428.71580536</v>
      </c>
      <c r="G19" s="32">
        <v>45608.165163719998</v>
      </c>
      <c r="H19" s="32">
        <v>46410.8015438</v>
      </c>
      <c r="I19" s="33">
        <v>52221.65980637</v>
      </c>
      <c r="J19" s="31">
        <v>55883.054663150004</v>
      </c>
      <c r="K19" s="32">
        <v>57740.006862169997</v>
      </c>
      <c r="L19" s="32">
        <v>51724.541569430003</v>
      </c>
      <c r="M19" s="33">
        <v>55374.692357109998</v>
      </c>
      <c r="N19" s="31">
        <f>[2]data20241022135850!K83</f>
        <v>58663.236412419996</v>
      </c>
      <c r="O19" s="32">
        <f>[2]data20241022135850!L83</f>
        <v>59986.419522379998</v>
      </c>
      <c r="P19" s="32">
        <f>[2]data20241022135850!M83</f>
        <v>59052.370522639998</v>
      </c>
      <c r="Q19" s="33">
        <f>[2]data20241022135850!N83</f>
        <v>57423.763285919995</v>
      </c>
      <c r="R19" s="10" t="s">
        <v>45</v>
      </c>
      <c r="S19" s="65"/>
    </row>
    <row r="20" spans="1:19" s="59" customFormat="1" ht="15.95" customHeight="1" x14ac:dyDescent="0.2">
      <c r="A20" s="70" t="s">
        <v>38</v>
      </c>
      <c r="B20" s="34">
        <v>15111.13141253</v>
      </c>
      <c r="C20" s="35">
        <v>16749.87346354</v>
      </c>
      <c r="D20" s="35">
        <v>17973.992069389999</v>
      </c>
      <c r="E20" s="36">
        <v>19002.607351070001</v>
      </c>
      <c r="F20" s="34">
        <v>19399.68380536</v>
      </c>
      <c r="G20" s="35">
        <v>21057.42716372</v>
      </c>
      <c r="H20" s="35">
        <v>21270.237543800002</v>
      </c>
      <c r="I20" s="36">
        <v>22343.01380637</v>
      </c>
      <c r="J20" s="34">
        <v>22410.469663150001</v>
      </c>
      <c r="K20" s="35">
        <v>22839.96786217</v>
      </c>
      <c r="L20" s="35">
        <v>21295.732569430002</v>
      </c>
      <c r="M20" s="36">
        <v>22400.70235711</v>
      </c>
      <c r="N20" s="34">
        <f>[2]data20241022135850!K84</f>
        <v>22396.311434619998</v>
      </c>
      <c r="O20" s="35">
        <f>[2]data20241022135850!L84</f>
        <v>22886.967544580002</v>
      </c>
      <c r="P20" s="35">
        <f>[2]data20241022135850!M84</f>
        <v>23239.708544839999</v>
      </c>
      <c r="Q20" s="36">
        <f>[2]data20241022135850!N84</f>
        <v>23613.003308119998</v>
      </c>
      <c r="R20" s="49" t="s">
        <v>15</v>
      </c>
      <c r="S20" s="65"/>
    </row>
    <row r="21" spans="1:19" s="59" customFormat="1" ht="15.95" customHeight="1" x14ac:dyDescent="0.2">
      <c r="A21" s="70" t="s">
        <v>39</v>
      </c>
      <c r="B21" s="34">
        <v>22243.155999999999</v>
      </c>
      <c r="C21" s="35">
        <v>21003.940999999999</v>
      </c>
      <c r="D21" s="35">
        <v>19208.097000000002</v>
      </c>
      <c r="E21" s="36">
        <v>22382.353999999999</v>
      </c>
      <c r="F21" s="34">
        <v>25029.031999999999</v>
      </c>
      <c r="G21" s="35">
        <v>24550.738000000001</v>
      </c>
      <c r="H21" s="35">
        <v>25140.563999999998</v>
      </c>
      <c r="I21" s="36">
        <v>29878.646000000001</v>
      </c>
      <c r="J21" s="34">
        <v>33472.585000000006</v>
      </c>
      <c r="K21" s="35">
        <v>34900.038999999997</v>
      </c>
      <c r="L21" s="35">
        <v>30428.809000000001</v>
      </c>
      <c r="M21" s="36">
        <v>32973.99</v>
      </c>
      <c r="N21" s="34">
        <f>[2]data20241022135850!K85</f>
        <v>36266.924977800001</v>
      </c>
      <c r="O21" s="35">
        <f>[2]data20241022135850!L85</f>
        <v>37099.451977800003</v>
      </c>
      <c r="P21" s="35">
        <f>[2]data20241022135850!M85</f>
        <v>35812.661977800002</v>
      </c>
      <c r="Q21" s="36">
        <f>[2]data20241022135850!N85</f>
        <v>33810.7599778</v>
      </c>
      <c r="R21" s="49" t="s">
        <v>43</v>
      </c>
      <c r="S21" s="65"/>
    </row>
    <row r="22" spans="1:19" s="59" customFormat="1" ht="8.1" customHeight="1" x14ac:dyDescent="0.25">
      <c r="A22" s="51"/>
      <c r="B22" s="45"/>
      <c r="C22" s="46"/>
      <c r="D22" s="46"/>
      <c r="E22" s="47"/>
      <c r="F22" s="45"/>
      <c r="G22" s="46"/>
      <c r="H22" s="46"/>
      <c r="I22" s="47"/>
      <c r="J22" s="45"/>
      <c r="K22" s="46"/>
      <c r="L22" s="46"/>
      <c r="M22" s="47"/>
      <c r="N22" s="45"/>
      <c r="O22" s="46"/>
      <c r="P22" s="46"/>
      <c r="Q22" s="47"/>
      <c r="R22" s="60"/>
      <c r="S22" s="65"/>
    </row>
    <row r="23" spans="1:19" s="59" customFormat="1" ht="8.1" customHeight="1" x14ac:dyDescent="0.25">
      <c r="A23" s="52"/>
      <c r="B23" s="73"/>
      <c r="C23" s="48"/>
      <c r="D23" s="48"/>
      <c r="E23" s="74"/>
      <c r="F23" s="73"/>
      <c r="G23" s="48"/>
      <c r="H23" s="48"/>
      <c r="I23" s="74"/>
      <c r="J23" s="73"/>
      <c r="K23" s="48"/>
      <c r="L23" s="48"/>
      <c r="M23" s="74"/>
      <c r="N23" s="73"/>
      <c r="O23" s="48"/>
      <c r="P23" s="48"/>
      <c r="Q23" s="74"/>
      <c r="R23" s="30"/>
      <c r="S23" s="65"/>
    </row>
    <row r="24" spans="1:19" s="59" customFormat="1" ht="15.95" customHeight="1" x14ac:dyDescent="0.2">
      <c r="A24" s="44" t="s">
        <v>17</v>
      </c>
      <c r="B24" s="87"/>
      <c r="C24" s="88"/>
      <c r="D24" s="58"/>
      <c r="E24" s="75"/>
      <c r="F24" s="57"/>
      <c r="G24" s="58"/>
      <c r="H24" s="58"/>
      <c r="I24" s="75"/>
      <c r="J24" s="57"/>
      <c r="K24" s="58"/>
      <c r="L24" s="58"/>
      <c r="M24" s="75"/>
      <c r="N24" s="57"/>
      <c r="O24" s="58"/>
      <c r="P24" s="58"/>
      <c r="Q24" s="75"/>
      <c r="R24" s="10" t="s">
        <v>47</v>
      </c>
      <c r="S24" s="65"/>
    </row>
    <row r="25" spans="1:19" s="59" customFormat="1" ht="15.95" customHeight="1" x14ac:dyDescent="0.2">
      <c r="A25" s="50" t="s">
        <v>18</v>
      </c>
      <c r="B25" s="20">
        <v>-10.900352720875794</v>
      </c>
      <c r="C25" s="21">
        <v>-23.557448527900714</v>
      </c>
      <c r="D25" s="21">
        <v>-53.940632803100506</v>
      </c>
      <c r="E25" s="22">
        <v>-49.256000031202788</v>
      </c>
      <c r="F25" s="20">
        <v>-40.292750217452223</v>
      </c>
      <c r="G25" s="21">
        <v>-12.033240427735736</v>
      </c>
      <c r="H25" s="21">
        <v>109.95429355646245</v>
      </c>
      <c r="I25" s="22">
        <v>114.01368611444416</v>
      </c>
      <c r="J25" s="20">
        <v>113.20140658774589</v>
      </c>
      <c r="K25" s="21">
        <v>98.437676297792763</v>
      </c>
      <c r="L25" s="21">
        <v>3.5756075630887896</v>
      </c>
      <c r="M25" s="22">
        <v>-13.737804387609053</v>
      </c>
      <c r="N25" s="20">
        <v>-21.4</v>
      </c>
      <c r="O25" s="21">
        <v>-42.5</v>
      </c>
      <c r="P25" s="21">
        <v>-27.1</v>
      </c>
      <c r="Q25" s="22">
        <v>-22.4</v>
      </c>
      <c r="R25" s="10" t="s">
        <v>35</v>
      </c>
      <c r="S25" s="65"/>
    </row>
    <row r="26" spans="1:19" s="59" customFormat="1" ht="15.95" customHeight="1" x14ac:dyDescent="0.2">
      <c r="A26" s="70" t="s">
        <v>28</v>
      </c>
      <c r="B26" s="23">
        <v>-5.4406873720457831</v>
      </c>
      <c r="C26" s="24">
        <v>-19.091646497847471</v>
      </c>
      <c r="D26" s="24">
        <v>2.9218274478692408</v>
      </c>
      <c r="E26" s="25">
        <v>-22.823646739915947</v>
      </c>
      <c r="F26" s="23">
        <v>-21.006873331404876</v>
      </c>
      <c r="G26" s="24">
        <v>18.875843805557292</v>
      </c>
      <c r="H26" s="24">
        <v>36.891323578229951</v>
      </c>
      <c r="I26" s="25">
        <v>32.580497064012533</v>
      </c>
      <c r="J26" s="23">
        <v>42.302891972789027</v>
      </c>
      <c r="K26" s="24">
        <v>6.6147422668983102</v>
      </c>
      <c r="L26" s="24">
        <v>-27.359692461267215</v>
      </c>
      <c r="M26" s="25">
        <v>-7.8871983412034607</v>
      </c>
      <c r="N26" s="23">
        <v>-22.5</v>
      </c>
      <c r="O26" s="24">
        <v>-20.3</v>
      </c>
      <c r="P26" s="24">
        <v>-9</v>
      </c>
      <c r="Q26" s="25">
        <v>-20.9</v>
      </c>
      <c r="R26" s="49" t="s">
        <v>41</v>
      </c>
      <c r="S26" s="65"/>
    </row>
    <row r="27" spans="1:19" s="59" customFormat="1" ht="15.95" customHeight="1" x14ac:dyDescent="0.2">
      <c r="A27" s="70" t="s">
        <v>29</v>
      </c>
      <c r="B27" s="23">
        <v>-29.495416290952814</v>
      </c>
      <c r="C27" s="24">
        <v>-42.331400432949529</v>
      </c>
      <c r="D27" s="24">
        <v>-270.18051877849678</v>
      </c>
      <c r="E27" s="25">
        <v>-192.47962998324729</v>
      </c>
      <c r="F27" s="23">
        <v>-128.3891149982681</v>
      </c>
      <c r="G27" s="24">
        <v>-194.33729613355678</v>
      </c>
      <c r="H27" s="24">
        <v>-58.082786050871519</v>
      </c>
      <c r="I27" s="25">
        <v>-254.21571272645807</v>
      </c>
      <c r="J27" s="23">
        <v>-787.94049584837717</v>
      </c>
      <c r="K27" s="24">
        <v>-584.0134365911639</v>
      </c>
      <c r="L27" s="24">
        <v>-228.77598241195858</v>
      </c>
      <c r="M27" s="25">
        <v>-36.481911363143112</v>
      </c>
      <c r="N27" s="23">
        <v>-18.600000000000001</v>
      </c>
      <c r="O27" s="24">
        <v>-78.900000000000006</v>
      </c>
      <c r="P27" s="24">
        <v>-103.8</v>
      </c>
      <c r="Q27" s="25">
        <v>-30.8</v>
      </c>
      <c r="R27" s="49" t="s">
        <v>42</v>
      </c>
      <c r="S27" s="65"/>
    </row>
    <row r="28" spans="1:19" s="59" customFormat="1" ht="15.95" customHeight="1" x14ac:dyDescent="0.2">
      <c r="A28" s="50" t="s">
        <v>31</v>
      </c>
      <c r="B28" s="20">
        <v>8.999828667180342</v>
      </c>
      <c r="C28" s="21">
        <v>24.189922824877929</v>
      </c>
      <c r="D28" s="21">
        <v>36.295547980436346</v>
      </c>
      <c r="E28" s="22">
        <v>49.860194553864076</v>
      </c>
      <c r="F28" s="20">
        <v>51.972829362354098</v>
      </c>
      <c r="G28" s="21">
        <v>31.800585239736989</v>
      </c>
      <c r="H28" s="21">
        <v>13.044877532715438</v>
      </c>
      <c r="I28" s="22">
        <v>9.4668819174740229</v>
      </c>
      <c r="J28" s="20">
        <v>6.6263991916150067</v>
      </c>
      <c r="K28" s="21">
        <v>10.544158256119452</v>
      </c>
      <c r="L28" s="21">
        <v>13.47205316152813</v>
      </c>
      <c r="M28" s="22">
        <v>13.397192578960503</v>
      </c>
      <c r="N28" s="20">
        <f t="shared" ref="N28:N36" si="0">(J13-N13)/J13*100</f>
        <v>-16.542964323883307</v>
      </c>
      <c r="O28" s="21">
        <f t="shared" ref="O28:O36" si="1">(K13-O13)/K13*100</f>
        <v>-13.392824110035637</v>
      </c>
      <c r="P28" s="21">
        <f t="shared" ref="P28:P36" si="2">(L13-P13)/L13*100</f>
        <v>-12.051316765888085</v>
      </c>
      <c r="Q28" s="22">
        <f t="shared" ref="Q28:Q36" si="3">(M13-Q13)/M13*100</f>
        <v>-11.029482752185608</v>
      </c>
      <c r="R28" s="10" t="s">
        <v>36</v>
      </c>
      <c r="S28" s="65"/>
    </row>
    <row r="29" spans="1:19" s="59" customFormat="1" ht="15.95" customHeight="1" x14ac:dyDescent="0.2">
      <c r="A29" s="70" t="s">
        <v>12</v>
      </c>
      <c r="B29" s="23">
        <v>9.1588195694805243</v>
      </c>
      <c r="C29" s="24">
        <v>17.686048588170287</v>
      </c>
      <c r="D29" s="24">
        <v>23.313907051928506</v>
      </c>
      <c r="E29" s="25">
        <v>34.642275506088204</v>
      </c>
      <c r="F29" s="23">
        <v>33.185813006104681</v>
      </c>
      <c r="G29" s="24">
        <v>22.788392348144939</v>
      </c>
      <c r="H29" s="24">
        <v>12.56032488755876</v>
      </c>
      <c r="I29" s="25">
        <v>8.7956084656350519</v>
      </c>
      <c r="J29" s="23">
        <v>7.4863138687759845</v>
      </c>
      <c r="K29" s="24">
        <v>9.6862089968253287</v>
      </c>
      <c r="L29" s="24">
        <v>11.591115348246571</v>
      </c>
      <c r="M29" s="25">
        <v>12.401287707763808</v>
      </c>
      <c r="N29" s="23">
        <f t="shared" si="0"/>
        <v>-14.118299741586284</v>
      </c>
      <c r="O29" s="24">
        <f t="shared" si="1"/>
        <v>-11.536725352563542</v>
      </c>
      <c r="P29" s="24">
        <f t="shared" si="2"/>
        <v>-9.5134334748148852</v>
      </c>
      <c r="Q29" s="25">
        <f t="shared" si="3"/>
        <v>-7.9177793127524332</v>
      </c>
      <c r="R29" s="49" t="s">
        <v>32</v>
      </c>
      <c r="S29" s="65"/>
    </row>
    <row r="30" spans="1:19" s="59" customFormat="1" ht="15.95" customHeight="1" x14ac:dyDescent="0.2">
      <c r="A30" s="71" t="s">
        <v>23</v>
      </c>
      <c r="B30" s="23">
        <v>18.668592160514329</v>
      </c>
      <c r="C30" s="24">
        <v>41.87471890905956</v>
      </c>
      <c r="D30" s="24">
        <v>54.797278165040034</v>
      </c>
      <c r="E30" s="25">
        <v>85.984289027964294</v>
      </c>
      <c r="F30" s="23">
        <v>76.304242863698462</v>
      </c>
      <c r="G30" s="24">
        <v>41.442476473081989</v>
      </c>
      <c r="H30" s="24">
        <v>15.548067717777304</v>
      </c>
      <c r="I30" s="25">
        <v>12.007480085318157</v>
      </c>
      <c r="J30" s="23">
        <v>11.717664410960026</v>
      </c>
      <c r="K30" s="24">
        <v>17.064869232680692</v>
      </c>
      <c r="L30" s="24">
        <v>24.629210923469792</v>
      </c>
      <c r="M30" s="25">
        <v>19.754299412093612</v>
      </c>
      <c r="N30" s="23">
        <f t="shared" si="0"/>
        <v>-22.836163069794672</v>
      </c>
      <c r="O30" s="24">
        <f t="shared" si="1"/>
        <v>-17.661405994350019</v>
      </c>
      <c r="P30" s="24">
        <f t="shared" si="2"/>
        <v>-14.006398590964549</v>
      </c>
      <c r="Q30" s="25">
        <f t="shared" si="3"/>
        <v>-12.56607609200101</v>
      </c>
      <c r="R30" s="55" t="s">
        <v>33</v>
      </c>
      <c r="S30" s="65"/>
    </row>
    <row r="31" spans="1:19" s="59" customFormat="1" ht="15.95" customHeight="1" x14ac:dyDescent="0.2">
      <c r="A31" s="71" t="s">
        <v>24</v>
      </c>
      <c r="B31" s="23">
        <v>4.7340469697490173</v>
      </c>
      <c r="C31" s="24">
        <v>5.6492721988225636</v>
      </c>
      <c r="D31" s="24">
        <v>6.8865233855839536</v>
      </c>
      <c r="E31" s="25">
        <v>9.617169114559454</v>
      </c>
      <c r="F31" s="23">
        <v>10.454126025297139</v>
      </c>
      <c r="G31" s="24">
        <v>10.322865664486702</v>
      </c>
      <c r="H31" s="24">
        <v>10.302601388351128</v>
      </c>
      <c r="I31" s="25">
        <v>6.1394199756966694</v>
      </c>
      <c r="J31" s="23">
        <v>3.9256698610123486</v>
      </c>
      <c r="K31" s="24">
        <v>3.3645868756339903</v>
      </c>
      <c r="L31" s="24">
        <v>1.2701900905203178</v>
      </c>
      <c r="M31" s="25">
        <v>5.9842249526641078</v>
      </c>
      <c r="N31" s="23">
        <f t="shared" si="0"/>
        <v>-6.2322661786747897</v>
      </c>
      <c r="O31" s="24">
        <f t="shared" si="1"/>
        <v>-5.5939504775160191</v>
      </c>
      <c r="P31" s="24">
        <f t="shared" si="2"/>
        <v>-5.1364416087434375</v>
      </c>
      <c r="Q31" s="25">
        <f t="shared" si="3"/>
        <v>-3.3340943174421578</v>
      </c>
      <c r="R31" s="55" t="s">
        <v>13</v>
      </c>
      <c r="S31" s="65"/>
    </row>
    <row r="32" spans="1:19" s="59" customFormat="1" ht="15.95" customHeight="1" x14ac:dyDescent="0.2">
      <c r="A32" s="72" t="s">
        <v>40</v>
      </c>
      <c r="B32" s="23">
        <v>7.6655557886641468</v>
      </c>
      <c r="C32" s="24">
        <v>7.7582916036605054</v>
      </c>
      <c r="D32" s="24">
        <v>7.8820655629535663</v>
      </c>
      <c r="E32" s="25">
        <v>9.5943221876370277</v>
      </c>
      <c r="F32" s="23">
        <v>9.1427202197297053</v>
      </c>
      <c r="G32" s="24">
        <v>8.8268150024974013</v>
      </c>
      <c r="H32" s="24">
        <v>8.345320812220546</v>
      </c>
      <c r="I32" s="25">
        <v>3.6548973984467992</v>
      </c>
      <c r="J32" s="23">
        <v>1.6241981588463572</v>
      </c>
      <c r="K32" s="24">
        <v>1.0045607408091461</v>
      </c>
      <c r="L32" s="24">
        <v>-1.0759025931100341</v>
      </c>
      <c r="M32" s="25">
        <v>4.5067110039408886</v>
      </c>
      <c r="N32" s="23">
        <f t="shared" si="0"/>
        <v>-5.955226740568544</v>
      </c>
      <c r="O32" s="24">
        <f t="shared" si="1"/>
        <v>-4.7788177332849964</v>
      </c>
      <c r="P32" s="24">
        <f t="shared" si="2"/>
        <v>-4.7389805238715796</v>
      </c>
      <c r="Q32" s="25">
        <f t="shared" si="3"/>
        <v>-2.5629437181149721</v>
      </c>
      <c r="R32" s="56" t="s">
        <v>44</v>
      </c>
      <c r="S32" s="65"/>
    </row>
    <row r="33" spans="1:19" s="59" customFormat="1" ht="15.95" customHeight="1" x14ac:dyDescent="0.2">
      <c r="A33" s="70" t="s">
        <v>16</v>
      </c>
      <c r="B33" s="23">
        <v>-9.3683850597809943</v>
      </c>
      <c r="C33" s="24">
        <v>-9.1136910385557801</v>
      </c>
      <c r="D33" s="24">
        <v>-5.9081736971238978</v>
      </c>
      <c r="E33" s="25">
        <v>-14.331984940156866</v>
      </c>
      <c r="F33" s="23">
        <v>-8.5061444348633621</v>
      </c>
      <c r="G33" s="24">
        <v>-9.2687335650177971</v>
      </c>
      <c r="H33" s="24">
        <v>-11.724229373186674</v>
      </c>
      <c r="I33" s="25">
        <v>-7.6213089347966543</v>
      </c>
      <c r="J33" s="23">
        <v>-9.0684669029726344</v>
      </c>
      <c r="K33" s="24">
        <v>-8.1337566258541667</v>
      </c>
      <c r="L33" s="24">
        <v>-8.3071929788619805</v>
      </c>
      <c r="M33" s="25">
        <v>-10.629214129604115</v>
      </c>
      <c r="N33" s="23">
        <f t="shared" si="0"/>
        <v>-9.757056293030514</v>
      </c>
      <c r="O33" s="24">
        <f t="shared" si="1"/>
        <v>-8.1032631758243703</v>
      </c>
      <c r="P33" s="24">
        <f t="shared" si="2"/>
        <v>-4.8712563850997013</v>
      </c>
      <c r="Q33" s="25">
        <f t="shared" si="3"/>
        <v>-2.2424042331143648</v>
      </c>
      <c r="R33" s="49" t="s">
        <v>34</v>
      </c>
    </row>
    <row r="34" spans="1:19" s="59" customFormat="1" ht="15.95" customHeight="1" x14ac:dyDescent="0.2">
      <c r="A34" s="50" t="s">
        <v>14</v>
      </c>
      <c r="B34" s="20">
        <v>0.92897207980722207</v>
      </c>
      <c r="C34" s="21">
        <v>7.3660891970168674</v>
      </c>
      <c r="D34" s="21">
        <v>10.088609818503302</v>
      </c>
      <c r="E34" s="22">
        <v>14.192374954413523</v>
      </c>
      <c r="F34" s="20">
        <v>18.938732024792881</v>
      </c>
      <c r="G34" s="21">
        <v>20.804124859397135</v>
      </c>
      <c r="H34" s="21">
        <v>24.8203172693906</v>
      </c>
      <c r="I34" s="22">
        <v>26.185111938058682</v>
      </c>
      <c r="J34" s="20">
        <v>25.781386317738498</v>
      </c>
      <c r="K34" s="21">
        <v>26.600152965812661</v>
      </c>
      <c r="L34" s="21">
        <v>11.449360598987246</v>
      </c>
      <c r="M34" s="22">
        <v>6.0377869306164511</v>
      </c>
      <c r="N34" s="20">
        <f t="shared" si="0"/>
        <v>-4.9749996059239745</v>
      </c>
      <c r="O34" s="21">
        <f t="shared" si="1"/>
        <v>-3.8905652809712454</v>
      </c>
      <c r="P34" s="21">
        <f t="shared" si="2"/>
        <v>-14.167025421334726</v>
      </c>
      <c r="Q34" s="22">
        <f t="shared" si="3"/>
        <v>-3.7003743796815884</v>
      </c>
      <c r="R34" s="10" t="s">
        <v>45</v>
      </c>
    </row>
    <row r="35" spans="1:19" s="59" customFormat="1" ht="15.95" customHeight="1" x14ac:dyDescent="0.2">
      <c r="A35" s="70" t="s">
        <v>38</v>
      </c>
      <c r="B35" s="23">
        <v>5.779902915550017</v>
      </c>
      <c r="C35" s="24">
        <v>16.449092980984091</v>
      </c>
      <c r="D35" s="24">
        <v>28.396679943476787</v>
      </c>
      <c r="E35" s="25">
        <v>30.540087799552353</v>
      </c>
      <c r="F35" s="23">
        <v>28.380088001047852</v>
      </c>
      <c r="G35" s="24">
        <v>25.716932784933544</v>
      </c>
      <c r="H35" s="24">
        <v>18.33897256482917</v>
      </c>
      <c r="I35" s="25">
        <v>17.578674302881424</v>
      </c>
      <c r="J35" s="23">
        <v>15.519767682801833</v>
      </c>
      <c r="K35" s="24">
        <v>8.4651400410452382</v>
      </c>
      <c r="L35" s="24">
        <v>0.11986243960604437</v>
      </c>
      <c r="M35" s="25">
        <v>0.25819502794002247</v>
      </c>
      <c r="N35" s="23">
        <f t="shared" si="0"/>
        <v>6.3176848780119435E-2</v>
      </c>
      <c r="O35" s="24">
        <f t="shared" si="1"/>
        <v>-0.20577823354930197</v>
      </c>
      <c r="P35" s="24">
        <f t="shared" si="2"/>
        <v>-9.128476651705201</v>
      </c>
      <c r="Q35" s="25">
        <f t="shared" si="3"/>
        <v>-5.4118881260221423</v>
      </c>
      <c r="R35" s="49" t="s">
        <v>15</v>
      </c>
    </row>
    <row r="36" spans="1:19" s="59" customFormat="1" ht="15.95" customHeight="1" x14ac:dyDescent="0.2">
      <c r="A36" s="70" t="s">
        <v>39</v>
      </c>
      <c r="B36" s="23">
        <v>-2.1204290037273532</v>
      </c>
      <c r="C36" s="24">
        <v>1.0787895593266983</v>
      </c>
      <c r="D36" s="24">
        <v>-2.8711571775212774</v>
      </c>
      <c r="E36" s="25">
        <v>3.2180872564109952</v>
      </c>
      <c r="F36" s="23">
        <v>12.524643535296875</v>
      </c>
      <c r="G36" s="24">
        <v>16.886340520571853</v>
      </c>
      <c r="H36" s="24">
        <v>30.885240739881702</v>
      </c>
      <c r="I36" s="25">
        <v>33.491973185662239</v>
      </c>
      <c r="J36" s="23">
        <v>33.735036177188185</v>
      </c>
      <c r="K36" s="24">
        <v>42.154745001962858</v>
      </c>
      <c r="L36" s="24">
        <v>21.034711074898738</v>
      </c>
      <c r="M36" s="25">
        <v>10.359719781144028</v>
      </c>
      <c r="N36" s="23">
        <f t="shared" si="0"/>
        <v>-8.3481451396717468</v>
      </c>
      <c r="O36" s="24">
        <f t="shared" si="1"/>
        <v>-6.3020358739427378</v>
      </c>
      <c r="P36" s="24">
        <f t="shared" si="2"/>
        <v>-17.693275401610364</v>
      </c>
      <c r="Q36" s="25">
        <f t="shared" si="3"/>
        <v>-2.5376667421807384</v>
      </c>
      <c r="R36" s="49" t="s">
        <v>43</v>
      </c>
    </row>
    <row r="37" spans="1:19" s="59" customFormat="1" ht="8.1" customHeight="1" x14ac:dyDescent="0.25">
      <c r="A37" s="53"/>
      <c r="B37" s="37"/>
      <c r="C37" s="38"/>
      <c r="D37" s="38"/>
      <c r="E37" s="39"/>
      <c r="F37" s="37"/>
      <c r="G37" s="38"/>
      <c r="H37" s="38"/>
      <c r="I37" s="39"/>
      <c r="J37" s="37"/>
      <c r="K37" s="38"/>
      <c r="L37" s="38"/>
      <c r="M37" s="39"/>
      <c r="N37" s="37"/>
      <c r="O37" s="38"/>
      <c r="P37" s="38"/>
      <c r="Q37" s="39"/>
      <c r="R37" s="11"/>
    </row>
    <row r="38" spans="1:19" s="59" customFormat="1" ht="8.1" customHeight="1" x14ac:dyDescent="0.25">
      <c r="A38" s="54"/>
      <c r="B38" s="40"/>
      <c r="C38" s="41"/>
      <c r="D38" s="41"/>
      <c r="E38" s="42"/>
      <c r="F38" s="40"/>
      <c r="G38" s="41"/>
      <c r="H38" s="41"/>
      <c r="I38" s="42"/>
      <c r="J38" s="40"/>
      <c r="K38" s="41"/>
      <c r="L38" s="41"/>
      <c r="M38" s="42"/>
      <c r="N38" s="40"/>
      <c r="O38" s="41"/>
      <c r="P38" s="41"/>
      <c r="Q38" s="42"/>
      <c r="R38" s="12"/>
    </row>
    <row r="39" spans="1:19" s="59" customFormat="1" ht="15.95" customHeight="1" x14ac:dyDescent="0.25">
      <c r="A39" s="44" t="s">
        <v>19</v>
      </c>
      <c r="B39" s="40"/>
      <c r="C39" s="41"/>
      <c r="D39" s="41"/>
      <c r="E39" s="42"/>
      <c r="F39" s="40"/>
      <c r="G39" s="41"/>
      <c r="H39" s="41"/>
      <c r="I39" s="42"/>
      <c r="J39" s="40"/>
      <c r="K39" s="41"/>
      <c r="L39" s="41"/>
      <c r="M39" s="42"/>
      <c r="N39" s="40"/>
      <c r="O39" s="41"/>
      <c r="P39" s="41"/>
      <c r="Q39" s="42"/>
      <c r="R39" s="76" t="s">
        <v>46</v>
      </c>
    </row>
    <row r="40" spans="1:19" s="59" customFormat="1" ht="15.95" customHeight="1" x14ac:dyDescent="0.2">
      <c r="A40" s="27" t="s">
        <v>20</v>
      </c>
      <c r="B40" s="20">
        <v>52.988102226146601</v>
      </c>
      <c r="C40" s="21">
        <v>48.234620153643903</v>
      </c>
      <c r="D40" s="21">
        <v>43.590493180069998</v>
      </c>
      <c r="E40" s="22">
        <v>45.748768107791101</v>
      </c>
      <c r="F40" s="20">
        <v>47.1815910498837</v>
      </c>
      <c r="G40" s="21">
        <v>44.286655530854802</v>
      </c>
      <c r="H40" s="21">
        <v>43.209070589040401</v>
      </c>
      <c r="I40" s="22">
        <v>46.471429843445463</v>
      </c>
      <c r="J40" s="20">
        <v>49.116232398976813</v>
      </c>
      <c r="K40" s="21">
        <v>49.592685481235897</v>
      </c>
      <c r="L40" s="21">
        <v>46.878313976842861</v>
      </c>
      <c r="M40" s="22">
        <v>47.874109763060645</v>
      </c>
      <c r="N40" s="20">
        <v>49.679078043211803</v>
      </c>
      <c r="O40" s="21">
        <v>45.872157261519597</v>
      </c>
      <c r="P40" s="21">
        <v>44.857052860087599</v>
      </c>
      <c r="Q40" s="22">
        <v>46.802801261789902</v>
      </c>
      <c r="R40" s="10" t="s">
        <v>21</v>
      </c>
    </row>
    <row r="41" spans="1:19" s="59" customFormat="1" ht="8.1" customHeight="1" x14ac:dyDescent="0.25">
      <c r="A41" s="77"/>
      <c r="B41" s="37"/>
      <c r="C41" s="38"/>
      <c r="D41" s="38"/>
      <c r="E41" s="39"/>
      <c r="F41" s="37"/>
      <c r="G41" s="38"/>
      <c r="H41" s="38"/>
      <c r="I41" s="39"/>
      <c r="J41" s="37"/>
      <c r="K41" s="38"/>
      <c r="L41" s="38"/>
      <c r="M41" s="39"/>
      <c r="N41" s="37"/>
      <c r="O41" s="38"/>
      <c r="P41" s="38"/>
      <c r="Q41" s="39"/>
      <c r="R41" s="78"/>
    </row>
    <row r="42" spans="1:19" s="59" customFormat="1" ht="8.1" customHeight="1" x14ac:dyDescent="0.25">
      <c r="A42" s="79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80"/>
    </row>
    <row r="43" spans="1:19" s="14" customFormat="1" ht="15.95" customHeight="1" x14ac:dyDescent="0.2">
      <c r="A43" s="13" t="s">
        <v>26</v>
      </c>
      <c r="R43" s="15" t="s">
        <v>25</v>
      </c>
    </row>
    <row r="44" spans="1:19" s="82" customFormat="1" ht="15.95" customHeight="1" x14ac:dyDescent="0.25">
      <c r="A44" s="16" t="s">
        <v>48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26" t="s">
        <v>49</v>
      </c>
    </row>
    <row r="45" spans="1:19" s="82" customFormat="1" ht="15.75" customHeight="1" x14ac:dyDescent="0.25">
      <c r="A45" s="16" t="s">
        <v>50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43" t="s">
        <v>27</v>
      </c>
    </row>
    <row r="46" spans="1:19" s="14" customFormat="1" ht="15.95" customHeight="1" x14ac:dyDescent="0.25">
      <c r="A46" s="16" t="s">
        <v>22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8" t="s">
        <v>37</v>
      </c>
      <c r="S46" s="82"/>
    </row>
    <row r="47" spans="1:19" s="14" customFormat="1" ht="15.95" customHeight="1" x14ac:dyDescent="0.25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89"/>
      <c r="S47" s="82"/>
    </row>
    <row r="48" spans="1:19" s="14" customFormat="1" ht="17.25" x14ac:dyDescent="0.25">
      <c r="I48" s="17"/>
      <c r="J48" s="17"/>
      <c r="K48" s="17"/>
      <c r="L48" s="17"/>
      <c r="M48" s="17"/>
      <c r="N48" s="17"/>
      <c r="O48" s="17"/>
      <c r="P48" s="17"/>
      <c r="Q48" s="17"/>
      <c r="S48" s="82"/>
    </row>
    <row r="49" spans="1:19" s="14" customFormat="1" x14ac:dyDescent="0.25">
      <c r="A49" s="83"/>
      <c r="B49" s="84"/>
      <c r="C49" s="84"/>
      <c r="D49" s="84"/>
      <c r="E49" s="84"/>
      <c r="F49" s="84"/>
      <c r="G49" s="84"/>
      <c r="H49" s="84"/>
      <c r="I49" s="17"/>
      <c r="J49" s="17"/>
      <c r="K49" s="17"/>
      <c r="L49" s="17"/>
      <c r="M49" s="17"/>
      <c r="N49" s="17"/>
      <c r="O49" s="17"/>
      <c r="P49" s="17"/>
      <c r="Q49" s="17"/>
      <c r="R49" s="80"/>
      <c r="S49" s="82"/>
    </row>
    <row r="50" spans="1:19" x14ac:dyDescent="0.25">
      <c r="B50" s="85"/>
      <c r="C50" s="85"/>
      <c r="D50" s="85"/>
      <c r="E50" s="85"/>
      <c r="F50" s="85"/>
      <c r="G50" s="85"/>
      <c r="H50" s="85"/>
      <c r="I50" s="17"/>
      <c r="J50" s="17"/>
      <c r="K50" s="17"/>
      <c r="L50" s="17"/>
      <c r="M50" s="17"/>
      <c r="N50" s="17"/>
      <c r="O50" s="17"/>
      <c r="P50" s="17"/>
      <c r="Q50" s="17"/>
      <c r="S50" s="82"/>
    </row>
    <row r="51" spans="1:19" x14ac:dyDescent="0.25">
      <c r="B51" s="85"/>
      <c r="C51" s="85"/>
      <c r="D51" s="85"/>
      <c r="E51" s="85"/>
      <c r="F51" s="85"/>
      <c r="G51" s="85"/>
      <c r="H51" s="85"/>
      <c r="I51" s="17"/>
      <c r="J51" s="17"/>
      <c r="K51" s="17"/>
      <c r="L51" s="17"/>
      <c r="M51" s="17"/>
      <c r="N51" s="17"/>
      <c r="O51" s="17"/>
      <c r="P51" s="17"/>
      <c r="Q51" s="17"/>
      <c r="S51" s="82"/>
    </row>
    <row r="52" spans="1:19" x14ac:dyDescent="0.25">
      <c r="B52" s="85"/>
      <c r="C52" s="85"/>
      <c r="D52" s="85"/>
      <c r="E52" s="85"/>
      <c r="F52" s="85"/>
      <c r="G52" s="85"/>
      <c r="I52" s="17"/>
      <c r="J52" s="17"/>
      <c r="K52" s="17"/>
      <c r="L52" s="17"/>
      <c r="M52" s="17"/>
      <c r="N52" s="17"/>
      <c r="O52" s="17"/>
      <c r="P52" s="17"/>
      <c r="Q52" s="17"/>
    </row>
    <row r="53" spans="1:19" x14ac:dyDescent="0.25">
      <c r="B53" s="85"/>
      <c r="C53" s="85"/>
      <c r="D53" s="85"/>
      <c r="E53" s="85"/>
      <c r="F53" s="85"/>
      <c r="G53" s="85"/>
      <c r="I53" s="17"/>
      <c r="J53" s="17"/>
      <c r="K53" s="17"/>
      <c r="L53" s="17"/>
      <c r="M53" s="17"/>
      <c r="N53" s="17"/>
      <c r="O53" s="17"/>
      <c r="P53" s="17"/>
      <c r="Q53" s="17"/>
    </row>
    <row r="54" spans="1:19" x14ac:dyDescent="0.25">
      <c r="B54" s="85"/>
      <c r="C54" s="85"/>
      <c r="D54" s="85"/>
      <c r="E54" s="85"/>
      <c r="F54" s="85"/>
      <c r="G54" s="85"/>
      <c r="I54" s="85"/>
      <c r="J54" s="85"/>
      <c r="K54" s="85"/>
      <c r="L54" s="85"/>
      <c r="M54" s="85"/>
      <c r="N54" s="85"/>
      <c r="O54" s="85"/>
      <c r="P54" s="85"/>
      <c r="Q54" s="85"/>
    </row>
    <row r="55" spans="1:19" x14ac:dyDescent="0.25">
      <c r="B55" s="85"/>
      <c r="C55" s="85"/>
      <c r="D55" s="85"/>
      <c r="E55" s="85"/>
      <c r="F55" s="85"/>
      <c r="G55" s="85"/>
      <c r="I55" s="85"/>
      <c r="J55" s="85"/>
      <c r="K55" s="85"/>
      <c r="L55" s="85"/>
      <c r="M55" s="85"/>
      <c r="N55" s="85"/>
      <c r="O55" s="85"/>
      <c r="P55" s="85"/>
      <c r="Q55" s="85"/>
    </row>
    <row r="56" spans="1:19" x14ac:dyDescent="0.25"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</row>
    <row r="57" spans="1:19" x14ac:dyDescent="0.25"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</row>
    <row r="58" spans="1:19" x14ac:dyDescent="0.25"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</row>
    <row r="59" spans="1:19" x14ac:dyDescent="0.25"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</row>
    <row r="60" spans="1:19" x14ac:dyDescent="0.25"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</row>
    <row r="61" spans="1:19" x14ac:dyDescent="0.25"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</row>
    <row r="62" spans="1:19" x14ac:dyDescent="0.25"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</row>
    <row r="63" spans="1:19" x14ac:dyDescent="0.25"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</row>
    <row r="64" spans="1:19" x14ac:dyDescent="0.25"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</row>
    <row r="65" spans="2:17" x14ac:dyDescent="0.25"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</row>
    <row r="66" spans="2:17" x14ac:dyDescent="0.25"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</row>
    <row r="67" spans="2:17" x14ac:dyDescent="0.25"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</row>
    <row r="68" spans="2:17" x14ac:dyDescent="0.25"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</row>
    <row r="69" spans="2:17" x14ac:dyDescent="0.25"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</row>
    <row r="70" spans="2:17" x14ac:dyDescent="0.25"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</row>
    <row r="71" spans="2:17" x14ac:dyDescent="0.25"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</row>
    <row r="72" spans="2:17" x14ac:dyDescent="0.25"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</row>
    <row r="73" spans="2:17" x14ac:dyDescent="0.25"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</row>
    <row r="74" spans="2:17" x14ac:dyDescent="0.25"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</row>
    <row r="75" spans="2:17" x14ac:dyDescent="0.25"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</row>
    <row r="76" spans="2:17" x14ac:dyDescent="0.25"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</row>
    <row r="77" spans="2:17" x14ac:dyDescent="0.25"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</row>
    <row r="78" spans="2:17" x14ac:dyDescent="0.25"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</row>
    <row r="79" spans="2:17" x14ac:dyDescent="0.25"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</row>
    <row r="80" spans="2:17" x14ac:dyDescent="0.25"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</row>
    <row r="81" spans="2:17" x14ac:dyDescent="0.25"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</row>
    <row r="82" spans="2:17" x14ac:dyDescent="0.25"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</row>
    <row r="83" spans="2:17" x14ac:dyDescent="0.25"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</row>
    <row r="84" spans="2:17" x14ac:dyDescent="0.25"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</row>
    <row r="85" spans="2:17" x14ac:dyDescent="0.25"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</row>
    <row r="86" spans="2:17" x14ac:dyDescent="0.25"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</row>
    <row r="87" spans="2:17" x14ac:dyDescent="0.25"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</row>
    <row r="88" spans="2:17" x14ac:dyDescent="0.25"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</row>
    <row r="89" spans="2:17" x14ac:dyDescent="0.25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</row>
    <row r="90" spans="2:17" x14ac:dyDescent="0.25"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</row>
    <row r="91" spans="2:17" x14ac:dyDescent="0.25"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</row>
    <row r="92" spans="2:17" x14ac:dyDescent="0.25"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</row>
    <row r="93" spans="2:17" x14ac:dyDescent="0.25"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</row>
    <row r="94" spans="2:17" x14ac:dyDescent="0.25"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</row>
    <row r="95" spans="2:17" x14ac:dyDescent="0.25"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</row>
    <row r="96" spans="2:17" x14ac:dyDescent="0.25"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</row>
    <row r="97" spans="2:17" x14ac:dyDescent="0.25"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</row>
    <row r="98" spans="2:17" x14ac:dyDescent="0.25"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</row>
    <row r="99" spans="2:17" x14ac:dyDescent="0.25"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</row>
    <row r="100" spans="2:17" x14ac:dyDescent="0.25"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</row>
    <row r="101" spans="2:17" x14ac:dyDescent="0.25"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</row>
  </sheetData>
  <mergeCells count="9">
    <mergeCell ref="A1:R1"/>
    <mergeCell ref="A2:R2"/>
    <mergeCell ref="A3:R3"/>
    <mergeCell ref="A4:R4"/>
    <mergeCell ref="B6:E6"/>
    <mergeCell ref="R6:R8"/>
    <mergeCell ref="F6:I6"/>
    <mergeCell ref="J6:M6"/>
    <mergeCell ref="N6:Q6"/>
  </mergeCells>
  <pageMargins left="0.21" right="0.17" top="0.21" bottom="0.16" header="0.18" footer="0.16"/>
  <pageSetup paperSize="9" scale="51" orientation="landscape" horizontalDpi="4294967295" verticalDpi="4294967295" r:id="rId1"/>
  <rowBreaks count="1" manualBreakCount="1">
    <brk id="47" max="4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14.3</vt:lpstr>
      <vt:lpstr>Sheet2</vt:lpstr>
      <vt:lpstr>'14.3'!Print_Area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2024-10-22T15:55:00Z</cp:lastPrinted>
  <dcterms:created xsi:type="dcterms:W3CDTF">2013-04-01T04:26:10Z</dcterms:created>
  <dcterms:modified xsi:type="dcterms:W3CDTF">2024-10-22T15:57:14Z</dcterms:modified>
</cp:coreProperties>
</file>