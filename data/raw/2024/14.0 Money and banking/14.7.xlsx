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4165C4A1-CD1C-4B28-A6F9-C1D045273684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7" sheetId="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'14.7'!$A$1:$R$46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0" i="5" l="1"/>
  <c r="P30" i="5"/>
  <c r="Q30" i="5"/>
  <c r="N30" i="5"/>
  <c r="O28" i="5"/>
  <c r="P28" i="5"/>
  <c r="Q28" i="5"/>
  <c r="O29" i="5"/>
  <c r="P29" i="5"/>
  <c r="Q29" i="5"/>
  <c r="N29" i="5"/>
  <c r="N28" i="5"/>
</calcChain>
</file>

<file path=xl/sharedStrings.xml><?xml version="1.0" encoding="utf-8"?>
<sst xmlns="http://schemas.openxmlformats.org/spreadsheetml/2006/main" count="111" uniqueCount="67">
  <si>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</si>
  <si>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</si>
  <si>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</si>
  <si>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</si>
  <si>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</si>
  <si>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</si>
  <si>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</si>
  <si>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</si>
  <si>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</si>
  <si>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</si>
  <si>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</si>
  <si>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ޓްރާންސްފަރަބަލް ޑިޕޮސިޓް</t>
  </si>
  <si>
    <t>Annual percentage change</t>
  </si>
  <si>
    <t>Memorandum items: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</si>
  <si>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</si>
  <si>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</si>
  <si>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</si>
  <si>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</si>
  <si>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</si>
  <si>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</si>
  <si>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</si>
  <si>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</si>
  <si>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</si>
  <si>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</si>
  <si>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</si>
  <si>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</si>
  <si>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Cash</t>
  </si>
  <si>
    <t>Deposits with central bank</t>
  </si>
  <si>
    <t>ސެކިޔުރިޓީސް (ހިއްސާ ނުހިމަނައި)</t>
  </si>
  <si>
    <t>Loans and advances</t>
  </si>
  <si>
    <t>Deposits</t>
  </si>
  <si>
    <t>އެހެނިހެން ޑިޕޮސިޓް</t>
  </si>
  <si>
    <t>Central government liabilities</t>
  </si>
  <si>
    <t>ނޯޓް:</t>
  </si>
  <si>
    <t>NOTE:</t>
  </si>
  <si>
    <t/>
  </si>
  <si>
    <t>ޖުމްލަ ލައިބިލިޓީ</t>
  </si>
  <si>
    <t>ބޭރުގެ ލައިބިލިޓީ</t>
  </si>
  <si>
    <t>ބޭރު އެސެޓް</t>
  </si>
  <si>
    <t>ދަރަނީގެ ގޮތުގައި ދޫކުރެވިފައި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</si>
  <si>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</si>
  <si>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</si>
  <si>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</si>
  <si>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</si>
  <si>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</si>
  <si>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</si>
  <si>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</si>
  <si>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</si>
  <si>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</si>
  <si>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އިތުރު މައުލޫމާތު:</t>
  </si>
  <si>
    <t>ލޯނާއި އެޑްވާންސް</t>
  </si>
  <si>
    <t>އެހެނިހެން އެސެޓްސް</t>
  </si>
  <si>
    <t>ޑިޕޮސިޓްސް</t>
  </si>
  <si>
    <t>ސަރުކާރުން ބަހައްޓާފައިވާ ފައިސާ</t>
  </si>
  <si>
    <t>Transferable deposits</t>
  </si>
  <si>
    <t>Local currency</t>
  </si>
  <si>
    <t>Foreign currency</t>
  </si>
  <si>
    <t>Other depostis</t>
  </si>
  <si>
    <t>ނަގުދު ފައިސާ</t>
  </si>
  <si>
    <t>ދިވެހި ފައިސާ</t>
  </si>
  <si>
    <t>ބޭރު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</si>
  <si>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</si>
  <si>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</si>
  <si>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</si>
  <si>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Dec 2021, 2020  and Dec 2019  furures are revised</t>
  </si>
  <si>
    <t>Table  14.7 :ASSETS AND LIABILITIES OF OTHER DEPOSITORY CORPORATIONS,  2020 - 2023</t>
  </si>
  <si>
    <t xml:space="preserve">ތާވަލު 14.7 : ވިޔަފާރި ބޭންކުތަކުގެ އެސެޓްތަކާއި ލައިބިލިޓީތައް 2020 - 2023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</si>
</sst>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12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165" fontId="23" fillId="0" borderId="0" xfId="1" applyNumberFormat="1" applyFont="1"/>
    <xf numFmtId="0" fontId="0" fillId="21" borderId="0" xfId="0" applyFill="1"/>
    <xf numFmtId="165" fontId="7" fillId="21" borderId="4" xfId="0" applyNumberFormat="1" applyFont="1" applyFill="1" applyBorder="1" applyAlignment="1">
      <alignment vertical="center"/>
    </xf>
    <xf numFmtId="164" fontId="10" fillId="21" borderId="24" xfId="3" applyNumberFormat="1" applyFont="1" applyFill="1" applyBorder="1" applyAlignment="1">
      <alignment horizontal="right"/>
    </xf>
    <xf numFmtId="164" fontId="10" fillId="21" borderId="5" xfId="3" applyNumberFormat="1" applyFont="1" applyFill="1" applyBorder="1" applyAlignment="1">
      <alignment horizontal="right"/>
    </xf>
    <xf numFmtId="164" fontId="10" fillId="21" borderId="23" xfId="3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1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5" xfId="1" applyFont="1" applyFill="1" applyBorder="1" applyAlignment="1">
      <alignment horizontal="right"/>
    </xf>
    <xf numFmtId="166" fontId="12" fillId="21" borderId="0" xfId="0" applyNumberFormat="1" applyFont="1" applyFill="1" applyAlignment="1">
      <alignment vertical="center"/>
    </xf>
    <xf numFmtId="166" fontId="19" fillId="21" borderId="0" xfId="3" applyNumberFormat="1" applyFont="1" applyFill="1" applyAlignment="1">
      <alignment horizontal="right" vertical="center"/>
    </xf>
    <xf numFmtId="166" fontId="12" fillId="21" borderId="20" xfId="0" applyNumberFormat="1" applyFont="1" applyFill="1" applyBorder="1" applyAlignment="1">
      <alignment vertical="center"/>
    </xf>
    <xf numFmtId="166" fontId="12" fillId="21" borderId="1" xfId="0" applyNumberFormat="1" applyFont="1" applyFill="1" applyBorder="1" applyAlignment="1">
      <alignment vertical="center"/>
    </xf>
    <xf numFmtId="166" fontId="12" fillId="21" borderId="26" xfId="0" applyNumberFormat="1" applyFont="1" applyFill="1" applyBorder="1" applyAlignment="1">
      <alignment vertical="center"/>
    </xf>
    <xf numFmtId="0" fontId="14" fillId="21" borderId="0" xfId="0" applyFont="1" applyFill="1" applyAlignment="1">
      <alignment horizontal="left"/>
    </xf>
    <xf numFmtId="164" fontId="50" fillId="21" borderId="0" xfId="3" applyNumberFormat="1" applyFont="1" applyFill="1" applyAlignment="1">
      <alignment horizontal="right" vertical="center"/>
    </xf>
    <xf numFmtId="164" fontId="16" fillId="21" borderId="0" xfId="3" applyNumberFormat="1" applyFont="1" applyFill="1" applyAlignment="1">
      <alignment horizontal="left" vertical="center" indent="2"/>
    </xf>
    <xf numFmtId="164" fontId="18" fillId="21" borderId="0" xfId="3" applyNumberFormat="1" applyFont="1" applyFill="1" applyAlignment="1">
      <alignment horizontal="right" vertical="center" indent="2"/>
    </xf>
    <xf numFmtId="0" fontId="8" fillId="21" borderId="30" xfId="0" applyFont="1" applyFill="1" applyBorder="1"/>
    <xf numFmtId="0" fontId="0" fillId="21" borderId="1" xfId="0" applyFill="1" applyBorder="1"/>
    <xf numFmtId="164" fontId="51" fillId="21" borderId="0" xfId="3" applyNumberFormat="1" applyFont="1" applyFill="1" applyAlignment="1">
      <alignment horizontal="right" vertical="center" indent="2" readingOrder="2"/>
    </xf>
    <xf numFmtId="49" fontId="52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3" fontId="0" fillId="21" borderId="0" xfId="1" applyFont="1" applyFill="1" applyBorder="1"/>
    <xf numFmtId="166" fontId="54" fillId="21" borderId="21" xfId="1" applyNumberFormat="1" applyFont="1" applyFill="1" applyBorder="1"/>
    <xf numFmtId="166" fontId="54" fillId="21" borderId="0" xfId="1" applyNumberFormat="1" applyFont="1" applyFill="1" applyBorder="1"/>
    <xf numFmtId="166" fontId="54" fillId="21" borderId="25" xfId="1" applyNumberFormat="1" applyFont="1" applyFill="1" applyBorder="1"/>
    <xf numFmtId="166" fontId="23" fillId="21" borderId="21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4" fontId="51" fillId="21" borderId="0" xfId="3" applyNumberFormat="1" applyFont="1" applyFill="1" applyAlignment="1">
      <alignment vertical="center" readingOrder="2"/>
    </xf>
    <xf numFmtId="164" fontId="10" fillId="21" borderId="0" xfId="3" applyNumberFormat="1" applyFont="1" applyFill="1" applyAlignment="1">
      <alignment horizontal="right" vertical="center"/>
    </xf>
    <xf numFmtId="49" fontId="53" fillId="21" borderId="0" xfId="0" applyNumberFormat="1" applyFont="1" applyFill="1" applyAlignment="1">
      <alignment vertical="center"/>
    </xf>
    <xf numFmtId="0" fontId="34" fillId="21" borderId="0" xfId="0" applyFont="1" applyFill="1" applyAlignment="1">
      <alignment horizontal="center"/>
    </xf>
    <xf numFmtId="49" fontId="51" fillId="21" borderId="0" xfId="0" applyNumberFormat="1" applyFont="1" applyFill="1" applyAlignment="1">
      <alignment horizontal="right" vertical="center" indent="2"/>
    </xf>
    <xf numFmtId="0" fontId="34" fillId="21" borderId="1" xfId="0" applyFont="1" applyFill="1" applyBorder="1" applyAlignment="1">
      <alignment horizontal="center"/>
    </xf>
    <xf numFmtId="166" fontId="34" fillId="21" borderId="20" xfId="0" applyNumberFormat="1" applyFont="1" applyFill="1" applyBorder="1" applyAlignment="1">
      <alignment horizontal="center"/>
    </xf>
    <xf numFmtId="166" fontId="34" fillId="21" borderId="1" xfId="0" applyNumberFormat="1" applyFont="1" applyFill="1" applyBorder="1" applyAlignment="1">
      <alignment horizontal="center"/>
    </xf>
    <xf numFmtId="166" fontId="34" fillId="21" borderId="26" xfId="0" applyNumberFormat="1" applyFont="1" applyFill="1" applyBorder="1" applyAlignment="1">
      <alignment horizontal="center"/>
    </xf>
    <xf numFmtId="166" fontId="34" fillId="21" borderId="21" xfId="0" applyNumberFormat="1" applyFont="1" applyFill="1" applyBorder="1" applyAlignment="1">
      <alignment horizontal="center"/>
    </xf>
    <xf numFmtId="166" fontId="34" fillId="21" borderId="0" xfId="0" applyNumberFormat="1" applyFont="1" applyFill="1" applyAlignment="1">
      <alignment horizontal="center"/>
    </xf>
    <xf numFmtId="166" fontId="34" fillId="21" borderId="25" xfId="0" applyNumberFormat="1" applyFont="1" applyFill="1" applyBorder="1" applyAlignment="1">
      <alignment horizontal="center"/>
    </xf>
    <xf numFmtId="166" fontId="12" fillId="21" borderId="21" xfId="0" applyNumberFormat="1" applyFont="1" applyFill="1" applyBorder="1"/>
    <xf numFmtId="166" fontId="12" fillId="21" borderId="0" xfId="0" applyNumberFormat="1" applyFont="1" applyFill="1"/>
    <xf numFmtId="166" fontId="12" fillId="21" borderId="25" xfId="0" applyNumberFormat="1" applyFont="1" applyFill="1" applyBorder="1"/>
    <xf numFmtId="166" fontId="12" fillId="21" borderId="20" xfId="2" applyNumberFormat="1" applyFont="1" applyFill="1" applyBorder="1"/>
    <xf numFmtId="166" fontId="12" fillId="21" borderId="1" xfId="2" applyNumberFormat="1" applyFont="1" applyFill="1" applyBorder="1"/>
    <xf numFmtId="166" fontId="12" fillId="21" borderId="26" xfId="2" applyNumberFormat="1" applyFont="1" applyFill="1" applyBorder="1"/>
    <xf numFmtId="166" fontId="21" fillId="21" borderId="1" xfId="3" applyNumberFormat="1" applyFont="1" applyFill="1" applyBorder="1" applyAlignment="1">
      <alignment horizontal="right" vertical="center"/>
    </xf>
    <xf numFmtId="166" fontId="12" fillId="21" borderId="21" xfId="2" applyNumberFormat="1" applyFont="1" applyFill="1" applyBorder="1"/>
    <xf numFmtId="166" fontId="12" fillId="21" borderId="0" xfId="2" applyNumberFormat="1" applyFont="1" applyFill="1" applyBorder="1"/>
    <xf numFmtId="166" fontId="12" fillId="21" borderId="25" xfId="2" applyNumberFormat="1" applyFont="1" applyFill="1" applyBorder="1"/>
    <xf numFmtId="166" fontId="21" fillId="21" borderId="0" xfId="3" applyNumberFormat="1" applyFont="1" applyFill="1" applyAlignment="1">
      <alignment horizontal="right" vertical="center"/>
    </xf>
    <xf numFmtId="0" fontId="13" fillId="21" borderId="1" xfId="4" applyFont="1" applyFill="1" applyBorder="1" applyAlignment="1">
      <alignment horizontal="right" indent="2"/>
    </xf>
    <xf numFmtId="0" fontId="13" fillId="21" borderId="0" xfId="4" applyFont="1" applyFill="1" applyAlignment="1">
      <alignment horizontal="right" indent="2"/>
    </xf>
    <xf numFmtId="43" fontId="47" fillId="21" borderId="0" xfId="1" applyFont="1" applyFill="1" applyBorder="1" applyAlignment="1">
      <alignment vertical="center" wrapText="1"/>
    </xf>
    <xf numFmtId="0" fontId="1" fillId="21" borderId="0" xfId="0" applyFont="1" applyFill="1"/>
    <xf numFmtId="166" fontId="9" fillId="21" borderId="0" xfId="0" applyNumberFormat="1" applyFont="1" applyFill="1"/>
    <xf numFmtId="0" fontId="17" fillId="21" borderId="0" xfId="0" applyFont="1" applyFill="1"/>
    <xf numFmtId="49" fontId="20" fillId="21" borderId="0" xfId="0" applyNumberFormat="1" applyFont="1" applyFill="1" applyAlignment="1">
      <alignment vertical="center"/>
    </xf>
    <xf numFmtId="49" fontId="15" fillId="21" borderId="0" xfId="0" applyNumberFormat="1" applyFont="1" applyFill="1" applyAlignment="1">
      <alignment horizontal="left" vertical="center" indent="2"/>
    </xf>
    <xf numFmtId="166" fontId="12" fillId="21" borderId="21" xfId="1" applyNumberFormat="1" applyFont="1" applyFill="1" applyBorder="1"/>
    <xf numFmtId="166" fontId="12" fillId="21" borderId="0" xfId="1" applyNumberFormat="1" applyFont="1" applyFill="1" applyBorder="1"/>
    <xf numFmtId="166" fontId="12" fillId="21" borderId="25" xfId="1" applyNumberFormat="1" applyFont="1" applyFill="1" applyBorder="1"/>
    <xf numFmtId="49" fontId="18" fillId="21" borderId="0" xfId="0" applyNumberFormat="1" applyFont="1" applyFill="1" applyAlignment="1">
      <alignment horizontal="right" vertical="center" indent="2"/>
    </xf>
    <xf numFmtId="166" fontId="11" fillId="21" borderId="21" xfId="1" applyNumberFormat="1" applyFont="1" applyFill="1" applyBorder="1"/>
    <xf numFmtId="166" fontId="11" fillId="21" borderId="0" xfId="1" applyNumberFormat="1" applyFont="1" applyFill="1" applyBorder="1"/>
    <xf numFmtId="166" fontId="11" fillId="21" borderId="25" xfId="1" applyNumberFormat="1" applyFont="1" applyFill="1" applyBorder="1"/>
    <xf numFmtId="0" fontId="17" fillId="21" borderId="1" xfId="0" applyFont="1" applyFill="1" applyBorder="1"/>
    <xf numFmtId="49" fontId="14" fillId="21" borderId="0" xfId="0" applyNumberFormat="1" applyFont="1" applyFill="1" applyAlignment="1">
      <alignment vertical="center"/>
    </xf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4" fillId="21" borderId="0" xfId="3" applyNumberFormat="1" applyFont="1" applyFill="1" applyAlignment="1">
      <alignment horizontal="center" vertical="center" readingOrder="2"/>
    </xf>
    <xf numFmtId="164" fontId="48" fillId="21" borderId="0" xfId="3" applyNumberFormat="1" applyFont="1" applyFill="1" applyAlignment="1">
      <alignment horizontal="center" vertical="center"/>
    </xf>
    <xf numFmtId="164" fontId="19" fillId="21" borderId="22" xfId="3" applyNumberFormat="1" applyFont="1" applyFill="1" applyBorder="1" applyAlignment="1">
      <alignment horizontal="right" vertical="center"/>
    </xf>
    <xf numFmtId="164" fontId="19" fillId="21" borderId="21" xfId="3" applyNumberFormat="1" applyFont="1" applyFill="1" applyBorder="1" applyAlignment="1">
      <alignment horizontal="right" vertical="center"/>
    </xf>
    <xf numFmtId="164" fontId="19" fillId="21" borderId="20" xfId="3" applyNumberFormat="1" applyFont="1" applyFill="1" applyBorder="1" applyAlignment="1">
      <alignment horizontal="right" vertical="center"/>
    </xf>
    <xf numFmtId="0" fontId="49" fillId="21" borderId="0" xfId="0" applyFont="1" applyFill="1" applyAlignment="1">
      <alignment horizontal="center" vertical="center"/>
    </xf>
    <xf numFmtId="0" fontId="34" fillId="21" borderId="0" xfId="0" applyFont="1" applyFill="1" applyAlignment="1">
      <alignment horizont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4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3" xr:uid="{00000000-0005-0000-0000-0000ED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" xfId="2" builtinId="5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P46"/>
  <sheetViews>
    <sheetView showGridLines="0" tabSelected="1" zoomScale="85" zoomScaleNormal="85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U19" sqref="U19"/>
    </sheetView>
  </sheetViews>
  <sheetFormatPr defaultColWidth="9.140625" defaultRowHeight="15" x14ac:dyDescent="0.25"/>
  <cols>
    <col min="1" max="1" width="46.7109375" style="2" customWidth="1"/>
    <col min="2" max="17" width="11.85546875" style="2" customWidth="1"/>
    <col min="18" max="18" width="43.5703125" style="2" bestFit="1" customWidth="1"/>
    <col min="19" max="19" width="9.140625" style="2"/>
    <col min="20" max="20" width="11" style="2" bestFit="1" customWidth="1"/>
    <col min="21" max="21" width="9.85546875" style="2" bestFit="1" customWidth="1"/>
    <col min="22" max="22" width="9.42578125" style="2" bestFit="1" customWidth="1"/>
    <col min="23" max="25" width="11" style="2" bestFit="1" customWidth="1"/>
    <col min="26" max="26" width="9.42578125" style="2" bestFit="1" customWidth="1"/>
    <col min="27" max="27" width="9.7109375" style="2" bestFit="1" customWidth="1"/>
    <col min="28" max="28" width="9.85546875" style="2" bestFit="1" customWidth="1"/>
    <col min="29" max="29" width="11" style="2" bestFit="1" customWidth="1"/>
    <col min="30" max="30" width="9.85546875" style="2" bestFit="1" customWidth="1"/>
    <col min="31" max="31" width="11" style="2" bestFit="1" customWidth="1"/>
    <col min="32" max="33" width="9.85546875" style="2" bestFit="1" customWidth="1"/>
    <col min="34" max="38" width="11" style="2" bestFit="1" customWidth="1"/>
    <col min="39" max="40" width="9.85546875" style="2" bestFit="1" customWidth="1"/>
    <col min="41" max="16384" width="9.140625" style="2"/>
  </cols>
  <sheetData>
    <row r="1" spans="1:42" ht="20.100000000000001" customHeight="1" x14ac:dyDescent="0.25">
      <c r="A1" s="79" t="s">
        <v>66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42" ht="20.100000000000001" customHeight="1" x14ac:dyDescent="0.25">
      <c r="A2" s="80" t="s">
        <v>65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42" ht="15.95" customHeight="1" x14ac:dyDescent="0.25">
      <c r="A3" s="84" t="s">
        <v>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</row>
    <row r="4" spans="1:42" ht="15.95" customHeight="1" x14ac:dyDescent="0.25">
      <c r="A4" s="85" t="s">
        <v>1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42" ht="8.1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42" ht="15.95" customHeight="1" x14ac:dyDescent="0.25">
      <c r="A6" s="24"/>
      <c r="B6" s="76">
        <v>2020</v>
      </c>
      <c r="C6" s="77"/>
      <c r="D6" s="77"/>
      <c r="E6" s="78"/>
      <c r="F6" s="76">
        <v>2021</v>
      </c>
      <c r="G6" s="77"/>
      <c r="H6" s="77"/>
      <c r="I6" s="78"/>
      <c r="J6" s="76">
        <v>2022</v>
      </c>
      <c r="K6" s="77"/>
      <c r="L6" s="77"/>
      <c r="M6" s="78"/>
      <c r="N6" s="76">
        <v>2023</v>
      </c>
      <c r="O6" s="77"/>
      <c r="P6" s="77"/>
      <c r="Q6" s="78"/>
      <c r="R6" s="81" t="s">
        <v>40</v>
      </c>
    </row>
    <row r="7" spans="1:42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6" t="s">
        <v>6</v>
      </c>
      <c r="R7" s="82" t="s">
        <v>7</v>
      </c>
    </row>
    <row r="8" spans="1:42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15</v>
      </c>
      <c r="F8" s="8" t="s">
        <v>8</v>
      </c>
      <c r="G8" s="9" t="s">
        <v>9</v>
      </c>
      <c r="H8" s="9" t="s">
        <v>10</v>
      </c>
      <c r="I8" s="10" t="s">
        <v>15</v>
      </c>
      <c r="J8" s="8" t="s">
        <v>8</v>
      </c>
      <c r="K8" s="9" t="s">
        <v>9</v>
      </c>
      <c r="L8" s="9" t="s">
        <v>10</v>
      </c>
      <c r="M8" s="10" t="s">
        <v>15</v>
      </c>
      <c r="N8" s="8" t="s">
        <v>8</v>
      </c>
      <c r="O8" s="9" t="s">
        <v>9</v>
      </c>
      <c r="P8" s="9" t="s">
        <v>10</v>
      </c>
      <c r="Q8" s="10" t="s">
        <v>15</v>
      </c>
      <c r="R8" s="83"/>
    </row>
    <row r="9" spans="1:42" ht="8.1" customHeight="1" x14ac:dyDescent="0.25">
      <c r="A9" s="11"/>
      <c r="B9" s="12"/>
      <c r="C9" s="13"/>
      <c r="D9" s="13"/>
      <c r="E9" s="14"/>
      <c r="F9" s="12"/>
      <c r="G9" s="13"/>
      <c r="H9" s="13"/>
      <c r="I9" s="14"/>
      <c r="J9" s="12"/>
      <c r="K9" s="13"/>
      <c r="L9" s="13"/>
      <c r="M9" s="14"/>
      <c r="N9" s="12"/>
      <c r="O9" s="13"/>
      <c r="P9" s="13"/>
      <c r="Q9" s="14"/>
      <c r="R9" s="37"/>
    </row>
    <row r="10" spans="1:42" ht="15.95" customHeight="1" x14ac:dyDescent="0.25">
      <c r="A10" s="27" t="s">
        <v>18</v>
      </c>
      <c r="B10" s="30">
        <v>58888.771000000001</v>
      </c>
      <c r="C10" s="31">
        <v>59859.466999999997</v>
      </c>
      <c r="D10" s="31">
        <v>62958.815000000002</v>
      </c>
      <c r="E10" s="32">
        <v>68911.854000000007</v>
      </c>
      <c r="F10" s="30">
        <v>71903.764999999999</v>
      </c>
      <c r="G10" s="31">
        <v>74213.120999999999</v>
      </c>
      <c r="H10" s="31">
        <v>76347.282999999996</v>
      </c>
      <c r="I10" s="32">
        <v>83234.648000000001</v>
      </c>
      <c r="J10" s="30">
        <v>85828.879000000001</v>
      </c>
      <c r="K10" s="31">
        <v>88480.845000000001</v>
      </c>
      <c r="L10" s="31">
        <v>83517.353000000003</v>
      </c>
      <c r="M10" s="32">
        <v>88534.946000000011</v>
      </c>
      <c r="N10" s="30">
        <v>91878.365999999995</v>
      </c>
      <c r="O10" s="31">
        <v>90830.116999999998</v>
      </c>
      <c r="P10" s="31">
        <v>91098.01</v>
      </c>
      <c r="Q10" s="32">
        <v>94955.131999999998</v>
      </c>
      <c r="R10" s="16" t="s">
        <v>48</v>
      </c>
    </row>
    <row r="11" spans="1:42" s="64" customFormat="1" ht="15.95" customHeight="1" x14ac:dyDescent="0.25">
      <c r="A11" s="66" t="s">
        <v>19</v>
      </c>
      <c r="B11" s="67">
        <v>4699.8959999999997</v>
      </c>
      <c r="C11" s="68">
        <v>3615.4009999999998</v>
      </c>
      <c r="D11" s="68">
        <v>2661.9050000000002</v>
      </c>
      <c r="E11" s="69">
        <v>4499.5069999999996</v>
      </c>
      <c r="F11" s="67">
        <v>5497.1080000000002</v>
      </c>
      <c r="G11" s="68">
        <v>5022.6139999999996</v>
      </c>
      <c r="H11" s="68">
        <v>5415.6729999999998</v>
      </c>
      <c r="I11" s="69">
        <v>10524.055</v>
      </c>
      <c r="J11" s="67">
        <v>10905.29</v>
      </c>
      <c r="K11" s="68">
        <v>12468.320000000002</v>
      </c>
      <c r="L11" s="68">
        <v>8254.6890000000003</v>
      </c>
      <c r="M11" s="69">
        <v>9474.1619999999984</v>
      </c>
      <c r="N11" s="67">
        <v>11481.759</v>
      </c>
      <c r="O11" s="68">
        <v>8582.7739999999994</v>
      </c>
      <c r="P11" s="68">
        <v>7027.1940000000004</v>
      </c>
      <c r="Q11" s="69">
        <v>8836.4500000000007</v>
      </c>
      <c r="R11" s="70" t="s">
        <v>46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s="64" customFormat="1" ht="15.95" customHeight="1" x14ac:dyDescent="0.25">
      <c r="A12" s="66" t="s">
        <v>26</v>
      </c>
      <c r="B12" s="67">
        <v>1020.253</v>
      </c>
      <c r="C12" s="68">
        <v>1105.4469999999999</v>
      </c>
      <c r="D12" s="68">
        <v>648.77800000000002</v>
      </c>
      <c r="E12" s="69">
        <v>547.16099999999994</v>
      </c>
      <c r="F12" s="67">
        <v>556.91399999999999</v>
      </c>
      <c r="G12" s="68">
        <v>592.16499999999996</v>
      </c>
      <c r="H12" s="68">
        <v>619.85199999999998</v>
      </c>
      <c r="I12" s="69">
        <v>522.03099999999995</v>
      </c>
      <c r="J12" s="67">
        <v>485.96199999999999</v>
      </c>
      <c r="K12" s="68">
        <v>555.74</v>
      </c>
      <c r="L12" s="68">
        <v>562.59699999999998</v>
      </c>
      <c r="M12" s="69">
        <v>538.12699999999995</v>
      </c>
      <c r="N12" s="67">
        <v>460.80399999999997</v>
      </c>
      <c r="O12" s="68">
        <v>580.80499999999995</v>
      </c>
      <c r="P12" s="68">
        <v>574.875</v>
      </c>
      <c r="Q12" s="69">
        <v>533.702</v>
      </c>
      <c r="R12" s="70" t="s">
        <v>58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s="64" customFormat="1" ht="15.95" customHeight="1" x14ac:dyDescent="0.25">
      <c r="A13" s="66" t="s">
        <v>27</v>
      </c>
      <c r="B13" s="67">
        <v>10346.514999999999</v>
      </c>
      <c r="C13" s="68">
        <v>11313.655000000001</v>
      </c>
      <c r="D13" s="68">
        <v>9831.7289999999994</v>
      </c>
      <c r="E13" s="69">
        <v>12774.915000000001</v>
      </c>
      <c r="F13" s="67">
        <v>12835.864</v>
      </c>
      <c r="G13" s="68">
        <v>13874.133</v>
      </c>
      <c r="H13" s="68">
        <v>13207.316000000001</v>
      </c>
      <c r="I13" s="69">
        <v>14695.638999999999</v>
      </c>
      <c r="J13" s="67">
        <v>16053.203999999998</v>
      </c>
      <c r="K13" s="68">
        <v>15481.914000000001</v>
      </c>
      <c r="L13" s="68">
        <v>14061.428</v>
      </c>
      <c r="M13" s="69">
        <v>15479.671000000002</v>
      </c>
      <c r="N13" s="67">
        <v>16197.968999999999</v>
      </c>
      <c r="O13" s="68">
        <v>15769.332</v>
      </c>
      <c r="P13" s="68">
        <v>15435.096</v>
      </c>
      <c r="Q13" s="69">
        <v>16019.699000000001</v>
      </c>
      <c r="R13" s="70" t="s">
        <v>42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s="64" customFormat="1" ht="15.95" customHeight="1" x14ac:dyDescent="0.25">
      <c r="A14" s="66" t="s">
        <v>23</v>
      </c>
      <c r="B14" s="67">
        <v>12605.821</v>
      </c>
      <c r="C14" s="68">
        <v>13028.26</v>
      </c>
      <c r="D14" s="68">
        <v>17759.982</v>
      </c>
      <c r="E14" s="69">
        <v>18289.847000000002</v>
      </c>
      <c r="F14" s="67">
        <v>19456.488000000001</v>
      </c>
      <c r="G14" s="68">
        <v>20482.838</v>
      </c>
      <c r="H14" s="68">
        <v>21558.198</v>
      </c>
      <c r="I14" s="69">
        <v>22151.613999999998</v>
      </c>
      <c r="J14" s="67">
        <v>23404.344000000001</v>
      </c>
      <c r="K14" s="68">
        <v>24429.489000000001</v>
      </c>
      <c r="L14" s="68">
        <v>24305.385000000002</v>
      </c>
      <c r="M14" s="69">
        <v>26169.093000000001</v>
      </c>
      <c r="N14" s="67">
        <v>26754.862000000001</v>
      </c>
      <c r="O14" s="68">
        <v>27484.037</v>
      </c>
      <c r="P14" s="68">
        <v>27457.257000000001</v>
      </c>
      <c r="Q14" s="69">
        <v>28343.14</v>
      </c>
      <c r="R14" s="70" t="s">
        <v>28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s="64" customFormat="1" ht="15.95" customHeight="1" x14ac:dyDescent="0.25">
      <c r="A15" s="66" t="s">
        <v>29</v>
      </c>
      <c r="B15" s="67">
        <v>27516.01</v>
      </c>
      <c r="C15" s="68">
        <v>28138.366999999998</v>
      </c>
      <c r="D15" s="68">
        <v>29291.661</v>
      </c>
      <c r="E15" s="69">
        <v>29701.690999999999</v>
      </c>
      <c r="F15" s="67">
        <v>30533.212</v>
      </c>
      <c r="G15" s="68">
        <v>31180.406999999999</v>
      </c>
      <c r="H15" s="68">
        <v>32288.800999999999</v>
      </c>
      <c r="I15" s="69">
        <v>31465.849999999995</v>
      </c>
      <c r="J15" s="67">
        <v>31678.951000000001</v>
      </c>
      <c r="K15" s="68">
        <v>32170.091</v>
      </c>
      <c r="L15" s="68">
        <v>33057.851000000002</v>
      </c>
      <c r="M15" s="69">
        <v>33408.522999999994</v>
      </c>
      <c r="N15" s="67">
        <v>33802.769</v>
      </c>
      <c r="O15" s="68">
        <v>35140.347000000002</v>
      </c>
      <c r="P15" s="68">
        <v>36881.718999999997</v>
      </c>
      <c r="Q15" s="69">
        <v>37752.983999999997</v>
      </c>
      <c r="R15" s="70" t="s">
        <v>50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s="64" customFormat="1" ht="15.95" customHeight="1" x14ac:dyDescent="0.25">
      <c r="A16" s="66" t="s">
        <v>16</v>
      </c>
      <c r="B16" s="67">
        <v>107.3</v>
      </c>
      <c r="C16" s="68">
        <v>107.3</v>
      </c>
      <c r="D16" s="68">
        <v>107.3</v>
      </c>
      <c r="E16" s="69">
        <v>64.2</v>
      </c>
      <c r="F16" s="67">
        <v>64.2</v>
      </c>
      <c r="G16" s="68">
        <v>64.2</v>
      </c>
      <c r="H16" s="68">
        <v>64.2</v>
      </c>
      <c r="I16" s="69">
        <v>53.1</v>
      </c>
      <c r="J16" s="67">
        <v>53.1</v>
      </c>
      <c r="K16" s="68">
        <v>53.1</v>
      </c>
      <c r="L16" s="68">
        <v>53.1</v>
      </c>
      <c r="M16" s="69">
        <v>102.1</v>
      </c>
      <c r="N16" s="67">
        <v>102.1</v>
      </c>
      <c r="O16" s="68">
        <v>102.1</v>
      </c>
      <c r="P16" s="68">
        <v>102.1</v>
      </c>
      <c r="Q16" s="69">
        <v>112.5</v>
      </c>
      <c r="R16" s="70" t="s">
        <v>45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s="64" customFormat="1" ht="15.95" customHeight="1" x14ac:dyDescent="0.25">
      <c r="A17" s="66" t="s">
        <v>20</v>
      </c>
      <c r="B17" s="67">
        <v>1050.39599999999</v>
      </c>
      <c r="C17" s="68">
        <v>920.67800000000705</v>
      </c>
      <c r="D17" s="68">
        <v>978.5</v>
      </c>
      <c r="E17" s="69">
        <v>1315.3529999999901</v>
      </c>
      <c r="F17" s="67">
        <v>1192.70400000001</v>
      </c>
      <c r="G17" s="68">
        <v>1211.5739999999901</v>
      </c>
      <c r="H17" s="68">
        <v>1375.98899999999</v>
      </c>
      <c r="I17" s="69">
        <v>1945.7820000000065</v>
      </c>
      <c r="J17" s="67">
        <v>1338.7579999999871</v>
      </c>
      <c r="K17" s="68">
        <v>1374.4349999999977</v>
      </c>
      <c r="L17" s="68">
        <v>1251.3619999999792</v>
      </c>
      <c r="M17" s="69">
        <v>1264.1670000000013</v>
      </c>
      <c r="N17" s="67">
        <v>954.74199999999803</v>
      </c>
      <c r="O17" s="68">
        <v>999.72799999998801</v>
      </c>
      <c r="P17" s="68">
        <v>1421.75799999999</v>
      </c>
      <c r="Q17" s="69">
        <v>1125.2469999999901</v>
      </c>
      <c r="R17" s="70" t="s">
        <v>51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s="64" customFormat="1" ht="15.95" customHeight="1" x14ac:dyDescent="0.25">
      <c r="A18" s="66" t="s">
        <v>21</v>
      </c>
      <c r="B18" s="67">
        <v>1542.58</v>
      </c>
      <c r="C18" s="68">
        <v>1630.3589999999999</v>
      </c>
      <c r="D18" s="68">
        <v>1678.96</v>
      </c>
      <c r="E18" s="69">
        <v>1719.18</v>
      </c>
      <c r="F18" s="67">
        <v>1767.2750000000001</v>
      </c>
      <c r="G18" s="68">
        <v>1785.19</v>
      </c>
      <c r="H18" s="68">
        <v>1817.2539999999999</v>
      </c>
      <c r="I18" s="69">
        <v>1876.577</v>
      </c>
      <c r="J18" s="67">
        <v>1909.27</v>
      </c>
      <c r="K18" s="68">
        <v>1947.7560000000001</v>
      </c>
      <c r="L18" s="68">
        <v>1970.941</v>
      </c>
      <c r="M18" s="69">
        <v>2099.1030000000001</v>
      </c>
      <c r="N18" s="67">
        <v>2123.3609999999999</v>
      </c>
      <c r="O18" s="68">
        <v>2170.9940000000001</v>
      </c>
      <c r="P18" s="68">
        <v>2198.011</v>
      </c>
      <c r="Q18" s="69">
        <v>2231.41</v>
      </c>
      <c r="R18" s="70" t="s">
        <v>47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s="64" customFormat="1" ht="15.95" customHeight="1" x14ac:dyDescent="0.25">
      <c r="A19" s="65" t="s">
        <v>22</v>
      </c>
      <c r="B19" s="71">
        <v>58888.771000000001</v>
      </c>
      <c r="C19" s="72">
        <v>59859.466999999997</v>
      </c>
      <c r="D19" s="72">
        <v>62958.815000000002</v>
      </c>
      <c r="E19" s="73">
        <v>68911.854000000007</v>
      </c>
      <c r="F19" s="71">
        <v>71903.764999999999</v>
      </c>
      <c r="G19" s="72">
        <v>74213.120999999999</v>
      </c>
      <c r="H19" s="72">
        <v>76347.282999999996</v>
      </c>
      <c r="I19" s="73">
        <v>83234.648000000001</v>
      </c>
      <c r="J19" s="71">
        <v>85828.879000000001</v>
      </c>
      <c r="K19" s="72">
        <v>88480.845000000001</v>
      </c>
      <c r="L19" s="72">
        <v>83517.353000000003</v>
      </c>
      <c r="M19" s="73">
        <v>88534.946000000011</v>
      </c>
      <c r="N19" s="71">
        <v>91878.365999999995</v>
      </c>
      <c r="O19" s="72">
        <v>90830.116999999998</v>
      </c>
      <c r="P19" s="72">
        <v>91098.01</v>
      </c>
      <c r="Q19" s="73">
        <v>94955.131999999998</v>
      </c>
      <c r="R19" s="16" t="s">
        <v>36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s="64" customFormat="1" ht="15.95" customHeight="1" x14ac:dyDescent="0.25">
      <c r="A20" s="66" t="s">
        <v>24</v>
      </c>
      <c r="B20" s="67">
        <v>2297.9119999999998</v>
      </c>
      <c r="C20" s="68">
        <v>2242.3820000000001</v>
      </c>
      <c r="D20" s="68">
        <v>6137.5630000000001</v>
      </c>
      <c r="E20" s="69">
        <v>6378.6080000000002</v>
      </c>
      <c r="F20" s="67">
        <v>6179.01</v>
      </c>
      <c r="G20" s="68">
        <v>6317.8829999999998</v>
      </c>
      <c r="H20" s="68">
        <v>6872.5720000000001</v>
      </c>
      <c r="I20" s="69">
        <v>7626.1859999999997</v>
      </c>
      <c r="J20" s="67">
        <v>6214.21</v>
      </c>
      <c r="K20" s="68">
        <v>6199.043999999999</v>
      </c>
      <c r="L20" s="68">
        <v>6378.5529999999999</v>
      </c>
      <c r="M20" s="69">
        <v>7633.491</v>
      </c>
      <c r="N20" s="67">
        <v>7664.3919999999998</v>
      </c>
      <c r="O20" s="68">
        <v>7261.1009999999997</v>
      </c>
      <c r="P20" s="68">
        <v>7099.42</v>
      </c>
      <c r="Q20" s="69">
        <v>7562.1090000000004</v>
      </c>
      <c r="R20" s="70" t="s">
        <v>43</v>
      </c>
    </row>
    <row r="21" spans="1:42" s="64" customFormat="1" ht="15.95" customHeight="1" x14ac:dyDescent="0.25">
      <c r="A21" s="66" t="s">
        <v>30</v>
      </c>
      <c r="B21" s="67">
        <v>34383.315999999999</v>
      </c>
      <c r="C21" s="68">
        <v>34626.338000000003</v>
      </c>
      <c r="D21" s="68">
        <v>33787.972999999998</v>
      </c>
      <c r="E21" s="69">
        <v>37990.004999999997</v>
      </c>
      <c r="F21" s="67">
        <v>41168.555</v>
      </c>
      <c r="G21" s="68">
        <v>42232.095999999998</v>
      </c>
      <c r="H21" s="68">
        <v>43155.364000000001</v>
      </c>
      <c r="I21" s="69">
        <v>48953.01</v>
      </c>
      <c r="J21" s="67">
        <v>52621.213000000003</v>
      </c>
      <c r="K21" s="68">
        <v>54613.214</v>
      </c>
      <c r="L21" s="68">
        <v>48718.399000000005</v>
      </c>
      <c r="M21" s="69">
        <v>52186.542000000001</v>
      </c>
      <c r="N21" s="67">
        <v>55169.171999999999</v>
      </c>
      <c r="O21" s="68">
        <v>53710.078000000001</v>
      </c>
      <c r="P21" s="68">
        <v>52602.947</v>
      </c>
      <c r="Q21" s="69">
        <v>55518.296000000002</v>
      </c>
      <c r="R21" s="70" t="s">
        <v>52</v>
      </c>
    </row>
    <row r="22" spans="1:42" s="64" customFormat="1" ht="15.95" customHeight="1" x14ac:dyDescent="0.25">
      <c r="A22" s="66" t="s">
        <v>32</v>
      </c>
      <c r="B22" s="67">
        <v>2199.2869999999998</v>
      </c>
      <c r="C22" s="68">
        <v>2513.2860000000001</v>
      </c>
      <c r="D22" s="68">
        <v>1893.123</v>
      </c>
      <c r="E22" s="69">
        <v>1752.646</v>
      </c>
      <c r="F22" s="67">
        <v>1867.104</v>
      </c>
      <c r="G22" s="68">
        <v>2167.1790000000001</v>
      </c>
      <c r="H22" s="68">
        <v>2003.17</v>
      </c>
      <c r="I22" s="69">
        <v>1936.7810000000002</v>
      </c>
      <c r="J22" s="67">
        <v>2594.3490000000002</v>
      </c>
      <c r="K22" s="68">
        <v>2718.2719999999999</v>
      </c>
      <c r="L22" s="68">
        <v>2917.835</v>
      </c>
      <c r="M22" s="69">
        <v>2515.8779999999997</v>
      </c>
      <c r="N22" s="67">
        <v>2652.5839999999998</v>
      </c>
      <c r="O22" s="68">
        <v>2940.6869999999999</v>
      </c>
      <c r="P22" s="68">
        <v>3489.4290000000001</v>
      </c>
      <c r="Q22" s="69">
        <v>2807.6729999999998</v>
      </c>
      <c r="R22" s="70" t="s">
        <v>53</v>
      </c>
    </row>
    <row r="23" spans="1:42" s="64" customFormat="1" ht="15.95" customHeight="1" x14ac:dyDescent="0.25">
      <c r="A23" s="66" t="s">
        <v>25</v>
      </c>
      <c r="B23" s="67">
        <v>5599.5969999999998</v>
      </c>
      <c r="C23" s="68">
        <v>5613.2759999999998</v>
      </c>
      <c r="D23" s="68">
        <v>5899.308</v>
      </c>
      <c r="E23" s="69">
        <v>7501.9589999999898</v>
      </c>
      <c r="F23" s="67">
        <v>7099.5129999999899</v>
      </c>
      <c r="G23" s="68">
        <v>7295.1040000000094</v>
      </c>
      <c r="H23" s="68">
        <v>7236.5839999999998</v>
      </c>
      <c r="I23" s="69">
        <v>6861.1759999999967</v>
      </c>
      <c r="J23" s="67">
        <v>5938.5880000000052</v>
      </c>
      <c r="K23" s="68">
        <v>6072.3309999999947</v>
      </c>
      <c r="L23" s="68">
        <v>5851.7690000000021</v>
      </c>
      <c r="M23" s="69">
        <v>5848.4390000000149</v>
      </c>
      <c r="N23" s="67">
        <v>5673.5469999999896</v>
      </c>
      <c r="O23" s="68">
        <v>5501.8619999999901</v>
      </c>
      <c r="P23" s="68">
        <v>5764.9989999999998</v>
      </c>
      <c r="Q23" s="69">
        <v>6121.4380000000101</v>
      </c>
      <c r="R23" s="70" t="s">
        <v>44</v>
      </c>
    </row>
    <row r="24" spans="1:42" s="64" customFormat="1" ht="15.95" customHeight="1" x14ac:dyDescent="0.25">
      <c r="A24" s="66" t="s">
        <v>17</v>
      </c>
      <c r="B24" s="67">
        <v>14408.659</v>
      </c>
      <c r="C24" s="68">
        <v>14864.184999999999</v>
      </c>
      <c r="D24" s="68">
        <v>15240.848</v>
      </c>
      <c r="E24" s="69">
        <v>15288.636</v>
      </c>
      <c r="F24" s="67">
        <v>15589.583000000001</v>
      </c>
      <c r="G24" s="68">
        <v>16200.859</v>
      </c>
      <c r="H24" s="68">
        <v>17079.593000000001</v>
      </c>
      <c r="I24" s="69">
        <v>17857.495000000003</v>
      </c>
      <c r="J24" s="67">
        <v>18460.519</v>
      </c>
      <c r="K24" s="68">
        <v>18877.984</v>
      </c>
      <c r="L24" s="68">
        <v>19650.797000000002</v>
      </c>
      <c r="M24" s="69">
        <v>20350.596000000001</v>
      </c>
      <c r="N24" s="67">
        <v>20718.670999999998</v>
      </c>
      <c r="O24" s="68">
        <v>21416.388999999999</v>
      </c>
      <c r="P24" s="68">
        <v>22141.215</v>
      </c>
      <c r="Q24" s="69">
        <v>22945.616000000002</v>
      </c>
      <c r="R24" s="70" t="s">
        <v>45</v>
      </c>
    </row>
    <row r="25" spans="1:42" s="64" customFormat="1" ht="8.1" customHeight="1" x14ac:dyDescent="0.25">
      <c r="A25" s="41" t="s">
        <v>35</v>
      </c>
      <c r="B25" s="42"/>
      <c r="C25" s="43"/>
      <c r="D25" s="43"/>
      <c r="E25" s="44"/>
      <c r="F25" s="42"/>
      <c r="G25" s="43"/>
      <c r="H25" s="43"/>
      <c r="I25" s="44"/>
      <c r="J25" s="42"/>
      <c r="K25" s="43"/>
      <c r="L25" s="43"/>
      <c r="M25" s="44"/>
      <c r="N25" s="42"/>
      <c r="O25" s="43"/>
      <c r="P25" s="43"/>
      <c r="Q25" s="44"/>
      <c r="R25" s="74" t="s">
        <v>35</v>
      </c>
    </row>
    <row r="26" spans="1:42" s="64" customFormat="1" ht="8.1" customHeight="1" x14ac:dyDescent="0.25">
      <c r="A26" s="39" t="s">
        <v>35</v>
      </c>
      <c r="B26" s="45"/>
      <c r="C26" s="46"/>
      <c r="D26" s="46"/>
      <c r="E26" s="47"/>
      <c r="F26" s="45"/>
      <c r="G26" s="46"/>
      <c r="H26" s="46"/>
      <c r="I26" s="47"/>
      <c r="J26" s="45"/>
      <c r="K26" s="46"/>
      <c r="L26" s="46"/>
      <c r="M26" s="47"/>
      <c r="N26" s="45"/>
      <c r="O26" s="46"/>
      <c r="P26" s="46"/>
      <c r="Q26" s="47"/>
      <c r="R26" s="64" t="s">
        <v>35</v>
      </c>
    </row>
    <row r="27" spans="1:42" s="64" customFormat="1" ht="15.95" customHeight="1" x14ac:dyDescent="0.25">
      <c r="A27" s="75" t="s">
        <v>12</v>
      </c>
      <c r="B27" s="48"/>
      <c r="C27" s="49"/>
      <c r="D27" s="49"/>
      <c r="E27" s="50"/>
      <c r="F27" s="48"/>
      <c r="G27" s="49"/>
      <c r="H27" s="49"/>
      <c r="I27" s="50"/>
      <c r="J27" s="48"/>
      <c r="K27" s="49"/>
      <c r="L27" s="49"/>
      <c r="M27" s="50"/>
      <c r="N27" s="48"/>
      <c r="O27" s="49"/>
      <c r="P27" s="49"/>
      <c r="Q27" s="50"/>
      <c r="R27" s="16" t="s">
        <v>61</v>
      </c>
    </row>
    <row r="28" spans="1:42" s="64" customFormat="1" ht="15.95" customHeight="1" x14ac:dyDescent="0.25">
      <c r="A28" s="65" t="s">
        <v>19</v>
      </c>
      <c r="B28" s="71">
        <v>-7.4170803113533985</v>
      </c>
      <c r="C28" s="72">
        <v>-9.1661422001464814</v>
      </c>
      <c r="D28" s="72">
        <v>-27.898524521470996</v>
      </c>
      <c r="E28" s="73">
        <v>-0.92366873612091982</v>
      </c>
      <c r="F28" s="71">
        <v>16.962332783533942</v>
      </c>
      <c r="G28" s="72">
        <v>38.922736371428776</v>
      </c>
      <c r="H28" s="72">
        <v>103.45102473604429</v>
      </c>
      <c r="I28" s="73">
        <v>133.89351322267086</v>
      </c>
      <c r="J28" s="71">
        <v>98.382313027140825</v>
      </c>
      <c r="K28" s="72">
        <v>148.24364364850661</v>
      </c>
      <c r="L28" s="72">
        <v>52.42221973150891</v>
      </c>
      <c r="M28" s="73">
        <v>-9.9761261224879743</v>
      </c>
      <c r="N28" s="71">
        <f>(N11-J11)/J11*100</f>
        <v>5.2861409462746893</v>
      </c>
      <c r="O28" s="72">
        <f t="shared" ref="O28:Q28" si="0">(O11-K11)/K11*100</f>
        <v>-31.163348390160035</v>
      </c>
      <c r="P28" s="72">
        <f t="shared" si="0"/>
        <v>-14.870275548842601</v>
      </c>
      <c r="Q28" s="73">
        <f t="shared" si="0"/>
        <v>-6.7310649744008781</v>
      </c>
      <c r="R28" s="16" t="s">
        <v>38</v>
      </c>
    </row>
    <row r="29" spans="1:42" s="64" customFormat="1" ht="15.95" customHeight="1" x14ac:dyDescent="0.25">
      <c r="A29" s="65" t="s">
        <v>29</v>
      </c>
      <c r="B29" s="71">
        <v>8.3989412079354864</v>
      </c>
      <c r="C29" s="72">
        <v>8.5600894519148838</v>
      </c>
      <c r="D29" s="72">
        <v>8.9170164840219321</v>
      </c>
      <c r="E29" s="73">
        <v>10.182501915193019</v>
      </c>
      <c r="F29" s="71">
        <v>10.965259861440671</v>
      </c>
      <c r="G29" s="72">
        <v>10.811004064308355</v>
      </c>
      <c r="H29" s="72">
        <v>10.232058878463736</v>
      </c>
      <c r="I29" s="73">
        <v>5.9395911162094981</v>
      </c>
      <c r="J29" s="71">
        <v>3.7524352171006492</v>
      </c>
      <c r="K29" s="72">
        <v>3.1740573495400528</v>
      </c>
      <c r="L29" s="72">
        <v>2.381785560882248</v>
      </c>
      <c r="M29" s="73">
        <v>6.1739091745495491</v>
      </c>
      <c r="N29" s="71">
        <f>(N15-J15)/J15*100</f>
        <v>6.7041929513385696</v>
      </c>
      <c r="O29" s="72">
        <f t="shared" ref="O29:Q29" si="1">(O15-K15)/K15*100</f>
        <v>9.2329735716321135</v>
      </c>
      <c r="P29" s="72">
        <f t="shared" si="1"/>
        <v>11.567200783862191</v>
      </c>
      <c r="Q29" s="73">
        <f t="shared" si="1"/>
        <v>13.004049894693051</v>
      </c>
      <c r="R29" s="16" t="s">
        <v>39</v>
      </c>
    </row>
    <row r="30" spans="1:42" s="64" customFormat="1" ht="15.95" customHeight="1" x14ac:dyDescent="0.25">
      <c r="A30" s="65" t="s">
        <v>24</v>
      </c>
      <c r="B30" s="71">
        <v>37.634959899854451</v>
      </c>
      <c r="C30" s="72">
        <v>40.205219972776568</v>
      </c>
      <c r="D30" s="72">
        <v>272.07476458745441</v>
      </c>
      <c r="E30" s="73">
        <v>154.17368154491629</v>
      </c>
      <c r="F30" s="71">
        <v>168.89672015290407</v>
      </c>
      <c r="G30" s="72">
        <v>181.74873861813018</v>
      </c>
      <c r="H30" s="72">
        <v>11.975583794414819</v>
      </c>
      <c r="I30" s="73">
        <v>19.558781477087155</v>
      </c>
      <c r="J30" s="71">
        <v>0.56967054592887556</v>
      </c>
      <c r="K30" s="72">
        <v>-1.8809939975146874</v>
      </c>
      <c r="L30" s="72">
        <v>-7.1882695445024112</v>
      </c>
      <c r="M30" s="73">
        <v>9.5788379669736509E-2</v>
      </c>
      <c r="N30" s="71">
        <f>(N20-J20)/J20*100</f>
        <v>23.336546399300953</v>
      </c>
      <c r="O30" s="72">
        <f t="shared" ref="O30:Q30" si="2">(O20-K20)/K20*100</f>
        <v>17.132593348264681</v>
      </c>
      <c r="P30" s="72">
        <f t="shared" si="2"/>
        <v>11.30141898954199</v>
      </c>
      <c r="Q30" s="73">
        <f t="shared" si="2"/>
        <v>-0.9351160563364731</v>
      </c>
      <c r="R30" s="16" t="s">
        <v>37</v>
      </c>
    </row>
    <row r="31" spans="1:42" s="64" customFormat="1" ht="8.1" customHeight="1" x14ac:dyDescent="0.25">
      <c r="A31" s="74" t="s">
        <v>35</v>
      </c>
      <c r="B31" s="51"/>
      <c r="C31" s="52"/>
      <c r="D31" s="52"/>
      <c r="E31" s="53"/>
      <c r="F31" s="51"/>
      <c r="G31" s="52"/>
      <c r="H31" s="52"/>
      <c r="I31" s="53"/>
      <c r="J31" s="51"/>
      <c r="K31" s="52"/>
      <c r="L31" s="52"/>
      <c r="M31" s="53"/>
      <c r="N31" s="51"/>
      <c r="O31" s="52"/>
      <c r="P31" s="52"/>
      <c r="Q31" s="53"/>
      <c r="R31" s="54" t="s">
        <v>35</v>
      </c>
    </row>
    <row r="32" spans="1:42" ht="8.1" customHeight="1" x14ac:dyDescent="0.25">
      <c r="A32" s="2" t="s">
        <v>35</v>
      </c>
      <c r="B32" s="55"/>
      <c r="C32" s="56"/>
      <c r="D32" s="56"/>
      <c r="E32" s="57"/>
      <c r="F32" s="55"/>
      <c r="G32" s="56"/>
      <c r="H32" s="56"/>
      <c r="I32" s="57"/>
      <c r="J32" s="55"/>
      <c r="K32" s="56"/>
      <c r="L32" s="56"/>
      <c r="M32" s="57"/>
      <c r="N32" s="55"/>
      <c r="O32" s="56"/>
      <c r="P32" s="56"/>
      <c r="Q32" s="57"/>
      <c r="R32" s="58" t="s">
        <v>35</v>
      </c>
    </row>
    <row r="33" spans="1:21" ht="15.95" customHeight="1" x14ac:dyDescent="0.25">
      <c r="A33" s="38" t="s">
        <v>13</v>
      </c>
      <c r="B33" s="48"/>
      <c r="C33" s="49"/>
      <c r="D33" s="49"/>
      <c r="E33" s="50"/>
      <c r="F33" s="48"/>
      <c r="G33" s="49"/>
      <c r="H33" s="49"/>
      <c r="I33" s="50"/>
      <c r="J33" s="48"/>
      <c r="K33" s="49"/>
      <c r="L33" s="49"/>
      <c r="M33" s="50"/>
      <c r="N33" s="48"/>
      <c r="O33" s="49"/>
      <c r="P33" s="49"/>
      <c r="Q33" s="50"/>
      <c r="R33" s="16" t="s">
        <v>49</v>
      </c>
    </row>
    <row r="34" spans="1:21" ht="15.95" customHeight="1" x14ac:dyDescent="0.25">
      <c r="A34" s="27" t="s">
        <v>54</v>
      </c>
      <c r="B34" s="30">
        <v>27178.996999999999</v>
      </c>
      <c r="C34" s="31">
        <v>26934.144</v>
      </c>
      <c r="D34" s="31">
        <v>26125.024000000001</v>
      </c>
      <c r="E34" s="32">
        <v>29944.826000000001</v>
      </c>
      <c r="F34" s="30">
        <v>32428.391</v>
      </c>
      <c r="G34" s="31">
        <v>33131.468999999997</v>
      </c>
      <c r="H34" s="31">
        <v>33157.697999999997</v>
      </c>
      <c r="I34" s="32">
        <v>38529.998</v>
      </c>
      <c r="J34" s="30">
        <v>41826.286000000007</v>
      </c>
      <c r="K34" s="31">
        <v>43546.877</v>
      </c>
      <c r="L34" s="31">
        <v>37061.917000000001</v>
      </c>
      <c r="M34" s="32">
        <v>40260.535000000003</v>
      </c>
      <c r="N34" s="30">
        <v>43143.493000000002</v>
      </c>
      <c r="O34" s="31">
        <v>41069.805</v>
      </c>
      <c r="P34" s="31">
        <v>39018.442999999999</v>
      </c>
      <c r="Q34" s="32">
        <v>40774.228999999999</v>
      </c>
      <c r="R34" s="16" t="s">
        <v>11</v>
      </c>
    </row>
    <row r="35" spans="1:21" ht="15.95" customHeight="1" x14ac:dyDescent="0.25">
      <c r="A35" s="28" t="s">
        <v>55</v>
      </c>
      <c r="B35" s="33">
        <v>12140.16</v>
      </c>
      <c r="C35" s="34">
        <v>13622.397000000001</v>
      </c>
      <c r="D35" s="34">
        <v>14579.876</v>
      </c>
      <c r="E35" s="35">
        <v>15607.651</v>
      </c>
      <c r="F35" s="33">
        <v>16139.522999999999</v>
      </c>
      <c r="G35" s="34">
        <v>17681.358</v>
      </c>
      <c r="H35" s="34">
        <v>18014.8</v>
      </c>
      <c r="I35" s="35">
        <v>19074.364000000001</v>
      </c>
      <c r="J35" s="33">
        <v>19148.628000000001</v>
      </c>
      <c r="K35" s="34">
        <v>19713.175000000003</v>
      </c>
      <c r="L35" s="34">
        <v>18289.59</v>
      </c>
      <c r="M35" s="35">
        <v>19212.552</v>
      </c>
      <c r="N35" s="33">
        <v>19113.177</v>
      </c>
      <c r="O35" s="34">
        <v>20110.248</v>
      </c>
      <c r="P35" s="34">
        <v>19597.550999999999</v>
      </c>
      <c r="Q35" s="35">
        <v>19879.807000000001</v>
      </c>
      <c r="R35" s="40" t="s">
        <v>59</v>
      </c>
    </row>
    <row r="36" spans="1:21" ht="15.95" customHeight="1" x14ac:dyDescent="0.25">
      <c r="A36" s="28" t="s">
        <v>56</v>
      </c>
      <c r="B36" s="33">
        <v>15038.837</v>
      </c>
      <c r="C36" s="34">
        <v>13311.746999999999</v>
      </c>
      <c r="D36" s="34">
        <v>11545.147999999999</v>
      </c>
      <c r="E36" s="35">
        <v>14337.174999999999</v>
      </c>
      <c r="F36" s="33">
        <v>16288.868</v>
      </c>
      <c r="G36" s="34">
        <v>15450.111000000001</v>
      </c>
      <c r="H36" s="34">
        <v>15142.897999999999</v>
      </c>
      <c r="I36" s="35">
        <v>19455.633999999998</v>
      </c>
      <c r="J36" s="33">
        <v>22677.658000000003</v>
      </c>
      <c r="K36" s="34">
        <v>23833.701999999997</v>
      </c>
      <c r="L36" s="34">
        <v>18772.327000000001</v>
      </c>
      <c r="M36" s="35">
        <v>21047.983</v>
      </c>
      <c r="N36" s="33">
        <v>24030.315999999999</v>
      </c>
      <c r="O36" s="34">
        <v>20959.557000000001</v>
      </c>
      <c r="P36" s="34">
        <v>19420.892</v>
      </c>
      <c r="Q36" s="35">
        <v>20894.421999999999</v>
      </c>
      <c r="R36" s="40" t="s">
        <v>60</v>
      </c>
    </row>
    <row r="37" spans="1:21" ht="15.95" customHeight="1" x14ac:dyDescent="0.25">
      <c r="A37" s="27" t="s">
        <v>57</v>
      </c>
      <c r="B37" s="30">
        <v>7204.3190000000004</v>
      </c>
      <c r="C37" s="31">
        <v>7692.1940000000004</v>
      </c>
      <c r="D37" s="31">
        <v>7662.9489999999996</v>
      </c>
      <c r="E37" s="32">
        <v>8045.1790000000001</v>
      </c>
      <c r="F37" s="30">
        <v>8740.1640000000007</v>
      </c>
      <c r="G37" s="31">
        <v>9100.6270000000004</v>
      </c>
      <c r="H37" s="31">
        <v>9997.6659999999993</v>
      </c>
      <c r="I37" s="32">
        <v>10423.012000000001</v>
      </c>
      <c r="J37" s="30">
        <v>10794.927</v>
      </c>
      <c r="K37" s="31">
        <v>11066.337</v>
      </c>
      <c r="L37" s="31">
        <v>11656.482</v>
      </c>
      <c r="M37" s="32">
        <v>11926.007000000001</v>
      </c>
      <c r="N37" s="30">
        <v>12025.679</v>
      </c>
      <c r="O37" s="31">
        <v>12640.272999999999</v>
      </c>
      <c r="P37" s="31">
        <v>13584.504000000001</v>
      </c>
      <c r="Q37" s="32">
        <v>14744.066999999999</v>
      </c>
      <c r="R37" s="16" t="s">
        <v>31</v>
      </c>
    </row>
    <row r="38" spans="1:21" ht="15.95" customHeight="1" x14ac:dyDescent="0.25">
      <c r="A38" s="28" t="s">
        <v>55</v>
      </c>
      <c r="B38" s="33">
        <v>2449.828</v>
      </c>
      <c r="C38" s="34">
        <v>2793.5320000000002</v>
      </c>
      <c r="D38" s="34">
        <v>3000.241</v>
      </c>
      <c r="E38" s="35">
        <v>3449.2440000000001</v>
      </c>
      <c r="F38" s="33">
        <v>4066.857</v>
      </c>
      <c r="G38" s="34">
        <v>4352.4070000000002</v>
      </c>
      <c r="H38" s="34">
        <v>5086.8879999999999</v>
      </c>
      <c r="I38" s="35">
        <v>5610.4940000000006</v>
      </c>
      <c r="J38" s="33">
        <v>6024.9340000000002</v>
      </c>
      <c r="K38" s="34">
        <v>6265.2189999999991</v>
      </c>
      <c r="L38" s="34">
        <v>6181.2159999999994</v>
      </c>
      <c r="M38" s="35">
        <v>6463.8490000000002</v>
      </c>
      <c r="N38" s="33">
        <v>6912.64</v>
      </c>
      <c r="O38" s="34">
        <v>7258.3109999999997</v>
      </c>
      <c r="P38" s="34">
        <v>7632.7020000000002</v>
      </c>
      <c r="Q38" s="35">
        <v>7911.7309999999998</v>
      </c>
      <c r="R38" s="40" t="s">
        <v>59</v>
      </c>
    </row>
    <row r="39" spans="1:21" ht="15.95" customHeight="1" x14ac:dyDescent="0.25">
      <c r="A39" s="28" t="s">
        <v>56</v>
      </c>
      <c r="B39" s="33">
        <v>4754.491</v>
      </c>
      <c r="C39" s="34">
        <v>4898.6620000000003</v>
      </c>
      <c r="D39" s="34">
        <v>4662.7079999999996</v>
      </c>
      <c r="E39" s="35">
        <v>4595.9350000000004</v>
      </c>
      <c r="F39" s="33">
        <v>4673.3069999999998</v>
      </c>
      <c r="G39" s="34">
        <v>4748.22</v>
      </c>
      <c r="H39" s="34">
        <v>4910.7780000000002</v>
      </c>
      <c r="I39" s="35">
        <v>4812.518</v>
      </c>
      <c r="J39" s="33">
        <v>4769.9930000000004</v>
      </c>
      <c r="K39" s="34">
        <v>4801.1179999999995</v>
      </c>
      <c r="L39" s="34">
        <v>5475.2659999999996</v>
      </c>
      <c r="M39" s="35">
        <v>5462.1580000000004</v>
      </c>
      <c r="N39" s="33">
        <v>5113.0389999999998</v>
      </c>
      <c r="O39" s="34">
        <v>5381.9620000000004</v>
      </c>
      <c r="P39" s="34">
        <v>5951.8019999999997</v>
      </c>
      <c r="Q39" s="35">
        <v>6832.3360000000002</v>
      </c>
      <c r="R39" s="40" t="s">
        <v>60</v>
      </c>
    </row>
    <row r="40" spans="1:21" ht="8.1" customHeight="1" x14ac:dyDescent="0.35">
      <c r="A40" s="25" t="s">
        <v>35</v>
      </c>
      <c r="B40" s="17"/>
      <c r="C40" s="18"/>
      <c r="D40" s="18"/>
      <c r="E40" s="19"/>
      <c r="F40" s="17"/>
      <c r="G40" s="18"/>
      <c r="H40" s="18"/>
      <c r="I40" s="19"/>
      <c r="J40" s="17"/>
      <c r="K40" s="18"/>
      <c r="L40" s="18"/>
      <c r="M40" s="19"/>
      <c r="N40" s="17"/>
      <c r="O40" s="18"/>
      <c r="P40" s="18"/>
      <c r="Q40" s="19"/>
      <c r="R40" s="59" t="s">
        <v>35</v>
      </c>
    </row>
    <row r="41" spans="1:21" ht="8.1" customHeight="1" x14ac:dyDescent="0.35">
      <c r="A41" s="2" t="s">
        <v>35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60" t="s">
        <v>35</v>
      </c>
    </row>
    <row r="42" spans="1:21" ht="15.95" customHeight="1" x14ac:dyDescent="0.25">
      <c r="A42" s="20" t="s">
        <v>34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1" t="s">
        <v>33</v>
      </c>
    </row>
    <row r="43" spans="1:21" s="62" customFormat="1" ht="15.95" customHeight="1" x14ac:dyDescent="0.25">
      <c r="A43" s="22" t="s">
        <v>62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26" t="s">
        <v>63</v>
      </c>
      <c r="S43" s="2"/>
    </row>
    <row r="44" spans="1:21" ht="18" customHeight="1" x14ac:dyDescent="0.25">
      <c r="A44" s="22" t="s">
        <v>64</v>
      </c>
      <c r="R44" s="36" t="s">
        <v>35</v>
      </c>
      <c r="T44" s="63"/>
      <c r="U44" s="63"/>
    </row>
    <row r="45" spans="1:21" ht="15.95" customHeight="1" x14ac:dyDescent="0.25">
      <c r="A45" s="22" t="s">
        <v>14</v>
      </c>
      <c r="R45" s="23" t="s">
        <v>41</v>
      </c>
    </row>
    <row r="46" spans="1:21" ht="15.95" customHeight="1" x14ac:dyDescent="0.25">
      <c r="R46" s="23"/>
    </row>
  </sheetData>
  <mergeCells count="9">
    <mergeCell ref="A1:R1"/>
    <mergeCell ref="A2:R2"/>
    <mergeCell ref="A3:R3"/>
    <mergeCell ref="R6:R8"/>
    <mergeCell ref="B6:E6"/>
    <mergeCell ref="F6:I6"/>
    <mergeCell ref="J6:M6"/>
    <mergeCell ref="A4:R4"/>
    <mergeCell ref="N6:Q6"/>
  </mergeCells>
  <pageMargins left="0.52" right="0.3" top="0.42" bottom="0.56999999999999995" header="0.3" footer="0.3"/>
  <pageSetup paperSize="9" scale="49" fitToHeight="0" orientation="landscape" horizontalDpi="4294967295" verticalDpi="4294967295" r:id="rId1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14.7</vt:lpstr>
      <vt:lpstr>Sheet2</vt:lpstr>
      <vt:lpstr>'14.7'!Print_Area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2024-10-22T16:02:28Z</cp:lastPrinted>
  <dcterms:created xsi:type="dcterms:W3CDTF">2013-04-01T04:26:10Z</dcterms:created>
  <dcterms:modified xsi:type="dcterms:W3CDTF">2024-10-22T16:02:33Z</dcterms:modified>
</cp:coreProperties>
</file>