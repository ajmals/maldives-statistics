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901"/>
  </bookViews>
  <sheets>
    <sheet name="7.15" sheetId="19" r:id="rId1"/>
  </sheets>
  <definedNames>
    <definedName name="_xlnm.Print_Area" localSheetId="0">'7.15'!$A$1:$AD$56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71" i="19" l="1"/>
  <c r="BI71" i="19"/>
  <c r="BH52" i="19"/>
  <c r="BI52" i="19"/>
  <c r="BH53" i="19"/>
  <c r="BI53" i="19"/>
  <c r="BH54" i="19"/>
  <c r="BI54" i="19"/>
  <c r="BH55" i="19"/>
  <c r="BI55" i="19"/>
  <c r="BH56" i="19"/>
  <c r="BI56" i="19"/>
  <c r="BH57" i="19"/>
  <c r="BI57" i="19"/>
  <c r="BH58" i="19"/>
  <c r="BI58" i="19"/>
  <c r="BH59" i="19"/>
  <c r="BI59" i="19"/>
  <c r="BH60" i="19"/>
  <c r="BI60" i="19"/>
  <c r="BH61" i="19"/>
  <c r="BI61" i="19"/>
  <c r="BH62" i="19"/>
  <c r="BI62" i="19"/>
  <c r="BH63" i="19"/>
  <c r="BI63" i="19"/>
  <c r="BH64" i="19"/>
  <c r="BI64" i="19"/>
  <c r="BH65" i="19"/>
  <c r="BI65" i="19"/>
  <c r="BH66" i="19"/>
  <c r="BI66" i="19"/>
  <c r="BH67" i="19"/>
  <c r="BI67" i="19"/>
  <c r="BH68" i="19"/>
  <c r="BI68" i="19"/>
  <c r="BH69" i="19"/>
  <c r="BI69" i="19"/>
  <c r="BH70" i="19"/>
  <c r="BI70" i="19"/>
  <c r="BI51" i="19"/>
  <c r="BH51" i="19"/>
  <c r="AB30" i="19" l="1"/>
  <c r="AA30" i="19"/>
  <c r="Z30" i="19"/>
  <c r="S30" i="19"/>
  <c r="R30" i="19"/>
  <c r="Q30" i="19"/>
  <c r="H30" i="19"/>
  <c r="AB29" i="19"/>
  <c r="AA29" i="19"/>
  <c r="Z29" i="19"/>
  <c r="S29" i="19"/>
  <c r="R29" i="19"/>
  <c r="Q29" i="19"/>
  <c r="H29" i="19"/>
  <c r="AB28" i="19"/>
  <c r="AA28" i="19"/>
  <c r="Z28" i="19"/>
  <c r="S28" i="19"/>
  <c r="R28" i="19"/>
  <c r="Q28" i="19"/>
  <c r="H28" i="19"/>
  <c r="AB27" i="19"/>
  <c r="AA27" i="19"/>
  <c r="Z27" i="19"/>
  <c r="S27" i="19"/>
  <c r="R27" i="19"/>
  <c r="Q27" i="19"/>
  <c r="H27" i="19"/>
  <c r="AB26" i="19"/>
  <c r="AA26" i="19"/>
  <c r="Z26" i="19"/>
  <c r="S26" i="19"/>
  <c r="R26" i="19"/>
  <c r="Q26" i="19"/>
  <c r="H26" i="19"/>
  <c r="AB25" i="19"/>
  <c r="AA25" i="19"/>
  <c r="Z25" i="19"/>
  <c r="S25" i="19"/>
  <c r="R25" i="19"/>
  <c r="Q25" i="19"/>
  <c r="H25" i="19"/>
  <c r="AB24" i="19"/>
  <c r="AA24" i="19"/>
  <c r="Z24" i="19"/>
  <c r="S24" i="19"/>
  <c r="R24" i="19"/>
  <c r="Q24" i="19"/>
  <c r="H24" i="19"/>
  <c r="AB23" i="19"/>
  <c r="AA23" i="19"/>
  <c r="Z23" i="19"/>
  <c r="S23" i="19"/>
  <c r="R23" i="19"/>
  <c r="Q23" i="19"/>
  <c r="H23" i="19"/>
  <c r="AB22" i="19"/>
  <c r="AA22" i="19"/>
  <c r="Z22" i="19"/>
  <c r="S22" i="19"/>
  <c r="R22" i="19"/>
  <c r="Q22" i="19"/>
  <c r="H22" i="19"/>
  <c r="AB21" i="19"/>
  <c r="AA21" i="19"/>
  <c r="Z21" i="19"/>
  <c r="S21" i="19"/>
  <c r="R21" i="19"/>
  <c r="Q21" i="19"/>
  <c r="H21" i="19"/>
  <c r="AB20" i="19"/>
  <c r="AA20" i="19"/>
  <c r="Z20" i="19"/>
  <c r="S20" i="19"/>
  <c r="R20" i="19"/>
  <c r="Q20" i="19"/>
  <c r="H20" i="19"/>
  <c r="AB19" i="19"/>
  <c r="AA19" i="19"/>
  <c r="Z19" i="19"/>
  <c r="S19" i="19"/>
  <c r="R19" i="19"/>
  <c r="Q19" i="19"/>
  <c r="H19" i="19"/>
  <c r="AB18" i="19"/>
  <c r="AA18" i="19"/>
  <c r="Z18" i="19"/>
  <c r="S18" i="19"/>
  <c r="R18" i="19"/>
  <c r="Q18" i="19"/>
  <c r="H18" i="19"/>
  <c r="AB17" i="19"/>
  <c r="AA17" i="19"/>
  <c r="Z17" i="19"/>
  <c r="S17" i="19"/>
  <c r="R17" i="19"/>
  <c r="Q17" i="19"/>
  <c r="H17" i="19"/>
  <c r="AB16" i="19"/>
  <c r="AA16" i="19"/>
  <c r="Z16" i="19"/>
  <c r="S16" i="19"/>
  <c r="R16" i="19"/>
  <c r="Q16" i="19"/>
  <c r="H16" i="19"/>
  <c r="AB15" i="19"/>
  <c r="AA15" i="19"/>
  <c r="Z15" i="19"/>
  <c r="S15" i="19"/>
  <c r="R15" i="19"/>
  <c r="Q15" i="19"/>
  <c r="H15" i="19"/>
  <c r="AB14" i="19"/>
  <c r="AA14" i="19"/>
  <c r="Z14" i="19"/>
  <c r="S14" i="19"/>
  <c r="R14" i="19"/>
  <c r="Q14" i="19"/>
  <c r="H14" i="19"/>
  <c r="AB13" i="19"/>
  <c r="AA13" i="19"/>
  <c r="Z13" i="19"/>
  <c r="S13" i="19"/>
  <c r="R13" i="19"/>
  <c r="Q13" i="19"/>
  <c r="H13" i="19"/>
  <c r="AB12" i="19"/>
  <c r="AA12" i="19"/>
  <c r="Z12" i="19"/>
  <c r="S12" i="19"/>
  <c r="R12" i="19"/>
  <c r="Q12" i="19"/>
  <c r="H12" i="19"/>
  <c r="AB11" i="19"/>
  <c r="AA11" i="19"/>
  <c r="Z11" i="19"/>
  <c r="S11" i="19"/>
  <c r="R11" i="19"/>
  <c r="Q11" i="19"/>
  <c r="H11" i="19"/>
  <c r="AB10" i="19"/>
  <c r="AA10" i="19"/>
  <c r="Z10" i="19"/>
  <c r="M10" i="19"/>
  <c r="M8" i="19" s="1"/>
  <c r="S8" i="19" s="1"/>
  <c r="L10" i="19"/>
  <c r="R10" i="19" s="1"/>
  <c r="K10" i="19"/>
  <c r="Q10" i="19" s="1"/>
  <c r="E10" i="19"/>
  <c r="E8" i="19" s="1"/>
  <c r="B10" i="19"/>
  <c r="B8" i="19" s="1"/>
  <c r="AB9" i="19"/>
  <c r="AA9" i="19"/>
  <c r="Z9" i="19"/>
  <c r="S9" i="19"/>
  <c r="R9" i="19"/>
  <c r="Q9" i="19"/>
  <c r="H9" i="19"/>
  <c r="AB8" i="19"/>
  <c r="AA8" i="19"/>
  <c r="Z8" i="19"/>
  <c r="H8" i="19" l="1"/>
  <c r="K8" i="19"/>
  <c r="Q8" i="19" s="1"/>
  <c r="S10" i="19"/>
  <c r="H10" i="19"/>
  <c r="L8" i="19"/>
  <c r="R8" i="19" s="1"/>
</calcChain>
</file>

<file path=xl/sharedStrings.xml><?xml version="1.0" encoding="utf-8"?>
<sst xmlns="http://schemas.openxmlformats.org/spreadsheetml/2006/main" count="142" uniqueCount="69">
  <si>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</si>
  <si>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</si>
  <si>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</si>
  <si>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</si>
  <si>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</si>
  <si>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</si>
  <si>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</si>
  <si>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</si>
  <si>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</si>
  <si>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</si>
  <si>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</si>
  <si>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</si>
  <si>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</si>
  <si>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</si>
  <si>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</si>
  <si>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</si>
  <si>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</si>
  <si>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</si>
  <si>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</si>
  <si>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</si>
  <si>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</si>
  <si>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</si>
  <si>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</si>
  <si>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</si>
  <si>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</si>
  <si>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</si>
  <si>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</si>
  <si>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Both sex</t>
  </si>
  <si>
    <t>Region</t>
  </si>
  <si>
    <t>ސަރަހައްދު</t>
  </si>
  <si>
    <t>ދިވެހިރާއްޖެ</t>
  </si>
  <si>
    <t>މާލެ</t>
  </si>
  <si>
    <t>އަތޮޅުތައް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</si>
  <si>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</si>
  <si>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</si>
  <si>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</si>
  <si>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</si>
  <si>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</si>
  <si>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</si>
  <si>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</si>
  <si>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</si>
  <si>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</si>
  <si>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</si>
  <si>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</si>
  <si>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</si>
  <si>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</si>
  <si>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</si>
  <si>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</si>
  <si>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</si>
  <si>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</si>
  <si>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</si>
  <si>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</si>
  <si>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</si>
  <si>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Note: 1. Here "Passed" means five or more subjects passed.</t>
  </si>
  <si>
    <t xml:space="preserve">          2. Passed grades are A, B and C</t>
  </si>
  <si>
    <t xml:space="preserve">          3. Candidates: school candidates only</t>
  </si>
  <si>
    <t>ތާވަލް 7.15: ޖީ. ސީ. އޯ ލެވެލް އިމްތިހާނުގައި ބައިވެރިވި ދަރިވަރުންގެ ޢަދަދާއި ފާސްވި ދަރިވަރުންގެ ޢަދަދު އަދި ޖިންސް، 2018 - 2019</t>
  </si>
  <si>
    <t>Table 7.15: Number of students sat and passed in the O'level examination by Atolls and sex, 2018- 2019</t>
  </si>
  <si>
    <t>Candidates ބައިވެރިވި</t>
  </si>
  <si>
    <t xml:space="preserve">Passed ފާސްވި </t>
  </si>
  <si>
    <t xml:space="preserve">% passed ފާސްވި % </t>
  </si>
  <si>
    <t>Number Candidates</t>
  </si>
  <si>
    <t>Number Passed</t>
  </si>
  <si>
    <t>candidates</t>
  </si>
  <si>
    <t>passed</t>
  </si>
  <si>
    <t>Due to Covid 19 pandemic no exams where held during 2020</t>
  </si>
  <si>
    <r>
      <t xml:space="preserve">Candidates </t>
    </r>
    <r>
      <rPr>
        <b/>
        <sz val="10"/>
        <color theme="1"/>
        <rFont val="Faruma"/>
      </rPr>
      <t>ބައިވެރިވި</t>
    </r>
  </si>
  <si>
    <r>
      <t xml:space="preserve">Passed </t>
    </r>
    <r>
      <rPr>
        <b/>
        <sz val="10"/>
        <color theme="1"/>
        <rFont val="Faruma"/>
      </rPr>
      <t xml:space="preserve">ފާސްވި </t>
    </r>
  </si>
  <si>
    <r>
      <t xml:space="preserve">% passed </t>
    </r>
    <r>
      <rPr>
        <b/>
        <sz val="10"/>
        <color theme="1"/>
        <rFont val="Faruma"/>
      </rPr>
      <t xml:space="preserve">ފާސްވި %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</si>
</sst>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name val="MS Sans Serif"/>
      <family val="2"/>
    </font>
    <font>
      <b/>
      <sz val="9"/>
      <color theme="1"/>
      <name val="Faruma"/>
      <family val="3"/>
    </font>
    <font>
      <i/>
      <sz val="9"/>
      <color theme="1"/>
      <name val="Faruma"/>
      <family val="3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Farum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/>
      <top style="hair">
        <color theme="1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 style="hair">
        <color indexed="64"/>
      </bottom>
      <diagonal/>
    </border>
    <border>
      <left/>
      <right style="hair">
        <color theme="1"/>
      </right>
      <top style="hair">
        <color theme="1"/>
      </top>
      <bottom style="hair">
        <color indexed="64"/>
      </bottom>
      <diagonal/>
    </border>
    <border>
      <left/>
      <right style="thin">
        <color indexed="64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/>
      <top/>
      <bottom style="thin">
        <color auto="1"/>
      </bottom>
      <diagonal/>
    </border>
    <border>
      <left/>
      <right style="hair">
        <color theme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4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108">
    <xf numFmtId="0" fontId="0" fillId="0" borderId="0" xfId="0"/>
    <xf numFmtId="0" fontId="0" fillId="2" borderId="0" xfId="0" applyFill="1"/>
    <xf numFmtId="0" fontId="0" fillId="2" borderId="0" xfId="0" applyFont="1" applyFill="1" applyBorder="1"/>
    <xf numFmtId="0" fontId="0" fillId="2" borderId="0" xfId="0" applyFont="1" applyFill="1"/>
    <xf numFmtId="0" fontId="0" fillId="2" borderId="12" xfId="0" applyNumberFormat="1" applyFill="1" applyBorder="1"/>
    <xf numFmtId="0" fontId="0" fillId="2" borderId="13" xfId="0" applyNumberFormat="1" applyFill="1" applyBorder="1"/>
    <xf numFmtId="0" fontId="11" fillId="2" borderId="13" xfId="0" applyNumberFormat="1" applyFont="1" applyFill="1" applyBorder="1"/>
    <xf numFmtId="0" fontId="0" fillId="2" borderId="14" xfId="0" applyNumberFormat="1" applyFill="1" applyBorder="1"/>
    <xf numFmtId="0" fontId="0" fillId="2" borderId="15" xfId="0" applyNumberFormat="1" applyFill="1" applyBorder="1"/>
    <xf numFmtId="38" fontId="3" fillId="2" borderId="21" xfId="9" applyNumberFormat="1" applyFont="1" applyFill="1" applyBorder="1" applyAlignment="1">
      <alignment horizontal="right" vertical="center"/>
    </xf>
    <xf numFmtId="38" fontId="5" fillId="2" borderId="21" xfId="9" applyNumberFormat="1" applyFont="1" applyFill="1" applyBorder="1" applyAlignment="1">
      <alignment horizontal="right" vertical="center"/>
    </xf>
    <xf numFmtId="38" fontId="5" fillId="2" borderId="20" xfId="9" applyNumberFormat="1" applyFont="1" applyFill="1" applyBorder="1" applyAlignment="1">
      <alignment horizontal="right" vertical="center"/>
    </xf>
    <xf numFmtId="164" fontId="8" fillId="2" borderId="0" xfId="10" applyNumberFormat="1" applyFont="1" applyFill="1" applyAlignment="1">
      <alignment horizontal="left" vertical="center"/>
    </xf>
    <xf numFmtId="0" fontId="7" fillId="2" borderId="0" xfId="0" applyNumberFormat="1" applyFont="1" applyFill="1" applyBorder="1"/>
    <xf numFmtId="0" fontId="16" fillId="2" borderId="15" xfId="0" applyNumberFormat="1" applyFont="1" applyFill="1" applyBorder="1"/>
    <xf numFmtId="0" fontId="7" fillId="2" borderId="15" xfId="0" applyNumberFormat="1" applyFont="1" applyFill="1" applyBorder="1"/>
    <xf numFmtId="0" fontId="16" fillId="2" borderId="17" xfId="0" applyNumberFormat="1" applyFont="1" applyFill="1" applyBorder="1"/>
    <xf numFmtId="0" fontId="7" fillId="2" borderId="0" xfId="0" applyNumberFormat="1" applyFont="1" applyFill="1" applyBorder="1" applyAlignment="1"/>
    <xf numFmtId="0" fontId="16" fillId="2" borderId="0" xfId="0" applyNumberFormat="1" applyFont="1" applyFill="1" applyBorder="1" applyAlignment="1"/>
    <xf numFmtId="0" fontId="0" fillId="2" borderId="0" xfId="0" applyFill="1" applyAlignment="1"/>
    <xf numFmtId="0" fontId="0" fillId="2" borderId="0" xfId="0" applyNumberFormat="1" applyFill="1" applyBorder="1"/>
    <xf numFmtId="0" fontId="0" fillId="2" borderId="0" xfId="0" applyFill="1" applyBorder="1"/>
    <xf numFmtId="0" fontId="10" fillId="2" borderId="1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38" fontId="3" fillId="2" borderId="14" xfId="9" applyNumberFormat="1" applyFont="1" applyFill="1" applyBorder="1" applyAlignment="1">
      <alignment horizontal="right" vertical="center"/>
    </xf>
    <xf numFmtId="38" fontId="3" fillId="2" borderId="13" xfId="9" applyNumberFormat="1" applyFont="1" applyFill="1" applyBorder="1" applyAlignment="1">
      <alignment horizontal="right" vertical="center"/>
    </xf>
    <xf numFmtId="38" fontId="5" fillId="2" borderId="13" xfId="9" applyNumberFormat="1" applyFont="1" applyFill="1" applyBorder="1" applyAlignment="1">
      <alignment horizontal="right" vertical="center"/>
    </xf>
    <xf numFmtId="38" fontId="5" fillId="2" borderId="10" xfId="9" applyNumberFormat="1" applyFont="1" applyFill="1" applyBorder="1" applyAlignment="1">
      <alignment horizontal="right" vertical="center"/>
    </xf>
    <xf numFmtId="0" fontId="16" fillId="2" borderId="0" xfId="0" applyNumberFormat="1" applyFont="1" applyFill="1" applyBorder="1"/>
    <xf numFmtId="38" fontId="3" fillId="2" borderId="0" xfId="9" applyNumberFormat="1" applyFont="1" applyFill="1" applyBorder="1" applyAlignment="1">
      <alignment horizontal="right" vertical="center"/>
    </xf>
    <xf numFmtId="38" fontId="5" fillId="2" borderId="0" xfId="9" applyNumberFormat="1" applyFont="1" applyFill="1" applyBorder="1" applyAlignment="1">
      <alignment horizontal="right" vertical="center"/>
    </xf>
    <xf numFmtId="38" fontId="3" fillId="2" borderId="32" xfId="9" applyNumberFormat="1" applyFont="1" applyFill="1" applyBorder="1" applyAlignment="1">
      <alignment horizontal="right" vertical="center"/>
    </xf>
    <xf numFmtId="38" fontId="5" fillId="2" borderId="14" xfId="9" applyNumberFormat="1" applyFont="1" applyFill="1" applyBorder="1" applyAlignment="1">
      <alignment horizontal="right" vertical="center"/>
    </xf>
    <xf numFmtId="38" fontId="5" fillId="2" borderId="32" xfId="9" applyNumberFormat="1" applyFont="1" applyFill="1" applyBorder="1" applyAlignment="1">
      <alignment horizontal="right" vertical="center"/>
    </xf>
    <xf numFmtId="38" fontId="5" fillId="2" borderId="22" xfId="9" applyNumberFormat="1" applyFont="1" applyFill="1" applyBorder="1" applyAlignment="1">
      <alignment horizontal="right" vertical="center"/>
    </xf>
    <xf numFmtId="0" fontId="0" fillId="2" borderId="1" xfId="0" applyFill="1" applyBorder="1"/>
    <xf numFmtId="38" fontId="5" fillId="2" borderId="33" xfId="9" applyNumberFormat="1" applyFont="1" applyFill="1" applyBorder="1" applyAlignment="1">
      <alignment horizontal="right" vertical="center"/>
    </xf>
    <xf numFmtId="0" fontId="11" fillId="2" borderId="14" xfId="0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/>
    <xf numFmtId="38" fontId="3" fillId="2" borderId="7" xfId="9" applyNumberFormat="1" applyFont="1" applyFill="1" applyBorder="1" applyAlignment="1">
      <alignment horizontal="right" vertical="center"/>
    </xf>
    <xf numFmtId="38" fontId="3" fillId="2" borderId="2" xfId="9" applyNumberFormat="1" applyFont="1" applyFill="1" applyBorder="1" applyAlignment="1">
      <alignment horizontal="right" vertical="center"/>
    </xf>
    <xf numFmtId="38" fontId="3" fillId="2" borderId="8" xfId="9" applyNumberFormat="1" applyFont="1" applyFill="1" applyBorder="1" applyAlignment="1">
      <alignment horizontal="right" vertical="center"/>
    </xf>
    <xf numFmtId="38" fontId="3" fillId="2" borderId="5" xfId="9" applyNumberFormat="1" applyFont="1" applyFill="1" applyBorder="1" applyAlignment="1">
      <alignment horizontal="right" vertical="center"/>
    </xf>
    <xf numFmtId="38" fontId="3" fillId="2" borderId="3" xfId="9" applyNumberFormat="1" applyFont="1" applyFill="1" applyBorder="1" applyAlignment="1">
      <alignment horizontal="right" vertical="center"/>
    </xf>
    <xf numFmtId="38" fontId="3" fillId="2" borderId="31" xfId="9" applyNumberFormat="1" applyFont="1" applyFill="1" applyBorder="1" applyAlignment="1">
      <alignment horizontal="right" vertical="center"/>
    </xf>
    <xf numFmtId="38" fontId="3" fillId="2" borderId="9" xfId="9" applyNumberFormat="1" applyFont="1" applyFill="1" applyBorder="1" applyAlignment="1">
      <alignment horizontal="right" vertical="center"/>
    </xf>
    <xf numFmtId="38" fontId="3" fillId="2" borderId="15" xfId="9" applyNumberFormat="1" applyFont="1" applyFill="1" applyBorder="1" applyAlignment="1">
      <alignment horizontal="left" vertical="center"/>
    </xf>
    <xf numFmtId="38" fontId="5" fillId="2" borderId="5" xfId="9" applyNumberFormat="1" applyFont="1" applyFill="1" applyBorder="1" applyAlignment="1">
      <alignment horizontal="right" vertical="center"/>
    </xf>
    <xf numFmtId="38" fontId="5" fillId="2" borderId="3" xfId="9" applyNumberFormat="1" applyFont="1" applyFill="1" applyBorder="1" applyAlignment="1">
      <alignment horizontal="right" vertical="center"/>
    </xf>
    <xf numFmtId="38" fontId="5" fillId="2" borderId="9" xfId="9" applyNumberFormat="1" applyFont="1" applyFill="1" applyBorder="1" applyAlignment="1">
      <alignment horizontal="right" vertical="center"/>
    </xf>
    <xf numFmtId="38" fontId="5" fillId="2" borderId="1" xfId="9" applyNumberFormat="1" applyFont="1" applyFill="1" applyBorder="1" applyAlignment="1">
      <alignment horizontal="right" vertical="center"/>
    </xf>
    <xf numFmtId="38" fontId="5" fillId="2" borderId="6" xfId="9" applyNumberFormat="1" applyFont="1" applyFill="1" applyBorder="1" applyAlignment="1">
      <alignment horizontal="right" vertical="center"/>
    </xf>
    <xf numFmtId="38" fontId="5" fillId="2" borderId="4" xfId="9" applyNumberFormat="1" applyFont="1" applyFill="1" applyBorder="1" applyAlignment="1">
      <alignment horizontal="right" vertical="center"/>
    </xf>
    <xf numFmtId="38" fontId="5" fillId="2" borderId="11" xfId="9" applyNumberFormat="1" applyFont="1" applyFill="1" applyBorder="1" applyAlignment="1">
      <alignment horizontal="right" vertical="center"/>
    </xf>
    <xf numFmtId="38" fontId="5" fillId="2" borderId="15" xfId="9" applyNumberFormat="1" applyFont="1" applyFill="1" applyBorder="1" applyAlignment="1">
      <alignment horizontal="left" vertical="center" indent="1"/>
    </xf>
    <xf numFmtId="0" fontId="6" fillId="2" borderId="15" xfId="0" applyNumberFormat="1" applyFont="1" applyFill="1" applyBorder="1" applyAlignment="1">
      <alignment horizontal="left" vertical="center" indent="1"/>
    </xf>
    <xf numFmtId="38" fontId="5" fillId="2" borderId="19" xfId="9" applyNumberFormat="1" applyFont="1" applyFill="1" applyBorder="1" applyAlignment="1">
      <alignment horizontal="left" vertical="center" indent="1"/>
    </xf>
    <xf numFmtId="0" fontId="11" fillId="2" borderId="14" xfId="0" applyNumberFormat="1" applyFont="1" applyFill="1" applyBorder="1" applyAlignment="1">
      <alignment horizontal="right" vertical="center" indent="1"/>
    </xf>
    <xf numFmtId="0" fontId="15" fillId="2" borderId="14" xfId="0" applyNumberFormat="1" applyFont="1" applyFill="1" applyBorder="1" applyAlignment="1">
      <alignment horizontal="right" vertical="center" indent="1"/>
    </xf>
    <xf numFmtId="0" fontId="11" fillId="2" borderId="22" xfId="0" applyNumberFormat="1" applyFont="1" applyFill="1" applyBorder="1" applyAlignment="1">
      <alignment horizontal="right" vertical="center" indent="1"/>
    </xf>
    <xf numFmtId="164" fontId="20" fillId="2" borderId="0" xfId="0" applyNumberFormat="1" applyFont="1" applyFill="1" applyBorder="1" applyAlignment="1">
      <alignment horizontal="right" vertical="center"/>
    </xf>
    <xf numFmtId="0" fontId="12" fillId="2" borderId="18" xfId="0" applyNumberFormat="1" applyFont="1" applyFill="1" applyBorder="1" applyAlignment="1">
      <alignment horizontal="right" vertical="center"/>
    </xf>
    <xf numFmtId="0" fontId="12" fillId="2" borderId="12" xfId="0" applyNumberFormat="1" applyFont="1" applyFill="1" applyBorder="1" applyAlignment="1">
      <alignment horizontal="right" vertical="center"/>
    </xf>
    <xf numFmtId="0" fontId="12" fillId="2" borderId="35" xfId="0" applyNumberFormat="1" applyFont="1" applyFill="1" applyBorder="1" applyAlignment="1">
      <alignment horizontal="right" vertical="center"/>
    </xf>
    <xf numFmtId="0" fontId="11" fillId="2" borderId="12" xfId="0" applyNumberFormat="1" applyFont="1" applyFill="1" applyBorder="1" applyAlignment="1">
      <alignment horizontal="right" vertical="center"/>
    </xf>
    <xf numFmtId="0" fontId="11" fillId="2" borderId="35" xfId="0" applyNumberFormat="1" applyFont="1" applyFill="1" applyBorder="1" applyAlignment="1">
      <alignment horizontal="right" vertical="center"/>
    </xf>
    <xf numFmtId="0" fontId="7" fillId="2" borderId="12" xfId="0" applyNumberFormat="1" applyFont="1" applyFill="1" applyBorder="1"/>
    <xf numFmtId="0" fontId="12" fillId="2" borderId="0" xfId="0" applyNumberFormat="1" applyFont="1" applyFill="1" applyBorder="1" applyAlignment="1">
      <alignment horizontal="right" vertical="center"/>
    </xf>
    <xf numFmtId="0" fontId="11" fillId="2" borderId="0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right" vertical="center"/>
    </xf>
    <xf numFmtId="0" fontId="0" fillId="2" borderId="0" xfId="0" applyNumberFormat="1" applyFill="1" applyBorder="1" applyAlignment="1">
      <alignment horizontal="right" vertical="center"/>
    </xf>
    <xf numFmtId="0" fontId="17" fillId="2" borderId="0" xfId="0" applyNumberFormat="1" applyFont="1" applyFill="1" applyBorder="1"/>
    <xf numFmtId="0" fontId="17" fillId="2" borderId="0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vertical="center"/>
    </xf>
    <xf numFmtId="0" fontId="0" fillId="2" borderId="0" xfId="0" applyFill="1" applyBorder="1" applyAlignment="1"/>
    <xf numFmtId="2" fontId="0" fillId="2" borderId="0" xfId="0" applyNumberFormat="1" applyFill="1" applyBorder="1"/>
    <xf numFmtId="0" fontId="18" fillId="2" borderId="0" xfId="0" applyNumberFormat="1" applyFont="1" applyFill="1" applyBorder="1" applyAlignment="1">
      <alignment horizontal="left" indent="1"/>
    </xf>
    <xf numFmtId="1" fontId="0" fillId="2" borderId="0" xfId="0" applyNumberFormat="1" applyFill="1" applyBorder="1"/>
    <xf numFmtId="38" fontId="11" fillId="2" borderId="0" xfId="0" applyNumberFormat="1" applyFont="1" applyFill="1" applyBorder="1"/>
    <xf numFmtId="38" fontId="0" fillId="2" borderId="0" xfId="0" applyNumberFormat="1" applyFill="1" applyBorder="1"/>
    <xf numFmtId="0" fontId="10" fillId="2" borderId="0" xfId="0" applyFont="1" applyFill="1" applyBorder="1" applyAlignment="1">
      <alignment horizontal="center" vertical="center"/>
    </xf>
    <xf numFmtId="38" fontId="3" fillId="2" borderId="0" xfId="9" applyNumberFormat="1" applyFont="1" applyFill="1" applyBorder="1" applyAlignment="1">
      <alignment horizontal="left" vertical="center"/>
    </xf>
    <xf numFmtId="38" fontId="5" fillId="2" borderId="0" xfId="9" applyNumberFormat="1" applyFont="1" applyFill="1" applyBorder="1" applyAlignment="1">
      <alignment horizontal="left" vertical="center" indent="1"/>
    </xf>
    <xf numFmtId="0" fontId="6" fillId="2" borderId="0" xfId="0" applyNumberFormat="1" applyFont="1" applyFill="1" applyBorder="1" applyAlignment="1">
      <alignment horizontal="left" vertical="center" indent="1"/>
    </xf>
    <xf numFmtId="38" fontId="15" fillId="2" borderId="0" xfId="0" applyNumberFormat="1" applyFont="1" applyFill="1" applyBorder="1" applyAlignment="1">
      <alignment horizontal="right" vertical="center"/>
    </xf>
    <xf numFmtId="0" fontId="7" fillId="2" borderId="15" xfId="0" applyNumberFormat="1" applyFont="1" applyFill="1" applyBorder="1" applyAlignment="1">
      <alignment vertical="center"/>
    </xf>
    <xf numFmtId="0" fontId="10" fillId="2" borderId="26" xfId="0" applyNumberFormat="1" applyFont="1" applyFill="1" applyBorder="1" applyAlignment="1">
      <alignment horizontal="center"/>
    </xf>
    <xf numFmtId="0" fontId="10" fillId="2" borderId="25" xfId="0" applyNumberFormat="1" applyFont="1" applyFill="1" applyBorder="1" applyAlignment="1">
      <alignment horizontal="center"/>
    </xf>
    <xf numFmtId="0" fontId="10" fillId="2" borderId="27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9" fillId="2" borderId="23" xfId="0" applyNumberFormat="1" applyFont="1" applyFill="1" applyBorder="1" applyAlignment="1">
      <alignment horizontal="left" vertical="center"/>
    </xf>
    <xf numFmtId="0" fontId="9" fillId="2" borderId="12" xfId="0" applyNumberFormat="1" applyFont="1" applyFill="1" applyBorder="1" applyAlignment="1">
      <alignment horizontal="left" vertical="center"/>
    </xf>
    <xf numFmtId="0" fontId="9" fillId="2" borderId="19" xfId="0" applyNumberFormat="1" applyFont="1" applyFill="1" applyBorder="1" applyAlignment="1">
      <alignment horizontal="left" vertical="center"/>
    </xf>
    <xf numFmtId="0" fontId="12" fillId="2" borderId="12" xfId="0" applyNumberFormat="1" applyFont="1" applyFill="1" applyBorder="1" applyAlignment="1">
      <alignment horizontal="center"/>
    </xf>
    <xf numFmtId="0" fontId="12" fillId="2" borderId="13" xfId="0" applyNumberFormat="1" applyFont="1" applyFill="1" applyBorder="1" applyAlignment="1">
      <alignment horizontal="center"/>
    </xf>
    <xf numFmtId="0" fontId="12" fillId="2" borderId="14" xfId="0" applyNumberFormat="1" applyFont="1" applyFill="1" applyBorder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13" fillId="2" borderId="34" xfId="0" applyNumberFormat="1" applyFont="1" applyFill="1" applyBorder="1" applyAlignment="1">
      <alignment horizontal="right" vertical="center"/>
    </xf>
    <xf numFmtId="0" fontId="13" fillId="2" borderId="14" xfId="0" applyNumberFormat="1" applyFont="1" applyFill="1" applyBorder="1" applyAlignment="1">
      <alignment horizontal="right" vertical="center"/>
    </xf>
    <xf numFmtId="0" fontId="13" fillId="2" borderId="22" xfId="0" applyNumberFormat="1" applyFont="1" applyFill="1" applyBorder="1" applyAlignment="1">
      <alignment horizontal="right" vertical="center"/>
    </xf>
    <xf numFmtId="0" fontId="10" fillId="2" borderId="28" xfId="0" applyNumberFormat="1" applyFont="1" applyFill="1" applyBorder="1" applyAlignment="1">
      <alignment horizont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198969179182725E-2"/>
          <c:y val="0.13420169956207514"/>
          <c:w val="0.93445429426720783"/>
          <c:h val="0.767839433065248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'7.15'!$BH$50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'7.15'!$BG$52:$BG$71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'7.15'!$BH$52:$BH$71</c:f>
              <c:numCache>
                <c:formatCode>#,##0_);[Red]\(#,##0\)</c:formatCode>
                <c:ptCount val="20"/>
                <c:pt idx="0">
                  <c:v>263</c:v>
                </c:pt>
                <c:pt idx="1">
                  <c:v>331</c:v>
                </c:pt>
                <c:pt idx="2">
                  <c:v>269</c:v>
                </c:pt>
                <c:pt idx="3">
                  <c:v>176</c:v>
                </c:pt>
                <c:pt idx="4">
                  <c:v>312</c:v>
                </c:pt>
                <c:pt idx="5">
                  <c:v>175</c:v>
                </c:pt>
                <c:pt idx="6">
                  <c:v>117</c:v>
                </c:pt>
                <c:pt idx="7">
                  <c:v>146</c:v>
                </c:pt>
                <c:pt idx="8">
                  <c:v>102</c:v>
                </c:pt>
                <c:pt idx="9">
                  <c:v>111</c:v>
                </c:pt>
                <c:pt idx="10">
                  <c:v>20</c:v>
                </c:pt>
                <c:pt idx="11">
                  <c:v>61</c:v>
                </c:pt>
                <c:pt idx="12">
                  <c:v>111</c:v>
                </c:pt>
                <c:pt idx="13">
                  <c:v>121</c:v>
                </c:pt>
                <c:pt idx="14">
                  <c:v>139</c:v>
                </c:pt>
                <c:pt idx="15">
                  <c:v>236</c:v>
                </c:pt>
                <c:pt idx="16">
                  <c:v>163</c:v>
                </c:pt>
                <c:pt idx="17">
                  <c:v>202</c:v>
                </c:pt>
                <c:pt idx="18">
                  <c:v>182</c:v>
                </c:pt>
                <c:pt idx="19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B-47E1-801D-7EDBC4A33146}"/>
            </c:ext>
          </c:extLst>
        </c:ser>
        <c:ser>
          <c:idx val="1"/>
          <c:order val="1"/>
          <c:tx>
            <c:strRef>
              <c:f>'7.15'!$BI$50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'7.15'!$BG$52:$BG$71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'7.15'!$BI$52:$BI$71</c:f>
              <c:numCache>
                <c:formatCode>#,##0_);[Red]\(#,##0\)</c:formatCode>
                <c:ptCount val="20"/>
                <c:pt idx="0">
                  <c:v>196</c:v>
                </c:pt>
                <c:pt idx="1">
                  <c:v>216</c:v>
                </c:pt>
                <c:pt idx="2">
                  <c:v>201</c:v>
                </c:pt>
                <c:pt idx="3">
                  <c:v>114</c:v>
                </c:pt>
                <c:pt idx="4">
                  <c:v>199</c:v>
                </c:pt>
                <c:pt idx="5">
                  <c:v>140</c:v>
                </c:pt>
                <c:pt idx="6">
                  <c:v>79</c:v>
                </c:pt>
                <c:pt idx="7">
                  <c:v>97</c:v>
                </c:pt>
                <c:pt idx="8">
                  <c:v>70</c:v>
                </c:pt>
                <c:pt idx="9">
                  <c:v>69</c:v>
                </c:pt>
                <c:pt idx="10">
                  <c:v>17</c:v>
                </c:pt>
                <c:pt idx="11">
                  <c:v>45</c:v>
                </c:pt>
                <c:pt idx="12">
                  <c:v>70</c:v>
                </c:pt>
                <c:pt idx="13">
                  <c:v>89</c:v>
                </c:pt>
                <c:pt idx="14">
                  <c:v>88</c:v>
                </c:pt>
                <c:pt idx="15">
                  <c:v>128</c:v>
                </c:pt>
                <c:pt idx="16">
                  <c:v>110</c:v>
                </c:pt>
                <c:pt idx="17">
                  <c:v>137</c:v>
                </c:pt>
                <c:pt idx="18">
                  <c:v>97</c:v>
                </c:pt>
                <c:pt idx="19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7B-47E1-801D-7EDBC4A3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455798304"/>
        <c:axId val="455796344"/>
      </c:barChart>
      <c:catAx>
        <c:axId val="45579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6344"/>
        <c:crosses val="autoZero"/>
        <c:auto val="1"/>
        <c:lblAlgn val="ctr"/>
        <c:lblOffset val="100"/>
        <c:noMultiLvlLbl val="0"/>
      </c:catAx>
      <c:valAx>
        <c:axId val="45579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83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4941917612810905"/>
          <c:y val="0.3803646933030348"/>
          <c:w val="0.160393861564847"/>
          <c:h val="6.1058763297504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35</xdr:row>
      <xdr:rowOff>161924</xdr:rowOff>
    </xdr:from>
    <xdr:to>
      <xdr:col>10</xdr:col>
      <xdr:colOff>0</xdr:colOff>
      <xdr:row>35</xdr:row>
      <xdr:rowOff>161924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 flipV="1">
          <a:off x="609600" y="8953499"/>
          <a:ext cx="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13</xdr:col>
      <xdr:colOff>198687</xdr:colOff>
      <xdr:row>35</xdr:row>
      <xdr:rowOff>84601</xdr:rowOff>
    </xdr:from>
    <xdr:to>
      <xdr:col>26</xdr:col>
      <xdr:colOff>76843</xdr:colOff>
      <xdr:row>53</xdr:row>
      <xdr:rowOff>78661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378644</xdr:colOff>
      <xdr:row>36</xdr:row>
      <xdr:rowOff>5993</xdr:rowOff>
    </xdr:from>
    <xdr:to>
      <xdr:col>23</xdr:col>
      <xdr:colOff>511995</xdr:colOff>
      <xdr:row>38</xdr:row>
      <xdr:rowOff>19049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/>
      </xdr:nvSpPr>
      <xdr:spPr>
        <a:xfrm>
          <a:off x="4145835" y="9006583"/>
          <a:ext cx="5184812" cy="398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7.18: Number of students who sat and passed at O'level exam by Atolls,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H71"/>
  <sheetViews>
    <sheetView tabSelected="1" zoomScale="89" zoomScaleNormal="89" zoomScaleSheetLayoutView="91" workbookViewId="0">
      <selection activeCell="AH18" sqref="AH18"/>
    </sheetView>
  </sheetViews>
  <sheetFormatPr defaultColWidth="9.140625" defaultRowHeight="15" x14ac:dyDescent="0.25"/>
  <cols>
    <col min="1" max="1" width="9.140625" style="1" customWidth="1"/>
    <col min="2" max="10" width="9.42578125" style="1" hidden="1" customWidth="1"/>
    <col min="11" max="28" width="9.42578125" style="1" customWidth="1"/>
    <col min="29" max="29" width="10.85546875" style="1" customWidth="1"/>
    <col min="30" max="30" width="3.42578125" style="1" customWidth="1"/>
    <col min="31" max="31" width="6.140625" style="1" customWidth="1"/>
    <col min="32" max="38" width="6.28515625" style="21" customWidth="1"/>
    <col min="39" max="39" width="6.7109375" style="21" customWidth="1"/>
    <col min="40" max="40" width="6.28515625" style="21" customWidth="1"/>
    <col min="41" max="41" width="6" style="21" customWidth="1"/>
    <col min="42" max="42" width="6.5703125" style="21" customWidth="1"/>
    <col min="43" max="43" width="6.140625" style="21" customWidth="1"/>
    <col min="44" max="86" width="9.140625" style="21"/>
    <col min="87" max="16384" width="9.140625" style="1"/>
  </cols>
  <sheetData>
    <row r="1" spans="1:86" ht="9.75" customHeight="1" x14ac:dyDescent="0.55000000000000004">
      <c r="A1" s="4"/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/>
    </row>
    <row r="2" spans="1:86" ht="21" x14ac:dyDescent="0.55000000000000004">
      <c r="A2" s="96" t="s">
        <v>56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8"/>
      <c r="AE2" s="21"/>
    </row>
    <row r="3" spans="1:86" x14ac:dyDescent="0.25">
      <c r="A3" s="99" t="s">
        <v>57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1"/>
      <c r="AE3" s="21"/>
    </row>
    <row r="4" spans="1:86" ht="6.75" customHeight="1" x14ac:dyDescent="0.25">
      <c r="J4" s="8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E4" s="21"/>
    </row>
    <row r="5" spans="1:86" ht="21" x14ac:dyDescent="0.25">
      <c r="A5" s="93" t="s">
        <v>28</v>
      </c>
      <c r="B5" s="102">
        <v>2017</v>
      </c>
      <c r="C5" s="102"/>
      <c r="D5" s="102"/>
      <c r="E5" s="102"/>
      <c r="F5" s="102"/>
      <c r="G5" s="102"/>
      <c r="H5" s="102"/>
      <c r="I5" s="102"/>
      <c r="J5" s="103"/>
      <c r="K5" s="102">
        <v>2018</v>
      </c>
      <c r="L5" s="102"/>
      <c r="M5" s="102"/>
      <c r="N5" s="102"/>
      <c r="O5" s="102"/>
      <c r="P5" s="102"/>
      <c r="Q5" s="102"/>
      <c r="R5" s="102"/>
      <c r="S5" s="103"/>
      <c r="T5" s="102">
        <v>2019</v>
      </c>
      <c r="U5" s="102"/>
      <c r="V5" s="102"/>
      <c r="W5" s="102"/>
      <c r="X5" s="102"/>
      <c r="Y5" s="102"/>
      <c r="Z5" s="102"/>
      <c r="AA5" s="102"/>
      <c r="AB5" s="102"/>
      <c r="AC5" s="104" t="s">
        <v>29</v>
      </c>
      <c r="AD5" s="64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</row>
    <row r="6" spans="1:86" ht="21" x14ac:dyDescent="0.5">
      <c r="A6" s="94"/>
      <c r="B6" s="90" t="s">
        <v>58</v>
      </c>
      <c r="C6" s="90"/>
      <c r="D6" s="90"/>
      <c r="E6" s="89" t="s">
        <v>59</v>
      </c>
      <c r="F6" s="90"/>
      <c r="G6" s="91"/>
      <c r="H6" s="90" t="s">
        <v>60</v>
      </c>
      <c r="I6" s="90"/>
      <c r="J6" s="107"/>
      <c r="K6" s="90" t="s">
        <v>66</v>
      </c>
      <c r="L6" s="90"/>
      <c r="M6" s="90"/>
      <c r="N6" s="89" t="s">
        <v>67</v>
      </c>
      <c r="O6" s="90"/>
      <c r="P6" s="91"/>
      <c r="Q6" s="90" t="s">
        <v>68</v>
      </c>
      <c r="R6" s="90"/>
      <c r="S6" s="107"/>
      <c r="T6" s="90" t="s">
        <v>66</v>
      </c>
      <c r="U6" s="90"/>
      <c r="V6" s="90"/>
      <c r="W6" s="89" t="s">
        <v>67</v>
      </c>
      <c r="X6" s="90"/>
      <c r="Y6" s="91"/>
      <c r="Z6" s="89" t="s">
        <v>68</v>
      </c>
      <c r="AA6" s="90"/>
      <c r="AB6" s="90"/>
      <c r="AC6" s="105"/>
      <c r="AD6" s="65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</row>
    <row r="7" spans="1:86" ht="27.75" customHeight="1" x14ac:dyDescent="0.25">
      <c r="A7" s="95"/>
      <c r="B7" s="22" t="s">
        <v>27</v>
      </c>
      <c r="C7" s="22" t="s">
        <v>25</v>
      </c>
      <c r="D7" s="22" t="s">
        <v>26</v>
      </c>
      <c r="E7" s="23" t="s">
        <v>27</v>
      </c>
      <c r="F7" s="22" t="s">
        <v>25</v>
      </c>
      <c r="G7" s="24" t="s">
        <v>26</v>
      </c>
      <c r="H7" s="22" t="s">
        <v>27</v>
      </c>
      <c r="I7" s="22" t="s">
        <v>25</v>
      </c>
      <c r="J7" s="25" t="s">
        <v>26</v>
      </c>
      <c r="K7" s="22" t="s">
        <v>27</v>
      </c>
      <c r="L7" s="22" t="s">
        <v>25</v>
      </c>
      <c r="M7" s="22" t="s">
        <v>26</v>
      </c>
      <c r="N7" s="23" t="s">
        <v>27</v>
      </c>
      <c r="O7" s="22" t="s">
        <v>25</v>
      </c>
      <c r="P7" s="24" t="s">
        <v>26</v>
      </c>
      <c r="Q7" s="22" t="s">
        <v>27</v>
      </c>
      <c r="R7" s="22" t="s">
        <v>25</v>
      </c>
      <c r="S7" s="25" t="s">
        <v>26</v>
      </c>
      <c r="T7" s="22" t="s">
        <v>27</v>
      </c>
      <c r="U7" s="22" t="s">
        <v>25</v>
      </c>
      <c r="V7" s="22" t="s">
        <v>26</v>
      </c>
      <c r="W7" s="23" t="s">
        <v>27</v>
      </c>
      <c r="X7" s="22" t="s">
        <v>25</v>
      </c>
      <c r="Y7" s="24" t="s">
        <v>26</v>
      </c>
      <c r="Z7" s="22" t="s">
        <v>27</v>
      </c>
      <c r="AA7" s="22" t="s">
        <v>25</v>
      </c>
      <c r="AB7" s="22" t="s">
        <v>26</v>
      </c>
      <c r="AC7" s="106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</row>
    <row r="8" spans="1:86" ht="21" x14ac:dyDescent="0.25">
      <c r="A8" s="49" t="s">
        <v>0</v>
      </c>
      <c r="B8" s="10">
        <f>SUM(B9:B10)</f>
        <v>5220</v>
      </c>
      <c r="C8" s="34"/>
      <c r="D8" s="28"/>
      <c r="E8" s="10">
        <f>SUM(E9:E10)</f>
        <v>3015</v>
      </c>
      <c r="F8" s="21"/>
      <c r="G8" s="35"/>
      <c r="H8" s="28">
        <f t="shared" ref="H8:H30" si="0">E8/B8*100</f>
        <v>57.758620689655174</v>
      </c>
      <c r="I8" s="21"/>
      <c r="J8" s="21"/>
      <c r="K8" s="31">
        <f>SUM(K9:K10)</f>
        <v>6581</v>
      </c>
      <c r="L8" s="31">
        <f>SUM(L9:L10)</f>
        <v>3151</v>
      </c>
      <c r="M8" s="31">
        <f>SUM(M9:M10)</f>
        <v>3430</v>
      </c>
      <c r="N8" s="42">
        <v>3444</v>
      </c>
      <c r="O8" s="43">
        <v>1456</v>
      </c>
      <c r="P8" s="44">
        <v>1988</v>
      </c>
      <c r="Q8" s="31">
        <f t="shared" ref="Q8:S9" si="1">N8/K8*100</f>
        <v>52.332472268652182</v>
      </c>
      <c r="R8" s="31">
        <f t="shared" si="1"/>
        <v>46.207553157727702</v>
      </c>
      <c r="S8" s="47">
        <f t="shared" si="1"/>
        <v>57.959183673469383</v>
      </c>
      <c r="T8" s="31">
        <v>5125</v>
      </c>
      <c r="U8" s="31">
        <v>2634</v>
      </c>
      <c r="V8" s="31">
        <v>2491</v>
      </c>
      <c r="W8" s="42">
        <v>3444</v>
      </c>
      <c r="X8" s="43">
        <v>1456</v>
      </c>
      <c r="Y8" s="44">
        <v>1988</v>
      </c>
      <c r="Z8" s="31">
        <f t="shared" ref="Z8:AB30" si="2">W8/T8*100</f>
        <v>67.2</v>
      </c>
      <c r="AA8" s="31">
        <f>X8/U8*100</f>
        <v>55.277145026575546</v>
      </c>
      <c r="AB8" s="31">
        <f>Y8/V8*100</f>
        <v>79.807306302689682</v>
      </c>
      <c r="AC8" s="39" t="s">
        <v>30</v>
      </c>
      <c r="AD8" s="67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</row>
    <row r="9" spans="1:86" ht="21" x14ac:dyDescent="0.25">
      <c r="A9" s="49" t="s">
        <v>1</v>
      </c>
      <c r="B9" s="10">
        <v>1617</v>
      </c>
      <c r="C9" s="34"/>
      <c r="D9" s="28"/>
      <c r="E9" s="10">
        <v>1162</v>
      </c>
      <c r="F9" s="21"/>
      <c r="G9" s="35"/>
      <c r="H9" s="28">
        <f t="shared" si="0"/>
        <v>71.861471861471856</v>
      </c>
      <c r="I9" s="21"/>
      <c r="J9" s="21"/>
      <c r="K9" s="31">
        <v>2249</v>
      </c>
      <c r="L9" s="31">
        <v>1014</v>
      </c>
      <c r="M9" s="31">
        <v>1235</v>
      </c>
      <c r="N9" s="45">
        <v>1091</v>
      </c>
      <c r="O9" s="31">
        <v>519</v>
      </c>
      <c r="P9" s="46">
        <v>572</v>
      </c>
      <c r="Q9" s="31">
        <f t="shared" si="1"/>
        <v>48.510449088483767</v>
      </c>
      <c r="R9" s="31">
        <f t="shared" si="1"/>
        <v>51.183431952662716</v>
      </c>
      <c r="S9" s="48">
        <f t="shared" si="1"/>
        <v>46.315789473684212</v>
      </c>
      <c r="T9" s="31">
        <v>1614</v>
      </c>
      <c r="U9" s="31">
        <v>800</v>
      </c>
      <c r="V9" s="31">
        <v>814</v>
      </c>
      <c r="W9" s="45">
        <v>1091</v>
      </c>
      <c r="X9" s="31">
        <v>519</v>
      </c>
      <c r="Y9" s="46">
        <v>572</v>
      </c>
      <c r="Z9" s="31">
        <f t="shared" si="2"/>
        <v>67.596034696406448</v>
      </c>
      <c r="AA9" s="31">
        <f t="shared" si="2"/>
        <v>64.875</v>
      </c>
      <c r="AB9" s="31">
        <f t="shared" si="2"/>
        <v>70.270270270270274</v>
      </c>
      <c r="AC9" s="39" t="s">
        <v>31</v>
      </c>
      <c r="AD9" s="67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</row>
    <row r="10" spans="1:86" ht="21" x14ac:dyDescent="0.25">
      <c r="A10" s="49" t="s">
        <v>2</v>
      </c>
      <c r="B10" s="10">
        <f>SUM(B11:B30)</f>
        <v>3603</v>
      </c>
      <c r="C10" s="34"/>
      <c r="D10" s="28"/>
      <c r="E10" s="10">
        <f>SUM(E11:E30)</f>
        <v>1853</v>
      </c>
      <c r="F10" s="21"/>
      <c r="G10" s="35"/>
      <c r="H10" s="28">
        <f t="shared" si="0"/>
        <v>51.429364418540104</v>
      </c>
      <c r="I10" s="21"/>
      <c r="J10" s="21"/>
      <c r="K10" s="31">
        <f>SUM(K11:K30)</f>
        <v>4332</v>
      </c>
      <c r="L10" s="31">
        <f>SUM(L11:L30)</f>
        <v>2137</v>
      </c>
      <c r="M10" s="31">
        <f>SUM(M11:M30)</f>
        <v>2195</v>
      </c>
      <c r="N10" s="45">
        <v>2353</v>
      </c>
      <c r="O10" s="31">
        <v>937</v>
      </c>
      <c r="P10" s="46">
        <v>1416</v>
      </c>
      <c r="Q10" s="31">
        <f t="shared" ref="Q10:S30" si="3">N10/K10*100</f>
        <v>54.316712834718373</v>
      </c>
      <c r="R10" s="31">
        <f>O10/L10*100</f>
        <v>43.84651380439869</v>
      </c>
      <c r="S10" s="48">
        <f>P10/M10*100</f>
        <v>64.510250569476085</v>
      </c>
      <c r="T10" s="31">
        <v>3511</v>
      </c>
      <c r="U10" s="31">
        <v>1834</v>
      </c>
      <c r="V10" s="31">
        <v>1677</v>
      </c>
      <c r="W10" s="45">
        <v>2353</v>
      </c>
      <c r="X10" s="31">
        <v>937</v>
      </c>
      <c r="Y10" s="46">
        <v>1416</v>
      </c>
      <c r="Z10" s="31">
        <f t="shared" si="2"/>
        <v>67.017943605810316</v>
      </c>
      <c r="AA10" s="31">
        <f t="shared" si="2"/>
        <v>51.090512540894217</v>
      </c>
      <c r="AB10" s="31">
        <f t="shared" si="2"/>
        <v>84.436493738819323</v>
      </c>
      <c r="AC10" s="39" t="s">
        <v>32</v>
      </c>
      <c r="AD10" s="67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</row>
    <row r="11" spans="1:86" s="3" customFormat="1" ht="21" x14ac:dyDescent="0.25">
      <c r="A11" s="57" t="s">
        <v>3</v>
      </c>
      <c r="B11" s="10">
        <v>288</v>
      </c>
      <c r="C11" s="34"/>
      <c r="D11" s="28"/>
      <c r="E11" s="10">
        <v>143</v>
      </c>
      <c r="F11" s="2"/>
      <c r="G11" s="35"/>
      <c r="H11" s="28">
        <f t="shared" si="0"/>
        <v>49.652777777777779</v>
      </c>
      <c r="I11" s="2"/>
      <c r="J11" s="2"/>
      <c r="K11" s="32">
        <v>316</v>
      </c>
      <c r="L11" s="32">
        <v>155</v>
      </c>
      <c r="M11" s="32">
        <v>161</v>
      </c>
      <c r="N11" s="50">
        <v>196</v>
      </c>
      <c r="O11" s="32">
        <v>80</v>
      </c>
      <c r="P11" s="51">
        <v>116</v>
      </c>
      <c r="Q11" s="32">
        <f>N11/K11*100</f>
        <v>62.025316455696199</v>
      </c>
      <c r="R11" s="32">
        <f>O11/L11*100</f>
        <v>51.612903225806448</v>
      </c>
      <c r="S11" s="52">
        <f>P11/M11*100</f>
        <v>72.049689440993788</v>
      </c>
      <c r="T11" s="32">
        <v>263</v>
      </c>
      <c r="U11" s="32">
        <v>137</v>
      </c>
      <c r="V11" s="32">
        <v>126</v>
      </c>
      <c r="W11" s="50">
        <v>196</v>
      </c>
      <c r="X11" s="32">
        <v>80</v>
      </c>
      <c r="Y11" s="51">
        <v>116</v>
      </c>
      <c r="Z11" s="32">
        <f t="shared" si="2"/>
        <v>74.524714828897345</v>
      </c>
      <c r="AA11" s="32">
        <f t="shared" si="2"/>
        <v>58.394160583941598</v>
      </c>
      <c r="AB11" s="32">
        <f t="shared" si="2"/>
        <v>92.063492063492063</v>
      </c>
      <c r="AC11" s="60" t="s">
        <v>33</v>
      </c>
      <c r="AD11" s="67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21" x14ac:dyDescent="0.25">
      <c r="A12" s="57" t="s">
        <v>4</v>
      </c>
      <c r="B12" s="10">
        <v>314</v>
      </c>
      <c r="C12" s="34"/>
      <c r="D12" s="28"/>
      <c r="E12" s="10">
        <v>135</v>
      </c>
      <c r="F12" s="21"/>
      <c r="G12" s="35"/>
      <c r="H12" s="28">
        <f t="shared" si="0"/>
        <v>42.99363057324841</v>
      </c>
      <c r="I12" s="21"/>
      <c r="J12" s="21"/>
      <c r="K12" s="32">
        <v>378</v>
      </c>
      <c r="L12" s="32">
        <v>177</v>
      </c>
      <c r="M12" s="32">
        <v>201</v>
      </c>
      <c r="N12" s="50">
        <v>216</v>
      </c>
      <c r="O12" s="32">
        <v>76</v>
      </c>
      <c r="P12" s="51">
        <v>140</v>
      </c>
      <c r="Q12" s="32">
        <f t="shared" si="3"/>
        <v>57.142857142857139</v>
      </c>
      <c r="R12" s="32">
        <f t="shared" si="3"/>
        <v>42.93785310734463</v>
      </c>
      <c r="S12" s="52">
        <f t="shared" si="3"/>
        <v>69.651741293532339</v>
      </c>
      <c r="T12" s="32">
        <v>331</v>
      </c>
      <c r="U12" s="32">
        <v>162</v>
      </c>
      <c r="V12" s="32">
        <v>169</v>
      </c>
      <c r="W12" s="50">
        <v>216</v>
      </c>
      <c r="X12" s="32">
        <v>76</v>
      </c>
      <c r="Y12" s="51">
        <v>140</v>
      </c>
      <c r="Z12" s="32">
        <f t="shared" si="2"/>
        <v>65.256797583081578</v>
      </c>
      <c r="AA12" s="32">
        <f t="shared" si="2"/>
        <v>46.913580246913575</v>
      </c>
      <c r="AB12" s="32">
        <f t="shared" si="2"/>
        <v>82.84023668639054</v>
      </c>
      <c r="AC12" s="60" t="s">
        <v>34</v>
      </c>
      <c r="AD12" s="67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</row>
    <row r="13" spans="1:86" ht="21" x14ac:dyDescent="0.25">
      <c r="A13" s="57" t="s">
        <v>5</v>
      </c>
      <c r="B13" s="10">
        <v>289</v>
      </c>
      <c r="C13" s="34"/>
      <c r="D13" s="28"/>
      <c r="E13" s="10">
        <v>157</v>
      </c>
      <c r="F13" s="21"/>
      <c r="G13" s="35"/>
      <c r="H13" s="28">
        <f t="shared" si="0"/>
        <v>54.325259515570934</v>
      </c>
      <c r="I13" s="21"/>
      <c r="J13" s="21"/>
      <c r="K13" s="32">
        <v>372</v>
      </c>
      <c r="L13" s="32">
        <v>203</v>
      </c>
      <c r="M13" s="32">
        <v>169</v>
      </c>
      <c r="N13" s="50">
        <v>201</v>
      </c>
      <c r="O13" s="32">
        <v>102</v>
      </c>
      <c r="P13" s="51">
        <v>99</v>
      </c>
      <c r="Q13" s="32">
        <f t="shared" si="3"/>
        <v>54.032258064516128</v>
      </c>
      <c r="R13" s="32">
        <f t="shared" si="3"/>
        <v>50.246305418719217</v>
      </c>
      <c r="S13" s="52">
        <f t="shared" si="3"/>
        <v>58.57988165680473</v>
      </c>
      <c r="T13" s="32">
        <v>269</v>
      </c>
      <c r="U13" s="32">
        <v>158</v>
      </c>
      <c r="V13" s="32">
        <v>111</v>
      </c>
      <c r="W13" s="50">
        <v>201</v>
      </c>
      <c r="X13" s="32">
        <v>102</v>
      </c>
      <c r="Y13" s="51">
        <v>99</v>
      </c>
      <c r="Z13" s="32">
        <f t="shared" si="2"/>
        <v>74.721189591078058</v>
      </c>
      <c r="AA13" s="32">
        <f t="shared" si="2"/>
        <v>64.556962025316452</v>
      </c>
      <c r="AB13" s="32">
        <f t="shared" si="2"/>
        <v>89.189189189189193</v>
      </c>
      <c r="AC13" s="60" t="s">
        <v>35</v>
      </c>
      <c r="AD13" s="67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</row>
    <row r="14" spans="1:86" s="41" customFormat="1" ht="21" x14ac:dyDescent="0.25">
      <c r="A14" s="58" t="s">
        <v>7</v>
      </c>
      <c r="B14" s="9">
        <v>178</v>
      </c>
      <c r="C14" s="26"/>
      <c r="D14" s="27"/>
      <c r="E14" s="9">
        <v>93</v>
      </c>
      <c r="F14" s="40"/>
      <c r="G14" s="33"/>
      <c r="H14" s="27">
        <f t="shared" si="0"/>
        <v>52.247191011235962</v>
      </c>
      <c r="I14" s="40"/>
      <c r="J14" s="40"/>
      <c r="K14" s="32">
        <v>221</v>
      </c>
      <c r="L14" s="32">
        <v>109</v>
      </c>
      <c r="M14" s="32">
        <v>112</v>
      </c>
      <c r="N14" s="50">
        <v>114</v>
      </c>
      <c r="O14" s="32">
        <v>44</v>
      </c>
      <c r="P14" s="51">
        <v>70</v>
      </c>
      <c r="Q14" s="32">
        <f t="shared" si="3"/>
        <v>51.583710407239828</v>
      </c>
      <c r="R14" s="32">
        <f t="shared" si="3"/>
        <v>40.366972477064223</v>
      </c>
      <c r="S14" s="52">
        <f t="shared" si="3"/>
        <v>62.5</v>
      </c>
      <c r="T14" s="32">
        <v>176</v>
      </c>
      <c r="U14" s="32">
        <v>91</v>
      </c>
      <c r="V14" s="32">
        <v>85</v>
      </c>
      <c r="W14" s="50">
        <v>114</v>
      </c>
      <c r="X14" s="32">
        <v>44</v>
      </c>
      <c r="Y14" s="51">
        <v>70</v>
      </c>
      <c r="Z14" s="32">
        <f t="shared" si="2"/>
        <v>64.772727272727266</v>
      </c>
      <c r="AA14" s="32">
        <f t="shared" si="2"/>
        <v>48.35164835164835</v>
      </c>
      <c r="AB14" s="32">
        <f t="shared" si="2"/>
        <v>82.35294117647058</v>
      </c>
      <c r="AC14" s="61" t="s">
        <v>36</v>
      </c>
      <c r="AD14" s="66"/>
      <c r="AE14" s="87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</row>
    <row r="15" spans="1:86" ht="21" x14ac:dyDescent="0.25">
      <c r="A15" s="57" t="s">
        <v>8</v>
      </c>
      <c r="B15" s="10">
        <v>310</v>
      </c>
      <c r="C15" s="34"/>
      <c r="D15" s="28"/>
      <c r="E15" s="10">
        <v>176</v>
      </c>
      <c r="F15" s="21"/>
      <c r="G15" s="35"/>
      <c r="H15" s="28">
        <f t="shared" si="0"/>
        <v>56.774193548387096</v>
      </c>
      <c r="I15" s="21"/>
      <c r="J15" s="21"/>
      <c r="K15" s="32">
        <v>389</v>
      </c>
      <c r="L15" s="32">
        <v>194</v>
      </c>
      <c r="M15" s="32">
        <v>195</v>
      </c>
      <c r="N15" s="50">
        <v>199</v>
      </c>
      <c r="O15" s="32">
        <v>87</v>
      </c>
      <c r="P15" s="51">
        <v>112</v>
      </c>
      <c r="Q15" s="32">
        <f t="shared" si="3"/>
        <v>51.156812339331616</v>
      </c>
      <c r="R15" s="32">
        <f t="shared" si="3"/>
        <v>44.845360824742272</v>
      </c>
      <c r="S15" s="52">
        <f t="shared" si="3"/>
        <v>57.435897435897431</v>
      </c>
      <c r="T15" s="32">
        <v>312</v>
      </c>
      <c r="U15" s="32">
        <v>170</v>
      </c>
      <c r="V15" s="32">
        <v>142</v>
      </c>
      <c r="W15" s="50">
        <v>199</v>
      </c>
      <c r="X15" s="32">
        <v>87</v>
      </c>
      <c r="Y15" s="51">
        <v>112</v>
      </c>
      <c r="Z15" s="32">
        <f t="shared" si="2"/>
        <v>63.782051282051277</v>
      </c>
      <c r="AA15" s="32">
        <f t="shared" si="2"/>
        <v>51.17647058823529</v>
      </c>
      <c r="AB15" s="32">
        <f t="shared" si="2"/>
        <v>78.873239436619713</v>
      </c>
      <c r="AC15" s="60" t="s">
        <v>37</v>
      </c>
      <c r="AD15" s="67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</row>
    <row r="16" spans="1:86" ht="21" x14ac:dyDescent="0.25">
      <c r="A16" s="57" t="s">
        <v>9</v>
      </c>
      <c r="B16" s="10">
        <v>160</v>
      </c>
      <c r="C16" s="34"/>
      <c r="D16" s="28"/>
      <c r="E16" s="10">
        <v>106</v>
      </c>
      <c r="F16" s="21"/>
      <c r="G16" s="35"/>
      <c r="H16" s="28">
        <f t="shared" si="0"/>
        <v>66.25</v>
      </c>
      <c r="I16" s="21"/>
      <c r="J16" s="21"/>
      <c r="K16" s="32">
        <v>200</v>
      </c>
      <c r="L16" s="32">
        <v>102</v>
      </c>
      <c r="M16" s="32">
        <v>98</v>
      </c>
      <c r="N16" s="50">
        <v>140</v>
      </c>
      <c r="O16" s="32">
        <v>61</v>
      </c>
      <c r="P16" s="51">
        <v>79</v>
      </c>
      <c r="Q16" s="32">
        <f t="shared" si="3"/>
        <v>70</v>
      </c>
      <c r="R16" s="32">
        <f t="shared" si="3"/>
        <v>59.803921568627452</v>
      </c>
      <c r="S16" s="52">
        <f t="shared" si="3"/>
        <v>80.612244897959187</v>
      </c>
      <c r="T16" s="32">
        <v>175</v>
      </c>
      <c r="U16" s="32">
        <v>91</v>
      </c>
      <c r="V16" s="32">
        <v>84</v>
      </c>
      <c r="W16" s="50">
        <v>140</v>
      </c>
      <c r="X16" s="32">
        <v>61</v>
      </c>
      <c r="Y16" s="51">
        <v>79</v>
      </c>
      <c r="Z16" s="32">
        <f t="shared" si="2"/>
        <v>80</v>
      </c>
      <c r="AA16" s="32">
        <f t="shared" si="2"/>
        <v>67.032967032967022</v>
      </c>
      <c r="AB16" s="32">
        <f t="shared" si="2"/>
        <v>94.047619047619051</v>
      </c>
      <c r="AC16" s="60" t="s">
        <v>38</v>
      </c>
      <c r="AD16" s="67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</row>
    <row r="17" spans="1:49" ht="21" x14ac:dyDescent="0.25">
      <c r="A17" s="57" t="s">
        <v>10</v>
      </c>
      <c r="B17" s="10">
        <v>111</v>
      </c>
      <c r="C17" s="34"/>
      <c r="D17" s="28"/>
      <c r="E17" s="10">
        <v>54</v>
      </c>
      <c r="F17" s="21"/>
      <c r="G17" s="35"/>
      <c r="H17" s="28">
        <f t="shared" si="0"/>
        <v>48.648648648648653</v>
      </c>
      <c r="I17" s="21"/>
      <c r="J17" s="21"/>
      <c r="K17" s="32">
        <v>138</v>
      </c>
      <c r="L17" s="32">
        <v>62</v>
      </c>
      <c r="M17" s="32">
        <v>76</v>
      </c>
      <c r="N17" s="50">
        <v>79</v>
      </c>
      <c r="O17" s="32">
        <v>20</v>
      </c>
      <c r="P17" s="51">
        <v>59</v>
      </c>
      <c r="Q17" s="32">
        <f t="shared" si="3"/>
        <v>57.246376811594203</v>
      </c>
      <c r="R17" s="32">
        <f t="shared" si="3"/>
        <v>32.258064516129032</v>
      </c>
      <c r="S17" s="52">
        <f t="shared" si="3"/>
        <v>77.631578947368425</v>
      </c>
      <c r="T17" s="32">
        <v>117</v>
      </c>
      <c r="U17" s="32">
        <v>54</v>
      </c>
      <c r="V17" s="32">
        <v>63</v>
      </c>
      <c r="W17" s="50">
        <v>79</v>
      </c>
      <c r="X17" s="32">
        <v>20</v>
      </c>
      <c r="Y17" s="51">
        <v>59</v>
      </c>
      <c r="Z17" s="32">
        <f t="shared" si="2"/>
        <v>67.521367521367523</v>
      </c>
      <c r="AA17" s="32">
        <f t="shared" si="2"/>
        <v>37.037037037037038</v>
      </c>
      <c r="AB17" s="32">
        <f t="shared" si="2"/>
        <v>93.650793650793645</v>
      </c>
      <c r="AC17" s="60" t="s">
        <v>39</v>
      </c>
      <c r="AD17" s="67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3"/>
    </row>
    <row r="18" spans="1:49" ht="21" x14ac:dyDescent="0.25">
      <c r="A18" s="57" t="s">
        <v>12</v>
      </c>
      <c r="B18" s="10">
        <v>162</v>
      </c>
      <c r="C18" s="34"/>
      <c r="D18" s="28"/>
      <c r="E18" s="10">
        <v>57</v>
      </c>
      <c r="F18" s="21"/>
      <c r="G18" s="35"/>
      <c r="H18" s="28">
        <f t="shared" si="0"/>
        <v>35.185185185185183</v>
      </c>
      <c r="I18" s="21"/>
      <c r="J18" s="21"/>
      <c r="K18" s="32">
        <v>169</v>
      </c>
      <c r="L18" s="32">
        <v>81</v>
      </c>
      <c r="M18" s="32">
        <v>88</v>
      </c>
      <c r="N18" s="50">
        <v>97</v>
      </c>
      <c r="O18" s="32">
        <v>31</v>
      </c>
      <c r="P18" s="51">
        <v>66</v>
      </c>
      <c r="Q18" s="32">
        <f t="shared" si="3"/>
        <v>57.396449704142015</v>
      </c>
      <c r="R18" s="32">
        <f t="shared" si="3"/>
        <v>38.271604938271601</v>
      </c>
      <c r="S18" s="52">
        <f t="shared" si="3"/>
        <v>75</v>
      </c>
      <c r="T18" s="32">
        <v>146</v>
      </c>
      <c r="U18" s="32">
        <v>73</v>
      </c>
      <c r="V18" s="32">
        <v>73</v>
      </c>
      <c r="W18" s="50">
        <v>97</v>
      </c>
      <c r="X18" s="32">
        <v>31</v>
      </c>
      <c r="Y18" s="51">
        <v>66</v>
      </c>
      <c r="Z18" s="32">
        <f t="shared" si="2"/>
        <v>66.438356164383563</v>
      </c>
      <c r="AA18" s="32">
        <f t="shared" si="2"/>
        <v>42.465753424657535</v>
      </c>
      <c r="AB18" s="32">
        <f t="shared" si="2"/>
        <v>90.410958904109577</v>
      </c>
      <c r="AC18" s="60" t="s">
        <v>40</v>
      </c>
      <c r="AD18" s="67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3"/>
    </row>
    <row r="19" spans="1:49" ht="21" x14ac:dyDescent="0.25">
      <c r="A19" s="57" t="s">
        <v>13</v>
      </c>
      <c r="B19" s="10">
        <v>88</v>
      </c>
      <c r="C19" s="34"/>
      <c r="D19" s="28"/>
      <c r="E19" s="10">
        <v>46</v>
      </c>
      <c r="F19" s="21"/>
      <c r="G19" s="35"/>
      <c r="H19" s="28">
        <f t="shared" si="0"/>
        <v>52.272727272727273</v>
      </c>
      <c r="I19" s="21"/>
      <c r="J19" s="21"/>
      <c r="K19" s="32">
        <v>128</v>
      </c>
      <c r="L19" s="32">
        <v>65</v>
      </c>
      <c r="M19" s="32">
        <v>63</v>
      </c>
      <c r="N19" s="50">
        <v>70</v>
      </c>
      <c r="O19" s="32">
        <v>29</v>
      </c>
      <c r="P19" s="51">
        <v>41</v>
      </c>
      <c r="Q19" s="32">
        <f t="shared" si="3"/>
        <v>54.6875</v>
      </c>
      <c r="R19" s="32">
        <f t="shared" si="3"/>
        <v>44.61538461538462</v>
      </c>
      <c r="S19" s="52">
        <f t="shared" si="3"/>
        <v>65.079365079365076</v>
      </c>
      <c r="T19" s="32">
        <v>102</v>
      </c>
      <c r="U19" s="32">
        <v>56</v>
      </c>
      <c r="V19" s="32">
        <v>46</v>
      </c>
      <c r="W19" s="50">
        <v>70</v>
      </c>
      <c r="X19" s="32">
        <v>29</v>
      </c>
      <c r="Y19" s="51">
        <v>41</v>
      </c>
      <c r="Z19" s="32">
        <f t="shared" si="2"/>
        <v>68.627450980392155</v>
      </c>
      <c r="AA19" s="32">
        <f t="shared" si="2"/>
        <v>51.785714285714292</v>
      </c>
      <c r="AB19" s="32">
        <f t="shared" si="2"/>
        <v>89.130434782608688</v>
      </c>
      <c r="AC19" s="60" t="s">
        <v>41</v>
      </c>
      <c r="AD19" s="67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3"/>
    </row>
    <row r="20" spans="1:49" ht="21" x14ac:dyDescent="0.25">
      <c r="A20" s="57" t="s">
        <v>14</v>
      </c>
      <c r="B20" s="10">
        <v>125</v>
      </c>
      <c r="C20" s="34"/>
      <c r="D20" s="28"/>
      <c r="E20" s="10">
        <v>57</v>
      </c>
      <c r="F20" s="21"/>
      <c r="G20" s="35"/>
      <c r="H20" s="28">
        <f t="shared" si="0"/>
        <v>45.6</v>
      </c>
      <c r="I20" s="21"/>
      <c r="J20" s="21"/>
      <c r="K20" s="32">
        <v>139</v>
      </c>
      <c r="L20" s="32">
        <v>67</v>
      </c>
      <c r="M20" s="32">
        <v>72</v>
      </c>
      <c r="N20" s="50">
        <v>69</v>
      </c>
      <c r="O20" s="32">
        <v>26</v>
      </c>
      <c r="P20" s="51">
        <v>43</v>
      </c>
      <c r="Q20" s="32">
        <f t="shared" si="3"/>
        <v>49.640287769784173</v>
      </c>
      <c r="R20" s="32">
        <f t="shared" si="3"/>
        <v>38.805970149253731</v>
      </c>
      <c r="S20" s="52">
        <f t="shared" si="3"/>
        <v>59.722222222222221</v>
      </c>
      <c r="T20" s="32">
        <v>111</v>
      </c>
      <c r="U20" s="32">
        <v>55</v>
      </c>
      <c r="V20" s="32">
        <v>56</v>
      </c>
      <c r="W20" s="50">
        <v>69</v>
      </c>
      <c r="X20" s="32">
        <v>26</v>
      </c>
      <c r="Y20" s="51">
        <v>43</v>
      </c>
      <c r="Z20" s="32">
        <f t="shared" si="2"/>
        <v>62.162162162162161</v>
      </c>
      <c r="AA20" s="32">
        <f t="shared" si="2"/>
        <v>47.272727272727273</v>
      </c>
      <c r="AB20" s="32">
        <f t="shared" si="2"/>
        <v>76.785714285714292</v>
      </c>
      <c r="AC20" s="60" t="s">
        <v>42</v>
      </c>
      <c r="AD20" s="67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3"/>
    </row>
    <row r="21" spans="1:49" ht="21" x14ac:dyDescent="0.25">
      <c r="A21" s="57" t="s">
        <v>15</v>
      </c>
      <c r="B21" s="10">
        <v>19</v>
      </c>
      <c r="C21" s="34"/>
      <c r="D21" s="28"/>
      <c r="E21" s="10">
        <v>9</v>
      </c>
      <c r="F21" s="21"/>
      <c r="G21" s="35"/>
      <c r="H21" s="28">
        <f t="shared" si="0"/>
        <v>47.368421052631575</v>
      </c>
      <c r="I21" s="21"/>
      <c r="J21" s="21"/>
      <c r="K21" s="32">
        <v>33</v>
      </c>
      <c r="L21" s="32">
        <v>14</v>
      </c>
      <c r="M21" s="32">
        <v>19</v>
      </c>
      <c r="N21" s="50">
        <v>17</v>
      </c>
      <c r="O21" s="32">
        <v>5</v>
      </c>
      <c r="P21" s="51">
        <v>12</v>
      </c>
      <c r="Q21" s="32">
        <f t="shared" si="3"/>
        <v>51.515151515151516</v>
      </c>
      <c r="R21" s="32">
        <f t="shared" si="3"/>
        <v>35.714285714285715</v>
      </c>
      <c r="S21" s="52">
        <f t="shared" si="3"/>
        <v>63.157894736842103</v>
      </c>
      <c r="T21" s="32">
        <v>20</v>
      </c>
      <c r="U21" s="32">
        <v>8</v>
      </c>
      <c r="V21" s="32">
        <v>12</v>
      </c>
      <c r="W21" s="50">
        <v>17</v>
      </c>
      <c r="X21" s="32">
        <v>5</v>
      </c>
      <c r="Y21" s="51">
        <v>12</v>
      </c>
      <c r="Z21" s="32">
        <f t="shared" si="2"/>
        <v>85</v>
      </c>
      <c r="AA21" s="32">
        <f t="shared" si="2"/>
        <v>62.5</v>
      </c>
      <c r="AB21" s="32">
        <f t="shared" si="2"/>
        <v>100</v>
      </c>
      <c r="AC21" s="60" t="s">
        <v>43</v>
      </c>
      <c r="AD21" s="67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3"/>
    </row>
    <row r="22" spans="1:49" ht="21" x14ac:dyDescent="0.25">
      <c r="A22" s="57" t="s">
        <v>16</v>
      </c>
      <c r="B22" s="10">
        <v>84</v>
      </c>
      <c r="C22" s="34"/>
      <c r="D22" s="28"/>
      <c r="E22" s="10">
        <v>41</v>
      </c>
      <c r="F22" s="21"/>
      <c r="G22" s="35"/>
      <c r="H22" s="28">
        <f t="shared" si="0"/>
        <v>48.80952380952381</v>
      </c>
      <c r="I22" s="21"/>
      <c r="J22" s="21"/>
      <c r="K22" s="32">
        <v>102</v>
      </c>
      <c r="L22" s="32">
        <v>58</v>
      </c>
      <c r="M22" s="32">
        <v>44</v>
      </c>
      <c r="N22" s="50">
        <v>45</v>
      </c>
      <c r="O22" s="32">
        <v>23</v>
      </c>
      <c r="P22" s="51">
        <v>22</v>
      </c>
      <c r="Q22" s="32">
        <f t="shared" si="3"/>
        <v>44.117647058823529</v>
      </c>
      <c r="R22" s="32">
        <f t="shared" si="3"/>
        <v>39.655172413793103</v>
      </c>
      <c r="S22" s="52">
        <f t="shared" si="3"/>
        <v>50</v>
      </c>
      <c r="T22" s="32">
        <v>61</v>
      </c>
      <c r="U22" s="32">
        <v>38</v>
      </c>
      <c r="V22" s="32">
        <v>23</v>
      </c>
      <c r="W22" s="50">
        <v>45</v>
      </c>
      <c r="X22" s="32">
        <v>23</v>
      </c>
      <c r="Y22" s="51">
        <v>22</v>
      </c>
      <c r="Z22" s="32">
        <f t="shared" si="2"/>
        <v>73.770491803278688</v>
      </c>
      <c r="AA22" s="32">
        <f t="shared" si="2"/>
        <v>60.526315789473685</v>
      </c>
      <c r="AB22" s="32">
        <f t="shared" si="2"/>
        <v>95.652173913043484</v>
      </c>
      <c r="AC22" s="60" t="s">
        <v>44</v>
      </c>
      <c r="AD22" s="67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3"/>
    </row>
    <row r="23" spans="1:49" ht="21" x14ac:dyDescent="0.25">
      <c r="A23" s="57" t="s">
        <v>17</v>
      </c>
      <c r="B23" s="10">
        <v>93</v>
      </c>
      <c r="C23" s="34"/>
      <c r="D23" s="28"/>
      <c r="E23" s="10">
        <v>46</v>
      </c>
      <c r="F23" s="21"/>
      <c r="G23" s="35"/>
      <c r="H23" s="28">
        <f t="shared" si="0"/>
        <v>49.462365591397848</v>
      </c>
      <c r="I23" s="21"/>
      <c r="J23" s="21"/>
      <c r="K23" s="32">
        <v>128</v>
      </c>
      <c r="L23" s="32">
        <v>69</v>
      </c>
      <c r="M23" s="32">
        <v>59</v>
      </c>
      <c r="N23" s="50">
        <v>70</v>
      </c>
      <c r="O23" s="32">
        <v>26</v>
      </c>
      <c r="P23" s="51">
        <v>44</v>
      </c>
      <c r="Q23" s="32">
        <f t="shared" si="3"/>
        <v>54.6875</v>
      </c>
      <c r="R23" s="32">
        <f t="shared" si="3"/>
        <v>37.681159420289859</v>
      </c>
      <c r="S23" s="52">
        <f t="shared" si="3"/>
        <v>74.576271186440678</v>
      </c>
      <c r="T23" s="32">
        <v>111</v>
      </c>
      <c r="U23" s="32">
        <v>60</v>
      </c>
      <c r="V23" s="32">
        <v>51</v>
      </c>
      <c r="W23" s="50">
        <v>70</v>
      </c>
      <c r="X23" s="32">
        <v>26</v>
      </c>
      <c r="Y23" s="51">
        <v>44</v>
      </c>
      <c r="Z23" s="32">
        <f t="shared" si="2"/>
        <v>63.063063063063062</v>
      </c>
      <c r="AA23" s="32">
        <f t="shared" si="2"/>
        <v>43.333333333333336</v>
      </c>
      <c r="AB23" s="32">
        <f t="shared" si="2"/>
        <v>86.274509803921575</v>
      </c>
      <c r="AC23" s="60" t="s">
        <v>45</v>
      </c>
      <c r="AD23" s="67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3"/>
    </row>
    <row r="24" spans="1:49" ht="21" x14ac:dyDescent="0.25">
      <c r="A24" s="57" t="s">
        <v>18</v>
      </c>
      <c r="B24" s="10">
        <v>128</v>
      </c>
      <c r="C24" s="34"/>
      <c r="D24" s="28"/>
      <c r="E24" s="10">
        <v>54</v>
      </c>
      <c r="F24" s="21"/>
      <c r="G24" s="35"/>
      <c r="H24" s="28">
        <f t="shared" si="0"/>
        <v>42.1875</v>
      </c>
      <c r="I24" s="21"/>
      <c r="J24" s="21"/>
      <c r="K24" s="32">
        <v>173</v>
      </c>
      <c r="L24" s="32">
        <v>76</v>
      </c>
      <c r="M24" s="32">
        <v>97</v>
      </c>
      <c r="N24" s="50">
        <v>89</v>
      </c>
      <c r="O24" s="32">
        <v>32</v>
      </c>
      <c r="P24" s="51">
        <v>57</v>
      </c>
      <c r="Q24" s="32">
        <f t="shared" si="3"/>
        <v>51.445086705202314</v>
      </c>
      <c r="R24" s="32">
        <f t="shared" si="3"/>
        <v>42.105263157894733</v>
      </c>
      <c r="S24" s="52">
        <f t="shared" si="3"/>
        <v>58.762886597938149</v>
      </c>
      <c r="T24" s="32">
        <v>121</v>
      </c>
      <c r="U24" s="32">
        <v>58</v>
      </c>
      <c r="V24" s="32">
        <v>63</v>
      </c>
      <c r="W24" s="50">
        <v>89</v>
      </c>
      <c r="X24" s="32">
        <v>32</v>
      </c>
      <c r="Y24" s="51">
        <v>57</v>
      </c>
      <c r="Z24" s="32">
        <f t="shared" si="2"/>
        <v>73.553719008264466</v>
      </c>
      <c r="AA24" s="32">
        <f t="shared" si="2"/>
        <v>55.172413793103445</v>
      </c>
      <c r="AB24" s="32">
        <f t="shared" si="2"/>
        <v>90.476190476190482</v>
      </c>
      <c r="AC24" s="60" t="s">
        <v>46</v>
      </c>
      <c r="AD24" s="67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3"/>
    </row>
    <row r="25" spans="1:49" ht="21" x14ac:dyDescent="0.25">
      <c r="A25" s="57" t="s">
        <v>19</v>
      </c>
      <c r="B25" s="10">
        <v>215</v>
      </c>
      <c r="C25" s="34"/>
      <c r="D25" s="28"/>
      <c r="E25" s="10">
        <v>95</v>
      </c>
      <c r="F25" s="21"/>
      <c r="G25" s="35"/>
      <c r="H25" s="28">
        <f t="shared" si="0"/>
        <v>44.186046511627907</v>
      </c>
      <c r="I25" s="21"/>
      <c r="J25" s="21"/>
      <c r="K25" s="32">
        <v>226</v>
      </c>
      <c r="L25" s="32">
        <v>107</v>
      </c>
      <c r="M25" s="32">
        <v>119</v>
      </c>
      <c r="N25" s="50">
        <v>88</v>
      </c>
      <c r="O25" s="32">
        <v>38</v>
      </c>
      <c r="P25" s="51">
        <v>50</v>
      </c>
      <c r="Q25" s="32">
        <f t="shared" si="3"/>
        <v>38.938053097345133</v>
      </c>
      <c r="R25" s="32">
        <f t="shared" si="3"/>
        <v>35.514018691588781</v>
      </c>
      <c r="S25" s="52">
        <f t="shared" si="3"/>
        <v>42.016806722689076</v>
      </c>
      <c r="T25" s="32">
        <v>139</v>
      </c>
      <c r="U25" s="32">
        <v>76</v>
      </c>
      <c r="V25" s="32">
        <v>63</v>
      </c>
      <c r="W25" s="50">
        <v>88</v>
      </c>
      <c r="X25" s="32">
        <v>38</v>
      </c>
      <c r="Y25" s="51">
        <v>50</v>
      </c>
      <c r="Z25" s="32">
        <f t="shared" si="2"/>
        <v>63.309352517985609</v>
      </c>
      <c r="AA25" s="32">
        <f t="shared" si="2"/>
        <v>50</v>
      </c>
      <c r="AB25" s="32">
        <f t="shared" si="2"/>
        <v>79.365079365079367</v>
      </c>
      <c r="AC25" s="60" t="s">
        <v>47</v>
      </c>
      <c r="AD25" s="67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3"/>
    </row>
    <row r="26" spans="1:49" ht="21" x14ac:dyDescent="0.25">
      <c r="A26" s="57" t="s">
        <v>11</v>
      </c>
      <c r="B26" s="10">
        <v>237</v>
      </c>
      <c r="C26" s="34"/>
      <c r="D26" s="28"/>
      <c r="E26" s="10">
        <v>110</v>
      </c>
      <c r="F26" s="21"/>
      <c r="G26" s="35"/>
      <c r="H26" s="28">
        <f t="shared" si="0"/>
        <v>46.413502109704638</v>
      </c>
      <c r="I26" s="21"/>
      <c r="J26" s="21"/>
      <c r="K26" s="32">
        <v>290</v>
      </c>
      <c r="L26" s="32">
        <v>133</v>
      </c>
      <c r="M26" s="32">
        <v>157</v>
      </c>
      <c r="N26" s="50">
        <v>128</v>
      </c>
      <c r="O26" s="32">
        <v>41</v>
      </c>
      <c r="P26" s="51">
        <v>87</v>
      </c>
      <c r="Q26" s="32">
        <f t="shared" si="3"/>
        <v>44.137931034482762</v>
      </c>
      <c r="R26" s="32">
        <f t="shared" si="3"/>
        <v>30.82706766917293</v>
      </c>
      <c r="S26" s="52">
        <f t="shared" si="3"/>
        <v>55.414012738853501</v>
      </c>
      <c r="T26" s="32">
        <v>236</v>
      </c>
      <c r="U26" s="32">
        <v>115</v>
      </c>
      <c r="V26" s="32">
        <v>121</v>
      </c>
      <c r="W26" s="50">
        <v>128</v>
      </c>
      <c r="X26" s="32">
        <v>41</v>
      </c>
      <c r="Y26" s="51">
        <v>87</v>
      </c>
      <c r="Z26" s="32">
        <f t="shared" si="2"/>
        <v>54.237288135593218</v>
      </c>
      <c r="AA26" s="32">
        <f t="shared" si="2"/>
        <v>35.652173913043477</v>
      </c>
      <c r="AB26" s="32">
        <f t="shared" si="2"/>
        <v>71.900826446281002</v>
      </c>
      <c r="AC26" s="60" t="s">
        <v>48</v>
      </c>
      <c r="AD26" s="67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3"/>
    </row>
    <row r="27" spans="1:49" ht="21" x14ac:dyDescent="0.25">
      <c r="A27" s="57" t="s">
        <v>20</v>
      </c>
      <c r="B27" s="10">
        <v>146</v>
      </c>
      <c r="C27" s="34"/>
      <c r="D27" s="28"/>
      <c r="E27" s="10">
        <v>101</v>
      </c>
      <c r="F27" s="21"/>
      <c r="G27" s="35"/>
      <c r="H27" s="28">
        <f t="shared" si="0"/>
        <v>69.178082191780817</v>
      </c>
      <c r="I27" s="21"/>
      <c r="J27" s="21"/>
      <c r="K27" s="32">
        <v>207</v>
      </c>
      <c r="L27" s="32">
        <v>105</v>
      </c>
      <c r="M27" s="32">
        <v>102</v>
      </c>
      <c r="N27" s="50">
        <v>110</v>
      </c>
      <c r="O27" s="32">
        <v>47</v>
      </c>
      <c r="P27" s="51">
        <v>63</v>
      </c>
      <c r="Q27" s="32">
        <f t="shared" si="3"/>
        <v>53.140096618357489</v>
      </c>
      <c r="R27" s="32">
        <f t="shared" si="3"/>
        <v>44.761904761904766</v>
      </c>
      <c r="S27" s="52">
        <f t="shared" si="3"/>
        <v>61.764705882352942</v>
      </c>
      <c r="T27" s="32">
        <v>163</v>
      </c>
      <c r="U27" s="32">
        <v>93</v>
      </c>
      <c r="V27" s="32">
        <v>70</v>
      </c>
      <c r="W27" s="50">
        <v>110</v>
      </c>
      <c r="X27" s="32">
        <v>47</v>
      </c>
      <c r="Y27" s="51">
        <v>63</v>
      </c>
      <c r="Z27" s="32">
        <f t="shared" si="2"/>
        <v>67.484662576687114</v>
      </c>
      <c r="AA27" s="32">
        <f t="shared" si="2"/>
        <v>50.537634408602152</v>
      </c>
      <c r="AB27" s="32">
        <f t="shared" si="2"/>
        <v>90</v>
      </c>
      <c r="AC27" s="60" t="s">
        <v>49</v>
      </c>
      <c r="AD27" s="67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3"/>
    </row>
    <row r="28" spans="1:49" ht="21" x14ac:dyDescent="0.25">
      <c r="A28" s="57" t="s">
        <v>21</v>
      </c>
      <c r="B28" s="10">
        <v>189</v>
      </c>
      <c r="C28" s="34"/>
      <c r="D28" s="28"/>
      <c r="E28" s="10">
        <v>91</v>
      </c>
      <c r="F28" s="21"/>
      <c r="G28" s="35"/>
      <c r="H28" s="28">
        <f t="shared" si="0"/>
        <v>48.148148148148145</v>
      </c>
      <c r="I28" s="21"/>
      <c r="J28" s="21"/>
      <c r="K28" s="32">
        <v>217</v>
      </c>
      <c r="L28" s="32">
        <v>115</v>
      </c>
      <c r="M28" s="32">
        <v>102</v>
      </c>
      <c r="N28" s="50">
        <v>137</v>
      </c>
      <c r="O28" s="32">
        <v>63</v>
      </c>
      <c r="P28" s="51">
        <v>74</v>
      </c>
      <c r="Q28" s="32">
        <f t="shared" si="3"/>
        <v>63.133640552995395</v>
      </c>
      <c r="R28" s="32">
        <f t="shared" si="3"/>
        <v>54.782608695652172</v>
      </c>
      <c r="S28" s="52">
        <f t="shared" si="3"/>
        <v>72.549019607843135</v>
      </c>
      <c r="T28" s="32">
        <v>202</v>
      </c>
      <c r="U28" s="32">
        <v>111</v>
      </c>
      <c r="V28" s="32">
        <v>91</v>
      </c>
      <c r="W28" s="50">
        <v>137</v>
      </c>
      <c r="X28" s="32">
        <v>63</v>
      </c>
      <c r="Y28" s="51">
        <v>74</v>
      </c>
      <c r="Z28" s="32">
        <f t="shared" si="2"/>
        <v>67.821782178217831</v>
      </c>
      <c r="AA28" s="32">
        <f t="shared" si="2"/>
        <v>56.756756756756758</v>
      </c>
      <c r="AB28" s="32">
        <f t="shared" si="2"/>
        <v>81.318681318681314</v>
      </c>
      <c r="AC28" s="60" t="s">
        <v>50</v>
      </c>
      <c r="AD28" s="67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3"/>
    </row>
    <row r="29" spans="1:49" ht="21" x14ac:dyDescent="0.25">
      <c r="A29" s="57" t="s">
        <v>22</v>
      </c>
      <c r="B29" s="10">
        <v>156</v>
      </c>
      <c r="C29" s="34"/>
      <c r="D29" s="28"/>
      <c r="E29" s="10">
        <v>74</v>
      </c>
      <c r="F29" s="21"/>
      <c r="G29" s="35"/>
      <c r="H29" s="28">
        <f t="shared" si="0"/>
        <v>47.435897435897431</v>
      </c>
      <c r="I29" s="21"/>
      <c r="J29" s="21"/>
      <c r="K29" s="32">
        <v>193</v>
      </c>
      <c r="L29" s="32">
        <v>81</v>
      </c>
      <c r="M29" s="32">
        <v>112</v>
      </c>
      <c r="N29" s="50">
        <v>97</v>
      </c>
      <c r="O29" s="32">
        <v>21</v>
      </c>
      <c r="P29" s="51">
        <v>76</v>
      </c>
      <c r="Q29" s="32">
        <f t="shared" si="3"/>
        <v>50.259067357512954</v>
      </c>
      <c r="R29" s="32">
        <f t="shared" si="3"/>
        <v>25.925925925925924</v>
      </c>
      <c r="S29" s="52">
        <f t="shared" si="3"/>
        <v>67.857142857142861</v>
      </c>
      <c r="T29" s="32">
        <v>182</v>
      </c>
      <c r="U29" s="32">
        <v>78</v>
      </c>
      <c r="V29" s="32">
        <v>104</v>
      </c>
      <c r="W29" s="50">
        <v>97</v>
      </c>
      <c r="X29" s="32">
        <v>21</v>
      </c>
      <c r="Y29" s="51">
        <v>76</v>
      </c>
      <c r="Z29" s="32">
        <f t="shared" si="2"/>
        <v>53.296703296703299</v>
      </c>
      <c r="AA29" s="32">
        <f t="shared" si="2"/>
        <v>26.923076923076923</v>
      </c>
      <c r="AB29" s="32">
        <f t="shared" si="2"/>
        <v>73.076923076923066</v>
      </c>
      <c r="AC29" s="60" t="s">
        <v>51</v>
      </c>
      <c r="AD29" s="67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3"/>
    </row>
    <row r="30" spans="1:49" ht="21" x14ac:dyDescent="0.25">
      <c r="A30" s="59" t="s">
        <v>6</v>
      </c>
      <c r="B30" s="11">
        <v>311</v>
      </c>
      <c r="C30" s="36"/>
      <c r="D30" s="29"/>
      <c r="E30" s="11">
        <v>208</v>
      </c>
      <c r="F30" s="37"/>
      <c r="G30" s="38"/>
      <c r="H30" s="29">
        <f t="shared" si="0"/>
        <v>66.881028938906752</v>
      </c>
      <c r="I30" s="37"/>
      <c r="J30" s="37"/>
      <c r="K30" s="53">
        <v>313</v>
      </c>
      <c r="L30" s="53">
        <v>164</v>
      </c>
      <c r="M30" s="53">
        <v>149</v>
      </c>
      <c r="N30" s="54">
        <v>191</v>
      </c>
      <c r="O30" s="53">
        <v>85</v>
      </c>
      <c r="P30" s="55">
        <v>106</v>
      </c>
      <c r="Q30" s="53">
        <f t="shared" si="3"/>
        <v>61.022364217252402</v>
      </c>
      <c r="R30" s="53">
        <f t="shared" si="3"/>
        <v>51.829268292682926</v>
      </c>
      <c r="S30" s="56">
        <f t="shared" si="3"/>
        <v>71.140939597315437</v>
      </c>
      <c r="T30" s="53">
        <v>274</v>
      </c>
      <c r="U30" s="53">
        <v>150</v>
      </c>
      <c r="V30" s="53">
        <v>124</v>
      </c>
      <c r="W30" s="54">
        <v>191</v>
      </c>
      <c r="X30" s="53">
        <v>85</v>
      </c>
      <c r="Y30" s="55">
        <v>106</v>
      </c>
      <c r="Z30" s="53">
        <f t="shared" si="2"/>
        <v>69.708029197080293</v>
      </c>
      <c r="AA30" s="53">
        <f t="shared" si="2"/>
        <v>56.666666666666664</v>
      </c>
      <c r="AB30" s="53">
        <f t="shared" si="2"/>
        <v>85.483870967741936</v>
      </c>
      <c r="AC30" s="62" t="s">
        <v>52</v>
      </c>
      <c r="AD30" s="68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3"/>
    </row>
    <row r="31" spans="1:49" ht="18" x14ac:dyDescent="0.45">
      <c r="A31" s="12" t="s">
        <v>23</v>
      </c>
      <c r="B31" s="13"/>
      <c r="C31" s="13"/>
      <c r="D31" s="13"/>
      <c r="E31" s="13"/>
      <c r="F31" s="13"/>
      <c r="G31" s="13"/>
      <c r="H31" s="13"/>
      <c r="I31" s="13"/>
      <c r="J31" s="16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63" t="s">
        <v>24</v>
      </c>
      <c r="AD31" s="69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ht="18" x14ac:dyDescent="0.45">
      <c r="A32" s="15" t="s">
        <v>53</v>
      </c>
      <c r="B32" s="15"/>
      <c r="C32" s="15"/>
      <c r="D32" s="15"/>
      <c r="E32" s="15"/>
      <c r="F32" s="15"/>
      <c r="G32" s="15"/>
      <c r="H32" s="15"/>
      <c r="I32" s="15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5"/>
      <c r="AD32" s="69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74"/>
    </row>
    <row r="33" spans="1:86" ht="18" x14ac:dyDescent="0.45">
      <c r="A33" s="15" t="s">
        <v>54</v>
      </c>
      <c r="B33" s="15"/>
      <c r="C33" s="15"/>
      <c r="D33" s="15"/>
      <c r="E33" s="15"/>
      <c r="F33" s="15"/>
      <c r="G33" s="15"/>
      <c r="H33" s="15"/>
      <c r="I33" s="15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5"/>
      <c r="AD33" s="69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75"/>
      <c r="AY33" s="75"/>
      <c r="AZ33" s="75"/>
    </row>
    <row r="34" spans="1:86" s="19" customFormat="1" ht="18" x14ac:dyDescent="0.45">
      <c r="A34" s="17" t="s">
        <v>55</v>
      </c>
      <c r="B34" s="17"/>
      <c r="C34" s="17"/>
      <c r="D34" s="17"/>
      <c r="E34" s="17"/>
      <c r="F34" s="17"/>
      <c r="G34" s="17"/>
      <c r="H34" s="17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76"/>
      <c r="AY34" s="76"/>
      <c r="AZ34" s="76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</row>
    <row r="35" spans="1:86" x14ac:dyDescent="0.25">
      <c r="A35" s="88" t="s">
        <v>65</v>
      </c>
      <c r="AE35" s="21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X35" s="78"/>
      <c r="AY35" s="78"/>
      <c r="AZ35" s="78"/>
    </row>
    <row r="36" spans="1:86" x14ac:dyDescent="0.25">
      <c r="AE36" s="21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W36" s="79"/>
      <c r="AX36" s="78"/>
      <c r="AY36" s="78"/>
      <c r="AZ36" s="78"/>
    </row>
    <row r="37" spans="1:86" x14ac:dyDescent="0.25">
      <c r="AE37" s="21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W37" s="79"/>
      <c r="AX37" s="78"/>
      <c r="AY37" s="78"/>
      <c r="AZ37" s="78"/>
    </row>
    <row r="38" spans="1:86" x14ac:dyDescent="0.25">
      <c r="AE38" s="21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W38" s="79"/>
      <c r="AX38" s="78"/>
      <c r="AY38" s="78"/>
      <c r="AZ38" s="78"/>
    </row>
    <row r="39" spans="1:86" x14ac:dyDescent="0.25">
      <c r="AE39" s="21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W39" s="79"/>
      <c r="AX39" s="78"/>
      <c r="AY39" s="78"/>
      <c r="AZ39" s="78"/>
    </row>
    <row r="40" spans="1:86" x14ac:dyDescent="0.25">
      <c r="AE40" s="21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W40" s="79"/>
      <c r="AX40" s="78"/>
      <c r="AY40" s="78"/>
      <c r="AZ40" s="78"/>
    </row>
    <row r="41" spans="1:86" x14ac:dyDescent="0.25"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W41" s="79"/>
      <c r="AX41" s="78"/>
      <c r="AY41" s="78"/>
      <c r="AZ41" s="78"/>
    </row>
    <row r="42" spans="1:86" x14ac:dyDescent="0.25"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W42" s="79"/>
      <c r="AX42" s="78"/>
      <c r="AY42" s="78"/>
      <c r="AZ42" s="78"/>
    </row>
    <row r="43" spans="1:86" x14ac:dyDescent="0.25"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W43" s="79"/>
      <c r="AX43" s="78"/>
      <c r="AY43" s="78"/>
      <c r="AZ43" s="78"/>
    </row>
    <row r="44" spans="1:86" x14ac:dyDescent="0.25"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W44" s="79"/>
      <c r="AX44" s="78"/>
      <c r="AY44" s="78"/>
      <c r="AZ44" s="78"/>
    </row>
    <row r="45" spans="1:86" x14ac:dyDescent="0.25"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W45" s="79"/>
      <c r="AX45" s="78"/>
      <c r="AY45" s="78"/>
      <c r="AZ45" s="78"/>
    </row>
    <row r="46" spans="1:86" x14ac:dyDescent="0.25"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W46" s="79"/>
      <c r="AX46" s="78"/>
      <c r="AY46" s="78"/>
      <c r="AZ46" s="78"/>
    </row>
    <row r="47" spans="1:86" x14ac:dyDescent="0.25"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W47" s="79"/>
      <c r="AX47" s="78"/>
      <c r="AY47" s="78"/>
      <c r="AZ47" s="78"/>
    </row>
    <row r="48" spans="1:86" x14ac:dyDescent="0.25"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W48" s="79"/>
      <c r="AX48" s="78"/>
      <c r="AY48" s="78"/>
      <c r="AZ48" s="78"/>
      <c r="BL48" s="92" t="s">
        <v>61</v>
      </c>
      <c r="BM48" s="92"/>
      <c r="BN48" s="92" t="s">
        <v>62</v>
      </c>
      <c r="BO48" s="92"/>
    </row>
    <row r="49" spans="32:67" x14ac:dyDescent="0.25"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W49" s="79"/>
      <c r="AX49" s="78"/>
      <c r="AY49" s="78"/>
      <c r="AZ49" s="78"/>
      <c r="BL49" s="83" t="s">
        <v>25</v>
      </c>
      <c r="BM49" s="83" t="s">
        <v>26</v>
      </c>
      <c r="BN49" s="83" t="s">
        <v>25</v>
      </c>
      <c r="BO49" s="83" t="s">
        <v>26</v>
      </c>
    </row>
    <row r="50" spans="32:67" x14ac:dyDescent="0.25"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W50" s="79"/>
      <c r="AX50" s="78"/>
      <c r="AY50" s="78"/>
      <c r="AZ50" s="78"/>
      <c r="BH50" s="83" t="s">
        <v>63</v>
      </c>
      <c r="BI50" s="83" t="s">
        <v>64</v>
      </c>
      <c r="BK50" s="84" t="s">
        <v>1</v>
      </c>
      <c r="BL50" s="21">
        <v>800</v>
      </c>
      <c r="BM50" s="21">
        <v>814</v>
      </c>
      <c r="BN50" s="21">
        <v>519</v>
      </c>
      <c r="BO50" s="21">
        <v>572</v>
      </c>
    </row>
    <row r="51" spans="32:67" x14ac:dyDescent="0.25"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W51" s="79"/>
      <c r="AX51" s="78"/>
      <c r="AY51" s="78"/>
      <c r="AZ51" s="78"/>
      <c r="BG51" s="84" t="s">
        <v>1</v>
      </c>
      <c r="BH51" s="31">
        <f>BL50+BM50</f>
        <v>1614</v>
      </c>
      <c r="BI51" s="31">
        <f>BN50+BO50</f>
        <v>1091</v>
      </c>
      <c r="BK51" s="85" t="s">
        <v>3</v>
      </c>
      <c r="BL51" s="21">
        <v>137</v>
      </c>
      <c r="BM51" s="21">
        <v>126</v>
      </c>
      <c r="BN51" s="21">
        <v>80</v>
      </c>
      <c r="BO51" s="21">
        <v>116</v>
      </c>
    </row>
    <row r="52" spans="32:67" x14ac:dyDescent="0.25">
      <c r="AF52" s="13"/>
      <c r="AG52" s="13"/>
      <c r="AH52" s="13"/>
      <c r="AI52" s="13"/>
      <c r="AJ52" s="13"/>
      <c r="AK52" s="13"/>
      <c r="AL52" s="13"/>
      <c r="AM52" s="13"/>
      <c r="AN52" s="13"/>
      <c r="AP52" s="20"/>
      <c r="AQ52" s="20"/>
      <c r="AR52" s="20"/>
      <c r="AS52" s="20"/>
      <c r="AT52" s="20"/>
      <c r="AV52" s="20"/>
      <c r="AW52" s="20"/>
      <c r="AX52" s="80"/>
      <c r="AY52" s="80"/>
      <c r="AZ52" s="78"/>
      <c r="BG52" s="85" t="s">
        <v>3</v>
      </c>
      <c r="BH52" s="31">
        <f t="shared" ref="BH52:BH70" si="4">BL51+BM51</f>
        <v>263</v>
      </c>
      <c r="BI52" s="31">
        <f t="shared" ref="BI52:BI70" si="5">BN51+BO51</f>
        <v>196</v>
      </c>
      <c r="BK52" s="85" t="s">
        <v>4</v>
      </c>
      <c r="BL52" s="21">
        <v>162</v>
      </c>
      <c r="BM52" s="21">
        <v>169</v>
      </c>
      <c r="BN52" s="21">
        <v>76</v>
      </c>
      <c r="BO52" s="21">
        <v>140</v>
      </c>
    </row>
    <row r="53" spans="32:67" ht="21" x14ac:dyDescent="0.55000000000000004">
      <c r="AF53" s="13"/>
      <c r="AG53" s="13"/>
      <c r="AH53" s="13"/>
      <c r="AI53" s="13"/>
      <c r="AJ53" s="13"/>
      <c r="AK53" s="13"/>
      <c r="AL53" s="13"/>
      <c r="AM53" s="13"/>
      <c r="AN53" s="13"/>
      <c r="AO53" s="20"/>
      <c r="AP53" s="80"/>
      <c r="AQ53" s="80"/>
      <c r="AR53" s="80"/>
      <c r="AS53" s="81"/>
      <c r="AT53" s="81"/>
      <c r="AV53" s="82"/>
      <c r="AW53" s="82"/>
      <c r="AX53" s="80"/>
      <c r="AY53" s="80"/>
      <c r="AZ53" s="78"/>
      <c r="BG53" s="85" t="s">
        <v>4</v>
      </c>
      <c r="BH53" s="31">
        <f t="shared" si="4"/>
        <v>331</v>
      </c>
      <c r="BI53" s="31">
        <f t="shared" si="5"/>
        <v>216</v>
      </c>
      <c r="BK53" s="85" t="s">
        <v>5</v>
      </c>
      <c r="BL53" s="21">
        <v>158</v>
      </c>
      <c r="BM53" s="21">
        <v>111</v>
      </c>
      <c r="BN53" s="21">
        <v>102</v>
      </c>
      <c r="BO53" s="21">
        <v>99</v>
      </c>
    </row>
    <row r="54" spans="32:67" ht="21" x14ac:dyDescent="0.55000000000000004">
      <c r="AF54" s="13"/>
      <c r="AG54" s="13"/>
      <c r="AH54" s="13"/>
      <c r="AI54" s="13"/>
      <c r="AJ54" s="13"/>
      <c r="AK54" s="13"/>
      <c r="AL54" s="13"/>
      <c r="AM54" s="13"/>
      <c r="AN54" s="13"/>
      <c r="AO54" s="20"/>
      <c r="AP54" s="80"/>
      <c r="AQ54" s="80"/>
      <c r="AR54" s="80"/>
      <c r="AS54" s="81"/>
      <c r="AT54" s="81"/>
      <c r="AV54" s="82"/>
      <c r="AW54" s="82"/>
      <c r="AX54" s="80"/>
      <c r="AY54" s="80"/>
      <c r="AZ54" s="78"/>
      <c r="BG54" s="85" t="s">
        <v>5</v>
      </c>
      <c r="BH54" s="31">
        <f t="shared" si="4"/>
        <v>269</v>
      </c>
      <c r="BI54" s="31">
        <f t="shared" si="5"/>
        <v>201</v>
      </c>
      <c r="BK54" s="86" t="s">
        <v>7</v>
      </c>
      <c r="BL54" s="21">
        <v>91</v>
      </c>
      <c r="BM54" s="21">
        <v>85</v>
      </c>
      <c r="BN54" s="21">
        <v>44</v>
      </c>
      <c r="BO54" s="21">
        <v>70</v>
      </c>
    </row>
    <row r="55" spans="32:67" ht="21" x14ac:dyDescent="0.55000000000000004">
      <c r="AO55" s="20"/>
      <c r="AP55" s="80"/>
      <c r="AQ55" s="80"/>
      <c r="AR55" s="80"/>
      <c r="AS55" s="81"/>
      <c r="AT55" s="81"/>
      <c r="AV55" s="82"/>
      <c r="AW55" s="82"/>
      <c r="AX55" s="80"/>
      <c r="AY55" s="80"/>
      <c r="BG55" s="86" t="s">
        <v>7</v>
      </c>
      <c r="BH55" s="31">
        <f t="shared" si="4"/>
        <v>176</v>
      </c>
      <c r="BI55" s="31">
        <f t="shared" si="5"/>
        <v>114</v>
      </c>
      <c r="BK55" s="85" t="s">
        <v>8</v>
      </c>
      <c r="BL55" s="21">
        <v>170</v>
      </c>
      <c r="BM55" s="21">
        <v>142</v>
      </c>
      <c r="BN55" s="21">
        <v>87</v>
      </c>
      <c r="BO55" s="21">
        <v>112</v>
      </c>
    </row>
    <row r="56" spans="32:67" x14ac:dyDescent="0.25">
      <c r="BG56" s="85" t="s">
        <v>8</v>
      </c>
      <c r="BH56" s="31">
        <f t="shared" si="4"/>
        <v>312</v>
      </c>
      <c r="BI56" s="31">
        <f t="shared" si="5"/>
        <v>199</v>
      </c>
      <c r="BK56" s="85" t="s">
        <v>9</v>
      </c>
      <c r="BL56" s="21">
        <v>91</v>
      </c>
      <c r="BM56" s="21">
        <v>84</v>
      </c>
      <c r="BN56" s="21">
        <v>61</v>
      </c>
      <c r="BO56" s="21">
        <v>79</v>
      </c>
    </row>
    <row r="57" spans="32:67" x14ac:dyDescent="0.25">
      <c r="BG57" s="85" t="s">
        <v>9</v>
      </c>
      <c r="BH57" s="31">
        <f t="shared" si="4"/>
        <v>175</v>
      </c>
      <c r="BI57" s="31">
        <f t="shared" si="5"/>
        <v>140</v>
      </c>
      <c r="BK57" s="85" t="s">
        <v>10</v>
      </c>
      <c r="BL57" s="21">
        <v>54</v>
      </c>
      <c r="BM57" s="21">
        <v>63</v>
      </c>
      <c r="BN57" s="21">
        <v>20</v>
      </c>
      <c r="BO57" s="21">
        <v>59</v>
      </c>
    </row>
    <row r="58" spans="32:67" x14ac:dyDescent="0.25">
      <c r="BG58" s="85" t="s">
        <v>10</v>
      </c>
      <c r="BH58" s="31">
        <f t="shared" si="4"/>
        <v>117</v>
      </c>
      <c r="BI58" s="31">
        <f t="shared" si="5"/>
        <v>79</v>
      </c>
      <c r="BK58" s="85" t="s">
        <v>12</v>
      </c>
      <c r="BL58" s="21">
        <v>73</v>
      </c>
      <c r="BM58" s="21">
        <v>73</v>
      </c>
      <c r="BN58" s="21">
        <v>31</v>
      </c>
      <c r="BO58" s="21">
        <v>66</v>
      </c>
    </row>
    <row r="59" spans="32:67" x14ac:dyDescent="0.25">
      <c r="BG59" s="85" t="s">
        <v>12</v>
      </c>
      <c r="BH59" s="31">
        <f t="shared" si="4"/>
        <v>146</v>
      </c>
      <c r="BI59" s="31">
        <f t="shared" si="5"/>
        <v>97</v>
      </c>
      <c r="BK59" s="85" t="s">
        <v>13</v>
      </c>
      <c r="BL59" s="21">
        <v>56</v>
      </c>
      <c r="BM59" s="21">
        <v>46</v>
      </c>
      <c r="BN59" s="21">
        <v>29</v>
      </c>
      <c r="BO59" s="21">
        <v>41</v>
      </c>
    </row>
    <row r="60" spans="32:67" x14ac:dyDescent="0.25">
      <c r="BG60" s="85" t="s">
        <v>13</v>
      </c>
      <c r="BH60" s="31">
        <f t="shared" si="4"/>
        <v>102</v>
      </c>
      <c r="BI60" s="31">
        <f t="shared" si="5"/>
        <v>70</v>
      </c>
      <c r="BK60" s="85" t="s">
        <v>14</v>
      </c>
      <c r="BL60" s="21">
        <v>55</v>
      </c>
      <c r="BM60" s="21">
        <v>56</v>
      </c>
      <c r="BN60" s="21">
        <v>26</v>
      </c>
      <c r="BO60" s="21">
        <v>43</v>
      </c>
    </row>
    <row r="61" spans="32:67" x14ac:dyDescent="0.25">
      <c r="BG61" s="85" t="s">
        <v>14</v>
      </c>
      <c r="BH61" s="31">
        <f t="shared" si="4"/>
        <v>111</v>
      </c>
      <c r="BI61" s="31">
        <f t="shared" si="5"/>
        <v>69</v>
      </c>
      <c r="BK61" s="85" t="s">
        <v>15</v>
      </c>
      <c r="BL61" s="21">
        <v>8</v>
      </c>
      <c r="BM61" s="21">
        <v>12</v>
      </c>
      <c r="BN61" s="21">
        <v>5</v>
      </c>
      <c r="BO61" s="21">
        <v>12</v>
      </c>
    </row>
    <row r="62" spans="32:67" x14ac:dyDescent="0.25">
      <c r="BG62" s="85" t="s">
        <v>15</v>
      </c>
      <c r="BH62" s="31">
        <f t="shared" si="4"/>
        <v>20</v>
      </c>
      <c r="BI62" s="31">
        <f t="shared" si="5"/>
        <v>17</v>
      </c>
      <c r="BK62" s="85" t="s">
        <v>16</v>
      </c>
      <c r="BL62" s="21">
        <v>38</v>
      </c>
      <c r="BM62" s="21">
        <v>23</v>
      </c>
      <c r="BN62" s="21">
        <v>23</v>
      </c>
      <c r="BO62" s="21">
        <v>22</v>
      </c>
    </row>
    <row r="63" spans="32:67" x14ac:dyDescent="0.25">
      <c r="BG63" s="85" t="s">
        <v>16</v>
      </c>
      <c r="BH63" s="31">
        <f t="shared" si="4"/>
        <v>61</v>
      </c>
      <c r="BI63" s="31">
        <f t="shared" si="5"/>
        <v>45</v>
      </c>
      <c r="BK63" s="85" t="s">
        <v>17</v>
      </c>
      <c r="BL63" s="21">
        <v>60</v>
      </c>
      <c r="BM63" s="21">
        <v>51</v>
      </c>
      <c r="BN63" s="21">
        <v>26</v>
      </c>
      <c r="BO63" s="21">
        <v>44</v>
      </c>
    </row>
    <row r="64" spans="32:67" x14ac:dyDescent="0.25">
      <c r="BG64" s="85" t="s">
        <v>17</v>
      </c>
      <c r="BH64" s="31">
        <f t="shared" si="4"/>
        <v>111</v>
      </c>
      <c r="BI64" s="31">
        <f t="shared" si="5"/>
        <v>70</v>
      </c>
      <c r="BK64" s="85" t="s">
        <v>18</v>
      </c>
      <c r="BL64" s="21">
        <v>58</v>
      </c>
      <c r="BM64" s="21">
        <v>63</v>
      </c>
      <c r="BN64" s="21">
        <v>32</v>
      </c>
      <c r="BO64" s="21">
        <v>57</v>
      </c>
    </row>
    <row r="65" spans="59:67" x14ac:dyDescent="0.25">
      <c r="BG65" s="85" t="s">
        <v>18</v>
      </c>
      <c r="BH65" s="31">
        <f t="shared" si="4"/>
        <v>121</v>
      </c>
      <c r="BI65" s="31">
        <f t="shared" si="5"/>
        <v>89</v>
      </c>
      <c r="BK65" s="85" t="s">
        <v>19</v>
      </c>
      <c r="BL65" s="21">
        <v>76</v>
      </c>
      <c r="BM65" s="21">
        <v>63</v>
      </c>
      <c r="BN65" s="21">
        <v>38</v>
      </c>
      <c r="BO65" s="21">
        <v>50</v>
      </c>
    </row>
    <row r="66" spans="59:67" x14ac:dyDescent="0.25">
      <c r="BG66" s="85" t="s">
        <v>19</v>
      </c>
      <c r="BH66" s="31">
        <f t="shared" si="4"/>
        <v>139</v>
      </c>
      <c r="BI66" s="31">
        <f t="shared" si="5"/>
        <v>88</v>
      </c>
      <c r="BK66" s="85" t="s">
        <v>11</v>
      </c>
      <c r="BL66" s="21">
        <v>115</v>
      </c>
      <c r="BM66" s="21">
        <v>121</v>
      </c>
      <c r="BN66" s="21">
        <v>41</v>
      </c>
      <c r="BO66" s="21">
        <v>87</v>
      </c>
    </row>
    <row r="67" spans="59:67" x14ac:dyDescent="0.25">
      <c r="BG67" s="85" t="s">
        <v>11</v>
      </c>
      <c r="BH67" s="31">
        <f t="shared" si="4"/>
        <v>236</v>
      </c>
      <c r="BI67" s="31">
        <f t="shared" si="5"/>
        <v>128</v>
      </c>
      <c r="BK67" s="85" t="s">
        <v>20</v>
      </c>
      <c r="BL67" s="21">
        <v>93</v>
      </c>
      <c r="BM67" s="21">
        <v>70</v>
      </c>
      <c r="BN67" s="21">
        <v>47</v>
      </c>
      <c r="BO67" s="21">
        <v>63</v>
      </c>
    </row>
    <row r="68" spans="59:67" x14ac:dyDescent="0.25">
      <c r="BG68" s="85" t="s">
        <v>20</v>
      </c>
      <c r="BH68" s="31">
        <f t="shared" si="4"/>
        <v>163</v>
      </c>
      <c r="BI68" s="31">
        <f t="shared" si="5"/>
        <v>110</v>
      </c>
      <c r="BK68" s="85" t="s">
        <v>21</v>
      </c>
      <c r="BL68" s="21">
        <v>111</v>
      </c>
      <c r="BM68" s="21">
        <v>91</v>
      </c>
      <c r="BN68" s="21">
        <v>63</v>
      </c>
      <c r="BO68" s="21">
        <v>74</v>
      </c>
    </row>
    <row r="69" spans="59:67" x14ac:dyDescent="0.25">
      <c r="BG69" s="85" t="s">
        <v>21</v>
      </c>
      <c r="BH69" s="31">
        <f t="shared" si="4"/>
        <v>202</v>
      </c>
      <c r="BI69" s="31">
        <f t="shared" si="5"/>
        <v>137</v>
      </c>
      <c r="BK69" s="85" t="s">
        <v>22</v>
      </c>
      <c r="BL69" s="21">
        <v>78</v>
      </c>
      <c r="BM69" s="21">
        <v>104</v>
      </c>
      <c r="BN69" s="21">
        <v>21</v>
      </c>
      <c r="BO69" s="21">
        <v>76</v>
      </c>
    </row>
    <row r="70" spans="59:67" x14ac:dyDescent="0.25">
      <c r="BG70" s="85" t="s">
        <v>22</v>
      </c>
      <c r="BH70" s="31">
        <f t="shared" si="4"/>
        <v>182</v>
      </c>
      <c r="BI70" s="31">
        <f t="shared" si="5"/>
        <v>97</v>
      </c>
      <c r="BK70" s="85" t="s">
        <v>6</v>
      </c>
      <c r="BL70" s="21">
        <v>150</v>
      </c>
      <c r="BM70" s="21">
        <v>124</v>
      </c>
      <c r="BN70" s="21">
        <v>85</v>
      </c>
      <c r="BO70" s="21">
        <v>106</v>
      </c>
    </row>
    <row r="71" spans="59:67" x14ac:dyDescent="0.25">
      <c r="BG71" s="85" t="s">
        <v>6</v>
      </c>
      <c r="BH71" s="31">
        <f>BL70+BM70</f>
        <v>274</v>
      </c>
      <c r="BI71" s="31">
        <f>BN70+BO70</f>
        <v>191</v>
      </c>
    </row>
  </sheetData>
  <mergeCells count="18">
    <mergeCell ref="A2:AC2"/>
    <mergeCell ref="A3:AC3"/>
    <mergeCell ref="B5:J5"/>
    <mergeCell ref="K5:S5"/>
    <mergeCell ref="T5:AB5"/>
    <mergeCell ref="AC5:AC7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L48:BM48"/>
    <mergeCell ref="BN48:BO48"/>
    <mergeCell ref="A5:A7"/>
  </mergeCells>
  <pageMargins left="0.7" right="0.7" top="0.75" bottom="0.75" header="0.3" footer="0.3"/>
  <pageSetup scale="45" orientation="portrait" horizontalDpi="4294967295" verticalDpi="4294967295" r:id="rId1"/>
  <colBreaks count="1" manualBreakCount="1">
    <brk id="30" max="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7.15</vt:lpstr>
      <vt:lpstr>'7.15'!Print_Area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2021-07-12T04:08:28Z</cp:lastPrinted>
  <dcterms:created xsi:type="dcterms:W3CDTF">2019-02-28T08:20:57Z</dcterms:created>
  <dcterms:modified xsi:type="dcterms:W3CDTF">2021-07-12T04:08:38Z</dcterms:modified>
</cp:coreProperties>
</file>