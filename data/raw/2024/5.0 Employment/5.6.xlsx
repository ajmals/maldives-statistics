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mpl\"/>
    </mc:Choice>
  </mc:AlternateContent>
  <xr:revisionPtr revIDLastSave="0" documentId="13_ncr:1_{F50DE72B-C79A-4630-83EE-64B5E1251126}" xr6:coauthVersionLast="47" xr6:coauthVersionMax="47" xr10:uidLastSave="{00000000-0000-0000-0000-000000000000}"/>
  <bookViews>
    <workbookView xWindow="-120" yWindow="-120" windowWidth="29040" windowHeight="15720" tabRatio="736" xr2:uid="{00000000-000D-0000-FFFF-FFFF00000000}"/>
  </bookViews>
  <sheets>
    <sheet name="5.6" sheetId="5" r:id="rId1"/>
  </sheets>
  <definedNames>
    <definedName name="_xlnm.Print_Area" localSheetId="0">'5.6'!$A$1:$N$48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2" i="5" l="1"/>
  <c r="AJ21" i="5"/>
  <c r="J13" i="5" l="1"/>
  <c r="F13" i="5"/>
  <c r="D13" i="5"/>
  <c r="C13" i="5"/>
  <c r="J12" i="5"/>
  <c r="F12" i="5"/>
  <c r="D12" i="5"/>
  <c r="C12" i="5"/>
  <c r="J11" i="5"/>
  <c r="F11" i="5"/>
  <c r="D11" i="5"/>
  <c r="C11" i="5"/>
  <c r="J10" i="5"/>
  <c r="F10" i="5"/>
  <c r="D10" i="5"/>
  <c r="C10" i="5"/>
  <c r="L9" i="5"/>
  <c r="K9" i="5"/>
  <c r="H9" i="5"/>
  <c r="G9" i="5"/>
  <c r="F9" i="5" l="1"/>
  <c r="B10" i="5"/>
  <c r="J9" i="5"/>
  <c r="B11" i="5"/>
  <c r="B13" i="5"/>
  <c r="B12" i="5"/>
  <c r="D9" i="5"/>
  <c r="C9" i="5"/>
  <c r="B9" i="5" l="1"/>
  <c r="AJ24" i="5" l="1"/>
  <c r="AJ23" i="5"/>
</calcChain>
</file>

<file path=xl/sharedStrings.xml><?xml version="1.0" encoding="utf-8"?>
<sst xmlns="http://schemas.openxmlformats.org/spreadsheetml/2006/main" count="44" uniqueCount="28">
  <si>
    <t>Republic</t>
  </si>
  <si>
    <t>Male'</t>
  </si>
  <si>
    <t>ދެޖިންސް</t>
  </si>
  <si>
    <t>ފިރިހެން</t>
  </si>
  <si>
    <t>އަންހެން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</si>
  <si>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</si>
  <si>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</si>
  <si>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</si>
  <si>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</si>
  <si>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</si>
  <si>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 xml:space="preserve"> މުޅިރާއްޖެ</t>
  </si>
  <si>
    <t>މާލެ</t>
  </si>
  <si>
    <t>އަތޮޅުތައް</t>
  </si>
  <si>
    <t>Atolls</t>
  </si>
  <si>
    <t>Both sexes</t>
  </si>
  <si>
    <t>ޖުމްލަ</t>
  </si>
  <si>
    <t>އަސާސީ މުސާރަ (ރުފިޔާއިން)</t>
  </si>
  <si>
    <t>Basic Salary Range (in MVR)</t>
  </si>
  <si>
    <t>Less than 5,000</t>
  </si>
  <si>
    <t xml:space="preserve">5،000އަށް ވުރެ ދަށް  </t>
  </si>
  <si>
    <t>5,000 - 9,999</t>
  </si>
  <si>
    <t>9,999 - 5,000</t>
  </si>
  <si>
    <t>10,000 - 14,999</t>
  </si>
  <si>
    <t>14,999 - 10,000</t>
  </si>
  <si>
    <t>15,000 and above</t>
  </si>
  <si>
    <t xml:space="preserve">15،000އާއި އެއަށްވުރެ މަތި </t>
  </si>
  <si>
    <t>Table 5.6: CIVIL SERVANTS CLASSIFIED BY  BASIC SALARY, SEX AND LOCALITY,  2023</t>
  </si>
  <si>
    <t>ތާވަލު 5.6: ސިވިލް ސަރވަންޓުންގެ މަގާމުތައް އަސާސީ މުސާރަ އަދި ޖިންސްއިން ކްލެސިފައިކުރެވިފައިވާ ގޮތް،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</si>
</sst>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1"/>
      <color theme="1"/>
      <name val="Faruma"/>
    </font>
    <font>
      <sz val="11"/>
      <color theme="1"/>
      <name val="Faruma"/>
    </font>
    <font>
      <sz val="11"/>
      <color theme="1"/>
      <name val="Wingdings"/>
      <charset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43" fontId="4" fillId="0" borderId="0" applyFont="0" applyFill="0" applyBorder="0" applyAlignment="0" applyProtection="0"/>
    <xf numFmtId="0" fontId="16" fillId="0" borderId="0"/>
    <xf numFmtId="0" fontId="4" fillId="0" borderId="0"/>
  </cellStyleXfs>
  <cellXfs count="56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3" fontId="0" fillId="2" borderId="0" xfId="0" applyNumberFormat="1" applyFill="1"/>
    <xf numFmtId="3" fontId="10" fillId="2" borderId="0" xfId="4" applyNumberFormat="1" applyFont="1" applyFill="1" applyAlignment="1">
      <alignment horizontal="right" vertical="center"/>
    </xf>
    <xf numFmtId="0" fontId="11" fillId="2" borderId="1" xfId="4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readingOrder="2"/>
    </xf>
    <xf numFmtId="1" fontId="0" fillId="2" borderId="0" xfId="0" applyNumberFormat="1" applyFill="1"/>
    <xf numFmtId="0" fontId="2" fillId="2" borderId="0" xfId="0" applyFont="1" applyFill="1"/>
    <xf numFmtId="0" fontId="3" fillId="2" borderId="0" xfId="0" applyFont="1" applyFill="1"/>
    <xf numFmtId="0" fontId="9" fillId="2" borderId="5" xfId="3" applyFont="1" applyFill="1" applyBorder="1"/>
    <xf numFmtId="0" fontId="0" fillId="2" borderId="1" xfId="0" applyFill="1" applyBorder="1"/>
    <xf numFmtId="0" fontId="11" fillId="2" borderId="7" xfId="4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right" vertical="center"/>
    </xf>
    <xf numFmtId="0" fontId="0" fillId="2" borderId="2" xfId="0" applyFill="1" applyBorder="1"/>
    <xf numFmtId="0" fontId="6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readingOrder="2"/>
    </xf>
    <xf numFmtId="0" fontId="0" fillId="2" borderId="2" xfId="0" applyFill="1" applyBorder="1" applyAlignment="1">
      <alignment vertical="center"/>
    </xf>
    <xf numFmtId="167" fontId="0" fillId="2" borderId="0" xfId="0" applyNumberFormat="1" applyFill="1"/>
    <xf numFmtId="0" fontId="12" fillId="2" borderId="1" xfId="0" applyFont="1" applyFill="1" applyBorder="1" applyAlignment="1">
      <alignment horizontal="right" indent="1"/>
    </xf>
    <xf numFmtId="3" fontId="13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horizontal="right" indent="1"/>
    </xf>
    <xf numFmtId="3" fontId="13" fillId="2" borderId="2" xfId="0" applyNumberFormat="1" applyFont="1" applyFill="1" applyBorder="1" applyAlignment="1">
      <alignment horizontal="right"/>
    </xf>
    <xf numFmtId="9" fontId="0" fillId="2" borderId="0" xfId="2" applyFont="1" applyFill="1"/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0" fillId="2" borderId="3" xfId="0" applyFill="1" applyBorder="1" applyAlignment="1">
      <alignment vertical="center"/>
    </xf>
    <xf numFmtId="3" fontId="0" fillId="2" borderId="0" xfId="0" applyNumberFormat="1" applyFill="1" applyAlignment="1">
      <alignment vertical="center"/>
    </xf>
    <xf numFmtId="0" fontId="0" fillId="2" borderId="11" xfId="0" applyFill="1" applyBorder="1" applyAlignment="1">
      <alignment vertical="center"/>
    </xf>
    <xf numFmtId="3" fontId="3" fillId="2" borderId="0" xfId="0" applyNumberFormat="1" applyFont="1" applyFill="1" applyAlignment="1">
      <alignment vertical="center" readingOrder="2"/>
    </xf>
    <xf numFmtId="3" fontId="3" fillId="2" borderId="3" xfId="0" applyNumberFormat="1" applyFont="1" applyFill="1" applyBorder="1" applyAlignment="1">
      <alignment vertical="center" readingOrder="2"/>
    </xf>
    <xf numFmtId="3" fontId="5" fillId="2" borderId="0" xfId="0" applyNumberFormat="1" applyFont="1" applyFill="1" applyAlignment="1">
      <alignment vertical="center" readingOrder="2"/>
    </xf>
    <xf numFmtId="3" fontId="3" fillId="2" borderId="8" xfId="0" applyNumberFormat="1" applyFont="1" applyFill="1" applyBorder="1" applyAlignment="1">
      <alignment vertical="center" readingOrder="2"/>
    </xf>
    <xf numFmtId="3" fontId="0" fillId="2" borderId="0" xfId="0" applyNumberFormat="1" applyFill="1" applyAlignment="1">
      <alignment vertical="center" readingOrder="2"/>
    </xf>
    <xf numFmtId="3" fontId="3" fillId="2" borderId="2" xfId="0" applyNumberFormat="1" applyFont="1" applyFill="1" applyBorder="1" applyAlignment="1">
      <alignment vertical="center" readingOrder="2"/>
    </xf>
    <xf numFmtId="3" fontId="0" fillId="2" borderId="2" xfId="0" applyNumberFormat="1" applyFill="1" applyBorder="1" applyAlignment="1">
      <alignment vertical="center" readingOrder="2"/>
    </xf>
    <xf numFmtId="3" fontId="5" fillId="2" borderId="2" xfId="0" applyNumberFormat="1" applyFont="1" applyFill="1" applyBorder="1" applyAlignment="1">
      <alignment vertical="center" readingOrder="2"/>
    </xf>
    <xf numFmtId="167" fontId="0" fillId="2" borderId="0" xfId="0" applyNumberFormat="1" applyFill="1" applyAlignment="1">
      <alignment horizontal="left" vertical="center" indent="1"/>
    </xf>
    <xf numFmtId="0" fontId="11" fillId="2" borderId="1" xfId="4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1" fillId="2" borderId="8" xfId="4" applyFont="1" applyFill="1" applyBorder="1" applyAlignment="1">
      <alignment horizontal="center" vertical="top"/>
    </xf>
    <xf numFmtId="0" fontId="6" fillId="2" borderId="10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</cellXfs>
  <cellStyles count="11">
    <cellStyle name="1" xfId="10" xr:uid="{00000000-0005-0000-0000-000000000000}"/>
    <cellStyle name="Comma" xfId="1" builtinId="3"/>
    <cellStyle name="Comma 3" xfId="8" xr:uid="{00000000-0005-0000-0000-000002000000}"/>
    <cellStyle name="Normal" xfId="0" builtinId="0"/>
    <cellStyle name="Normal 11" xfId="9" xr:uid="{00000000-0005-0000-0000-000004000000}"/>
    <cellStyle name="Normal 2" xfId="5" xr:uid="{00000000-0005-0000-0000-000005000000}"/>
    <cellStyle name="Normal 4" xfId="6" xr:uid="{00000000-0005-0000-0000-000006000000}"/>
    <cellStyle name="Normal 5" xfId="7" xr:uid="{00000000-0005-0000-0000-000007000000}"/>
    <cellStyle name="Normal_II-16(Populaion)" xfId="4" xr:uid="{00000000-0005-0000-0000-00000A000000}"/>
    <cellStyle name="Normal_po" xfId="3" xr:uid="{00000000-0005-0000-0000-00000C000000}"/>
    <cellStyle name="Percent" xfId="2" builtinId="5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FFFFF"/>
      <color rgb="FFCDFFFF"/>
      <color rgb="FF75DFDD"/>
      <color rgb="FF009999"/>
      <color rgb="FF008080"/>
      <color rgb="FFF0F4FA"/>
      <color rgb="FFB3FFFF"/>
      <color rgb="FFFFABAB"/>
      <color rgb="FFFFEBEB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812023316606"/>
          <c:y val="0.17529608567447594"/>
          <c:w val="0.86116296537145964"/>
          <c:h val="0.64113444152814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'5.6'!$C$7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75DFDD"/>
            </a:solidFill>
          </c:spPr>
          <c:invertIfNegative val="0"/>
          <c:cat>
            <c:strRef>
              <c:f>'5.6'!$A$10:$A$13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'5.6'!$C$10:$C$13</c:f>
              <c:numCache>
                <c:formatCode>#,##0</c:formatCode>
                <c:ptCount val="4"/>
                <c:pt idx="0">
                  <c:v>4443</c:v>
                </c:pt>
                <c:pt idx="1">
                  <c:v>3752</c:v>
                </c:pt>
                <c:pt idx="2">
                  <c:v>1492</c:v>
                </c:pt>
                <c:pt idx="3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3-413B-A3F3-2403A9099481}"/>
            </c:ext>
          </c:extLst>
        </c:ser>
        <c:ser>
          <c:idx val="1"/>
          <c:order val="1"/>
          <c:tx>
            <c:strRef>
              <c:f>'5.6'!$D$7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'5.6'!$A$10:$A$13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'5.6'!$D$10:$D$13</c:f>
              <c:numCache>
                <c:formatCode>#,##0</c:formatCode>
                <c:ptCount val="4"/>
                <c:pt idx="0">
                  <c:v>5973</c:v>
                </c:pt>
                <c:pt idx="1">
                  <c:v>6137</c:v>
                </c:pt>
                <c:pt idx="2">
                  <c:v>6985</c:v>
                </c:pt>
                <c:pt idx="3">
                  <c:v>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F3-413B-A3F3-2403A9099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849680"/>
        <c:axId val="485853208"/>
      </c:barChart>
      <c:catAx>
        <c:axId val="485849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0259825586317852"/>
              <c:y val="0.9217847769028872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485853208"/>
        <c:crosses val="autoZero"/>
        <c:auto val="1"/>
        <c:lblAlgn val="ctr"/>
        <c:lblOffset val="100"/>
        <c:noMultiLvlLbl val="0"/>
      </c:catAx>
      <c:valAx>
        <c:axId val="4858532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8.7625480814335285E-3"/>
              <c:y val="0.1960496927451877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485849680"/>
        <c:crosses val="autoZero"/>
        <c:crossBetween val="between"/>
      </c:valAx>
      <c:spPr>
        <a:solidFill>
          <a:srgbClr val="EFFFF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8992628412418098"/>
          <c:y val="0.22882289875371131"/>
          <c:w val="0.15220277655879211"/>
          <c:h val="9.1651900442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5.8: Percentage share of civil servants by salary range,</a:t>
            </a:r>
            <a:r>
              <a:rPr lang="en-US" sz="1200" b="1" baseline="0"/>
              <a:t> 2023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645107281536449E-2"/>
          <c:y val="0.15024292273845752"/>
          <c:w val="0.93339212598425192"/>
          <c:h val="0.759579207829875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99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'5.6'!$AI$21:$AI$24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'5.6'!$AJ$21:$AJ$24</c:f>
              <c:numCache>
                <c:formatCode>0.0</c:formatCode>
                <c:ptCount val="4"/>
                <c:pt idx="0">
                  <c:v>34.573638264679524</c:v>
                </c:pt>
                <c:pt idx="1">
                  <c:v>32.824376804859426</c:v>
                </c:pt>
                <c:pt idx="2">
                  <c:v>28.137551033956253</c:v>
                </c:pt>
                <c:pt idx="3">
                  <c:v>4.4644338965047963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1-41E6-B13F-B2DA63F82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851248"/>
        <c:axId val="485854384"/>
      </c:barChart>
      <c:catAx>
        <c:axId val="4858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4384"/>
        <c:crosses val="autoZero"/>
        <c:auto val="1"/>
        <c:lblAlgn val="ctr"/>
        <c:lblOffset val="100"/>
        <c:noMultiLvlLbl val="0"/>
      </c:catAx>
      <c:valAx>
        <c:axId val="48585438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1248"/>
        <c:crosses val="autoZero"/>
        <c:crossBetween val="between"/>
        <c:majorUnit val="10"/>
      </c:valAx>
      <c:spPr>
        <a:solidFill>
          <a:srgbClr val="EFFFFF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16</xdr:row>
      <xdr:rowOff>30480</xdr:rowOff>
    </xdr:from>
    <xdr:to>
      <xdr:col>12</xdr:col>
      <xdr:colOff>1276350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447674</xdr:colOff>
      <xdr:row>16</xdr:row>
      <xdr:rowOff>78104</xdr:rowOff>
    </xdr:from>
    <xdr:to>
      <xdr:col>12</xdr:col>
      <xdr:colOff>657224</xdr:colOff>
      <xdr:row>17</xdr:row>
      <xdr:rowOff>133349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809874" y="3611879"/>
          <a:ext cx="5038725" cy="2457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5.7: Number of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civil servants by salary range and sex, 2023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104775</xdr:colOff>
      <xdr:row>30</xdr:row>
      <xdr:rowOff>104774</xdr:rowOff>
    </xdr:from>
    <xdr:to>
      <xdr:col>12</xdr:col>
      <xdr:colOff>1352550</xdr:colOff>
      <xdr:row>46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0.6843</cdr:x>
      <cdr:y>0.18003</cdr:y>
    </cdr:from>
    <cdr:to>
      <cdr:x>0.97175</cdr:x>
      <cdr:y>0.78619</cdr:y>
    </cdr:to>
    <cdr:sp macro="" textlink="">
      <cdr:nvSpPr>
        <cdr:cNvPr id="3" name="Oval 2"/>
        <cdr:cNvSpPr/>
      </cdr:nvSpPr>
      <cdr:spPr>
        <a:xfrm xmlns:a="http://schemas.openxmlformats.org/drawingml/2006/main">
          <a:off x="4684683" y="587135"/>
          <a:ext cx="1967901" cy="1976887"/>
        </a:xfrm>
        <a:prstGeom xmlns:a="http://schemas.openxmlformats.org/drawingml/2006/main" prst="ellipse">
          <a:avLst/>
        </a:prstGeom>
        <a:solidFill xmlns:a="http://schemas.openxmlformats.org/drawingml/2006/main">
          <a:srgbClr val="EFFFFF"/>
        </a:solidFill>
        <a:ln xmlns:a="http://schemas.openxmlformats.org/drawingml/2006/main" w="19050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sz="1300" b="1" i="1">
              <a:solidFill>
                <a:srgbClr val="009999"/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67.4</a:t>
          </a:r>
          <a:r>
            <a:rPr lang="en-US" sz="1300" b="1" i="1" baseline="0">
              <a:solidFill>
                <a:srgbClr val="009999"/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 percent of the civil servants get a  salary less than 10,000 MVR per month.</a:t>
          </a:r>
          <a:endParaRPr lang="en-US" sz="1300" i="1">
            <a:solidFill>
              <a:srgbClr val="009999"/>
            </a:solidFill>
            <a:effectLst/>
            <a:latin typeface="Ink Free" panose="03080402000500000000" pitchFamily="66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AL48"/>
  <sheetViews>
    <sheetView tabSelected="1" zoomScaleNormal="100" zoomScaleSheetLayoutView="106" workbookViewId="0">
      <selection activeCell="M55" sqref="M55"/>
    </sheetView>
  </sheetViews>
  <sheetFormatPr defaultRowHeight="15" x14ac:dyDescent="0.25"/>
  <cols>
    <col min="1" max="1" width="24.85546875" style="1" customWidth="1"/>
    <col min="2" max="4" width="9.140625" style="1"/>
    <col min="5" max="5" width="0.5703125" style="1" customWidth="1"/>
    <col min="6" max="8" width="9.140625" style="1"/>
    <col min="9" max="9" width="1" style="1" customWidth="1"/>
    <col min="10" max="12" width="9.140625" style="1"/>
    <col min="13" max="13" width="29.28515625" style="1" customWidth="1"/>
    <col min="14" max="16384" width="9.140625" style="1"/>
  </cols>
  <sheetData>
    <row r="2" spans="1:14" ht="21" x14ac:dyDescent="0.55000000000000004">
      <c r="A2" s="49" t="s">
        <v>27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4" x14ac:dyDescent="0.25">
      <c r="A3" s="52" t="s">
        <v>26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11"/>
    </row>
    <row r="4" spans="1:14" ht="7.5" customHeight="1" x14ac:dyDescent="0.25"/>
    <row r="5" spans="1:14" ht="18.75" customHeight="1" x14ac:dyDescent="0.25">
      <c r="A5" s="14"/>
      <c r="B5" s="46" t="s">
        <v>10</v>
      </c>
      <c r="C5" s="46"/>
      <c r="D5" s="46"/>
      <c r="E5" s="15"/>
      <c r="F5" s="46" t="s">
        <v>11</v>
      </c>
      <c r="G5" s="46"/>
      <c r="H5" s="50"/>
      <c r="I5" s="8"/>
      <c r="J5" s="46" t="s">
        <v>12</v>
      </c>
      <c r="K5" s="46"/>
      <c r="L5" s="46"/>
      <c r="M5" s="53" t="s">
        <v>16</v>
      </c>
    </row>
    <row r="6" spans="1:14" ht="15" customHeight="1" x14ac:dyDescent="0.25">
      <c r="A6" s="12" t="s">
        <v>17</v>
      </c>
      <c r="B6" s="47" t="s">
        <v>0</v>
      </c>
      <c r="C6" s="47"/>
      <c r="D6" s="47"/>
      <c r="E6" s="16"/>
      <c r="F6" s="48" t="s">
        <v>1</v>
      </c>
      <c r="G6" s="48"/>
      <c r="H6" s="51"/>
      <c r="I6" s="32"/>
      <c r="J6" s="48" t="s">
        <v>13</v>
      </c>
      <c r="K6" s="48"/>
      <c r="L6" s="48"/>
      <c r="M6" s="54"/>
    </row>
    <row r="7" spans="1:14" ht="15" customHeight="1" x14ac:dyDescent="0.25">
      <c r="B7" s="3" t="s">
        <v>14</v>
      </c>
      <c r="C7" s="3" t="s">
        <v>5</v>
      </c>
      <c r="D7" s="3" t="s">
        <v>6</v>
      </c>
      <c r="E7" s="17"/>
      <c r="F7" s="3" t="s">
        <v>14</v>
      </c>
      <c r="G7" s="3" t="s">
        <v>5</v>
      </c>
      <c r="H7" s="18" t="s">
        <v>6</v>
      </c>
      <c r="I7" s="30"/>
      <c r="J7" s="3" t="s">
        <v>14</v>
      </c>
      <c r="K7" s="3" t="s">
        <v>5</v>
      </c>
      <c r="L7" s="3" t="s">
        <v>6</v>
      </c>
      <c r="M7" s="54"/>
    </row>
    <row r="8" spans="1:14" ht="18.75" customHeight="1" x14ac:dyDescent="0.5">
      <c r="A8" s="19"/>
      <c r="B8" s="9" t="s">
        <v>2</v>
      </c>
      <c r="C8" s="9" t="s">
        <v>3</v>
      </c>
      <c r="D8" s="9" t="s">
        <v>4</v>
      </c>
      <c r="E8" s="20"/>
      <c r="F8" s="9" t="s">
        <v>2</v>
      </c>
      <c r="G8" s="9" t="s">
        <v>3</v>
      </c>
      <c r="H8" s="21" t="s">
        <v>4</v>
      </c>
      <c r="I8" s="31"/>
      <c r="J8" s="9" t="s">
        <v>2</v>
      </c>
      <c r="K8" s="9" t="s">
        <v>3</v>
      </c>
      <c r="L8" s="9" t="s">
        <v>4</v>
      </c>
      <c r="M8" s="55"/>
    </row>
    <row r="9" spans="1:14" ht="21" x14ac:dyDescent="0.55000000000000004">
      <c r="A9" s="33" t="s">
        <v>7</v>
      </c>
      <c r="B9" s="37">
        <f>F9+J9</f>
        <v>30127</v>
      </c>
      <c r="C9" s="37">
        <f t="shared" ref="C9:D13" si="0">G9+K9</f>
        <v>10307</v>
      </c>
      <c r="D9" s="37">
        <f t="shared" si="0"/>
        <v>19820</v>
      </c>
      <c r="E9" s="38"/>
      <c r="F9" s="39">
        <f>G9+H9</f>
        <v>10818</v>
      </c>
      <c r="G9" s="37">
        <f>SUM(G10:G13)</f>
        <v>3602</v>
      </c>
      <c r="H9" s="40">
        <f>SUM(H10:H13)</f>
        <v>7216</v>
      </c>
      <c r="I9" s="37"/>
      <c r="J9" s="39">
        <f>K9+L9</f>
        <v>19309</v>
      </c>
      <c r="K9" s="37">
        <f>SUM(K10:K13)</f>
        <v>6705</v>
      </c>
      <c r="L9" s="37">
        <f>SUM(L10:L13)</f>
        <v>12604</v>
      </c>
      <c r="M9" s="24" t="s">
        <v>15</v>
      </c>
    </row>
    <row r="10" spans="1:14" ht="21" x14ac:dyDescent="0.55000000000000004">
      <c r="A10" s="1" t="s">
        <v>18</v>
      </c>
      <c r="B10" s="37">
        <f>F10+J10</f>
        <v>10416</v>
      </c>
      <c r="C10" s="41">
        <f t="shared" si="0"/>
        <v>4443</v>
      </c>
      <c r="D10" s="41">
        <f t="shared" si="0"/>
        <v>5973</v>
      </c>
      <c r="E10" s="34"/>
      <c r="F10" s="39">
        <f t="shared" ref="F10:F13" si="1">G10+H10</f>
        <v>2668</v>
      </c>
      <c r="G10" s="41">
        <v>1029</v>
      </c>
      <c r="H10" s="41">
        <v>1639</v>
      </c>
      <c r="I10" s="35"/>
      <c r="J10" s="39">
        <f t="shared" ref="J10:J13" si="2">K10+L10</f>
        <v>7748</v>
      </c>
      <c r="K10" s="41">
        <v>3414</v>
      </c>
      <c r="L10" s="41">
        <v>4334</v>
      </c>
      <c r="M10" s="25" t="s">
        <v>19</v>
      </c>
    </row>
    <row r="11" spans="1:14" ht="21" x14ac:dyDescent="0.55000000000000004">
      <c r="A11" s="1" t="s">
        <v>20</v>
      </c>
      <c r="B11" s="37">
        <f t="shared" ref="B11:B13" si="3">F11+J11</f>
        <v>9889</v>
      </c>
      <c r="C11" s="41">
        <f t="shared" si="0"/>
        <v>3752</v>
      </c>
      <c r="D11" s="41">
        <f t="shared" si="0"/>
        <v>6137</v>
      </c>
      <c r="E11" s="34"/>
      <c r="F11" s="39">
        <f t="shared" si="1"/>
        <v>4417</v>
      </c>
      <c r="G11" s="41">
        <v>1874</v>
      </c>
      <c r="H11" s="41">
        <v>2543</v>
      </c>
      <c r="I11" s="35"/>
      <c r="J11" s="39">
        <f t="shared" si="2"/>
        <v>5472</v>
      </c>
      <c r="K11" s="41">
        <v>1878</v>
      </c>
      <c r="L11" s="41">
        <v>3594</v>
      </c>
      <c r="M11" s="26" t="s">
        <v>21</v>
      </c>
    </row>
    <row r="12" spans="1:14" ht="21" x14ac:dyDescent="0.55000000000000004">
      <c r="A12" s="1" t="s">
        <v>22</v>
      </c>
      <c r="B12" s="37">
        <f t="shared" si="3"/>
        <v>8477</v>
      </c>
      <c r="C12" s="41">
        <f t="shared" si="0"/>
        <v>1492</v>
      </c>
      <c r="D12" s="41">
        <f t="shared" si="0"/>
        <v>6985</v>
      </c>
      <c r="E12" s="34"/>
      <c r="F12" s="39">
        <f t="shared" si="1"/>
        <v>3105</v>
      </c>
      <c r="G12" s="41">
        <v>500</v>
      </c>
      <c r="H12" s="41">
        <v>2605</v>
      </c>
      <c r="I12" s="2"/>
      <c r="J12" s="39">
        <f t="shared" si="2"/>
        <v>5372</v>
      </c>
      <c r="K12" s="41">
        <v>992</v>
      </c>
      <c r="L12" s="41">
        <v>4380</v>
      </c>
      <c r="M12" s="26" t="s">
        <v>23</v>
      </c>
    </row>
    <row r="13" spans="1:14" ht="21" x14ac:dyDescent="0.55000000000000004">
      <c r="A13" s="19" t="s">
        <v>24</v>
      </c>
      <c r="B13" s="42">
        <f t="shared" si="3"/>
        <v>1345</v>
      </c>
      <c r="C13" s="43">
        <f t="shared" si="0"/>
        <v>620</v>
      </c>
      <c r="D13" s="43">
        <f t="shared" si="0"/>
        <v>725</v>
      </c>
      <c r="E13" s="36"/>
      <c r="F13" s="44">
        <f t="shared" si="1"/>
        <v>628</v>
      </c>
      <c r="G13" s="43">
        <v>199</v>
      </c>
      <c r="H13" s="43">
        <v>429</v>
      </c>
      <c r="I13" s="22"/>
      <c r="J13" s="44">
        <f t="shared" si="2"/>
        <v>717</v>
      </c>
      <c r="K13" s="43">
        <v>421</v>
      </c>
      <c r="L13" s="43">
        <v>296</v>
      </c>
      <c r="M13" s="27" t="s">
        <v>25</v>
      </c>
    </row>
    <row r="14" spans="1:14" ht="17.25" x14ac:dyDescent="0.25">
      <c r="A14" s="13" t="s">
        <v>8</v>
      </c>
      <c r="B14" s="5"/>
      <c r="C14" s="4"/>
      <c r="D14" s="5"/>
      <c r="E14" s="5"/>
      <c r="F14" s="5"/>
      <c r="G14" s="4"/>
      <c r="J14" s="12"/>
      <c r="M14" s="7" t="s">
        <v>9</v>
      </c>
    </row>
    <row r="15" spans="1:14" x14ac:dyDescent="0.25">
      <c r="F15" s="12"/>
    </row>
    <row r="17" spans="1:38" x14ac:dyDescent="0.25">
      <c r="A17" s="6"/>
    </row>
    <row r="21" spans="1:38" x14ac:dyDescent="0.25">
      <c r="AI21" s="1" t="s">
        <v>18</v>
      </c>
      <c r="AJ21" s="45">
        <f>B10/B9*100</f>
        <v>34.573638264679524</v>
      </c>
      <c r="AK21" s="10"/>
    </row>
    <row r="22" spans="1:38" x14ac:dyDescent="0.25">
      <c r="AI22" s="1" t="s">
        <v>20</v>
      </c>
      <c r="AJ22" s="45">
        <f>B11/B9*100</f>
        <v>32.824376804859426</v>
      </c>
    </row>
    <row r="23" spans="1:38" x14ac:dyDescent="0.25">
      <c r="AI23" s="1" t="s">
        <v>22</v>
      </c>
      <c r="AJ23" s="45">
        <f>B12/B9*100</f>
        <v>28.137551033956253</v>
      </c>
      <c r="AL23" s="23"/>
    </row>
    <row r="24" spans="1:38" x14ac:dyDescent="0.25">
      <c r="AI24" s="19" t="s">
        <v>24</v>
      </c>
      <c r="AJ24" s="45">
        <f>B13/B9*100</f>
        <v>4.4644338965047963</v>
      </c>
    </row>
    <row r="29" spans="1:38" ht="19.899999999999999" customHeight="1" x14ac:dyDescent="0.25"/>
    <row r="30" spans="1:38" ht="19.899999999999999" customHeight="1" x14ac:dyDescent="0.25"/>
    <row r="31" spans="1:38" ht="19.899999999999999" customHeight="1" x14ac:dyDescent="0.25"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</row>
    <row r="32" spans="1:38" ht="19.899999999999999" customHeight="1" x14ac:dyDescent="0.25"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7:33" ht="19.899999999999999" customHeight="1" x14ac:dyDescent="0.25"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spans="7:33" ht="19.899999999999999" customHeight="1" x14ac:dyDescent="0.25"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</row>
    <row r="48" spans="7:33" x14ac:dyDescent="0.25">
      <c r="G48" s="29"/>
    </row>
  </sheetData>
  <mergeCells count="9">
    <mergeCell ref="A2:M2"/>
    <mergeCell ref="A3:M3"/>
    <mergeCell ref="B5:D5"/>
    <mergeCell ref="F5:H5"/>
    <mergeCell ref="J5:L5"/>
    <mergeCell ref="M5:M8"/>
    <mergeCell ref="B6:D6"/>
    <mergeCell ref="F6:H6"/>
    <mergeCell ref="J6:L6"/>
  </mergeCells>
  <pageMargins left="0.7" right="0.7" top="0.75" bottom="0.75" header="0.3" footer="0.3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5.6</vt:lpstr>
      <vt:lpstr>'5.6'!Print_Area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2024-06-09T04:02:11Z</cp:lastPrinted>
  <dcterms:created xsi:type="dcterms:W3CDTF">2019-06-03T04:17:39Z</dcterms:created>
  <dcterms:modified xsi:type="dcterms:W3CDTF">2024-06-09T04:02:27Z</dcterms:modified>
</cp:coreProperties>
</file>