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mpl\"/>
    </mc:Choice>
  </mc:AlternateContent>
  <xr:revisionPtr revIDLastSave="0" documentId="13_ncr:1_{DD5C4B8E-37C3-4D93-82D0-435FCDBDFE9B}" xr6:coauthVersionLast="47" xr6:coauthVersionMax="47" xr10:uidLastSave="{00000000-0000-0000-0000-000000000000}"/>
  <bookViews>
    <workbookView xWindow="-120" yWindow="-120" windowWidth="29040" windowHeight="15720" tabRatio="736" xr2:uid="{00000000-000D-0000-FFFF-FFFF00000000}"/>
  </bookViews>
  <sheets>
    <sheet name="5.9" sheetId="8" r:id="rId1"/>
  </sheets>
  <definedNames>
    <definedName name="_xlnm.Print_Area" localSheetId="0">'5.9'!$A$1:$P$29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8" l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O7" i="8"/>
  <c r="O5" i="8" s="1"/>
  <c r="N7" i="8"/>
  <c r="N5" i="8" s="1"/>
  <c r="M7" i="8"/>
  <c r="L7" i="8"/>
  <c r="K7" i="8"/>
  <c r="J7" i="8"/>
  <c r="J5" i="8" s="1"/>
  <c r="I7" i="8"/>
  <c r="B7" i="8" s="1"/>
  <c r="B5" i="8" s="1"/>
  <c r="H7" i="8"/>
  <c r="H5" i="8" s="1"/>
  <c r="G7" i="8"/>
  <c r="F7" i="8"/>
  <c r="E7" i="8"/>
  <c r="D7" i="8"/>
  <c r="C7" i="8"/>
  <c r="C5" i="8" s="1"/>
  <c r="B6" i="8"/>
  <c r="M5" i="8"/>
  <c r="L5" i="8"/>
  <c r="K5" i="8"/>
  <c r="G5" i="8"/>
  <c r="F5" i="8"/>
  <c r="E5" i="8"/>
  <c r="D5" i="8"/>
  <c r="I5" i="8" l="1"/>
</calcChain>
</file>

<file path=xl/sharedStrings.xml><?xml version="1.0" encoding="utf-8"?>
<sst xmlns="http://schemas.openxmlformats.org/spreadsheetml/2006/main" count="42" uniqueCount="42">
  <si>
    <t>Total</t>
  </si>
  <si>
    <t>Source: Civil Service Commision</t>
  </si>
  <si>
    <t>މަޢުލޫމާތު ދެއްވި ފަރާތް: ސިވިލް ސަރވިސް ކޮމިޝަން</t>
  </si>
  <si>
    <t>Locality</t>
  </si>
  <si>
    <t>REPUBLIC</t>
  </si>
  <si>
    <t>MALE'</t>
  </si>
  <si>
    <t xml:space="preserve"> North Thiladhunmathi (HA)</t>
  </si>
  <si>
    <t xml:space="preserve"> South Thiladhunmathi (HDh)</t>
  </si>
  <si>
    <t xml:space="preserve"> North Miladhunmadulu (Sh)</t>
  </si>
  <si>
    <t xml:space="preserve"> South Miladhunmadulu (N)</t>
  </si>
  <si>
    <t xml:space="preserve"> North Maalhosmadulu (R)</t>
  </si>
  <si>
    <t xml:space="preserve"> South Maalhosmadulu (B)</t>
  </si>
  <si>
    <t xml:space="preserve"> Faadhippolhu (Lh)</t>
  </si>
  <si>
    <t xml:space="preserve"> Male' Atoll (K)</t>
  </si>
  <si>
    <t xml:space="preserve"> North Ari Atoll (AA)</t>
  </si>
  <si>
    <t xml:space="preserve"> South Ari Atoll (ADh)</t>
  </si>
  <si>
    <t xml:space="preserve"> Felidhu Atoll (V)</t>
  </si>
  <si>
    <t xml:space="preserve"> Mulakatholhu (M)</t>
  </si>
  <si>
    <t xml:space="preserve"> North Nilandhe Atoll (F)</t>
  </si>
  <si>
    <t xml:space="preserve"> South Nilandhe Atoll (D)</t>
  </si>
  <si>
    <t xml:space="preserve"> Kolhumadulu (Th)</t>
  </si>
  <si>
    <t xml:space="preserve"> Hadhdhunmathi (L)</t>
  </si>
  <si>
    <t xml:space="preserve"> North Huvadhu Atoll (GA)</t>
  </si>
  <si>
    <t xml:space="preserve"> South Huvadhu Atoll (GDh)</t>
  </si>
  <si>
    <t xml:space="preserve"> Fuvahmulah (Gn)</t>
  </si>
  <si>
    <t xml:space="preserve"> Addu Atoll (S)</t>
  </si>
  <si>
    <t>Hospitals</t>
  </si>
  <si>
    <t>All ATOLL</t>
  </si>
  <si>
    <t>Agency</t>
  </si>
  <si>
    <t>Atoll Council</t>
  </si>
  <si>
    <t>Authority</t>
  </si>
  <si>
    <t>Bureau</t>
  </si>
  <si>
    <t>City Council</t>
  </si>
  <si>
    <t>Department</t>
  </si>
  <si>
    <t>Health Centre</t>
  </si>
  <si>
    <t>Health Services Center</t>
  </si>
  <si>
    <t>Island Council</t>
  </si>
  <si>
    <t>Ministry</t>
  </si>
  <si>
    <t>Other</t>
  </si>
  <si>
    <t>School</t>
  </si>
  <si>
    <t>Table 5.9: Civil Servants Classified by sector, 2023</t>
  </si>
  <si>
    <t>ތާވަލު 5.9: ވަޒީފާ އަދާކުރާ ދާއިރާގެ ގޮތުން ސިވިލް ސަރވަންޓުން ބެހިފައިވާ ގޮތް،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</si>
</sst>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43" fontId="4" fillId="0" borderId="0" applyFont="0" applyFill="0" applyBorder="0" applyAlignment="0" applyProtection="0"/>
    <xf numFmtId="0" fontId="12" fillId="0" borderId="0"/>
    <xf numFmtId="0" fontId="4" fillId="0" borderId="0"/>
  </cellStyleXfs>
  <cellXfs count="32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3" fontId="8" fillId="2" borderId="0" xfId="3" applyNumberFormat="1" applyFont="1" applyFill="1" applyAlignment="1">
      <alignment horizontal="right" vertical="center"/>
    </xf>
    <xf numFmtId="0" fontId="2" fillId="2" borderId="0" xfId="0" applyFont="1" applyFill="1"/>
    <xf numFmtId="0" fontId="3" fillId="2" borderId="0" xfId="0" applyFont="1" applyFill="1"/>
    <xf numFmtId="0" fontId="6" fillId="2" borderId="0" xfId="4" applyFont="1" applyFill="1" applyAlignment="1">
      <alignment horizontal="left" vertical="center" indent="2"/>
    </xf>
    <xf numFmtId="0" fontId="6" fillId="2" borderId="2" xfId="4" applyFont="1" applyFill="1" applyBorder="1" applyAlignment="1">
      <alignment horizontal="left" vertical="center" indent="2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left" indent="1"/>
    </xf>
    <xf numFmtId="0" fontId="3" fillId="2" borderId="0" xfId="0" applyFont="1" applyFill="1" applyAlignment="1">
      <alignment horizontal="center" vertical="center" wrapText="1"/>
    </xf>
    <xf numFmtId="0" fontId="7" fillId="2" borderId="4" xfId="2" applyFont="1" applyFill="1" applyBorder="1" applyAlignment="1">
      <alignment vertical="center"/>
    </xf>
    <xf numFmtId="166" fontId="3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 vertical="center" wrapText="1"/>
    </xf>
    <xf numFmtId="3" fontId="0" fillId="2" borderId="0" xfId="0" applyNumberFormat="1" applyFill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3" fontId="3" fillId="2" borderId="1" xfId="1" applyNumberFormat="1" applyFont="1" applyFill="1" applyBorder="1" applyAlignment="1">
      <alignment horizontal="right" vertical="center" wrapText="1"/>
    </xf>
    <xf numFmtId="3" fontId="3" fillId="2" borderId="0" xfId="1" applyNumberFormat="1" applyFont="1" applyFill="1" applyBorder="1" applyAlignment="1">
      <alignment horizontal="right" vertical="center" wrapText="1"/>
    </xf>
    <xf numFmtId="3" fontId="3" fillId="2" borderId="0" xfId="1" applyNumberFormat="1" applyFont="1" applyFill="1" applyBorder="1" applyAlignment="1">
      <alignment vertical="center"/>
    </xf>
    <xf numFmtId="3" fontId="3" fillId="2" borderId="2" xfId="1" applyNumberFormat="1" applyFont="1" applyFill="1" applyBorder="1" applyAlignment="1">
      <alignment horizontal="right" vertical="center" wrapText="1"/>
    </xf>
    <xf numFmtId="0" fontId="10" fillId="2" borderId="0" xfId="0" applyFont="1" applyFill="1" applyAlignment="1">
      <alignment vertical="center"/>
    </xf>
    <xf numFmtId="0" fontId="7" fillId="2" borderId="0" xfId="2" applyFont="1" applyFill="1" applyAlignment="1">
      <alignment vertical="center"/>
    </xf>
    <xf numFmtId="3" fontId="0" fillId="2" borderId="2" xfId="0" applyNumberFormat="1" applyFill="1" applyBorder="1" applyAlignment="1">
      <alignment horizontal="right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1">
    <cellStyle name="1" xfId="10" xr:uid="{00000000-0005-0000-0000-000000000000}"/>
    <cellStyle name="Comma" xfId="1" builtinId="3"/>
    <cellStyle name="Comma 3" xfId="8" xr:uid="{00000000-0005-0000-0000-000002000000}"/>
    <cellStyle name="Normal" xfId="0" builtinId="0"/>
    <cellStyle name="Normal 11" xfId="9" xr:uid="{00000000-0005-0000-0000-000004000000}"/>
    <cellStyle name="Normal 2" xfId="5" xr:uid="{00000000-0005-0000-0000-000005000000}"/>
    <cellStyle name="Normal 4" xfId="6" xr:uid="{00000000-0005-0000-0000-000006000000}"/>
    <cellStyle name="Normal 5" xfId="7" xr:uid="{00000000-0005-0000-0000-000007000000}"/>
    <cellStyle name="Normal_II-16(Populaion)" xfId="3" xr:uid="{00000000-0005-0000-0000-00000A000000}"/>
    <cellStyle name="Normal_immunization" xfId="4" xr:uid="{00000000-0005-0000-0000-00000B000000}"/>
    <cellStyle name="Normal_po" xfId="2" xr:uid="{00000000-0005-0000-0000-00000C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2"/>
      <tableStyleElement type="totalRow" dxfId="11"/>
      <tableStyleElement type="firstRowStripe" dxfId="10"/>
      <tableStyleElement type="firstColumnStripe" dxfId="9"/>
      <tableStyleElement type="firstSubtotalColumn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FFEFFFFF"/>
      <color rgb="FFCDFFFF"/>
      <color rgb="FF75DFDD"/>
      <color rgb="FF009999"/>
      <color rgb="FF008080"/>
      <color rgb="FFF0F4FA"/>
      <color rgb="FFB3FFFF"/>
      <color rgb="FFFFABAB"/>
      <color rgb="FFFFEBEB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P75"/>
  <sheetViews>
    <sheetView tabSelected="1" zoomScaleNormal="100" workbookViewId="0">
      <selection activeCell="S16" sqref="S16"/>
    </sheetView>
  </sheetViews>
  <sheetFormatPr defaultRowHeight="15" x14ac:dyDescent="0.25"/>
  <cols>
    <col min="1" max="1" width="26" style="1" customWidth="1"/>
    <col min="2" max="2" width="9" style="1" customWidth="1"/>
    <col min="3" max="4" width="9" style="19" customWidth="1"/>
    <col min="5" max="5" width="10.7109375" style="19" customWidth="1"/>
    <col min="6" max="6" width="9" style="19" customWidth="1"/>
    <col min="7" max="7" width="9.42578125" style="19" customWidth="1"/>
    <col min="8" max="8" width="11.42578125" style="19" customWidth="1"/>
    <col min="9" max="11" width="9" style="19" customWidth="1"/>
    <col min="12" max="12" width="9.28515625" style="19" customWidth="1"/>
    <col min="13" max="15" width="9" style="19" customWidth="1"/>
    <col min="16" max="16" width="6" style="17" customWidth="1"/>
    <col min="17" max="16384" width="9.140625" style="1"/>
  </cols>
  <sheetData>
    <row r="1" spans="1:16" s="2" customFormat="1" ht="21" x14ac:dyDescent="0.25">
      <c r="A1" s="30" t="s">
        <v>41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10"/>
    </row>
    <row r="2" spans="1:16" ht="19.149999999999999" customHeight="1" x14ac:dyDescent="0.25">
      <c r="A2" s="31" t="s">
        <v>40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4"/>
    </row>
    <row r="3" spans="1:16" ht="4.9000000000000004" customHeight="1" x14ac:dyDescent="0.25"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"/>
    </row>
    <row r="4" spans="1:16" ht="54.75" customHeight="1" x14ac:dyDescent="0.25">
      <c r="A4" s="11" t="s">
        <v>3</v>
      </c>
      <c r="B4" s="12" t="s">
        <v>0</v>
      </c>
      <c r="C4" s="12" t="s">
        <v>28</v>
      </c>
      <c r="D4" s="12" t="s">
        <v>29</v>
      </c>
      <c r="E4" s="12" t="s">
        <v>30</v>
      </c>
      <c r="F4" s="12" t="s">
        <v>31</v>
      </c>
      <c r="G4" s="12" t="s">
        <v>32</v>
      </c>
      <c r="H4" s="12" t="s">
        <v>33</v>
      </c>
      <c r="I4" s="12" t="s">
        <v>34</v>
      </c>
      <c r="J4" s="12" t="s">
        <v>35</v>
      </c>
      <c r="K4" s="12" t="s">
        <v>26</v>
      </c>
      <c r="L4" s="12" t="s">
        <v>36</v>
      </c>
      <c r="M4" s="12" t="s">
        <v>37</v>
      </c>
      <c r="N4" s="12" t="s">
        <v>38</v>
      </c>
      <c r="O4" s="12" t="s">
        <v>39</v>
      </c>
      <c r="P4" s="1"/>
    </row>
    <row r="5" spans="1:16" s="5" customFormat="1" x14ac:dyDescent="0.25">
      <c r="A5" s="13" t="s">
        <v>4</v>
      </c>
      <c r="B5" s="23">
        <f>SUM(B6:B7)</f>
        <v>30127</v>
      </c>
      <c r="C5" s="23">
        <f t="shared" ref="C5:G5" si="0">SUM(C6:C7)</f>
        <v>212</v>
      </c>
      <c r="D5" s="23">
        <f t="shared" si="0"/>
        <v>562</v>
      </c>
      <c r="E5" s="23">
        <f t="shared" si="0"/>
        <v>260</v>
      </c>
      <c r="F5" s="23">
        <f t="shared" si="0"/>
        <v>39</v>
      </c>
      <c r="G5" s="23">
        <f t="shared" si="0"/>
        <v>848</v>
      </c>
      <c r="H5" s="23">
        <f>SUM(H6:H7)</f>
        <v>640</v>
      </c>
      <c r="I5" s="23">
        <f t="shared" ref="I5:O5" si="1">SUM(I6:I7)</f>
        <v>172</v>
      </c>
      <c r="J5" s="23">
        <f t="shared" si="1"/>
        <v>313</v>
      </c>
      <c r="K5" s="23">
        <f t="shared" si="1"/>
        <v>7966</v>
      </c>
      <c r="L5" s="23">
        <f t="shared" si="1"/>
        <v>3522</v>
      </c>
      <c r="M5" s="23">
        <f t="shared" si="1"/>
        <v>2822</v>
      </c>
      <c r="N5" s="23">
        <f t="shared" si="1"/>
        <v>1733</v>
      </c>
      <c r="O5" s="23">
        <f t="shared" si="1"/>
        <v>11038</v>
      </c>
      <c r="P5" s="14"/>
    </row>
    <row r="6" spans="1:16" s="5" customFormat="1" x14ac:dyDescent="0.25">
      <c r="A6" s="13" t="s">
        <v>5</v>
      </c>
      <c r="B6" s="24">
        <f>SUM(C6:O6)</f>
        <v>10818</v>
      </c>
      <c r="C6" s="21">
        <v>212</v>
      </c>
      <c r="D6" s="21">
        <v>0</v>
      </c>
      <c r="E6" s="21">
        <v>260</v>
      </c>
      <c r="F6" s="21">
        <v>39</v>
      </c>
      <c r="G6" s="21">
        <v>293</v>
      </c>
      <c r="H6" s="21">
        <v>640</v>
      </c>
      <c r="I6" s="21">
        <v>0</v>
      </c>
      <c r="J6" s="21">
        <v>313</v>
      </c>
      <c r="K6" s="21">
        <v>1815</v>
      </c>
      <c r="L6" s="21">
        <v>0</v>
      </c>
      <c r="M6" s="21">
        <v>2822</v>
      </c>
      <c r="N6" s="21">
        <v>1723</v>
      </c>
      <c r="O6" s="21">
        <v>2701</v>
      </c>
      <c r="P6" s="14"/>
    </row>
    <row r="7" spans="1:16" s="5" customFormat="1" x14ac:dyDescent="0.25">
      <c r="A7" s="13" t="s">
        <v>27</v>
      </c>
      <c r="B7" s="24">
        <f>SUM(C7:O7)</f>
        <v>19309</v>
      </c>
      <c r="C7" s="25">
        <f>SUM(C8:C27)</f>
        <v>0</v>
      </c>
      <c r="D7" s="25">
        <f t="shared" ref="D7:O7" si="2">SUM(D8:D27)</f>
        <v>562</v>
      </c>
      <c r="E7" s="25">
        <f t="shared" si="2"/>
        <v>0</v>
      </c>
      <c r="F7" s="25">
        <f t="shared" si="2"/>
        <v>0</v>
      </c>
      <c r="G7" s="25">
        <f t="shared" si="2"/>
        <v>555</v>
      </c>
      <c r="H7" s="25">
        <f t="shared" si="2"/>
        <v>0</v>
      </c>
      <c r="I7" s="25">
        <f t="shared" si="2"/>
        <v>172</v>
      </c>
      <c r="J7" s="25">
        <f t="shared" si="2"/>
        <v>0</v>
      </c>
      <c r="K7" s="25">
        <f t="shared" si="2"/>
        <v>6151</v>
      </c>
      <c r="L7" s="25">
        <f t="shared" si="2"/>
        <v>3522</v>
      </c>
      <c r="M7" s="25">
        <f t="shared" si="2"/>
        <v>0</v>
      </c>
      <c r="N7" s="25">
        <f t="shared" si="2"/>
        <v>10</v>
      </c>
      <c r="O7" s="25">
        <f t="shared" si="2"/>
        <v>8337</v>
      </c>
      <c r="P7" s="14"/>
    </row>
    <row r="8" spans="1:16" x14ac:dyDescent="0.25">
      <c r="A8" s="6" t="s">
        <v>6</v>
      </c>
      <c r="B8" s="24">
        <f>SUM(C8:O8)</f>
        <v>1316</v>
      </c>
      <c r="C8" s="20">
        <v>0</v>
      </c>
      <c r="D8" s="20">
        <v>42</v>
      </c>
      <c r="E8" s="20">
        <v>0</v>
      </c>
      <c r="F8" s="20">
        <v>0</v>
      </c>
      <c r="G8" s="20">
        <v>0</v>
      </c>
      <c r="H8" s="20">
        <v>0</v>
      </c>
      <c r="I8" s="20">
        <v>5</v>
      </c>
      <c r="J8" s="20">
        <v>0</v>
      </c>
      <c r="K8" s="20">
        <v>407</v>
      </c>
      <c r="L8" s="20">
        <v>286</v>
      </c>
      <c r="M8" s="20">
        <v>0</v>
      </c>
      <c r="N8" s="20">
        <v>0</v>
      </c>
      <c r="O8" s="20">
        <v>576</v>
      </c>
      <c r="P8" s="1"/>
    </row>
    <row r="9" spans="1:16" x14ac:dyDescent="0.25">
      <c r="A9" s="6" t="s">
        <v>7</v>
      </c>
      <c r="B9" s="24">
        <f t="shared" ref="B9:B27" si="3">SUM(C9:O9)</f>
        <v>1797</v>
      </c>
      <c r="C9" s="20">
        <v>0</v>
      </c>
      <c r="D9" s="20">
        <v>46</v>
      </c>
      <c r="E9" s="20">
        <v>0</v>
      </c>
      <c r="F9" s="20">
        <v>0</v>
      </c>
      <c r="G9" s="20">
        <v>94</v>
      </c>
      <c r="H9" s="20">
        <v>0</v>
      </c>
      <c r="I9" s="20">
        <v>0</v>
      </c>
      <c r="J9" s="20">
        <v>0</v>
      </c>
      <c r="K9" s="20">
        <v>596</v>
      </c>
      <c r="L9" s="20">
        <v>288</v>
      </c>
      <c r="M9" s="20">
        <v>0</v>
      </c>
      <c r="N9" s="20">
        <v>0</v>
      </c>
      <c r="O9" s="20">
        <v>773</v>
      </c>
      <c r="P9" s="1"/>
    </row>
    <row r="10" spans="1:16" x14ac:dyDescent="0.25">
      <c r="A10" s="6" t="s">
        <v>8</v>
      </c>
      <c r="B10" s="24">
        <f t="shared" si="3"/>
        <v>1303</v>
      </c>
      <c r="C10" s="20">
        <v>0</v>
      </c>
      <c r="D10" s="20">
        <v>38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436</v>
      </c>
      <c r="L10" s="20">
        <v>242</v>
      </c>
      <c r="M10" s="20">
        <v>0</v>
      </c>
      <c r="N10" s="20">
        <v>0</v>
      </c>
      <c r="O10" s="20">
        <v>587</v>
      </c>
      <c r="P10" s="1"/>
    </row>
    <row r="11" spans="1:16" x14ac:dyDescent="0.25">
      <c r="A11" s="6" t="s">
        <v>9</v>
      </c>
      <c r="B11" s="24">
        <f t="shared" si="3"/>
        <v>1105</v>
      </c>
      <c r="C11" s="20">
        <v>0</v>
      </c>
      <c r="D11" s="20">
        <v>26</v>
      </c>
      <c r="E11" s="20">
        <v>0</v>
      </c>
      <c r="F11" s="20">
        <v>0</v>
      </c>
      <c r="G11" s="20">
        <v>0</v>
      </c>
      <c r="H11" s="20">
        <v>0</v>
      </c>
      <c r="I11" s="20">
        <v>14</v>
      </c>
      <c r="J11" s="20">
        <v>0</v>
      </c>
      <c r="K11" s="20">
        <v>285</v>
      </c>
      <c r="L11" s="20">
        <v>237</v>
      </c>
      <c r="M11" s="20">
        <v>0</v>
      </c>
      <c r="N11" s="20">
        <v>0</v>
      </c>
      <c r="O11" s="20">
        <v>543</v>
      </c>
      <c r="P11" s="1"/>
    </row>
    <row r="12" spans="1:16" x14ac:dyDescent="0.25">
      <c r="A12" s="6" t="s">
        <v>10</v>
      </c>
      <c r="B12" s="24">
        <f t="shared" si="3"/>
        <v>1477</v>
      </c>
      <c r="C12" s="20">
        <v>0</v>
      </c>
      <c r="D12" s="20">
        <v>33</v>
      </c>
      <c r="E12" s="20">
        <v>0</v>
      </c>
      <c r="F12" s="20">
        <v>0</v>
      </c>
      <c r="G12" s="20">
        <v>0</v>
      </c>
      <c r="H12" s="20">
        <v>0</v>
      </c>
      <c r="I12" s="20">
        <v>31</v>
      </c>
      <c r="J12" s="20">
        <v>0</v>
      </c>
      <c r="K12" s="20">
        <v>433</v>
      </c>
      <c r="L12" s="20">
        <v>290</v>
      </c>
      <c r="M12" s="20">
        <v>0</v>
      </c>
      <c r="N12" s="20">
        <v>0</v>
      </c>
      <c r="O12" s="20">
        <v>690</v>
      </c>
      <c r="P12" s="1"/>
    </row>
    <row r="13" spans="1:16" x14ac:dyDescent="0.25">
      <c r="A13" s="6" t="s">
        <v>11</v>
      </c>
      <c r="B13" s="24">
        <f t="shared" si="3"/>
        <v>1036</v>
      </c>
      <c r="C13" s="20">
        <v>0</v>
      </c>
      <c r="D13" s="20">
        <v>34</v>
      </c>
      <c r="E13" s="20">
        <v>0</v>
      </c>
      <c r="F13" s="20">
        <v>0</v>
      </c>
      <c r="G13" s="20">
        <v>0</v>
      </c>
      <c r="H13" s="20">
        <v>0</v>
      </c>
      <c r="I13" s="20">
        <v>45</v>
      </c>
      <c r="J13" s="20">
        <v>0</v>
      </c>
      <c r="K13" s="20">
        <v>299</v>
      </c>
      <c r="L13" s="20">
        <v>209</v>
      </c>
      <c r="M13" s="20">
        <v>0</v>
      </c>
      <c r="N13" s="20">
        <v>10</v>
      </c>
      <c r="O13" s="20">
        <v>439</v>
      </c>
      <c r="P13" s="1"/>
    </row>
    <row r="14" spans="1:16" x14ac:dyDescent="0.25">
      <c r="A14" s="6" t="s">
        <v>12</v>
      </c>
      <c r="B14" s="24">
        <f t="shared" si="3"/>
        <v>633</v>
      </c>
      <c r="C14" s="20">
        <v>0</v>
      </c>
      <c r="D14" s="20">
        <v>32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231</v>
      </c>
      <c r="L14" s="20">
        <v>125</v>
      </c>
      <c r="M14" s="20">
        <v>0</v>
      </c>
      <c r="N14" s="20">
        <v>0</v>
      </c>
      <c r="O14" s="20">
        <v>245</v>
      </c>
      <c r="P14" s="1"/>
    </row>
    <row r="15" spans="1:16" x14ac:dyDescent="0.25">
      <c r="A15" s="6" t="s">
        <v>13</v>
      </c>
      <c r="B15" s="24">
        <f t="shared" si="3"/>
        <v>982</v>
      </c>
      <c r="C15" s="20">
        <v>0</v>
      </c>
      <c r="D15" s="20">
        <v>26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420</v>
      </c>
      <c r="L15" s="20">
        <v>177</v>
      </c>
      <c r="M15" s="20">
        <v>0</v>
      </c>
      <c r="N15" s="20">
        <v>0</v>
      </c>
      <c r="O15" s="20">
        <v>359</v>
      </c>
      <c r="P15" s="1"/>
    </row>
    <row r="16" spans="1:16" x14ac:dyDescent="0.25">
      <c r="A16" s="6" t="s">
        <v>14</v>
      </c>
      <c r="B16" s="24">
        <f t="shared" si="3"/>
        <v>653</v>
      </c>
      <c r="C16" s="20">
        <v>0</v>
      </c>
      <c r="D16" s="20">
        <v>23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154</v>
      </c>
      <c r="L16" s="20">
        <v>183</v>
      </c>
      <c r="M16" s="20">
        <v>0</v>
      </c>
      <c r="N16" s="20">
        <v>0</v>
      </c>
      <c r="O16" s="20">
        <v>293</v>
      </c>
      <c r="P16" s="1"/>
    </row>
    <row r="17" spans="1:16" x14ac:dyDescent="0.25">
      <c r="A17" s="6" t="s">
        <v>15</v>
      </c>
      <c r="B17" s="24">
        <f t="shared" si="3"/>
        <v>802</v>
      </c>
      <c r="C17" s="20">
        <v>0</v>
      </c>
      <c r="D17" s="20">
        <v>26</v>
      </c>
      <c r="E17" s="20">
        <v>0</v>
      </c>
      <c r="F17" s="20">
        <v>0</v>
      </c>
      <c r="G17" s="20">
        <v>0</v>
      </c>
      <c r="H17" s="20">
        <v>0</v>
      </c>
      <c r="I17" s="20">
        <v>19</v>
      </c>
      <c r="J17" s="20">
        <v>0</v>
      </c>
      <c r="K17" s="20">
        <v>255</v>
      </c>
      <c r="L17" s="20">
        <v>163</v>
      </c>
      <c r="M17" s="20">
        <v>0</v>
      </c>
      <c r="N17" s="20">
        <v>0</v>
      </c>
      <c r="O17" s="20">
        <v>339</v>
      </c>
      <c r="P17" s="1"/>
    </row>
    <row r="18" spans="1:16" x14ac:dyDescent="0.25">
      <c r="A18" s="6" t="s">
        <v>16</v>
      </c>
      <c r="B18" s="24">
        <f t="shared" si="3"/>
        <v>233</v>
      </c>
      <c r="C18" s="20">
        <v>0</v>
      </c>
      <c r="D18" s="20">
        <v>21</v>
      </c>
      <c r="E18" s="20">
        <v>0</v>
      </c>
      <c r="F18" s="20">
        <v>0</v>
      </c>
      <c r="G18" s="20">
        <v>0</v>
      </c>
      <c r="H18" s="20">
        <v>0</v>
      </c>
      <c r="I18" s="20">
        <v>8</v>
      </c>
      <c r="J18" s="20">
        <v>0</v>
      </c>
      <c r="K18" s="20">
        <v>64</v>
      </c>
      <c r="L18" s="20">
        <v>39</v>
      </c>
      <c r="M18" s="20">
        <v>0</v>
      </c>
      <c r="N18" s="20">
        <v>0</v>
      </c>
      <c r="O18" s="20">
        <v>101</v>
      </c>
      <c r="P18" s="1"/>
    </row>
    <row r="19" spans="1:16" x14ac:dyDescent="0.25">
      <c r="A19" s="6" t="s">
        <v>17</v>
      </c>
      <c r="B19" s="24">
        <f t="shared" si="3"/>
        <v>593</v>
      </c>
      <c r="C19" s="20">
        <v>0</v>
      </c>
      <c r="D19" s="20">
        <v>27</v>
      </c>
      <c r="E19" s="20">
        <v>0</v>
      </c>
      <c r="F19" s="20">
        <v>0</v>
      </c>
      <c r="G19" s="20">
        <v>0</v>
      </c>
      <c r="H19" s="20">
        <v>0</v>
      </c>
      <c r="I19" s="20">
        <v>28</v>
      </c>
      <c r="J19" s="20">
        <v>0</v>
      </c>
      <c r="K19" s="20">
        <v>185</v>
      </c>
      <c r="L19" s="20">
        <v>133</v>
      </c>
      <c r="M19" s="20">
        <v>0</v>
      </c>
      <c r="N19" s="20">
        <v>0</v>
      </c>
      <c r="O19" s="20">
        <v>220</v>
      </c>
      <c r="P19" s="1"/>
    </row>
    <row r="20" spans="1:16" x14ac:dyDescent="0.25">
      <c r="A20" s="6" t="s">
        <v>18</v>
      </c>
      <c r="B20" s="24">
        <f t="shared" si="3"/>
        <v>579</v>
      </c>
      <c r="C20" s="20">
        <v>0</v>
      </c>
      <c r="D20" s="20">
        <v>35</v>
      </c>
      <c r="E20" s="20">
        <v>0</v>
      </c>
      <c r="F20" s="20">
        <v>0</v>
      </c>
      <c r="G20" s="20">
        <v>0</v>
      </c>
      <c r="H20" s="20">
        <v>0</v>
      </c>
      <c r="I20" s="20">
        <v>7</v>
      </c>
      <c r="J20" s="20">
        <v>0</v>
      </c>
      <c r="K20" s="20">
        <v>187</v>
      </c>
      <c r="L20" s="20">
        <v>113</v>
      </c>
      <c r="M20" s="20">
        <v>0</v>
      </c>
      <c r="N20" s="20">
        <v>0</v>
      </c>
      <c r="O20" s="20">
        <v>237</v>
      </c>
      <c r="P20" s="1"/>
    </row>
    <row r="21" spans="1:16" x14ac:dyDescent="0.25">
      <c r="A21" s="6" t="s">
        <v>19</v>
      </c>
      <c r="B21" s="24">
        <f t="shared" si="3"/>
        <v>609</v>
      </c>
      <c r="C21" s="20">
        <v>0</v>
      </c>
      <c r="D21" s="20">
        <v>27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212</v>
      </c>
      <c r="L21" s="20">
        <v>119</v>
      </c>
      <c r="M21" s="20">
        <v>0</v>
      </c>
      <c r="N21" s="20">
        <v>0</v>
      </c>
      <c r="O21" s="20">
        <v>251</v>
      </c>
      <c r="P21" s="1"/>
    </row>
    <row r="22" spans="1:16" x14ac:dyDescent="0.25">
      <c r="A22" s="6" t="s">
        <v>20</v>
      </c>
      <c r="B22" s="24">
        <f t="shared" si="3"/>
        <v>1155</v>
      </c>
      <c r="C22" s="20">
        <v>0</v>
      </c>
      <c r="D22" s="20">
        <v>32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393</v>
      </c>
      <c r="L22" s="20">
        <v>250</v>
      </c>
      <c r="M22" s="20">
        <v>0</v>
      </c>
      <c r="N22" s="20">
        <v>0</v>
      </c>
      <c r="O22" s="20">
        <v>480</v>
      </c>
      <c r="P22" s="1"/>
    </row>
    <row r="23" spans="1:16" x14ac:dyDescent="0.25">
      <c r="A23" s="6" t="s">
        <v>21</v>
      </c>
      <c r="B23" s="24">
        <f t="shared" si="3"/>
        <v>1248</v>
      </c>
      <c r="C23" s="20">
        <v>0</v>
      </c>
      <c r="D23" s="20">
        <v>39</v>
      </c>
      <c r="E23" s="20">
        <v>0</v>
      </c>
      <c r="F23" s="20">
        <v>0</v>
      </c>
      <c r="G23" s="20">
        <v>0</v>
      </c>
      <c r="H23" s="20">
        <v>0</v>
      </c>
      <c r="I23" s="20">
        <v>5</v>
      </c>
      <c r="J23" s="20">
        <v>0</v>
      </c>
      <c r="K23" s="20">
        <v>401</v>
      </c>
      <c r="L23" s="20">
        <v>296</v>
      </c>
      <c r="M23" s="20">
        <v>0</v>
      </c>
      <c r="N23" s="20">
        <v>0</v>
      </c>
      <c r="O23" s="20">
        <v>507</v>
      </c>
      <c r="P23" s="1"/>
    </row>
    <row r="24" spans="1:16" x14ac:dyDescent="0.25">
      <c r="A24" s="6" t="s">
        <v>22</v>
      </c>
      <c r="B24" s="24">
        <f t="shared" si="3"/>
        <v>806</v>
      </c>
      <c r="C24" s="20">
        <v>0</v>
      </c>
      <c r="D24" s="20">
        <v>20</v>
      </c>
      <c r="E24" s="20">
        <v>0</v>
      </c>
      <c r="F24" s="20">
        <v>0</v>
      </c>
      <c r="G24" s="20">
        <v>0</v>
      </c>
      <c r="H24" s="20">
        <v>0</v>
      </c>
      <c r="I24" s="20">
        <v>10</v>
      </c>
      <c r="J24" s="20">
        <v>0</v>
      </c>
      <c r="K24" s="20">
        <v>261</v>
      </c>
      <c r="L24" s="20">
        <v>190</v>
      </c>
      <c r="M24" s="20">
        <v>0</v>
      </c>
      <c r="N24" s="20">
        <v>0</v>
      </c>
      <c r="O24" s="20">
        <v>325</v>
      </c>
      <c r="P24" s="1"/>
    </row>
    <row r="25" spans="1:16" x14ac:dyDescent="0.25">
      <c r="A25" s="6" t="s">
        <v>23</v>
      </c>
      <c r="B25" s="24">
        <f t="shared" si="3"/>
        <v>1017</v>
      </c>
      <c r="C25" s="20">
        <v>0</v>
      </c>
      <c r="D25" s="20">
        <v>35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363</v>
      </c>
      <c r="L25" s="20">
        <v>182</v>
      </c>
      <c r="M25" s="20">
        <v>0</v>
      </c>
      <c r="N25" s="20">
        <v>0</v>
      </c>
      <c r="O25" s="20">
        <v>437</v>
      </c>
      <c r="P25" s="1"/>
    </row>
    <row r="26" spans="1:16" x14ac:dyDescent="0.25">
      <c r="A26" s="6" t="s">
        <v>24</v>
      </c>
      <c r="B26" s="24">
        <f t="shared" si="3"/>
        <v>633</v>
      </c>
      <c r="C26" s="20">
        <v>0</v>
      </c>
      <c r="D26" s="20">
        <v>0</v>
      </c>
      <c r="E26" s="20">
        <v>0</v>
      </c>
      <c r="F26" s="20">
        <v>0</v>
      </c>
      <c r="G26" s="20">
        <v>189</v>
      </c>
      <c r="H26" s="20">
        <v>0</v>
      </c>
      <c r="I26" s="20">
        <v>0</v>
      </c>
      <c r="J26" s="20">
        <v>0</v>
      </c>
      <c r="K26" s="20">
        <v>140</v>
      </c>
      <c r="L26" s="20">
        <v>0</v>
      </c>
      <c r="M26" s="20">
        <v>0</v>
      </c>
      <c r="N26" s="20">
        <v>0</v>
      </c>
      <c r="O26" s="20">
        <v>304</v>
      </c>
      <c r="P26" s="1"/>
    </row>
    <row r="27" spans="1:16" x14ac:dyDescent="0.25">
      <c r="A27" s="7" t="s">
        <v>25</v>
      </c>
      <c r="B27" s="26">
        <f t="shared" si="3"/>
        <v>1332</v>
      </c>
      <c r="C27" s="29">
        <v>0</v>
      </c>
      <c r="D27" s="29">
        <v>0</v>
      </c>
      <c r="E27" s="29">
        <v>0</v>
      </c>
      <c r="F27" s="29">
        <v>0</v>
      </c>
      <c r="G27" s="29">
        <v>272</v>
      </c>
      <c r="H27" s="29">
        <v>0</v>
      </c>
      <c r="I27" s="29">
        <v>0</v>
      </c>
      <c r="J27" s="29">
        <v>0</v>
      </c>
      <c r="K27" s="29">
        <v>429</v>
      </c>
      <c r="L27" s="29">
        <v>0</v>
      </c>
      <c r="M27" s="29">
        <v>0</v>
      </c>
      <c r="N27" s="29">
        <v>0</v>
      </c>
      <c r="O27" s="29">
        <v>631</v>
      </c>
      <c r="P27" s="1"/>
    </row>
    <row r="28" spans="1:16" s="2" customFormat="1" ht="17.25" x14ac:dyDescent="0.25">
      <c r="A28" s="15" t="s">
        <v>1</v>
      </c>
      <c r="B28" s="16"/>
      <c r="C28" s="9"/>
      <c r="D28" s="9"/>
      <c r="E28" s="9"/>
      <c r="F28" s="8"/>
      <c r="G28" s="9"/>
      <c r="H28" s="9"/>
      <c r="I28" s="9"/>
      <c r="J28" s="9"/>
      <c r="K28" s="9"/>
      <c r="L28" s="9"/>
      <c r="M28" s="9"/>
      <c r="N28" s="9"/>
      <c r="O28" s="3" t="s">
        <v>2</v>
      </c>
    </row>
    <row r="48" spans="1:15" ht="2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ht="15.75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x14ac:dyDescent="0.25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1:15" x14ac:dyDescent="0.2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</row>
    <row r="52" spans="1:15" x14ac:dyDescent="0.25">
      <c r="A52" s="13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13"/>
      <c r="B53" s="24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 spans="1:15" x14ac:dyDescent="0.25">
      <c r="A54" s="13"/>
      <c r="B54" s="24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5" x14ac:dyDescent="0.25">
      <c r="A55" s="6"/>
      <c r="B55" s="24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1:15" x14ac:dyDescent="0.25">
      <c r="A56" s="6"/>
      <c r="B56" s="24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1:15" x14ac:dyDescent="0.25">
      <c r="A57" s="6"/>
      <c r="B57" s="24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1:15" x14ac:dyDescent="0.25">
      <c r="A58" s="6"/>
      <c r="B58" s="24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1:15" x14ac:dyDescent="0.25">
      <c r="A59" s="6"/>
      <c r="B59" s="24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1:15" x14ac:dyDescent="0.25">
      <c r="A60" s="6"/>
      <c r="B60" s="24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1:15" x14ac:dyDescent="0.25">
      <c r="A61" s="6"/>
      <c r="B61" s="24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1:15" x14ac:dyDescent="0.25">
      <c r="A62" s="6"/>
      <c r="B62" s="24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1:15" x14ac:dyDescent="0.25">
      <c r="A63" s="6"/>
      <c r="B63" s="24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1:15" x14ac:dyDescent="0.25">
      <c r="A64" s="6"/>
      <c r="B64" s="24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1:15" x14ac:dyDescent="0.25">
      <c r="A65" s="6"/>
      <c r="B65" s="24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1:15" x14ac:dyDescent="0.25">
      <c r="A66" s="6"/>
      <c r="B66" s="24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1:15" x14ac:dyDescent="0.25">
      <c r="A67" s="6"/>
      <c r="B67" s="24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1:15" x14ac:dyDescent="0.25">
      <c r="A68" s="6"/>
      <c r="B68" s="24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1:15" x14ac:dyDescent="0.25">
      <c r="A69" s="6"/>
      <c r="B69" s="24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  <row r="70" spans="1:15" x14ac:dyDescent="0.25">
      <c r="A70" s="6"/>
      <c r="B70" s="24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</row>
    <row r="71" spans="1:15" x14ac:dyDescent="0.25">
      <c r="A71" s="6"/>
      <c r="B71" s="24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 spans="1:15" x14ac:dyDescent="0.25">
      <c r="A72" s="6"/>
      <c r="B72" s="24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1:15" x14ac:dyDescent="0.25">
      <c r="A73" s="6"/>
      <c r="B73" s="24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1:15" x14ac:dyDescent="0.25">
      <c r="A74" s="6"/>
      <c r="B74" s="24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spans="1:15" ht="17.25" x14ac:dyDescent="0.25">
      <c r="A75" s="28"/>
      <c r="B75" s="16"/>
      <c r="C75" s="9"/>
      <c r="D75" s="9"/>
      <c r="E75" s="9"/>
      <c r="F75" s="8"/>
      <c r="G75" s="9"/>
      <c r="H75" s="9"/>
      <c r="I75" s="9"/>
      <c r="J75" s="9"/>
      <c r="K75" s="9"/>
      <c r="L75" s="9"/>
      <c r="M75" s="9"/>
      <c r="N75" s="9"/>
      <c r="O75" s="3"/>
    </row>
  </sheetData>
  <mergeCells count="2">
    <mergeCell ref="A1:O1"/>
    <mergeCell ref="A2:O2"/>
  </mergeCells>
  <conditionalFormatting sqref="C4:O4">
    <cfRule type="duplicateValues" dxfId="1" priority="3"/>
  </conditionalFormatting>
  <conditionalFormatting sqref="C51:O51">
    <cfRule type="duplicateValues" dxfId="0" priority="2"/>
  </conditionalFormatting>
  <pageMargins left="0.7" right="0.7" top="0.75" bottom="0.75" header="0.3" footer="0.3"/>
  <pageSetup paperSize="9" scale="51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5.9</vt:lpstr>
      <vt:lpstr>'5.9'!Print_Area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2024-06-09T04:03:10Z</cp:lastPrinted>
  <dcterms:created xsi:type="dcterms:W3CDTF">2019-06-03T04:17:39Z</dcterms:created>
  <dcterms:modified xsi:type="dcterms:W3CDTF">2024-06-09T04:03:15Z</dcterms:modified>
</cp:coreProperties>
</file>